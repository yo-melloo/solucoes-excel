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63797ba848d3b0/Tráfego IMP/Ferramentas Gustavo/Soluções Excel/Satélite Norte/.backup/"/>
    </mc:Choice>
  </mc:AlternateContent>
  <xr:revisionPtr revIDLastSave="1" documentId="13_ncr:1_{E4E1316F-158C-4D6B-91F4-89BB7C584A44}" xr6:coauthVersionLast="47" xr6:coauthVersionMax="47" xr10:uidLastSave="{B5EB13DC-3A3C-4F32-ADFB-902256C8B9A4}"/>
  <bookViews>
    <workbookView xWindow="-120" yWindow="-120" windowWidth="20730" windowHeight="11160" tabRatio="587" firstSheet="3" activeTab="5" xr2:uid="{8804778D-2672-4FA4-985B-4CD56FF54310}"/>
  </bookViews>
  <sheets>
    <sheet name="PAINEL" sheetId="24" state="hidden" r:id="rId1"/>
    <sheet name="BOAS-VINDAS" sheetId="30" r:id="rId2"/>
    <sheet name="RESERVAS E QUARTOS" sheetId="28" r:id="rId3"/>
    <sheet name="POS. FROTA" sheetId="21" r:id="rId4"/>
    <sheet name="ESCALA RODOVIÁRIA" sheetId="2" r:id="rId5"/>
    <sheet name="ESCALA DO FLUXO" sheetId="1" r:id="rId6"/>
    <sheet name="FROTA DIURNA" sheetId="3" state="hidden" r:id="rId7"/>
    <sheet name="FROTA NOTURNA" sheetId="4" state="hidden" r:id="rId8"/>
    <sheet name="PREVISÕES" sheetId="31" r:id="rId9"/>
    <sheet name="FTR DIU BFM" sheetId="33" r:id="rId10"/>
    <sheet name="FRT NTR BFM" sheetId="32" r:id="rId11"/>
    <sheet name="CONSULTA DE PLACA" sheetId="27" r:id="rId12"/>
    <sheet name="BANCO DE DADOS" sheetId="19" state="hidden" r:id="rId13"/>
  </sheets>
  <definedNames>
    <definedName name="_xlnm.Print_Area" localSheetId="7">'FROTA NOTURNA'!$A$1:$S$8</definedName>
    <definedName name="_xlnm.Print_Area" localSheetId="10">'FRT NTR BFM'!$A$1:$O$6</definedName>
    <definedName name="_xlnm.Print_Area" localSheetId="9">'FTR DIU BFM'!$A$1:$O$8</definedName>
    <definedName name="DadosExternos_1" localSheetId="12" hidden="1">'BANCO DE DADOS'!$A$1:$C$624</definedName>
    <definedName name="mot_exibicao_de_escala" localSheetId="10">Tabela1[[#All],[MOTORISTA + MATRICULA]]</definedName>
    <definedName name="mot_exibicao_de_escala" localSheetId="9">Tabela1[[#All],[MOTORISTA + MATRICULA]]</definedName>
    <definedName name="mot_exibicao_de_escala">Tabela1[[#All],[MOTORISTA + MATRICULA]]</definedName>
    <definedName name="mot_matricula">'BANCO DE DADOS'!$B$1:$B$498</definedName>
    <definedName name="mot_nome" localSheetId="10">Tabela1[[#All],[MOTORISTA]]</definedName>
    <definedName name="mot_nome" localSheetId="9">Tabela1[[#All],[MOTORISTA]]</definedName>
    <definedName name="mot_nome">Tabela1[[#All],[MOTORISTA]]</definedName>
    <definedName name="prev_locai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31" l="1"/>
  <c r="F11" i="31"/>
  <c r="F14" i="32"/>
  <c r="J11" i="31" s="1"/>
  <c r="F13" i="32"/>
  <c r="H11" i="31" s="1"/>
  <c r="G14" i="32"/>
  <c r="G13" i="32"/>
  <c r="D13" i="32"/>
  <c r="E13" i="32" s="1" a="1"/>
  <c r="E13" i="32" s="1"/>
  <c r="B13" i="32"/>
  <c r="A2" i="32"/>
  <c r="A3" i="32" s="1"/>
  <c r="A4" i="32" s="1"/>
  <c r="A5" i="32" s="1"/>
  <c r="A6" i="32" s="1"/>
  <c r="A7" i="32" s="1"/>
  <c r="A8" i="32" s="1"/>
  <c r="A9" i="32" s="1"/>
  <c r="A10" i="32" s="1"/>
  <c r="A11" i="32" s="1"/>
  <c r="A12" i="32" s="1"/>
  <c r="A13" i="32" s="1"/>
  <c r="A14" i="32" s="1"/>
  <c r="J14" i="31"/>
  <c r="H15" i="33" l="1"/>
  <c r="H14" i="33"/>
  <c r="G15" i="33"/>
  <c r="G14" i="33"/>
  <c r="B15" i="33"/>
  <c r="B14" i="33"/>
  <c r="D15" i="33"/>
  <c r="D14" i="33"/>
  <c r="F14" i="33"/>
  <c r="F15" i="33"/>
  <c r="G62" i="2"/>
  <c r="C62" i="2"/>
  <c r="C61" i="2"/>
  <c r="G61" i="2"/>
  <c r="E62" i="2"/>
  <c r="D62" i="2"/>
  <c r="E61" i="2"/>
  <c r="D61" i="2"/>
  <c r="G9" i="33"/>
  <c r="H9" i="33"/>
  <c r="F9" i="33"/>
  <c r="D9" i="33"/>
  <c r="H8" i="33"/>
  <c r="G8" i="33"/>
  <c r="F8" i="33"/>
  <c r="D8" i="33"/>
  <c r="B8" i="33"/>
  <c r="H11" i="32" l="1"/>
  <c r="H12" i="32"/>
  <c r="H10" i="32"/>
  <c r="H9" i="32"/>
  <c r="H7" i="32"/>
  <c r="H6" i="32"/>
  <c r="H12" i="33"/>
  <c r="H11" i="33"/>
  <c r="H10" i="33"/>
  <c r="H7" i="33"/>
  <c r="H6" i="33"/>
  <c r="H5" i="33"/>
  <c r="H4" i="33"/>
  <c r="H3" i="33"/>
  <c r="H2" i="33"/>
  <c r="G11" i="33"/>
  <c r="G10" i="33"/>
  <c r="G7" i="33"/>
  <c r="G6" i="33"/>
  <c r="G5" i="33"/>
  <c r="G4" i="33"/>
  <c r="G2" i="33"/>
  <c r="G3" i="33"/>
  <c r="H13" i="33"/>
  <c r="G12" i="33"/>
  <c r="G13" i="33"/>
  <c r="F13" i="33"/>
  <c r="F12" i="33"/>
  <c r="F11" i="33"/>
  <c r="F10" i="33"/>
  <c r="F7" i="33"/>
  <c r="F6" i="33"/>
  <c r="F5" i="33"/>
  <c r="F4" i="33"/>
  <c r="F3" i="33"/>
  <c r="F2" i="33"/>
  <c r="D13" i="33"/>
  <c r="E13" i="33" s="1" a="1"/>
  <c r="E13" i="33" s="1"/>
  <c r="D12" i="33"/>
  <c r="E12" i="33" s="1" a="1"/>
  <c r="E12" i="33" s="1"/>
  <c r="D11" i="33"/>
  <c r="E11" i="33" s="1" a="1"/>
  <c r="E11" i="33" s="1"/>
  <c r="D10" i="33"/>
  <c r="E10" i="33" s="1" a="1"/>
  <c r="E10" i="33" s="1"/>
  <c r="E8" i="33" a="1"/>
  <c r="E8" i="33" s="1"/>
  <c r="D7" i="33"/>
  <c r="E7" i="33" s="1" a="1"/>
  <c r="E7" i="33" s="1"/>
  <c r="D6" i="33"/>
  <c r="E6" i="33" s="1" a="1"/>
  <c r="E6" i="33" s="1"/>
  <c r="D5" i="33"/>
  <c r="E5" i="33" s="1" a="1"/>
  <c r="E5" i="33" s="1"/>
  <c r="D4" i="33"/>
  <c r="E4" i="33" s="1" a="1"/>
  <c r="E4" i="33" s="1"/>
  <c r="D3" i="33"/>
  <c r="E3" i="33" s="1" a="1"/>
  <c r="E3" i="33" s="1"/>
  <c r="D2" i="33"/>
  <c r="E2" i="33" s="1" a="1"/>
  <c r="E2" i="33" s="1"/>
  <c r="B13" i="33"/>
  <c r="B12" i="33"/>
  <c r="B11" i="33"/>
  <c r="B10" i="33"/>
  <c r="B9" i="33"/>
  <c r="B7" i="33"/>
  <c r="B6" i="33"/>
  <c r="B5" i="33"/>
  <c r="B4" i="33"/>
  <c r="B3" i="33"/>
  <c r="B2" i="33"/>
  <c r="E9" i="33" a="1"/>
  <c r="E9" i="33" s="1"/>
  <c r="A2" i="33"/>
  <c r="A3" i="33" s="1"/>
  <c r="A4" i="33" s="1"/>
  <c r="A5" i="33" s="1"/>
  <c r="A6" i="33" s="1"/>
  <c r="A7" i="33" s="1"/>
  <c r="A8" i="33" s="1"/>
  <c r="A9" i="33" s="1"/>
  <c r="A10" i="33" s="1"/>
  <c r="A11" i="33" s="1"/>
  <c r="A12" i="33" s="1"/>
  <c r="A13" i="33" s="1"/>
  <c r="A14" i="33" s="1"/>
  <c r="A15" i="33" s="1"/>
  <c r="D2" i="32"/>
  <c r="E2" i="32" s="1" a="1"/>
  <c r="E2" i="32" s="1"/>
  <c r="D3" i="32"/>
  <c r="E3" i="32" s="1" a="1"/>
  <c r="E3" i="32" s="1"/>
  <c r="D8" i="32"/>
  <c r="E8" i="32" s="1" a="1"/>
  <c r="E8" i="32" s="1"/>
  <c r="D11" i="32"/>
  <c r="E11" i="32" s="1" a="1"/>
  <c r="E11" i="32" s="1"/>
  <c r="D10" i="32"/>
  <c r="E10" i="32" s="1" a="1"/>
  <c r="E10" i="32" s="1"/>
  <c r="D9" i="32"/>
  <c r="E9" i="32" s="1" a="1"/>
  <c r="E9" i="32" s="1"/>
  <c r="D7" i="32"/>
  <c r="E7" i="32" s="1" a="1"/>
  <c r="E7" i="32" s="1"/>
  <c r="D6" i="32"/>
  <c r="E6" i="32" s="1" a="1"/>
  <c r="E6" i="32" s="1"/>
  <c r="D4" i="32"/>
  <c r="E4" i="32" s="1" a="1"/>
  <c r="E4" i="32" s="1"/>
  <c r="D5" i="32"/>
  <c r="E5" i="32" s="1" a="1"/>
  <c r="E5" i="32" s="1"/>
  <c r="D12" i="32"/>
  <c r="E12" i="32" s="1" a="1"/>
  <c r="E12" i="32" s="1"/>
  <c r="H8" i="32"/>
  <c r="H2" i="32"/>
  <c r="H3" i="32"/>
  <c r="H5" i="32"/>
  <c r="H4" i="32"/>
  <c r="G4" i="32"/>
  <c r="G5" i="32"/>
  <c r="G6" i="32"/>
  <c r="G7" i="32"/>
  <c r="G9" i="32"/>
  <c r="G10" i="32"/>
  <c r="G11" i="32"/>
  <c r="G12" i="32"/>
  <c r="G8" i="32"/>
  <c r="G3" i="32"/>
  <c r="G2" i="32"/>
  <c r="F7" i="32"/>
  <c r="F2" i="32"/>
  <c r="F3" i="32"/>
  <c r="F8" i="32"/>
  <c r="F12" i="32"/>
  <c r="F11" i="32"/>
  <c r="F10" i="32"/>
  <c r="F9" i="32"/>
  <c r="F6" i="32"/>
  <c r="F5" i="32"/>
  <c r="F4" i="32"/>
  <c r="B2" i="32"/>
  <c r="B3" i="32"/>
  <c r="B8" i="32"/>
  <c r="B12" i="32"/>
  <c r="B11" i="32"/>
  <c r="B10" i="32"/>
  <c r="B9" i="32"/>
  <c r="B7" i="32"/>
  <c r="B6" i="32"/>
  <c r="B4" i="32"/>
  <c r="B5" i="32"/>
  <c r="D10" i="2"/>
  <c r="E10" i="2"/>
  <c r="I6" i="4"/>
  <c r="H6" i="4"/>
  <c r="I3" i="4"/>
  <c r="H3" i="4"/>
  <c r="C35" i="2" l="1"/>
  <c r="D22" i="2" l="1"/>
  <c r="D20" i="2"/>
  <c r="D44" i="2"/>
  <c r="D4" i="21"/>
  <c r="D5" i="21" s="1"/>
  <c r="D7" i="21" s="1"/>
  <c r="D8" i="21" s="1"/>
  <c r="D9" i="21" s="1"/>
  <c r="D10" i="21" s="1"/>
  <c r="E4" i="21"/>
  <c r="E5" i="21"/>
  <c r="E6" i="21"/>
  <c r="E7" i="21"/>
  <c r="E8" i="21"/>
  <c r="E9" i="21"/>
  <c r="E10" i="21"/>
  <c r="E11" i="21"/>
  <c r="H21" i="21"/>
  <c r="D6" i="21" l="1"/>
  <c r="D11" i="21"/>
  <c r="D12" i="21" s="1"/>
  <c r="G9" i="2" l="1"/>
  <c r="G39" i="2"/>
  <c r="G33" i="2"/>
  <c r="Y6" i="21"/>
  <c r="Y5" i="21"/>
  <c r="Y9" i="21"/>
  <c r="Y8" i="21"/>
  <c r="Y7" i="21"/>
  <c r="Y4" i="21"/>
  <c r="E12" i="24"/>
  <c r="I13" i="19"/>
  <c r="I11" i="19"/>
  <c r="I5" i="19"/>
  <c r="I7" i="19" s="1"/>
  <c r="C6" i="27"/>
  <c r="F6" i="27"/>
  <c r="G43" i="2"/>
  <c r="G41" i="2"/>
  <c r="D42" i="2"/>
  <c r="D40" i="2"/>
  <c r="D43" i="2"/>
  <c r="F6" i="4" s="1"/>
  <c r="H8" i="31" s="1"/>
  <c r="D41" i="2"/>
  <c r="D39" i="2"/>
  <c r="G21" i="2"/>
  <c r="D21" i="2"/>
  <c r="F3" i="4" s="1"/>
  <c r="H5" i="31" s="1"/>
  <c r="G13" i="2"/>
  <c r="D8" i="4" s="1"/>
  <c r="E8" i="4" s="1" a="1"/>
  <c r="E8" i="4" s="1"/>
  <c r="G12" i="2"/>
  <c r="G11" i="2"/>
  <c r="E13" i="2"/>
  <c r="E12" i="2"/>
  <c r="H7" i="4" s="1"/>
  <c r="J9" i="31" s="1"/>
  <c r="E11" i="2"/>
  <c r="H5" i="4" s="1"/>
  <c r="J7" i="31" s="1"/>
  <c r="D13" i="2"/>
  <c r="D12" i="2"/>
  <c r="F7" i="4" s="1"/>
  <c r="H9" i="31" s="1"/>
  <c r="D11" i="2"/>
  <c r="F5" i="4" s="1"/>
  <c r="H7" i="31" s="1"/>
  <c r="C13" i="2"/>
  <c r="B8" i="4" s="1"/>
  <c r="J8" i="4" s="1"/>
  <c r="C12" i="2"/>
  <c r="C11" i="2"/>
  <c r="C8" i="2"/>
  <c r="C7" i="2"/>
  <c r="C6" i="2"/>
  <c r="D53" i="2"/>
  <c r="G52" i="2"/>
  <c r="D52" i="2"/>
  <c r="G50" i="2"/>
  <c r="D51" i="2"/>
  <c r="D50" i="2"/>
  <c r="G8" i="4" l="1"/>
  <c r="F8" i="4"/>
  <c r="H10" i="31" s="1"/>
  <c r="I8" i="4"/>
  <c r="H8" i="4"/>
  <c r="J10" i="31" s="1"/>
  <c r="C2" i="3"/>
  <c r="G27" i="2"/>
  <c r="G57" i="2"/>
  <c r="E57" i="2"/>
  <c r="I5" i="3" s="1"/>
  <c r="D57" i="2"/>
  <c r="F5" i="3" s="1"/>
  <c r="G48" i="2"/>
  <c r="D49" i="2"/>
  <c r="D48" i="2"/>
  <c r="D2" i="4"/>
  <c r="E2" i="4" s="1" a="1"/>
  <c r="E2" i="4" s="1"/>
  <c r="G29" i="2"/>
  <c r="G35" i="2"/>
  <c r="E35" i="2"/>
  <c r="D35" i="2"/>
  <c r="E33" i="2"/>
  <c r="D33" i="2"/>
  <c r="E29" i="2"/>
  <c r="H4" i="4" s="1"/>
  <c r="J6" i="31" s="1"/>
  <c r="E27" i="2"/>
  <c r="D29" i="2"/>
  <c r="F4" i="4" s="1"/>
  <c r="H6" i="31" s="1"/>
  <c r="D27" i="2"/>
  <c r="G19" i="2"/>
  <c r="G17" i="2"/>
  <c r="D18" i="2"/>
  <c r="D19" i="2"/>
  <c r="D17" i="2"/>
  <c r="D7" i="4"/>
  <c r="E7" i="4" s="1" a="1"/>
  <c r="E7" i="4" s="1"/>
  <c r="D5" i="4"/>
  <c r="E5" i="4" s="1" a="1"/>
  <c r="E5" i="4" s="1"/>
  <c r="G8" i="2"/>
  <c r="D4" i="3" s="1"/>
  <c r="E4" i="3" s="1" a="1"/>
  <c r="E4" i="3" s="1"/>
  <c r="E8" i="2"/>
  <c r="D8" i="2"/>
  <c r="G7" i="2"/>
  <c r="D3" i="3" s="1"/>
  <c r="E3" i="3" s="1" a="1"/>
  <c r="E3" i="3" s="1"/>
  <c r="E7" i="2"/>
  <c r="D7" i="2"/>
  <c r="A2" i="3"/>
  <c r="A3" i="3" s="1"/>
  <c r="A6" i="3" s="1"/>
  <c r="A7" i="3" s="1"/>
  <c r="A4" i="3" s="1"/>
  <c r="A8" i="3" s="1"/>
  <c r="B2" i="3"/>
  <c r="B3" i="3"/>
  <c r="C3" i="3"/>
  <c r="C4" i="3"/>
  <c r="B5" i="3"/>
  <c r="B6" i="3"/>
  <c r="C6" i="3"/>
  <c r="B7" i="3"/>
  <c r="C7" i="3"/>
  <c r="B8" i="3"/>
  <c r="C8" i="3"/>
  <c r="B2" i="4"/>
  <c r="J2" i="4" s="1"/>
  <c r="C2" i="4"/>
  <c r="A3" i="4"/>
  <c r="A2" i="4" s="1"/>
  <c r="A4" i="4" s="1"/>
  <c r="A5" i="4" s="1"/>
  <c r="A6" i="4" s="1"/>
  <c r="A7" i="4" s="1"/>
  <c r="A8" i="4" s="1"/>
  <c r="B3" i="4"/>
  <c r="C3" i="4"/>
  <c r="C4" i="4"/>
  <c r="J4" i="4"/>
  <c r="B5" i="4"/>
  <c r="J5" i="4" s="1"/>
  <c r="B6" i="4"/>
  <c r="J6" i="4" s="1"/>
  <c r="B7" i="4"/>
  <c r="J7" i="4" s="1"/>
  <c r="C57" i="2"/>
  <c r="G6" i="2"/>
  <c r="D2" i="3" s="1"/>
  <c r="E2" i="3" s="1" a="1"/>
  <c r="E2" i="3" s="1"/>
  <c r="B21" i="2"/>
  <c r="H21" i="2"/>
  <c r="B8" i="2"/>
  <c r="B4" i="3" s="1"/>
  <c r="H8" i="2"/>
  <c r="B2" i="2"/>
  <c r="N4" i="21"/>
  <c r="O7" i="21"/>
  <c r="O6" i="21"/>
  <c r="O5" i="21"/>
  <c r="O4" i="21"/>
  <c r="C5" i="3" l="1"/>
  <c r="J5" i="3" s="1"/>
  <c r="F12" i="21"/>
  <c r="D5" i="3"/>
  <c r="E5" i="3" s="1" a="1"/>
  <c r="E5" i="3" s="1"/>
  <c r="E12" i="21"/>
  <c r="G4" i="3"/>
  <c r="F4" i="3"/>
  <c r="I4" i="3"/>
  <c r="H4" i="3"/>
  <c r="A5" i="3"/>
  <c r="G5" i="3"/>
  <c r="J3" i="4"/>
  <c r="L4" i="31" s="1" a="1"/>
  <c r="L4" i="31" s="1"/>
  <c r="H5" i="3"/>
  <c r="X4" i="21"/>
  <c r="X5" i="21" s="1"/>
  <c r="X6" i="21" s="1"/>
  <c r="X7" i="21" s="1"/>
  <c r="X8" i="21" s="1"/>
  <c r="X9" i="21" s="1"/>
  <c r="X10" i="21" s="1"/>
  <c r="X11" i="21" s="1"/>
  <c r="X12" i="21" s="1"/>
  <c r="N5" i="21"/>
  <c r="N6" i="21" s="1"/>
  <c r="N7" i="21" s="1"/>
  <c r="N8" i="21" s="1"/>
  <c r="N9" i="21" s="1"/>
  <c r="N10" i="21" s="1"/>
  <c r="N11" i="21" s="1"/>
  <c r="N12" i="21" s="1"/>
  <c r="H7" i="3"/>
  <c r="H8" i="3"/>
  <c r="D6" i="4"/>
  <c r="E6" i="4" s="1" a="1"/>
  <c r="E6" i="4" s="1"/>
  <c r="D8" i="3"/>
  <c r="E8" i="3" s="1" a="1"/>
  <c r="E8" i="3" s="1"/>
  <c r="D4" i="4"/>
  <c r="E4" i="4" s="1" a="1"/>
  <c r="E4" i="4" s="1"/>
  <c r="D7" i="3"/>
  <c r="E7" i="3" s="1" a="1"/>
  <c r="E7" i="3" s="1"/>
  <c r="D6" i="3"/>
  <c r="E6" i="3" s="1" a="1"/>
  <c r="E6" i="3" s="1"/>
  <c r="H6" i="3"/>
  <c r="H3" i="3"/>
  <c r="E6" i="2"/>
  <c r="H2" i="3" s="1"/>
  <c r="D6" i="2"/>
  <c r="D3" i="4"/>
  <c r="E3" i="4" s="1" a="1"/>
  <c r="E3" i="4" s="1"/>
  <c r="E13" i="24"/>
  <c r="C4" i="31" l="1" a="1"/>
  <c r="G3" i="28"/>
  <c r="F8" i="3"/>
  <c r="G8" i="3"/>
  <c r="F3" i="3"/>
  <c r="G3" i="3"/>
  <c r="G6" i="3"/>
  <c r="F6" i="3"/>
  <c r="F2" i="3"/>
  <c r="G2" i="3"/>
  <c r="G7" i="3"/>
  <c r="F7" i="3"/>
  <c r="G2" i="4"/>
  <c r="F2" i="4"/>
  <c r="H4" i="31" s="1"/>
  <c r="I7" i="4"/>
  <c r="G5" i="4"/>
  <c r="I5" i="4"/>
  <c r="G3" i="4"/>
  <c r="G4" i="4"/>
  <c r="G6" i="4"/>
  <c r="I4" i="4"/>
  <c r="G7" i="4"/>
  <c r="J8" i="3"/>
  <c r="J4" i="3"/>
  <c r="J7" i="3"/>
  <c r="J6" i="3"/>
  <c r="J3" i="3"/>
  <c r="J2" i="3"/>
  <c r="I8" i="3"/>
  <c r="I7" i="3"/>
  <c r="I6" i="3"/>
  <c r="I2" i="3"/>
  <c r="AB21" i="21"/>
  <c r="R21" i="21"/>
  <c r="C4" i="31" l="1"/>
  <c r="C11" i="31"/>
  <c r="B3" i="24"/>
  <c r="I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<sst xmlns="http://schemas.openxmlformats.org/spreadsheetml/2006/main" count="2139" uniqueCount="1604">
  <si>
    <t>HOJE ESTÁ TRANQUILO</t>
  </si>
  <si>
    <t>&gt; ACESSAR ESCALA DE HOJE</t>
  </si>
  <si>
    <t>&gt; ATUALIZAR ESCALA DE HOJE</t>
  </si>
  <si>
    <t>&gt; ACESSAR LIFEWEB</t>
  </si>
  <si>
    <t>&gt; IMPRIMIR BAFÔMETROS</t>
  </si>
  <si>
    <t>&gt; CARROS RESERVA:</t>
  </si>
  <si>
    <t>&gt; NASCENDO NA GARAGEM:</t>
  </si>
  <si>
    <t>BEM VINDO AO SISTEMA DE GERENCIAMENTO AUXILIAR DE TRÁFEGO</t>
  </si>
  <si>
    <t>SISGET (PROJETO TRAFEG.AI)</t>
  </si>
  <si>
    <t>objetivo</t>
  </si>
  <si>
    <t>projetar uma aplicação intutitiva e técnica para uso dos assistentes de tráfego para tarefas operacionais</t>
  </si>
  <si>
    <t>fase atual</t>
  </si>
  <si>
    <t>projetando, estudando e analisando banco de dados relacional em excel</t>
  </si>
  <si>
    <t>próxima fase</t>
  </si>
  <si>
    <t>projetar interfaces de planejamento estratégico, integradas (de alguma forma) ao rastreamento e informações de trânsito</t>
  </si>
  <si>
    <t>desafio</t>
  </si>
  <si>
    <t>construir (windows - mobile) aplicação independente tendo como base este projeto para elevar segurança, desempenho e portabilidade</t>
  </si>
  <si>
    <t>prazo</t>
  </si>
  <si>
    <t>máximo: 1 ano e meio</t>
  </si>
  <si>
    <t>PROJETADO E DESENVOLVIDO POR GUSTAVO MELO</t>
  </si>
  <si>
    <t>nenhum dado sensível é coletado da Empresa Satélite Norte durante o desenvolvimento dessa aplicação</t>
  </si>
  <si>
    <t>os dados dísponíveis como placas, numeros de frotas, nomes e matrículas estão salvas localmente neste computador</t>
  </si>
  <si>
    <t>não sendo de propriedade e nem parte da aplicação como todo.</t>
  </si>
  <si>
    <t>x</t>
  </si>
  <si>
    <t>OFICINA</t>
  </si>
  <si>
    <t>o</t>
  </si>
  <si>
    <t>CÓD</t>
  </si>
  <si>
    <t>TIPO</t>
  </si>
  <si>
    <t>STATUS</t>
  </si>
  <si>
    <t>DESCRIÇÃO</t>
  </si>
  <si>
    <t>CARRO</t>
  </si>
  <si>
    <t>DISPONÍVEL</t>
  </si>
  <si>
    <t>CARRO PRONTO</t>
  </si>
  <si>
    <t>ALOJAMENTOS</t>
  </si>
  <si>
    <t>INDISPONÍVEL</t>
  </si>
  <si>
    <t>CARRO EM MANUTENÇÃO, FALTA TESTE</t>
  </si>
  <si>
    <t>QUARTO</t>
  </si>
  <si>
    <t>DUPLA(S)</t>
  </si>
  <si>
    <t>ESCALA(S)</t>
  </si>
  <si>
    <t>OBSERVAÇÕES</t>
  </si>
  <si>
    <t>-</t>
  </si>
  <si>
    <t>QUARTO SEM A/C</t>
  </si>
  <si>
    <t>SN 10001</t>
  </si>
  <si>
    <t>PNEU</t>
  </si>
  <si>
    <t>PNEU PRIMEIRA VIDA</t>
  </si>
  <si>
    <t>OCUPADO</t>
  </si>
  <si>
    <t>ADAIL, RAMIRO, MARCIO, ROBERTO</t>
  </si>
  <si>
    <t>09:30 E 11:30</t>
  </si>
  <si>
    <t>SN 10002</t>
  </si>
  <si>
    <t>PNEU RECAPADO</t>
  </si>
  <si>
    <t>POSICIONAMENTO   FROTA</t>
  </si>
  <si>
    <t>DATA</t>
  </si>
  <si>
    <t>FROTA</t>
  </si>
  <si>
    <t xml:space="preserve">HORÁRIO </t>
  </si>
  <si>
    <t xml:space="preserve">ORIGEM </t>
  </si>
  <si>
    <t>DESTINO</t>
  </si>
  <si>
    <t>BELEM (PA)</t>
  </si>
  <si>
    <t>GOIANIA (GO)</t>
  </si>
  <si>
    <t>SAO LUIS (MA)</t>
  </si>
  <si>
    <t>IMPERATRIZ (MA)</t>
  </si>
  <si>
    <t>SINOP (MT)</t>
  </si>
  <si>
    <t>FORTALEZA (CE)</t>
  </si>
  <si>
    <t>TERESINA (PI)</t>
  </si>
  <si>
    <t>VILA RICA (MT)</t>
  </si>
  <si>
    <t>POSICIONAMENTO  BASE IMPERATIZ</t>
  </si>
  <si>
    <t>POSICIONAMENTO  BASE BELÉM</t>
  </si>
  <si>
    <t xml:space="preserve">POSICIONAMENTO  BASE SÃO LUIS </t>
  </si>
  <si>
    <t>CARRO RESERVA</t>
  </si>
  <si>
    <t xml:space="preserve">GRADE FUTURA </t>
  </si>
  <si>
    <t xml:space="preserve">INDISPONIVEL </t>
  </si>
  <si>
    <t xml:space="preserve">FRETAMENTO EM ANDAMENTO </t>
  </si>
  <si>
    <t xml:space="preserve">DATA </t>
  </si>
  <si>
    <t xml:space="preserve">HORARIO </t>
  </si>
  <si>
    <t xml:space="preserve">DESTINO </t>
  </si>
  <si>
    <t xml:space="preserve">DATA FINAL </t>
  </si>
  <si>
    <t>OBS</t>
  </si>
  <si>
    <t>BARREIRINHAS (MA)</t>
  </si>
  <si>
    <t>Ultima atualização:</t>
  </si>
  <si>
    <t>XXXXX</t>
  </si>
  <si>
    <t>GARAGEM</t>
  </si>
  <si>
    <t>HR. GA</t>
  </si>
  <si>
    <t>HR. RD</t>
  </si>
  <si>
    <t>ORIGEM</t>
  </si>
  <si>
    <t>MOTORISTA + MATRÍCULA</t>
  </si>
  <si>
    <t>MOTORISTA + MATRÍCULA2</t>
  </si>
  <si>
    <t>LINHA</t>
  </si>
  <si>
    <t>IMPERATRIZ</t>
  </si>
  <si>
    <t>CLAUDIO JOSE DO NASCIMENTO - 549</t>
  </si>
  <si>
    <t>COSME CAVALCANTE DA SILVA - 3002</t>
  </si>
  <si>
    <t>GOIANIA (GO) X BELEM (PA)</t>
  </si>
  <si>
    <t>GOIANIA (GO) X SAO LUIS (MA)</t>
  </si>
  <si>
    <t>WENDER PEDRO DA SILVA - 1596</t>
  </si>
  <si>
    <t>GOIANIA (GO) X TERESINA (PI) VIA STI</t>
  </si>
  <si>
    <t>CANCELADO</t>
  </si>
  <si>
    <t>RAIMUNDO FERNANDES RIBEIRO - 907</t>
  </si>
  <si>
    <t>FRANCISCO DAS CHAGAS SILVA - 5656</t>
  </si>
  <si>
    <t>FORTALEZA (CE) X SINOP (MT)</t>
  </si>
  <si>
    <t>ANTONIO RAMIRO WEBER - 5452</t>
  </si>
  <si>
    <t>EUGENIO PEREIRA DOS SANTOS - 1197</t>
  </si>
  <si>
    <t>ARAGUAINA (TO)</t>
  </si>
  <si>
    <t>JWEBISON DE BRITO SOUZA - 2999</t>
  </si>
  <si>
    <t>GOIANIA (GO) X TERESINA (PI) VIA BC</t>
  </si>
  <si>
    <t>MANOEL MESSIAS SILVA DOS SANTOS - 1833</t>
  </si>
  <si>
    <t>ANTONIO MARQUES NETO DOS SANTOS - 1738</t>
  </si>
  <si>
    <t>MARCOS ATAIDE SILVA - 1352</t>
  </si>
  <si>
    <t>IMPERATRIZ (MA) X SÃO LUIS (MA)</t>
  </si>
  <si>
    <t>RAIMUNDO GUIMARAES ARAUJO - 1920</t>
  </si>
  <si>
    <t>FELIPE MORAIS MELO - 3077</t>
  </si>
  <si>
    <t>JOSE POLICARPO DE SOUSA NETO - 1472</t>
  </si>
  <si>
    <t>EDUARDO SANTOS BEZERRA - 4066</t>
  </si>
  <si>
    <t>JOAO FERREIRA COSTA - 5545</t>
  </si>
  <si>
    <t>LEANDRO DE OLIVEIRA MELO - 2151</t>
  </si>
  <si>
    <t>MARCIO DE SOUSA MATOS - 5264</t>
  </si>
  <si>
    <t>GILDEVAN DE ALMEIDA AGOSTINHO - 1924</t>
  </si>
  <si>
    <t>ESIEL COSTA RODRIGUES - 1749</t>
  </si>
  <si>
    <t>JOAO BATISTA DA SILVA - 1410</t>
  </si>
  <si>
    <t>WILLIAN DE SOUZA BANDEIRA - 2025</t>
  </si>
  <si>
    <t>IMPERATRIZ-MA / GOIANIA-GO</t>
  </si>
  <si>
    <t>SERVIÇO</t>
  </si>
  <si>
    <t>HORÁRIO</t>
  </si>
  <si>
    <t>TRIPULAÇÃO</t>
  </si>
  <si>
    <t>TRECHO</t>
  </si>
  <si>
    <t xml:space="preserve">CARRO </t>
  </si>
  <si>
    <t>BEL X GYN</t>
  </si>
  <si>
    <t>IMP X GYN</t>
  </si>
  <si>
    <t>SLZ X GYN</t>
  </si>
  <si>
    <t>RONALDO ADRIANO COSTA SANTOS - 5637</t>
  </si>
  <si>
    <t>BRC X EST</t>
  </si>
  <si>
    <t>THE X GYN (BC)</t>
  </si>
  <si>
    <t>EST X GYN</t>
  </si>
  <si>
    <t>FOT X SIN</t>
  </si>
  <si>
    <t>ESCALA DE TRÁFEGO</t>
  </si>
  <si>
    <t>IMPERATRIZ-MA / TERESINA-PI</t>
  </si>
  <si>
    <t>IMP X STI</t>
  </si>
  <si>
    <t>SIN X FOT</t>
  </si>
  <si>
    <t>STI X THE</t>
  </si>
  <si>
    <t>EST X BRC</t>
  </si>
  <si>
    <t>GYN X THE (BC)</t>
  </si>
  <si>
    <t>BRC X THE</t>
  </si>
  <si>
    <t>03:00</t>
  </si>
  <si>
    <t>IMP X THE</t>
  </si>
  <si>
    <t xml:space="preserve">  ESCALA DE TRÁFEGO</t>
  </si>
  <si>
    <t>IMPERATRIZ-MA / BELEM-PA</t>
  </si>
  <si>
    <t xml:space="preserve">TRIPULAÇÃO </t>
  </si>
  <si>
    <t>IMP X BEL</t>
  </si>
  <si>
    <t>GYN X BEL</t>
  </si>
  <si>
    <t>BELÉM-PA / IMPERATRIZ-MA</t>
  </si>
  <si>
    <t>BEL X IMP</t>
  </si>
  <si>
    <t>IMPERATRIZ-MA / SÃO LUIS-MA</t>
  </si>
  <si>
    <t>GYN X SLZ</t>
  </si>
  <si>
    <t>STI X SLZ</t>
  </si>
  <si>
    <t>IMP X SLZ</t>
  </si>
  <si>
    <t>SÃO LUIS-MA / IMPERATRIZ-MA</t>
  </si>
  <si>
    <t>SLZ X STI</t>
  </si>
  <si>
    <t>STI X IMP</t>
  </si>
  <si>
    <t>SLZ X IMP</t>
  </si>
  <si>
    <t>00:30</t>
  </si>
  <si>
    <t>IMPERATRIZ-MA / VILA RICA-MT</t>
  </si>
  <si>
    <t>IMP X VLR</t>
  </si>
  <si>
    <t>SERV</t>
  </si>
  <si>
    <t>SAIDA</t>
  </si>
  <si>
    <t>PLACA</t>
  </si>
  <si>
    <t>MOTORISTA A</t>
  </si>
  <si>
    <t>MAT A</t>
  </si>
  <si>
    <t>MOTORISTA B</t>
  </si>
  <si>
    <t>MAT B</t>
  </si>
  <si>
    <t>STI</t>
  </si>
  <si>
    <t>CARROS RESERVA</t>
  </si>
  <si>
    <t>PNEUS RESERVA</t>
  </si>
  <si>
    <t>OCORRÊNCIAS</t>
  </si>
  <si>
    <t>OUTROS</t>
  </si>
  <si>
    <t>N/A</t>
  </si>
  <si>
    <t>DIGITE A PLACA</t>
  </si>
  <si>
    <t>RESULTADO (CARRO):</t>
  </si>
  <si>
    <t>DIGITE O CARRO</t>
  </si>
  <si>
    <t>RESULTADO (PLACA):</t>
  </si>
  <si>
    <t>PREVISÃO</t>
  </si>
  <si>
    <t>MOTORISTA</t>
  </si>
  <si>
    <t>MATRICULA</t>
  </si>
  <si>
    <t>MOTORISTA + MATRICULA</t>
  </si>
  <si>
    <t>Veículo</t>
  </si>
  <si>
    <t>Placa</t>
  </si>
  <si>
    <t>VALDIR PEREIRA DE SOUZA</t>
  </si>
  <si>
    <t>VALDIR PEREIRA DE SOUZA - 85</t>
  </si>
  <si>
    <t>GOL</t>
  </si>
  <si>
    <t>NVO2044</t>
  </si>
  <si>
    <t>BACK-END INFO</t>
  </si>
  <si>
    <t>WILSON MARTINS ROCHA</t>
  </si>
  <si>
    <t>WILSON MARTINS ROCHA - 105</t>
  </si>
  <si>
    <t>OMR4C73</t>
  </si>
  <si>
    <t>CLAUDIO JOSE DO NASCIMENTO</t>
  </si>
  <si>
    <t>ONA8083</t>
  </si>
  <si>
    <t>PEDRO ALVES DE OLIVEIRA</t>
  </si>
  <si>
    <t>PEDRO ALVES DE OLIVEIRA - 556</t>
  </si>
  <si>
    <t>OMX2213</t>
  </si>
  <si>
    <t>ELISEU TORRES DE OLIVEIRA</t>
  </si>
  <si>
    <t>ELISEU TORRES DE OLIVEIRA - 561</t>
  </si>
  <si>
    <t>OMX2193</t>
  </si>
  <si>
    <t>ROMILDO ALVES DE CARVALHO</t>
  </si>
  <si>
    <t>ROMILDO ALVES DE CARVALHO - 568</t>
  </si>
  <si>
    <t>OOE4685</t>
  </si>
  <si>
    <t>EVANDRO CARLOS ARAUJO LIMA</t>
  </si>
  <si>
    <t>EVANDRO CARLOS ARAUJO LIMA - 569</t>
  </si>
  <si>
    <t>RANGER</t>
  </si>
  <si>
    <t>OGJ7J55</t>
  </si>
  <si>
    <t>GESMAR DE SOUZA</t>
  </si>
  <si>
    <t>GESMAR DE SOUZA - 574</t>
  </si>
  <si>
    <t>ONZ2254</t>
  </si>
  <si>
    <t>VALDEVANDE BENTO DE OLIVEIRA</t>
  </si>
  <si>
    <t>VALDEVANDE BENTO DE OLIVEIRA - 728</t>
  </si>
  <si>
    <t>ONH3001</t>
  </si>
  <si>
    <t>FRANCISCO RODRIGUES DE SOUSA</t>
  </si>
  <si>
    <t>FRANCISCO RODRIGUES DE SOUSA - 735</t>
  </si>
  <si>
    <t>OMK0001</t>
  </si>
  <si>
    <t>GONCALO ALVES BEZERRA</t>
  </si>
  <si>
    <t>GONCALO ALVES BEZERRA - 748</t>
  </si>
  <si>
    <t>AZB9B04</t>
  </si>
  <si>
    <t>HILTON RODRIGUES DA COSTA</t>
  </si>
  <si>
    <t>HILTON RODRIGUES DA COSTA - 866</t>
  </si>
  <si>
    <t>ONI0A01</t>
  </si>
  <si>
    <t>MAURICIO CARLOS BARROSO</t>
  </si>
  <si>
    <t>MAURICIO CARLOS BARROSO - 901</t>
  </si>
  <si>
    <t>OMO3002</t>
  </si>
  <si>
    <t>EDIVALDO DOS SANTOS SOUZA</t>
  </si>
  <si>
    <t>EDIVALDO DOS SANTOS SOUZA - 905</t>
  </si>
  <si>
    <t>ONJ1472</t>
  </si>
  <si>
    <t>GERALDO MAGELA DA COSTA</t>
  </si>
  <si>
    <t>GERALDO MAGELA DA COSTA - 906</t>
  </si>
  <si>
    <t>ONF6622</t>
  </si>
  <si>
    <t>RAIMUNDO FERNANDES RIBEIRO</t>
  </si>
  <si>
    <t>ONJ1222</t>
  </si>
  <si>
    <t>ARTMAN DA COSTA ROCHA</t>
  </si>
  <si>
    <t>ARTMAN DA COSTA ROCHA - 920</t>
  </si>
  <si>
    <t>ONQ6F39</t>
  </si>
  <si>
    <t>JAMES RIBEIRO TAVARES</t>
  </si>
  <si>
    <t>JAMES RIBEIRO TAVARES - 939</t>
  </si>
  <si>
    <t>OOC4I69</t>
  </si>
  <si>
    <t>VILMAR JOSE CAMILO</t>
  </si>
  <si>
    <t>VILMAR JOSE CAMILO - 948</t>
  </si>
  <si>
    <t>OOC4069</t>
  </si>
  <si>
    <t>IZALMIR RODRIGUES COELHO</t>
  </si>
  <si>
    <t>IZALMIR RODRIGUES COELHO - 958</t>
  </si>
  <si>
    <t>ONQ6409</t>
  </si>
  <si>
    <t>JOSE CARLOS DA SILVA</t>
  </si>
  <si>
    <t>JOSE CARLOS DA SILVA - 979</t>
  </si>
  <si>
    <t>PQA3683</t>
  </si>
  <si>
    <t>ZELIO ALVES DUARTE</t>
  </si>
  <si>
    <t>ZELIO ALVES DUARTE - 990</t>
  </si>
  <si>
    <t>OOC4709</t>
  </si>
  <si>
    <t>SEBASTIAO ROSA DA SILVA</t>
  </si>
  <si>
    <t>SEBASTIAO ROSA DA SILVA - 1006</t>
  </si>
  <si>
    <t>OOC4529</t>
  </si>
  <si>
    <t>CLOVIS MARQUES</t>
  </si>
  <si>
    <t>CLOVIS MARQUES - 1065</t>
  </si>
  <si>
    <t>PQS4686</t>
  </si>
  <si>
    <t>IEDO FERREIRA DE SOUSA</t>
  </si>
  <si>
    <t>IEDO FERREIRA DE SOUSA - 1071</t>
  </si>
  <si>
    <t>PQS4716</t>
  </si>
  <si>
    <t>VIRGILIO DE ARAUJO GUIMARAES JUNIOIR</t>
  </si>
  <si>
    <t>VIRGILIO DE ARAUJO GUIMARAES JUNIOIR - 1073</t>
  </si>
  <si>
    <t>PQS4766</t>
  </si>
  <si>
    <t>REINAN JOSE BORGES SOUSA</t>
  </si>
  <si>
    <t>REINAN JOSE BORGES SOUSA - 1075</t>
  </si>
  <si>
    <t>PQS4G36</t>
  </si>
  <si>
    <t>GENIVALDO ANTONIO DE SOUZA</t>
  </si>
  <si>
    <t>GENIVALDO ANTONIO DE SOUZA - 1082</t>
  </si>
  <si>
    <t>PQS4H06</t>
  </si>
  <si>
    <t>HORTENCIO DE OLIVEIRA VAZ</t>
  </si>
  <si>
    <t>HORTENCIO DE OLIVEIRA VAZ - 1087</t>
  </si>
  <si>
    <t>PQS4H46</t>
  </si>
  <si>
    <t>ADAIL DA SILVA DOS SANTOS</t>
  </si>
  <si>
    <t>ADAIL DA SILVA DOS SANTOS - 1103</t>
  </si>
  <si>
    <t>PQN2617</t>
  </si>
  <si>
    <t>JADILSON LIMA VIEIRA</t>
  </si>
  <si>
    <t>JADILSON LIMA VIEIRA - 1108</t>
  </si>
  <si>
    <t>PQN2627</t>
  </si>
  <si>
    <t>JUNIOR CARLOS DE OLIVEIRA</t>
  </si>
  <si>
    <t>JUNIOR CARLOS DE OLIVEIRA - 1118</t>
  </si>
  <si>
    <t>PQO8I17</t>
  </si>
  <si>
    <t>CLEITON ALENCAR DA ROCHA</t>
  </si>
  <si>
    <t>CLEITON ALENCAR DA ROCHA - 1146</t>
  </si>
  <si>
    <t>PQZ3754</t>
  </si>
  <si>
    <t>JOSE ROBERTO ROSA</t>
  </si>
  <si>
    <t>JOSE ROBERTO ROSA - 1156</t>
  </si>
  <si>
    <t>PQZ3814</t>
  </si>
  <si>
    <t>VALDO ANTONIO ALVES</t>
  </si>
  <si>
    <t>VALDO ANTONIO ALVES - 1157</t>
  </si>
  <si>
    <t>PQZ3I84</t>
  </si>
  <si>
    <t>EUGENIO PEREIRA DOS SANTOS</t>
  </si>
  <si>
    <t>PQZ3J34</t>
  </si>
  <si>
    <t>JOSE CARLOS FERREIRA</t>
  </si>
  <si>
    <t>JOSE CARLOS FERREIRA - 1202</t>
  </si>
  <si>
    <t>PQU6035</t>
  </si>
  <si>
    <t>FRANCISCO ALVES DA PAZ JUNIOR</t>
  </si>
  <si>
    <t>FRANCISCO ALVES DA PAZ JUNIOR - 1247</t>
  </si>
  <si>
    <t>PQZ3I54</t>
  </si>
  <si>
    <t>RICHARD SOUSA DA SILVA</t>
  </si>
  <si>
    <t>RICHARD SOUSA DA SILVA - 1271</t>
  </si>
  <si>
    <t>PQV1596</t>
  </si>
  <si>
    <t>WALDEMAR PEREIRA DE SOUSA FILHO</t>
  </si>
  <si>
    <t>WALDEMAR PEREIRA DE SOUSA FILHO - 1278</t>
  </si>
  <si>
    <t>PQV1726</t>
  </si>
  <si>
    <t>LAZARO DOS REIS SILVA</t>
  </si>
  <si>
    <t>LAZARO DOS REIS SILVA - 1338</t>
  </si>
  <si>
    <t>PQV1806</t>
  </si>
  <si>
    <t>JUSCELINO PIRES GONCALVES</t>
  </si>
  <si>
    <t>JUSCELINO PIRES GONCALVES - 1343</t>
  </si>
  <si>
    <t>PQU2E97</t>
  </si>
  <si>
    <t>MARCOS ATAIDE SILVA</t>
  </si>
  <si>
    <t>PRG8A81</t>
  </si>
  <si>
    <t>JOSE PEDRO DA SILVA FREITAS</t>
  </si>
  <si>
    <t>JOSE PEDRO DA SILVA FREITAS - 1357</t>
  </si>
  <si>
    <t>PRG8051</t>
  </si>
  <si>
    <t>GERALDO DE OLIVEIRA GOMES</t>
  </si>
  <si>
    <t>GERALDO DE OLIVEIRA GOMES - 1360</t>
  </si>
  <si>
    <t>PRG7581</t>
  </si>
  <si>
    <t>VALDIR ALVES MIRANDA</t>
  </si>
  <si>
    <t>VALDIR ALVES MIRANDA - 1364</t>
  </si>
  <si>
    <t>PRH6E21</t>
  </si>
  <si>
    <t>WILSON FERREIRA DE JESUS</t>
  </si>
  <si>
    <t>WILSON FERREIRA DE JESUS - 1407</t>
  </si>
  <si>
    <t>PRH7721</t>
  </si>
  <si>
    <t>JOAO BATISTA DA SILVA</t>
  </si>
  <si>
    <t>PRG9781</t>
  </si>
  <si>
    <t>JOSE NUNES DE PAULA</t>
  </si>
  <si>
    <t>JOSE NUNES DE PAULA - 1413</t>
  </si>
  <si>
    <t>PRG9761</t>
  </si>
  <si>
    <t>JOSE POLICARPO DE SOUSA NETO</t>
  </si>
  <si>
    <t>PRH9681</t>
  </si>
  <si>
    <t>ROBERTO SILVA SANTOS</t>
  </si>
  <si>
    <t>ROBERTO SILVA SANTOS - 1480</t>
  </si>
  <si>
    <t>PRJ7I18</t>
  </si>
  <si>
    <t>PEDRO FRANCISCO DO CARMO</t>
  </si>
  <si>
    <t>PEDRO FRANCISCO DO CARMO - 1481</t>
  </si>
  <si>
    <t>PRJ7308</t>
  </si>
  <si>
    <t>FRANCISCO RODRIGUES DE OLIVEIRA</t>
  </si>
  <si>
    <t>FRANCISCO RODRIGUES DE OLIVEIRA - 1505</t>
  </si>
  <si>
    <t>PRK1218</t>
  </si>
  <si>
    <t>NILTON PEREIRA DE SOUSA</t>
  </si>
  <si>
    <t>NILTON PEREIRA DE SOUSA - 1508</t>
  </si>
  <si>
    <t>PRK6608</t>
  </si>
  <si>
    <t>PAULO MORAES DOS SANTOS</t>
  </si>
  <si>
    <t>PAULO MORAES DOS SANTOS - 1534</t>
  </si>
  <si>
    <t>PRJ7828</t>
  </si>
  <si>
    <t>FRANCISCO WILSON SOARES</t>
  </si>
  <si>
    <t>FRANCISCO WILSON SOARES - 1537</t>
  </si>
  <si>
    <t>PRK1C58</t>
  </si>
  <si>
    <t>WEBER SOUSA DE OLIVEIRA</t>
  </si>
  <si>
    <t>WEBER SOUSA DE OLIVEIRA - 1544</t>
  </si>
  <si>
    <t>PRK1B78</t>
  </si>
  <si>
    <t>WASHINGTON ALVES BRITO</t>
  </si>
  <si>
    <t>WASHINGTON ALVES BRITO - 1553</t>
  </si>
  <si>
    <t>PRK6658</t>
  </si>
  <si>
    <t>WENDER PEDRO DA SILVA</t>
  </si>
  <si>
    <t>PRK1318</t>
  </si>
  <si>
    <t>MARCELLO DE AGUIAR RAMOS</t>
  </si>
  <si>
    <t>MARCELLO DE AGUIAR RAMOS - 1597</t>
  </si>
  <si>
    <t>PRK6H28</t>
  </si>
  <si>
    <t>GRACILIANO CARVALHO DA SILVA</t>
  </si>
  <si>
    <t>GRACILIANO CARVALHO DA SILVA - 1603</t>
  </si>
  <si>
    <t>PRK1278</t>
  </si>
  <si>
    <t>REGINALDO ANTONIO CARDOSO</t>
  </si>
  <si>
    <t>REGINALDO ANTONIO CARDOSO - 1629</t>
  </si>
  <si>
    <t>PRK6678</t>
  </si>
  <si>
    <t>ANTONIO DIVINO DOS SANTOS</t>
  </si>
  <si>
    <t>ANTONIO DIVINO DOS SANTOS - 1637</t>
  </si>
  <si>
    <t>QTQ4614</t>
  </si>
  <si>
    <t>AILTON LEITE ORTIZ DE CAMARGO</t>
  </si>
  <si>
    <t>AILTON LEITE ORTIZ DE CAMARGO - 1642</t>
  </si>
  <si>
    <t>QTQ8254</t>
  </si>
  <si>
    <t>FRANCISCO MUNIZ DA SILVA NETO</t>
  </si>
  <si>
    <t>FRANCISCO MUNIZ DA SILVA NETO - 1667</t>
  </si>
  <si>
    <t>QTQ8294</t>
  </si>
  <si>
    <t>GLAYSSON RANGEL DE SOUSA LESSA</t>
  </si>
  <si>
    <t>GLAYSSON RANGEL DE SOUSA LESSA - 1679</t>
  </si>
  <si>
    <t>QTS2064</t>
  </si>
  <si>
    <t>EDIVALDO DOS SANTOS DE LIMA</t>
  </si>
  <si>
    <t>EDIVALDO DOS SANTOS DE LIMA - 1686</t>
  </si>
  <si>
    <t>QTQ4724</t>
  </si>
  <si>
    <t>WILMAR FELIPE DE SOUSA</t>
  </si>
  <si>
    <t>WILMAR FELIPE DE SOUSA - 1695</t>
  </si>
  <si>
    <t>QTO8637</t>
  </si>
  <si>
    <t>SINVALDO RAMOS DE FREITAS</t>
  </si>
  <si>
    <t>SINVALDO RAMOS DE FREITAS - 1697</t>
  </si>
  <si>
    <t>QTP0317</t>
  </si>
  <si>
    <t>ANTONIO FILHO DA ROCHA ARAUJO</t>
  </si>
  <si>
    <t>ANTONIO FILHO DA ROCHA ARAUJO - 1703</t>
  </si>
  <si>
    <t>QTS0484</t>
  </si>
  <si>
    <t>RONALDO ANTONIO DE SOUZA SANTOS</t>
  </si>
  <si>
    <t>RONALDO ANTONIO DE SOUZA SANTOS - 1719</t>
  </si>
  <si>
    <t>QTS0594</t>
  </si>
  <si>
    <t>BERNARDO SOUZA LIMA</t>
  </si>
  <si>
    <t>BERNARDO SOUZA LIMA - 1720</t>
  </si>
  <si>
    <t>QTO8077</t>
  </si>
  <si>
    <t>REMITON COELHO VIEIRA</t>
  </si>
  <si>
    <t>REMITON COELHO VIEIRA - 1721</t>
  </si>
  <si>
    <t>QTS1854</t>
  </si>
  <si>
    <t>ANTONIO MARQUES NETO DOS SANTOS</t>
  </si>
  <si>
    <t>QTP0277</t>
  </si>
  <si>
    <t>LINDOMAR GOMES CARVALHO</t>
  </si>
  <si>
    <t>LINDOMAR GOMES CARVALHO - 1741</t>
  </si>
  <si>
    <t>QTR8894</t>
  </si>
  <si>
    <t>ALCENILDE BARBOSA ARAUJO</t>
  </si>
  <si>
    <t>ALCENILDE BARBOSA ARAUJO - 1745</t>
  </si>
  <si>
    <t>QTS1814</t>
  </si>
  <si>
    <t>ESIEL COSTA RODRIGUES</t>
  </si>
  <si>
    <t>QTS1804</t>
  </si>
  <si>
    <t>FRANCISCO MARINHO PEREIRA</t>
  </si>
  <si>
    <t>FRANCISCO MARINHO PEREIRA - 1750</t>
  </si>
  <si>
    <t>QTS0D94</t>
  </si>
  <si>
    <t>NELIO ALENCAR DOS SANTOS</t>
  </si>
  <si>
    <t>NELIO ALENCAR DOS SANTOS - 1759</t>
  </si>
  <si>
    <t>QTS2054</t>
  </si>
  <si>
    <t>WILMAR JOSE DE SOUZA</t>
  </si>
  <si>
    <t>WILMAR JOSE DE SOUZA - 1763</t>
  </si>
  <si>
    <t>QTS0454</t>
  </si>
  <si>
    <t>JULIO EDER NERES DA SILVA</t>
  </si>
  <si>
    <t>JULIO EDER NERES DA SILVA - 1767</t>
  </si>
  <si>
    <t>QTS2044</t>
  </si>
  <si>
    <t>ANTONIO JOSE PEREIRA SOARES</t>
  </si>
  <si>
    <t>ANTONIO JOSE PEREIRA SOARES - 1774</t>
  </si>
  <si>
    <t>QTR7967</t>
  </si>
  <si>
    <t>LUCIANO ANTONIO RIBEIRO</t>
  </si>
  <si>
    <t>LUCIANO ANTONIO RIBEIRO - 1797</t>
  </si>
  <si>
    <t>QTR5657</t>
  </si>
  <si>
    <t>ROGERIO PEREIRA DE CASTRO</t>
  </si>
  <si>
    <t>ROGERIO PEREIRA DE CASTRO - 1803</t>
  </si>
  <si>
    <t>QTN6D88</t>
  </si>
  <si>
    <t>JOAO BATISTA DA SILVA - 1823</t>
  </si>
  <si>
    <t>QTP1I89</t>
  </si>
  <si>
    <t>FRANCISCO BATISTA DE LIMA</t>
  </si>
  <si>
    <t>FRANCISCO BATISTA DE LIMA - 1827</t>
  </si>
  <si>
    <t>QTP1769</t>
  </si>
  <si>
    <t>VALDECY ALVES SARAIVA</t>
  </si>
  <si>
    <t>VALDECY ALVES SARAIVA - 1831</t>
  </si>
  <si>
    <t>QTP1I59</t>
  </si>
  <si>
    <t>MANOEL MESSIAS SILVA DOS SANTOS</t>
  </si>
  <si>
    <t>QTQ2G59</t>
  </si>
  <si>
    <t>JEFERSON NASCIMENTO MESQUITA</t>
  </si>
  <si>
    <t>JEFERSON NASCIMENTO MESQUITA - 1893</t>
  </si>
  <si>
    <t>RBK8938</t>
  </si>
  <si>
    <t>RAIMUNDO GUIMARAES ARAUJO</t>
  </si>
  <si>
    <t>RBK8978</t>
  </si>
  <si>
    <t>JOSE CARLOS MILHOMEM DA SILVA</t>
  </si>
  <si>
    <t>JOSE CARLOS MILHOMEM DA SILVA - 1923</t>
  </si>
  <si>
    <t>RBN5328</t>
  </si>
  <si>
    <t>GILDEVAN DE ALMEIDA AGOSTINHO</t>
  </si>
  <si>
    <t>RBN3698</t>
  </si>
  <si>
    <t>RAIMUNDO SOUZA</t>
  </si>
  <si>
    <t>RAIMUNDO SOUZA - 1926</t>
  </si>
  <si>
    <t>ONX4J84</t>
  </si>
  <si>
    <t>JOSE ETERNO DAVID DOS SANTOS</t>
  </si>
  <si>
    <t>JOSE ETERNO DAVID DOS SANTOS - 1930</t>
  </si>
  <si>
    <t>ONZ2294</t>
  </si>
  <si>
    <t>RONALDO PEREIRA DOS SANTOS</t>
  </si>
  <si>
    <t>RONALDO PEREIRA DOS SANTOS - 1935</t>
  </si>
  <si>
    <t>OMK1C21</t>
  </si>
  <si>
    <t>FRANCISCO EDIS SALES BEZERRA</t>
  </si>
  <si>
    <t>FRANCISCO EDIS SALES BEZERRA - 1939</t>
  </si>
  <si>
    <t>ONO2A12</t>
  </si>
  <si>
    <t>ADALTON ALMEIDA DE SOUZA</t>
  </si>
  <si>
    <t>ADALTON ALMEIDA DE SOUZA - 1941</t>
  </si>
  <si>
    <t>OND1J74</t>
  </si>
  <si>
    <t>ADAO VALADARES DE MATOS</t>
  </si>
  <si>
    <t>ADAO VALADARES DE MATOS - 1942</t>
  </si>
  <si>
    <t>ONI1C51</t>
  </si>
  <si>
    <t>DIVINO FERREIRA DA SILVA</t>
  </si>
  <si>
    <t>DIVINO FERREIRA DA SILVA - 1946</t>
  </si>
  <si>
    <t>RBV8A97</t>
  </si>
  <si>
    <t>DJALMA SOARES GUIMARAES</t>
  </si>
  <si>
    <t>DJALMA SOARES GUIMARAES - 1948</t>
  </si>
  <si>
    <t>RBY4C67</t>
  </si>
  <si>
    <t>EURIPEDES BARSANULFO DIAS ROSA</t>
  </si>
  <si>
    <t>EURIPEDES BARSANULFO DIAS ROSA - 1951</t>
  </si>
  <si>
    <t>RBV8B67</t>
  </si>
  <si>
    <t>GENIVAL MIRANDA LEITE</t>
  </si>
  <si>
    <t>GENIVAL MIRANDA LEITE - 1953</t>
  </si>
  <si>
    <t>RBU3F27</t>
  </si>
  <si>
    <t>LUIZ CARLOS DE ARAUJO</t>
  </si>
  <si>
    <t>LUIZ CARLOS DE ARAUJO - 1960</t>
  </si>
  <si>
    <t>RBU3F47</t>
  </si>
  <si>
    <t>LUIZ CARLOS GOMES DA SILVA</t>
  </si>
  <si>
    <t>LUIZ CARLOS GOMES DA SILVA - 1961</t>
  </si>
  <si>
    <t>RBU3B77</t>
  </si>
  <si>
    <t>VALTER ALVES BORBA</t>
  </si>
  <si>
    <t>VALTER ALVES BORBA - 1971</t>
  </si>
  <si>
    <t>RBV3I37</t>
  </si>
  <si>
    <t>FABIO ROGERIO PINTO</t>
  </si>
  <si>
    <t>FABIO ROGERIO PINTO - 1974</t>
  </si>
  <si>
    <t>RBV3F77</t>
  </si>
  <si>
    <t>PAULO FERNANDES GUIMARAES</t>
  </si>
  <si>
    <t>PAULO FERNANDES GUIMARAES - 2015</t>
  </si>
  <si>
    <t>RBV3I77</t>
  </si>
  <si>
    <t>ISAIAS TEODORO ALVES</t>
  </si>
  <si>
    <t>ISAIAS TEODORO ALVES - 2019</t>
  </si>
  <si>
    <t>RBV3H87</t>
  </si>
  <si>
    <t>WILLIAN DE SOUZA BANDEIRA</t>
  </si>
  <si>
    <t>RBV3G47</t>
  </si>
  <si>
    <t>SAMUEL PORTO MACEDO</t>
  </si>
  <si>
    <t>SAMUEL PORTO MACEDO - 2030</t>
  </si>
  <si>
    <t>RBV8B87</t>
  </si>
  <si>
    <t>ADAIR VIEIRA DA SILVA</t>
  </si>
  <si>
    <t>ADAIR VIEIRA DA SILVA - 2034</t>
  </si>
  <si>
    <t>RBW2G07</t>
  </si>
  <si>
    <t>KLEITON CAETANO DOS PASSOS</t>
  </si>
  <si>
    <t>KLEITON CAETANO DOS PASSOS - 2035</t>
  </si>
  <si>
    <t>RBW2E07</t>
  </si>
  <si>
    <t>ANDREZITO DE JESUS DOS SANTOS</t>
  </si>
  <si>
    <t>ANDREZITO DE JESUS DOS SANTOS - 2041</t>
  </si>
  <si>
    <t>RBW2D97</t>
  </si>
  <si>
    <t>MARCELO RIZO SANTANA</t>
  </si>
  <si>
    <t>MARCELO RIZO SANTANA - 2048</t>
  </si>
  <si>
    <t>RBW2D77</t>
  </si>
  <si>
    <t>VILMAR BATISTA DE SOUZA</t>
  </si>
  <si>
    <t>VILMAR BATISTA DE SOUZA - 2050</t>
  </si>
  <si>
    <t>OGT8A57</t>
  </si>
  <si>
    <t>SILVANIO PEREIRA DOS SANTOS</t>
  </si>
  <si>
    <t>SILVANIO PEREIRA DOS SANTOS - 2055</t>
  </si>
  <si>
    <t>OMW9F53</t>
  </si>
  <si>
    <t>ELLISMARCLEY GUILHERME DA SILVA</t>
  </si>
  <si>
    <t>ELLISMARCLEY GUILHERME DA SILVA - 2058</t>
  </si>
  <si>
    <t>SPE0F17</t>
  </si>
  <si>
    <t>WEDISLEY MOREIRA DOS SANTOS</t>
  </si>
  <si>
    <t>WEDISLEY MOREIRA DOS SANTOS - 2059</t>
  </si>
  <si>
    <t>SD02J77</t>
  </si>
  <si>
    <t>LUCINALDO JOSE DOS SANTOS</t>
  </si>
  <si>
    <t>LUCINALDO JOSE DOS SANTOS - 2142</t>
  </si>
  <si>
    <t>SDO0E97</t>
  </si>
  <si>
    <t>EGIDIO JOSE FERREIRA NETO</t>
  </si>
  <si>
    <t>EGIDIO JOSE FERREIRA NETO - 2147</t>
  </si>
  <si>
    <t>SDK9H07</t>
  </si>
  <si>
    <t>LEANDRO DE OLIVEIRA MELO</t>
  </si>
  <si>
    <t>SDJ8I27</t>
  </si>
  <si>
    <t>WESCLEY GUANABARA BATISTA DE ABREU</t>
  </si>
  <si>
    <t>WESCLEY GUANABARA BATISTA DE ABREU - 2216</t>
  </si>
  <si>
    <t>SDN7G87</t>
  </si>
  <si>
    <t>VILMAR ROQUE DE SOUZA</t>
  </si>
  <si>
    <t>VILMAR ROQUE DE SOUZA - 2243</t>
  </si>
  <si>
    <t>SDL0B08</t>
  </si>
  <si>
    <t>CARDECIO SANTANA FERREIRA</t>
  </si>
  <si>
    <t>CARDECIO SANTANA FERREIRA - 2253</t>
  </si>
  <si>
    <t>SDN1J31</t>
  </si>
  <si>
    <t>VALDINILSON CAVALCANTE NASCIMENTO</t>
  </si>
  <si>
    <t>VALDINILSON CAVALCANTE NASCIMENTO - 2268</t>
  </si>
  <si>
    <t>SDI1J61</t>
  </si>
  <si>
    <t>WELINGTON SILVA RODRIGUES</t>
  </si>
  <si>
    <t>WELINGTON SILVA RODRIGUES - 2274</t>
  </si>
  <si>
    <t>SDK1D31</t>
  </si>
  <si>
    <t>ENOQUE XAVIER</t>
  </si>
  <si>
    <t>ENOQUE XAVIER - 2356</t>
  </si>
  <si>
    <t>SDI3B11</t>
  </si>
  <si>
    <t>VALTER MARCIEL BARROS BRITO</t>
  </si>
  <si>
    <t>VALTER MARCIEL BARROS BRITO - 2360</t>
  </si>
  <si>
    <t>SDM1A01</t>
  </si>
  <si>
    <t>IVAN ANTONIO BOMBARDA</t>
  </si>
  <si>
    <t>IVAN ANTONIO BOMBARDA - 2361</t>
  </si>
  <si>
    <t>SDN8I83</t>
  </si>
  <si>
    <t>RENATO ROSENDO PEREIRA</t>
  </si>
  <si>
    <t>RENATO ROSENDO PEREIRA - 2370</t>
  </si>
  <si>
    <t>SDM5F33</t>
  </si>
  <si>
    <t>MARCUS AUGUSTO DE CARVALHO</t>
  </si>
  <si>
    <t>MARCUS AUGUSTO DE CARVALHO - 2398</t>
  </si>
  <si>
    <t>SDO6A03</t>
  </si>
  <si>
    <t>RICARDO CESAR PEREIRA DA SILVA</t>
  </si>
  <si>
    <t>RICARDO CESAR PEREIRA DA SILVA - 2410</t>
  </si>
  <si>
    <t>TGI3I15</t>
  </si>
  <si>
    <t>EDMUNDO DOMINGO DOS SANTOS</t>
  </si>
  <si>
    <t>EDMUNDO DOMINGO DOS SANTOS - 2428</t>
  </si>
  <si>
    <t>TFS5B85</t>
  </si>
  <si>
    <t>SANDRO DE OLIVEIRA LIMA</t>
  </si>
  <si>
    <t>SANDRO DE OLIVEIRA LIMA - 2431</t>
  </si>
  <si>
    <t>TFO8F35</t>
  </si>
  <si>
    <t>SEBASTIAO JOSE XAVIER</t>
  </si>
  <si>
    <t>SEBASTIAO JOSE XAVIER - 2433</t>
  </si>
  <si>
    <t>TFZ6H15</t>
  </si>
  <si>
    <t>SEBASTIAO SILVA DO NASCIMENTO</t>
  </si>
  <si>
    <t>SEBASTIAO SILVA DO NASCIMENTO - 2438</t>
  </si>
  <si>
    <t>SCS9G39</t>
  </si>
  <si>
    <t>VALDIVINO VIEIRA DE OLIVEIRA</t>
  </si>
  <si>
    <t>VALDIVINO VIEIRA DE OLIVEIRA - 2446</t>
  </si>
  <si>
    <t>SCU3F69</t>
  </si>
  <si>
    <t>WESLEI PEREIRA DE MOURA</t>
  </si>
  <si>
    <t>WESLEI PEREIRA DE MOURA - 2449</t>
  </si>
  <si>
    <t>URCELY MARCAL ARAUJO</t>
  </si>
  <si>
    <t>URCELY MARCAL ARAUJO - 2450</t>
  </si>
  <si>
    <t>SDH1J19</t>
  </si>
  <si>
    <t>SERGIO FERNANDO DE MOURA</t>
  </si>
  <si>
    <t>SERGIO FERNANDO DE MOURA - 2455</t>
  </si>
  <si>
    <t>ZAILON DANTAS DA SILVA</t>
  </si>
  <si>
    <t>ZAILON DANTAS DA SILVA - 2459</t>
  </si>
  <si>
    <t>PPQ3E66</t>
  </si>
  <si>
    <t>SILVANIO NOGUEIRA DE SOUSA</t>
  </si>
  <si>
    <t>SILVANIO NOGUEIRA DE SOUSA - 2493</t>
  </si>
  <si>
    <t>QOR4938</t>
  </si>
  <si>
    <t>SIRLON DE OLIVEIRA BRITO</t>
  </si>
  <si>
    <t>SIRLON DE OLIVEIRA BRITO - 2497</t>
  </si>
  <si>
    <t>SPC9D25</t>
  </si>
  <si>
    <t>THIAGO JOSE TEIXEIRA</t>
  </si>
  <si>
    <t>THIAGO JOSE TEIXEIRA - 2502</t>
  </si>
  <si>
    <t>SPC9D35</t>
  </si>
  <si>
    <t>WESLEY DE PAULA ALBERNAZ</t>
  </si>
  <si>
    <t>WESLEY DE PAULA ALBERNAZ - 2504</t>
  </si>
  <si>
    <t>28 - S10 GYN</t>
  </si>
  <si>
    <t>PQX3D14</t>
  </si>
  <si>
    <t>VALTAIR PEREIRA TAVARES</t>
  </si>
  <si>
    <t>VALTAIR PEREIRA TAVARES - 2510</t>
  </si>
  <si>
    <t>31 - STRADA CBA</t>
  </si>
  <si>
    <t>NKZ8B87</t>
  </si>
  <si>
    <t>LUIZ ODETE BATISTA FLOZ</t>
  </si>
  <si>
    <t>LUIZ ODETE BATISTA FLOZ - 2511</t>
  </si>
  <si>
    <t xml:space="preserve">AG 2342 </t>
  </si>
  <si>
    <t>RRX1E53</t>
  </si>
  <si>
    <t>VALDEONE CLEMENTE DOS SANTOS</t>
  </si>
  <si>
    <t>VALDEONE CLEMENTE DOS SANTOS - 2513</t>
  </si>
  <si>
    <t>AG-65</t>
  </si>
  <si>
    <t>PRP6E96</t>
  </si>
  <si>
    <t>VALDINEY DA SILVA SANTOS</t>
  </si>
  <si>
    <t>VALDINEY DA SILVA SANTOS - 2530</t>
  </si>
  <si>
    <t>AG-66</t>
  </si>
  <si>
    <t>PRP6D56</t>
  </si>
  <si>
    <t>RONALDO MANOEL TEIXEIRA</t>
  </si>
  <si>
    <t>RONALDO MANOEL TEIXEIRA - 2541</t>
  </si>
  <si>
    <t>AG-67</t>
  </si>
  <si>
    <t>AG67</t>
  </si>
  <si>
    <t>IDEIR BISPO DE SANTANA</t>
  </si>
  <si>
    <t>IDEIR BISPO DE SANTANA - 2543</t>
  </si>
  <si>
    <t>Automatico [915601]</t>
  </si>
  <si>
    <t>DIVINO SILVA DO NASCIMENTO</t>
  </si>
  <si>
    <t>DIVINO SILVA DO NASCIMENTO - 2544</t>
  </si>
  <si>
    <t>Automatico [ABC1235]</t>
  </si>
  <si>
    <t>ABC1235</t>
  </si>
  <si>
    <t>SOLANO DIAS FONSECA</t>
  </si>
  <si>
    <t>SOLANO DIAS FONSECA - 2551</t>
  </si>
  <si>
    <t>Automatico [QTQ7224]</t>
  </si>
  <si>
    <t>QTQ7224</t>
  </si>
  <si>
    <t>PEDRO PAULO DO NASCIMENTO DO CARMO</t>
  </si>
  <si>
    <t>PEDRO PAULO DO NASCIMENTO DO CARMO - 2559</t>
  </si>
  <si>
    <t>Caminhão Cargas GYN - 5</t>
  </si>
  <si>
    <t>QTR9931</t>
  </si>
  <si>
    <t>WALABY DE SOUSA BATISTA</t>
  </si>
  <si>
    <t>WALABY DE SOUSA BATISTA - 2584</t>
  </si>
  <si>
    <t>Ducato Cargas GYN - 6</t>
  </si>
  <si>
    <t>SDC3B39</t>
  </si>
  <si>
    <t>VALDEY OLIVEIRA ARAUJO</t>
  </si>
  <si>
    <t>VALDEY OLIVEIRA ARAUJO - 2587</t>
  </si>
  <si>
    <t>Fiorino Belém - RUZ2A68</t>
  </si>
  <si>
    <t>RUZ2A68</t>
  </si>
  <si>
    <t>VALDOMIRO DOS SANTOS BARBOSA</t>
  </si>
  <si>
    <t>VALDOMIRO DOS SANTOS BARBOSA - 2602</t>
  </si>
  <si>
    <t>Fiorino Goiânia - RUK7H27</t>
  </si>
  <si>
    <t>RUK7H27</t>
  </si>
  <si>
    <t>JOSE NILTON DA SILVA LIMA</t>
  </si>
  <si>
    <t>JOSE NILTON DA SILVA LIMA - 2627</t>
  </si>
  <si>
    <t>OHT8A57</t>
  </si>
  <si>
    <t>JOSE MANOEL DE MEDEIROS</t>
  </si>
  <si>
    <t>JOSE MANOEL DE MEDEIROS - 2629</t>
  </si>
  <si>
    <t>ONQ6E09</t>
  </si>
  <si>
    <t>ANDRE SOUSA REIS</t>
  </si>
  <si>
    <t>ANDRE SOUSA REIS - 2644</t>
  </si>
  <si>
    <t>OOC4A69</t>
  </si>
  <si>
    <t>ELIEZIO JOSE DOS SANTOS</t>
  </si>
  <si>
    <t>ELIEZIO JOSE DOS SANTOS - 2645</t>
  </si>
  <si>
    <t>P36 - RRJ8A63</t>
  </si>
  <si>
    <t>RRJ8A63</t>
  </si>
  <si>
    <t>EDINANDES LUIZ DA SILVA</t>
  </si>
  <si>
    <t>EDINANDES LUIZ DA SILVA - 2651</t>
  </si>
  <si>
    <t>P40 - RRY0J62</t>
  </si>
  <si>
    <t>RRY0J62</t>
  </si>
  <si>
    <t>ANTONIO SOUSA CORTE</t>
  </si>
  <si>
    <t>ANTONIO SOUSA CORTE - 2652</t>
  </si>
  <si>
    <t>PGN2G27</t>
  </si>
  <si>
    <t>BENITO FREIRE DE CARVALHO</t>
  </si>
  <si>
    <t>BENITO FREIRE DE CARVALHO - 2652</t>
  </si>
  <si>
    <t>PQV1F96</t>
  </si>
  <si>
    <t>HERMENEGILDO JOSE LEITE DE BRITO NETO</t>
  </si>
  <si>
    <t>HERMENEGILDO JOSE LEITE DE BRITO NETO - 2653</t>
  </si>
  <si>
    <t>PQZ3H54</t>
  </si>
  <si>
    <t>ADMILSON BRAGA ALVES</t>
  </si>
  <si>
    <t>ADMILSON BRAGA ALVES - 2656</t>
  </si>
  <si>
    <t>PQZ3I14</t>
  </si>
  <si>
    <t>ADAILTON DA SILVA RODRIGUES MENDONCA</t>
  </si>
  <si>
    <t>ADAILTON DA SILVA RODRIGUES MENDONCA - 2662</t>
  </si>
  <si>
    <t>QTO8A77</t>
  </si>
  <si>
    <t>WEDISLEY MOREIRA DOS SANTOS - 2667</t>
  </si>
  <si>
    <t>QTQ4G14</t>
  </si>
  <si>
    <t>FABIO AMORIM ROCHA</t>
  </si>
  <si>
    <t>FABIO AMORIM ROCHA - 2670</t>
  </si>
  <si>
    <t>QTS1I54</t>
  </si>
  <si>
    <t>JOSE CARLOS CAIXETA</t>
  </si>
  <si>
    <t>JOSE CARLOS CAIXETA - 2673</t>
  </si>
  <si>
    <t>STRADA 01</t>
  </si>
  <si>
    <t>SCE5J29</t>
  </si>
  <si>
    <t>JOSE BRAZ FILHO</t>
  </si>
  <si>
    <t>JOSE BRAZ FILHO - 2676</t>
  </si>
  <si>
    <t>EDUARDO ANTONIO DA SILVA</t>
  </si>
  <si>
    <t>EDUARDO ANTONIO DA SILVA - 2678</t>
  </si>
  <si>
    <t>JOSE CARLOS FERREIRA VAZ</t>
  </si>
  <si>
    <t>JOSE CARLOS FERREIRA VAZ - 2680</t>
  </si>
  <si>
    <t>NEURI BISPO DA SILVA</t>
  </si>
  <si>
    <t>NEURI BISPO DA SILVA - 2682</t>
  </si>
  <si>
    <t>JUSSIMAR DE FARIAS CAMPOS</t>
  </si>
  <si>
    <t>JUSSIMAR DE FARIAS CAMPOS - 2687</t>
  </si>
  <si>
    <t>ESLEI LOPES CHAVES</t>
  </si>
  <si>
    <t>ESLEI LOPES CHAVES - 2689</t>
  </si>
  <si>
    <t>SILVANIO ANTONIO RODRIGUES</t>
  </si>
  <si>
    <t>SILVANIO ANTONIO RODRIGUES - 2695</t>
  </si>
  <si>
    <t>AYALLA DA SILVA OLIVEIRA</t>
  </si>
  <si>
    <t>AYALLA DA SILVA OLIVEIRA - 2721</t>
  </si>
  <si>
    <t>VANDERSON GURGEL DO AMARAL</t>
  </si>
  <si>
    <t>VANDERSON GURGEL DO AMARAL - 2734</t>
  </si>
  <si>
    <t>SEBASTIAO JAELSON LIMA MENDES</t>
  </si>
  <si>
    <t>SEBASTIAO JAELSON LIMA MENDES - 2735</t>
  </si>
  <si>
    <t>RENATO ROSENDO PEREIRA - 2737</t>
  </si>
  <si>
    <t>RODRIGO MANOEL CANDIDO SILVA</t>
  </si>
  <si>
    <t>RODRIGO MANOEL CANDIDO SILVA - 2744</t>
  </si>
  <si>
    <t>SOLENI APARECIDO</t>
  </si>
  <si>
    <t>SOLENI APARECIDO - 2747</t>
  </si>
  <si>
    <t>THIAGO VIEIRA SANTANA</t>
  </si>
  <si>
    <t>THIAGO VIEIRA SANTANA - 2758</t>
  </si>
  <si>
    <t>JOSE MARIA DA SILVA</t>
  </si>
  <si>
    <t>JOSE MARIA DA SILVA - 2760</t>
  </si>
  <si>
    <t>ROBSON DOS SANTOS PONTES</t>
  </si>
  <si>
    <t>ROBSON DOS SANTOS PONTES - 2763</t>
  </si>
  <si>
    <t>SEBASTIAO SERGIO DE OLIVEIRA</t>
  </si>
  <si>
    <t>SEBASTIAO SERGIO DE OLIVEIRA - 2776</t>
  </si>
  <si>
    <t>CARLOS ALBERTO DE LIMA</t>
  </si>
  <si>
    <t>CARLOS ALBERTO DE LIMA - 2777</t>
  </si>
  <si>
    <t>EURIDES ELIEZER CORREIA</t>
  </si>
  <si>
    <t>EURIDES ELIEZER CORREIA - 2778</t>
  </si>
  <si>
    <t>GILMAR MARTINS DA SILVA</t>
  </si>
  <si>
    <t>GILMAR MARTINS DA SILVA - 2784</t>
  </si>
  <si>
    <t>FERNANDO ALVES DE SOUZA</t>
  </si>
  <si>
    <t>FERNANDO ALVES DE SOUZA - 2787</t>
  </si>
  <si>
    <t>LUIS ANTONIO FARIAS RIBEIRO</t>
  </si>
  <si>
    <t>LUIS ANTONIO FARIAS RIBEIRO - 2789</t>
  </si>
  <si>
    <t>VALDEY OLIVEIRA ARAUJO - 2790</t>
  </si>
  <si>
    <t>VALDINILSON CAVALCANTE NASCIMENTO - 2793</t>
  </si>
  <si>
    <t>ANDREILSON ALVES DE CARVALHO</t>
  </si>
  <si>
    <t>ANDREILSON ALVES DE CARVALHO - 2795</t>
  </si>
  <si>
    <t>GERSON PEREIRA ALVES</t>
  </si>
  <si>
    <t>GERSON PEREIRA ALVES - 2837</t>
  </si>
  <si>
    <t>VALDIR NUNES DA SILVA</t>
  </si>
  <si>
    <t>VALDIR NUNES DA SILVA - 2841</t>
  </si>
  <si>
    <t>RONALDO CLEBIS SOUSA SANTOS</t>
  </si>
  <si>
    <t>RONALDO CLEBIS SOUSA SANTOS - 2879</t>
  </si>
  <si>
    <t>MERVAL DE SOUSA</t>
  </si>
  <si>
    <t>MERVAL DE SOUSA - 2880</t>
  </si>
  <si>
    <t>ERASMO CARLOS PEREIRA DA SILVA</t>
  </si>
  <si>
    <t>ERASMO CARLOS PEREIRA DA SILVA - 2881</t>
  </si>
  <si>
    <t>ANDSON WAGNER NASCIMENTO SOUZA</t>
  </si>
  <si>
    <t>ANDSON WAGNER NASCIMENTO SOUZA - 2902</t>
  </si>
  <si>
    <t>VICENTE ALVES DOS SANTOS</t>
  </si>
  <si>
    <t>VICENTE ALVES DOS SANTOS - 2908</t>
  </si>
  <si>
    <t>CARLOS SILVA GOMES</t>
  </si>
  <si>
    <t>CARLOS SILVA GOMES - 2911</t>
  </si>
  <si>
    <t>ALFREDO CUNHA SILVA</t>
  </si>
  <si>
    <t>ALFREDO CUNHA SILVA - 2918</t>
  </si>
  <si>
    <t>ANTONIO VALDIR DE OLIVEIRA</t>
  </si>
  <si>
    <t>ANTONIO VALDIR DE OLIVEIRA - 2956</t>
  </si>
  <si>
    <t>CLEIDEMARCIO CORDEIRO DA SILVA PINHEIRO</t>
  </si>
  <si>
    <t>CLEIDEMARCIO CORDEIRO DA SILVA PINHEIRO - 2961</t>
  </si>
  <si>
    <t>RINALDO GARCIA DE JESUS</t>
  </si>
  <si>
    <t>RINALDO GARCIA DE JESUS - 2964</t>
  </si>
  <si>
    <t>REGISMAR ANTONIO TEODORO DA COSTA</t>
  </si>
  <si>
    <t>REGISMAR ANTONIO TEODORO DA COSTA - 2966</t>
  </si>
  <si>
    <t>ELIEL SANTOS RODRIGUES</t>
  </si>
  <si>
    <t>ELIEL SANTOS RODRIGUES - 2968</t>
  </si>
  <si>
    <t>CLAUDIOMAR ALENCAR DO NASCIMENTO</t>
  </si>
  <si>
    <t>CLAUDIOMAR ALENCAR DO NASCIMENTO - 2970</t>
  </si>
  <si>
    <t>FRANCISCO LINDONALDO DE SOUSA</t>
  </si>
  <si>
    <t>FRANCISCO LINDONALDO DE SOUSA - 2971</t>
  </si>
  <si>
    <t>NELCI BORGES CAETANO</t>
  </si>
  <si>
    <t>NELCI BORGES CAETANO - 2975</t>
  </si>
  <si>
    <t>JOAO DA SILVA MORAIS</t>
  </si>
  <si>
    <t>JOAO DA SILVA MORAIS - 2978</t>
  </si>
  <si>
    <t>URCELY MARCAL ARAUJO - 2981</t>
  </si>
  <si>
    <t>RONALDO MANOEL TEIXEIRA - 2983</t>
  </si>
  <si>
    <t>JOSE HAILTON PEREIRA DOS SANTOS</t>
  </si>
  <si>
    <t>JOSE HAILTON PEREIRA DOS SANTOS - 2984</t>
  </si>
  <si>
    <t>JOSE DA SILVA LIMA</t>
  </si>
  <si>
    <t>JOSE DA SILVA LIMA - 2985</t>
  </si>
  <si>
    <t>REGIVALDO LUIZ PRADO</t>
  </si>
  <si>
    <t>REGIVALDO LUIZ PRADO - 2986</t>
  </si>
  <si>
    <t>CLEOMAR ANTONIO SIMOES</t>
  </si>
  <si>
    <t>CLEOMAR ANTONIO SIMOES - 2988</t>
  </si>
  <si>
    <t>VALDIR NUNES DA SILVA - 2989</t>
  </si>
  <si>
    <t>SEBASTIAO APARECIDO MARINHO</t>
  </si>
  <si>
    <t>SEBASTIAO APARECIDO MARINHO - 2992</t>
  </si>
  <si>
    <t>RONILDO TEICEIRA DE ARAUJO</t>
  </si>
  <si>
    <t>RONILDO TEICEIRA DE ARAUJO - 2995</t>
  </si>
  <si>
    <t>JOSE ADENIL DA SILVA SANTANA</t>
  </si>
  <si>
    <t>JOSE ADENIL DA SILVA SANTANA - 2996</t>
  </si>
  <si>
    <t>DIVINO APARECIDO DE OLIVEIRA</t>
  </si>
  <si>
    <t>DIVINO APARECIDO DE OLIVEIRA - 2998</t>
  </si>
  <si>
    <t>JWEBISON DE BRITO SOUZA</t>
  </si>
  <si>
    <t>WENDEL VIEIRA DE SOUZA</t>
  </si>
  <si>
    <t>WENDEL VIEIRA DE SOUZA - 3000</t>
  </si>
  <si>
    <t>PEDRO DE CARVALHO SOUZA</t>
  </si>
  <si>
    <t>PEDRO DE CARVALHO SOUZA - 3001</t>
  </si>
  <si>
    <t>COSME CAVALCANTE DA SILVA</t>
  </si>
  <si>
    <t>VALTERSON ANTONIO CORREIA</t>
  </si>
  <si>
    <t>VALTERSON ANTONIO CORREIA - 3004</t>
  </si>
  <si>
    <t>VALTERSON ANTÓNIO CORREIA</t>
  </si>
  <si>
    <t>VALTERSON ANTÓNIO CORREIA - 3004</t>
  </si>
  <si>
    <t>SILVANIO ANTONIO RODRIGUES - 3006</t>
  </si>
  <si>
    <t>EDMILSON SOUSA LIMA</t>
  </si>
  <si>
    <t>EDMILSON SOUSA LIMA - 3007</t>
  </si>
  <si>
    <t>WALACCY CORREIA PACHECO</t>
  </si>
  <si>
    <t>WALACCY CORREIA PACHECO - 3008</t>
  </si>
  <si>
    <t>WELTON SOARES DE ARRUDA</t>
  </si>
  <si>
    <t>WELTON SOARES DE ARRUDA - 3012</t>
  </si>
  <si>
    <t>DARMITO MARINHO DE SOUSA</t>
  </si>
  <si>
    <t>DARMITO MARINHO DE SOUSA - 3022</t>
  </si>
  <si>
    <t>JESUS JOSE RODRIGUES</t>
  </si>
  <si>
    <t>JESUS JOSE RODRIGUES - 3023</t>
  </si>
  <si>
    <t>OSEIAS MOREIRA FERNANDES</t>
  </si>
  <si>
    <t>OSEIAS MOREIRA FERNANDES - 3025</t>
  </si>
  <si>
    <t>PAULO ALVES CARNEIRO</t>
  </si>
  <si>
    <t>PAULO ALVES CARNEIRO - 3026</t>
  </si>
  <si>
    <t>RONALDO ANDRÉ XAVIER</t>
  </si>
  <si>
    <t>RONALDO ANDRÉ XAVIER - 3031</t>
  </si>
  <si>
    <t>EDVALDO NEVES DE ABREU</t>
  </si>
  <si>
    <t>EDVALDO NEVES DE ABREU - 3032</t>
  </si>
  <si>
    <t>VALDOMIRO DE ABREU LUZ</t>
  </si>
  <si>
    <t>VALDOMIRO DE ABREU LUZ - 3033</t>
  </si>
  <si>
    <t>JOSE CARLOS BEZERRA DA SILVA</t>
  </si>
  <si>
    <t>JOSE CARLOS BEZERRA DA SILVA - 3034</t>
  </si>
  <si>
    <t>JOSENILTON FRANCISCO LIMA</t>
  </si>
  <si>
    <t>JOSENILTON FRANCISCO LIMA - 3037</t>
  </si>
  <si>
    <t>ALEXSANDRO CONSTANTINO</t>
  </si>
  <si>
    <t>ALEXSANDRO CONSTANTINO - 3054</t>
  </si>
  <si>
    <t>FRANCISCO DAS CHAGAS GOMES DE OLIVEIRA</t>
  </si>
  <si>
    <t>FRANCISCO DAS CHAGAS GOMES DE OLIVEIRA - 3058</t>
  </si>
  <si>
    <t>KLEBSON ALVES FREIRES</t>
  </si>
  <si>
    <t>KLEBSON ALVES FREIRES - 3060</t>
  </si>
  <si>
    <t>ALESSANDRO RODRIGUES BRAGA SILVA</t>
  </si>
  <si>
    <t>ALESSANDRO RODRIGUES BRAGA SILVA - 3066</t>
  </si>
  <si>
    <t>FABIO ISSLER FERREIRA</t>
  </si>
  <si>
    <t>FABIO ISSLER FERREIRA - 3067</t>
  </si>
  <si>
    <t>ANTONIO WAGNER DEMETRIO PEREIRA</t>
  </si>
  <si>
    <t>ANTONIO WAGNER DEMETRIO PEREIRA - 3069</t>
  </si>
  <si>
    <t>FRANCISCO ELIZALDO ALBUQUERQUE DA SILVA</t>
  </si>
  <si>
    <t>FRANCISCO ELIZALDO ALBUQUERQUE DA SILVA - 3070</t>
  </si>
  <si>
    <t>FABIO MOREIRA DOS SANTOS</t>
  </si>
  <si>
    <t>FABIO MOREIRA DOS SANTOS - 3073</t>
  </si>
  <si>
    <t>ANTONIO JACKS SILVA ARRAIZ</t>
  </si>
  <si>
    <t>ANTONIO JACKS SILVA ARRAIZ - 3074</t>
  </si>
  <si>
    <t>MARCOS ALEXANDRE SOUZA SILVA</t>
  </si>
  <si>
    <t>MARCOS ALEXANDRE SOUZA SILVA - 3075</t>
  </si>
  <si>
    <t>ARY MORAIS COSTA</t>
  </si>
  <si>
    <t>ARY MORAIS COSTA - 3076</t>
  </si>
  <si>
    <t>FELIPE MORAIS MELO</t>
  </si>
  <si>
    <t>SEBASTIAO SERGIO DE OLIVEIRA - 3079</t>
  </si>
  <si>
    <t>SEBASTIÃO SERGIO DE OLIVEIRA</t>
  </si>
  <si>
    <t>SEBASTIÃO SERGIO DE OLIVEIRA - 3079</t>
  </si>
  <si>
    <t>RAFAEL FERNANDES DOS SANTOS</t>
  </si>
  <si>
    <t>RAFAEL FERNANDES DOS SANTOS - 3081</t>
  </si>
  <si>
    <t>WAGNER CAMARGO DE OLIVEIRA</t>
  </si>
  <si>
    <t>WAGNER CAMARGO DE OLIVEIRA - 3083</t>
  </si>
  <si>
    <t>ELEANDRO DE SOUZA TEIXEIRA</t>
  </si>
  <si>
    <t>ELEANDRO DE SOUZA TEIXEIRA - 3087</t>
  </si>
  <si>
    <t>CELSO BARBOSA PINTO</t>
  </si>
  <si>
    <t>CELSO BARBOSA PINTO - 3088</t>
  </si>
  <si>
    <t>PAULO BENEDITO DE OLIVEIRA</t>
  </si>
  <si>
    <t>PAULO BENEDITO DE OLIVEIRA - 3089</t>
  </si>
  <si>
    <t>RONALDO BONIN</t>
  </si>
  <si>
    <t>RONALDO BONIN - 3090</t>
  </si>
  <si>
    <t>JOSE SOARES DA SILVA FILHO</t>
  </si>
  <si>
    <t>JOSE SOARES DA SILVA FILHO - 3093</t>
  </si>
  <si>
    <t>ENIXON KENEDYS DA SILVA</t>
  </si>
  <si>
    <t>ENIXON KENEDYS DA SILVA - 3096</t>
  </si>
  <si>
    <t>GILMAR DOS SANTOS LUCENA</t>
  </si>
  <si>
    <t>GILMAR DOS SANTOS LUCENA - 3097</t>
  </si>
  <si>
    <t>EDSON LUIZ SZUMOVSKI</t>
  </si>
  <si>
    <t>EDSON LUIZ SZUMOVSKI - 4000</t>
  </si>
  <si>
    <t>ADRIANO CAMARGO CORDEIRO</t>
  </si>
  <si>
    <t>ADRIANO CAMARGO CORDEIRO - 4001</t>
  </si>
  <si>
    <t>VALTER RUARO</t>
  </si>
  <si>
    <t>VALTER RUARO - 4002</t>
  </si>
  <si>
    <t>JOSE SOLA MORENO</t>
  </si>
  <si>
    <t>JOSE SOLA MORENO - 4003</t>
  </si>
  <si>
    <t>OSNEI CAMPANHARO</t>
  </si>
  <si>
    <t>OSNEI CAMPANHARO - 4004</t>
  </si>
  <si>
    <t>PAULO GARCIA</t>
  </si>
  <si>
    <t>PAULO GARCIA - 4005</t>
  </si>
  <si>
    <t>URBANO CARLOS DE ARRUDA</t>
  </si>
  <si>
    <t>URBANO CARLOS DE ARRUDA - 4006</t>
  </si>
  <si>
    <t>LUIS ANTONIO MIRANDA ROSA</t>
  </si>
  <si>
    <t>LUIS ANTONIO MIRANDA ROSA - 4008</t>
  </si>
  <si>
    <t>JARDIEL AGUIAR</t>
  </si>
  <si>
    <t>JARDIEL AGUIAR - 4009</t>
  </si>
  <si>
    <t>DONISETE MENDES DE SOUZA</t>
  </si>
  <si>
    <t>DONISETE MENDES DE SOUZA - 4010</t>
  </si>
  <si>
    <t>MARCOS DE MATOS ALVES</t>
  </si>
  <si>
    <t>MARCOS DE MATOS ALVES - 4011</t>
  </si>
  <si>
    <t>JOSE MARQUES FILHO</t>
  </si>
  <si>
    <t>JOSE MARQUES FILHO - 4013</t>
  </si>
  <si>
    <t>HAROLDO REINALDO LIMA</t>
  </si>
  <si>
    <t>HAROLDO REINALDO LIMA - 4014</t>
  </si>
  <si>
    <t>ANTONIO CRUZ NETO</t>
  </si>
  <si>
    <t>ANTONIO CRUZ NETO - 4015</t>
  </si>
  <si>
    <t>EZEQUIAS PEREIRA FERNANDES</t>
  </si>
  <si>
    <t>EZEQUIAS PEREIRA FERNANDES - 4016</t>
  </si>
  <si>
    <t>MANOEL FERNANDO OLIVEIRA DIAS</t>
  </si>
  <si>
    <t>MANOEL FERNANDO OLIVEIRA DIAS - 4022</t>
  </si>
  <si>
    <t>SERGIO LUIZ PEREIRA</t>
  </si>
  <si>
    <t>SERGIO LUIZ PEREIRA - 4025</t>
  </si>
  <si>
    <t>APARECIDO DIAS</t>
  </si>
  <si>
    <t>APARECIDO DIAS - 4031</t>
  </si>
  <si>
    <t>EDIMILSON PEREIRA DA COSTA</t>
  </si>
  <si>
    <t>EDIMILSON PEREIRA DA COSTA - 4033</t>
  </si>
  <si>
    <t>RAFAEL LAGUNA FILHO</t>
  </si>
  <si>
    <t>RAFAEL LAGUNA FILHO - 4035</t>
  </si>
  <si>
    <t>APARECIDO ELEODORO</t>
  </si>
  <si>
    <t>APARECIDO ELEODORO - 4036</t>
  </si>
  <si>
    <t>WESLEY DE PAULA ALBERNAZ - 4045</t>
  </si>
  <si>
    <t>WELLINGTON GOMES MENDONCA</t>
  </si>
  <si>
    <t>WELLINGTON GOMES MENDONCA - 4046</t>
  </si>
  <si>
    <t>DOUGLAS LEME MARTINS</t>
  </si>
  <si>
    <t>DOUGLAS LEME MARTINS - 4052</t>
  </si>
  <si>
    <t>FABIO ALEXANDRE BARROS</t>
  </si>
  <si>
    <t>FABIO ALEXANDRE BARROS - 4054</t>
  </si>
  <si>
    <t>RUBENS UCELLO</t>
  </si>
  <si>
    <t>RUBENS UCELLO - 4055</t>
  </si>
  <si>
    <t>VALMIR CARLOS ALMEIDA</t>
  </si>
  <si>
    <t>VALMIR CARLOS ALMEIDA - 4056</t>
  </si>
  <si>
    <t>VALMIR CARLOS DE ALMEIDA</t>
  </si>
  <si>
    <t>VALMIR CARLOS DE ALMEIDA - 4056</t>
  </si>
  <si>
    <t>LEUNI ALVES DE NOVAES</t>
  </si>
  <si>
    <t>LEUNI ALVES DE NOVAES - 4062</t>
  </si>
  <si>
    <t>EDUARDO SANTOS BEZERRA</t>
  </si>
  <si>
    <t>CLODOALDO PEREIRA DE LIMA</t>
  </si>
  <si>
    <t>CLODOALDO PEREIRA DE LIMA - 4067</t>
  </si>
  <si>
    <t>WAGNER LINHARES DE MORAIS</t>
  </si>
  <si>
    <t>WAGNER LINHARES DE MORAIS - 4074</t>
  </si>
  <si>
    <t>FABIO DA SILVA ANDRADE</t>
  </si>
  <si>
    <t>FABIO DA SILVA ANDRADE - 4075</t>
  </si>
  <si>
    <t>JERZUALDO DA SILVA GOMES</t>
  </si>
  <si>
    <t>JERZUALDO DA SILVA GOMES - 4077</t>
  </si>
  <si>
    <t>FABIO DOS ANJOS SOBRINHO</t>
  </si>
  <si>
    <t>FABIO DOS ANJOS SOBRINHO - 4079</t>
  </si>
  <si>
    <t>JOAO LENO TEIXEIRA</t>
  </si>
  <si>
    <t>JOAO LENO TEIXEIRA - 4093</t>
  </si>
  <si>
    <t>JOAO LENO TEIXEIRA DE SOUSA</t>
  </si>
  <si>
    <t>JOAO LENO TEIXEIRA DE SOUSA - 4093</t>
  </si>
  <si>
    <t>EDSON COSME DA SILVA</t>
  </si>
  <si>
    <t>EDSON COSME DA SILVA - 4094</t>
  </si>
  <si>
    <t>ANTONIO DOS SANTOS ARAUJO</t>
  </si>
  <si>
    <t>ANTONIO DOS SANTOS ARAUJO - 4095</t>
  </si>
  <si>
    <t>RICARDO GONCALVES GRACIANO</t>
  </si>
  <si>
    <t>RICARDO GONCALVES GRACIANO - 5012</t>
  </si>
  <si>
    <t>RICARDO GONÇALVES GRACIANO</t>
  </si>
  <si>
    <t>RICARDO GONÇALVES GRACIANO - 5012</t>
  </si>
  <si>
    <t>PEDRINHO MARCELINO BATISTA</t>
  </si>
  <si>
    <t>PEDRINHO MARCELINO BATISTA - 5013</t>
  </si>
  <si>
    <t>DENIVAL MENDES SOUSA</t>
  </si>
  <si>
    <t>DENIVAL MENDES SOUSA - 5014</t>
  </si>
  <si>
    <t>DELEY CARVALHO DE SOUZA</t>
  </si>
  <si>
    <t>DELEY CARVALHO DE SOUZA - 5015</t>
  </si>
  <si>
    <t>LAURIMAR ANTONIO DE OLIVEIRA</t>
  </si>
  <si>
    <t>LAURIMAR ANTONIO DE OLIVEIRA - 5016</t>
  </si>
  <si>
    <t>EURIPEDES BORGES DOS SANTOS</t>
  </si>
  <si>
    <t>EURIPEDES BORGES DOS SANTOS - 5017</t>
  </si>
  <si>
    <t>ANTONIO FRANCINALDO DE OLIVEIRA MARQUES</t>
  </si>
  <si>
    <t>ANTONIO FRANCINALDO DE OLIVEIRA MARQUES - 5018</t>
  </si>
  <si>
    <t>MAYCON MENDES ALVES</t>
  </si>
  <si>
    <t>MAYCON MENDES ALVES - 5019</t>
  </si>
  <si>
    <t>GIDEONY LOPES DA SILVA</t>
  </si>
  <si>
    <t>GIDEONY LOPES DA SILVA - 5022</t>
  </si>
  <si>
    <t>JOSE NUNES LIRA</t>
  </si>
  <si>
    <t>JOSE NUNES LIRA - 5023</t>
  </si>
  <si>
    <t>JHONATAN GLAUBER DA SILVA MIRANDA</t>
  </si>
  <si>
    <t>JHONATAN GLAUBER DA SILVA MIRANDA - 5024</t>
  </si>
  <si>
    <t>RONNE RODRIGUES DE SOUSA</t>
  </si>
  <si>
    <t>RONNE RODRIGUES DE SOUSA - 5025</t>
  </si>
  <si>
    <t>JOSE ALVES DE FREITAS NETO</t>
  </si>
  <si>
    <t>JOSE ALVES DE FREITAS NETO - 5027</t>
  </si>
  <si>
    <t>WALTER PEREIRA</t>
  </si>
  <si>
    <t>WALTER PEREIRA - 5033</t>
  </si>
  <si>
    <t>JOSE ALVES DA ROCHA</t>
  </si>
  <si>
    <t>JOSE ALVES DA ROCHA - 5035</t>
  </si>
  <si>
    <t>RONALDO ALVES DE AZEVEDO</t>
  </si>
  <si>
    <t>RONALDO ALVES DE AZEVEDO - 5037</t>
  </si>
  <si>
    <t>REINALDO PIRES GOMES</t>
  </si>
  <si>
    <t>REINALDO PIRES GOMES - 5039</t>
  </si>
  <si>
    <t>SELVENIR PAULO COELHO</t>
  </si>
  <si>
    <t>SELVENIR PAULO COELHO - 5058</t>
  </si>
  <si>
    <t>FRANCISCO DE ASSIS LEAL</t>
  </si>
  <si>
    <t>FRANCISCO DE ASSIS LEAL - 5059</t>
  </si>
  <si>
    <t>SILVAN DE JESUS SIQUEIRA</t>
  </si>
  <si>
    <t>SILVAN DE JESUS SIQUEIRA - 5060</t>
  </si>
  <si>
    <t>ANTONIO MARCIO DE SENA RIBEIRO CHAVES</t>
  </si>
  <si>
    <t>ANTONIO MARCIO DE SENA RIBEIRO CHAVES - 5061</t>
  </si>
  <si>
    <t>RUBENS CARLOS VIEIRA</t>
  </si>
  <si>
    <t>RUBENS CARLOS VIEIRA - 5063</t>
  </si>
  <si>
    <t>LUCIANO GOMES RIBEIRO</t>
  </si>
  <si>
    <t>LUCIANO GOMES RIBEIRO - 5064</t>
  </si>
  <si>
    <t>DIONE HENRIQUE FRANCA QUIXABEIRA</t>
  </si>
  <si>
    <t>DIONE HENRIQUE FRANCA QUIXABEIRA - 5065</t>
  </si>
  <si>
    <t>ISNANDE JOSE DIAS GONCALVES</t>
  </si>
  <si>
    <t>ISNANDE JOSE DIAS GONCALVES - 5086</t>
  </si>
  <si>
    <t>IRISMAR JOSE DOS SANTOS</t>
  </si>
  <si>
    <t>IRISMAR JOSE DOS SANTOS - 5114</t>
  </si>
  <si>
    <t>SIDNEI RIBEIRO</t>
  </si>
  <si>
    <t>SIDNEI RIBEIRO - 5115</t>
  </si>
  <si>
    <t>ANTONIO BARROS DO NASCIMENTO</t>
  </si>
  <si>
    <t>ANTONIO BARROS DO NASCIMENTO - 5116</t>
  </si>
  <si>
    <t>LUCIANO MARCELO LIMA SILVA</t>
  </si>
  <si>
    <t>LUCIANO MARCELO LIMA SILVA - 5117</t>
  </si>
  <si>
    <t>LEANDRO DE CARVALHO PEREIRA</t>
  </si>
  <si>
    <t>LEANDRO DE CARVALHO PEREIRA - 5118</t>
  </si>
  <si>
    <t>ISAAC LACERDA ALVES</t>
  </si>
  <si>
    <t>ISAAC LACERDA ALVES - 5122</t>
  </si>
  <si>
    <t>ELTON LOPES DE ARAUJO</t>
  </si>
  <si>
    <t>ELTON LOPES DE ARAUJO - 5128</t>
  </si>
  <si>
    <t>PAULO DINIZ OLIVEIRA DA SILVA</t>
  </si>
  <si>
    <t>PAULO DINIZ OLIVEIRA DA SILVA - 5129</t>
  </si>
  <si>
    <t>REINALDO VALENTIM ALVES</t>
  </si>
  <si>
    <t>REINALDO VALENTIM ALVES - 5133</t>
  </si>
  <si>
    <t>IVAN CESAR VIDAL</t>
  </si>
  <si>
    <t>IVAN CESAR VIDAL - 5137</t>
  </si>
  <si>
    <t>MARCOS ANTONIO ROCHA NEVES</t>
  </si>
  <si>
    <t>MARCOS ANTONIO ROCHA NEVES - 5165</t>
  </si>
  <si>
    <t>PEDRO JUNIO BRASIL BARBOSA</t>
  </si>
  <si>
    <t>PEDRO JUNIO BRASIL BARBOSA - 5166</t>
  </si>
  <si>
    <t>JOVENIR SOARES DE MATOS</t>
  </si>
  <si>
    <t>JOVENIR SOARES DE MATOS - 5173</t>
  </si>
  <si>
    <t>WUDSON RODRIGUES DA COSTA</t>
  </si>
  <si>
    <t>WUDSON RODRIGUES DA COSTA - 5174</t>
  </si>
  <si>
    <t>ANTONIO LINDOMAR DAS CHAGAS</t>
  </si>
  <si>
    <t>ANTONIO LINDOMAR DAS CHAGAS - 5175</t>
  </si>
  <si>
    <t>CICERO DE OLIVEIRA</t>
  </si>
  <si>
    <t>CICERO DE OLIVEIRA - 5178</t>
  </si>
  <si>
    <t>ISAC DIAS DA COSTA</t>
  </si>
  <si>
    <t>ISAC DIAS DA COSTA - 5179</t>
  </si>
  <si>
    <t>JUAREZ PEREIRA ARAUJO</t>
  </si>
  <si>
    <t>JUAREZ PEREIRA ARAUJO - 5180</t>
  </si>
  <si>
    <t>SANDRO CARLOS DE SOUSA</t>
  </si>
  <si>
    <t>SANDRO CARLOS DE SOUSA - 5181</t>
  </si>
  <si>
    <t>OZIEL MAXIMO DOS SANTOS</t>
  </si>
  <si>
    <t>OZIEL MAXIMO DOS SANTOS - 5184</t>
  </si>
  <si>
    <t>FLORIVAL FERREIRA DE SENA</t>
  </si>
  <si>
    <t>FLORIVAL FERREIRA DE SENA - 5185</t>
  </si>
  <si>
    <t>WELSON JESUS VARDASCA FERREIRA</t>
  </si>
  <si>
    <t>WELSON JESUS VARDASCA FERREIRA - 5186</t>
  </si>
  <si>
    <t>JOAO MONTEIRO DA COSTA</t>
  </si>
  <si>
    <t>JOAO MONTEIRO DA COSTA - 5187</t>
  </si>
  <si>
    <t>ANDRE LUIZ DA SILVA</t>
  </si>
  <si>
    <t>ANDRE LUIZ DA SILVA - 5188</t>
  </si>
  <si>
    <t>JOAO BATISTA OLIVEIRA SILVA</t>
  </si>
  <si>
    <t>JOAO BATISTA OLIVEIRA SILVA - 5190</t>
  </si>
  <si>
    <t>DIVINO EURIPEDES RIBEIRO</t>
  </si>
  <si>
    <t>DIVINO EURIPEDES RIBEIRO - 5191</t>
  </si>
  <si>
    <t>RICARDO PONCE DE LEAO LIMA</t>
  </si>
  <si>
    <t>RICARDO PONCE DE LEAO LIMA - 5192</t>
  </si>
  <si>
    <t>RICARDO PONCE DE LEÃO LIMA</t>
  </si>
  <si>
    <t>RICARDO PONCE DE LEÃO LIMA - 5192</t>
  </si>
  <si>
    <t>LUCIANO ALVES FERREIRA</t>
  </si>
  <si>
    <t>LUCIANO ALVES FERREIRA - 5193</t>
  </si>
  <si>
    <t>SILVANDRO COSTA DE ALENCAR</t>
  </si>
  <si>
    <t>SILVANDRO COSTA DE ALENCAR - 5194</t>
  </si>
  <si>
    <t>CELIO MARCOS RODRIGUES</t>
  </si>
  <si>
    <t>CELIO MARCOS RODRIGUES - 5196</t>
  </si>
  <si>
    <t>CESAR AUGUSTO PEREIRA</t>
  </si>
  <si>
    <t>CESAR AUGUSTO PEREIRA - 5197</t>
  </si>
  <si>
    <t>JOSE EVANGELISTA DA SILVA</t>
  </si>
  <si>
    <t>JOSE EVANGELISTA DA SILVA - 5199</t>
  </si>
  <si>
    <t>MANOEL SEVERINO DE SOUZA</t>
  </si>
  <si>
    <t>MANOEL SEVERINO DE SOUZA - 5200</t>
  </si>
  <si>
    <t>LUCIANE EDUARDO DOS SANTOS</t>
  </si>
  <si>
    <t>LUCIANE EDUARDO DOS SANTOS - 5201</t>
  </si>
  <si>
    <t>JOSIMO RODRIGUES DE SOUZA</t>
  </si>
  <si>
    <t>JOSIMO RODRIGUES DE SOUZA - 5202</t>
  </si>
  <si>
    <t>REGINALDO PEREIRA DA SILVA</t>
  </si>
  <si>
    <t>REGINALDO PEREIRA DA SILVA - 5203</t>
  </si>
  <si>
    <t>JOCIVANE BARBOSA DE OLIVEIRA</t>
  </si>
  <si>
    <t>JOCIVANE BARBOSA DE OLIVEIRA - 5207</t>
  </si>
  <si>
    <t>CLAYTON SANTOS AIRES PEREIRA</t>
  </si>
  <si>
    <t>CLAYTON SANTOS AIRES PEREIRA - 5209</t>
  </si>
  <si>
    <t>LANDRA BATISTA DOS SANTOS</t>
  </si>
  <si>
    <t>LANDRA BATISTA DOS SANTOS - 5210</t>
  </si>
  <si>
    <t>EMANUEL GOMES LIMA</t>
  </si>
  <si>
    <t>EMANUEL GOMES LIMA - 5211</t>
  </si>
  <si>
    <t>JADIANE RODRIGUES DA SILVA</t>
  </si>
  <si>
    <t>JADIANE RODRIGUES DA SILVA - 5218</t>
  </si>
  <si>
    <t>JOSE LUIZ DOS SANTOS FILHO</t>
  </si>
  <si>
    <t>JOSE LUIZ DOS SANTOS FILHO - 5219</t>
  </si>
  <si>
    <t>MARCELO DOS REIS ALVES</t>
  </si>
  <si>
    <t>MARCELO DOS REIS ALVES - 5220</t>
  </si>
  <si>
    <t>DAVI MOTA VILAS BOAS FILHO</t>
  </si>
  <si>
    <t>DAVI MOTA VILAS BOAS FILHO - 5232</t>
  </si>
  <si>
    <t>IRAN PINHEIRO</t>
  </si>
  <si>
    <t>IRAN PINHEIRO - 5234</t>
  </si>
  <si>
    <t>MARCOS ROBERTO DE SOUSA</t>
  </si>
  <si>
    <t>MARCOS ROBERTO DE SOUSA - 5236</t>
  </si>
  <si>
    <t>VAGUIMAR DE SOUSA MONTEIRO</t>
  </si>
  <si>
    <t>VAGUIMAR DE SOUSA MONTEIRO - 5237</t>
  </si>
  <si>
    <t>FRANCIVALDO MATIAS BIZERRA</t>
  </si>
  <si>
    <t>FRANCIVALDO MATIAS BIZERRA - 5238</t>
  </si>
  <si>
    <t>MARTIN INOCENCIO ALVES</t>
  </si>
  <si>
    <t>MARTIN INOCENCIO ALVES - 5239</t>
  </si>
  <si>
    <t>JOSIMAR CLAUDINO SILVA</t>
  </si>
  <si>
    <t>JOSIMAR CLAUDINO SILVA - 5240</t>
  </si>
  <si>
    <t>ADRIANO PEREIRA DA SILVA</t>
  </si>
  <si>
    <t>ADRIANO PEREIRA DA SILVA - 5241</t>
  </si>
  <si>
    <t>ELIAS DOS SANTOS PINHEIRO</t>
  </si>
  <si>
    <t>ELIAS DOS SANTOS PINHEIRO - 5242</t>
  </si>
  <si>
    <t>PEDRO NUNES DOS SANTOS</t>
  </si>
  <si>
    <t>PEDRO NUNES DOS SANTOS - 5243</t>
  </si>
  <si>
    <t>CELSO VIEIRA DA SILVA</t>
  </si>
  <si>
    <t>CELSO VIEIRA DA SILVA - 5244</t>
  </si>
  <si>
    <t>JOAO BRANDAO DE BRITO</t>
  </si>
  <si>
    <t>JOAO BRANDAO DE BRITO - 5245</t>
  </si>
  <si>
    <t>FRANCISCO CLEITON CARDOZO COSTA</t>
  </si>
  <si>
    <t>FRANCISCO CLEITON CARDOZO COSTA - 5246</t>
  </si>
  <si>
    <t>RAFAEL LARA CARDOSO</t>
  </si>
  <si>
    <t>RAFAEL LARA CARDOSO - 5247</t>
  </si>
  <si>
    <t>JORDELIO DOS SANTOS PEREIRA</t>
  </si>
  <si>
    <t>JORDELIO DOS SANTOS PEREIRA - 5248</t>
  </si>
  <si>
    <t>MARCELO VITO FAUSTINO DOS SANTOS</t>
  </si>
  <si>
    <t>MARCELO VITO FAUSTINO DOS SANTOS - 5250</t>
  </si>
  <si>
    <t>OLIVEIRA DE MELO ARRUDA</t>
  </si>
  <si>
    <t>OLIVEIRA DE MELO ARRUDA - 5251</t>
  </si>
  <si>
    <t>BRUNNO WALLISON MARTINS</t>
  </si>
  <si>
    <t>BRUNNO WALLISON MARTINS - 5252</t>
  </si>
  <si>
    <t>CELIO MORAIS DE MENEZES</t>
  </si>
  <si>
    <t>CELIO MORAIS DE MENEZES - 5253</t>
  </si>
  <si>
    <t>TIAGO MARTINS BERNARDES</t>
  </si>
  <si>
    <t>TIAGO MARTINS BERNARDES - 5260</t>
  </si>
  <si>
    <t>HERCULES CARVALHO SANTOS</t>
  </si>
  <si>
    <t>HERCULES CARVALHO SANTOS - 5261</t>
  </si>
  <si>
    <t>EDUARDO FERNANDES BARROS</t>
  </si>
  <si>
    <t>EDUARDO FERNANDES BARROS - 5262</t>
  </si>
  <si>
    <t>MARCELO JOSE CORREIA</t>
  </si>
  <si>
    <t>MARCELO JOSE CORREIA - 5263</t>
  </si>
  <si>
    <t>MARCIO DE SOUSA MATOS</t>
  </si>
  <si>
    <t>JOSE HELIO RANGEL BARBOSA</t>
  </si>
  <si>
    <t>JOSE HELIO RANGEL BARBOSA - 5265</t>
  </si>
  <si>
    <t>LEANDRO SOUSA BORGES</t>
  </si>
  <si>
    <t>LEANDRO SOUSA BORGES - 5266</t>
  </si>
  <si>
    <t>FRANK HUDSON MACHADO DE BRITO</t>
  </si>
  <si>
    <t>FRANK HUDSON MACHADO DE BRITO - 5267</t>
  </si>
  <si>
    <t>MARCOS AUGUSTO SILVA ROCHA</t>
  </si>
  <si>
    <t>MARCOS AUGUSTO SILVA ROCHA - 5268</t>
  </si>
  <si>
    <t>FRANCISCO DAS CHAGAS DO NASCIMENTO</t>
  </si>
  <si>
    <t>FRANCISCO DAS CHAGAS DO NASCIMENTO - 5269</t>
  </si>
  <si>
    <t>JOAO FLAVIO DE SOUSA SILVA</t>
  </si>
  <si>
    <t>JOAO FLAVIO DE SOUSA SILVA - 5270</t>
  </si>
  <si>
    <t>JACINTO BATISTA DE SOUSA</t>
  </si>
  <si>
    <t>JACINTO BATISTA DE SOUSA - 5271</t>
  </si>
  <si>
    <t>HILDEGARDES SOARES GOMES</t>
  </si>
  <si>
    <t>HILDEGARDES SOARES GOMES - 5272</t>
  </si>
  <si>
    <t>SINVAL RODRIGUES CARVALHAES</t>
  </si>
  <si>
    <t>SINVAL RODRIGUES CARVALHAES - 5273</t>
  </si>
  <si>
    <t>RONALDO PEREIRA DOS SANTOS - 5275</t>
  </si>
  <si>
    <t>FRANCISCO PESSOA DE CARVALHO</t>
  </si>
  <si>
    <t>FRANCISCO PESSOA DE CARVALHO - 5276</t>
  </si>
  <si>
    <t>FRANCISCO PEREIRA DA SILVA NETO</t>
  </si>
  <si>
    <t>FRANCISCO PEREIRA DA SILVA NETO - 5277</t>
  </si>
  <si>
    <t>MARCOS ANTONIO ALVES DE SOUSA</t>
  </si>
  <si>
    <t>MARCOS ANTONIO ALVES DE SOUSA - 5278</t>
  </si>
  <si>
    <t>JOSE ANTONIO INACIO VIEIRA</t>
  </si>
  <si>
    <t>JOSE ANTONIO INACIO VIEIRA - 5279</t>
  </si>
  <si>
    <t>IBERIS AMANCIO DA SILVA</t>
  </si>
  <si>
    <t>IBERIS AMANCIO DA SILVA - 5281</t>
  </si>
  <si>
    <t>FERNANDO APARECIDO RIBEIRO</t>
  </si>
  <si>
    <t>FERNANDO APARECIDO RIBEIRO - 5282</t>
  </si>
  <si>
    <t>WALDIR DE ALMEIDA CORTE JUNIOR</t>
  </si>
  <si>
    <t>WALDIR DE ALMEIDA CORTE JUNIOR - 5283</t>
  </si>
  <si>
    <t>DIEGO OLIVEIRA DA SILVA</t>
  </si>
  <si>
    <t>DIEGO OLIVEIRA DA SILVA - 5284</t>
  </si>
  <si>
    <t>ALEXSANDRO PEREIRA DA SILVA</t>
  </si>
  <si>
    <t>ALEXSANDRO PEREIRA DA SILVA - 5286</t>
  </si>
  <si>
    <t>KLEZIA KRISTINA MARTINS FERREIRA</t>
  </si>
  <si>
    <t>KLEZIA KRISTINA MARTINS FERREIRA - 5287</t>
  </si>
  <si>
    <t>MARCONE SOUSA NASCIMENTO</t>
  </si>
  <si>
    <t>MARCONE SOUSA NASCIMENTO - 5288</t>
  </si>
  <si>
    <t>OVERTON RIBEIRO DA SILVA</t>
  </si>
  <si>
    <t>OVERTON RIBEIRO DA SILVA - 5289</t>
  </si>
  <si>
    <t>JOAO AMARAL DA SILVA JUNIOR</t>
  </si>
  <si>
    <t>JOAO AMARAL DA SILVA JUNIOR - 5290</t>
  </si>
  <si>
    <t>ALEF DA CRUZ VIEIRA</t>
  </si>
  <si>
    <t>ALEF DA CRUZ VIEIRA - 5291</t>
  </si>
  <si>
    <t>OLISMAR BATISTA DE DEUS</t>
  </si>
  <si>
    <t>OLISMAR BATISTA DE DEUS - 5293</t>
  </si>
  <si>
    <t>LUIZ CLOVANDIR MAGALHAES SAMPAIO</t>
  </si>
  <si>
    <t>LUIZ CLOVANDIR MAGALHAES SAMPAIO - 5294</t>
  </si>
  <si>
    <t>ELIAS JESUS DA COSTA</t>
  </si>
  <si>
    <t>ELIAS JESUS DA COSTA - 5295</t>
  </si>
  <si>
    <t>DIRLEY CARDOSO DE MELO</t>
  </si>
  <si>
    <t>DIRLEY CARDOSO DE MELO - 5296</t>
  </si>
  <si>
    <t>RICARDO VIEIRA GERVASIO</t>
  </si>
  <si>
    <t>RICARDO VIEIRA GERVASIO - 5297</t>
  </si>
  <si>
    <t>DANIEL PEREIRA DA ROCHA</t>
  </si>
  <si>
    <t>DANIEL PEREIRA DA ROCHA - 5298</t>
  </si>
  <si>
    <t>FRANCISCO DAS CHAGAS DOS SANTOS ANGELO</t>
  </si>
  <si>
    <t>FRANCISCO DAS CHAGAS DOS SANTOS ANGELO - 5299</t>
  </si>
  <si>
    <t>DAVID ALVES PEREIRA</t>
  </si>
  <si>
    <t>DAVID ALVES PEREIRA - 5300</t>
  </si>
  <si>
    <t>LUIS ANDRE GOMES DE SOUSA</t>
  </si>
  <si>
    <t>LUIS ANDRE GOMES DE SOUSA - 5301</t>
  </si>
  <si>
    <t>GENIVAN LEAL TEIXEIRA</t>
  </si>
  <si>
    <t>GENIVAN LEAL TEIXEIRA - 5302</t>
  </si>
  <si>
    <t>ANTONIO LEONESIO CAMPELO DA SILVA</t>
  </si>
  <si>
    <t>ANTONIO LEONESIO CAMPELO DA SILVA - 5303</t>
  </si>
  <si>
    <t>IVAN VIEIRA DO NASCIMENTO</t>
  </si>
  <si>
    <t>IVAN VIEIRA DO NASCIMENTO - 5304</t>
  </si>
  <si>
    <t>EDSON DA SILVA RAMOS</t>
  </si>
  <si>
    <t>EDSON DA SILVA RAMOS - 5305</t>
  </si>
  <si>
    <t>FRANCISCO CARLOS MELO</t>
  </si>
  <si>
    <t>FRANCISCO CARLOS MELO - 5306</t>
  </si>
  <si>
    <t>RONALDO MANOEL TEIXEIRA - 5308</t>
  </si>
  <si>
    <t>ANTONIO DIAS DE OLIVEIRA</t>
  </si>
  <si>
    <t>ANTONIO DIAS DE OLIVEIRA - 5309</t>
  </si>
  <si>
    <t>WASHINGTON JOSE RODRIGUES</t>
  </si>
  <si>
    <t>WASHINGTON JOSE RODRIGUES - 5310</t>
  </si>
  <si>
    <t>RAMILTON SILVA OLIVEIRA</t>
  </si>
  <si>
    <t>RAMILTON SILVA OLIVEIRA - 5313</t>
  </si>
  <si>
    <t>FRANCISCO RAIMUNDO VIANA DE SOUSA</t>
  </si>
  <si>
    <t>FRANCISCO RAIMUNDO VIANA DE SOUSA - 5314</t>
  </si>
  <si>
    <t>RAIMUNDO MENDES DE SOUSA</t>
  </si>
  <si>
    <t>RAIMUNDO MENDES DE SOUSA - 5315</t>
  </si>
  <si>
    <t>JOSE DORIAN BOA VENTURA NASCIMENTO</t>
  </si>
  <si>
    <t>JOSE DORIAN BOA VENTURA NASCIMENTO - 5316</t>
  </si>
  <si>
    <t>SANDRO RODRIGUES BATISTA</t>
  </si>
  <si>
    <t>SANDRO RODRIGUES BATISTA - 5319</t>
  </si>
  <si>
    <t>LUCIANO DIVINO JORGE ANASTACIO</t>
  </si>
  <si>
    <t>LUCIANO DIVINO JORGE ANASTACIO - 5320</t>
  </si>
  <si>
    <t>LEONARDO LIMA MONTELO</t>
  </si>
  <si>
    <t>LEONARDO LIMA MONTELO - 5321</t>
  </si>
  <si>
    <t>VALDINEY DOS SANTOS XAVIER</t>
  </si>
  <si>
    <t>VALDINEY DOS SANTOS XAVIER - 5323</t>
  </si>
  <si>
    <t>JOSE FRANCA DA SILVA</t>
  </si>
  <si>
    <t>JOSE FRANCA DA SILVA - 5324</t>
  </si>
  <si>
    <t>RONIVALDO RODRIGUES</t>
  </si>
  <si>
    <t>RONIVALDO RODRIGUES - 5327</t>
  </si>
  <si>
    <t>ESMAILEI WILLIAM TEIXEIRA</t>
  </si>
  <si>
    <t>ESMAILEI WILLIAM TEIXEIRA - 5328</t>
  </si>
  <si>
    <t>ABIMAEL FIRMINO DOS SANTOS</t>
  </si>
  <si>
    <t>ABIMAEL FIRMINO DOS SANTOS - 5329</t>
  </si>
  <si>
    <t>JOAO SILVA SOUSA</t>
  </si>
  <si>
    <t>JOAO SILVA SOUSA - 5330</t>
  </si>
  <si>
    <t>FERNANDO ROBERTO DA SILVA PIMENTEL</t>
  </si>
  <si>
    <t>FERNANDO ROBERTO DA SILVA PIMENTEL - 5331</t>
  </si>
  <si>
    <t>JAME DOS SANTOS MOURA</t>
  </si>
  <si>
    <t>JAME DOS SANTOS MOURA - 5332</t>
  </si>
  <si>
    <t>EDSON MARCOS LIMA DA SILVA</t>
  </si>
  <si>
    <t>EDSON MARCOS LIMA DA SILVA - 5334</t>
  </si>
  <si>
    <t>NILVAN BRANDO TENORIO</t>
  </si>
  <si>
    <t>NILVAN BRANDO TENORIO - 5335</t>
  </si>
  <si>
    <t>WANDERLEI JOSE MARQUES</t>
  </si>
  <si>
    <t>WANDERLEI JOSE MARQUES - 5336</t>
  </si>
  <si>
    <t>FRANCISCO JOSE LIMA CHAGAS</t>
  </si>
  <si>
    <t>FRANCISCO JOSE LIMA CHAGAS - 5337</t>
  </si>
  <si>
    <t>ANTONIO NERIS DE JESUS</t>
  </si>
  <si>
    <t>ANTONIO NERIS DE JESUS - 5338</t>
  </si>
  <si>
    <t>ASTIVO RAMOS NETO</t>
  </si>
  <si>
    <t>ASTIVO RAMOS NETO - 5339</t>
  </si>
  <si>
    <t>CARLOS DA SILVA PEREIRA</t>
  </si>
  <si>
    <t>CARLOS DA SILVA PEREIRA - 5350</t>
  </si>
  <si>
    <t>VALDEIR DA COSTA</t>
  </si>
  <si>
    <t>VALDEIR DA COSTA - 5351</t>
  </si>
  <si>
    <t>LAZARO GOMES DA SILVA</t>
  </si>
  <si>
    <t>LAZARO GOMES DA SILVA - 5352</t>
  </si>
  <si>
    <t>VALDENEI ALVES PEREIRA</t>
  </si>
  <si>
    <t>VALDENEI ALVES PEREIRA - 5353</t>
  </si>
  <si>
    <t>RUBERVAL FERREIRA DOS SANTOS</t>
  </si>
  <si>
    <t>RUBERVAL FERREIRA DOS SANTOS - 5354</t>
  </si>
  <si>
    <t>AILTON BARRETO DE ARAUJO</t>
  </si>
  <si>
    <t>AILTON BARRETO DE ARAUJO - 5357</t>
  </si>
  <si>
    <t>AGEMIR CARLOS</t>
  </si>
  <si>
    <t>AGEMIR CARLOS - 5360</t>
  </si>
  <si>
    <t>MARCOLINO FRANCISCO DA ASSUNCAO NETO</t>
  </si>
  <si>
    <t>MARCOLINO FRANCISCO DA ASSUNCAO NETO - 5361</t>
  </si>
  <si>
    <t>CLAUDEMIR DA FONSECA</t>
  </si>
  <si>
    <t>CLAUDEMIR DA FONSECA - 5376</t>
  </si>
  <si>
    <t>ALEX SANDRO DANCINI HOLOUKA</t>
  </si>
  <si>
    <t>ALEX SANDRO DANCINI HOLOUKA - 5377</t>
  </si>
  <si>
    <t>FLAVIO JUNIOR BONIFACIO DE CARVALHO</t>
  </si>
  <si>
    <t>FLAVIO JUNIOR BONIFACIO DE CARVALHO - 5378</t>
  </si>
  <si>
    <t>VALDOMIRO PEREIRA DE MACEDO</t>
  </si>
  <si>
    <t>VALDOMIRO PEREIRA DE MACEDO - 5379</t>
  </si>
  <si>
    <t>GESSIEL DUARTE DE SOUZA</t>
  </si>
  <si>
    <t>GESSIEL DUARTE DE SOUZA - 5380</t>
  </si>
  <si>
    <t>BELMIRO DOS SANTOS</t>
  </si>
  <si>
    <t>BELMIRO DOS SANTOS - 5381</t>
  </si>
  <si>
    <t>CHARLES AUGUSTO KUNTZE</t>
  </si>
  <si>
    <t>CHARLES AUGUSTO KUNTZE - 5382</t>
  </si>
  <si>
    <t>VALDINEIDE FERNANDES LEAL</t>
  </si>
  <si>
    <t>VALDINEIDE FERNANDES LEAL - 5383</t>
  </si>
  <si>
    <t>JOSE CARLOS DE ARAUJO</t>
  </si>
  <si>
    <t>JOSE CARLOS DE ARAUJO - 5387</t>
  </si>
  <si>
    <t>VALDENILSON RODRIGUES DE OLIVEIRA</t>
  </si>
  <si>
    <t>VALDENILSON RODRIGUES DE OLIVEIRA - 5388</t>
  </si>
  <si>
    <t>PABLO RODRIGO BARBOSA RAMOS</t>
  </si>
  <si>
    <t>PABLO RODRIGO BARBOSA RAMOS - 5389</t>
  </si>
  <si>
    <t>EMIDIO MILTON DE ASSIS</t>
  </si>
  <si>
    <t>EMIDIO MILTON DE ASSIS - 5390</t>
  </si>
  <si>
    <t>CARLOS SIMOES DE SOUZA</t>
  </si>
  <si>
    <t>CARLOS SIMOES DE SOUZA - 5393</t>
  </si>
  <si>
    <t>LUIZ PAULO DE OLIVEIRA</t>
  </si>
  <si>
    <t>LUIZ PAULO DE OLIVEIRA - 5403</t>
  </si>
  <si>
    <t>CLAUDEMIR PRACHEDES DE CAMARGO</t>
  </si>
  <si>
    <t>CLAUDEMIR PRACHEDES DE CAMARGO - 5408</t>
  </si>
  <si>
    <t>SERGIO EVANGELISTA SOARES</t>
  </si>
  <si>
    <t>SERGIO EVANGELISTA SOARES - 5409</t>
  </si>
  <si>
    <t>ARIANO SILVA OLIVEIRA</t>
  </si>
  <si>
    <t>ARIANO SILVA OLIVEIRA - 5410</t>
  </si>
  <si>
    <t>JOSE INACIO DE LISBOA</t>
  </si>
  <si>
    <t>JOSE INACIO DE LISBOA - 5411</t>
  </si>
  <si>
    <t>JOSE INACIO DE LISBOA SOBRINHO</t>
  </si>
  <si>
    <t>JOSE INACIO DE LISBOA SOBRINHO - 5411</t>
  </si>
  <si>
    <t>REGINALDO DE SOUSA OLIVEIRA</t>
  </si>
  <si>
    <t>REGINALDO DE SOUSA OLIVEIRA - 5412</t>
  </si>
  <si>
    <t>AMARAY DE SOUSA MORAIS</t>
  </si>
  <si>
    <t>AMARAY DE SOUSA MORAIS - 5414</t>
  </si>
  <si>
    <t>ORLAN ALVES DA SILVA</t>
  </si>
  <si>
    <t>ORLAN ALVES DA SILVA - 5420</t>
  </si>
  <si>
    <t>THIAGO VIEIRA SANTANA - 5421</t>
  </si>
  <si>
    <t>GUSTAVO RAPHAEL DA SILVA ALEXANDRE</t>
  </si>
  <si>
    <t>GUSTAVO RAPHAEL DA SILVA ALEXANDRE - 5422</t>
  </si>
  <si>
    <t>APARECIDO SERGIO DA CUNHA</t>
  </si>
  <si>
    <t>APARECIDO SERGIO DA CUNHA - 5423</t>
  </si>
  <si>
    <t>MARCOS SUEL SALES PINTO</t>
  </si>
  <si>
    <t>MARCOS SUEL SALES PINTO - 5424</t>
  </si>
  <si>
    <t>REGIO ETERNO GONCALVES DA SILVA</t>
  </si>
  <si>
    <t>REGIO ETERNO GONCALVES DA SILVA - 5425</t>
  </si>
  <si>
    <t>SAULO VINICIUS DE OLIVEIRA SANTOS</t>
  </si>
  <si>
    <t>SAULO VINICIUS DE OLIVEIRA SANTOS - 5426</t>
  </si>
  <si>
    <t>RODRIGO RIBEIRO CASSIOLI</t>
  </si>
  <si>
    <t>RODRIGO RIBEIRO CASSIOLI - 5427</t>
  </si>
  <si>
    <t>LAZARO VIEIRA DA SILVA</t>
  </si>
  <si>
    <t>LAZARO VIEIRA DA SILVA - 5428</t>
  </si>
  <si>
    <t>ROSIVALDO FERREIRA DA SILVA</t>
  </si>
  <si>
    <t>ROSIVALDO FERREIRA DA SILVA - 5429</t>
  </si>
  <si>
    <t>DEVANIR TEODORO ALVES</t>
  </si>
  <si>
    <t>DEVANIR TEODORO ALVES - 5430</t>
  </si>
  <si>
    <t>FERNANDO OLIVEIRA DE SOUZA</t>
  </si>
  <si>
    <t>FERNANDO OLIVEIRA DE SOUZA - 5431</t>
  </si>
  <si>
    <t>ZULMIRO GODINHO SERAFIM</t>
  </si>
  <si>
    <t>ZULMIRO GODINHO SERAFIM - 5431</t>
  </si>
  <si>
    <t>NEIRIVAL MOREIRA PINTO</t>
  </si>
  <si>
    <t>NEIRIVAL MOREIRA PINTO - 5432</t>
  </si>
  <si>
    <t>ROBERTO JOSE DE PAULA</t>
  </si>
  <si>
    <t>ROBERTO JOSE DE PAULA - 5433</t>
  </si>
  <si>
    <t>IVANILSON BARBOSA PEREIRA</t>
  </si>
  <si>
    <t>IVANILSON BARBOSA PEREIRA - 5434</t>
  </si>
  <si>
    <t>CLEOMAR ALVES PEREIRA MEDEIROS</t>
  </si>
  <si>
    <t>CLEOMAR ALVES PEREIRA MEDEIROS - 5435</t>
  </si>
  <si>
    <t>CRISTIANO DA COSTA OLIVEIRA</t>
  </si>
  <si>
    <t>CRISTIANO DA COSTA OLIVEIRA - 5436</t>
  </si>
  <si>
    <t>VALDECI FERREIRA DA SILVA</t>
  </si>
  <si>
    <t>VALDECI FERREIRA DA SILVA - 5437</t>
  </si>
  <si>
    <t>VILMAR BATISTA</t>
  </si>
  <si>
    <t>VILMAR BATISTA - 5438</t>
  </si>
  <si>
    <t>VILMAR DOS SANTOS</t>
  </si>
  <si>
    <t>VILMAR DOS SANTOS - 5438</t>
  </si>
  <si>
    <t>FRANCISCO WASHINGTON ALVES COSTA</t>
  </si>
  <si>
    <t>FRANCISCO WASHINGTON ALVES COSTA - 5439</t>
  </si>
  <si>
    <t>FRANCISCO WASHINGTON ALVES DA COSTA</t>
  </si>
  <si>
    <t>FRANCISCO WASHINGTON ALVES DA COSTA - 5439</t>
  </si>
  <si>
    <t>ADRIASIO SOARES MENDES</t>
  </si>
  <si>
    <t>ADRIASIO SOARES MENDES - 5440</t>
  </si>
  <si>
    <t>MANOEL NARCISO SOARES MOURA</t>
  </si>
  <si>
    <t>MANOEL NARCISO SOARES MOURA - 5441</t>
  </si>
  <si>
    <t>EDIMILSON LUIS FRANÇA</t>
  </si>
  <si>
    <t>EDIMILSON LUIS FRANÇA - 5442</t>
  </si>
  <si>
    <t>EDMILSON LUIS DE FRANCA</t>
  </si>
  <si>
    <t>EDMILSON LUIS DE FRANCA - 5442</t>
  </si>
  <si>
    <t>ROSEAN MOURA DOS SANTOS</t>
  </si>
  <si>
    <t>ROSEAN MOURA DOS SANTOS - 5443</t>
  </si>
  <si>
    <t>HERBERT FABIANO PEREIRA DA SILVA</t>
  </si>
  <si>
    <t>HERBERT FABIANO PEREIRA DA SILVA - 5444</t>
  </si>
  <si>
    <t>JULIO CESAR ALVES BRANDAO</t>
  </si>
  <si>
    <t>JULIO CESAR ALVES BRANDAO - 5445</t>
  </si>
  <si>
    <t>JULIO CESAR ALVES BRANDÃO</t>
  </si>
  <si>
    <t>JULIO CESAR ALVES BRANDÃO - 5445</t>
  </si>
  <si>
    <t>VALTERLINS ALIXANDRE COSTA</t>
  </si>
  <si>
    <t>VALTERLINS ALIXANDRE COSTA - 5446</t>
  </si>
  <si>
    <t>ILMAR PEREIRA DA SILVA</t>
  </si>
  <si>
    <t>ILMAR PEREIRA DA SILVA - 5447</t>
  </si>
  <si>
    <t>ADEILSON MEDEIROS DE SOUSA</t>
  </si>
  <si>
    <t>ADEILSON MEDEIROS DE SOUSA - 5448</t>
  </si>
  <si>
    <t>ADEILSON MEDEIROS DE SOUZA</t>
  </si>
  <si>
    <t>ADEILSON MEDEIROS DE SOUZA - 5448</t>
  </si>
  <si>
    <t>RICARDO AUGUSTO TEIXEIRA</t>
  </si>
  <si>
    <t>RICARDO AUGUSTO TEIXEIRA - 5449</t>
  </si>
  <si>
    <t>RICARDO AUGUSTO TEIXEIRA SANTOS</t>
  </si>
  <si>
    <t>RICARDO AUGUSTO TEIXEIRA SANTOS - 5449</t>
  </si>
  <si>
    <t>JOSE HELIO RANGEL BARBOSA - 5450</t>
  </si>
  <si>
    <t>FERNANDO OLIVEIRA DE SOUZA - 5451</t>
  </si>
  <si>
    <t>ANTONIO RAMIRO WEBER</t>
  </si>
  <si>
    <t>WESCLEY GUANABARA BATISTA DE ABREU - 5453</t>
  </si>
  <si>
    <t>GILSON MESQUITA LIMA</t>
  </si>
  <si>
    <t>GILSON MESQUITA LIMA - 5454</t>
  </si>
  <si>
    <t>MAURICIO GOMES GUIMARAES</t>
  </si>
  <si>
    <t>MAURICIO GOMES GUIMARAES - 5455</t>
  </si>
  <si>
    <t>LUIZ AUGUSTO ROSA OLIVEIRA</t>
  </si>
  <si>
    <t>LUIZ AUGUSTO ROSA OLIVEIRA - 5456</t>
  </si>
  <si>
    <t>WLADIMIR DE SA CARDOSO</t>
  </si>
  <si>
    <t>WLADIMIR DE SA CARDOSO - 5457</t>
  </si>
  <si>
    <t>WEDISON DIAS DA SILVA</t>
  </si>
  <si>
    <t>WEDISON DIAS DA SILVA - 5498</t>
  </si>
  <si>
    <t>MARCUS VINICIUS SARAIVA DE SOUSA</t>
  </si>
  <si>
    <t>MARCUS VINICIUS SARAIVA DE SOUSA - 5499</t>
  </si>
  <si>
    <t>YAGO ALVES MARTINS</t>
  </si>
  <si>
    <t>YAGO ALVES MARTINS - 5525</t>
  </si>
  <si>
    <t>EDIMAR DA SILVA RODRIGUES</t>
  </si>
  <si>
    <t>EDIMAR DA SILVA RODRIGUES - 5526</t>
  </si>
  <si>
    <t>ELSON LIMA DE SOUSA</t>
  </si>
  <si>
    <t>ELSON LIMA DE SOUSA - 5527</t>
  </si>
  <si>
    <t>MARCIO JOSE DA CRUZ</t>
  </si>
  <si>
    <t>MARCIO JOSE DA CRUZ - 5530</t>
  </si>
  <si>
    <t>LEON RODRIGUES LOPES</t>
  </si>
  <si>
    <t>LEON RODRIGUES LOPES - 5533</t>
  </si>
  <si>
    <t>LUCIANO FERREIRA DE OLIVEIRA</t>
  </si>
  <si>
    <t>LUCIANO FERREIRA DE OLIVEIRA - 5534</t>
  </si>
  <si>
    <t>LUIS CARLOS VIEIRA DE MELO SOUZA</t>
  </si>
  <si>
    <t>LUIS CARLOS VIEIRA DE MELO SOUZA - 5535</t>
  </si>
  <si>
    <t>MARCONES GRANDE DE SOUSA</t>
  </si>
  <si>
    <t>MARCONES GRANDE DE SOUSA - 5535</t>
  </si>
  <si>
    <t>MARCOS SUEL VICENTE DE SOUZA</t>
  </si>
  <si>
    <t>MARCOS SUEL VICENTE DE SOUZA - 5536</t>
  </si>
  <si>
    <t>RAFAEL JOSE TOME DE LIMA</t>
  </si>
  <si>
    <t>RAFAEL JOSE TOME DE LIMA - 5537</t>
  </si>
  <si>
    <t>ROBERTO PEREIRA DE MATOS</t>
  </si>
  <si>
    <t>ROBERTO PEREIRA DE MATOS - 5538</t>
  </si>
  <si>
    <t>ROBERTO SOARES RUFINO</t>
  </si>
  <si>
    <t>ROBERTO SOARES RUFINO - 5539</t>
  </si>
  <si>
    <t>WESLEY RODRIGUES DE OLIVEIRA</t>
  </si>
  <si>
    <t>WESLEY RODRIGUES DE OLIVEIRA - 5540</t>
  </si>
  <si>
    <t>CLENIVAN RODRIGUES DOS REIS</t>
  </si>
  <si>
    <t>CLENIVAN RODRIGUES DOS REIS - 5542</t>
  </si>
  <si>
    <t>ROBSON REIS DA SILVA</t>
  </si>
  <si>
    <t>ROBSON REIS DA SILVA - 5543</t>
  </si>
  <si>
    <t>GILSON MESQUITA LIMA - 5544</t>
  </si>
  <si>
    <t>JOAO FERREIRA COSTA</t>
  </si>
  <si>
    <t>SEBASTIAO ALVES MOURA</t>
  </si>
  <si>
    <t>SEBASTIAO ALVES MOURA - 5546</t>
  </si>
  <si>
    <t>HERALDO VIEIRA DE SA</t>
  </si>
  <si>
    <t>HERALDO VIEIRA DE SA - 5550</t>
  </si>
  <si>
    <t>JORBEN SILVA DE OLIVEIRA</t>
  </si>
  <si>
    <t>JORBEN SILVA DE OLIVEIRA - 5551</t>
  </si>
  <si>
    <t>JOAO ROQUELINO PERES JUNIOR</t>
  </si>
  <si>
    <t>JOAO ROQUELINO PERES JUNIOR - 5552</t>
  </si>
  <si>
    <t>ROBERTO RIOS MARTINS</t>
  </si>
  <si>
    <t>ROBERTO RIOS MARTINS - 5556</t>
  </si>
  <si>
    <t>KEMMUEL KESSLER PASSOS OLIVEIRA</t>
  </si>
  <si>
    <t>KEMMUEL KESSLER PASSOS OLIVEIRA - 5557</t>
  </si>
  <si>
    <t>GERSON PEREIRA ALVES - 5558</t>
  </si>
  <si>
    <t>ADEMILTON DE OLIVEIRA SILVA</t>
  </si>
  <si>
    <t>ADEMILTON DE OLIVEIRA SILVA - 5559</t>
  </si>
  <si>
    <t>RAMON NONATO SILVA JUSTINO</t>
  </si>
  <si>
    <t>RAMON NONATO SILVA JUSTINO - 5560</t>
  </si>
  <si>
    <t>AMARILDO JOSE RIBEIRO</t>
  </si>
  <si>
    <t>AMARILDO JOSE RIBEIRO - 5564</t>
  </si>
  <si>
    <t>ORLANDO DA COSTA SILVA</t>
  </si>
  <si>
    <t>ORLANDO DA COSTA SILVA - 5568</t>
  </si>
  <si>
    <t>WILLAMS ALVES DE SOUZA</t>
  </si>
  <si>
    <t>WILLAMS ALVES DE SOUZA - 5569</t>
  </si>
  <si>
    <t>MILTON AFONSO DE ARAUJO</t>
  </si>
  <si>
    <t>MILTON AFONSO DE ARAUJO - 5570</t>
  </si>
  <si>
    <t>JEZANIAS GOIS DOS SANTOS</t>
  </si>
  <si>
    <t>JEZANIAS GOIS DOS SANTOS - 5573</t>
  </si>
  <si>
    <t>EDSON LUIZ SZUMOVSKI - 5581</t>
  </si>
  <si>
    <t>WALDERNI SEBASTIAO</t>
  </si>
  <si>
    <t>WALDERNI SEBASTIAO - 5582</t>
  </si>
  <si>
    <t>EVANDRO BEZERRA LOPES</t>
  </si>
  <si>
    <t>EVANDRO BEZERRA LOPES - 5588</t>
  </si>
  <si>
    <t>CRISTIANO ALVES DE AVILA</t>
  </si>
  <si>
    <t>CRISTIANO ALVES DE AVILA - 5591</t>
  </si>
  <si>
    <t>MARCOS BORGES DE CARVALHO</t>
  </si>
  <si>
    <t>MARCOS BORGES DE CARVALHO - 5592</t>
  </si>
  <si>
    <t>LEIDIOMAR CAETANO DA SILCA</t>
  </si>
  <si>
    <t>LEIDIOMAR CAETANO DA SILCA - 5594</t>
  </si>
  <si>
    <t>CARLOS PEREIRA DE ALVARENGA</t>
  </si>
  <si>
    <t>CARLOS PEREIRA DE ALVARENGA - 5596</t>
  </si>
  <si>
    <t>WOLNEY EDUARDO DE OLIVEIRA</t>
  </si>
  <si>
    <t>WOLNEY EDUARDO DE OLIVEIRA - 5607</t>
  </si>
  <si>
    <t>JOAO ANIVAIR DE QUEIROZ</t>
  </si>
  <si>
    <t>JOAO ANIVAIR DE QUEIROZ - 5608</t>
  </si>
  <si>
    <t>JOAO ANIVAIR DE QUEIROZ - 5609</t>
  </si>
  <si>
    <t>GERALDO MARTINS DOS SANTOS</t>
  </si>
  <si>
    <t>GERALDO MARTINS DOS SANTOS - 5610</t>
  </si>
  <si>
    <t>ABIAS ALVES DE OLIVEIRA</t>
  </si>
  <si>
    <t>ABIAS ALVES DE OLIVEIRA - 5619</t>
  </si>
  <si>
    <t>AGNALDO ALVES DE CARVALHO</t>
  </si>
  <si>
    <t>AGNALDO ALVES DE CARVALHO - 5623</t>
  </si>
  <si>
    <t>GILMAR ALVES DE MARIA</t>
  </si>
  <si>
    <t>GILMAR ALVES DE MARIA - 5627</t>
  </si>
  <si>
    <t>JOSE PINHEIRO DA SILVA</t>
  </si>
  <si>
    <t>JOSE PINHEIRO DA SILVA - 5628</t>
  </si>
  <si>
    <t>VALTER PEREIRA MACIEL</t>
  </si>
  <si>
    <t>VALTER PEREIRA MACIEL - 5630</t>
  </si>
  <si>
    <t>YAGO ALVES MARTINS DOS SANTOS</t>
  </si>
  <si>
    <t>YAGO ALVES MARTINS DOS SANTOS - 5631</t>
  </si>
  <si>
    <t>DERIVAN OLIVEIRA SILVA</t>
  </si>
  <si>
    <t>DERIVAN OLIVEIRA SILVA - 5632</t>
  </si>
  <si>
    <t>LUIZ CARLOS MARIANO SIQUEIRA</t>
  </si>
  <si>
    <t>LUIZ CARLOS MARIANO SIQUEIRA - 5634</t>
  </si>
  <si>
    <t>NILSON CORTEZ MIRANDA</t>
  </si>
  <si>
    <t>NILSON CORTEZ MIRANDA - 5636</t>
  </si>
  <si>
    <t>RONALDO ADRIANO COSTA SANTOS</t>
  </si>
  <si>
    <t>WESLEY SILVA PAIVA</t>
  </si>
  <si>
    <t>WESLEY SILVA PAIVA - 5638</t>
  </si>
  <si>
    <t>ANTONIO DE PADUA DA  SILVA</t>
  </si>
  <si>
    <t>ANTONIO DE PADUA DA  SILVA - 5645</t>
  </si>
  <si>
    <t>ANTONIO  SOBRINHO DE OLIVEIRA</t>
  </si>
  <si>
    <t>ANTONIO  SOBRINHO DE OLIVEIRA - 5646</t>
  </si>
  <si>
    <t>ARIMATEIA  DA  SILVA CAMPOS JUNIOR</t>
  </si>
  <si>
    <t>ARIMATEIA  DA  SILVA CAMPOS JUNIOR - 5647</t>
  </si>
  <si>
    <t>DANYLSON BATISTA  SANTANA</t>
  </si>
  <si>
    <t>DANYLSON BATISTA  SANTANA - 5648</t>
  </si>
  <si>
    <t>GILDEAN LEAL TEIXEIRA</t>
  </si>
  <si>
    <t>GILDEAN LEAL TEIXEIRA - 5649</t>
  </si>
  <si>
    <t>HAILTON ALVES DA  SILVA</t>
  </si>
  <si>
    <t>HAILTON ALVES DA  SILVA - 5650</t>
  </si>
  <si>
    <t>HELITON OLIVEIRA DE LIMA</t>
  </si>
  <si>
    <t>HELITON OLIVEIRA DE LIMA - 5651</t>
  </si>
  <si>
    <t>JOSE CLAUDIMAR  CUNHA</t>
  </si>
  <si>
    <t>JOSE CLAUDIMAR  CUNHA - 5652</t>
  </si>
  <si>
    <t>KEITH NOLAN CARNEIRO BARBOSA</t>
  </si>
  <si>
    <t>KEITH NOLAN CARNEIRO BARBOSA - 5653</t>
  </si>
  <si>
    <t>LUIZ ANDRE GOMES DE SOUSA</t>
  </si>
  <si>
    <t>LUIZ ANDRE GOMES DE SOUSA - 5654</t>
  </si>
  <si>
    <t>MARCELO ALVES DE SOUSA</t>
  </si>
  <si>
    <t>MARCELO ALVES DE SOUSA - 5655</t>
  </si>
  <si>
    <t>FRANCISCO DAS CHAGAS SILVA</t>
  </si>
  <si>
    <t>MARCIO DE SOUSA BRASILEIRO</t>
  </si>
  <si>
    <t>MARCIO DE SOUSA BRASILEIRO - 5657</t>
  </si>
  <si>
    <t>RAIMUNDO NONATO FRANCO NETO</t>
  </si>
  <si>
    <t>RAIMUNDO NONATO FRANCO NETO - 5658</t>
  </si>
  <si>
    <t>ROSEAN MOURA DOS SANTOS - 5659</t>
  </si>
  <si>
    <t>RICARDO AUGUSTO TEIXEIRA SANTOS - 5660</t>
  </si>
  <si>
    <t>ACELINO DE ABREU SILVA</t>
  </si>
  <si>
    <t>ACELINO DE ABREU SILVA - 5661</t>
  </si>
  <si>
    <t>RAIMUNDO NONATO MAGALHAES DO NASCIMENTO</t>
  </si>
  <si>
    <t>RAIMUNDO NONATO MAGALHAES DO NASCIMENTO - 5662</t>
  </si>
  <si>
    <t>JOAO PAULINO DE  SILVA NETO</t>
  </si>
  <si>
    <t>JOAO PAULINO DE  SILVA NETO - 5663</t>
  </si>
  <si>
    <t>LEDIO FRANCISCO CORREIA</t>
  </si>
  <si>
    <t>LEDIO FRANCISCO CORREIA - 5666</t>
  </si>
  <si>
    <t>GENILDO REIS CORREIA DE SOUSA</t>
  </si>
  <si>
    <t>GENILDO REIS CORREIA DE SOUSA - 5667</t>
  </si>
  <si>
    <t>ORLANDO DA COSTA SILVA - 5668</t>
  </si>
  <si>
    <t>AMARAL E SILVA SOBRINHO</t>
  </si>
  <si>
    <t>AMARAL E SILVA SOBRINHO - 5669</t>
  </si>
  <si>
    <t>EMIVAL GOMES DE MELO</t>
  </si>
  <si>
    <t>EMIVAL GOMES DE MELO - 5673</t>
  </si>
  <si>
    <t>AELSON PEREIRA DO NASCIMENTO</t>
  </si>
  <si>
    <t>AELSON PEREIRA DO NASCIMENTO - 5682</t>
  </si>
  <si>
    <t>AMAYLDO LUCCENA GUIMARAES</t>
  </si>
  <si>
    <t>AMAYLDO LUCCENA GUIMARAES - 5683</t>
  </si>
  <si>
    <t>JOVAN ALVES CHAVES</t>
  </si>
  <si>
    <t>JOVAN ALVES CHAVES - 5684</t>
  </si>
  <si>
    <t>CICERO FRANCINETE SILVA</t>
  </si>
  <si>
    <t>1625 / MONITOR</t>
  </si>
  <si>
    <t>CICERO FRANCINETE SILVA - 1625 / MONITOR</t>
  </si>
  <si>
    <t>JEAN FREITAS MESSIAS</t>
  </si>
  <si>
    <t>2036 / MONITOR</t>
  </si>
  <si>
    <t>JEAN FREITAS MESSIAS - 2036 / MONITOR</t>
  </si>
  <si>
    <t>CANCELADO - CANCELADO</t>
  </si>
  <si>
    <t xml:space="preserve">ABIAS ALVES DE OLIVEIRA - </t>
  </si>
  <si>
    <t xml:space="preserve">HERCULES CARVALHO SANTOS - </t>
  </si>
  <si>
    <t xml:space="preserve">MARCIO DE SOUSA MATOS - </t>
  </si>
  <si>
    <t>NOME</t>
  </si>
  <si>
    <t>MAT</t>
  </si>
  <si>
    <t>EXTRAS</t>
  </si>
  <si>
    <t>GYN X THE</t>
  </si>
  <si>
    <t>EDIVALDO DE ARAUJO - 6214</t>
  </si>
  <si>
    <t xml:space="preserve">  IVANILSON BARBOSA PEREIRA- 5434</t>
  </si>
  <si>
    <t>BRUNO MATOS DA ROCHA - 6013</t>
  </si>
  <si>
    <t>GILMAR RODRIGUES DE LIMA - 5819</t>
  </si>
  <si>
    <t>TERESINA X GOIANIA 20:35 EXTRA</t>
  </si>
  <si>
    <t>THE X GYN 20:35 EXTRA</t>
  </si>
  <si>
    <t>SEGUNDA</t>
  </si>
  <si>
    <t>JOSE ATAZ QUINTINO - 6048</t>
  </si>
  <si>
    <t xml:space="preserve">  WILLIAN DE SOUZA BANDEIRA- 2025</t>
  </si>
  <si>
    <t xml:space="preserve">  EURIPEDES BARSANULFO DIAS ROSA- 1951</t>
  </si>
  <si>
    <t xml:space="preserve">  NEIRIVAL MOREIRA PINTO- 5432</t>
  </si>
  <si>
    <t>GOIANIA (GO) X VILA RICA (MT)</t>
  </si>
  <si>
    <t>MARCIO RODRIGUES DA COSTA - 5993</t>
  </si>
  <si>
    <t>LAUCEANDO DA SILVA ROCHA - 6220</t>
  </si>
  <si>
    <t>RAIMUNDO COSTA SILVA - 6226</t>
  </si>
  <si>
    <t>JEFFERSON CARDOSO DOS SANTOS - 5837</t>
  </si>
  <si>
    <t>PAULO ENEAS FARIAS ARAUJO - 6218</t>
  </si>
  <si>
    <t xml:space="preserve">  REINAN JOSE BORGES SOUSA- 1075</t>
  </si>
  <si>
    <t>19017 - manutenção</t>
  </si>
  <si>
    <t>20020 - motor</t>
  </si>
  <si>
    <t>19016 - cx. Cambio</t>
  </si>
  <si>
    <t>19014 - 15/08 - 07:00</t>
  </si>
  <si>
    <t>19013 - 15/08 - 08:30</t>
  </si>
  <si>
    <t>KLEBER OLIVEIRA LIMA - 5849</t>
  </si>
  <si>
    <t>KAYLSON KLEYTON DA SILVA COSTA - 6224</t>
  </si>
  <si>
    <t>JARDEL DE SOUSA OLIVEIRA - 5992</t>
  </si>
  <si>
    <t>EDIVALDO DE ARAUJO - 6217</t>
  </si>
  <si>
    <t>SEXTA</t>
  </si>
  <si>
    <t>( MOTORISTA DE GOIÂNIA )</t>
  </si>
  <si>
    <t>IMPERATRIZ (MA) X VILA RICA (MT)</t>
  </si>
  <si>
    <t>FERNANDO ALVES DE SOUZA - 6350</t>
  </si>
  <si>
    <t>CARLOS ADRIANO DE SOUZA DO NASCIMENTO - 6222</t>
  </si>
  <si>
    <t>JAKTAN DE OLIVEIRA RODRIGUES - 5836</t>
  </si>
  <si>
    <t>ARIANO SILVA OLIVEIRA - 6349</t>
  </si>
  <si>
    <t>JOSE ANTONIO OLIVEIRA SILVA NETO - 6378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</si>
</sst>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41" x14ac:knownFonts="1">
    <font>
      <sz val="11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1F3864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9"/>
      <name val="Consolas"/>
      <family val="3"/>
    </font>
    <font>
      <sz val="11"/>
      <name val="Consolas"/>
      <family val="3"/>
    </font>
    <font>
      <sz val="11"/>
      <color theme="7"/>
      <name val="Calibri"/>
      <family val="2"/>
      <scheme val="minor"/>
    </font>
    <font>
      <sz val="9"/>
      <color rgb="FF00B0F0"/>
      <name val="Calibri"/>
      <family val="2"/>
      <scheme val="minor"/>
    </font>
    <font>
      <sz val="9"/>
      <color rgb="FF92D050"/>
      <name val="Calibri"/>
      <family val="2"/>
      <scheme val="minor"/>
    </font>
    <font>
      <b/>
      <sz val="12"/>
      <color rgb="FF92D050"/>
      <name val="Consolas"/>
      <family val="3"/>
    </font>
    <font>
      <b/>
      <sz val="16"/>
      <color rgb="FF92D050"/>
      <name val="Consolas"/>
      <family val="3"/>
    </font>
    <font>
      <sz val="11"/>
      <color rgb="FF92D050"/>
      <name val="Calibri"/>
      <family val="2"/>
      <scheme val="minor"/>
    </font>
    <font>
      <b/>
      <sz val="11"/>
      <color rgb="FF92D050"/>
      <name val="Consolas"/>
      <family val="3"/>
    </font>
    <font>
      <b/>
      <sz val="11"/>
      <color theme="9" tint="-0.499984740745262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4"/>
      <color theme="9"/>
      <name val="Impact"/>
      <family val="2"/>
    </font>
    <font>
      <b/>
      <sz val="14"/>
      <color theme="0" tint="-4.9989318521683403E-2"/>
      <name val="Calibri"/>
      <family val="2"/>
      <scheme val="minor"/>
    </font>
    <font>
      <sz val="10"/>
      <color theme="7"/>
      <name val="Calibri"/>
      <family val="2"/>
      <scheme val="minor"/>
    </font>
    <font>
      <b/>
      <sz val="10"/>
      <color theme="7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6"/>
      <color rgb="FFFFFFFF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00B0F0"/>
        <bgColor rgb="FF000000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250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0" fillId="6" borderId="0" xfId="0" applyFill="1"/>
    <xf numFmtId="0" fontId="10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1" xfId="0" applyBorder="1"/>
    <xf numFmtId="0" fontId="0" fillId="0" borderId="14" xfId="0" applyBorder="1"/>
    <xf numFmtId="0" fontId="0" fillId="0" borderId="8" xfId="0" applyBorder="1"/>
    <xf numFmtId="164" fontId="0" fillId="7" borderId="0" xfId="0" applyNumberFormat="1" applyFill="1" applyAlignment="1">
      <alignment horizontal="center"/>
    </xf>
    <xf numFmtId="20" fontId="10" fillId="0" borderId="15" xfId="0" applyNumberFormat="1" applyFont="1" applyBorder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22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6" fillId="6" borderId="0" xfId="0" applyFont="1" applyFill="1" applyAlignment="1">
      <alignment horizontal="center" vertical="center"/>
    </xf>
    <xf numFmtId="0" fontId="13" fillId="6" borderId="0" xfId="0" applyFont="1" applyFill="1"/>
    <xf numFmtId="0" fontId="17" fillId="6" borderId="0" xfId="0" applyFont="1" applyFill="1" applyAlignment="1">
      <alignment horizontal="center" vertical="center"/>
    </xf>
    <xf numFmtId="0" fontId="18" fillId="6" borderId="19" xfId="0" applyFont="1" applyFill="1" applyBorder="1" applyAlignment="1">
      <alignment vertical="center" wrapText="1"/>
    </xf>
    <xf numFmtId="0" fontId="20" fillId="6" borderId="0" xfId="1" applyFont="1" applyFill="1" applyBorder="1" applyAlignment="1">
      <alignment horizontal="center" vertical="top"/>
    </xf>
    <xf numFmtId="0" fontId="23" fillId="6" borderId="0" xfId="0" applyFont="1" applyFill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26" fillId="7" borderId="1" xfId="0" applyFont="1" applyFill="1" applyBorder="1" applyAlignment="1">
      <alignment horizontal="center" vertical="center"/>
    </xf>
    <xf numFmtId="164" fontId="26" fillId="7" borderId="1" xfId="0" applyNumberFormat="1" applyFont="1" applyFill="1" applyBorder="1" applyAlignment="1">
      <alignment horizontal="center" vertical="center"/>
    </xf>
    <xf numFmtId="164" fontId="10" fillId="0" borderId="15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" fillId="6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2" borderId="0" xfId="0" applyFill="1"/>
    <xf numFmtId="0" fontId="0" fillId="12" borderId="0" xfId="0" applyFill="1" applyAlignment="1">
      <alignment horizontal="center"/>
    </xf>
    <xf numFmtId="0" fontId="0" fillId="12" borderId="0" xfId="0" applyFill="1" applyProtection="1">
      <protection hidden="1"/>
    </xf>
    <xf numFmtId="0" fontId="0" fillId="12" borderId="0" xfId="0" applyFill="1" applyAlignment="1" applyProtection="1">
      <alignment horizontal="center"/>
      <protection hidden="1"/>
    </xf>
    <xf numFmtId="47" fontId="0" fillId="0" borderId="1" xfId="0" applyNumberFormat="1" applyBorder="1" applyAlignment="1">
      <alignment horizontal="center"/>
    </xf>
    <xf numFmtId="0" fontId="29" fillId="7" borderId="5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14" fontId="10" fillId="7" borderId="2" xfId="0" applyNumberFormat="1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164" fontId="10" fillId="7" borderId="2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14" fontId="25" fillId="7" borderId="2" xfId="0" applyNumberFormat="1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164" fontId="25" fillId="7" borderId="2" xfId="0" applyNumberFormat="1" applyFont="1" applyFill="1" applyBorder="1" applyAlignment="1">
      <alignment horizontal="center" vertical="center"/>
    </xf>
    <xf numFmtId="164" fontId="8" fillId="7" borderId="2" xfId="0" applyNumberFormat="1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14" fontId="0" fillId="7" borderId="0" xfId="0" applyNumberFormat="1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4" fontId="30" fillId="14" borderId="13" xfId="0" applyNumberFormat="1" applyFont="1" applyFill="1" applyBorder="1" applyAlignment="1">
      <alignment horizontal="center" vertical="center"/>
    </xf>
    <xf numFmtId="0" fontId="30" fillId="14" borderId="6" xfId="0" applyFont="1" applyFill="1" applyBorder="1" applyAlignment="1">
      <alignment horizontal="center" vertical="center"/>
    </xf>
    <xf numFmtId="164" fontId="30" fillId="14" borderId="6" xfId="0" applyNumberFormat="1" applyFont="1" applyFill="1" applyBorder="1" applyAlignment="1">
      <alignment horizontal="center" vertical="center"/>
    </xf>
    <xf numFmtId="0" fontId="30" fillId="14" borderId="12" xfId="0" applyFont="1" applyFill="1" applyBorder="1" applyAlignment="1">
      <alignment horizontal="center" vertical="center"/>
    </xf>
    <xf numFmtId="0" fontId="0" fillId="4" borderId="0" xfId="0" applyFill="1"/>
    <xf numFmtId="0" fontId="31" fillId="4" borderId="0" xfId="0" applyFont="1" applyFill="1"/>
    <xf numFmtId="0" fontId="31" fillId="4" borderId="0" xfId="0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12" fillId="4" borderId="0" xfId="0" applyFont="1" applyFill="1"/>
    <xf numFmtId="0" fontId="27" fillId="4" borderId="0" xfId="0" applyFont="1" applyFill="1" applyAlignment="1">
      <alignment horizontal="center"/>
    </xf>
    <xf numFmtId="0" fontId="7" fillId="7" borderId="0" xfId="0" applyFont="1" applyFill="1" applyAlignment="1">
      <alignment horizontal="center" vertical="center"/>
    </xf>
    <xf numFmtId="0" fontId="33" fillId="0" borderId="0" xfId="0" applyFont="1"/>
    <xf numFmtId="0" fontId="0" fillId="7" borderId="20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33" fillId="7" borderId="23" xfId="0" applyFont="1" applyFill="1" applyBorder="1" applyAlignment="1">
      <alignment horizontal="center" vertical="center"/>
    </xf>
    <xf numFmtId="0" fontId="33" fillId="7" borderId="24" xfId="0" applyFont="1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164" fontId="34" fillId="2" borderId="1" xfId="0" applyNumberFormat="1" applyFont="1" applyFill="1" applyBorder="1" applyAlignment="1">
      <alignment horizontal="center" vertical="center"/>
    </xf>
    <xf numFmtId="14" fontId="35" fillId="7" borderId="1" xfId="0" applyNumberFormat="1" applyFont="1" applyFill="1" applyBorder="1" applyAlignment="1">
      <alignment horizontal="center" vertical="center"/>
    </xf>
    <xf numFmtId="164" fontId="35" fillId="7" borderId="1" xfId="0" applyNumberFormat="1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center" vertical="center"/>
    </xf>
    <xf numFmtId="0" fontId="36" fillId="15" borderId="1" xfId="0" applyFont="1" applyFill="1" applyBorder="1" applyAlignment="1">
      <alignment horizontal="center" vertical="center"/>
    </xf>
    <xf numFmtId="20" fontId="35" fillId="7" borderId="1" xfId="0" applyNumberFormat="1" applyFont="1" applyFill="1" applyBorder="1" applyAlignment="1">
      <alignment horizontal="center" vertical="center"/>
    </xf>
    <xf numFmtId="0" fontId="37" fillId="7" borderId="1" xfId="0" applyFont="1" applyFill="1" applyBorder="1" applyAlignment="1">
      <alignment horizontal="center" vertical="center"/>
    </xf>
    <xf numFmtId="0" fontId="38" fillId="7" borderId="1" xfId="0" applyFont="1" applyFill="1" applyBorder="1" applyAlignment="1">
      <alignment horizontal="center" vertical="center"/>
    </xf>
    <xf numFmtId="164" fontId="1" fillId="16" borderId="1" xfId="0" applyNumberFormat="1" applyFont="1" applyFill="1" applyBorder="1" applyAlignment="1">
      <alignment horizontal="center" vertical="center"/>
    </xf>
    <xf numFmtId="164" fontId="3" fillId="16" borderId="1" xfId="0" applyNumberFormat="1" applyFont="1" applyFill="1" applyBorder="1" applyAlignment="1">
      <alignment horizontal="center" vertical="center"/>
    </xf>
    <xf numFmtId="164" fontId="3" fillId="16" borderId="1" xfId="0" quotePrefix="1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64" fontId="1" fillId="17" borderId="1" xfId="0" applyNumberFormat="1" applyFont="1" applyFill="1" applyBorder="1" applyAlignment="1">
      <alignment horizontal="center" vertical="center"/>
    </xf>
    <xf numFmtId="164" fontId="1" fillId="17" borderId="1" xfId="0" quotePrefix="1" applyNumberFormat="1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16" fontId="10" fillId="0" borderId="15" xfId="0" applyNumberFormat="1" applyFont="1" applyBorder="1" applyAlignment="1">
      <alignment horizontal="center" vertical="center"/>
    </xf>
    <xf numFmtId="0" fontId="24" fillId="6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7" fillId="8" borderId="18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14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/>
    </xf>
    <xf numFmtId="0" fontId="1" fillId="17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16" borderId="3" xfId="0" applyFont="1" applyFill="1" applyBorder="1" applyAlignment="1">
      <alignment horizontal="center" vertical="center"/>
    </xf>
    <xf numFmtId="0" fontId="26" fillId="16" borderId="5" xfId="0" applyFont="1" applyFill="1" applyBorder="1" applyAlignment="1">
      <alignment horizontal="center" vertical="center"/>
    </xf>
    <xf numFmtId="0" fontId="26" fillId="16" borderId="1" xfId="0" applyFont="1" applyFill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164" fontId="7" fillId="2" borderId="8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7" fillId="18" borderId="7" xfId="0" applyFont="1" applyFill="1" applyBorder="1" applyAlignment="1">
      <alignment horizontal="center" vertical="center"/>
    </xf>
    <xf numFmtId="164" fontId="7" fillId="18" borderId="8" xfId="0" applyNumberFormat="1" applyFont="1" applyFill="1" applyBorder="1" applyAlignment="1">
      <alignment horizontal="center" vertical="center"/>
    </xf>
    <xf numFmtId="0" fontId="7" fillId="18" borderId="8" xfId="0" applyFont="1" applyFill="1" applyBorder="1" applyAlignment="1">
      <alignment horizontal="center" vertical="center"/>
    </xf>
    <xf numFmtId="0" fontId="7" fillId="18" borderId="9" xfId="0" applyFont="1" applyFill="1" applyBorder="1" applyAlignment="1">
      <alignment horizontal="center" vertical="center"/>
    </xf>
    <xf numFmtId="164" fontId="8" fillId="7" borderId="11" xfId="0" applyNumberFormat="1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0" fontId="6" fillId="0" borderId="1" xfId="0" applyNumberFormat="1" applyFont="1" applyBorder="1" applyAlignment="1">
      <alignment horizontal="center" vertical="center"/>
    </xf>
    <xf numFmtId="20" fontId="35" fillId="7" borderId="1" xfId="0" quotePrefix="1" applyNumberFormat="1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164" fontId="8" fillId="0" borderId="30" xfId="0" applyNumberFormat="1" applyFont="1" applyBorder="1" applyAlignment="1">
      <alignment horizontal="center" vertical="center"/>
    </xf>
    <xf numFmtId="14" fontId="8" fillId="0" borderId="29" xfId="0" applyNumberFormat="1" applyFont="1" applyBorder="1" applyAlignment="1">
      <alignment horizontal="center" vertical="center"/>
    </xf>
    <xf numFmtId="164" fontId="8" fillId="7" borderId="30" xfId="0" applyNumberFormat="1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164" fontId="9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4" fontId="35" fillId="7" borderId="0" xfId="0" applyNumberFormat="1" applyFont="1" applyFill="1" applyAlignment="1">
      <alignment horizontal="center" vertical="center"/>
    </xf>
    <xf numFmtId="164" fontId="35" fillId="7" borderId="0" xfId="0" applyNumberFormat="1" applyFont="1" applyFill="1" applyAlignment="1">
      <alignment horizontal="center" vertical="center"/>
    </xf>
    <xf numFmtId="0" fontId="35" fillId="7" borderId="0" xfId="0" applyFont="1" applyFill="1" applyAlignment="1">
      <alignment horizontal="center" vertical="center"/>
    </xf>
    <xf numFmtId="0" fontId="37" fillId="7" borderId="0" xfId="0" applyFont="1" applyFill="1" applyAlignment="1">
      <alignment horizontal="center" vertical="center"/>
    </xf>
    <xf numFmtId="20" fontId="35" fillId="7" borderId="0" xfId="0" applyNumberFormat="1" applyFont="1" applyFill="1" applyAlignment="1">
      <alignment horizontal="center" vertical="center"/>
    </xf>
    <xf numFmtId="0" fontId="0" fillId="7" borderId="26" xfId="0" applyFill="1" applyBorder="1" applyAlignment="1">
      <alignment horizontal="center" vertical="top"/>
    </xf>
    <xf numFmtId="0" fontId="39" fillId="19" borderId="2" xfId="0" applyFont="1" applyFill="1" applyBorder="1" applyAlignment="1">
      <alignment horizontal="center" vertical="center"/>
    </xf>
    <xf numFmtId="0" fontId="11" fillId="20" borderId="14" xfId="0" applyFont="1" applyFill="1" applyBorder="1" applyAlignment="1">
      <alignment vertical="center" textRotation="255"/>
    </xf>
    <xf numFmtId="0" fontId="11" fillId="20" borderId="8" xfId="0" applyFont="1" applyFill="1" applyBorder="1" applyAlignment="1">
      <alignment vertical="center" textRotation="255"/>
    </xf>
    <xf numFmtId="1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center" vertical="center"/>
    </xf>
    <xf numFmtId="0" fontId="6" fillId="0" borderId="0" xfId="0" applyFont="1"/>
    <xf numFmtId="0" fontId="11" fillId="21" borderId="32" xfId="0" applyFont="1" applyFill="1" applyBorder="1" applyAlignment="1">
      <alignment horizontal="center" vertical="center" textRotation="255"/>
    </xf>
    <xf numFmtId="0" fontId="11" fillId="21" borderId="6" xfId="0" applyFont="1" applyFill="1" applyBorder="1" applyAlignment="1">
      <alignment horizontal="center" vertical="center" textRotation="255"/>
    </xf>
    <xf numFmtId="0" fontId="11" fillId="21" borderId="33" xfId="0" applyFont="1" applyFill="1" applyBorder="1" applyAlignment="1">
      <alignment horizontal="center" vertical="center" textRotation="255"/>
    </xf>
    <xf numFmtId="0" fontId="0" fillId="6" borderId="0" xfId="0" applyFill="1" applyAlignment="1">
      <alignment horizontal="center"/>
    </xf>
    <xf numFmtId="0" fontId="19" fillId="6" borderId="0" xfId="1" applyFont="1" applyFill="1" applyBorder="1" applyAlignment="1">
      <alignment horizontal="left"/>
    </xf>
    <xf numFmtId="0" fontId="22" fillId="6" borderId="0" xfId="0" applyFont="1" applyFill="1" applyAlignment="1">
      <alignment horizontal="center" vertical="center"/>
    </xf>
    <xf numFmtId="0" fontId="24" fillId="6" borderId="0" xfId="0" applyFont="1" applyFill="1" applyAlignment="1">
      <alignment horizontal="center"/>
    </xf>
    <xf numFmtId="0" fontId="21" fillId="6" borderId="0" xfId="0" applyFont="1" applyFill="1" applyAlignment="1">
      <alignment horizontal="left" vertical="center"/>
    </xf>
    <xf numFmtId="0" fontId="21" fillId="6" borderId="0" xfId="0" applyFont="1" applyFill="1" applyAlignment="1">
      <alignment horizontal="right" vertical="center"/>
    </xf>
    <xf numFmtId="0" fontId="32" fillId="4" borderId="0" xfId="0" applyFont="1" applyFill="1" applyAlignment="1">
      <alignment horizontal="center"/>
    </xf>
    <xf numFmtId="0" fontId="14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28" fillId="13" borderId="3" xfId="0" applyFont="1" applyFill="1" applyBorder="1" applyAlignment="1">
      <alignment horizontal="center"/>
    </xf>
    <xf numFmtId="0" fontId="28" fillId="13" borderId="4" xfId="0" applyFont="1" applyFill="1" applyBorder="1" applyAlignment="1">
      <alignment horizontal="center"/>
    </xf>
    <xf numFmtId="0" fontId="28" fillId="13" borderId="5" xfId="0" applyFont="1" applyFill="1" applyBorder="1" applyAlignment="1">
      <alignment horizontal="center"/>
    </xf>
    <xf numFmtId="0" fontId="7" fillId="8" borderId="16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8" borderId="15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0" fontId="10" fillId="10" borderId="18" xfId="0" applyFont="1" applyFill="1" applyBorder="1" applyAlignment="1">
      <alignment horizontal="center" vertical="center"/>
    </xf>
    <xf numFmtId="0" fontId="10" fillId="10" borderId="15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7" fillId="11" borderId="16" xfId="0" applyFont="1" applyFill="1" applyBorder="1" applyAlignment="1">
      <alignment horizontal="center" vertical="center"/>
    </xf>
    <xf numFmtId="0" fontId="7" fillId="11" borderId="18" xfId="0" applyFont="1" applyFill="1" applyBorder="1" applyAlignment="1">
      <alignment horizontal="center" vertical="center"/>
    </xf>
    <xf numFmtId="14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6" fillId="16" borderId="3" xfId="0" applyFont="1" applyFill="1" applyBorder="1" applyAlignment="1">
      <alignment horizontal="center" vertical="center"/>
    </xf>
    <xf numFmtId="0" fontId="26" fillId="16" borderId="5" xfId="0" applyFont="1" applyFill="1" applyBorder="1" applyAlignment="1">
      <alignment horizontal="center" vertical="center"/>
    </xf>
    <xf numFmtId="0" fontId="3" fillId="16" borderId="11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1" fillId="16" borderId="11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164" fontId="1" fillId="16" borderId="11" xfId="0" applyNumberFormat="1" applyFont="1" applyFill="1" applyBorder="1" applyAlignment="1">
      <alignment horizontal="center" vertical="center"/>
    </xf>
    <xf numFmtId="164" fontId="1" fillId="16" borderId="8" xfId="0" applyNumberFormat="1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/>
    </xf>
    <xf numFmtId="0" fontId="1" fillId="17" borderId="3" xfId="0" applyFont="1" applyFill="1" applyBorder="1" applyAlignment="1">
      <alignment horizontal="center" vertical="center"/>
    </xf>
    <xf numFmtId="0" fontId="1" fillId="17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17" borderId="11" xfId="0" applyFont="1" applyFill="1" applyBorder="1" applyAlignment="1">
      <alignment horizontal="center" vertical="center"/>
    </xf>
    <xf numFmtId="0" fontId="1" fillId="17" borderId="8" xfId="0" applyFont="1" applyFill="1" applyBorder="1" applyAlignment="1">
      <alignment horizontal="center" vertical="center"/>
    </xf>
    <xf numFmtId="0" fontId="1" fillId="17" borderId="11" xfId="0" quotePrefix="1" applyFont="1" applyFill="1" applyBorder="1" applyAlignment="1">
      <alignment horizontal="center" vertical="center"/>
    </xf>
    <xf numFmtId="0" fontId="1" fillId="17" borderId="8" xfId="0" quotePrefix="1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16" borderId="11" xfId="0" applyFont="1" applyFill="1" applyBorder="1" applyAlignment="1">
      <alignment horizontal="center" vertical="center"/>
    </xf>
    <xf numFmtId="0" fontId="2" fillId="16" borderId="8" xfId="0" applyFont="1" applyFill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64" fontId="35" fillId="7" borderId="3" xfId="0" applyNumberFormat="1" applyFont="1" applyFill="1" applyBorder="1" applyAlignment="1">
      <alignment horizontal="center" vertical="center"/>
    </xf>
    <xf numFmtId="164" fontId="35" fillId="7" borderId="4" xfId="0" applyNumberFormat="1" applyFont="1" applyFill="1" applyBorder="1" applyAlignment="1">
      <alignment horizontal="center" vertical="center"/>
    </xf>
    <xf numFmtId="164" fontId="35" fillId="7" borderId="5" xfId="0" applyNumberFormat="1" applyFont="1" applyFill="1" applyBorder="1" applyAlignment="1">
      <alignment horizontal="center" vertical="center"/>
    </xf>
    <xf numFmtId="0" fontId="35" fillId="7" borderId="3" xfId="0" applyFont="1" applyFill="1" applyBorder="1" applyAlignment="1">
      <alignment horizontal="center" vertical="center"/>
    </xf>
    <xf numFmtId="0" fontId="35" fillId="7" borderId="4" xfId="0" applyFont="1" applyFill="1" applyBorder="1" applyAlignment="1">
      <alignment horizontal="center" vertical="center"/>
    </xf>
    <xf numFmtId="0" fontId="35" fillId="7" borderId="5" xfId="0" applyFont="1" applyFill="1" applyBorder="1" applyAlignment="1">
      <alignment horizontal="center" vertical="center"/>
    </xf>
    <xf numFmtId="0" fontId="40" fillId="22" borderId="32" xfId="0" applyFont="1" applyFill="1" applyBorder="1" applyAlignment="1">
      <alignment horizontal="center" vertical="center" textRotation="255"/>
    </xf>
    <xf numFmtId="0" fontId="40" fillId="22" borderId="6" xfId="0" applyFont="1" applyFill="1" applyBorder="1" applyAlignment="1">
      <alignment horizontal="center" vertical="center" textRotation="255"/>
    </xf>
  </cellXfs>
  <cellStyles count="2">
    <cellStyle name="Hiperlink" xfId="1" builtinId="8"/>
    <cellStyle name="Normal" xfId="0" builtinId="0"/>
  </cellStyles>
  <dxfs count="127"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FF0000"/>
      </font>
      <fill>
        <patternFill>
          <bgColor theme="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0"/>
      </font>
      <fill>
        <patternFill>
          <bgColor theme="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0"/>
      </font>
      <fill>
        <patternFill>
          <bgColor theme="8"/>
        </patternFill>
      </fill>
    </dxf>
    <dxf>
      <font>
        <color theme="4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B9B9"/>
        </patternFill>
      </fill>
    </dxf>
    <dxf>
      <font>
        <color rgb="FFC00000"/>
      </font>
      <fill>
        <patternFill>
          <bgColor rgb="FFFFB9B9"/>
        </patternFill>
      </fill>
    </dxf>
    <dxf>
      <font>
        <color rgb="FFC00000"/>
      </font>
      <fill>
        <patternFill>
          <bgColor rgb="FFFFB9B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B9B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B9B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B9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h:m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h:mm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h:m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h:m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h:mm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h:m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h:mm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h:m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h:m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5" formatCode="hh: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5" formatCode="hh: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4.9989318521683403E-2"/>
        <name val="Calibri"/>
        <family val="2"/>
        <scheme val="minor"/>
      </font>
      <fill>
        <patternFill patternType="solid">
          <fgColor rgb="FF000000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mruColors>
      <color rgb="FFFFC5C5"/>
      <color rgb="FFFFC1C2"/>
      <color rgb="FFFFA7A7"/>
      <color rgb="FFFFAFAF"/>
      <color rgb="FFDDF0C8"/>
      <color rgb="FFFFFFCC"/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15</xdr:row>
          <xdr:rowOff>0</xdr:rowOff>
        </xdr:from>
        <xdr:to>
          <xdr:col>1</xdr:col>
          <xdr:colOff>342900</xdr:colOff>
          <xdr:row>15</xdr:row>
          <xdr:rowOff>133350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15</xdr:row>
          <xdr:rowOff>0</xdr:rowOff>
        </xdr:from>
        <xdr:to>
          <xdr:col>1</xdr:col>
          <xdr:colOff>342900</xdr:colOff>
          <xdr:row>15</xdr:row>
          <xdr:rowOff>133350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15</xdr:row>
          <xdr:rowOff>0</xdr:rowOff>
        </xdr:from>
        <xdr:to>
          <xdr:col>1</xdr:col>
          <xdr:colOff>342900</xdr:colOff>
          <xdr:row>15</xdr:row>
          <xdr:rowOff>133350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15</xdr:row>
          <xdr:rowOff>0</xdr:rowOff>
        </xdr:from>
        <xdr:to>
          <xdr:col>1</xdr:col>
          <xdr:colOff>342900</xdr:colOff>
          <xdr:row>15</xdr:row>
          <xdr:rowOff>133350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15</xdr:row>
          <xdr:rowOff>0</xdr:rowOff>
        </xdr:from>
        <xdr:to>
          <xdr:col>1</xdr:col>
          <xdr:colOff>342900</xdr:colOff>
          <xdr:row>15</xdr:row>
          <xdr:rowOff>133350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3B3082-277C-4713-8132-3AD67DAE7BA8}" name="escala_do_fluxo" displayName="escala_do_fluxo" ref="B1:K24" totalsRowShown="0" headerRowDxfId="126" dataDxfId="124" headerRowBorderDxfId="125" tableBorderDxfId="123" totalsRowBorderDxfId="122">
  <tableColumns count="10">
    <tableColumn id="1" xr3:uid="{3A04C6E5-B9E6-4727-8097-CB6ADC10801A}" name="DATA" dataDxfId="121"/>
    <tableColumn id="2" xr3:uid="{B829BC23-98AD-4B12-AC47-D411B77A4072}" name="GARAGEM" dataDxfId="120"/>
    <tableColumn id="3" xr3:uid="{370A5FEE-6573-442D-9C6D-4500772C2D14}" name="CARRO" dataDxfId="119"/>
    <tableColumn id="4" xr3:uid="{DE7D0EDC-942A-4B41-9885-C5CFF065DD39}" name="HR. GA" dataDxfId="118"/>
    <tableColumn id="5" xr3:uid="{DDA07578-26B4-4B9A-8C49-4D78E42CCC20}" name="HR. RD" dataDxfId="117"/>
    <tableColumn id="6" xr3:uid="{67290DF3-4F2A-41C4-8CDC-925D1E137C03}" name="ORIGEM" dataDxfId="116"/>
    <tableColumn id="7" xr3:uid="{0965CBAE-D85E-4327-B600-ADC664754A71}" name="DESTINO" dataDxfId="115"/>
    <tableColumn id="8" xr3:uid="{E5718BA0-7855-4F1A-8A93-F15A75BCF7C3}" name="MOTORISTA + MATRÍCULA" dataDxfId="114"/>
    <tableColumn id="9" xr3:uid="{D1F5D2B3-4505-464E-BD03-CDE6FF214B62}" name="MOTORISTA + MATRÍCULA2" dataDxfId="113"/>
    <tableColumn id="10" xr3:uid="{9EB06655-6890-4469-8FF8-1F60804FE6A4}" name="LINHA" dataDxfId="112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D76583-B953-47FD-913C-99CE412BC912}" name="Tabela35" displayName="Tabela35" ref="A1:H13" totalsRowCount="1" headerRowDxfId="111" dataDxfId="109" headerRowBorderDxfId="110" tableBorderDxfId="108" totalsRowBorderDxfId="107">
  <autoFilter ref="A1:H12" xr:uid="{35690BA5-ACB0-4039-8286-1D457FD839E6}"/>
  <tableColumns count="8">
    <tableColumn id="1" xr3:uid="{ED0F2D0F-94F1-459D-9F56-1A5887E0902A}" name="DATA" totalsRowFunction="custom" dataDxfId="106" totalsRowDxfId="105">
      <calculatedColumnFormula>A1</calculatedColumnFormula>
      <totalsRowFormula>A12</totalsRowFormula>
    </tableColumn>
    <tableColumn id="2" xr3:uid="{C76F019A-1143-4B2D-945B-98059B4C4202}" name="HORÁRIO" totalsRowFunction="custom" dataDxfId="104" totalsRowDxfId="103">
      <calculatedColumnFormula>'ESCALA DO FLUXO'!F15</calculatedColumnFormula>
      <totalsRowFormula>'ESCALA DO FLUXO'!F16</totalsRowFormula>
    </tableColumn>
    <tableColumn id="3" xr3:uid="{E679E123-A634-4777-B3C9-770B26B90C81}" name="SERVIÇO" dataDxfId="102" totalsRowDxfId="101"/>
    <tableColumn id="4" xr3:uid="{1B80FD77-15E0-4719-9427-96BCDD15B965}" name="FROTA" totalsRowFunction="custom" dataDxfId="100" totalsRowDxfId="99">
      <calculatedColumnFormula>'ESCALA DO FLUXO'!D15</calculatedColumnFormula>
      <totalsRowFormula>'ESCALA DO FLUXO'!D16</totalsRowFormula>
    </tableColumn>
    <tableColumn id="5" xr3:uid="{373F94D2-7577-45A9-95DD-285EBC9DF7F2}" name="PLACA" totalsRowFunction="custom" dataDxfId="98" totalsRowDxfId="97">
      <calculatedColumnFormula array="1">IF(D2="CANCELADO","N/A",_xlfn.XLOOKUP(D2,Tabela6[[#All],[Veículo]],Tabela6[[#All],[Placa]],"N/E",1,1))</calculatedColumnFormula>
      <totalsRowFormula array="1">IF(D13="CANCELADO","N/A",_xlfn.XLOOKUP(D13,Tabela6[[#All],[Veículo]],Tabela6[[#All],[Placa]],"N/E",1,1))</totalsRowFormula>
    </tableColumn>
    <tableColumn id="6" xr3:uid="{9EA2E3EC-B1A7-4291-AA00-339EB32BDB54}" name="NOME" totalsRowFunction="custom" dataDxfId="96" totalsRowDxfId="95">
      <calculatedColumnFormula>TRIM(_xlfn.TEXTBEFORE('ESCALA DO FLUXO'!I15,"-"))</calculatedColumnFormula>
      <totalsRowFormula>IFERROR(TRIM(_xlfn.TEXTBEFORE('ESCALA DO FLUXO'!I16,"-")),"CANCELADO")</totalsRowFormula>
    </tableColumn>
    <tableColumn id="7" xr3:uid="{3B1AB0AA-33E7-46E9-9D4B-29EE60FEE8C1}" name="MAT" totalsRowFunction="custom" dataDxfId="94" totalsRowDxfId="93">
      <calculatedColumnFormula>TRIM(_xlfn.TEXTAFTER('ESCALA DO FLUXO'!I15,"-"))</calculatedColumnFormula>
      <totalsRowFormula>IFERROR(TRIM(_xlfn.TEXTAFTER('ESCALA DO FLUXO'!I16,"-")),"CANCELADO")</totalsRowFormula>
    </tableColumn>
    <tableColumn id="8" xr3:uid="{0B255076-C899-4FBF-BBDA-80ED3C3146CE}" name="LINHA" totalsRowFunction="custom" dataDxfId="92" totalsRowDxfId="91">
      <calculatedColumnFormula>_xlfn.CONCAT('ESCALA DO FLUXO'!K15, " ",TEXT('ESCALA DO FLUXO'!F15,"HH:MM"))</calculatedColumnFormula>
      <totalsRowFormula>_xlfn.CONCAT('ESCALA DO FLUXO'!K16, " ",TEXT('ESCALA DO FLUXO'!F16,"HH:MM"))</totalsRow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690BA5-ACB0-4039-8286-1D457FD839E6}" name="Tabela3" displayName="Tabela3" ref="A1:H14" totalsRowShown="0" headerRowDxfId="90" dataDxfId="88" headerRowBorderDxfId="89" tableBorderDxfId="87" totalsRowBorderDxfId="86">
  <autoFilter ref="A1:H14" xr:uid="{35690BA5-ACB0-4039-8286-1D457FD839E6}"/>
  <sortState xmlns:xlrd2="http://schemas.microsoft.com/office/spreadsheetml/2017/richdata2" ref="A2:H12">
    <sortCondition ref="B1:B12"/>
  </sortState>
  <tableColumns count="8">
    <tableColumn id="1" xr3:uid="{2DFA9AAF-6097-4FC8-BB89-F2578364A77D}" name="DATA" dataDxfId="85" totalsRowDxfId="84">
      <calculatedColumnFormula>A1</calculatedColumnFormula>
    </tableColumn>
    <tableColumn id="2" xr3:uid="{3385B959-299C-420C-90CC-EFBF62EF1691}" name="HORÁRIO" dataDxfId="83" totalsRowDxfId="82">
      <calculatedColumnFormula>'ESCALA DO FLUXO'!F15</calculatedColumnFormula>
    </tableColumn>
    <tableColumn id="3" xr3:uid="{678B833F-A4E2-4F7F-9134-CEE52EAAB5B9}" name="SERVIÇO" dataDxfId="81" totalsRowDxfId="80"/>
    <tableColumn id="4" xr3:uid="{58EEA934-61C8-4566-B104-F411BB8E5BE9}" name="FROTA" dataDxfId="79" totalsRowDxfId="78">
      <calculatedColumnFormula>'ESCALA DO FLUXO'!D15</calculatedColumnFormula>
    </tableColumn>
    <tableColumn id="5" xr3:uid="{121C61B6-6BC0-4B8D-ADED-C33BF8E91589}" name="PLACA" dataDxfId="77" totalsRowDxfId="76">
      <calculatedColumnFormula array="1">IF(D2="CANCELADO","N/A",_xlfn.XLOOKUP(D2,Tabela6[[#All],[Veículo]],Tabela6[[#All],[Placa]],"N/E",1,1))</calculatedColumnFormula>
    </tableColumn>
    <tableColumn id="6" xr3:uid="{A2B9F94F-DCC6-4C5B-B714-9EFFDBF41AD9}" name="NOME" dataDxfId="75" totalsRowDxfId="74">
      <calculatedColumnFormula>TRIM(_xlfn.TEXTBEFORE('ESCALA DO FLUXO'!I15,"-"))</calculatedColumnFormula>
    </tableColumn>
    <tableColumn id="7" xr3:uid="{D6FA177D-6FAB-49CA-A3DC-7D09E80303CF}" name="MAT" dataDxfId="73" totalsRowDxfId="72">
      <calculatedColumnFormula>TRIM(_xlfn.TEXTAFTER('ESCALA DO FLUXO'!I15,"-"))</calculatedColumnFormula>
    </tableColumn>
    <tableColumn id="8" xr3:uid="{821CE01B-D1A8-4F93-9DFE-A931741EA6BB}" name="LINHA" dataDxfId="71" totalsRowDxfId="70">
      <calculatedColumnFormula>_xlfn.CONCAT('ESCALA DO FLUXO'!K15, " ",TEXT('ESCALA DO FLUXO'!F15,"HH:MM"))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EB8907-70B9-423B-9328-00A04A9C1C61}" name="Tabela1" displayName="Tabela1" ref="A1:C624" totalsRowShown="0">
  <autoFilter ref="A1:C624" xr:uid="{34EB8907-70B9-423B-9328-00A04A9C1C61}"/>
  <sortState xmlns:xlrd2="http://schemas.microsoft.com/office/spreadsheetml/2017/richdata2" ref="A2:C624">
    <sortCondition ref="B1:B624"/>
  </sortState>
  <tableColumns count="3">
    <tableColumn id="1" xr3:uid="{55CF5BCA-0AE7-4BF2-AB80-4D74819723D8}" name="MOTORISTA" dataDxfId="69"/>
    <tableColumn id="2" xr3:uid="{68C7CCCC-C764-459C-99CC-C6F65D568741}" name="MATRICULA" dataDxfId="68"/>
    <tableColumn id="3" xr3:uid="{F8C4B115-2AD5-4E82-9CED-C9B1F9AB1E6C}" name="MOTORISTA + MATRICULA" dataDxfId="6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D5EEF9-8978-4E32-9722-8FC9764D2A85}" name="Tabela6" displayName="Tabela6" ref="E1:F171" totalsRowShown="0" headerRowDxfId="66" dataDxfId="64" headerRowBorderDxfId="65" tableBorderDxfId="63" totalsRowBorderDxfId="62">
  <autoFilter ref="E1:F171" xr:uid="{63D5EEF9-8978-4E32-9722-8FC9764D2A85}"/>
  <tableColumns count="2">
    <tableColumn id="1" xr3:uid="{955B3D91-BCAC-44CB-A430-47AC5F3A7086}" name="Veículo" dataDxfId="61"/>
    <tableColumn id="2" xr3:uid="{AB10072F-7E37-433E-A31E-18D9ED38D5FE}" name="Placa" dataDxfId="6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2" Type="http://schemas.openxmlformats.org/officeDocument/2006/relationships/hyperlink" Target="../../../../Tr&#225;fego%20Imp/Desktop/base%20bafometro%20auto.doc" TargetMode="External"/><Relationship Id="rId1" Type="http://schemas.openxmlformats.org/officeDocument/2006/relationships/hyperlink" Target="https://lifeonline.com.br/sistemas_v2/index.php" TargetMode="Externa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48C9C-A96E-4E13-8310-8F92D111383F}">
  <sheetPr codeName="Planilha5">
    <tabColor theme="7"/>
  </sheetPr>
  <dimension ref="A1:G16"/>
  <sheetViews>
    <sheetView zoomScaleNormal="100" workbookViewId="0">
      <selection activeCell="B5" sqref="B5:F5"/>
    </sheetView>
  </sheetViews>
  <sheetFormatPr defaultRowHeight="15" x14ac:dyDescent="0.25"/>
  <cols>
    <col min="2" max="2" width="6.7109375" bestFit="1" customWidth="1"/>
    <col min="3" max="3" width="24.140625" bestFit="1" customWidth="1"/>
    <col min="4" max="4" width="14.85546875" bestFit="1" customWidth="1"/>
    <col min="8" max="8" width="9.140625" customWidth="1"/>
    <col min="9" max="9" width="15.85546875" customWidth="1"/>
  </cols>
  <sheetData>
    <row r="1" spans="1:7" x14ac:dyDescent="0.25">
      <c r="A1" s="166"/>
      <c r="B1" s="166"/>
      <c r="C1" s="166"/>
      <c r="D1" s="166"/>
      <c r="E1" s="166"/>
      <c r="F1" s="166"/>
      <c r="G1" s="166"/>
    </row>
    <row r="2" spans="1:7" ht="4.5" customHeight="1" x14ac:dyDescent="0.25">
      <c r="A2" s="5"/>
      <c r="B2" s="166"/>
      <c r="C2" s="166"/>
      <c r="D2" s="166"/>
      <c r="E2" s="166"/>
      <c r="F2" s="166"/>
      <c r="G2" s="5"/>
    </row>
    <row r="3" spans="1:7" ht="20.25" x14ac:dyDescent="0.25">
      <c r="A3" s="5"/>
      <c r="B3" s="168" t="str">
        <f ca="1">_xlfn.CONCAT("OLÁ ", 'BANCO DE DADOS'!I7,"!")</f>
        <v>OLÁ GUSTAVO!</v>
      </c>
      <c r="C3" s="168"/>
      <c r="D3" s="168"/>
      <c r="E3" s="168"/>
      <c r="F3" s="168"/>
      <c r="G3" s="5"/>
    </row>
    <row r="4" spans="1:7" x14ac:dyDescent="0.25">
      <c r="A4" s="5"/>
      <c r="B4" s="32"/>
      <c r="C4" s="32"/>
      <c r="D4" s="32"/>
      <c r="E4" s="32"/>
      <c r="F4" s="32"/>
      <c r="G4" s="5"/>
    </row>
    <row r="5" spans="1:7" x14ac:dyDescent="0.25">
      <c r="A5" s="5"/>
      <c r="B5" s="169" t="s">
        <v>0</v>
      </c>
      <c r="C5" s="169"/>
      <c r="D5" s="169"/>
      <c r="E5" s="169"/>
      <c r="F5" s="169"/>
      <c r="G5" s="5"/>
    </row>
    <row r="6" spans="1:7" ht="3" customHeight="1" x14ac:dyDescent="0.25">
      <c r="A6" s="5"/>
      <c r="B6" s="103"/>
      <c r="C6" s="103"/>
      <c r="D6" s="103"/>
      <c r="E6" s="103"/>
      <c r="F6" s="103"/>
      <c r="G6" s="5"/>
    </row>
    <row r="7" spans="1:7" x14ac:dyDescent="0.25">
      <c r="A7" s="5"/>
      <c r="B7" s="167" t="s">
        <v>1</v>
      </c>
      <c r="C7" s="167"/>
      <c r="D7" s="167"/>
      <c r="E7" s="167"/>
      <c r="F7" s="167"/>
      <c r="G7" s="5"/>
    </row>
    <row r="8" spans="1:7" x14ac:dyDescent="0.25">
      <c r="A8" s="5"/>
      <c r="B8" s="167" t="s">
        <v>2</v>
      </c>
      <c r="C8" s="167"/>
      <c r="D8" s="167"/>
      <c r="E8" s="167"/>
      <c r="F8" s="167"/>
      <c r="G8" s="5"/>
    </row>
    <row r="9" spans="1:7" x14ac:dyDescent="0.25">
      <c r="A9" s="5"/>
      <c r="B9" s="167" t="s">
        <v>3</v>
      </c>
      <c r="C9" s="167"/>
      <c r="D9" s="167"/>
      <c r="E9" s="167"/>
      <c r="F9" s="167"/>
      <c r="G9" s="5"/>
    </row>
    <row r="10" spans="1:7" x14ac:dyDescent="0.25">
      <c r="A10" s="5"/>
      <c r="B10" s="167" t="s">
        <v>4</v>
      </c>
      <c r="C10" s="167"/>
      <c r="D10" s="167"/>
      <c r="E10" s="167"/>
      <c r="F10" s="167"/>
      <c r="G10" s="5"/>
    </row>
    <row r="11" spans="1:7" ht="6" customHeight="1" x14ac:dyDescent="0.25">
      <c r="A11" s="5"/>
      <c r="B11" s="31"/>
      <c r="C11" s="31"/>
      <c r="D11" s="31"/>
      <c r="E11" s="31"/>
      <c r="F11" s="31"/>
      <c r="G11" s="5"/>
    </row>
    <row r="12" spans="1:7" ht="15.75" x14ac:dyDescent="0.25">
      <c r="A12" s="5"/>
      <c r="B12" s="171" t="s">
        <v>5</v>
      </c>
      <c r="C12" s="171"/>
      <c r="D12" s="171"/>
      <c r="E12" s="170">
        <f>(COUNTIF('RESERVAS E QUARTOS'!C5:C9,"PNEU"))</f>
        <v>2</v>
      </c>
      <c r="F12" s="170"/>
      <c r="G12" s="5"/>
    </row>
    <row r="13" spans="1:7" ht="15.75" x14ac:dyDescent="0.25">
      <c r="A13" s="5"/>
      <c r="B13" s="171" t="s">
        <v>6</v>
      </c>
      <c r="C13" s="171"/>
      <c r="D13" s="171"/>
      <c r="E13" s="170">
        <f>COUNTIF('FROTA NOTURNA'!K3:K7,"NASCE NA GARAGEM")</f>
        <v>0</v>
      </c>
      <c r="F13" s="170"/>
      <c r="G13" s="5"/>
    </row>
    <row r="14" spans="1:7" ht="3.75" customHeight="1" x14ac:dyDescent="0.25">
      <c r="A14" s="5"/>
      <c r="B14" s="27"/>
      <c r="C14" s="27"/>
      <c r="D14" s="27"/>
      <c r="E14" s="27"/>
      <c r="F14" s="27"/>
      <c r="G14" s="5"/>
    </row>
    <row r="15" spans="1:7" x14ac:dyDescent="0.25">
      <c r="A15" s="28"/>
      <c r="B15" s="29"/>
      <c r="C15" s="29"/>
      <c r="D15" s="29"/>
      <c r="E15" s="29"/>
      <c r="F15" s="29"/>
      <c r="G15" s="28"/>
    </row>
    <row r="16" spans="1:7" x14ac:dyDescent="0.25">
      <c r="A16" s="5"/>
      <c r="B16" s="5"/>
      <c r="C16" s="5"/>
      <c r="D16" s="5"/>
      <c r="E16" s="5"/>
      <c r="F16" s="5"/>
      <c r="G16" s="5"/>
    </row>
  </sheetData>
  <mergeCells count="12">
    <mergeCell ref="E13:F13"/>
    <mergeCell ref="B13:D13"/>
    <mergeCell ref="B12:D12"/>
    <mergeCell ref="E12:F12"/>
    <mergeCell ref="B8:F8"/>
    <mergeCell ref="B2:F2"/>
    <mergeCell ref="A1:G1"/>
    <mergeCell ref="B9:F9"/>
    <mergeCell ref="B10:F10"/>
    <mergeCell ref="B3:F3"/>
    <mergeCell ref="B5:F5"/>
    <mergeCell ref="B7:F7"/>
  </mergeCells>
  <hyperlinks>
    <hyperlink ref="B7:F7" location="'ESCALA RODOVIÁRIA'!B2" display="&gt; ACESSAR ESCALA DE HOJE" xr:uid="{FC085309-8B37-4384-BC7A-942991620330}"/>
    <hyperlink ref="B9:F9" r:id="rId1" display="&gt; ACESSAR LIFEWEB" xr:uid="{BEE3B273-295F-42AC-950C-09EDF27BB840}"/>
    <hyperlink ref="B10:F10" r:id="rId2" display="&gt; IMPRIMIR BAFÔMETROS" xr:uid="{4E281F28-45F0-4101-AC11-10769A10FB1A}"/>
    <hyperlink ref="B8:F8" location="'ESCALA DO FLUXO'!B2" display="&gt; ATUALIZAR ESCALA DE HOJE" xr:uid="{0A0000C8-33B7-4455-A1D6-FEE7167F2F82}"/>
  </hyperlinks>
  <pageMargins left="0.511811024" right="0.511811024" top="0.78740157499999996" bottom="0.78740157499999996" header="0.31496062000000002" footer="0.3149606200000000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Check Box 1">
              <controlPr defaultSize="0" autoFill="0" autoLine="0" autoPict="0">
                <anchor moveWithCells="1">
                  <from>
                    <xdr:col>1</xdr:col>
                    <xdr:colOff>123825</xdr:colOff>
                    <xdr:row>15</xdr:row>
                    <xdr:rowOff>0</xdr:rowOff>
                  </from>
                  <to>
                    <xdr:col>1</xdr:col>
                    <xdr:colOff>342900</xdr:colOff>
                    <xdr:row>15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6" name="Check Box 2">
              <controlPr defaultSize="0" autoFill="0" autoLine="0" autoPict="0">
                <anchor moveWithCells="1">
                  <from>
                    <xdr:col>1</xdr:col>
                    <xdr:colOff>123825</xdr:colOff>
                    <xdr:row>15</xdr:row>
                    <xdr:rowOff>0</xdr:rowOff>
                  </from>
                  <to>
                    <xdr:col>1</xdr:col>
                    <xdr:colOff>342900</xdr:colOff>
                    <xdr:row>15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7" name="Check Box 3">
              <controlPr defaultSize="0" autoFill="0" autoLine="0" autoPict="0">
                <anchor moveWithCells="1">
                  <from>
                    <xdr:col>1</xdr:col>
                    <xdr:colOff>123825</xdr:colOff>
                    <xdr:row>15</xdr:row>
                    <xdr:rowOff>0</xdr:rowOff>
                  </from>
                  <to>
                    <xdr:col>1</xdr:col>
                    <xdr:colOff>342900</xdr:colOff>
                    <xdr:row>15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8" name="Check Box 4">
              <controlPr defaultSize="0" autoFill="0" autoLine="0" autoPict="0">
                <anchor moveWithCells="1">
                  <from>
                    <xdr:col>1</xdr:col>
                    <xdr:colOff>123825</xdr:colOff>
                    <xdr:row>15</xdr:row>
                    <xdr:rowOff>0</xdr:rowOff>
                  </from>
                  <to>
                    <xdr:col>1</xdr:col>
                    <xdr:colOff>342900</xdr:colOff>
                    <xdr:row>15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9" name="Check Box 5">
              <controlPr defaultSize="0" autoFill="0" autoLine="0" autoPict="0">
                <anchor moveWithCells="1">
                  <from>
                    <xdr:col>1</xdr:col>
                    <xdr:colOff>123825</xdr:colOff>
                    <xdr:row>15</xdr:row>
                    <xdr:rowOff>0</xdr:rowOff>
                  </from>
                  <to>
                    <xdr:col>1</xdr:col>
                    <xdr:colOff>342900</xdr:colOff>
                    <xdr:row>15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226E2-23C3-4E44-983F-0CC2D46D092C}">
  <sheetPr codeName="Planilha6"/>
  <dimension ref="D1:S28"/>
  <sheetViews>
    <sheetView topLeftCell="A9" workbookViewId="0">
      <selection activeCell="T42" sqref="T42"/>
    </sheetView>
  </sheetViews>
  <sheetFormatPr defaultColWidth="8.7109375" defaultRowHeight="15" x14ac:dyDescent="0.25"/>
  <cols>
    <col min="1" max="1" width="8.7109375" style="69"/>
    <col min="2" max="4" width="4" style="69" customWidth="1"/>
    <col min="5" max="16384" width="8.7109375" style="69"/>
  </cols>
  <sheetData>
    <row r="1" spans="6:14" s="72" customFormat="1" ht="36.950000000000003" customHeight="1" x14ac:dyDescent="0.25">
      <c r="G1" s="173" t="s">
        <v>7</v>
      </c>
      <c r="H1" s="173"/>
      <c r="I1" s="173"/>
      <c r="J1" s="173"/>
      <c r="K1" s="173"/>
      <c r="L1" s="173"/>
      <c r="M1" s="173"/>
    </row>
    <row r="2" spans="6:14" x14ac:dyDescent="0.25">
      <c r="G2" s="174" t="s">
        <v>8</v>
      </c>
      <c r="H2" s="174"/>
      <c r="I2" s="174"/>
      <c r="J2" s="174"/>
      <c r="K2" s="174"/>
      <c r="L2" s="174"/>
      <c r="M2" s="174"/>
    </row>
    <row r="5" spans="6:14" ht="11.45" customHeight="1" x14ac:dyDescent="0.25"/>
    <row r="6" spans="6:14" ht="11.45" customHeight="1" x14ac:dyDescent="0.25"/>
    <row r="7" spans="6:14" ht="11.45" customHeight="1" x14ac:dyDescent="0.25">
      <c r="F7" s="73" t="s">
        <v>9</v>
      </c>
    </row>
    <row r="8" spans="6:14" ht="11.45" customHeight="1" x14ac:dyDescent="0.25">
      <c r="F8" s="73" t="s">
        <v>10</v>
      </c>
    </row>
    <row r="9" spans="6:14" ht="11.45" customHeight="1" x14ac:dyDescent="0.25"/>
    <row r="10" spans="6:14" ht="11.45" customHeight="1" x14ac:dyDescent="0.25">
      <c r="F10" s="73" t="s">
        <v>11</v>
      </c>
      <c r="G10" s="73"/>
      <c r="H10" s="73"/>
      <c r="I10" s="73"/>
      <c r="J10" s="73"/>
      <c r="K10" s="73"/>
      <c r="L10" s="73"/>
      <c r="M10" s="73"/>
      <c r="N10" s="73"/>
    </row>
    <row r="11" spans="6:14" ht="11.45" customHeight="1" x14ac:dyDescent="0.25">
      <c r="F11" s="73" t="s">
        <v>12</v>
      </c>
    </row>
    <row r="12" spans="6:14" ht="11.45" customHeight="1" x14ac:dyDescent="0.25"/>
    <row r="13" spans="6:14" ht="11.45" customHeight="1" x14ac:dyDescent="0.25">
      <c r="F13" s="73" t="s">
        <v>13</v>
      </c>
    </row>
    <row r="14" spans="6:14" ht="11.45" customHeight="1" x14ac:dyDescent="0.25">
      <c r="F14" s="73" t="s">
        <v>14</v>
      </c>
    </row>
    <row r="15" spans="6:14" ht="11.45" customHeight="1" x14ac:dyDescent="0.25"/>
    <row r="16" spans="6:14" ht="11.45" customHeight="1" x14ac:dyDescent="0.25">
      <c r="F16" s="73" t="s">
        <v>15</v>
      </c>
    </row>
    <row r="17" spans="4:19" ht="11.45" customHeight="1" x14ac:dyDescent="0.25">
      <c r="F17" s="73" t="s">
        <v>16</v>
      </c>
    </row>
    <row r="18" spans="4:19" ht="11.45" customHeight="1" x14ac:dyDescent="0.25"/>
    <row r="19" spans="4:19" ht="11.45" customHeight="1" x14ac:dyDescent="0.25">
      <c r="F19" s="73" t="s">
        <v>17</v>
      </c>
    </row>
    <row r="20" spans="4:19" ht="11.45" customHeight="1" x14ac:dyDescent="0.25">
      <c r="F20" s="73" t="s">
        <v>18</v>
      </c>
    </row>
    <row r="21" spans="4:19" ht="11.45" customHeight="1" x14ac:dyDescent="0.25"/>
    <row r="22" spans="4:19" ht="11.45" customHeight="1" x14ac:dyDescent="0.25"/>
    <row r="23" spans="4:19" ht="11.45" customHeight="1" x14ac:dyDescent="0.25"/>
    <row r="24" spans="4:19" ht="11.45" customHeight="1" x14ac:dyDescent="0.25"/>
    <row r="25" spans="4:19" x14ac:dyDescent="0.25">
      <c r="G25" s="174" t="s">
        <v>19</v>
      </c>
      <c r="H25" s="174"/>
      <c r="I25" s="174"/>
      <c r="J25" s="174"/>
      <c r="K25" s="174"/>
      <c r="L25" s="174"/>
      <c r="M25" s="174"/>
    </row>
    <row r="26" spans="4:19" x14ac:dyDescent="0.25">
      <c r="D26" s="70"/>
      <c r="E26" s="172" t="s">
        <v>20</v>
      </c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70"/>
    </row>
    <row r="27" spans="4:19" x14ac:dyDescent="0.25">
      <c r="D27" s="172" t="s">
        <v>21</v>
      </c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</row>
    <row r="28" spans="4:19" x14ac:dyDescent="0.25">
      <c r="D28" s="71"/>
      <c r="E28" s="172" t="s">
        <v>22</v>
      </c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71"/>
      <c r="S28" s="74" t="s">
        <v>23</v>
      </c>
    </row>
  </sheetData>
  <mergeCells count="6">
    <mergeCell ref="E28:O28"/>
    <mergeCell ref="D27:P27"/>
    <mergeCell ref="G1:M1"/>
    <mergeCell ref="G2:M2"/>
    <mergeCell ref="G25:M25"/>
    <mergeCell ref="E26:O2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F573D-A394-49DE-ACA5-CB0D6F8BDA42}">
  <sheetPr codeName="Planilha7"/>
  <dimension ref="A1:L16"/>
  <sheetViews>
    <sheetView workbookViewId="0">
      <selection activeCell="J19" sqref="J19"/>
    </sheetView>
  </sheetViews>
  <sheetFormatPr defaultRowHeight="15" x14ac:dyDescent="0.25"/>
  <cols>
    <col min="2" max="2" width="8.42578125" bestFit="1" customWidth="1"/>
    <col min="3" max="3" width="6.5703125" bestFit="1" customWidth="1"/>
    <col min="4" max="4" width="12.42578125" bestFit="1" customWidth="1"/>
    <col min="5" max="5" width="34.5703125" bestFit="1" customWidth="1"/>
    <col min="7" max="7" width="8.140625" bestFit="1" customWidth="1"/>
    <col min="8" max="8" width="12.42578125" bestFit="1" customWidth="1"/>
    <col min="9" max="9" width="31" bestFit="1" customWidth="1"/>
    <col min="10" max="10" width="11.85546875" bestFit="1" customWidth="1"/>
    <col min="11" max="11" width="15.85546875" bestFit="1" customWidth="1"/>
  </cols>
  <sheetData>
    <row r="1" spans="1:1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18" x14ac:dyDescent="0.25">
      <c r="A3" s="8"/>
      <c r="B3" s="175" t="s">
        <v>24</v>
      </c>
      <c r="C3" s="175"/>
      <c r="D3" s="175"/>
      <c r="E3" s="175"/>
      <c r="F3" s="8"/>
      <c r="G3" s="176" t="str">
        <f ca="1">_xlfn.CONCAT("atualizado em: ",TEXT(NOW(),"DD/MM/AA - HH:MM")," (",'BANCO DE DADOS'!I7,")")</f>
        <v>atualizado em: 20/03/26 - 05:36 (GUSTAVO)</v>
      </c>
      <c r="H3" s="177"/>
      <c r="I3" s="177"/>
      <c r="J3" s="177"/>
      <c r="K3" s="48" t="s">
        <v>25</v>
      </c>
      <c r="L3" s="8"/>
    </row>
    <row r="4" spans="1:12" x14ac:dyDescent="0.25">
      <c r="A4" s="8"/>
      <c r="B4" s="104" t="s">
        <v>26</v>
      </c>
      <c r="C4" s="104" t="s">
        <v>27</v>
      </c>
      <c r="D4" s="104" t="s">
        <v>28</v>
      </c>
      <c r="E4" s="104" t="s">
        <v>29</v>
      </c>
      <c r="F4" s="8"/>
      <c r="G4" s="8"/>
      <c r="H4" s="8"/>
      <c r="I4" s="8"/>
      <c r="J4" s="8"/>
      <c r="K4" s="8"/>
      <c r="L4" s="8"/>
    </row>
    <row r="5" spans="1:12" x14ac:dyDescent="0.25">
      <c r="A5" s="8"/>
      <c r="B5" s="7">
        <v>19001</v>
      </c>
      <c r="C5" s="7" t="s">
        <v>30</v>
      </c>
      <c r="D5" s="7" t="s">
        <v>31</v>
      </c>
      <c r="E5" s="7" t="s">
        <v>32</v>
      </c>
      <c r="F5" s="8"/>
      <c r="G5" s="178" t="s">
        <v>33</v>
      </c>
      <c r="H5" s="179"/>
      <c r="I5" s="179"/>
      <c r="J5" s="179"/>
      <c r="K5" s="180"/>
      <c r="L5" s="8"/>
    </row>
    <row r="6" spans="1:12" x14ac:dyDescent="0.25">
      <c r="A6" s="8"/>
      <c r="B6" s="7">
        <v>19002</v>
      </c>
      <c r="C6" s="7" t="s">
        <v>30</v>
      </c>
      <c r="D6" s="7" t="s">
        <v>34</v>
      </c>
      <c r="E6" s="7" t="s">
        <v>35</v>
      </c>
      <c r="F6" s="8"/>
      <c r="G6" s="104" t="s">
        <v>36</v>
      </c>
      <c r="H6" s="104" t="s">
        <v>28</v>
      </c>
      <c r="I6" s="104" t="s">
        <v>37</v>
      </c>
      <c r="J6" s="104" t="s">
        <v>38</v>
      </c>
      <c r="K6" s="104" t="s">
        <v>39</v>
      </c>
      <c r="L6" s="8"/>
    </row>
    <row r="7" spans="1:12" x14ac:dyDescent="0.25">
      <c r="A7" s="8"/>
      <c r="B7" s="7">
        <v>19003</v>
      </c>
      <c r="C7" s="7" t="s">
        <v>30</v>
      </c>
      <c r="D7" s="7" t="s">
        <v>31</v>
      </c>
      <c r="E7" s="7" t="s">
        <v>32</v>
      </c>
      <c r="F7" s="8"/>
      <c r="G7" s="7">
        <v>1</v>
      </c>
      <c r="H7" s="7" t="s">
        <v>34</v>
      </c>
      <c r="I7" s="7" t="s">
        <v>40</v>
      </c>
      <c r="J7" s="7" t="s">
        <v>40</v>
      </c>
      <c r="K7" s="7" t="s">
        <v>41</v>
      </c>
      <c r="L7" s="8"/>
    </row>
    <row r="8" spans="1:12" x14ac:dyDescent="0.25">
      <c r="A8" s="8"/>
      <c r="B8" s="7" t="s">
        <v>42</v>
      </c>
      <c r="C8" s="7" t="s">
        <v>43</v>
      </c>
      <c r="D8" s="7" t="s">
        <v>31</v>
      </c>
      <c r="E8" s="7" t="s">
        <v>44</v>
      </c>
      <c r="F8" s="8"/>
      <c r="G8" s="7">
        <v>2</v>
      </c>
      <c r="H8" s="7" t="s">
        <v>45</v>
      </c>
      <c r="I8" s="7" t="s">
        <v>46</v>
      </c>
      <c r="J8" s="47" t="s">
        <v>47</v>
      </c>
      <c r="K8" s="7" t="s">
        <v>40</v>
      </c>
      <c r="L8" s="8"/>
    </row>
    <row r="9" spans="1:12" x14ac:dyDescent="0.25">
      <c r="A9" s="8"/>
      <c r="B9" s="7" t="s">
        <v>48</v>
      </c>
      <c r="C9" s="7" t="s">
        <v>43</v>
      </c>
      <c r="D9" s="7" t="s">
        <v>34</v>
      </c>
      <c r="E9" s="7" t="s">
        <v>49</v>
      </c>
      <c r="F9" s="8"/>
      <c r="G9" s="7">
        <v>3</v>
      </c>
      <c r="H9" s="7" t="s">
        <v>31</v>
      </c>
      <c r="I9" s="7" t="s">
        <v>40</v>
      </c>
      <c r="J9" s="7" t="s">
        <v>40</v>
      </c>
      <c r="K9" s="7" t="s">
        <v>40</v>
      </c>
      <c r="L9" s="8"/>
    </row>
    <row r="10" spans="1:12" x14ac:dyDescent="0.25">
      <c r="A10" s="8"/>
      <c r="B10" s="8"/>
      <c r="C10" s="8"/>
      <c r="D10" s="8"/>
      <c r="E10" s="8"/>
      <c r="F10" s="8"/>
      <c r="G10" s="7">
        <v>4</v>
      </c>
      <c r="H10" s="7" t="s">
        <v>31</v>
      </c>
      <c r="I10" s="7" t="s">
        <v>40</v>
      </c>
      <c r="J10" s="7" t="s">
        <v>40</v>
      </c>
      <c r="K10" s="7" t="s">
        <v>40</v>
      </c>
      <c r="L10" s="8"/>
    </row>
    <row r="11" spans="1:12" x14ac:dyDescent="0.25">
      <c r="A11" s="8"/>
      <c r="B11" s="8"/>
      <c r="C11" s="8"/>
      <c r="D11" s="8"/>
      <c r="E11" s="8"/>
      <c r="F11" s="8"/>
      <c r="G11" s="7">
        <v>5</v>
      </c>
      <c r="H11" s="7" t="s">
        <v>31</v>
      </c>
      <c r="I11" s="7" t="s">
        <v>40</v>
      </c>
      <c r="J11" s="7" t="s">
        <v>40</v>
      </c>
      <c r="K11" s="7" t="s">
        <v>40</v>
      </c>
      <c r="L11" s="8"/>
    </row>
    <row r="12" spans="1:12" x14ac:dyDescent="0.25">
      <c r="A12" s="8"/>
      <c r="B12" s="8"/>
      <c r="C12" s="8"/>
      <c r="D12" s="8"/>
      <c r="E12" s="8"/>
      <c r="F12" s="8"/>
      <c r="G12" s="7">
        <v>6</v>
      </c>
      <c r="H12" s="7" t="s">
        <v>31</v>
      </c>
      <c r="I12" s="7" t="s">
        <v>40</v>
      </c>
      <c r="J12" s="7" t="s">
        <v>40</v>
      </c>
      <c r="K12" s="7" t="s">
        <v>40</v>
      </c>
      <c r="L12" s="8"/>
    </row>
    <row r="13" spans="1:12" x14ac:dyDescent="0.25">
      <c r="G13" s="7">
        <v>7</v>
      </c>
      <c r="H13" s="7" t="s">
        <v>31</v>
      </c>
      <c r="I13" s="7" t="s">
        <v>40</v>
      </c>
      <c r="J13" s="7" t="s">
        <v>40</v>
      </c>
      <c r="K13" s="7" t="s">
        <v>40</v>
      </c>
    </row>
    <row r="14" spans="1:12" x14ac:dyDescent="0.25">
      <c r="G14" s="7">
        <v>8</v>
      </c>
      <c r="H14" s="7" t="s">
        <v>31</v>
      </c>
      <c r="I14" s="7" t="s">
        <v>40</v>
      </c>
      <c r="J14" s="7" t="s">
        <v>40</v>
      </c>
      <c r="K14" s="7" t="s">
        <v>40</v>
      </c>
    </row>
    <row r="15" spans="1:12" x14ac:dyDescent="0.25">
      <c r="G15" s="7">
        <v>9</v>
      </c>
      <c r="H15" s="7" t="s">
        <v>31</v>
      </c>
      <c r="I15" s="7" t="s">
        <v>40</v>
      </c>
      <c r="J15" s="7" t="s">
        <v>40</v>
      </c>
      <c r="K15" s="7" t="s">
        <v>40</v>
      </c>
    </row>
    <row r="16" spans="1:12" x14ac:dyDescent="0.25">
      <c r="G16" s="7">
        <v>10</v>
      </c>
      <c r="H16" s="7" t="s">
        <v>31</v>
      </c>
      <c r="I16" s="7" t="s">
        <v>40</v>
      </c>
      <c r="J16" s="7" t="s">
        <v>40</v>
      </c>
      <c r="K16" s="7" t="s">
        <v>40</v>
      </c>
    </row>
  </sheetData>
  <mergeCells count="3">
    <mergeCell ref="B3:E3"/>
    <mergeCell ref="G3:J3"/>
    <mergeCell ref="G5:K5"/>
  </mergeCells>
  <conditionalFormatting sqref="A1:XFD1 A2:F16 L2:XFD16 G3 G4:K4 G5 G6:K16 A17:XFD1048576">
    <cfRule type="containsText" dxfId="59" priority="1" operator="containsText" text="OCUPADO">
      <formula>NOT(ISERROR(SEARCH("OCUPADO",A1)))</formula>
    </cfRule>
    <cfRule type="containsText" dxfId="58" priority="2" operator="containsText" text="INDISPONÍVEL">
      <formula>NOT(ISERROR(SEARCH("INDISPONÍVEL",A1)))</formula>
    </cfRule>
    <cfRule type="containsText" dxfId="57" priority="3" operator="containsText" text="DISPONÍVEL">
      <formula>NOT(ISERROR(SEARCH("DISPONÍVEL",A1)))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FAD28-8425-4351-9F99-DA32E733A428}">
  <sheetPr codeName="Planilha8">
    <tabColor theme="9" tint="-0.249977111117893"/>
  </sheetPr>
  <dimension ref="D1:AG23"/>
  <sheetViews>
    <sheetView showGridLines="0" topLeftCell="M1" zoomScale="85" zoomScaleNormal="85" workbookViewId="0">
      <selection activeCell="AF22" sqref="W1:AF22"/>
    </sheetView>
  </sheetViews>
  <sheetFormatPr defaultColWidth="9.140625" defaultRowHeight="15" x14ac:dyDescent="0.25"/>
  <cols>
    <col min="1" max="2" width="9.140625" style="2"/>
    <col min="3" max="3" width="10.85546875" style="2" customWidth="1"/>
    <col min="4" max="4" width="10.85546875" style="2" bestFit="1" customWidth="1"/>
    <col min="5" max="5" width="11.85546875" style="2" bestFit="1" customWidth="1"/>
    <col min="6" max="6" width="22.28515625" style="2" bestFit="1" customWidth="1"/>
    <col min="7" max="7" width="21" style="2" bestFit="1" customWidth="1"/>
    <col min="8" max="8" width="21" style="2" customWidth="1"/>
    <col min="9" max="9" width="21" style="2" hidden="1" customWidth="1"/>
    <col min="10" max="10" width="18.85546875" style="2" hidden="1" customWidth="1"/>
    <col min="11" max="11" width="17.42578125" style="2" hidden="1" customWidth="1"/>
    <col min="12" max="13" width="10.85546875" style="2" customWidth="1"/>
    <col min="14" max="14" width="11.28515625" style="2" bestFit="1" customWidth="1"/>
    <col min="15" max="15" width="12.28515625" style="2" customWidth="1"/>
    <col min="16" max="17" width="21.5703125" style="2" customWidth="1"/>
    <col min="18" max="18" width="18.28515625" style="2" customWidth="1"/>
    <col min="19" max="21" width="9.140625" style="2" hidden="1" customWidth="1"/>
    <col min="22" max="22" width="10.85546875" style="2" customWidth="1"/>
    <col min="23" max="23" width="10.7109375" style="2" customWidth="1"/>
    <col min="24" max="24" width="11.28515625" style="2" bestFit="1" customWidth="1"/>
    <col min="25" max="25" width="12.28515625" style="2" customWidth="1"/>
    <col min="26" max="26" width="21.85546875" style="2" bestFit="1" customWidth="1"/>
    <col min="27" max="28" width="19.140625" style="2" customWidth="1"/>
    <col min="29" max="30" width="17.140625" style="2" hidden="1" customWidth="1"/>
    <col min="31" max="31" width="6.140625" style="2" hidden="1" customWidth="1"/>
    <col min="32" max="32" width="6.7109375" style="2" bestFit="1" customWidth="1"/>
    <col min="33" max="16384" width="9.140625" style="2"/>
  </cols>
  <sheetData>
    <row r="1" spans="4:31" ht="19.5" customHeight="1" thickBot="1" x14ac:dyDescent="0.3"/>
    <row r="2" spans="4:31" ht="15.75" thickBot="1" x14ac:dyDescent="0.3">
      <c r="D2" s="181" t="s">
        <v>50</v>
      </c>
      <c r="E2" s="182"/>
      <c r="F2" s="182"/>
      <c r="G2" s="182"/>
      <c r="H2" s="183"/>
      <c r="I2" s="106"/>
      <c r="J2" s="106"/>
      <c r="K2" s="106"/>
      <c r="N2" s="185" t="s">
        <v>50</v>
      </c>
      <c r="O2" s="185"/>
      <c r="P2" s="185"/>
      <c r="Q2" s="185"/>
      <c r="R2" s="185"/>
      <c r="S2" s="185"/>
      <c r="T2" s="185"/>
      <c r="U2" s="185"/>
      <c r="X2" s="185" t="s">
        <v>50</v>
      </c>
      <c r="Y2" s="185"/>
      <c r="Z2" s="185"/>
      <c r="AA2" s="185"/>
      <c r="AB2" s="185"/>
      <c r="AC2" s="185"/>
      <c r="AD2" s="185"/>
      <c r="AE2" s="185"/>
    </row>
    <row r="3" spans="4:31" ht="15.75" thickBot="1" x14ac:dyDescent="0.3">
      <c r="D3" s="108" t="s">
        <v>51</v>
      </c>
      <c r="E3" s="108" t="s">
        <v>52</v>
      </c>
      <c r="F3" s="108" t="s">
        <v>53</v>
      </c>
      <c r="G3" s="108" t="s">
        <v>54</v>
      </c>
      <c r="H3" s="108" t="s">
        <v>55</v>
      </c>
      <c r="I3" s="108"/>
      <c r="J3" s="108"/>
      <c r="K3" s="108"/>
      <c r="N3" s="108" t="s">
        <v>51</v>
      </c>
      <c r="O3" s="108" t="s">
        <v>52</v>
      </c>
      <c r="P3" s="108" t="s">
        <v>53</v>
      </c>
      <c r="Q3" s="108" t="s">
        <v>54</v>
      </c>
      <c r="R3" s="108" t="s">
        <v>55</v>
      </c>
      <c r="S3" s="108"/>
      <c r="T3" s="108"/>
      <c r="U3" s="108"/>
      <c r="X3" s="108" t="s">
        <v>51</v>
      </c>
      <c r="Y3" s="108" t="s">
        <v>52</v>
      </c>
      <c r="Z3" s="108" t="s">
        <v>53</v>
      </c>
      <c r="AA3" s="108" t="s">
        <v>54</v>
      </c>
      <c r="AB3" s="108" t="s">
        <v>55</v>
      </c>
      <c r="AC3" s="108"/>
      <c r="AD3" s="108"/>
      <c r="AE3" s="108"/>
    </row>
    <row r="4" spans="4:31" ht="15.75" thickBot="1" x14ac:dyDescent="0.3">
      <c r="D4" s="107">
        <f ca="1">TODAY()</f>
        <v>46101</v>
      </c>
      <c r="E4" s="108">
        <f>'ESCALA DO FLUXO'!D2</f>
        <v>25007</v>
      </c>
      <c r="F4" s="21">
        <v>0.3</v>
      </c>
      <c r="G4" s="108" t="s">
        <v>56</v>
      </c>
      <c r="H4" s="108" t="s">
        <v>57</v>
      </c>
      <c r="I4" s="108"/>
      <c r="J4" s="108"/>
      <c r="K4" s="108"/>
      <c r="N4" s="107">
        <f ca="1">D4</f>
        <v>46101</v>
      </c>
      <c r="O4" s="108">
        <f>'ESCALA DO FLUXO'!D7</f>
        <v>19021</v>
      </c>
      <c r="P4" s="21">
        <v>0.39583333333333331</v>
      </c>
      <c r="Q4" s="21" t="s">
        <v>57</v>
      </c>
      <c r="R4" s="108" t="s">
        <v>56</v>
      </c>
      <c r="S4" s="108"/>
      <c r="T4" s="108"/>
      <c r="U4" s="108"/>
      <c r="X4" s="107">
        <f ca="1">D4</f>
        <v>46101</v>
      </c>
      <c r="Y4" s="108">
        <f>'ESCALA DO FLUXO'!D16</f>
        <v>19024</v>
      </c>
      <c r="Z4" s="21">
        <v>0.47013888888888888</v>
      </c>
      <c r="AA4" s="21" t="s">
        <v>57</v>
      </c>
      <c r="AB4" s="21" t="s">
        <v>58</v>
      </c>
      <c r="AC4" s="108"/>
      <c r="AD4" s="108"/>
      <c r="AE4" s="108"/>
    </row>
    <row r="5" spans="4:31" ht="15.75" thickBot="1" x14ac:dyDescent="0.3">
      <c r="D5" s="107">
        <f ca="1">D4</f>
        <v>46101</v>
      </c>
      <c r="E5" s="108">
        <f>'ESCALA DO FLUXO'!D3</f>
        <v>25011</v>
      </c>
      <c r="F5" s="21">
        <v>0.33333333333333331</v>
      </c>
      <c r="G5" s="108" t="s">
        <v>58</v>
      </c>
      <c r="H5" s="108" t="s">
        <v>57</v>
      </c>
      <c r="I5" s="108"/>
      <c r="J5" s="108"/>
      <c r="K5" s="108"/>
      <c r="N5" s="107">
        <f ca="1">N4</f>
        <v>46101</v>
      </c>
      <c r="O5" s="108">
        <f>'ESCALA DO FLUXO'!D15</f>
        <v>25012</v>
      </c>
      <c r="P5" s="21">
        <v>0.82777777777777772</v>
      </c>
      <c r="Q5" s="21" t="s">
        <v>57</v>
      </c>
      <c r="R5" s="108" t="s">
        <v>56</v>
      </c>
      <c r="S5" s="108"/>
      <c r="T5" s="108"/>
      <c r="U5" s="108"/>
      <c r="X5" s="107">
        <f ca="1">X4</f>
        <v>46101</v>
      </c>
      <c r="Y5" s="108">
        <f>'ESCALA DO FLUXO'!D17</f>
        <v>18016</v>
      </c>
      <c r="Z5" s="21">
        <v>0.8125</v>
      </c>
      <c r="AA5" s="21" t="s">
        <v>59</v>
      </c>
      <c r="AB5" s="21" t="s">
        <v>58</v>
      </c>
      <c r="AC5" s="108"/>
      <c r="AD5" s="108"/>
      <c r="AE5" s="108"/>
    </row>
    <row r="6" spans="4:31" ht="15.75" thickBot="1" x14ac:dyDescent="0.3">
      <c r="D6" s="107">
        <f ca="1">D10</f>
        <v>46101</v>
      </c>
      <c r="E6" s="108">
        <f>'ESCALA DO FLUXO'!D4</f>
        <v>19005</v>
      </c>
      <c r="F6" s="21">
        <v>0.39583333333333331</v>
      </c>
      <c r="G6" s="108" t="s">
        <v>60</v>
      </c>
      <c r="H6" s="108" t="s">
        <v>61</v>
      </c>
      <c r="I6" s="108"/>
      <c r="J6" s="108"/>
      <c r="K6" s="108"/>
      <c r="N6" s="107">
        <f t="shared" ref="N6:N12" ca="1" si="0">N5</f>
        <v>46101</v>
      </c>
      <c r="O6" s="108">
        <f>'ESCALA DO FLUXO'!D9</f>
        <v>19010</v>
      </c>
      <c r="P6" s="21">
        <v>0.35416666666666669</v>
      </c>
      <c r="Q6" s="21" t="s">
        <v>56</v>
      </c>
      <c r="R6" s="21" t="s">
        <v>57</v>
      </c>
      <c r="S6" s="108"/>
      <c r="T6" s="108"/>
      <c r="U6" s="108"/>
      <c r="X6" s="107">
        <f ca="1">X5</f>
        <v>46101</v>
      </c>
      <c r="Y6" s="108">
        <f>'ESCALA DO FLUXO'!D18</f>
        <v>25008</v>
      </c>
      <c r="Z6" s="21">
        <v>0.84375</v>
      </c>
      <c r="AA6" s="21" t="s">
        <v>57</v>
      </c>
      <c r="AB6" s="21" t="s">
        <v>58</v>
      </c>
      <c r="AC6" s="108"/>
      <c r="AD6" s="108"/>
      <c r="AE6" s="108"/>
    </row>
    <row r="7" spans="4:31" ht="15.75" thickBot="1" x14ac:dyDescent="0.3">
      <c r="D7" s="107">
        <f ca="1">D5</f>
        <v>46101</v>
      </c>
      <c r="E7" s="108">
        <f>'ESCALA DO FLUXO'!D6</f>
        <v>19007</v>
      </c>
      <c r="F7" s="21">
        <v>0.39583333333333331</v>
      </c>
      <c r="G7" s="108" t="s">
        <v>62</v>
      </c>
      <c r="H7" s="108" t="s">
        <v>57</v>
      </c>
      <c r="I7" s="108"/>
      <c r="J7" s="108"/>
      <c r="K7" s="108"/>
      <c r="N7" s="107">
        <f t="shared" ca="1" si="0"/>
        <v>46101</v>
      </c>
      <c r="O7" s="108">
        <f>'ESCALA DO FLUXO'!D14</f>
        <v>24014</v>
      </c>
      <c r="P7" s="21">
        <v>0.79166666666666663</v>
      </c>
      <c r="Q7" s="21" t="s">
        <v>56</v>
      </c>
      <c r="R7" s="21" t="s">
        <v>57</v>
      </c>
      <c r="S7" s="108"/>
      <c r="T7" s="108"/>
      <c r="U7" s="108"/>
      <c r="X7" s="107">
        <f t="shared" ref="X7:X12" ca="1" si="1">X6</f>
        <v>46101</v>
      </c>
      <c r="Y7" s="108">
        <f>'ESCALA DO FLUXO'!D10</f>
        <v>20015</v>
      </c>
      <c r="Z7" s="21">
        <v>0.29166666666666669</v>
      </c>
      <c r="AA7" s="21" t="s">
        <v>58</v>
      </c>
      <c r="AB7" s="21" t="s">
        <v>57</v>
      </c>
      <c r="AC7" s="108"/>
      <c r="AD7" s="108"/>
      <c r="AE7" s="108"/>
    </row>
    <row r="8" spans="4:31" ht="15.75" thickBot="1" x14ac:dyDescent="0.3">
      <c r="D8" s="107">
        <f t="shared" ref="D8:D11" ca="1" si="2">D7</f>
        <v>46101</v>
      </c>
      <c r="E8" s="108" t="str">
        <f>'ESCALA DO FLUXO'!D20</f>
        <v>CANCELADO</v>
      </c>
      <c r="F8" s="21">
        <v>0.84166666666666667</v>
      </c>
      <c r="G8" s="108" t="s">
        <v>58</v>
      </c>
      <c r="H8" s="108" t="s">
        <v>57</v>
      </c>
      <c r="I8" s="108"/>
      <c r="J8" s="108"/>
      <c r="K8" s="108"/>
      <c r="N8" s="107">
        <f t="shared" ca="1" si="0"/>
        <v>46101</v>
      </c>
      <c r="O8" s="108"/>
      <c r="P8" s="21"/>
      <c r="Q8" s="21"/>
      <c r="R8" s="21"/>
      <c r="S8" s="108"/>
      <c r="T8" s="108"/>
      <c r="U8" s="108"/>
      <c r="X8" s="107">
        <f t="shared" ca="1" si="1"/>
        <v>46101</v>
      </c>
      <c r="Y8" s="108">
        <f>'ESCALA DO FLUXO'!D11</f>
        <v>25005</v>
      </c>
      <c r="Z8" s="21">
        <v>0.79166666666666663</v>
      </c>
      <c r="AA8" s="21" t="s">
        <v>58</v>
      </c>
      <c r="AB8" s="21" t="s">
        <v>57</v>
      </c>
      <c r="AC8" s="108"/>
      <c r="AD8" s="108"/>
      <c r="AE8" s="108"/>
    </row>
    <row r="9" spans="4:31" ht="15.75" thickBot="1" x14ac:dyDescent="0.3">
      <c r="D9" s="107">
        <f t="shared" ca="1" si="2"/>
        <v>46101</v>
      </c>
      <c r="E9" s="108">
        <f>'ESCALA DO FLUXO'!D21</f>
        <v>19014</v>
      </c>
      <c r="F9" s="21">
        <v>0.85416666666666663</v>
      </c>
      <c r="G9" s="108" t="s">
        <v>61</v>
      </c>
      <c r="H9" s="108" t="s">
        <v>60</v>
      </c>
      <c r="I9" s="108"/>
      <c r="J9" s="108"/>
      <c r="K9" s="108"/>
      <c r="N9" s="107">
        <f t="shared" ca="1" si="0"/>
        <v>46101</v>
      </c>
      <c r="O9" s="108"/>
      <c r="P9" s="108"/>
      <c r="Q9" s="108"/>
      <c r="R9" s="108"/>
      <c r="S9" s="108"/>
      <c r="T9" s="108"/>
      <c r="U9" s="108"/>
      <c r="X9" s="107">
        <f t="shared" ca="1" si="1"/>
        <v>46101</v>
      </c>
      <c r="Y9" s="108" t="str">
        <f>'ESCALA DO FLUXO'!D12</f>
        <v>CANCELADO</v>
      </c>
      <c r="Z9" s="21">
        <v>0.79513888888888884</v>
      </c>
      <c r="AA9" s="21" t="s">
        <v>58</v>
      </c>
      <c r="AB9" s="21" t="s">
        <v>59</v>
      </c>
      <c r="AC9" s="108"/>
      <c r="AD9" s="108"/>
      <c r="AE9" s="108"/>
    </row>
    <row r="10" spans="4:31" ht="15.75" thickBot="1" x14ac:dyDescent="0.3">
      <c r="D10" s="107">
        <f t="shared" ca="1" si="2"/>
        <v>46101</v>
      </c>
      <c r="E10" s="108">
        <f>'ESCALA DO FLUXO'!D22</f>
        <v>19010</v>
      </c>
      <c r="F10" s="21">
        <v>0.87847222222222221</v>
      </c>
      <c r="G10" s="108" t="s">
        <v>56</v>
      </c>
      <c r="H10" s="108" t="s">
        <v>57</v>
      </c>
      <c r="I10" s="108"/>
      <c r="J10" s="108"/>
      <c r="K10" s="108"/>
      <c r="N10" s="107">
        <f t="shared" ca="1" si="0"/>
        <v>46101</v>
      </c>
      <c r="O10" s="108"/>
      <c r="P10" s="108"/>
      <c r="Q10" s="108"/>
      <c r="R10" s="108"/>
      <c r="S10" s="108"/>
      <c r="T10" s="108"/>
      <c r="U10" s="108"/>
      <c r="X10" s="107">
        <f t="shared" ca="1" si="1"/>
        <v>46101</v>
      </c>
      <c r="Y10" s="108"/>
      <c r="Z10" s="108"/>
      <c r="AA10" s="108"/>
      <c r="AB10" s="108"/>
      <c r="AC10" s="108"/>
      <c r="AD10" s="108"/>
      <c r="AE10" s="108"/>
    </row>
    <row r="11" spans="4:31" ht="15.75" thickBot="1" x14ac:dyDescent="0.3">
      <c r="D11" s="107">
        <f t="shared" ca="1" si="2"/>
        <v>46101</v>
      </c>
      <c r="E11" s="108">
        <f>'ESCALA DO FLUXO'!D19</f>
        <v>19015</v>
      </c>
      <c r="F11" s="21">
        <v>0.79166666666666663</v>
      </c>
      <c r="G11" s="108" t="s">
        <v>57</v>
      </c>
      <c r="H11" s="108" t="s">
        <v>62</v>
      </c>
      <c r="I11" s="108"/>
      <c r="J11" s="108"/>
      <c r="K11" s="108"/>
      <c r="N11" s="107">
        <f t="shared" ca="1" si="0"/>
        <v>46101</v>
      </c>
      <c r="O11" s="108"/>
      <c r="P11" s="108"/>
      <c r="Q11" s="108"/>
      <c r="R11" s="108"/>
      <c r="S11" s="108"/>
      <c r="T11" s="108"/>
      <c r="U11" s="108"/>
      <c r="X11" s="107">
        <f t="shared" ca="1" si="1"/>
        <v>46101</v>
      </c>
      <c r="Y11" s="108"/>
      <c r="Z11" s="108"/>
      <c r="AA11" s="108"/>
      <c r="AB11" s="108"/>
      <c r="AC11" s="108"/>
      <c r="AD11" s="108"/>
      <c r="AE11" s="108"/>
    </row>
    <row r="12" spans="4:31" ht="15.75" thickBot="1" x14ac:dyDescent="0.3">
      <c r="D12" s="107">
        <f t="shared" ref="D12" ca="1" si="3">D11</f>
        <v>46101</v>
      </c>
      <c r="E12" s="108" t="str">
        <f>'ESCALA RODOVIÁRIA'!G57</f>
        <v>CANCELADO</v>
      </c>
      <c r="F12" s="21">
        <f>'ESCALA RODOVIÁRIA'!C57</f>
        <v>0.41666666666666669</v>
      </c>
      <c r="G12" s="108" t="s">
        <v>59</v>
      </c>
      <c r="H12" s="108" t="s">
        <v>63</v>
      </c>
      <c r="I12" s="108"/>
      <c r="J12" s="108"/>
      <c r="K12" s="108"/>
      <c r="N12" s="107">
        <f t="shared" ca="1" si="0"/>
        <v>46101</v>
      </c>
      <c r="O12" s="108"/>
      <c r="P12" s="108"/>
      <c r="Q12" s="108"/>
      <c r="R12" s="108"/>
      <c r="S12" s="108"/>
      <c r="T12" s="108"/>
      <c r="U12" s="108"/>
      <c r="X12" s="107">
        <f t="shared" ca="1" si="1"/>
        <v>46101</v>
      </c>
      <c r="Y12" s="108"/>
      <c r="Z12" s="37"/>
      <c r="AA12" s="108"/>
      <c r="AB12" s="108"/>
      <c r="AC12" s="108"/>
      <c r="AD12" s="108"/>
      <c r="AE12" s="108"/>
    </row>
    <row r="13" spans="4:31" ht="15.75" thickBot="1" x14ac:dyDescent="0.3">
      <c r="D13" s="181" t="s">
        <v>64</v>
      </c>
      <c r="E13" s="182"/>
      <c r="F13" s="182"/>
      <c r="G13" s="182"/>
      <c r="H13" s="182"/>
      <c r="I13" s="105"/>
      <c r="J13" s="106"/>
      <c r="K13" s="106"/>
      <c r="N13" s="185" t="s">
        <v>65</v>
      </c>
      <c r="O13" s="185"/>
      <c r="P13" s="185"/>
      <c r="Q13" s="185"/>
      <c r="R13" s="185"/>
      <c r="S13" s="185"/>
      <c r="T13" s="185"/>
      <c r="U13" s="185"/>
      <c r="X13" s="181" t="s">
        <v>66</v>
      </c>
      <c r="Y13" s="182"/>
      <c r="Z13" s="182"/>
      <c r="AA13" s="182"/>
      <c r="AB13" s="183"/>
      <c r="AC13" s="106"/>
      <c r="AD13" s="106"/>
      <c r="AE13" s="106"/>
    </row>
    <row r="14" spans="4:31" ht="15.75" thickBot="1" x14ac:dyDescent="0.3">
      <c r="D14" s="186" t="s">
        <v>67</v>
      </c>
      <c r="E14" s="187"/>
      <c r="F14" s="108">
        <v>19002</v>
      </c>
      <c r="G14" s="108">
        <v>19021</v>
      </c>
      <c r="H14" s="108"/>
      <c r="I14" s="108"/>
      <c r="J14" s="108"/>
      <c r="K14" s="108"/>
      <c r="N14" s="188" t="s">
        <v>67</v>
      </c>
      <c r="O14" s="188"/>
      <c r="P14" s="108"/>
      <c r="Q14" s="108"/>
      <c r="R14" s="108"/>
      <c r="S14" s="108"/>
      <c r="T14" s="108"/>
      <c r="U14" s="108"/>
      <c r="X14" s="188" t="s">
        <v>67</v>
      </c>
      <c r="Y14" s="188"/>
      <c r="Z14" s="108"/>
      <c r="AA14" s="108"/>
      <c r="AB14" s="108"/>
      <c r="AC14" s="108"/>
      <c r="AD14" s="108"/>
      <c r="AE14" s="108"/>
    </row>
    <row r="15" spans="4:31" ht="15.75" thickBot="1" x14ac:dyDescent="0.3">
      <c r="D15" s="189" t="s">
        <v>68</v>
      </c>
      <c r="E15" s="190"/>
      <c r="F15" s="108"/>
      <c r="G15" s="107"/>
      <c r="H15" s="108"/>
      <c r="I15" s="108"/>
      <c r="J15" s="108"/>
      <c r="K15" s="108"/>
      <c r="N15" s="191" t="s">
        <v>68</v>
      </c>
      <c r="O15" s="191"/>
      <c r="P15" s="108" t="s">
        <v>1591</v>
      </c>
      <c r="Q15" s="108"/>
      <c r="R15" s="108"/>
      <c r="S15" s="108"/>
      <c r="T15" s="108"/>
      <c r="U15" s="108"/>
      <c r="X15" s="191" t="s">
        <v>68</v>
      </c>
      <c r="Y15" s="191"/>
      <c r="Z15" s="108" t="s">
        <v>1590</v>
      </c>
      <c r="AA15" s="108"/>
      <c r="AB15" s="108"/>
      <c r="AC15" s="108"/>
      <c r="AD15" s="108"/>
      <c r="AE15" s="108"/>
    </row>
    <row r="16" spans="4:31" ht="15.75" thickBot="1" x14ac:dyDescent="0.3">
      <c r="D16" s="192" t="s">
        <v>69</v>
      </c>
      <c r="E16" s="193"/>
      <c r="F16" s="108" t="s">
        <v>1588</v>
      </c>
      <c r="G16" s="108" t="s">
        <v>1589</v>
      </c>
      <c r="H16" s="108"/>
      <c r="I16" s="108"/>
      <c r="J16" s="108"/>
      <c r="K16" s="108"/>
      <c r="N16" s="196" t="s">
        <v>69</v>
      </c>
      <c r="O16" s="196"/>
      <c r="P16" s="108" t="s">
        <v>1587</v>
      </c>
      <c r="Q16" s="108"/>
      <c r="R16" s="108"/>
      <c r="S16" s="108"/>
      <c r="T16" s="108"/>
      <c r="U16" s="108"/>
      <c r="X16" s="196" t="s">
        <v>69</v>
      </c>
      <c r="Y16" s="196"/>
      <c r="Z16" s="108"/>
      <c r="AA16" s="108"/>
      <c r="AB16" s="108"/>
      <c r="AC16" s="108"/>
      <c r="AD16" s="108"/>
      <c r="AE16" s="108"/>
    </row>
    <row r="17" spans="4:33" ht="15.75" hidden="1" customHeight="1" thickBot="1" x14ac:dyDescent="0.3">
      <c r="D17" s="181" t="s">
        <v>70</v>
      </c>
      <c r="E17" s="182"/>
      <c r="F17" s="182"/>
      <c r="G17" s="182"/>
      <c r="H17" s="182"/>
      <c r="I17" s="105"/>
      <c r="J17" s="106"/>
      <c r="K17" s="106"/>
      <c r="N17" s="185" t="s">
        <v>70</v>
      </c>
      <c r="O17" s="185"/>
      <c r="P17" s="185"/>
      <c r="Q17" s="185"/>
      <c r="R17" s="185"/>
      <c r="S17" s="185"/>
      <c r="T17" s="185"/>
      <c r="U17" s="185"/>
      <c r="X17" s="181" t="s">
        <v>70</v>
      </c>
      <c r="Y17" s="182"/>
      <c r="Z17" s="182"/>
      <c r="AA17" s="182"/>
      <c r="AB17" s="183"/>
      <c r="AC17" s="106"/>
      <c r="AD17" s="106"/>
      <c r="AE17" s="106"/>
    </row>
    <row r="18" spans="4:33" ht="15.75" hidden="1" customHeight="1" thickBot="1" x14ac:dyDescent="0.3">
      <c r="D18" s="108" t="s">
        <v>71</v>
      </c>
      <c r="E18" s="108" t="s">
        <v>52</v>
      </c>
      <c r="F18" s="108" t="s">
        <v>72</v>
      </c>
      <c r="G18" s="108" t="s">
        <v>54</v>
      </c>
      <c r="H18" s="108" t="s">
        <v>73</v>
      </c>
      <c r="I18" s="108" t="s">
        <v>74</v>
      </c>
      <c r="J18" s="108" t="s">
        <v>75</v>
      </c>
      <c r="K18" s="108"/>
      <c r="L18" s="6"/>
      <c r="N18" s="108" t="s">
        <v>71</v>
      </c>
      <c r="O18" s="108" t="s">
        <v>52</v>
      </c>
      <c r="P18" s="108" t="s">
        <v>72</v>
      </c>
      <c r="Q18" s="108" t="s">
        <v>54</v>
      </c>
      <c r="R18" s="108" t="s">
        <v>73</v>
      </c>
      <c r="S18" s="195" t="s">
        <v>74</v>
      </c>
      <c r="T18" s="195"/>
      <c r="U18" s="108" t="s">
        <v>75</v>
      </c>
      <c r="X18" s="108" t="s">
        <v>71</v>
      </c>
      <c r="Y18" s="108" t="s">
        <v>52</v>
      </c>
      <c r="Z18" s="108" t="s">
        <v>72</v>
      </c>
      <c r="AA18" s="108" t="s">
        <v>54</v>
      </c>
      <c r="AB18" s="108" t="s">
        <v>73</v>
      </c>
      <c r="AC18" s="195" t="s">
        <v>74</v>
      </c>
      <c r="AD18" s="195"/>
      <c r="AE18" s="108" t="s">
        <v>75</v>
      </c>
    </row>
    <row r="19" spans="4:33" ht="15.75" hidden="1" customHeight="1" thickBot="1" x14ac:dyDescent="0.3">
      <c r="D19" s="107"/>
      <c r="E19" s="108"/>
      <c r="F19" s="21"/>
      <c r="G19" s="108"/>
      <c r="H19" s="108"/>
      <c r="I19" s="107">
        <v>45488</v>
      </c>
      <c r="J19" s="108"/>
      <c r="K19" s="108"/>
      <c r="N19" s="107"/>
      <c r="O19" s="108"/>
      <c r="P19" s="21"/>
      <c r="Q19" s="108"/>
      <c r="R19" s="108"/>
      <c r="S19" s="194"/>
      <c r="T19" s="195"/>
      <c r="U19" s="108"/>
      <c r="X19" s="107">
        <v>45819</v>
      </c>
      <c r="Y19" s="108">
        <v>19016</v>
      </c>
      <c r="Z19" s="21" t="s">
        <v>40</v>
      </c>
      <c r="AA19" s="102" t="s">
        <v>58</v>
      </c>
      <c r="AB19" s="108" t="s">
        <v>76</v>
      </c>
      <c r="AC19" s="195"/>
      <c r="AD19" s="195"/>
      <c r="AE19" s="108"/>
    </row>
    <row r="20" spans="4:33" ht="19.5" customHeight="1" x14ac:dyDescent="0.25"/>
    <row r="21" spans="4:33" x14ac:dyDescent="0.25">
      <c r="D21" s="184" t="s">
        <v>77</v>
      </c>
      <c r="E21" s="184"/>
      <c r="F21" s="184"/>
      <c r="G21" s="184"/>
      <c r="H21" s="22">
        <f ca="1">NOW()</f>
        <v>46101.23357488426</v>
      </c>
      <c r="J21" s="22"/>
      <c r="K21" s="22"/>
      <c r="N21" s="184" t="s">
        <v>77</v>
      </c>
      <c r="O21" s="184"/>
      <c r="P21" s="184"/>
      <c r="Q21" s="184"/>
      <c r="R21" s="22">
        <f ca="1">NOW()</f>
        <v>46101.23357488426</v>
      </c>
      <c r="T21" s="22"/>
      <c r="U21" s="22"/>
      <c r="X21" s="184" t="s">
        <v>77</v>
      </c>
      <c r="Y21" s="184"/>
      <c r="Z21" s="184"/>
      <c r="AA21" s="184"/>
      <c r="AB21" s="22">
        <f ca="1">NOW()</f>
        <v>46101.23357488426</v>
      </c>
    </row>
    <row r="23" spans="4:33" x14ac:dyDescent="0.25">
      <c r="L23" s="2" t="s">
        <v>78</v>
      </c>
      <c r="M23" s="2" t="s">
        <v>78</v>
      </c>
      <c r="V23" s="2" t="s">
        <v>78</v>
      </c>
      <c r="W23" s="2" t="s">
        <v>78</v>
      </c>
      <c r="AF23" s="2" t="s">
        <v>78</v>
      </c>
      <c r="AG23" s="2" t="s">
        <v>78</v>
      </c>
    </row>
  </sheetData>
  <mergeCells count="25">
    <mergeCell ref="D17:H17"/>
    <mergeCell ref="X13:AB13"/>
    <mergeCell ref="AC19:AD19"/>
    <mergeCell ref="N16:O16"/>
    <mergeCell ref="X16:Y16"/>
    <mergeCell ref="N17:U17"/>
    <mergeCell ref="S18:T18"/>
    <mergeCell ref="AC18:AD18"/>
    <mergeCell ref="X17:AB17"/>
    <mergeCell ref="D2:H2"/>
    <mergeCell ref="X21:AA21"/>
    <mergeCell ref="N21:Q21"/>
    <mergeCell ref="D21:G21"/>
    <mergeCell ref="N2:U2"/>
    <mergeCell ref="X2:AE2"/>
    <mergeCell ref="N13:U13"/>
    <mergeCell ref="D14:E14"/>
    <mergeCell ref="N14:O14"/>
    <mergeCell ref="X14:Y14"/>
    <mergeCell ref="D15:E15"/>
    <mergeCell ref="N15:O15"/>
    <mergeCell ref="X15:Y15"/>
    <mergeCell ref="D16:E16"/>
    <mergeCell ref="D13:H13"/>
    <mergeCell ref="S19:T19"/>
  </mergeCells>
  <conditionalFormatting sqref="D4:H12">
    <cfRule type="expression" dxfId="56" priority="211">
      <formula>$E4="CANCELADO"</formula>
    </cfRule>
  </conditionalFormatting>
  <conditionalFormatting sqref="E4:E12">
    <cfRule type="duplicateValues" dxfId="55" priority="514"/>
  </conditionalFormatting>
  <conditionalFormatting sqref="E12">
    <cfRule type="containsBlanks" dxfId="54" priority="239">
      <formula>LEN(TRIM(E12))=0</formula>
    </cfRule>
  </conditionalFormatting>
  <conditionalFormatting sqref="F14:H15 E4:E12 F16:G16">
    <cfRule type="duplicateValues" dxfId="53" priority="323"/>
  </conditionalFormatting>
  <conditionalFormatting sqref="F14:I14 O4:O8">
    <cfRule type="duplicateValues" dxfId="52" priority="217"/>
  </conditionalFormatting>
  <conditionalFormatting sqref="F16:I16">
    <cfRule type="duplicateValues" dxfId="51" priority="1"/>
  </conditionalFormatting>
  <conditionalFormatting sqref="I19">
    <cfRule type="timePeriod" dxfId="50" priority="111" timePeriod="today">
      <formula>FLOOR(I19,1)=TODAY()</formula>
    </cfRule>
  </conditionalFormatting>
  <conditionalFormatting sqref="O4:R12">
    <cfRule type="expression" dxfId="49" priority="4">
      <formula>$O4="CANCELADO"</formula>
    </cfRule>
  </conditionalFormatting>
  <conditionalFormatting sqref="P14:R14 O4:O12">
    <cfRule type="duplicateValues" dxfId="48" priority="221"/>
  </conditionalFormatting>
  <conditionalFormatting sqref="X3:AD5 Y4:Y6 X6:AB12">
    <cfRule type="expression" dxfId="47" priority="7">
      <formula>$Y3="CANCELADO"</formula>
    </cfRule>
  </conditionalFormatting>
  <conditionalFormatting sqref="Z14:AB14 Y4:Y12">
    <cfRule type="duplicateValues" dxfId="46" priority="25"/>
  </conditionalFormatting>
  <conditionalFormatting sqref="AC6:AD9">
    <cfRule type="expression" dxfId="45" priority="332">
      <formula>$Y6="CANCELADO"</formula>
    </cfRule>
  </conditionalFormatting>
  <conditionalFormatting sqref="AC10:AD10">
    <cfRule type="expression" dxfId="44" priority="502">
      <formula>$Y12="CANCELADO"</formula>
    </cfRule>
  </conditionalFormatting>
  <conditionalFormatting sqref="AC11:AD12">
    <cfRule type="expression" dxfId="43" priority="503">
      <formula>$Y10="CANCELADO"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BAA9B-1217-430F-BE07-351E3177E4EF}">
  <sheetPr codeName="Planilha2">
    <tabColor theme="4"/>
    <pageSetUpPr fitToPage="1"/>
  </sheetPr>
  <dimension ref="A1:I64"/>
  <sheetViews>
    <sheetView topLeftCell="A25" zoomScaleNormal="100" zoomScaleSheetLayoutView="130" workbookViewId="0">
      <selection activeCell="D12" sqref="D12"/>
    </sheetView>
  </sheetViews>
  <sheetFormatPr defaultRowHeight="15" x14ac:dyDescent="0.25"/>
  <cols>
    <col min="1" max="1" width="7.42578125" customWidth="1"/>
    <col min="3" max="3" width="10.140625" bestFit="1" customWidth="1"/>
    <col min="4" max="5" width="60.140625" customWidth="1"/>
    <col min="6" max="6" width="11.42578125" bestFit="1" customWidth="1"/>
    <col min="7" max="7" width="12.85546875" bestFit="1" customWidth="1"/>
    <col min="8" max="8" width="17.42578125" bestFit="1" customWidth="1"/>
    <col min="9" max="9" width="7.42578125" customWidth="1"/>
    <col min="10" max="10" width="15.5703125" customWidth="1"/>
  </cols>
  <sheetData>
    <row r="1" spans="1:9" x14ac:dyDescent="0.25">
      <c r="A1" s="8"/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8"/>
      <c r="B2" s="208" t="str">
        <f>CONCATENATE("ESCALA DE TRÁFEGO DIÁRIA - ",UPPER(TEXT('ESCALA DO FLUXO'!B2,"Dddd, DD/MM/AAAA")))</f>
        <v>ESCALA DE TRÁFEGO DIÁRIA - SEXTA-FEIRA, 20/03/2026</v>
      </c>
      <c r="C2" s="198"/>
      <c r="D2" s="198"/>
      <c r="E2" s="198"/>
      <c r="F2" s="198"/>
      <c r="G2" s="198"/>
      <c r="H2" s="199"/>
      <c r="I2" s="8"/>
    </row>
    <row r="3" spans="1:9" ht="15.75" x14ac:dyDescent="0.25">
      <c r="A3" s="8"/>
      <c r="B3" s="197" t="s">
        <v>117</v>
      </c>
      <c r="C3" s="198"/>
      <c r="D3" s="198"/>
      <c r="E3" s="198"/>
      <c r="F3" s="198"/>
      <c r="G3" s="198"/>
      <c r="H3" s="199"/>
      <c r="I3" s="8"/>
    </row>
    <row r="4" spans="1:9" ht="15.75" x14ac:dyDescent="0.25">
      <c r="A4" s="8"/>
      <c r="B4" s="110" t="s">
        <v>118</v>
      </c>
      <c r="C4" s="4" t="s">
        <v>119</v>
      </c>
      <c r="D4" s="197" t="s">
        <v>120</v>
      </c>
      <c r="E4" s="199"/>
      <c r="F4" s="109" t="s">
        <v>121</v>
      </c>
      <c r="G4" s="110" t="s">
        <v>122</v>
      </c>
      <c r="H4" s="110" t="s">
        <v>85</v>
      </c>
      <c r="I4" s="8"/>
    </row>
    <row r="5" spans="1:9" ht="15.75" hidden="1" x14ac:dyDescent="0.25">
      <c r="A5" s="8"/>
      <c r="B5" s="114">
        <v>993</v>
      </c>
      <c r="C5" s="1">
        <v>0.25</v>
      </c>
      <c r="D5" s="114" t="s">
        <v>93</v>
      </c>
      <c r="E5" s="114" t="s">
        <v>93</v>
      </c>
      <c r="F5" s="114"/>
      <c r="G5" s="114" t="s">
        <v>93</v>
      </c>
      <c r="H5" s="114" t="s">
        <v>123</v>
      </c>
      <c r="I5" s="8"/>
    </row>
    <row r="6" spans="1:9" ht="15.75" x14ac:dyDescent="0.25">
      <c r="A6" s="8"/>
      <c r="B6" s="114">
        <v>2014</v>
      </c>
      <c r="C6" s="1">
        <f>'ESCALA DO FLUXO'!F2</f>
        <v>0.3</v>
      </c>
      <c r="D6" s="114" t="str">
        <f>TRIM('ESCALA DO FLUXO'!I2)</f>
        <v>CLODOALDO PEREIRA DE LIMA - 4067</v>
      </c>
      <c r="E6" s="114" t="str">
        <f>TRIM('ESCALA DO FLUXO'!J2)</f>
        <v>( MOTORISTA DE GOIÂNIA )</v>
      </c>
      <c r="F6" s="114" t="s">
        <v>124</v>
      </c>
      <c r="G6" s="114">
        <f>'ESCALA DO FLUXO'!D2</f>
        <v>25007</v>
      </c>
      <c r="H6" s="114" t="s">
        <v>123</v>
      </c>
      <c r="I6" s="8"/>
    </row>
    <row r="7" spans="1:9" ht="15.75" x14ac:dyDescent="0.25">
      <c r="A7" s="8"/>
      <c r="B7" s="114">
        <v>1072</v>
      </c>
      <c r="C7" s="1">
        <f>'ESCALA DO FLUXO'!F3</f>
        <v>0.33333333333333331</v>
      </c>
      <c r="D7" s="114" t="str">
        <f>TRIM('ESCALA DO FLUXO'!I3)</f>
        <v>MARCOS ATAIDE SILVA - 1352</v>
      </c>
      <c r="E7" s="114" t="str">
        <f>TRIM('ESCALA DO FLUXO'!J3)</f>
        <v>FABIO MOREIRA DOS SANTOS - 3073</v>
      </c>
      <c r="F7" s="114" t="s">
        <v>124</v>
      </c>
      <c r="G7" s="114">
        <f>'ESCALA DO FLUXO'!D3</f>
        <v>25011</v>
      </c>
      <c r="H7" s="114" t="s">
        <v>125</v>
      </c>
      <c r="I7" s="8"/>
    </row>
    <row r="8" spans="1:9" ht="15.75" x14ac:dyDescent="0.25">
      <c r="A8" s="8"/>
      <c r="B8" s="101">
        <f>IF(TEXT('ESCALA DO FLUXO'!A2,"DDDD")="SEXTA",3132,4077)</f>
        <v>3132</v>
      </c>
      <c r="C8" s="99">
        <f>'ESCALA DO FLUXO'!F4</f>
        <v>0.39583333333333331</v>
      </c>
      <c r="D8" s="101" t="str">
        <f>TRIM('ESCALA DO FLUXO'!I4)</f>
        <v>JOSE CARLOS BEZERRA DA SILVA - 3034</v>
      </c>
      <c r="E8" s="101" t="str">
        <f>TRIM('ESCALA DO FLUXO'!J4)</f>
        <v>( MOTORISTA DE GOIÂNIA )</v>
      </c>
      <c r="F8" s="101" t="s">
        <v>124</v>
      </c>
      <c r="G8" s="101">
        <f>'ESCALA DO FLUXO'!D4</f>
        <v>19005</v>
      </c>
      <c r="H8" s="101" t="str">
        <f>IF(TEXT('ESCALA DO FLUXO'!A2,"DDDD")="SEXTA","IMP X PXT","THE X GYN")</f>
        <v>IMP X PXT</v>
      </c>
      <c r="I8" s="8"/>
    </row>
    <row r="9" spans="1:9" ht="15.75" x14ac:dyDescent="0.25">
      <c r="A9" s="8"/>
      <c r="B9" s="204">
        <v>4075</v>
      </c>
      <c r="C9" s="206">
        <v>0.91666666666666663</v>
      </c>
      <c r="D9" s="209" t="s">
        <v>126</v>
      </c>
      <c r="E9" s="210"/>
      <c r="F9" s="111" t="s">
        <v>127</v>
      </c>
      <c r="G9" s="204">
        <f>'ESCALA DO FLUXO'!D13</f>
        <v>25009</v>
      </c>
      <c r="H9" s="232" t="s">
        <v>128</v>
      </c>
      <c r="I9" s="8"/>
    </row>
    <row r="10" spans="1:9" ht="15.75" x14ac:dyDescent="0.25">
      <c r="A10" s="8"/>
      <c r="B10" s="205"/>
      <c r="C10" s="207"/>
      <c r="D10" s="118" t="str">
        <f>'ESCALA DO FLUXO'!I13</f>
        <v>LUIS ANTONIO FARIAS RIBEIRO - 2789</v>
      </c>
      <c r="E10" s="117">
        <f>'ESCALA DO FLUXO'!J13</f>
        <v>0</v>
      </c>
      <c r="F10" s="119" t="s">
        <v>129</v>
      </c>
      <c r="G10" s="205"/>
      <c r="H10" s="233"/>
      <c r="I10" s="8"/>
    </row>
    <row r="11" spans="1:9" ht="15.75" x14ac:dyDescent="0.25">
      <c r="A11" s="8"/>
      <c r="B11" s="114">
        <v>2261</v>
      </c>
      <c r="C11" s="1">
        <f>'ESCALA DO FLUXO'!F20</f>
        <v>0.84166666666666667</v>
      </c>
      <c r="D11" s="114" t="str">
        <f>TRIM('ESCALA DO FLUXO'!I20)</f>
        <v>CANCELADO</v>
      </c>
      <c r="E11" s="114" t="str">
        <f>TRIM('ESCALA DO FLUXO'!J20)</f>
        <v>CANCELADO</v>
      </c>
      <c r="F11" s="114" t="s">
        <v>124</v>
      </c>
      <c r="G11" s="114" t="str">
        <f>'ESCALA DO FLUXO'!D20</f>
        <v>CANCELADO</v>
      </c>
      <c r="H11" s="114" t="s">
        <v>125</v>
      </c>
      <c r="I11" s="8"/>
    </row>
    <row r="12" spans="1:9" ht="15.75" x14ac:dyDescent="0.25">
      <c r="A12" s="8"/>
      <c r="B12" s="114">
        <v>1124</v>
      </c>
      <c r="C12" s="1">
        <f>'ESCALA DO FLUXO'!F21</f>
        <v>0.85416666666666663</v>
      </c>
      <c r="D12" s="114" t="str">
        <f>TRIM('ESCALA DO FLUXO'!I21)</f>
        <v>KLEBER OLIVEIRA LIMA - 5849</v>
      </c>
      <c r="E12" s="114" t="str">
        <f>TRIM('ESCALA DO FLUXO'!J21)</f>
        <v/>
      </c>
      <c r="F12" s="114" t="s">
        <v>124</v>
      </c>
      <c r="G12" s="114">
        <f>'ESCALA DO FLUXO'!D21</f>
        <v>19014</v>
      </c>
      <c r="H12" s="114" t="s">
        <v>130</v>
      </c>
      <c r="I12" s="8"/>
    </row>
    <row r="13" spans="1:9" ht="15.75" x14ac:dyDescent="0.25">
      <c r="A13" s="8"/>
      <c r="B13" s="114">
        <v>2103</v>
      </c>
      <c r="C13" s="1">
        <f>'ESCALA DO FLUXO'!F22</f>
        <v>0.87847222222222221</v>
      </c>
      <c r="D13" s="114" t="str">
        <f>TRIM('ESCALA DO FLUXO'!I22)</f>
        <v>MARCIO DE SOUSA MATOS - 5264</v>
      </c>
      <c r="E13" s="114" t="str">
        <f>TRIM('ESCALA DO FLUXO'!J22)</f>
        <v>ANDSON WAGNER NASCIMENTO SOUZA - 2902</v>
      </c>
      <c r="F13" s="114" t="s">
        <v>124</v>
      </c>
      <c r="G13" s="114">
        <f>'ESCALA DO FLUXO'!D22</f>
        <v>19010</v>
      </c>
      <c r="H13" s="114" t="s">
        <v>123</v>
      </c>
      <c r="I13" s="8"/>
    </row>
    <row r="14" spans="1:9" ht="15.75" x14ac:dyDescent="0.25">
      <c r="A14" s="8"/>
      <c r="B14" s="197" t="s">
        <v>131</v>
      </c>
      <c r="C14" s="198"/>
      <c r="D14" s="198"/>
      <c r="E14" s="198"/>
      <c r="F14" s="198"/>
      <c r="G14" s="198"/>
      <c r="H14" s="199"/>
      <c r="I14" s="8"/>
    </row>
    <row r="15" spans="1:9" ht="15.75" x14ac:dyDescent="0.25">
      <c r="A15" s="8"/>
      <c r="B15" s="197" t="s">
        <v>132</v>
      </c>
      <c r="C15" s="198"/>
      <c r="D15" s="198"/>
      <c r="E15" s="198"/>
      <c r="F15" s="198"/>
      <c r="G15" s="198"/>
      <c r="H15" s="199"/>
      <c r="I15" s="8"/>
    </row>
    <row r="16" spans="1:9" ht="15.75" x14ac:dyDescent="0.25">
      <c r="A16" s="8"/>
      <c r="B16" s="110" t="s">
        <v>118</v>
      </c>
      <c r="C16" s="4" t="s">
        <v>119</v>
      </c>
      <c r="D16" s="197" t="s">
        <v>120</v>
      </c>
      <c r="E16" s="199"/>
      <c r="F16" s="109" t="s">
        <v>121</v>
      </c>
      <c r="G16" s="110" t="s">
        <v>122</v>
      </c>
      <c r="H16" s="110" t="s">
        <v>85</v>
      </c>
      <c r="I16" s="8"/>
    </row>
    <row r="17" spans="1:9" ht="15.75" x14ac:dyDescent="0.25">
      <c r="A17" s="8"/>
      <c r="B17" s="223">
        <v>1125</v>
      </c>
      <c r="C17" s="1">
        <v>0.39513888888888887</v>
      </c>
      <c r="D17" s="223" t="str">
        <f>TRIM('ESCALA DO FLUXO'!I6)</f>
        <v>EDUARDO SANTOS BEZERRA - 4066</v>
      </c>
      <c r="E17" s="223"/>
      <c r="F17" s="114" t="s">
        <v>133</v>
      </c>
      <c r="G17" s="223">
        <f>'ESCALA DO FLUXO'!D6</f>
        <v>19007</v>
      </c>
      <c r="H17" s="236" t="s">
        <v>134</v>
      </c>
      <c r="I17" s="8"/>
    </row>
    <row r="18" spans="1:9" ht="15.75" x14ac:dyDescent="0.25">
      <c r="A18" s="8"/>
      <c r="B18" s="223"/>
      <c r="C18" s="1">
        <v>0.72569444444444442</v>
      </c>
      <c r="D18" s="223" t="str">
        <f>TRIM('ESCALA DO FLUXO'!J6)</f>
        <v/>
      </c>
      <c r="E18" s="223"/>
      <c r="F18" s="114" t="s">
        <v>135</v>
      </c>
      <c r="G18" s="223"/>
      <c r="H18" s="236"/>
      <c r="I18" s="8"/>
    </row>
    <row r="19" spans="1:9" ht="15.75" x14ac:dyDescent="0.25">
      <c r="A19" s="8"/>
      <c r="B19" s="204">
        <v>4074</v>
      </c>
      <c r="C19" s="94">
        <v>0.29166666666666669</v>
      </c>
      <c r="D19" s="209" t="str">
        <f>'ESCALA DO FLUXO'!I8</f>
        <v>MANOEL MESSIAS SILVA DOS SANTOS - 1833</v>
      </c>
      <c r="E19" s="210"/>
      <c r="F19" s="111" t="s">
        <v>136</v>
      </c>
      <c r="G19" s="204">
        <f>'ESCALA DO FLUXO'!D8</f>
        <v>25005</v>
      </c>
      <c r="H19" s="232" t="s">
        <v>137</v>
      </c>
      <c r="I19" s="8"/>
    </row>
    <row r="20" spans="1:9" ht="15.75" x14ac:dyDescent="0.25">
      <c r="A20" s="8"/>
      <c r="B20" s="205"/>
      <c r="C20" s="94">
        <v>0.625</v>
      </c>
      <c r="D20" s="209">
        <f>'ESCALA DO FLUXO'!J8</f>
        <v>0</v>
      </c>
      <c r="E20" s="210"/>
      <c r="F20" s="112" t="s">
        <v>138</v>
      </c>
      <c r="G20" s="205"/>
      <c r="H20" s="233"/>
      <c r="I20" s="8"/>
    </row>
    <row r="21" spans="1:9" ht="15.75" x14ac:dyDescent="0.25">
      <c r="A21" s="8"/>
      <c r="B21" s="215">
        <f>IF(TEXT('ESCALA DO FLUXO'!A2,"DDDD")="SEXTA",9064,4076)</f>
        <v>9064</v>
      </c>
      <c r="C21" s="99">
        <v>0.79861111111111116</v>
      </c>
      <c r="D21" s="211" t="str">
        <f>'ESCALA DO FLUXO'!I19</f>
        <v>FRANCISCO ALVES DA PAZ JUNIOR - 1247</v>
      </c>
      <c r="E21" s="212"/>
      <c r="F21" s="113" t="s">
        <v>133</v>
      </c>
      <c r="G21" s="217">
        <f>'ESCALA DO FLUXO'!D19</f>
        <v>19015</v>
      </c>
      <c r="H21" s="215" t="str">
        <f>IF(TEXT('ESCALA DO FLUXO'!A2,"DDDD")="SEXTA","IMP X THE","GYN X THE")</f>
        <v>IMP X THE</v>
      </c>
      <c r="I21" s="8"/>
    </row>
    <row r="22" spans="1:9" ht="15.75" x14ac:dyDescent="0.25">
      <c r="A22" s="8"/>
      <c r="B22" s="216"/>
      <c r="C22" s="100" t="s">
        <v>139</v>
      </c>
      <c r="D22" s="211">
        <f>'ESCALA DO FLUXO'!J19</f>
        <v>0</v>
      </c>
      <c r="E22" s="212"/>
      <c r="F22" s="113" t="s">
        <v>135</v>
      </c>
      <c r="G22" s="218"/>
      <c r="H22" s="216"/>
      <c r="I22" s="8"/>
    </row>
    <row r="23" spans="1:9" ht="15.75" hidden="1" x14ac:dyDescent="0.25">
      <c r="A23" s="8"/>
      <c r="B23" s="114">
        <v>9064</v>
      </c>
      <c r="C23" s="1">
        <v>0.83333333333333337</v>
      </c>
      <c r="D23" s="114" t="s">
        <v>93</v>
      </c>
      <c r="E23" s="114" t="s">
        <v>93</v>
      </c>
      <c r="F23" s="114"/>
      <c r="G23" s="114" t="s">
        <v>93</v>
      </c>
      <c r="H23" s="115" t="s">
        <v>140</v>
      </c>
      <c r="I23" s="8"/>
    </row>
    <row r="24" spans="1:9" ht="15.75" x14ac:dyDescent="0.25">
      <c r="A24" s="8"/>
      <c r="B24" s="197" t="s">
        <v>141</v>
      </c>
      <c r="C24" s="198"/>
      <c r="D24" s="198"/>
      <c r="E24" s="198"/>
      <c r="F24" s="198"/>
      <c r="G24" s="198"/>
      <c r="H24" s="199"/>
      <c r="I24" s="8"/>
    </row>
    <row r="25" spans="1:9" ht="15.75" x14ac:dyDescent="0.25">
      <c r="A25" s="8"/>
      <c r="B25" s="197" t="s">
        <v>142</v>
      </c>
      <c r="C25" s="198"/>
      <c r="D25" s="198"/>
      <c r="E25" s="198"/>
      <c r="F25" s="198"/>
      <c r="G25" s="198"/>
      <c r="H25" s="199"/>
      <c r="I25" s="8"/>
    </row>
    <row r="26" spans="1:9" ht="15.75" x14ac:dyDescent="0.25">
      <c r="A26" s="8"/>
      <c r="B26" s="110" t="s">
        <v>118</v>
      </c>
      <c r="C26" s="4" t="s">
        <v>119</v>
      </c>
      <c r="D26" s="197" t="s">
        <v>143</v>
      </c>
      <c r="E26" s="199"/>
      <c r="F26" s="109" t="s">
        <v>121</v>
      </c>
      <c r="G26" s="110" t="s">
        <v>122</v>
      </c>
      <c r="H26" s="110" t="s">
        <v>85</v>
      </c>
      <c r="I26" s="8"/>
    </row>
    <row r="27" spans="1:9" ht="15.75" x14ac:dyDescent="0.25">
      <c r="A27" s="8"/>
      <c r="B27" s="114">
        <v>2100</v>
      </c>
      <c r="C27" s="1">
        <v>0.38541666666666669</v>
      </c>
      <c r="D27" s="116" t="str">
        <f>TRIM('ESCALA DO FLUXO'!I7)</f>
        <v>FERNANDO ALVES DE SOUZA - 6350</v>
      </c>
      <c r="E27" s="116" t="str">
        <f>TRIM('ESCALA DO FLUXO'!J7)</f>
        <v>AELSON PEREIRA DO NASCIMENTO - 5682</v>
      </c>
      <c r="F27" s="116" t="s">
        <v>144</v>
      </c>
      <c r="G27" s="114">
        <f>'ESCALA DO FLUXO'!D7</f>
        <v>19021</v>
      </c>
      <c r="H27" s="115" t="s">
        <v>145</v>
      </c>
      <c r="I27" s="8"/>
    </row>
    <row r="28" spans="1:9" ht="15.75" hidden="1" x14ac:dyDescent="0.25">
      <c r="A28" s="8"/>
      <c r="B28" s="114">
        <v>992</v>
      </c>
      <c r="C28" s="1">
        <v>0.74305555555555547</v>
      </c>
      <c r="D28" s="114" t="s">
        <v>93</v>
      </c>
      <c r="E28" s="114" t="s">
        <v>93</v>
      </c>
      <c r="F28" s="114"/>
      <c r="G28" s="114" t="s">
        <v>93</v>
      </c>
      <c r="H28" s="115" t="s">
        <v>145</v>
      </c>
      <c r="I28" s="8"/>
    </row>
    <row r="29" spans="1:9" ht="15.75" x14ac:dyDescent="0.25">
      <c r="A29" s="8"/>
      <c r="B29" s="114">
        <v>2013</v>
      </c>
      <c r="C29" s="1">
        <v>0.82777777777777772</v>
      </c>
      <c r="D29" s="114" t="str">
        <f>TRIM('ESCALA DO FLUXO'!I15)</f>
        <v>BRUNO MATOS DA ROCHA - 6013</v>
      </c>
      <c r="E29" s="114" t="str">
        <f>TRIM('ESCALA DO FLUXO'!J15)</f>
        <v>ANTONIO FRANCINALDO DE OLIVEIRA MARQUES - 5018</v>
      </c>
      <c r="F29" s="114" t="s">
        <v>144</v>
      </c>
      <c r="G29" s="114">
        <f>'ESCALA DO FLUXO'!D15</f>
        <v>25012</v>
      </c>
      <c r="H29" s="115" t="s">
        <v>145</v>
      </c>
      <c r="I29" s="8"/>
    </row>
    <row r="30" spans="1:9" ht="15.75" x14ac:dyDescent="0.25">
      <c r="A30" s="8"/>
      <c r="B30" s="197" t="s">
        <v>131</v>
      </c>
      <c r="C30" s="198"/>
      <c r="D30" s="198"/>
      <c r="E30" s="198"/>
      <c r="F30" s="198"/>
      <c r="G30" s="198"/>
      <c r="H30" s="199"/>
      <c r="I30" s="8"/>
    </row>
    <row r="31" spans="1:9" ht="15.75" x14ac:dyDescent="0.25">
      <c r="A31" s="8"/>
      <c r="B31" s="197" t="s">
        <v>146</v>
      </c>
      <c r="C31" s="198"/>
      <c r="D31" s="198"/>
      <c r="E31" s="198"/>
      <c r="F31" s="198"/>
      <c r="G31" s="198"/>
      <c r="H31" s="199"/>
      <c r="I31" s="8"/>
    </row>
    <row r="32" spans="1:9" ht="15.75" x14ac:dyDescent="0.25">
      <c r="A32" s="8"/>
      <c r="B32" s="110" t="s">
        <v>118</v>
      </c>
      <c r="C32" s="4" t="s">
        <v>119</v>
      </c>
      <c r="D32" s="197" t="s">
        <v>120</v>
      </c>
      <c r="E32" s="199"/>
      <c r="F32" s="109" t="s">
        <v>121</v>
      </c>
      <c r="G32" s="110" t="s">
        <v>122</v>
      </c>
      <c r="H32" s="110" t="s">
        <v>85</v>
      </c>
      <c r="I32" s="8"/>
    </row>
    <row r="33" spans="1:9" ht="15.75" x14ac:dyDescent="0.25">
      <c r="A33" s="8"/>
      <c r="B33" s="114">
        <v>2103</v>
      </c>
      <c r="C33" s="1">
        <v>0.375</v>
      </c>
      <c r="D33" s="116" t="str">
        <f>TRIM('ESCALA DO FLUXO'!I9)</f>
        <v>ANTONIO MARQUES NETO DOS SANTOS - 1738</v>
      </c>
      <c r="E33" s="116" t="str">
        <f>TRIM('ESCALA DO FLUXO'!J9)</f>
        <v>JERZUALDO DA SILVA GOMES - 4077</v>
      </c>
      <c r="F33" s="116" t="s">
        <v>147</v>
      </c>
      <c r="G33" s="114">
        <f>'ESCALA DO FLUXO'!D9</f>
        <v>19010</v>
      </c>
      <c r="H33" s="115" t="s">
        <v>123</v>
      </c>
      <c r="I33" s="8"/>
    </row>
    <row r="34" spans="1:9" ht="15.75" hidden="1" x14ac:dyDescent="0.25">
      <c r="A34" s="8"/>
      <c r="B34" s="114">
        <v>993</v>
      </c>
      <c r="C34" s="1">
        <v>0.77083333333333337</v>
      </c>
      <c r="D34" s="114" t="s">
        <v>93</v>
      </c>
      <c r="E34" s="114" t="s">
        <v>93</v>
      </c>
      <c r="F34" s="114"/>
      <c r="G34" s="114" t="s">
        <v>93</v>
      </c>
      <c r="H34" s="115" t="s">
        <v>123</v>
      </c>
      <c r="I34" s="8"/>
    </row>
    <row r="35" spans="1:9" ht="15.75" x14ac:dyDescent="0.25">
      <c r="A35" s="8"/>
      <c r="B35" s="114">
        <v>2014</v>
      </c>
      <c r="C35" s="1">
        <f>'ESCALA DO FLUXO'!F14</f>
        <v>0.77083333333333337</v>
      </c>
      <c r="D35" s="114" t="str">
        <f>TRIM('ESCALA DO FLUXO'!I14)</f>
        <v>JAKTAN DE OLIVEIRA RODRIGUES - 5836</v>
      </c>
      <c r="E35" s="114" t="str">
        <f>TRIM('ESCALA DO FLUXO'!J14)</f>
        <v>ARIANO SILVA OLIVEIRA - 6349</v>
      </c>
      <c r="F35" s="114" t="s">
        <v>147</v>
      </c>
      <c r="G35" s="114">
        <f>'ESCALA DO FLUXO'!D14</f>
        <v>24014</v>
      </c>
      <c r="H35" s="115" t="s">
        <v>123</v>
      </c>
      <c r="I35" s="8"/>
    </row>
    <row r="36" spans="1:9" ht="15.75" x14ac:dyDescent="0.25">
      <c r="A36" s="8"/>
      <c r="B36" s="197" t="s">
        <v>131</v>
      </c>
      <c r="C36" s="198"/>
      <c r="D36" s="198"/>
      <c r="E36" s="198"/>
      <c r="F36" s="198"/>
      <c r="G36" s="198"/>
      <c r="H36" s="199"/>
      <c r="I36" s="8"/>
    </row>
    <row r="37" spans="1:9" ht="15.75" x14ac:dyDescent="0.25">
      <c r="A37" s="8"/>
      <c r="B37" s="197" t="s">
        <v>148</v>
      </c>
      <c r="C37" s="198"/>
      <c r="D37" s="198"/>
      <c r="E37" s="198"/>
      <c r="F37" s="198"/>
      <c r="G37" s="198"/>
      <c r="H37" s="199"/>
      <c r="I37" s="8"/>
    </row>
    <row r="38" spans="1:9" ht="15.75" x14ac:dyDescent="0.25">
      <c r="A38" s="8"/>
      <c r="B38" s="110" t="s">
        <v>118</v>
      </c>
      <c r="C38" s="4" t="s">
        <v>119</v>
      </c>
      <c r="D38" s="197" t="s">
        <v>120</v>
      </c>
      <c r="E38" s="199"/>
      <c r="F38" s="109" t="s">
        <v>121</v>
      </c>
      <c r="G38" s="110" t="s">
        <v>122</v>
      </c>
      <c r="H38" s="110" t="s">
        <v>85</v>
      </c>
      <c r="I38" s="8"/>
    </row>
    <row r="39" spans="1:9" ht="15.75" x14ac:dyDescent="0.25">
      <c r="A39" s="8"/>
      <c r="B39" s="230">
        <v>2260</v>
      </c>
      <c r="C39" s="234">
        <v>0.47013888888888888</v>
      </c>
      <c r="D39" s="224" t="str">
        <f>TRIM('ESCALA DO FLUXO'!I16)</f>
        <v>FRANCISCO BATISTA DE LIMA - 1827</v>
      </c>
      <c r="E39" s="225"/>
      <c r="F39" s="116" t="s">
        <v>133</v>
      </c>
      <c r="G39" s="230">
        <f>'ESCALA DO FLUXO'!D16</f>
        <v>19024</v>
      </c>
      <c r="H39" s="228" t="s">
        <v>149</v>
      </c>
      <c r="I39" s="8"/>
    </row>
    <row r="40" spans="1:9" ht="15.75" x14ac:dyDescent="0.25">
      <c r="A40" s="8"/>
      <c r="B40" s="231"/>
      <c r="C40" s="235"/>
      <c r="D40" s="224" t="str">
        <f>TRIM('ESCALA DO FLUXO'!J16)</f>
        <v>EDIVALDO DE ARAUJO - 6217</v>
      </c>
      <c r="E40" s="225"/>
      <c r="F40" s="116" t="s">
        <v>150</v>
      </c>
      <c r="G40" s="231"/>
      <c r="H40" s="229"/>
      <c r="I40" s="8"/>
    </row>
    <row r="41" spans="1:9" ht="15.75" x14ac:dyDescent="0.25">
      <c r="A41" s="8"/>
      <c r="B41" s="204">
        <v>4098</v>
      </c>
      <c r="C41" s="206">
        <v>0.8125</v>
      </c>
      <c r="D41" s="200" t="str">
        <f>TRIM('ESCALA DO FLUXO'!I17)</f>
        <v>REGINALDO DE SOUSA OLIVEIRA - 5412</v>
      </c>
      <c r="E41" s="201"/>
      <c r="F41" s="119" t="s">
        <v>133</v>
      </c>
      <c r="G41" s="204">
        <f>'ESCALA DO FLUXO'!D17</f>
        <v>18016</v>
      </c>
      <c r="H41" s="202" t="s">
        <v>151</v>
      </c>
      <c r="I41" s="8"/>
    </row>
    <row r="42" spans="1:9" ht="15.75" x14ac:dyDescent="0.25">
      <c r="A42" s="8"/>
      <c r="B42" s="205"/>
      <c r="C42" s="207"/>
      <c r="D42" s="200" t="str">
        <f>TRIM('ESCALA DO FLUXO'!J17)</f>
        <v>JOSE ANTONIO OLIVEIRA SILVA NETO - 6378</v>
      </c>
      <c r="E42" s="201"/>
      <c r="F42" s="119" t="s">
        <v>150</v>
      </c>
      <c r="G42" s="205"/>
      <c r="H42" s="203"/>
      <c r="I42" s="8"/>
    </row>
    <row r="43" spans="1:9" ht="15.75" x14ac:dyDescent="0.25">
      <c r="A43" s="8"/>
      <c r="B43" s="219">
        <v>1071</v>
      </c>
      <c r="C43" s="97">
        <v>0.84375</v>
      </c>
      <c r="D43" s="221" t="str">
        <f>TRIM('ESCALA DO FLUXO'!I18)</f>
        <v>JARDEL DE SOUSA OLIVEIRA - 5992</v>
      </c>
      <c r="E43" s="222"/>
      <c r="F43" s="98" t="s">
        <v>133</v>
      </c>
      <c r="G43" s="219">
        <f>'ESCALA DO FLUXO'!D18</f>
        <v>25008</v>
      </c>
      <c r="H43" s="226" t="s">
        <v>149</v>
      </c>
      <c r="I43" s="8"/>
    </row>
    <row r="44" spans="1:9" ht="15.75" x14ac:dyDescent="0.25">
      <c r="A44" s="8"/>
      <c r="B44" s="220"/>
      <c r="C44" s="97">
        <v>8.3333333333333329E-2</v>
      </c>
      <c r="D44" s="221" t="str">
        <f>TRIM('ESCALA DO FLUXO'!I19)</f>
        <v>FRANCISCO ALVES DA PAZ JUNIOR - 1247</v>
      </c>
      <c r="E44" s="222"/>
      <c r="F44" s="98" t="s">
        <v>150</v>
      </c>
      <c r="G44" s="220"/>
      <c r="H44" s="227"/>
      <c r="I44" s="8"/>
    </row>
    <row r="45" spans="1:9" ht="15.75" x14ac:dyDescent="0.25">
      <c r="A45" s="8"/>
      <c r="B45" s="197" t="s">
        <v>131</v>
      </c>
      <c r="C45" s="198"/>
      <c r="D45" s="198"/>
      <c r="E45" s="198"/>
      <c r="F45" s="198"/>
      <c r="G45" s="198"/>
      <c r="H45" s="199"/>
      <c r="I45" s="8"/>
    </row>
    <row r="46" spans="1:9" ht="15.75" x14ac:dyDescent="0.25">
      <c r="A46" s="8"/>
      <c r="B46" s="197" t="s">
        <v>152</v>
      </c>
      <c r="C46" s="198"/>
      <c r="D46" s="198"/>
      <c r="E46" s="198"/>
      <c r="F46" s="198"/>
      <c r="G46" s="198"/>
      <c r="H46" s="199"/>
      <c r="I46" s="8"/>
    </row>
    <row r="47" spans="1:9" ht="15.75" x14ac:dyDescent="0.25">
      <c r="A47" s="8"/>
      <c r="B47" s="110" t="s">
        <v>118</v>
      </c>
      <c r="C47" s="4" t="s">
        <v>119</v>
      </c>
      <c r="D47" s="197" t="s">
        <v>120</v>
      </c>
      <c r="E47" s="199"/>
      <c r="F47" s="109" t="s">
        <v>121</v>
      </c>
      <c r="G47" s="110" t="s">
        <v>122</v>
      </c>
      <c r="H47" s="110" t="s">
        <v>85</v>
      </c>
      <c r="I47" s="8"/>
    </row>
    <row r="48" spans="1:9" ht="15.75" x14ac:dyDescent="0.25">
      <c r="A48" s="8"/>
      <c r="B48" s="202">
        <v>2261</v>
      </c>
      <c r="C48" s="95">
        <v>0.29166666666666669</v>
      </c>
      <c r="D48" s="200" t="str">
        <f>TRIM('ESCALA DO FLUXO'!I10)</f>
        <v>CARLOS ADRIANO DE SOUZA DO NASCIMENTO - 6222</v>
      </c>
      <c r="E48" s="201"/>
      <c r="F48" s="119" t="s">
        <v>153</v>
      </c>
      <c r="G48" s="204">
        <f>'ESCALA DO FLUXO'!D10</f>
        <v>20015</v>
      </c>
      <c r="H48" s="202" t="s">
        <v>125</v>
      </c>
      <c r="I48" s="8"/>
    </row>
    <row r="49" spans="1:9" ht="15.75" x14ac:dyDescent="0.25">
      <c r="A49" s="8"/>
      <c r="B49" s="203"/>
      <c r="C49" s="95">
        <v>0.52083333333333337</v>
      </c>
      <c r="D49" s="200" t="str">
        <f>TRIM('ESCALA DO FLUXO'!J10)</f>
        <v>LEANDRO DE OLIVEIRA MELO - 2151</v>
      </c>
      <c r="E49" s="201"/>
      <c r="F49" s="119" t="s">
        <v>154</v>
      </c>
      <c r="G49" s="205"/>
      <c r="H49" s="203"/>
      <c r="I49" s="8"/>
    </row>
    <row r="50" spans="1:9" ht="15.75" x14ac:dyDescent="0.25">
      <c r="A50" s="8"/>
      <c r="B50" s="228">
        <v>4099</v>
      </c>
      <c r="C50" s="238">
        <v>0.79513888888888884</v>
      </c>
      <c r="D50" s="213" t="str">
        <f>TRIM('ESCALA DO FLUXO'!I12)</f>
        <v>CANCELADO</v>
      </c>
      <c r="E50" s="214"/>
      <c r="F50" s="134" t="s">
        <v>133</v>
      </c>
      <c r="G50" s="230" t="str">
        <f>'ESCALA DO FLUXO'!D12</f>
        <v>CANCELADO</v>
      </c>
      <c r="H50" s="228" t="s">
        <v>155</v>
      </c>
      <c r="I50" s="8"/>
    </row>
    <row r="51" spans="1:9" ht="15.75" x14ac:dyDescent="0.25">
      <c r="A51" s="8"/>
      <c r="B51" s="229"/>
      <c r="C51" s="239"/>
      <c r="D51" s="213" t="str">
        <f>TRIM('ESCALA DO FLUXO'!J12)</f>
        <v>CANCELADO</v>
      </c>
      <c r="E51" s="214"/>
      <c r="F51" s="134" t="s">
        <v>154</v>
      </c>
      <c r="G51" s="231"/>
      <c r="H51" s="229"/>
      <c r="I51" s="8"/>
    </row>
    <row r="52" spans="1:9" ht="15.75" x14ac:dyDescent="0.25">
      <c r="A52" s="8"/>
      <c r="B52" s="241">
        <v>1072</v>
      </c>
      <c r="C52" s="95">
        <v>0.79166666666666663</v>
      </c>
      <c r="D52" s="240" t="str">
        <f>TRIM('ESCALA DO FLUXO'!I11)</f>
        <v>KAYLSON KLEYTON DA SILVA COSTA - 6224</v>
      </c>
      <c r="E52" s="240"/>
      <c r="F52" s="111" t="s">
        <v>153</v>
      </c>
      <c r="G52" s="240">
        <f>'ESCALA DO FLUXO'!D11</f>
        <v>25005</v>
      </c>
      <c r="H52" s="241" t="s">
        <v>125</v>
      </c>
      <c r="I52" s="8"/>
    </row>
    <row r="53" spans="1:9" ht="15.75" x14ac:dyDescent="0.25">
      <c r="A53" s="8"/>
      <c r="B53" s="241"/>
      <c r="C53" s="96" t="s">
        <v>156</v>
      </c>
      <c r="D53" s="240" t="str">
        <f>TRIM('ESCALA DO FLUXO'!J11)</f>
        <v>JARDEL DE SOUSA OLIVEIRA - 5992</v>
      </c>
      <c r="E53" s="240"/>
      <c r="F53" s="111" t="s">
        <v>154</v>
      </c>
      <c r="G53" s="240"/>
      <c r="H53" s="241"/>
      <c r="I53" s="8"/>
    </row>
    <row r="54" spans="1:9" ht="15.75" hidden="1" x14ac:dyDescent="0.25">
      <c r="A54" s="8"/>
      <c r="B54" s="197" t="s">
        <v>131</v>
      </c>
      <c r="C54" s="198"/>
      <c r="D54" s="198"/>
      <c r="E54" s="198"/>
      <c r="F54" s="198"/>
      <c r="G54" s="198"/>
      <c r="H54" s="199"/>
      <c r="I54" s="8"/>
    </row>
    <row r="55" spans="1:9" ht="15.75" hidden="1" x14ac:dyDescent="0.25">
      <c r="A55" s="8"/>
      <c r="B55" s="197" t="s">
        <v>157</v>
      </c>
      <c r="C55" s="198"/>
      <c r="D55" s="198"/>
      <c r="E55" s="198"/>
      <c r="F55" s="198"/>
      <c r="G55" s="198"/>
      <c r="H55" s="199"/>
      <c r="I55" s="8"/>
    </row>
    <row r="56" spans="1:9" ht="15.75" hidden="1" x14ac:dyDescent="0.25">
      <c r="A56" s="8"/>
      <c r="B56" s="110" t="s">
        <v>118</v>
      </c>
      <c r="C56" s="4" t="s">
        <v>119</v>
      </c>
      <c r="D56" s="237" t="s">
        <v>120</v>
      </c>
      <c r="E56" s="237"/>
      <c r="F56" s="109" t="s">
        <v>121</v>
      </c>
      <c r="G56" s="110" t="s">
        <v>122</v>
      </c>
      <c r="H56" s="110" t="s">
        <v>85</v>
      </c>
      <c r="I56" s="8"/>
    </row>
    <row r="57" spans="1:9" ht="15.75" hidden="1" x14ac:dyDescent="0.25">
      <c r="A57" s="8"/>
      <c r="B57" s="35">
        <v>9080</v>
      </c>
      <c r="C57" s="36">
        <f>'ESCALA DO FLUXO'!F5</f>
        <v>0.41666666666666669</v>
      </c>
      <c r="D57" s="116" t="str">
        <f>TRIM('ESCALA DO FLUXO'!I5)</f>
        <v>CANCELADO</v>
      </c>
      <c r="E57" s="116" t="str">
        <f>TRIM('ESCALA DO FLUXO'!J5)</f>
        <v>CANCELADO</v>
      </c>
      <c r="F57" s="116" t="s">
        <v>158</v>
      </c>
      <c r="G57" s="35" t="str">
        <f>'ESCALA DO FLUXO'!D5</f>
        <v>CANCELADO</v>
      </c>
      <c r="H57" s="35" t="s">
        <v>158</v>
      </c>
      <c r="I57" s="8"/>
    </row>
    <row r="58" spans="1:9" ht="15.75" hidden="1" x14ac:dyDescent="0.25">
      <c r="A58" s="8"/>
      <c r="B58" s="197" t="s">
        <v>131</v>
      </c>
      <c r="C58" s="198"/>
      <c r="D58" s="198"/>
      <c r="E58" s="198"/>
      <c r="F58" s="198"/>
      <c r="G58" s="198"/>
      <c r="H58" s="199"/>
      <c r="I58" s="8"/>
    </row>
    <row r="59" spans="1:9" ht="15.75" hidden="1" x14ac:dyDescent="0.25">
      <c r="A59" s="8"/>
      <c r="B59" s="197" t="s">
        <v>1567</v>
      </c>
      <c r="C59" s="198"/>
      <c r="D59" s="198"/>
      <c r="E59" s="198"/>
      <c r="F59" s="198"/>
      <c r="G59" s="198"/>
      <c r="H59" s="199"/>
      <c r="I59" s="8"/>
    </row>
    <row r="60" spans="1:9" ht="15.75" hidden="1" x14ac:dyDescent="0.25">
      <c r="A60" s="8"/>
      <c r="B60" s="110" t="s">
        <v>118</v>
      </c>
      <c r="C60" s="4" t="s">
        <v>119</v>
      </c>
      <c r="D60" s="237" t="s">
        <v>120</v>
      </c>
      <c r="E60" s="237"/>
      <c r="F60" s="109" t="s">
        <v>121</v>
      </c>
      <c r="G60" s="110" t="s">
        <v>122</v>
      </c>
      <c r="H60" s="110" t="s">
        <v>85</v>
      </c>
      <c r="I60" s="8"/>
    </row>
    <row r="61" spans="1:9" ht="15.75" hidden="1" x14ac:dyDescent="0.25">
      <c r="A61" s="8"/>
      <c r="B61" s="35">
        <v>150</v>
      </c>
      <c r="C61" s="36" t="e">
        <f>'ESCALA DO FLUXO'!#REF!</f>
        <v>#REF!</v>
      </c>
      <c r="D61" s="116" t="e">
        <f>TRIM('ESCALA DO FLUXO'!#REF!)</f>
        <v>#REF!</v>
      </c>
      <c r="E61" s="116" t="e">
        <f>TRIM('ESCALA DO FLUXO'!#REF!)</f>
        <v>#REF!</v>
      </c>
      <c r="F61" s="116" t="s">
        <v>124</v>
      </c>
      <c r="G61" s="35" t="e">
        <f>'ESCALA DO FLUXO'!#REF!</f>
        <v>#REF!</v>
      </c>
      <c r="H61" s="35" t="s">
        <v>1568</v>
      </c>
      <c r="I61" s="8"/>
    </row>
    <row r="62" spans="1:9" ht="15.75" hidden="1" x14ac:dyDescent="0.25">
      <c r="A62" s="139"/>
      <c r="B62" s="35">
        <v>885</v>
      </c>
      <c r="C62" s="36">
        <f>'ESCALA DO FLUXO'!F23</f>
        <v>0</v>
      </c>
      <c r="D62" s="116" t="str">
        <f>TRIM('ESCALA DO FLUXO'!I23)</f>
        <v/>
      </c>
      <c r="E62" s="116" t="str">
        <f>TRIM('ESCALA DO FLUXO'!J23)</f>
        <v/>
      </c>
      <c r="F62" s="116" t="s">
        <v>124</v>
      </c>
      <c r="G62" s="35">
        <f>'ESCALA DO FLUXO'!D23</f>
        <v>0</v>
      </c>
      <c r="H62" s="35" t="s">
        <v>125</v>
      </c>
      <c r="I62" s="139"/>
    </row>
    <row r="63" spans="1:9" ht="15.75" hidden="1" x14ac:dyDescent="0.25">
      <c r="A63" s="139"/>
      <c r="B63" s="35"/>
      <c r="C63" s="36"/>
      <c r="D63" s="116"/>
      <c r="E63" s="116"/>
      <c r="F63" s="116"/>
      <c r="G63" s="35"/>
      <c r="H63" s="35"/>
      <c r="I63" s="139"/>
    </row>
    <row r="64" spans="1:9" ht="15.75" x14ac:dyDescent="0.25">
      <c r="A64" s="139"/>
      <c r="B64" s="139"/>
      <c r="C64" s="139"/>
      <c r="D64" s="139"/>
      <c r="E64" s="139"/>
      <c r="F64" s="139"/>
      <c r="G64" s="139"/>
      <c r="H64" s="139"/>
      <c r="I64" s="139"/>
    </row>
  </sheetData>
  <protectedRanges>
    <protectedRange sqref="F19:F43 E44:E47 D54:E57 G11:H43 B11:C57 E19:E38 B2:H9 D10:F10 E11:F16 D11:D53 F44:H57 B58:H61 A62:I64" name="ESCALA MESCLADA"/>
  </protectedRanges>
  <mergeCells count="77">
    <mergeCell ref="B58:H58"/>
    <mergeCell ref="B59:H59"/>
    <mergeCell ref="D60:E60"/>
    <mergeCell ref="C50:C51"/>
    <mergeCell ref="B50:B51"/>
    <mergeCell ref="G50:G51"/>
    <mergeCell ref="D53:E53"/>
    <mergeCell ref="B52:B53"/>
    <mergeCell ref="B54:H54"/>
    <mergeCell ref="B55:H55"/>
    <mergeCell ref="D56:E56"/>
    <mergeCell ref="G52:G53"/>
    <mergeCell ref="H52:H53"/>
    <mergeCell ref="D52:E52"/>
    <mergeCell ref="D51:E51"/>
    <mergeCell ref="H50:H51"/>
    <mergeCell ref="H9:H10"/>
    <mergeCell ref="D9:E9"/>
    <mergeCell ref="C9:C10"/>
    <mergeCell ref="D20:E20"/>
    <mergeCell ref="C39:C40"/>
    <mergeCell ref="H17:H18"/>
    <mergeCell ref="H19:H20"/>
    <mergeCell ref="H21:H22"/>
    <mergeCell ref="B36:H36"/>
    <mergeCell ref="B37:H37"/>
    <mergeCell ref="B39:B40"/>
    <mergeCell ref="D18:E18"/>
    <mergeCell ref="G17:G18"/>
    <mergeCell ref="H43:H44"/>
    <mergeCell ref="D39:E39"/>
    <mergeCell ref="D42:E42"/>
    <mergeCell ref="H41:H42"/>
    <mergeCell ref="H39:H40"/>
    <mergeCell ref="D41:E41"/>
    <mergeCell ref="G41:G42"/>
    <mergeCell ref="G39:G40"/>
    <mergeCell ref="D50:E50"/>
    <mergeCell ref="B9:B10"/>
    <mergeCell ref="G9:G10"/>
    <mergeCell ref="D22:E22"/>
    <mergeCell ref="B21:B22"/>
    <mergeCell ref="G21:G22"/>
    <mergeCell ref="G43:G44"/>
    <mergeCell ref="B43:B44"/>
    <mergeCell ref="D44:E44"/>
    <mergeCell ref="D43:E43"/>
    <mergeCell ref="B17:B18"/>
    <mergeCell ref="D17:E17"/>
    <mergeCell ref="B19:B20"/>
    <mergeCell ref="G19:G20"/>
    <mergeCell ref="D40:E40"/>
    <mergeCell ref="D32:E32"/>
    <mergeCell ref="B41:B42"/>
    <mergeCell ref="C41:C42"/>
    <mergeCell ref="B2:H2"/>
    <mergeCell ref="B3:H3"/>
    <mergeCell ref="D4:E4"/>
    <mergeCell ref="D38:E38"/>
    <mergeCell ref="D16:E16"/>
    <mergeCell ref="B24:H24"/>
    <mergeCell ref="B25:H25"/>
    <mergeCell ref="D26:E26"/>
    <mergeCell ref="B30:H30"/>
    <mergeCell ref="B31:H31"/>
    <mergeCell ref="B15:H15"/>
    <mergeCell ref="B14:H14"/>
    <mergeCell ref="D19:E19"/>
    <mergeCell ref="D21:E21"/>
    <mergeCell ref="B46:H46"/>
    <mergeCell ref="B45:H45"/>
    <mergeCell ref="D47:E47"/>
    <mergeCell ref="D49:E49"/>
    <mergeCell ref="D48:E48"/>
    <mergeCell ref="B48:B49"/>
    <mergeCell ref="G48:G49"/>
    <mergeCell ref="H48:H49"/>
  </mergeCells>
  <conditionalFormatting sqref="A64:E64">
    <cfRule type="containsText" dxfId="42" priority="1" operator="containsText" text="CANCELADO">
      <formula>NOT(ISERROR(SEARCH("CANCELADO",A64)))</formula>
    </cfRule>
    <cfRule type="expression" dxfId="41" priority="2">
      <formula>$B64=9064</formula>
    </cfRule>
  </conditionalFormatting>
  <conditionalFormatting sqref="A1:I63 F62:I64">
    <cfRule type="containsText" dxfId="40" priority="3" operator="containsText" text="CANCELADO">
      <formula>NOT(ISERROR(SEARCH("CANCELADO",A1)))</formula>
    </cfRule>
  </conditionalFormatting>
  <conditionalFormatting sqref="B2:H9 B10:C10 E10:F10 B11:H49 B50:D50 F50:H50 B52:H63 A62:B63 F62:I64">
    <cfRule type="expression" dxfId="39" priority="46">
      <formula>$B2=9064</formula>
    </cfRule>
  </conditionalFormatting>
  <conditionalFormatting sqref="D9">
    <cfRule type="expression" dxfId="38" priority="6">
      <formula>$B9=9064</formula>
    </cfRule>
    <cfRule type="expression" dxfId="37" priority="7">
      <formula>$B9=3132</formula>
    </cfRule>
  </conditionalFormatting>
  <conditionalFormatting sqref="D40 D42">
    <cfRule type="expression" dxfId="36" priority="559">
      <formula>$B39=9064</formula>
    </cfRule>
    <cfRule type="expression" dxfId="35" priority="560">
      <formula>$B39=3132</formula>
    </cfRule>
  </conditionalFormatting>
  <conditionalFormatting sqref="D51">
    <cfRule type="expression" dxfId="34" priority="564">
      <formula>$B50=9064</formula>
    </cfRule>
  </conditionalFormatting>
  <conditionalFormatting sqref="E10:F10 D18 D49 D53">
    <cfRule type="expression" dxfId="33" priority="524">
      <formula>$B9=9064</formula>
    </cfRule>
    <cfRule type="expression" dxfId="32" priority="525">
      <formula>$B9=3132</formula>
    </cfRule>
  </conditionalFormatting>
  <conditionalFormatting sqref="F9">
    <cfRule type="expression" dxfId="31" priority="530">
      <formula>#REF!=9064</formula>
    </cfRule>
    <cfRule type="expression" dxfId="30" priority="531">
      <formula>#REF!=3132</formula>
    </cfRule>
  </conditionalFormatting>
  <conditionalFormatting sqref="F51">
    <cfRule type="expression" dxfId="29" priority="5">
      <formula>$B51=9064</formula>
    </cfRule>
  </conditionalFormatting>
  <conditionalFormatting sqref="G57 G48:G53 G39:G44 G33:G35 G27:G29 G17:G22 G6:G13 G61:G63">
    <cfRule type="duplicateValues" dxfId="28" priority="548"/>
  </conditionalFormatting>
  <printOptions horizontalCentered="1" verticalCentered="1"/>
  <pageMargins left="0.25" right="0.25" top="0.75" bottom="0.75" header="0.3" footer="0.3"/>
  <pageSetup paperSize="9" scale="6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8872-FDCE-4A09-B0C1-E5FF98FE9D16}">
  <sheetPr codeName="Planilha1">
    <tabColor theme="9"/>
    <pageSetUpPr fitToPage="1"/>
  </sheetPr>
  <dimension ref="A1:L50"/>
  <sheetViews>
    <sheetView tabSelected="1" zoomScale="85" zoomScaleNormal="85" workbookViewId="0">
      <selection activeCell="A2" sqref="A2:K22"/>
    </sheetView>
  </sheetViews>
  <sheetFormatPr defaultColWidth="9.140625" defaultRowHeight="15" x14ac:dyDescent="0.25"/>
  <cols>
    <col min="1" max="1" width="8.140625" style="9" customWidth="1"/>
    <col min="2" max="2" width="11.140625" style="63" bestFit="1" customWidth="1"/>
    <col min="3" max="3" width="12.28515625" style="9" bestFit="1" customWidth="1"/>
    <col min="4" max="4" width="11.7109375" style="9" bestFit="1" customWidth="1"/>
    <col min="5" max="5" width="11" style="9" customWidth="1"/>
    <col min="6" max="6" width="11" style="64" customWidth="1"/>
    <col min="7" max="8" width="16.42578125" style="9" bestFit="1" customWidth="1"/>
    <col min="9" max="10" width="58.140625" style="9" customWidth="1"/>
    <col min="11" max="11" width="34.42578125" style="9" bestFit="1" customWidth="1"/>
    <col min="12" max="16384" width="9.140625" style="9"/>
  </cols>
  <sheetData>
    <row r="1" spans="1:12" ht="18.75" x14ac:dyDescent="0.25">
      <c r="B1" s="65" t="s">
        <v>51</v>
      </c>
      <c r="C1" s="66" t="s">
        <v>79</v>
      </c>
      <c r="D1" s="66" t="s">
        <v>30</v>
      </c>
      <c r="E1" s="66" t="s">
        <v>80</v>
      </c>
      <c r="F1" s="67" t="s">
        <v>81</v>
      </c>
      <c r="G1" s="66" t="s">
        <v>82</v>
      </c>
      <c r="H1" s="66" t="s">
        <v>55</v>
      </c>
      <c r="I1" s="66" t="s">
        <v>83</v>
      </c>
      <c r="J1" s="66" t="s">
        <v>84</v>
      </c>
      <c r="K1" s="68" t="s">
        <v>85</v>
      </c>
    </row>
    <row r="2" spans="1:12" ht="15" customHeight="1" x14ac:dyDescent="0.25">
      <c r="A2" s="248" t="s">
        <v>1596</v>
      </c>
      <c r="B2" s="159">
        <v>46101</v>
      </c>
      <c r="C2" s="160" t="s">
        <v>86</v>
      </c>
      <c r="D2" s="160">
        <v>25007</v>
      </c>
      <c r="E2" s="161">
        <v>0.25486111111111109</v>
      </c>
      <c r="F2" s="161">
        <v>0.3</v>
      </c>
      <c r="G2" s="160" t="s">
        <v>59</v>
      </c>
      <c r="H2" s="160" t="s">
        <v>57</v>
      </c>
      <c r="I2" s="160" t="s">
        <v>932</v>
      </c>
      <c r="J2" s="160" t="s">
        <v>1597</v>
      </c>
      <c r="K2" s="160" t="s">
        <v>89</v>
      </c>
      <c r="L2" s="162"/>
    </row>
    <row r="3" spans="1:12" x14ac:dyDescent="0.25">
      <c r="A3" s="249"/>
      <c r="B3" s="159">
        <v>46101</v>
      </c>
      <c r="C3" s="160" t="s">
        <v>86</v>
      </c>
      <c r="D3" s="160">
        <v>25011</v>
      </c>
      <c r="E3" s="161">
        <v>0.32291666666666669</v>
      </c>
      <c r="F3" s="161">
        <v>0.33333333333333331</v>
      </c>
      <c r="G3" s="160" t="s">
        <v>59</v>
      </c>
      <c r="H3" s="160" t="s">
        <v>57</v>
      </c>
      <c r="I3" s="160" t="s">
        <v>104</v>
      </c>
      <c r="J3" s="160" t="s">
        <v>844</v>
      </c>
      <c r="K3" s="160" t="s">
        <v>90</v>
      </c>
      <c r="L3" s="162"/>
    </row>
    <row r="4" spans="1:12" x14ac:dyDescent="0.25">
      <c r="A4" s="249"/>
      <c r="B4" s="159">
        <v>46101</v>
      </c>
      <c r="C4" s="160" t="s">
        <v>86</v>
      </c>
      <c r="D4" s="160">
        <v>19005</v>
      </c>
      <c r="E4" s="161">
        <v>0.3888888888888889</v>
      </c>
      <c r="F4" s="161">
        <v>0.39583333333333331</v>
      </c>
      <c r="G4" s="160" t="s">
        <v>59</v>
      </c>
      <c r="H4" s="160" t="s">
        <v>57</v>
      </c>
      <c r="I4" s="160" t="s">
        <v>826</v>
      </c>
      <c r="J4" s="160" t="s">
        <v>1597</v>
      </c>
      <c r="K4" s="160" t="s">
        <v>92</v>
      </c>
      <c r="L4" s="162"/>
    </row>
    <row r="5" spans="1:12" x14ac:dyDescent="0.25">
      <c r="A5" s="249"/>
      <c r="B5" s="159">
        <v>46101</v>
      </c>
      <c r="C5" s="160" t="s">
        <v>86</v>
      </c>
      <c r="D5" s="156" t="s">
        <v>93</v>
      </c>
      <c r="E5" s="161">
        <v>0.375</v>
      </c>
      <c r="F5" s="161">
        <v>0.41666666666666669</v>
      </c>
      <c r="G5" s="160" t="s">
        <v>59</v>
      </c>
      <c r="H5" s="160" t="s">
        <v>63</v>
      </c>
      <c r="I5" s="156" t="s">
        <v>93</v>
      </c>
      <c r="J5" s="156" t="s">
        <v>93</v>
      </c>
      <c r="K5" s="160" t="s">
        <v>1598</v>
      </c>
      <c r="L5" s="162"/>
    </row>
    <row r="6" spans="1:12" x14ac:dyDescent="0.25">
      <c r="A6" s="249"/>
      <c r="B6" s="159">
        <v>46101</v>
      </c>
      <c r="C6" s="160" t="s">
        <v>86</v>
      </c>
      <c r="D6" s="160">
        <v>19007</v>
      </c>
      <c r="E6" s="161">
        <v>0.3888888888888889</v>
      </c>
      <c r="F6" s="161">
        <v>0.37708333333333333</v>
      </c>
      <c r="G6" s="160" t="s">
        <v>59</v>
      </c>
      <c r="H6" s="160" t="s">
        <v>62</v>
      </c>
      <c r="I6" s="160" t="s">
        <v>109</v>
      </c>
      <c r="J6" s="160"/>
      <c r="K6" s="160" t="s">
        <v>96</v>
      </c>
      <c r="L6" s="162"/>
    </row>
    <row r="7" spans="1:12" x14ac:dyDescent="0.25">
      <c r="A7" s="249"/>
      <c r="B7" s="159">
        <v>46101</v>
      </c>
      <c r="C7" s="160" t="s">
        <v>86</v>
      </c>
      <c r="D7" s="160">
        <v>19021</v>
      </c>
      <c r="E7" s="161">
        <v>0.38958333333333334</v>
      </c>
      <c r="F7" s="161">
        <v>0.38541666666666669</v>
      </c>
      <c r="G7" s="160" t="s">
        <v>59</v>
      </c>
      <c r="H7" s="160" t="s">
        <v>56</v>
      </c>
      <c r="I7" s="160" t="s">
        <v>1599</v>
      </c>
      <c r="J7" s="160" t="s">
        <v>1550</v>
      </c>
      <c r="K7" s="160" t="s">
        <v>89</v>
      </c>
      <c r="L7" s="162"/>
    </row>
    <row r="8" spans="1:12" x14ac:dyDescent="0.25">
      <c r="A8" s="249"/>
      <c r="B8" s="159">
        <v>46101</v>
      </c>
      <c r="C8" s="160" t="s">
        <v>86</v>
      </c>
      <c r="D8" s="160">
        <v>25005</v>
      </c>
      <c r="E8" s="161">
        <v>0.375</v>
      </c>
      <c r="F8" s="161">
        <v>0.39930555555555558</v>
      </c>
      <c r="G8" s="160" t="s">
        <v>99</v>
      </c>
      <c r="H8" s="160" t="s">
        <v>62</v>
      </c>
      <c r="I8" s="160" t="s">
        <v>102</v>
      </c>
      <c r="J8" s="160"/>
      <c r="K8" s="160" t="s">
        <v>101</v>
      </c>
      <c r="L8" s="162"/>
    </row>
    <row r="9" spans="1:12" x14ac:dyDescent="0.25">
      <c r="A9" s="249"/>
      <c r="B9" s="159">
        <v>46101</v>
      </c>
      <c r="C9" s="160" t="s">
        <v>86</v>
      </c>
      <c r="D9" s="160">
        <v>19010</v>
      </c>
      <c r="E9" s="161">
        <v>0.375</v>
      </c>
      <c r="F9" s="161">
        <v>0.41666666666666669</v>
      </c>
      <c r="G9" s="160" t="s">
        <v>56</v>
      </c>
      <c r="H9" s="160" t="s">
        <v>59</v>
      </c>
      <c r="I9" s="160" t="s">
        <v>103</v>
      </c>
      <c r="J9" s="160" t="s">
        <v>938</v>
      </c>
      <c r="K9" s="160" t="s">
        <v>89</v>
      </c>
      <c r="L9" s="162"/>
    </row>
    <row r="10" spans="1:12" x14ac:dyDescent="0.25">
      <c r="A10" s="249"/>
      <c r="B10" s="159">
        <v>46101</v>
      </c>
      <c r="C10" s="160" t="s">
        <v>86</v>
      </c>
      <c r="D10" s="160">
        <v>20015</v>
      </c>
      <c r="E10" s="161">
        <v>0.25</v>
      </c>
      <c r="F10" s="161">
        <v>0.29166666666666669</v>
      </c>
      <c r="G10" s="160" t="s">
        <v>58</v>
      </c>
      <c r="H10" s="160" t="s">
        <v>59</v>
      </c>
      <c r="I10" s="160" t="s">
        <v>1600</v>
      </c>
      <c r="J10" s="160" t="s">
        <v>111</v>
      </c>
      <c r="K10" s="160" t="s">
        <v>90</v>
      </c>
      <c r="L10" s="162"/>
    </row>
    <row r="11" spans="1:12" x14ac:dyDescent="0.25">
      <c r="A11" s="249"/>
      <c r="B11" s="159">
        <v>46101</v>
      </c>
      <c r="C11" s="160" t="s">
        <v>86</v>
      </c>
      <c r="D11" s="160">
        <v>25005</v>
      </c>
      <c r="E11" s="161">
        <v>0.75</v>
      </c>
      <c r="F11" s="161">
        <v>0.79166666666666663</v>
      </c>
      <c r="G11" s="160" t="s">
        <v>58</v>
      </c>
      <c r="H11" s="160" t="s">
        <v>59</v>
      </c>
      <c r="I11" s="160" t="s">
        <v>1593</v>
      </c>
      <c r="J11" s="160" t="s">
        <v>1594</v>
      </c>
      <c r="K11" s="160" t="s">
        <v>90</v>
      </c>
      <c r="L11" s="162"/>
    </row>
    <row r="12" spans="1:12" x14ac:dyDescent="0.25">
      <c r="A12" s="249"/>
      <c r="B12" s="159">
        <v>46101</v>
      </c>
      <c r="C12" s="160" t="s">
        <v>86</v>
      </c>
      <c r="D12" s="156" t="s">
        <v>93</v>
      </c>
      <c r="E12" s="161">
        <v>0.77083333333333337</v>
      </c>
      <c r="F12" s="161">
        <v>0.79513888888888884</v>
      </c>
      <c r="G12" s="160" t="s">
        <v>58</v>
      </c>
      <c r="H12" s="160" t="s">
        <v>59</v>
      </c>
      <c r="I12" s="156" t="s">
        <v>93</v>
      </c>
      <c r="J12" s="156" t="s">
        <v>93</v>
      </c>
      <c r="K12" s="160" t="s">
        <v>105</v>
      </c>
      <c r="L12" s="162"/>
    </row>
    <row r="13" spans="1:12" x14ac:dyDescent="0.25">
      <c r="A13" s="249"/>
      <c r="B13" s="159">
        <v>46101</v>
      </c>
      <c r="C13" s="160" t="s">
        <v>86</v>
      </c>
      <c r="D13" s="160">
        <v>25009</v>
      </c>
      <c r="E13" s="161">
        <v>0.89583333333333337</v>
      </c>
      <c r="F13" s="161">
        <v>0.91666666666666663</v>
      </c>
      <c r="G13" s="160" t="s">
        <v>99</v>
      </c>
      <c r="H13" s="160" t="s">
        <v>57</v>
      </c>
      <c r="I13" s="160" t="s">
        <v>734</v>
      </c>
      <c r="J13" s="160"/>
      <c r="K13" s="160" t="s">
        <v>101</v>
      </c>
      <c r="L13" s="162"/>
    </row>
    <row r="14" spans="1:12" x14ac:dyDescent="0.25">
      <c r="A14" s="249"/>
      <c r="B14" s="159">
        <v>46101</v>
      </c>
      <c r="C14" s="160" t="s">
        <v>86</v>
      </c>
      <c r="D14" s="160">
        <v>24014</v>
      </c>
      <c r="E14" s="161">
        <v>0.76041666666666663</v>
      </c>
      <c r="F14" s="161">
        <v>0.77083333333333337</v>
      </c>
      <c r="G14" s="160" t="s">
        <v>56</v>
      </c>
      <c r="H14" s="160" t="s">
        <v>59</v>
      </c>
      <c r="I14" s="160" t="s">
        <v>1601</v>
      </c>
      <c r="J14" s="160" t="s">
        <v>1602</v>
      </c>
      <c r="K14" s="160" t="s">
        <v>89</v>
      </c>
      <c r="L14" s="162"/>
    </row>
    <row r="15" spans="1:12" x14ac:dyDescent="0.25">
      <c r="A15" s="249"/>
      <c r="B15" s="159">
        <v>46101</v>
      </c>
      <c r="C15" s="160" t="s">
        <v>86</v>
      </c>
      <c r="D15" s="160">
        <v>25012</v>
      </c>
      <c r="E15" s="161">
        <v>0.76041666666666663</v>
      </c>
      <c r="F15" s="161">
        <v>0.82777777777777772</v>
      </c>
      <c r="G15" s="160" t="s">
        <v>59</v>
      </c>
      <c r="H15" s="160" t="s">
        <v>56</v>
      </c>
      <c r="I15" s="160" t="s">
        <v>1571</v>
      </c>
      <c r="J15" s="160" t="s">
        <v>964</v>
      </c>
      <c r="K15" s="160" t="s">
        <v>89</v>
      </c>
      <c r="L15" s="162"/>
    </row>
    <row r="16" spans="1:12" x14ac:dyDescent="0.25">
      <c r="A16" s="249"/>
      <c r="B16" s="159">
        <v>46101</v>
      </c>
      <c r="C16" s="160" t="s">
        <v>86</v>
      </c>
      <c r="D16" s="160">
        <v>19024</v>
      </c>
      <c r="E16" s="161">
        <v>0.40763888888888888</v>
      </c>
      <c r="F16" s="161">
        <v>0.47013888888888888</v>
      </c>
      <c r="G16" s="160" t="s">
        <v>59</v>
      </c>
      <c r="H16" s="160" t="s">
        <v>58</v>
      </c>
      <c r="I16" s="160" t="s">
        <v>431</v>
      </c>
      <c r="J16" s="160" t="s">
        <v>1595</v>
      </c>
      <c r="K16" s="160" t="s">
        <v>90</v>
      </c>
      <c r="L16" s="162"/>
    </row>
    <row r="17" spans="1:12" s="62" customFormat="1" x14ac:dyDescent="0.25">
      <c r="A17" s="249"/>
      <c r="B17" s="159">
        <v>46101</v>
      </c>
      <c r="C17" s="160" t="s">
        <v>86</v>
      </c>
      <c r="D17" s="160">
        <v>18016</v>
      </c>
      <c r="E17" s="161">
        <v>0.77083333333333337</v>
      </c>
      <c r="F17" s="161">
        <v>0.8125</v>
      </c>
      <c r="G17" s="160" t="s">
        <v>59</v>
      </c>
      <c r="H17" s="160" t="s">
        <v>58</v>
      </c>
      <c r="I17" s="160" t="s">
        <v>1313</v>
      </c>
      <c r="J17" s="160" t="s">
        <v>1603</v>
      </c>
      <c r="K17" s="160" t="s">
        <v>105</v>
      </c>
      <c r="L17" s="162"/>
    </row>
    <row r="18" spans="1:12" x14ac:dyDescent="0.25">
      <c r="A18" s="249"/>
      <c r="B18" s="159">
        <v>46101</v>
      </c>
      <c r="C18" s="160" t="s">
        <v>86</v>
      </c>
      <c r="D18" s="160">
        <v>25008</v>
      </c>
      <c r="E18" s="161">
        <v>0.8125</v>
      </c>
      <c r="F18" s="161">
        <v>0.84375</v>
      </c>
      <c r="G18" s="160" t="s">
        <v>59</v>
      </c>
      <c r="H18" s="160" t="s">
        <v>58</v>
      </c>
      <c r="I18" s="160" t="s">
        <v>1594</v>
      </c>
      <c r="J18" s="160" t="s">
        <v>1593</v>
      </c>
      <c r="K18" s="160" t="s">
        <v>90</v>
      </c>
      <c r="L18" s="162"/>
    </row>
    <row r="19" spans="1:12" x14ac:dyDescent="0.25">
      <c r="A19" s="249"/>
      <c r="B19" s="159">
        <v>46101</v>
      </c>
      <c r="C19" s="160" t="s">
        <v>86</v>
      </c>
      <c r="D19" s="160">
        <v>19015</v>
      </c>
      <c r="E19" s="161">
        <v>0.77083333333333337</v>
      </c>
      <c r="F19" s="161">
        <v>0.79861111111111116</v>
      </c>
      <c r="G19" s="160" t="s">
        <v>59</v>
      </c>
      <c r="H19" s="160" t="s">
        <v>62</v>
      </c>
      <c r="I19" s="160" t="s">
        <v>294</v>
      </c>
      <c r="J19" s="160"/>
      <c r="K19" s="160" t="s">
        <v>92</v>
      </c>
      <c r="L19" s="162"/>
    </row>
    <row r="20" spans="1:12" x14ac:dyDescent="0.25">
      <c r="A20" s="249"/>
      <c r="B20" s="159">
        <v>46101</v>
      </c>
      <c r="C20" s="160" t="s">
        <v>86</v>
      </c>
      <c r="D20" s="156" t="s">
        <v>93</v>
      </c>
      <c r="E20" s="161">
        <v>0.8125</v>
      </c>
      <c r="F20" s="161">
        <v>0.84166666666666667</v>
      </c>
      <c r="G20" s="160" t="s">
        <v>59</v>
      </c>
      <c r="H20" s="160" t="s">
        <v>57</v>
      </c>
      <c r="I20" s="156" t="s">
        <v>93</v>
      </c>
      <c r="J20" s="156" t="s">
        <v>93</v>
      </c>
      <c r="K20" s="160" t="s">
        <v>90</v>
      </c>
      <c r="L20" s="162"/>
    </row>
    <row r="21" spans="1:12" x14ac:dyDescent="0.25">
      <c r="A21" s="249"/>
      <c r="B21" s="159">
        <v>46101</v>
      </c>
      <c r="C21" s="160" t="s">
        <v>86</v>
      </c>
      <c r="D21" s="160">
        <v>19014</v>
      </c>
      <c r="E21" s="161">
        <v>0.8125</v>
      </c>
      <c r="F21" s="161">
        <v>0.85416666666666663</v>
      </c>
      <c r="G21" s="160" t="s">
        <v>59</v>
      </c>
      <c r="H21" s="160" t="s">
        <v>57</v>
      </c>
      <c r="I21" s="160" t="s">
        <v>1592</v>
      </c>
      <c r="J21" s="160"/>
      <c r="K21" s="160" t="s">
        <v>96</v>
      </c>
      <c r="L21" s="162"/>
    </row>
    <row r="22" spans="1:12" x14ac:dyDescent="0.25">
      <c r="A22" s="249"/>
      <c r="B22" s="159">
        <v>46101</v>
      </c>
      <c r="C22" s="160" t="s">
        <v>86</v>
      </c>
      <c r="D22" s="160">
        <v>19010</v>
      </c>
      <c r="E22" s="161">
        <v>0.84722222222222221</v>
      </c>
      <c r="F22" s="161">
        <v>0.87847222222222221</v>
      </c>
      <c r="G22" s="160" t="s">
        <v>59</v>
      </c>
      <c r="H22" s="160" t="s">
        <v>57</v>
      </c>
      <c r="I22" s="160" t="s">
        <v>112</v>
      </c>
      <c r="J22" s="160" t="s">
        <v>750</v>
      </c>
      <c r="K22" s="160" t="s">
        <v>89</v>
      </c>
      <c r="L22" s="162"/>
    </row>
    <row r="23" spans="1:12" x14ac:dyDescent="0.25">
      <c r="A23" s="157"/>
      <c r="B23" s="135"/>
      <c r="C23" s="136"/>
      <c r="D23" s="136"/>
      <c r="E23" s="137"/>
      <c r="F23" s="137"/>
      <c r="G23" s="136"/>
      <c r="H23" s="136"/>
      <c r="I23" s="136"/>
      <c r="J23" s="136"/>
      <c r="K23" s="136"/>
    </row>
    <row r="24" spans="1:12" x14ac:dyDescent="0.25">
      <c r="A24" s="158"/>
      <c r="B24" s="135"/>
      <c r="C24" s="136"/>
      <c r="D24" s="136"/>
      <c r="E24" s="137"/>
      <c r="F24" s="137"/>
      <c r="G24" s="136"/>
      <c r="H24" s="136"/>
      <c r="I24" s="136"/>
      <c r="J24" s="136"/>
      <c r="K24" s="136"/>
    </row>
    <row r="28" spans="1:12" ht="15" customHeight="1" x14ac:dyDescent="0.25">
      <c r="A28" s="163" t="s">
        <v>1575</v>
      </c>
      <c r="B28" s="159">
        <v>45873</v>
      </c>
      <c r="C28" s="160" t="s">
        <v>86</v>
      </c>
      <c r="D28" s="160">
        <v>25008</v>
      </c>
      <c r="E28" s="161">
        <v>0.25486111111111109</v>
      </c>
      <c r="F28" s="161">
        <v>0.3</v>
      </c>
      <c r="G28" s="160" t="s">
        <v>59</v>
      </c>
      <c r="H28" s="160" t="s">
        <v>57</v>
      </c>
      <c r="I28" s="160" t="s">
        <v>1576</v>
      </c>
      <c r="J28" s="160" t="s">
        <v>1478</v>
      </c>
      <c r="K28" s="160" t="s">
        <v>89</v>
      </c>
    </row>
    <row r="29" spans="1:12" x14ac:dyDescent="0.25">
      <c r="A29" s="164"/>
      <c r="B29" s="159">
        <v>45873</v>
      </c>
      <c r="C29" s="160" t="s">
        <v>86</v>
      </c>
      <c r="D29" s="160">
        <v>24011</v>
      </c>
      <c r="E29" s="161">
        <v>0.32291666666666669</v>
      </c>
      <c r="F29" s="161">
        <v>0.33333333333333331</v>
      </c>
      <c r="G29" s="160" t="s">
        <v>59</v>
      </c>
      <c r="H29" s="160" t="s">
        <v>57</v>
      </c>
      <c r="I29" s="160" t="s">
        <v>115</v>
      </c>
      <c r="J29" s="160" t="s">
        <v>1577</v>
      </c>
      <c r="K29" s="160" t="s">
        <v>90</v>
      </c>
    </row>
    <row r="30" spans="1:12" x14ac:dyDescent="0.25">
      <c r="A30" s="164"/>
      <c r="B30" s="159">
        <v>45873</v>
      </c>
      <c r="C30" s="160" t="s">
        <v>86</v>
      </c>
      <c r="D30" s="160">
        <v>15600</v>
      </c>
      <c r="E30" s="161">
        <v>0.3888888888888889</v>
      </c>
      <c r="F30" s="161">
        <v>0.39583333333333331</v>
      </c>
      <c r="G30" s="160" t="s">
        <v>59</v>
      </c>
      <c r="H30" s="160" t="s">
        <v>57</v>
      </c>
      <c r="I30" s="160" t="s">
        <v>1578</v>
      </c>
      <c r="J30" s="160" t="s">
        <v>1579</v>
      </c>
      <c r="K30" s="160" t="s">
        <v>92</v>
      </c>
    </row>
    <row r="31" spans="1:12" x14ac:dyDescent="0.25">
      <c r="A31" s="164"/>
      <c r="B31" s="159">
        <v>45873</v>
      </c>
      <c r="C31" s="160" t="s">
        <v>86</v>
      </c>
      <c r="D31" s="156" t="s">
        <v>93</v>
      </c>
      <c r="E31" s="161">
        <v>0.375</v>
      </c>
      <c r="F31" s="161">
        <v>0.41666666666666669</v>
      </c>
      <c r="G31" s="160" t="s">
        <v>59</v>
      </c>
      <c r="H31" s="160" t="s">
        <v>63</v>
      </c>
      <c r="I31" s="156" t="s">
        <v>93</v>
      </c>
      <c r="J31" s="156" t="s">
        <v>93</v>
      </c>
      <c r="K31" s="160" t="s">
        <v>1580</v>
      </c>
    </row>
    <row r="32" spans="1:12" x14ac:dyDescent="0.25">
      <c r="A32" s="164"/>
      <c r="B32" s="159">
        <v>45873</v>
      </c>
      <c r="C32" s="160" t="s">
        <v>86</v>
      </c>
      <c r="D32" s="160">
        <v>17600</v>
      </c>
      <c r="E32" s="161">
        <v>0.3888888888888889</v>
      </c>
      <c r="F32" s="161">
        <v>0.37708333333333333</v>
      </c>
      <c r="G32" s="160" t="s">
        <v>59</v>
      </c>
      <c r="H32" s="160" t="s">
        <v>62</v>
      </c>
      <c r="I32" s="160" t="s">
        <v>735</v>
      </c>
      <c r="J32" s="160" t="s">
        <v>1196</v>
      </c>
      <c r="K32" s="160" t="s">
        <v>96</v>
      </c>
    </row>
    <row r="33" spans="1:11" x14ac:dyDescent="0.25">
      <c r="A33" s="164"/>
      <c r="B33" s="159">
        <v>45873</v>
      </c>
      <c r="C33" s="160" t="s">
        <v>86</v>
      </c>
      <c r="D33" s="160">
        <v>20022</v>
      </c>
      <c r="E33" s="161">
        <v>0.38958333333333334</v>
      </c>
      <c r="F33" s="161">
        <v>0.38541666666666669</v>
      </c>
      <c r="G33" s="160" t="s">
        <v>59</v>
      </c>
      <c r="H33" s="160" t="s">
        <v>56</v>
      </c>
      <c r="I33" s="160" t="s">
        <v>1451</v>
      </c>
      <c r="J33" s="160" t="s">
        <v>1581</v>
      </c>
      <c r="K33" s="160" t="s">
        <v>89</v>
      </c>
    </row>
    <row r="34" spans="1:11" x14ac:dyDescent="0.25">
      <c r="A34" s="164"/>
      <c r="B34" s="159">
        <v>45873</v>
      </c>
      <c r="C34" s="160" t="s">
        <v>86</v>
      </c>
      <c r="D34" s="160">
        <v>24006</v>
      </c>
      <c r="E34" s="161">
        <v>0.375</v>
      </c>
      <c r="F34" s="161">
        <v>0.39930555555555558</v>
      </c>
      <c r="G34" s="160" t="s">
        <v>99</v>
      </c>
      <c r="H34" s="160" t="s">
        <v>62</v>
      </c>
      <c r="I34" s="160" t="s">
        <v>100</v>
      </c>
      <c r="J34" s="160" t="s">
        <v>351</v>
      </c>
      <c r="K34" s="160" t="s">
        <v>101</v>
      </c>
    </row>
    <row r="35" spans="1:11" x14ac:dyDescent="0.25">
      <c r="A35" s="164"/>
      <c r="B35" s="159">
        <v>45873</v>
      </c>
      <c r="C35" s="160" t="s">
        <v>86</v>
      </c>
      <c r="D35" s="160">
        <v>19022</v>
      </c>
      <c r="E35" s="161">
        <v>0.375</v>
      </c>
      <c r="F35" s="161">
        <v>0.41666666666666669</v>
      </c>
      <c r="G35" s="160" t="s">
        <v>56</v>
      </c>
      <c r="H35" s="160" t="s">
        <v>59</v>
      </c>
      <c r="I35" s="160" t="s">
        <v>1499</v>
      </c>
      <c r="J35" s="160" t="s">
        <v>1550</v>
      </c>
      <c r="K35" s="160" t="s">
        <v>89</v>
      </c>
    </row>
    <row r="36" spans="1:11" x14ac:dyDescent="0.25">
      <c r="A36" s="164"/>
      <c r="B36" s="159">
        <v>45873</v>
      </c>
      <c r="C36" s="160" t="s">
        <v>86</v>
      </c>
      <c r="D36" s="160">
        <v>19012</v>
      </c>
      <c r="E36" s="161">
        <v>0.25</v>
      </c>
      <c r="F36" s="161">
        <v>0.29166666666666669</v>
      </c>
      <c r="G36" s="160" t="s">
        <v>58</v>
      </c>
      <c r="H36" s="160" t="s">
        <v>59</v>
      </c>
      <c r="I36" s="160" t="s">
        <v>1582</v>
      </c>
      <c r="J36" s="160" t="s">
        <v>844</v>
      </c>
      <c r="K36" s="160" t="s">
        <v>90</v>
      </c>
    </row>
    <row r="37" spans="1:11" x14ac:dyDescent="0.25">
      <c r="A37" s="164"/>
      <c r="B37" s="159">
        <v>45873</v>
      </c>
      <c r="C37" s="160" t="s">
        <v>86</v>
      </c>
      <c r="D37" s="160">
        <v>24003</v>
      </c>
      <c r="E37" s="161">
        <v>0.75</v>
      </c>
      <c r="F37" s="161">
        <v>0.79166666666666663</v>
      </c>
      <c r="G37" s="160" t="s">
        <v>58</v>
      </c>
      <c r="H37" s="160" t="s">
        <v>59</v>
      </c>
      <c r="I37" s="160" t="s">
        <v>1583</v>
      </c>
      <c r="J37" s="160" t="s">
        <v>1584</v>
      </c>
      <c r="K37" s="160" t="s">
        <v>90</v>
      </c>
    </row>
    <row r="38" spans="1:11" x14ac:dyDescent="0.25">
      <c r="A38" s="164"/>
      <c r="B38" s="159">
        <v>45873</v>
      </c>
      <c r="C38" s="160" t="s">
        <v>86</v>
      </c>
      <c r="D38" s="156" t="s">
        <v>93</v>
      </c>
      <c r="E38" s="161">
        <v>0.77083333333333337</v>
      </c>
      <c r="F38" s="161">
        <v>0.79513888888888884</v>
      </c>
      <c r="G38" s="160" t="s">
        <v>58</v>
      </c>
      <c r="H38" s="160" t="s">
        <v>59</v>
      </c>
      <c r="I38" s="156" t="s">
        <v>93</v>
      </c>
      <c r="J38" s="156" t="s">
        <v>93</v>
      </c>
      <c r="K38" s="160" t="s">
        <v>105</v>
      </c>
    </row>
    <row r="39" spans="1:11" x14ac:dyDescent="0.25">
      <c r="A39" s="164"/>
      <c r="B39" s="159">
        <v>45873</v>
      </c>
      <c r="C39" s="160" t="s">
        <v>86</v>
      </c>
      <c r="D39" s="160">
        <v>24015</v>
      </c>
      <c r="E39" s="161">
        <v>0.89583333333333337</v>
      </c>
      <c r="F39" s="161">
        <v>0.91666666666666663</v>
      </c>
      <c r="G39" s="160" t="s">
        <v>99</v>
      </c>
      <c r="H39" s="160" t="s">
        <v>57</v>
      </c>
      <c r="I39" s="160" t="s">
        <v>1162</v>
      </c>
      <c r="J39" s="160" t="s">
        <v>511</v>
      </c>
      <c r="K39" s="160" t="s">
        <v>101</v>
      </c>
    </row>
    <row r="40" spans="1:11" x14ac:dyDescent="0.25">
      <c r="A40" s="164"/>
      <c r="B40" s="159">
        <v>45873</v>
      </c>
      <c r="C40" s="160" t="s">
        <v>86</v>
      </c>
      <c r="D40" s="160">
        <v>24002</v>
      </c>
      <c r="E40" s="161">
        <v>0.76041666666666663</v>
      </c>
      <c r="F40" s="161">
        <v>0.77083333333333337</v>
      </c>
      <c r="G40" s="160" t="s">
        <v>56</v>
      </c>
      <c r="H40" s="160" t="s">
        <v>59</v>
      </c>
      <c r="I40" s="160" t="s">
        <v>97</v>
      </c>
      <c r="J40" s="160" t="s">
        <v>980</v>
      </c>
      <c r="K40" s="160" t="s">
        <v>89</v>
      </c>
    </row>
    <row r="41" spans="1:11" x14ac:dyDescent="0.25">
      <c r="A41" s="164"/>
      <c r="B41" s="159">
        <v>45873</v>
      </c>
      <c r="C41" s="160" t="s">
        <v>86</v>
      </c>
      <c r="D41" s="160">
        <v>24013</v>
      </c>
      <c r="E41" s="161">
        <v>0.76041666666666663</v>
      </c>
      <c r="F41" s="161">
        <v>0.82777777777777772</v>
      </c>
      <c r="G41" s="160" t="s">
        <v>59</v>
      </c>
      <c r="H41" s="160" t="s">
        <v>56</v>
      </c>
      <c r="I41" s="160" t="s">
        <v>102</v>
      </c>
      <c r="J41" s="160" t="s">
        <v>110</v>
      </c>
      <c r="K41" s="160" t="s">
        <v>89</v>
      </c>
    </row>
    <row r="42" spans="1:11" x14ac:dyDescent="0.25">
      <c r="A42" s="164"/>
      <c r="B42" s="159">
        <v>45873</v>
      </c>
      <c r="C42" s="160" t="s">
        <v>86</v>
      </c>
      <c r="D42" s="160">
        <v>19019</v>
      </c>
      <c r="E42" s="161">
        <v>0.40763888888888888</v>
      </c>
      <c r="F42" s="161">
        <v>0.47013888888888888</v>
      </c>
      <c r="G42" s="160" t="s">
        <v>59</v>
      </c>
      <c r="H42" s="160" t="s">
        <v>58</v>
      </c>
      <c r="I42" s="160" t="s">
        <v>1571</v>
      </c>
      <c r="J42" s="160" t="s">
        <v>1585</v>
      </c>
      <c r="K42" s="160" t="s">
        <v>90</v>
      </c>
    </row>
    <row r="43" spans="1:11" x14ac:dyDescent="0.25">
      <c r="A43" s="164"/>
      <c r="B43" s="159">
        <v>45873</v>
      </c>
      <c r="C43" s="160" t="s">
        <v>86</v>
      </c>
      <c r="D43" s="156" t="s">
        <v>93</v>
      </c>
      <c r="E43" s="161">
        <v>0.77083333333333337</v>
      </c>
      <c r="F43" s="161">
        <v>0.8125</v>
      </c>
      <c r="G43" s="160" t="s">
        <v>59</v>
      </c>
      <c r="H43" s="160" t="s">
        <v>58</v>
      </c>
      <c r="I43" s="156" t="s">
        <v>93</v>
      </c>
      <c r="J43" s="156" t="s">
        <v>93</v>
      </c>
      <c r="K43" s="160" t="s">
        <v>105</v>
      </c>
    </row>
    <row r="44" spans="1:11" x14ac:dyDescent="0.25">
      <c r="A44" s="164"/>
      <c r="B44" s="159">
        <v>45873</v>
      </c>
      <c r="C44" s="160" t="s">
        <v>86</v>
      </c>
      <c r="D44" s="160">
        <v>25007</v>
      </c>
      <c r="E44" s="161">
        <v>0.8125</v>
      </c>
      <c r="F44" s="161">
        <v>0.84375</v>
      </c>
      <c r="G44" s="160" t="s">
        <v>59</v>
      </c>
      <c r="H44" s="160" t="s">
        <v>58</v>
      </c>
      <c r="I44" s="160" t="s">
        <v>109</v>
      </c>
      <c r="J44" s="160" t="s">
        <v>1569</v>
      </c>
      <c r="K44" s="160" t="s">
        <v>90</v>
      </c>
    </row>
    <row r="45" spans="1:11" x14ac:dyDescent="0.25">
      <c r="A45" s="164"/>
      <c r="B45" s="159">
        <v>45873</v>
      </c>
      <c r="C45" s="160" t="s">
        <v>86</v>
      </c>
      <c r="D45" s="160">
        <v>20013</v>
      </c>
      <c r="E45" s="161">
        <v>0.77083333333333337</v>
      </c>
      <c r="F45" s="161">
        <v>0.79861111111111116</v>
      </c>
      <c r="G45" s="160" t="s">
        <v>59</v>
      </c>
      <c r="H45" s="160" t="s">
        <v>62</v>
      </c>
      <c r="I45" s="160" t="s">
        <v>974</v>
      </c>
      <c r="J45" s="160" t="s">
        <v>1533</v>
      </c>
      <c r="K45" s="160" t="s">
        <v>92</v>
      </c>
    </row>
    <row r="46" spans="1:11" x14ac:dyDescent="0.25">
      <c r="A46" s="164"/>
      <c r="B46" s="159">
        <v>45873</v>
      </c>
      <c r="C46" s="160" t="s">
        <v>86</v>
      </c>
      <c r="D46" s="160">
        <v>19012</v>
      </c>
      <c r="E46" s="161">
        <v>0.8125</v>
      </c>
      <c r="F46" s="161">
        <v>0.84166666666666667</v>
      </c>
      <c r="G46" s="160" t="s">
        <v>59</v>
      </c>
      <c r="H46" s="160" t="s">
        <v>57</v>
      </c>
      <c r="I46" s="160" t="s">
        <v>104</v>
      </c>
      <c r="J46" s="160" t="s">
        <v>1504</v>
      </c>
      <c r="K46" s="160" t="s">
        <v>90</v>
      </c>
    </row>
    <row r="47" spans="1:11" x14ac:dyDescent="0.25">
      <c r="A47" s="164"/>
      <c r="B47" s="159">
        <v>45873</v>
      </c>
      <c r="C47" s="160" t="s">
        <v>86</v>
      </c>
      <c r="D47" s="160">
        <v>19014</v>
      </c>
      <c r="E47" s="161">
        <v>0.8125</v>
      </c>
      <c r="F47" s="161">
        <v>0.85416666666666663</v>
      </c>
      <c r="G47" s="160" t="s">
        <v>59</v>
      </c>
      <c r="H47" s="160" t="s">
        <v>57</v>
      </c>
      <c r="I47" s="160" t="s">
        <v>1586</v>
      </c>
      <c r="J47" s="160" t="s">
        <v>746</v>
      </c>
      <c r="K47" s="160" t="s">
        <v>96</v>
      </c>
    </row>
    <row r="48" spans="1:11" x14ac:dyDescent="0.25">
      <c r="A48" s="165"/>
      <c r="B48" s="159">
        <v>45873</v>
      </c>
      <c r="C48" s="160" t="s">
        <v>86</v>
      </c>
      <c r="D48" s="160">
        <v>19022</v>
      </c>
      <c r="E48" s="161">
        <v>0.84722222222222221</v>
      </c>
      <c r="F48" s="161">
        <v>0.87847222222222221</v>
      </c>
      <c r="G48" s="160" t="s">
        <v>59</v>
      </c>
      <c r="H48" s="160" t="s">
        <v>57</v>
      </c>
      <c r="I48" s="160" t="s">
        <v>1424</v>
      </c>
      <c r="J48" s="160" t="s">
        <v>774</v>
      </c>
      <c r="K48" s="160" t="s">
        <v>89</v>
      </c>
    </row>
    <row r="49" spans="1:11" x14ac:dyDescent="0.25">
      <c r="A49" s="157"/>
      <c r="B49" s="135">
        <v>45871</v>
      </c>
      <c r="C49" s="136" t="s">
        <v>86</v>
      </c>
      <c r="D49" s="136">
        <v>17000</v>
      </c>
      <c r="E49" s="137">
        <v>0.81597222222222221</v>
      </c>
      <c r="F49" s="137">
        <v>0.85763888888888884</v>
      </c>
      <c r="G49" s="136" t="s">
        <v>59</v>
      </c>
      <c r="H49" s="136" t="s">
        <v>57</v>
      </c>
      <c r="I49" s="136" t="s">
        <v>1110</v>
      </c>
      <c r="J49" s="136" t="s">
        <v>1572</v>
      </c>
      <c r="K49" s="136"/>
    </row>
    <row r="50" spans="1:11" x14ac:dyDescent="0.25">
      <c r="A50" s="158"/>
      <c r="B50" s="135">
        <v>45696</v>
      </c>
      <c r="C50" s="136" t="s">
        <v>86</v>
      </c>
      <c r="D50" s="136">
        <v>19015</v>
      </c>
      <c r="E50" s="137">
        <v>0.3263888888888889</v>
      </c>
      <c r="F50" s="137">
        <v>0.34375</v>
      </c>
      <c r="G50" s="136" t="s">
        <v>59</v>
      </c>
      <c r="H50" s="136" t="s">
        <v>57</v>
      </c>
      <c r="I50" s="136" t="s">
        <v>1066</v>
      </c>
      <c r="J50" s="136" t="s">
        <v>1570</v>
      </c>
      <c r="K50" s="136"/>
    </row>
  </sheetData>
  <mergeCells count="2">
    <mergeCell ref="A28:A48"/>
    <mergeCell ref="A2:A22"/>
  </mergeCells>
  <phoneticPr fontId="5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1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D29A1-423B-4340-A606-EFB6FC1AAB65}">
  <sheetPr codeName="Planilha3">
    <tabColor theme="7" tint="0.39997558519241921"/>
    <pageSetUpPr fitToPage="1"/>
  </sheetPr>
  <dimension ref="A1:K8"/>
  <sheetViews>
    <sheetView zoomScale="85" zoomScaleNormal="85" workbookViewId="0">
      <selection activeCell="H13" sqref="H13"/>
    </sheetView>
  </sheetViews>
  <sheetFormatPr defaultColWidth="8.7109375" defaultRowHeight="15" x14ac:dyDescent="0.25"/>
  <cols>
    <col min="1" max="1" width="11.42578125" style="8" bestFit="1" customWidth="1"/>
    <col min="2" max="2" width="5.5703125" style="8" bestFit="1" customWidth="1"/>
    <col min="3" max="3" width="7.5703125" style="8" bestFit="1" customWidth="1"/>
    <col min="4" max="4" width="11.85546875" style="8" bestFit="1" customWidth="1"/>
    <col min="5" max="5" width="11.85546875" style="8" customWidth="1"/>
    <col min="6" max="6" width="45.42578125" style="8" bestFit="1" customWidth="1"/>
    <col min="7" max="7" width="6.140625" style="8" bestFit="1" customWidth="1"/>
    <col min="8" max="8" width="45.28515625" style="8" bestFit="1" customWidth="1"/>
    <col min="9" max="9" width="6.140625" style="8" bestFit="1" customWidth="1"/>
    <col min="10" max="10" width="21.42578125" style="8" bestFit="1" customWidth="1"/>
    <col min="11" max="11" width="6.7109375" style="8" customWidth="1"/>
    <col min="12" max="12" width="9.140625" style="8" customWidth="1"/>
    <col min="13" max="16384" width="8.7109375" style="8"/>
  </cols>
  <sheetData>
    <row r="1" spans="1:11" x14ac:dyDescent="0.25">
      <c r="A1" s="3" t="s">
        <v>51</v>
      </c>
      <c r="B1" s="3" t="s">
        <v>159</v>
      </c>
      <c r="C1" s="3" t="s">
        <v>160</v>
      </c>
      <c r="D1" s="52" t="s">
        <v>52</v>
      </c>
      <c r="E1" s="53" t="s">
        <v>161</v>
      </c>
      <c r="F1" s="3" t="s">
        <v>162</v>
      </c>
      <c r="G1" s="3" t="s">
        <v>163</v>
      </c>
      <c r="H1" s="3" t="s">
        <v>164</v>
      </c>
      <c r="I1" s="3" t="s">
        <v>165</v>
      </c>
      <c r="J1" s="3" t="s">
        <v>85</v>
      </c>
      <c r="K1" s="49"/>
    </row>
    <row r="2" spans="1:11" x14ac:dyDescent="0.25">
      <c r="A2" s="54">
        <f>escala_do_fluxo[[#This Row],[DATA]]</f>
        <v>46101</v>
      </c>
      <c r="B2" s="55">
        <f>'ESCALA RODOVIÁRIA'!B6</f>
        <v>2014</v>
      </c>
      <c r="C2" s="56">
        <f>'ESCALA RODOVIÁRIA'!C6</f>
        <v>0.3</v>
      </c>
      <c r="D2" s="55">
        <f>'ESCALA RODOVIÁRIA'!G6</f>
        <v>25007</v>
      </c>
      <c r="E2" s="33" t="str" cm="1">
        <f t="array" ref="E2">_xlfn.XLOOKUP(D2,Tabela6[[#All],[Veículo]],Tabela6[[#All],[Placa]],"N/E",1,1)</f>
        <v>OGT8A57</v>
      </c>
      <c r="F2" s="56" t="str">
        <f>IFERROR(TRIM(_xlfn.TEXTBEFORE('ESCALA RODOVIÁRIA'!D6,"-")),"CANCELADO")</f>
        <v>CLODOALDO PEREIRA DE LIMA</v>
      </c>
      <c r="G2" s="57" t="str">
        <f>TRIM(_xlfn.TEXTAFTER('ESCALA RODOVIÁRIA'!D6,"-"))</f>
        <v>4067</v>
      </c>
      <c r="H2" s="55" t="str">
        <f>IFERROR(TRIM(_xlfn.TEXTBEFORE('ESCALA RODOVIÁRIA'!E6, "-")),"CANCELADO")</f>
        <v>CANCELADO</v>
      </c>
      <c r="I2" s="55" t="e">
        <f>TRIM(_xlfn.TEXTAFTER('ESCALA RODOVIÁRIA'!E6,"-"))</f>
        <v>#N/A</v>
      </c>
      <c r="J2" s="55" t="str">
        <f>_xlfn.CONCAT('ESCALA RODOVIÁRIA'!H6, " ",TEXT(C2,"HH:MM"))</f>
        <v>BEL X GYN 07:12</v>
      </c>
      <c r="K2" s="50"/>
    </row>
    <row r="3" spans="1:11" x14ac:dyDescent="0.25">
      <c r="A3" s="54">
        <f>A2</f>
        <v>46101</v>
      </c>
      <c r="B3" s="55">
        <f>'ESCALA RODOVIÁRIA'!B7</f>
        <v>1072</v>
      </c>
      <c r="C3" s="56">
        <f>'ESCALA RODOVIÁRIA'!C7</f>
        <v>0.33333333333333331</v>
      </c>
      <c r="D3" s="55">
        <f>'ESCALA RODOVIÁRIA'!G7</f>
        <v>25011</v>
      </c>
      <c r="E3" s="33" t="str" cm="1">
        <f t="array" ref="E3">_xlfn.XLOOKUP(D3,Tabela6[[#All],[Veículo]],Tabela6[[#All],[Placa]],"N/E",1,1)</f>
        <v>OGT8A57</v>
      </c>
      <c r="F3" s="56" t="str">
        <f>IFERROR(TRIM(_xlfn.TEXTBEFORE('ESCALA RODOVIÁRIA'!D7,"-")),"CANCELADO")</f>
        <v>MARCOS ATAIDE SILVA</v>
      </c>
      <c r="G3" s="57" t="str">
        <f>TRIM(_xlfn.TEXTAFTER('ESCALA RODOVIÁRIA'!D7,"-"))</f>
        <v>1352</v>
      </c>
      <c r="H3" s="55" t="str">
        <f>IFERROR(TRIM(_xlfn.TEXTBEFORE('ESCALA RODOVIÁRIA'!E7, "-")),"CANCELADO")</f>
        <v>FABIO MOREIRA DOS SANTOS</v>
      </c>
      <c r="I3" s="55" t="str">
        <f>TRIM(_xlfn.TEXTAFTER('ESCALA RODOVIÁRIA'!E7,"-"))</f>
        <v>3073</v>
      </c>
      <c r="J3" s="55" t="str">
        <f>_xlfn.CONCAT('ESCALA RODOVIÁRIA'!H7, " ",TEXT(C3,"HH:MM"))</f>
        <v>SLZ X GYN 08:00</v>
      </c>
      <c r="K3" s="51"/>
    </row>
    <row r="4" spans="1:11" x14ac:dyDescent="0.25">
      <c r="A4" s="54">
        <f>A7</f>
        <v>46101</v>
      </c>
      <c r="B4" s="55">
        <f>'ESCALA RODOVIÁRIA'!B8</f>
        <v>3132</v>
      </c>
      <c r="C4" s="56">
        <f>'ESCALA RODOVIÁRIA'!C8</f>
        <v>0.39583333333333331</v>
      </c>
      <c r="D4" s="55">
        <f>'ESCALA RODOVIÁRIA'!G8</f>
        <v>19005</v>
      </c>
      <c r="E4" s="33" t="str" cm="1">
        <f t="array" ref="E4">_xlfn.XLOOKUP(D4,Tabela6[[#All],[Veículo]],Tabela6[[#All],[Placa]],"N/E",1,1)</f>
        <v>QTQ4724</v>
      </c>
      <c r="F4" s="56" t="str">
        <f>IFERROR(TRIM(_xlfn.TEXTBEFORE('ESCALA RODOVIÁRIA'!D8,"-")),"CANCELADO")</f>
        <v>JOSE CARLOS BEZERRA DA SILVA</v>
      </c>
      <c r="G4" s="57" t="str">
        <f>TRIM(_xlfn.TEXTAFTER('ESCALA RODOVIÁRIA'!D8,"-"))</f>
        <v>3034</v>
      </c>
      <c r="H4" s="55" t="str">
        <f>IFERROR(TRIM(_xlfn.TEXTBEFORE('ESCALA RODOVIÁRIA'!E8, "-")),"CANCELADO")</f>
        <v>CANCELADO</v>
      </c>
      <c r="I4" s="55" t="e">
        <f>TRIM(_xlfn.TEXTAFTER('ESCALA RODOVIÁRIA'!E8,"-"))</f>
        <v>#N/A</v>
      </c>
      <c r="J4" s="55" t="str">
        <f>_xlfn.CONCAT('ESCALA RODOVIÁRIA'!H8, " ",TEXT(C4,"HH:MM"))</f>
        <v>IMP X PXT 09:30</v>
      </c>
      <c r="K4" s="51"/>
    </row>
    <row r="5" spans="1:11" x14ac:dyDescent="0.25">
      <c r="A5" s="58">
        <f>A8</f>
        <v>46101</v>
      </c>
      <c r="B5" s="59">
        <f>'ESCALA RODOVIÁRIA'!B57</f>
        <v>9080</v>
      </c>
      <c r="C5" s="60">
        <f>'ESCALA RODOVIÁRIA'!C57</f>
        <v>0.41666666666666669</v>
      </c>
      <c r="D5" s="59" t="str">
        <f>'ESCALA RODOVIÁRIA'!G57</f>
        <v>CANCELADO</v>
      </c>
      <c r="E5" s="33" t="str" cm="1">
        <f t="array" ref="E5">_xlfn.XLOOKUP(D5,Tabela6[[#All],[Veículo]],Tabela6[[#All],[Placa]],"N/E",1,1)</f>
        <v>SDC3B39</v>
      </c>
      <c r="F5" s="60" t="str">
        <f>IFERROR(TRIM(_xlfn.TEXTBEFORE('ESCALA RODOVIÁRIA'!D57, "-")),"CANCELADO")</f>
        <v>CANCELADO</v>
      </c>
      <c r="G5" s="60" t="str">
        <f>IFERROR(TRIM(_xlfn.TEXTAFTER('ESCALA RODOVIÁRIA'!D57,"-")),"N/A")</f>
        <v>N/A</v>
      </c>
      <c r="H5" s="59" t="str">
        <f>IFERROR(TRIM(_xlfn.TEXTBEFORE('ESCALA RODOVIÁRIA'!E57, "-")),"CANCELADO")</f>
        <v>CANCELADO</v>
      </c>
      <c r="I5" s="59" t="str">
        <f>IFERROR(TRIM(_xlfn.TEXTAFTER('ESCALA RODOVIÁRIA'!E57,"-")),"N/A")</f>
        <v>N/A</v>
      </c>
      <c r="J5" s="59" t="str">
        <f>_xlfn.CONCAT('ESCALA RODOVIÁRIA'!H57, " ",TEXT(C5,"HH:MM"))</f>
        <v>IMP X VLR 10:00</v>
      </c>
      <c r="K5" s="51"/>
    </row>
    <row r="6" spans="1:11" x14ac:dyDescent="0.25">
      <c r="A6" s="54">
        <f>A3</f>
        <v>46101</v>
      </c>
      <c r="B6" s="55">
        <f>'ESCALA RODOVIÁRIA'!B17</f>
        <v>1125</v>
      </c>
      <c r="C6" s="56">
        <f>'ESCALA RODOVIÁRIA'!C17</f>
        <v>0.39513888888888887</v>
      </c>
      <c r="D6" s="55">
        <f>'ESCALA RODOVIÁRIA'!G17</f>
        <v>19007</v>
      </c>
      <c r="E6" s="33" t="str" cm="1">
        <f t="array" ref="E6">_xlfn.XLOOKUP(D6,Tabela6[[#All],[Veículo]],Tabela6[[#All],[Placa]],"N/E",1,1)</f>
        <v>QTP0317</v>
      </c>
      <c r="F6" s="56" t="str">
        <f>IFERROR(TRIM(_xlfn.TEXTBEFORE('ESCALA RODOVIÁRIA'!D17,"-")),"CANCELADO")</f>
        <v>EDUARDO SANTOS BEZERRA</v>
      </c>
      <c r="G6" s="57" t="str">
        <f>TRIM(_xlfn.TEXTAFTER('ESCALA RODOVIÁRIA'!D17,"-"))</f>
        <v>4066</v>
      </c>
      <c r="H6" s="55" t="str">
        <f>IFERROR(TRIM(_xlfn.TEXTBEFORE('ESCALA RODOVIÁRIA'!D18, "-")),"CANCELADO")</f>
        <v>CANCELADO</v>
      </c>
      <c r="I6" s="55" t="e">
        <f>TRIM(_xlfn.TEXTAFTER('ESCALA RODOVIÁRIA'!D18,"-"))</f>
        <v>#N/A</v>
      </c>
      <c r="J6" s="55" t="str">
        <f>_xlfn.CONCAT('ESCALA RODOVIÁRIA'!H17, " ",TEXT(C6,"HH:MM"))</f>
        <v>SIN X FOT 09:29</v>
      </c>
      <c r="K6" s="51"/>
    </row>
    <row r="7" spans="1:11" x14ac:dyDescent="0.25">
      <c r="A7" s="54">
        <f>A6</f>
        <v>46101</v>
      </c>
      <c r="B7" s="55">
        <f>'ESCALA RODOVIÁRIA'!B27</f>
        <v>2100</v>
      </c>
      <c r="C7" s="56">
        <f>'ESCALA RODOVIÁRIA'!C27</f>
        <v>0.38541666666666669</v>
      </c>
      <c r="D7" s="55">
        <f>'ESCALA RODOVIÁRIA'!G27</f>
        <v>19021</v>
      </c>
      <c r="E7" s="33" t="str" cm="1">
        <f t="array" ref="E7">_xlfn.XLOOKUP(D7,Tabela6[[#All],[Veículo]],Tabela6[[#All],[Placa]],"N/E",1,1)</f>
        <v>QTR5657</v>
      </c>
      <c r="F7" s="56" t="str">
        <f>IFERROR(TRIM(_xlfn.TEXTBEFORE('ESCALA RODOVIÁRIA'!D27, "-")),"CANCELADO")</f>
        <v>FERNANDO ALVES DE SOUZA</v>
      </c>
      <c r="G7" s="61" t="str">
        <f>TRIM(_xlfn.TEXTAFTER('ESCALA RODOVIÁRIA'!D27,"-"))</f>
        <v>6350</v>
      </c>
      <c r="H7" s="55" t="str">
        <f>IFERROR(TRIM(_xlfn.TEXTBEFORE('ESCALA RODOVIÁRIA'!E27, "-")),"CANCELADO")</f>
        <v>AELSON PEREIRA DO NASCIMENTO</v>
      </c>
      <c r="I7" s="55" t="str">
        <f>TRIM(_xlfn.TEXTAFTER('ESCALA RODOVIÁRIA'!E27,"-"))</f>
        <v>5682</v>
      </c>
      <c r="J7" s="55" t="str">
        <f>_xlfn.CONCAT('ESCALA RODOVIÁRIA'!H27, " ",TEXT(C7,"HH:MM"))</f>
        <v>GYN X BEL 09:15</v>
      </c>
      <c r="K7" s="51"/>
    </row>
    <row r="8" spans="1:11" x14ac:dyDescent="0.25">
      <c r="A8" s="54">
        <f>A4</f>
        <v>46101</v>
      </c>
      <c r="B8" s="55">
        <f>'ESCALA RODOVIÁRIA'!B39</f>
        <v>2260</v>
      </c>
      <c r="C8" s="56">
        <f>'ESCALA RODOVIÁRIA'!C39</f>
        <v>0.47013888888888888</v>
      </c>
      <c r="D8" s="55">
        <f>'ESCALA RODOVIÁRIA'!G39</f>
        <v>19024</v>
      </c>
      <c r="E8" s="33" t="str" cm="1">
        <f t="array" ref="E8">_xlfn.XLOOKUP(D8,Tabela6[[#All],[Veículo]],Tabela6[[#All],[Placa]],"N/E",1,1)</f>
        <v>QTP1769</v>
      </c>
      <c r="F8" s="56" t="str">
        <f>IFERROR(TRIM(_xlfn.TEXTBEFORE('ESCALA RODOVIÁRIA'!D39, "-")),"CANCELADO")</f>
        <v>FRANCISCO BATISTA DE LIMA</v>
      </c>
      <c r="G8" s="61" t="str">
        <f>TRIM(_xlfn.TEXTAFTER('ESCALA RODOVIÁRIA'!D39,"-"))</f>
        <v>1827</v>
      </c>
      <c r="H8" s="55" t="str">
        <f>IFERROR(TRIM(_xlfn.TEXTBEFORE('ESCALA RODOVIÁRIA'!D40, "-")),"CANCELADO")</f>
        <v>EDIVALDO DE ARAUJO</v>
      </c>
      <c r="I8" s="55" t="str">
        <f>TRIM(_xlfn.TEXTAFTER('ESCALA RODOVIÁRIA'!D40,"-"))</f>
        <v>6217</v>
      </c>
      <c r="J8" s="55" t="str">
        <f>_xlfn.CONCAT('ESCALA RODOVIÁRIA'!H39, " ",TEXT(C8,"HH:MM"))</f>
        <v>GYN X SLZ 11:17</v>
      </c>
      <c r="K8" s="51"/>
    </row>
  </sheetData>
  <sortState xmlns:xlrd2="http://schemas.microsoft.com/office/spreadsheetml/2017/richdata2" ref="A2:J8">
    <sortCondition ref="C1:C8"/>
  </sortState>
  <conditionalFormatting sqref="A4:J4">
    <cfRule type="expression" dxfId="27" priority="18">
      <formula>$B$4=3132</formula>
    </cfRule>
  </conditionalFormatting>
  <conditionalFormatting sqref="A2:K8">
    <cfRule type="expression" dxfId="26" priority="4">
      <formula>$D2="CANCELADO"</formula>
    </cfRule>
    <cfRule type="expression" dxfId="25" priority="5">
      <formula>$K2="*"</formula>
    </cfRule>
  </conditionalFormatting>
  <conditionalFormatting sqref="B2:J8">
    <cfRule type="duplicateValues" dxfId="24" priority="56"/>
  </conditionalFormatting>
  <dataValidations count="1">
    <dataValidation type="list" allowBlank="1" showInputMessage="1" showErrorMessage="1" sqref="K2:K8" xr:uid="{54AEA1AF-D3E2-4329-8046-679D179F0B5B}">
      <formula1>prev_locais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9" fitToHeight="0" orientation="landscape" r:id="rId1"/>
  <ignoredErrors>
    <ignoredError sqref="G3 G8 G7 I3:J3 I7:J7 I8:J8" evalErro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91257-541F-4986-AF63-EFE2452F3383}">
  <sheetPr codeName="Planilha4">
    <tabColor theme="4" tint="0.39997558519241921"/>
    <pageSetUpPr fitToPage="1"/>
  </sheetPr>
  <dimension ref="A1:Q8"/>
  <sheetViews>
    <sheetView zoomScale="85" zoomScaleNormal="85" workbookViewId="0">
      <selection activeCell="A9" sqref="A9:XFD9"/>
    </sheetView>
  </sheetViews>
  <sheetFormatPr defaultColWidth="9.140625" defaultRowHeight="15" x14ac:dyDescent="0.25"/>
  <cols>
    <col min="1" max="1" width="11.140625" style="8" bestFit="1" customWidth="1"/>
    <col min="2" max="2" width="9.140625" style="20" bestFit="1" customWidth="1"/>
    <col min="3" max="3" width="8.140625" style="8" bestFit="1" customWidth="1"/>
    <col min="4" max="4" width="11.85546875" style="8" bestFit="1" customWidth="1"/>
    <col min="5" max="5" width="11.85546875" style="8" customWidth="1"/>
    <col min="6" max="6" width="49" style="8" customWidth="1"/>
    <col min="7" max="7" width="6.85546875" style="8" bestFit="1" customWidth="1"/>
    <col min="8" max="8" width="49" style="8" customWidth="1"/>
    <col min="9" max="9" width="8.7109375" style="8" bestFit="1" customWidth="1"/>
    <col min="10" max="10" width="22.140625" style="8" bestFit="1" customWidth="1"/>
    <col min="11" max="11" width="6.7109375" style="8" customWidth="1"/>
    <col min="12" max="13" width="9.140625" style="8"/>
    <col min="14" max="14" width="16.5703125" style="8" hidden="1" customWidth="1"/>
    <col min="15" max="15" width="15.42578125" style="8" hidden="1" customWidth="1"/>
    <col min="16" max="17" width="13.85546875" style="8" hidden="1" customWidth="1"/>
    <col min="18" max="16384" width="9.140625" style="8"/>
  </cols>
  <sheetData>
    <row r="1" spans="1:17" ht="15" customHeight="1" x14ac:dyDescent="0.25">
      <c r="A1" s="14" t="s">
        <v>51</v>
      </c>
      <c r="B1" s="15" t="s">
        <v>119</v>
      </c>
      <c r="C1" s="14" t="s">
        <v>118</v>
      </c>
      <c r="D1" s="14" t="s">
        <v>52</v>
      </c>
      <c r="E1" s="14" t="s">
        <v>161</v>
      </c>
      <c r="F1" s="14" t="s">
        <v>162</v>
      </c>
      <c r="G1" s="14" t="s">
        <v>163</v>
      </c>
      <c r="H1" s="14" t="s">
        <v>164</v>
      </c>
      <c r="I1" s="14" t="s">
        <v>165</v>
      </c>
      <c r="J1" s="14" t="s">
        <v>85</v>
      </c>
      <c r="K1" s="75"/>
    </row>
    <row r="2" spans="1:17" x14ac:dyDescent="0.25">
      <c r="A2" s="10">
        <f>A3</f>
        <v>46101</v>
      </c>
      <c r="B2" s="12">
        <f>'ESCALA RODOVIÁRIA'!C41</f>
        <v>0.8125</v>
      </c>
      <c r="C2" s="11">
        <f>'ESCALA RODOVIÁRIA'!B41</f>
        <v>4098</v>
      </c>
      <c r="D2" s="11">
        <f>'ESCALA RODOVIÁRIA'!G41</f>
        <v>18016</v>
      </c>
      <c r="E2" s="11" t="str" cm="1">
        <f t="array" ref="E2">IF(D2="CANCELADO","N/A",_xlfn.XLOOKUP(D2,Tabela6[[#All],[Veículo]],Tabela6[[#All],[Placa]],"N/E",1,1))</f>
        <v>PRK6658</v>
      </c>
      <c r="F2" s="12" t="str">
        <f>IFERROR(TRIM(_xlfn.TEXTBEFORE('ESCALA RODOVIÁRIA'!D41,"-")),"CANCELADO")</f>
        <v>REGINALDO DE SOUSA OLIVEIRA</v>
      </c>
      <c r="G2" s="12" t="str">
        <f>IFERROR(TRIM(_xlfn.TEXTAFTER('ESCALA RODOVIÁRIA'!D41,"-")),"N/A")</f>
        <v>5412</v>
      </c>
      <c r="H2" s="11" t="s">
        <v>166</v>
      </c>
      <c r="I2" s="11" t="s">
        <v>40</v>
      </c>
      <c r="J2" s="11" t="str">
        <f>_xlfn.CONCAT("IMP X SLZ ",TEXT(B2,"HH:MM"))</f>
        <v>IMP X SLZ 19:30</v>
      </c>
      <c r="K2" s="50"/>
    </row>
    <row r="3" spans="1:17" x14ac:dyDescent="0.25">
      <c r="A3" s="10">
        <f>escala_do_fluxo[[#This Row],[DATA]]</f>
        <v>46101</v>
      </c>
      <c r="B3" s="12">
        <f>'ESCALA RODOVIÁRIA'!C21</f>
        <v>0.79861111111111116</v>
      </c>
      <c r="C3" s="11">
        <f ca="1">IF(TEXT(TODAY(),"DDDD")="SEXTA-FEIRA",9064,4076)</f>
        <v>9064</v>
      </c>
      <c r="D3" s="11">
        <f>'ESCALA RODOVIÁRIA'!G21</f>
        <v>19015</v>
      </c>
      <c r="E3" s="11" t="str" cm="1">
        <f t="array" ref="E3">IF(D3="CANCELADO","N/A",_xlfn.XLOOKUP(D3,Tabela6[[#All],[Veículo]],Tabela6[[#All],[Placa]],"N/E",1,1))</f>
        <v>QTS1804</v>
      </c>
      <c r="F3" s="11" t="str">
        <f>IFERROR(TRIM(_xlfn.TEXTBEFORE('ESCALA RODOVIÁRIA'!D21,"-")),"CANCELADO")</f>
        <v>FRANCISCO ALVES DA PAZ JUNIOR</v>
      </c>
      <c r="G3" s="12" t="str">
        <f>TRIM(_xlfn.TEXTAFTER('ESCALA RODOVIÁRIA'!D21,"-"))</f>
        <v>1247</v>
      </c>
      <c r="H3" s="11" t="str">
        <f>IFERROR(TRIM(_xlfn.TEXTBEFORE('ESCALA RODOVIÁRIA'!F21,"-")),"CANCELADO")</f>
        <v>CANCELADO</v>
      </c>
      <c r="I3" s="12" t="e">
        <f>TRIM(_xlfn.TEXTAFTER('ESCALA RODOVIÁRIA'!F21,"-"))</f>
        <v>#N/A</v>
      </c>
      <c r="J3" s="11" t="str">
        <f>IF(TEXT(A3,"DDDD")="SEXTA-FEIRA","IMP X THE 19:00","GYN X THE 19:00")</f>
        <v>IMP X THE 19:00</v>
      </c>
      <c r="K3" s="51"/>
      <c r="N3" s="14" t="s">
        <v>167</v>
      </c>
      <c r="O3" s="14" t="s">
        <v>168</v>
      </c>
      <c r="P3" s="14" t="s">
        <v>169</v>
      </c>
      <c r="Q3" s="14" t="s">
        <v>170</v>
      </c>
    </row>
    <row r="4" spans="1:17" x14ac:dyDescent="0.25">
      <c r="A4" s="10">
        <f>A2</f>
        <v>46101</v>
      </c>
      <c r="B4" s="12">
        <v>0.82777777777777783</v>
      </c>
      <c r="C4" s="11">
        <f>'ESCALA RODOVIÁRIA'!B29</f>
        <v>2013</v>
      </c>
      <c r="D4" s="11">
        <f>'ESCALA RODOVIÁRIA'!G29</f>
        <v>25012</v>
      </c>
      <c r="E4" s="11" t="str" cm="1">
        <f t="array" ref="E4">IF(D4="CANCELADO","N/A",_xlfn.XLOOKUP(D4,Tabela6[[#All],[Veículo]],Tabela6[[#All],[Placa]],"N/E",1,1))</f>
        <v>OGT8A57</v>
      </c>
      <c r="F4" s="12" t="str">
        <f>IFERROR(TRIM(_xlfn.TEXTBEFORE('ESCALA RODOVIÁRIA'!D29,"-")),"CANCELADO")</f>
        <v>BRUNO MATOS DA ROCHA</v>
      </c>
      <c r="G4" s="13" t="str">
        <f>TRIM(_xlfn.TEXTAFTER('ESCALA RODOVIÁRIA'!D29,"-"))</f>
        <v>6013</v>
      </c>
      <c r="H4" s="11" t="str">
        <f>IFERROR(TRIM(_xlfn.TEXTBEFORE('ESCALA RODOVIÁRIA'!E29,"-")),"CANCELADO")</f>
        <v>ANTONIO FRANCINALDO DE OLIVEIRA MARQUES</v>
      </c>
      <c r="I4" s="11" t="str">
        <f>TRIM(_xlfn.TEXTAFTER('ESCALA RODOVIÁRIA'!E29,"-"))</f>
        <v>5018</v>
      </c>
      <c r="J4" s="11" t="str">
        <f>_xlfn.CONCAT("GYN X BEL ",TEXT(B4,"HH:MM"))</f>
        <v>GYN X BEL 19:52</v>
      </c>
      <c r="K4" s="51"/>
      <c r="N4" s="33">
        <v>16700</v>
      </c>
      <c r="O4" s="33"/>
      <c r="P4" s="33" t="s">
        <v>171</v>
      </c>
      <c r="Q4" s="33" t="s">
        <v>171</v>
      </c>
    </row>
    <row r="5" spans="1:17" x14ac:dyDescent="0.25">
      <c r="A5" s="10">
        <f>A4</f>
        <v>46101</v>
      </c>
      <c r="B5" s="12">
        <f>'ESCALA RODOVIÁRIA'!C11</f>
        <v>0.84166666666666667</v>
      </c>
      <c r="C5" s="11">
        <v>2261</v>
      </c>
      <c r="D5" s="13" t="str">
        <f>'ESCALA RODOVIÁRIA'!G11</f>
        <v>CANCELADO</v>
      </c>
      <c r="E5" s="11" t="str" cm="1">
        <f t="array" ref="E5">IF(D5="CANCELADO","N/A",_xlfn.XLOOKUP(D5,Tabela6[[#All],[Veículo]],Tabela6[[#All],[Placa]],"N/E",1,1))</f>
        <v>N/A</v>
      </c>
      <c r="F5" s="12" t="str">
        <f>IFERROR(TRIM(_xlfn.TEXTBEFORE('ESCALA RODOVIÁRIA'!D11,"-")),"CANCELADO")</f>
        <v>CANCELADO</v>
      </c>
      <c r="G5" s="13" t="e">
        <f>TRIM(_xlfn.TEXTAFTER('ESCALA RODOVIÁRIA'!D11,"-"))</f>
        <v>#N/A</v>
      </c>
      <c r="H5" s="12" t="str">
        <f>IFERROR(TRIM(_xlfn.TEXTBEFORE('ESCALA RODOVIÁRIA'!E11,"-")),"CANCELADO")</f>
        <v>CANCELADO</v>
      </c>
      <c r="I5" s="13" t="e">
        <f>TRIM(_xlfn.TEXTAFTER('ESCALA RODOVIÁRIA'!E11,"-"))</f>
        <v>#N/A</v>
      </c>
      <c r="J5" s="11" t="str">
        <f>_xlfn.CONCAT("SLZ X GYN ",TEXT(B5,"HH:MM"))</f>
        <v>SLZ X GYN 20:12</v>
      </c>
      <c r="K5" s="51"/>
      <c r="N5" s="33">
        <v>15900</v>
      </c>
      <c r="O5" s="33"/>
      <c r="P5" s="33"/>
      <c r="Q5" s="33"/>
    </row>
    <row r="6" spans="1:17" x14ac:dyDescent="0.25">
      <c r="A6" s="10">
        <f>A5</f>
        <v>46101</v>
      </c>
      <c r="B6" s="12">
        <f>'ESCALA RODOVIÁRIA'!C43</f>
        <v>0.84375</v>
      </c>
      <c r="C6" s="11">
        <v>1071</v>
      </c>
      <c r="D6" s="34">
        <f>'ESCALA RODOVIÁRIA'!G43</f>
        <v>25008</v>
      </c>
      <c r="E6" s="11" t="str" cm="1">
        <f t="array" ref="E6">IF(D6="CANCELADO","N/A",_xlfn.XLOOKUP(D6,Tabela6[[#All],[Veículo]],Tabela6[[#All],[Placa]],"N/E",1,1))</f>
        <v>OGT8A57</v>
      </c>
      <c r="F6" s="11" t="str">
        <f>IFERROR(TRIM(_xlfn.TEXTBEFORE('ESCALA RODOVIÁRIA'!D43,"-")),"CANCELADO")</f>
        <v>JARDEL DE SOUSA OLIVEIRA</v>
      </c>
      <c r="G6" s="11" t="str">
        <f>TRIM(_xlfn.TEXTAFTER('ESCALA RODOVIÁRIA'!D43,"-"))</f>
        <v>5992</v>
      </c>
      <c r="H6" s="11" t="str">
        <f>IFERROR(TRIM(_xlfn.TEXTBEFORE('ESCALA RODOVIÁRIA'!F43,"-")),"CANCELADO")</f>
        <v>CANCELADO</v>
      </c>
      <c r="I6" s="11" t="e">
        <f>TRIM(_xlfn.TEXTAFTER('ESCALA RODOVIÁRIA'!F43,"-"))</f>
        <v>#N/A</v>
      </c>
      <c r="J6" s="11" t="str">
        <f>_xlfn.CONCAT("GYN X SLZ ",TEXT(B6,"HH:MM"))</f>
        <v>GYN X SLZ 20:15</v>
      </c>
      <c r="K6" s="51"/>
      <c r="N6" s="33"/>
      <c r="O6" s="33"/>
      <c r="P6" s="33"/>
      <c r="Q6" s="33"/>
    </row>
    <row r="7" spans="1:17" x14ac:dyDescent="0.25">
      <c r="A7" s="10">
        <f>A6</f>
        <v>46101</v>
      </c>
      <c r="B7" s="12">
        <f>'ESCALA RODOVIÁRIA'!C12</f>
        <v>0.85416666666666663</v>
      </c>
      <c r="C7" s="11">
        <v>1124</v>
      </c>
      <c r="D7" s="11">
        <f>'ESCALA RODOVIÁRIA'!G12</f>
        <v>19014</v>
      </c>
      <c r="E7" s="11" t="str" cm="1">
        <f t="array" ref="E7">IF(D7="CANCELADO","N/A",_xlfn.XLOOKUP(D7,Tabela6[[#All],[Veículo]],Tabela6[[#All],[Placa]],"N/E",1,1))</f>
        <v>QTS1814</v>
      </c>
      <c r="F7" s="12" t="str">
        <f>IFERROR(TRIM(_xlfn.TEXTBEFORE('ESCALA RODOVIÁRIA'!D12,"-")),"CANCELADO")</f>
        <v>KLEBER OLIVEIRA LIMA</v>
      </c>
      <c r="G7" s="13" t="str">
        <f>TRIM(_xlfn.TEXTAFTER('ESCALA RODOVIÁRIA'!D12,"-"))</f>
        <v>5849</v>
      </c>
      <c r="H7" s="11" t="str">
        <f>IFERROR(TRIM(_xlfn.TEXTBEFORE('ESCALA RODOVIÁRIA'!E12,"-")),"CANCELADO")</f>
        <v>CANCELADO</v>
      </c>
      <c r="I7" s="13" t="e">
        <f>TRIM(_xlfn.TEXTAFTER('ESCALA RODOVIÁRIA'!E12,"-"))</f>
        <v>#N/A</v>
      </c>
      <c r="J7" s="11" t="str">
        <f>_xlfn.CONCAT("FOT X SIN ",TEXT(B7,"HH:MM"))</f>
        <v>FOT X SIN 20:30</v>
      </c>
      <c r="K7" s="51"/>
    </row>
    <row r="8" spans="1:17" x14ac:dyDescent="0.25">
      <c r="A8" s="10">
        <f t="shared" ref="A8" si="0">A7</f>
        <v>46101</v>
      </c>
      <c r="B8" s="12">
        <f>'ESCALA RODOVIÁRIA'!C13</f>
        <v>0.87847222222222221</v>
      </c>
      <c r="C8" s="11">
        <v>2103</v>
      </c>
      <c r="D8" s="11">
        <f>'ESCALA RODOVIÁRIA'!G13</f>
        <v>19010</v>
      </c>
      <c r="E8" s="11" t="str" cm="1">
        <f t="array" ref="E8">IF(D8="CANCELADO","N/A",_xlfn.XLOOKUP(D8,Tabela6[[#All],[Veículo]],Tabela6[[#All],[Placa]],"N/E",1,1))</f>
        <v>QTO8077</v>
      </c>
      <c r="F8" s="12" t="str">
        <f>IFERROR(TRIM(_xlfn.TEXTBEFORE('ESCALA RODOVIÁRIA'!D13,"-")),"CANCELADO")</f>
        <v>MARCIO DE SOUSA MATOS</v>
      </c>
      <c r="G8" s="13" t="str">
        <f>TRIM(_xlfn.TEXTAFTER('ESCALA RODOVIÁRIA'!D13,"-"))</f>
        <v>5264</v>
      </c>
      <c r="H8" s="11" t="str">
        <f>IFERROR(TRIM(_xlfn.TEXTBEFORE('ESCALA RODOVIÁRIA'!E13,"-")),"CANCELADO")</f>
        <v>ANDSON WAGNER NASCIMENTO SOUZA</v>
      </c>
      <c r="I8" s="11" t="str">
        <f>TRIM(_xlfn.TEXTAFTER('ESCALA RODOVIÁRIA'!E13,"-"))</f>
        <v>2902</v>
      </c>
      <c r="J8" s="11" t="str">
        <f>_xlfn.CONCAT("BEL X GYN ",TEXT(B8,"HH:MM"))</f>
        <v>BEL X GYN 21:05</v>
      </c>
      <c r="K8" s="51"/>
    </row>
  </sheetData>
  <conditionalFormatting sqref="A3:J3">
    <cfRule type="expression" dxfId="23" priority="39">
      <formula>$J3="IMP X THE 19:00"</formula>
    </cfRule>
    <cfRule type="expression" dxfId="22" priority="40">
      <formula>$J3="PXT X IMP 19:00"</formula>
    </cfRule>
  </conditionalFormatting>
  <conditionalFormatting sqref="A2:K8">
    <cfRule type="expression" dxfId="21" priority="41">
      <formula>$D2="CANCELADO"</formula>
    </cfRule>
    <cfRule type="expression" dxfId="20" priority="492">
      <formula>$K2="*"</formula>
    </cfRule>
  </conditionalFormatting>
  <conditionalFormatting sqref="F2:I8">
    <cfRule type="duplicateValues" dxfId="19" priority="574"/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1" fitToHeight="0" orientation="landscape" r:id="rId1"/>
  <ignoredErrors>
    <ignoredError sqref="J5 J7 J8 I8 I7 I5 G5 I4 G8 G7 G4 G3" evalError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5424-CA40-4B45-8187-DBF0CF598E0A}">
  <sheetPr codeName="Planilha9">
    <tabColor theme="9"/>
    <pageSetUpPr fitToPage="1"/>
  </sheetPr>
  <dimension ref="B1:N14"/>
  <sheetViews>
    <sheetView zoomScale="70" zoomScaleNormal="70" workbookViewId="0">
      <selection activeCell="C5" sqref="C5"/>
    </sheetView>
  </sheetViews>
  <sheetFormatPr defaultRowHeight="35.25" customHeight="1" x14ac:dyDescent="0.25"/>
  <cols>
    <col min="3" max="3" width="15.140625" bestFit="1" customWidth="1"/>
    <col min="4" max="5" width="13.5703125" customWidth="1"/>
    <col min="6" max="6" width="15.5703125" bestFit="1" customWidth="1"/>
    <col min="7" max="7" width="10.28515625" hidden="1" customWidth="1"/>
    <col min="8" max="8" width="57.28515625" customWidth="1"/>
    <col min="9" max="9" width="57.28515625" hidden="1" customWidth="1"/>
    <col min="10" max="10" width="57.28515625" customWidth="1"/>
    <col min="11" max="11" width="6.7109375" hidden="1" customWidth="1"/>
    <col min="12" max="12" width="31.7109375" bestFit="1" customWidth="1"/>
    <col min="13" max="13" width="15.42578125" customWidth="1"/>
  </cols>
  <sheetData>
    <row r="1" spans="2:14" ht="35.25" customHeight="1" thickBot="1" x14ac:dyDescent="0.3"/>
    <row r="2" spans="2:14" ht="35.25" customHeight="1" x14ac:dyDescent="0.25">
      <c r="B2" s="77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9"/>
    </row>
    <row r="3" spans="2:14" s="76" customFormat="1" ht="35.25" customHeight="1" x14ac:dyDescent="0.25">
      <c r="B3" s="80"/>
      <c r="C3" s="85" t="s">
        <v>51</v>
      </c>
      <c r="D3" s="86" t="s">
        <v>119</v>
      </c>
      <c r="E3" s="85" t="s">
        <v>118</v>
      </c>
      <c r="F3" s="85" t="s">
        <v>52</v>
      </c>
      <c r="G3" s="85" t="s">
        <v>161</v>
      </c>
      <c r="H3" s="85" t="s">
        <v>162</v>
      </c>
      <c r="I3" s="85" t="s">
        <v>163</v>
      </c>
      <c r="J3" s="85" t="s">
        <v>164</v>
      </c>
      <c r="K3" s="85" t="s">
        <v>165</v>
      </c>
      <c r="L3" s="85" t="s">
        <v>85</v>
      </c>
      <c r="M3" s="85" t="s">
        <v>176</v>
      </c>
      <c r="N3" s="81"/>
    </row>
    <row r="4" spans="2:14" s="76" customFormat="1" ht="35.25" customHeight="1" x14ac:dyDescent="0.25">
      <c r="B4" s="80"/>
      <c r="C4" s="87" cm="1">
        <f t="array" aca="1" ref="C4:G10" ca="1">'FROTA NOTURNA'!A2:E8</f>
        <v>46101</v>
      </c>
      <c r="D4" s="88">
        <f ca="1"/>
        <v>0.8125</v>
      </c>
      <c r="E4" s="89">
        <f ca="1"/>
        <v>4098</v>
      </c>
      <c r="F4" s="89">
        <f ca="1"/>
        <v>18016</v>
      </c>
      <c r="G4" s="89" t="str">
        <f ca="1"/>
        <v>PRK6658</v>
      </c>
      <c r="H4" s="242" t="str">
        <f>'FROTA NOTURNA'!F2</f>
        <v>REGINALDO DE SOUSA OLIVEIRA</v>
      </c>
      <c r="I4" s="243"/>
      <c r="J4" s="244"/>
      <c r="K4" s="89"/>
      <c r="L4" s="89" t="str" cm="1">
        <f t="array" ref="L4:L10">'FROTA NOTURNA'!J2:J8</f>
        <v>IMP X SLZ 19:30</v>
      </c>
      <c r="M4" s="90" t="s">
        <v>79</v>
      </c>
      <c r="N4" s="81"/>
    </row>
    <row r="5" spans="2:14" s="76" customFormat="1" ht="35.25" customHeight="1" x14ac:dyDescent="0.25">
      <c r="B5" s="80"/>
      <c r="C5" s="87">
        <f ca="1"/>
        <v>46101</v>
      </c>
      <c r="D5" s="88">
        <f ca="1"/>
        <v>0.79861111111111116</v>
      </c>
      <c r="E5" s="89">
        <f ca="1"/>
        <v>9064</v>
      </c>
      <c r="F5" s="89">
        <f ca="1"/>
        <v>19015</v>
      </c>
      <c r="G5" s="89" t="str">
        <f ca="1"/>
        <v>QTS1804</v>
      </c>
      <c r="H5" s="245" t="str">
        <f>'FROTA NOTURNA'!F3</f>
        <v>FRANCISCO ALVES DA PAZ JUNIOR</v>
      </c>
      <c r="I5" s="246"/>
      <c r="J5" s="247"/>
      <c r="K5" s="89"/>
      <c r="L5" s="89" t="str">
        <v>IMP X THE 19:00</v>
      </c>
      <c r="M5" s="91"/>
      <c r="N5" s="81"/>
    </row>
    <row r="6" spans="2:14" s="76" customFormat="1" ht="35.25" customHeight="1" x14ac:dyDescent="0.25">
      <c r="B6" s="80"/>
      <c r="C6" s="87">
        <f ca="1"/>
        <v>46101</v>
      </c>
      <c r="D6" s="88">
        <f ca="1"/>
        <v>0.82777777777777783</v>
      </c>
      <c r="E6" s="89">
        <f ca="1"/>
        <v>2013</v>
      </c>
      <c r="F6" s="89">
        <f ca="1"/>
        <v>25012</v>
      </c>
      <c r="G6" s="89" t="str">
        <f ca="1"/>
        <v>OGT8A57</v>
      </c>
      <c r="H6" s="88" t="str">
        <f>'FROTA NOTURNA'!F4</f>
        <v>BRUNO MATOS DA ROCHA</v>
      </c>
      <c r="I6" s="92"/>
      <c r="J6" s="88" t="str">
        <f>'FROTA NOTURNA'!H4</f>
        <v>ANTONIO FRANCINALDO DE OLIVEIRA MARQUES</v>
      </c>
      <c r="K6" s="89"/>
      <c r="L6" s="89" t="str">
        <v>GYN X BEL 19:52</v>
      </c>
      <c r="M6" s="91"/>
      <c r="N6" s="81"/>
    </row>
    <row r="7" spans="2:14" s="76" customFormat="1" ht="35.25" customHeight="1" x14ac:dyDescent="0.25">
      <c r="B7" s="80"/>
      <c r="C7" s="87">
        <f ca="1"/>
        <v>46101</v>
      </c>
      <c r="D7" s="88">
        <f ca="1"/>
        <v>0.84166666666666667</v>
      </c>
      <c r="E7" s="89">
        <f ca="1"/>
        <v>2261</v>
      </c>
      <c r="F7" s="92" t="str">
        <f ca="1"/>
        <v>CANCELADO</v>
      </c>
      <c r="G7" s="89" t="str">
        <f ca="1"/>
        <v>N/A</v>
      </c>
      <c r="H7" s="88" t="str">
        <f>'FROTA NOTURNA'!F5</f>
        <v>CANCELADO</v>
      </c>
      <c r="I7" s="92"/>
      <c r="J7" s="89" t="str">
        <f>'FROTA NOTURNA'!H5</f>
        <v>CANCELADO</v>
      </c>
      <c r="K7" s="92"/>
      <c r="L7" s="89" t="str">
        <v>SLZ X GYN 20:12</v>
      </c>
      <c r="M7" s="91"/>
      <c r="N7" s="81"/>
    </row>
    <row r="8" spans="2:14" s="76" customFormat="1" ht="35.25" customHeight="1" x14ac:dyDescent="0.25">
      <c r="B8" s="80"/>
      <c r="C8" s="87">
        <f ca="1"/>
        <v>46101</v>
      </c>
      <c r="D8" s="88">
        <f ca="1"/>
        <v>0.84375</v>
      </c>
      <c r="E8" s="89">
        <f ca="1"/>
        <v>1071</v>
      </c>
      <c r="F8" s="93">
        <f ca="1"/>
        <v>25008</v>
      </c>
      <c r="G8" s="89" t="str">
        <f ca="1"/>
        <v>OGT8A57</v>
      </c>
      <c r="H8" s="245" t="str">
        <f>'FROTA NOTURNA'!F6</f>
        <v>JARDEL DE SOUSA OLIVEIRA</v>
      </c>
      <c r="I8" s="246"/>
      <c r="J8" s="247"/>
      <c r="K8" s="89"/>
      <c r="L8" s="89" t="str">
        <v>GYN X SLZ 20:15</v>
      </c>
      <c r="M8" s="138"/>
      <c r="N8" s="81"/>
    </row>
    <row r="9" spans="2:14" s="76" customFormat="1" ht="35.25" customHeight="1" x14ac:dyDescent="0.25">
      <c r="B9" s="80"/>
      <c r="C9" s="87">
        <f ca="1"/>
        <v>46101</v>
      </c>
      <c r="D9" s="88">
        <f ca="1"/>
        <v>0.85416666666666663</v>
      </c>
      <c r="E9" s="89">
        <f ca="1"/>
        <v>1124</v>
      </c>
      <c r="F9" s="89">
        <f ca="1"/>
        <v>19014</v>
      </c>
      <c r="G9" s="89" t="str">
        <f ca="1"/>
        <v>QTS1814</v>
      </c>
      <c r="H9" s="88" t="str">
        <f>'FROTA NOTURNA'!F7</f>
        <v>KLEBER OLIVEIRA LIMA</v>
      </c>
      <c r="I9" s="92"/>
      <c r="J9" s="89" t="str">
        <f>'FROTA NOTURNA'!H7</f>
        <v>CANCELADO</v>
      </c>
      <c r="K9" s="92"/>
      <c r="L9" s="89" t="str">
        <v>FOT X SIN 20:30</v>
      </c>
      <c r="M9" s="138"/>
      <c r="N9" s="81"/>
    </row>
    <row r="10" spans="2:14" s="76" customFormat="1" ht="35.25" customHeight="1" x14ac:dyDescent="0.25">
      <c r="B10" s="80"/>
      <c r="C10" s="87">
        <f ca="1"/>
        <v>46101</v>
      </c>
      <c r="D10" s="88">
        <f ca="1"/>
        <v>0.87847222222222221</v>
      </c>
      <c r="E10" s="89">
        <f ca="1"/>
        <v>2103</v>
      </c>
      <c r="F10" s="89">
        <f ca="1"/>
        <v>19010</v>
      </c>
      <c r="G10" s="89" t="str">
        <f ca="1"/>
        <v>QTO8077</v>
      </c>
      <c r="H10" s="88" t="str">
        <f>'FROTA NOTURNA'!F8</f>
        <v>MARCIO DE SOUSA MATOS</v>
      </c>
      <c r="I10" s="92"/>
      <c r="J10" s="89" t="str">
        <f>'FROTA NOTURNA'!H8</f>
        <v>ANDSON WAGNER NASCIMENTO SOUZA</v>
      </c>
      <c r="K10" s="89"/>
      <c r="L10" s="89" t="str">
        <v>BEL X GYN 21:05</v>
      </c>
      <c r="M10" s="91"/>
      <c r="N10" s="81"/>
    </row>
    <row r="11" spans="2:14" s="76" customFormat="1" ht="35.25" hidden="1" customHeight="1" x14ac:dyDescent="0.25">
      <c r="B11" s="80"/>
      <c r="C11" s="87">
        <f ca="1">C10</f>
        <v>46101</v>
      </c>
      <c r="D11" s="88">
        <f>'FRT NTR BFM'!B14</f>
        <v>0.85763888888888884</v>
      </c>
      <c r="E11" s="89">
        <v>107</v>
      </c>
      <c r="F11" s="89">
        <f>'FRT NTR BFM'!D14</f>
        <v>17000</v>
      </c>
      <c r="G11" s="89"/>
      <c r="H11" s="88" t="str">
        <f>'FRT NTR BFM'!F13</f>
        <v>CANCELADO</v>
      </c>
      <c r="I11" s="92"/>
      <c r="J11" s="89" t="str">
        <f>'FRT NTR BFM'!F14</f>
        <v>CANCELADO</v>
      </c>
      <c r="K11" s="89"/>
      <c r="L11" s="89" t="s">
        <v>1574</v>
      </c>
      <c r="M11" s="91"/>
      <c r="N11" s="81"/>
    </row>
    <row r="12" spans="2:14" s="76" customFormat="1" ht="35.25" customHeight="1" x14ac:dyDescent="0.25">
      <c r="B12" s="80"/>
      <c r="C12" s="150"/>
      <c r="D12" s="151"/>
      <c r="E12" s="152"/>
      <c r="F12" s="152"/>
      <c r="G12" s="152"/>
      <c r="H12" s="151"/>
      <c r="I12" s="153"/>
      <c r="J12" s="152"/>
      <c r="K12" s="152"/>
      <c r="L12" s="152"/>
      <c r="M12" s="154"/>
      <c r="N12" s="81"/>
    </row>
    <row r="13" spans="2:14" s="76" customFormat="1" ht="35.25" hidden="1" customHeight="1" x14ac:dyDescent="0.25">
      <c r="B13" s="80"/>
      <c r="C13" s="150"/>
      <c r="D13" s="151"/>
      <c r="E13" s="152"/>
      <c r="F13" s="152"/>
      <c r="G13" s="152"/>
      <c r="H13" s="153"/>
      <c r="I13" s="153"/>
      <c r="J13" s="153"/>
      <c r="K13" s="152"/>
      <c r="L13" s="152"/>
      <c r="M13" s="154"/>
      <c r="N13" s="81"/>
    </row>
    <row r="14" spans="2:14" ht="35.25" customHeight="1" thickBot="1" x14ac:dyDescent="0.3">
      <c r="B14" s="82"/>
      <c r="C14" s="83"/>
      <c r="D14" s="83"/>
      <c r="E14" s="83"/>
      <c r="F14" s="83"/>
      <c r="G14" s="83"/>
      <c r="H14" s="83"/>
      <c r="I14" s="83"/>
      <c r="J14" s="155" t="str">
        <f ca="1">_xlfn.CONCAT("última atualização: ", TEXT(NOW(),"hh:mm"))</f>
        <v>última atualização: 05:36</v>
      </c>
      <c r="K14" s="83"/>
      <c r="L14" s="83"/>
      <c r="M14" s="83"/>
      <c r="N14" s="84"/>
    </row>
  </sheetData>
  <mergeCells count="3">
    <mergeCell ref="H4:J4"/>
    <mergeCell ref="H5:J5"/>
    <mergeCell ref="H8:J8"/>
  </mergeCells>
  <conditionalFormatting sqref="C5:H5 K5:M5">
    <cfRule type="expression" dxfId="18" priority="6">
      <formula>$K5="PXT X IMP 19:00"</formula>
    </cfRule>
  </conditionalFormatting>
  <conditionalFormatting sqref="C4:M10 K11:M13 C11:J12 C13:H13">
    <cfRule type="expression" dxfId="17" priority="567">
      <formula>$F4="CANCELADO"</formula>
    </cfRule>
  </conditionalFormatting>
  <conditionalFormatting sqref="H13 H4:J12">
    <cfRule type="duplicateValues" dxfId="16" priority="581"/>
  </conditionalFormatting>
  <conditionalFormatting sqref="K5:M5 C5:H5">
    <cfRule type="expression" dxfId="15" priority="4">
      <formula>$K5="IMP X THE 19:00"</formula>
    </cfRule>
  </conditionalFormatting>
  <conditionalFormatting sqref="M4:M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7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F9725-0EA7-4A11-A49F-42606746551B}">
  <sheetPr codeName="Planilha10">
    <tabColor theme="7"/>
    <pageSetUpPr fitToPage="1"/>
  </sheetPr>
  <dimension ref="A1:M15"/>
  <sheetViews>
    <sheetView zoomScale="85" zoomScaleNormal="85" workbookViewId="0">
      <selection activeCell="F13" sqref="A2:F13"/>
    </sheetView>
  </sheetViews>
  <sheetFormatPr defaultColWidth="9.140625" defaultRowHeight="15" x14ac:dyDescent="0.25"/>
  <cols>
    <col min="1" max="1" width="11.140625" style="8" bestFit="1" customWidth="1"/>
    <col min="2" max="2" width="11.28515625" style="20" bestFit="1" customWidth="1"/>
    <col min="3" max="3" width="10.42578125" style="8" hidden="1" customWidth="1"/>
    <col min="4" max="4" width="11.85546875" style="8" bestFit="1" customWidth="1"/>
    <col min="5" max="5" width="11.85546875" style="8" hidden="1" customWidth="1"/>
    <col min="6" max="6" width="49" style="8" customWidth="1"/>
    <col min="7" max="7" width="11.85546875" style="8" bestFit="1" customWidth="1"/>
    <col min="8" max="8" width="49" style="8" customWidth="1"/>
    <col min="9" max="9" width="9.140625" style="8"/>
    <col min="10" max="10" width="16.5703125" style="8" hidden="1" customWidth="1"/>
    <col min="11" max="11" width="15.42578125" style="8" hidden="1" customWidth="1"/>
    <col min="12" max="13" width="13.85546875" style="8" hidden="1" customWidth="1"/>
    <col min="14" max="16384" width="9.140625" style="8"/>
  </cols>
  <sheetData>
    <row r="1" spans="1:13" ht="15" customHeight="1" x14ac:dyDescent="0.25">
      <c r="A1" s="128" t="s">
        <v>51</v>
      </c>
      <c r="B1" s="129" t="s">
        <v>119</v>
      </c>
      <c r="C1" s="130" t="s">
        <v>118</v>
      </c>
      <c r="D1" s="130" t="s">
        <v>52</v>
      </c>
      <c r="E1" s="130" t="s">
        <v>161</v>
      </c>
      <c r="F1" s="130" t="s">
        <v>1565</v>
      </c>
      <c r="G1" s="130" t="s">
        <v>1566</v>
      </c>
      <c r="H1" s="131" t="s">
        <v>85</v>
      </c>
    </row>
    <row r="2" spans="1:13" x14ac:dyDescent="0.25">
      <c r="A2" s="120">
        <f>escala_do_fluxo[[#This Row],[DATA]]</f>
        <v>46101</v>
      </c>
      <c r="B2" s="12">
        <f>escala_do_fluxo[[#This Row],[HR. RD]]</f>
        <v>0.3</v>
      </c>
      <c r="C2" s="11"/>
      <c r="D2" s="11">
        <f>'ESCALA DO FLUXO'!D2</f>
        <v>25007</v>
      </c>
      <c r="E2" s="11" t="str" cm="1">
        <f t="array" ref="E2">IF(D2="CANCELADO","N/A",_xlfn.XLOOKUP(D2,Tabela6[[#All],[Veículo]],Tabela6[[#All],[Placa]],"N/E",1,1))</f>
        <v>OGT8A57</v>
      </c>
      <c r="F2" s="12" t="str">
        <f>IFERROR(TRIM(_xlfn.TEXTBEFORE('ESCALA DO FLUXO'!I2,"-")),"CANCELADO")</f>
        <v>CLODOALDO PEREIRA DE LIMA</v>
      </c>
      <c r="G2" s="12" t="str">
        <f>IFERROR(TRIM(_xlfn.TEXTAFTER('ESCALA DO FLUXO'!I2,"-")),"CANCELADO")</f>
        <v>4067</v>
      </c>
      <c r="H2" s="121" t="str">
        <f>_xlfn.CONCAT('ESCALA DO FLUXO'!K2, " ",TEXT('ESCALA DO FLUXO'!F2,"HH:MM"))</f>
        <v>GOIANIA (GO) X BELEM (PA) 07:12</v>
      </c>
    </row>
    <row r="3" spans="1:13" x14ac:dyDescent="0.25">
      <c r="A3" s="120">
        <f>A2</f>
        <v>46101</v>
      </c>
      <c r="B3" s="12">
        <f>'ESCALA DO FLUXO'!F2</f>
        <v>0.3</v>
      </c>
      <c r="C3" s="11"/>
      <c r="D3" s="11">
        <f>'ESCALA DO FLUXO'!D2</f>
        <v>25007</v>
      </c>
      <c r="E3" s="11" t="str" cm="1">
        <f t="array" ref="E3">IF(D3="CANCELADO","N/A",_xlfn.XLOOKUP(D3,Tabela6[[#All],[Veículo]],Tabela6[[#All],[Placa]],"N/E",1,1))</f>
        <v>OGT8A57</v>
      </c>
      <c r="F3" s="12" t="str">
        <f>IFERROR(TRIM(_xlfn.TEXTBEFORE('ESCALA DO FLUXO'!J2,"-")),"CANCELADO")</f>
        <v>CANCELADO</v>
      </c>
      <c r="G3" s="12" t="str">
        <f>IFERROR(TRIM(_xlfn.TEXTAFTER('ESCALA DO FLUXO'!J2,"-")),"CANCELADO")</f>
        <v>CANCELADO</v>
      </c>
      <c r="H3" s="121" t="str">
        <f>_xlfn.CONCAT('ESCALA DO FLUXO'!K2, " ",TEXT('ESCALA DO FLUXO'!F2,"HH:MM"))</f>
        <v>GOIANIA (GO) X BELEM (PA) 07:12</v>
      </c>
      <c r="J3" s="14" t="s">
        <v>167</v>
      </c>
      <c r="K3" s="14" t="s">
        <v>168</v>
      </c>
      <c r="L3" s="14" t="s">
        <v>169</v>
      </c>
      <c r="M3" s="14" t="s">
        <v>170</v>
      </c>
    </row>
    <row r="4" spans="1:13" x14ac:dyDescent="0.25">
      <c r="A4" s="120">
        <f t="shared" ref="A4:A12" si="0">A3</f>
        <v>46101</v>
      </c>
      <c r="B4" s="12">
        <f>'ESCALA DO FLUXO'!F3</f>
        <v>0.33333333333333331</v>
      </c>
      <c r="C4" s="11"/>
      <c r="D4" s="11">
        <f>'ESCALA DO FLUXO'!D3</f>
        <v>25011</v>
      </c>
      <c r="E4" s="11" t="str" cm="1">
        <f t="array" ref="E4">IF(D4="CANCELADO","N/A",_xlfn.XLOOKUP(D4,Tabela6[[#All],[Veículo]],Tabela6[[#All],[Placa]],"N/E",1,1))</f>
        <v>OGT8A57</v>
      </c>
      <c r="F4" s="12" t="str">
        <f>IFERROR(TRIM(_xlfn.TEXTBEFORE('ESCALA DO FLUXO'!I3,"-")),"CANCELADO")</f>
        <v>MARCOS ATAIDE SILVA</v>
      </c>
      <c r="G4" s="127" t="str">
        <f>IFERROR(TRIM(_xlfn.TEXTAFTER('ESCALA DO FLUXO'!I3,"-")),"CANCELADO")</f>
        <v>1352</v>
      </c>
      <c r="H4" s="121" t="str">
        <f>_xlfn.CONCAT('ESCALA DO FLUXO'!K3, " ",TEXT('ESCALA DO FLUXO'!F3,"HH:MM"))</f>
        <v>GOIANIA (GO) X SAO LUIS (MA) 08:00</v>
      </c>
      <c r="J4" s="33">
        <v>16700</v>
      </c>
      <c r="K4" s="33"/>
      <c r="L4" s="33" t="s">
        <v>171</v>
      </c>
      <c r="M4" s="33" t="s">
        <v>171</v>
      </c>
    </row>
    <row r="5" spans="1:13" x14ac:dyDescent="0.25">
      <c r="A5" s="120">
        <f t="shared" si="0"/>
        <v>46101</v>
      </c>
      <c r="B5" s="12">
        <f>'ESCALA DO FLUXO'!F3</f>
        <v>0.33333333333333331</v>
      </c>
      <c r="C5" s="11"/>
      <c r="D5" s="11">
        <f>'ESCALA DO FLUXO'!D3</f>
        <v>25011</v>
      </c>
      <c r="E5" s="11" t="str" cm="1">
        <f t="array" ref="E5">IF(D5="CANCELADO","N/A",_xlfn.XLOOKUP(D5,Tabela6[[#All],[Veículo]],Tabela6[[#All],[Placa]],"N/E",1,1))</f>
        <v>OGT8A57</v>
      </c>
      <c r="F5" s="12" t="str">
        <f>IFERROR(TRIM(_xlfn.TEXTBEFORE('ESCALA DO FLUXO'!J3,"-")),"CANCELADO")</f>
        <v>FABIO MOREIRA DOS SANTOS</v>
      </c>
      <c r="G5" s="127" t="str">
        <f>IFERROR(TRIM(_xlfn.TEXTAFTER('ESCALA DO FLUXO'!J3,"-")),"CANCELADO")</f>
        <v>3073</v>
      </c>
      <c r="H5" s="121" t="str">
        <f>_xlfn.CONCAT('ESCALA DO FLUXO'!K3, " ",TEXT('ESCALA DO FLUXO'!F3,"HH:MM"))</f>
        <v>GOIANIA (GO) X SAO LUIS (MA) 08:00</v>
      </c>
      <c r="J5" s="33">
        <v>15900</v>
      </c>
      <c r="K5" s="33"/>
      <c r="L5" s="33"/>
      <c r="M5" s="33"/>
    </row>
    <row r="6" spans="1:13" x14ac:dyDescent="0.25">
      <c r="A6" s="120">
        <f t="shared" si="0"/>
        <v>46101</v>
      </c>
      <c r="B6" s="12">
        <f>'ESCALA DO FLUXO'!F4</f>
        <v>0.39583333333333331</v>
      </c>
      <c r="C6" s="11"/>
      <c r="D6" s="11">
        <f>'ESCALA DO FLUXO'!D4</f>
        <v>19005</v>
      </c>
      <c r="E6" s="11" t="str" cm="1">
        <f t="array" ref="E6">IF(D6="CANCELADO","N/A",_xlfn.XLOOKUP(D6,Tabela6[[#All],[Veículo]],Tabela6[[#All],[Placa]],"N/E",1,1))</f>
        <v>QTQ4724</v>
      </c>
      <c r="F6" s="126" t="str">
        <f>IFERROR(TRIM(_xlfn.TEXTBEFORE('ESCALA DO FLUXO'!I4,"-")),"CANCELADO")</f>
        <v>JOSE CARLOS BEZERRA DA SILVA</v>
      </c>
      <c r="G6" s="12" t="str">
        <f>IFERROR(TRIM(_xlfn.TEXTAFTER('ESCALA DO FLUXO'!I4,"-")),"CANCELADO")</f>
        <v>3034</v>
      </c>
      <c r="H6" s="121" t="str">
        <f>_xlfn.CONCAT('ESCALA DO FLUXO'!K4, " ",TEXT('ESCALA DO FLUXO'!F4,"HH:MM"))</f>
        <v>GOIANIA (GO) X TERESINA (PI) VIA STI 09:30</v>
      </c>
      <c r="J6" s="33"/>
      <c r="K6" s="33"/>
      <c r="L6" s="33"/>
      <c r="M6" s="33"/>
    </row>
    <row r="7" spans="1:13" x14ac:dyDescent="0.25">
      <c r="A7" s="120">
        <f t="shared" si="0"/>
        <v>46101</v>
      </c>
      <c r="B7" s="12">
        <f>'ESCALA DO FLUXO'!F4</f>
        <v>0.39583333333333331</v>
      </c>
      <c r="C7" s="11"/>
      <c r="D7" s="11">
        <f>'ESCALA DO FLUXO'!D4</f>
        <v>19005</v>
      </c>
      <c r="E7" s="11" t="str" cm="1">
        <f t="array" ref="E7">IF(D7="CANCELADO","N/A",_xlfn.XLOOKUP(D7,Tabela6[[#All],[Veículo]],Tabela6[[#All],[Placa]],"N/E",1,1))</f>
        <v>QTQ4724</v>
      </c>
      <c r="F7" s="12" t="str">
        <f>IFERROR(TRIM(_xlfn.TEXTBEFORE('ESCALA DO FLUXO'!J4,"-")),"CANCELADO")</f>
        <v>CANCELADO</v>
      </c>
      <c r="G7" s="127" t="str">
        <f>IFERROR(TRIM(_xlfn.TEXTAFTER('ESCALA DO FLUXO'!J4,"-")),"CANCELADO")</f>
        <v>CANCELADO</v>
      </c>
      <c r="H7" s="121" t="str">
        <f>_xlfn.CONCAT('ESCALA DO FLUXO'!K4, " ",TEXT('ESCALA DO FLUXO'!F4,"HH:MM"))</f>
        <v>GOIANIA (GO) X TERESINA (PI) VIA STI 09:30</v>
      </c>
    </row>
    <row r="8" spans="1:13" x14ac:dyDescent="0.25">
      <c r="A8" s="120">
        <f t="shared" si="0"/>
        <v>46101</v>
      </c>
      <c r="B8" s="12">
        <f>'ESCALA DO FLUXO'!F5</f>
        <v>0.41666666666666669</v>
      </c>
      <c r="C8" s="11"/>
      <c r="D8" s="11" t="str">
        <f>'ESCALA DO FLUXO'!D5</f>
        <v>CANCELADO</v>
      </c>
      <c r="E8" s="11" t="str" cm="1">
        <f t="array" ref="E8">IF(D8="CANCELADO","N/A",_xlfn.XLOOKUP(D8,Tabela6[[#All],[Veículo]],Tabela6[[#All],[Placa]],"N/E",1,1))</f>
        <v>N/A</v>
      </c>
      <c r="F8" s="12" t="str">
        <f>IFERROR(TRIM(_xlfn.TEXTBEFORE('ESCALA DO FLUXO'!I5,"-")),"CANCELADO")</f>
        <v>CANCELADO</v>
      </c>
      <c r="G8" s="127" t="str">
        <f>IFERROR(TRIM(_xlfn.TEXTAFTER('ESCALA DO FLUXO'!I5,"-")),"CANCELADO")</f>
        <v>CANCELADO</v>
      </c>
      <c r="H8" s="121" t="str">
        <f>_xlfn.CONCAT('ESCALA DO FLUXO'!K5, " ",TEXT('ESCALA DO FLUXO'!F5,"HH:MM"))</f>
        <v>IMPERATRIZ (MA) X VILA RICA (MT) 10:00</v>
      </c>
    </row>
    <row r="9" spans="1:13" x14ac:dyDescent="0.25">
      <c r="A9" s="120">
        <f t="shared" si="0"/>
        <v>46101</v>
      </c>
      <c r="B9" s="12">
        <f>escala_do_fluxo[[#This Row],[HR. RD]]</f>
        <v>0.41666666666666669</v>
      </c>
      <c r="C9" s="11"/>
      <c r="D9" s="11" t="str">
        <f>'ESCALA DO FLUXO'!D5</f>
        <v>CANCELADO</v>
      </c>
      <c r="E9" s="11" t="str" cm="1">
        <f t="array" ref="E9">IF(D9="CANCELADO","N/A",_xlfn.XLOOKUP(D9,Tabela6[[#All],[Veículo]],Tabela6[[#All],[Placa]],"N/E",1,1))</f>
        <v>N/A</v>
      </c>
      <c r="F9" s="12" t="str">
        <f>IFERROR(TRIM(_xlfn.TEXTBEFORE('ESCALA DO FLUXO'!J5,"-")),"CANCELADO")</f>
        <v>CANCELADO</v>
      </c>
      <c r="G9" s="12" t="str">
        <f>IFERROR(TRIM(_xlfn.TEXTAFTER('ESCALA DO FLUXO'!J5,"-")),"CANCELADO")</f>
        <v>CANCELADO</v>
      </c>
      <c r="H9" s="121" t="str">
        <f>_xlfn.CONCAT('ESCALA DO FLUXO'!K5, " ",TEXT('ESCALA DO FLUXO'!F5,"HH:MM"))</f>
        <v>IMPERATRIZ (MA) X VILA RICA (MT) 10:00</v>
      </c>
    </row>
    <row r="10" spans="1:13" x14ac:dyDescent="0.25">
      <c r="A10" s="120">
        <f t="shared" si="0"/>
        <v>46101</v>
      </c>
      <c r="B10" s="12">
        <f>'ESCALA DO FLUXO'!F7</f>
        <v>0.38541666666666669</v>
      </c>
      <c r="C10" s="11"/>
      <c r="D10" s="11">
        <f>'ESCALA DO FLUXO'!D7</f>
        <v>19021</v>
      </c>
      <c r="E10" s="11" t="str" cm="1">
        <f t="array" ref="E10">IF(D10="CANCELADO","N/A",_xlfn.XLOOKUP(D10,Tabela6[[#All],[Veículo]],Tabela6[[#All],[Placa]],"N/E",1,1))</f>
        <v>QTR5657</v>
      </c>
      <c r="F10" s="12" t="str">
        <f>IFERROR(TRIM(_xlfn.TEXTBEFORE('ESCALA DO FLUXO'!I7,"-")),"CANCELADO")</f>
        <v>FERNANDO ALVES DE SOUZA</v>
      </c>
      <c r="G10" s="12" t="str">
        <f>IFERROR(TRIM(_xlfn.TEXTAFTER('ESCALA DO FLUXO'!I7,"-")),"CANCELADO")</f>
        <v>6350</v>
      </c>
      <c r="H10" s="121" t="str">
        <f>_xlfn.CONCAT('ESCALA DO FLUXO'!K7, " ",TEXT('ESCALA DO FLUXO'!F7,"HH:MM"))</f>
        <v>GOIANIA (GO) X BELEM (PA) 09:15</v>
      </c>
    </row>
    <row r="11" spans="1:13" x14ac:dyDescent="0.25">
      <c r="A11" s="120">
        <f t="shared" si="0"/>
        <v>46101</v>
      </c>
      <c r="B11" s="12">
        <f>'ESCALA DO FLUXO'!F7</f>
        <v>0.38541666666666669</v>
      </c>
      <c r="C11" s="11"/>
      <c r="D11" s="11">
        <f>'ESCALA DO FLUXO'!D7</f>
        <v>19021</v>
      </c>
      <c r="E11" s="11" t="str" cm="1">
        <f t="array" ref="E11">IF(D11="CANCELADO","N/A",_xlfn.XLOOKUP(D11,Tabela6[[#All],[Veículo]],Tabela6[[#All],[Placa]],"N/E",1,1))</f>
        <v>QTR5657</v>
      </c>
      <c r="F11" s="12" t="str">
        <f>IFERROR(TRIM(_xlfn.TEXTBEFORE('ESCALA DO FLUXO'!J7,"-")),"CANCELADO")</f>
        <v>AELSON PEREIRA DO NASCIMENTO</v>
      </c>
      <c r="G11" s="12" t="str">
        <f>IFERROR(TRIM(_xlfn.TEXTAFTER('ESCALA DO FLUXO'!J7,"-")),"CANCELADO")</f>
        <v>5682</v>
      </c>
      <c r="H11" s="121" t="str">
        <f>_xlfn.CONCAT('ESCALA DO FLUXO'!K7, " ",TEXT('ESCALA DO FLUXO'!F7,"HH:MM"))</f>
        <v>GOIANIA (GO) X BELEM (PA) 09:15</v>
      </c>
    </row>
    <row r="12" spans="1:13" x14ac:dyDescent="0.25">
      <c r="A12" s="120">
        <f t="shared" si="0"/>
        <v>46101</v>
      </c>
      <c r="B12" s="12">
        <f>'ESCALA DO FLUXO'!F6</f>
        <v>0.37708333333333333</v>
      </c>
      <c r="C12" s="11"/>
      <c r="D12" s="11">
        <f>'ESCALA DO FLUXO'!D6</f>
        <v>19007</v>
      </c>
      <c r="E12" s="11" t="str" cm="1">
        <f t="array" ref="E12">IF(D12="CANCELADO","N/A",_xlfn.XLOOKUP(D12,Tabela6[[#All],[Veículo]],Tabela6[[#All],[Placa]],"N/E",1,1))</f>
        <v>QTP0317</v>
      </c>
      <c r="F12" s="12" t="str">
        <f>IFERROR(TRIM(_xlfn.TEXTBEFORE('ESCALA DO FLUXO'!I6,"-")),"CANCELADO")</f>
        <v>EDUARDO SANTOS BEZERRA</v>
      </c>
      <c r="G12" s="127" t="str">
        <f>IFERROR(TRIM(_xlfn.TEXTAFTER('ESCALA DO FLUXO'!I6,"-")),"CANCELADO")</f>
        <v>4066</v>
      </c>
      <c r="H12" s="121" t="str">
        <f>_xlfn.CONCAT('ESCALA DO FLUXO'!K6, " ",TEXT('ESCALA DO FLUXO'!F6,"HH:MM"))</f>
        <v>FORTALEZA (CE) X SINOP (MT) 09:03</v>
      </c>
    </row>
    <row r="13" spans="1:13" x14ac:dyDescent="0.25">
      <c r="A13" s="120">
        <f>A12</f>
        <v>46101</v>
      </c>
      <c r="B13" s="132">
        <f>'ESCALA DO FLUXO'!F16</f>
        <v>0.47013888888888888</v>
      </c>
      <c r="C13" s="133"/>
      <c r="D13" s="11">
        <f>'ESCALA DO FLUXO'!D16</f>
        <v>19024</v>
      </c>
      <c r="E13" s="11" t="str" cm="1">
        <f t="array" ref="E13">IF(D13="CANCELADO","N/A",_xlfn.XLOOKUP(D13,Tabela6[[#All],[Veículo]],Tabela6[[#All],[Placa]],"N/E",1,1))</f>
        <v>QTP1769</v>
      </c>
      <c r="F13" s="12" t="str">
        <f>IFERROR(TRIM(_xlfn.TEXTBEFORE('ESCALA DO FLUXO'!I16,"-")),"CANCELADO")</f>
        <v>FRANCISCO BATISTA DE LIMA</v>
      </c>
      <c r="G13" s="127" t="str">
        <f>IFERROR(TRIM(_xlfn.TEXTAFTER('ESCALA DO FLUXO'!I16,"-")),"CANCELADO")</f>
        <v>1827</v>
      </c>
      <c r="H13" s="121" t="str">
        <f>_xlfn.CONCAT('ESCALA DO FLUXO'!K16, " ",TEXT('ESCALA DO FLUXO'!F16,"HH:MM"))</f>
        <v>GOIANIA (GO) X SAO LUIS (MA) 11:17</v>
      </c>
    </row>
    <row r="14" spans="1:13" x14ac:dyDescent="0.25">
      <c r="A14" s="144">
        <f>A13</f>
        <v>46101</v>
      </c>
      <c r="B14" s="145" t="e">
        <f>'ESCALA DO FLUXO'!#REF!</f>
        <v>#REF!</v>
      </c>
      <c r="C14" s="146"/>
      <c r="D14" s="147" t="e">
        <f>'ESCALA DO FLUXO'!#REF!</f>
        <v>#REF!</v>
      </c>
      <c r="F14" s="143" t="str">
        <f>IFERROR(TRIM(_xlfn.TEXTBEFORE('ESCALA DO FLUXO'!#REF!,"-")),"CANCELADO")</f>
        <v>CANCELADO</v>
      </c>
      <c r="G14" s="148" t="str">
        <f>IFERROR(TRIM(_xlfn.TEXTAFTER('ESCALA DO FLUXO'!#REF!,"-")),"CANCELADO")</f>
        <v>CANCELADO</v>
      </c>
      <c r="H14" s="149" t="e">
        <f>_xlfn.CONCAT('ESCALA DO FLUXO'!#REF!, " ",TEXT('ESCALA DO FLUXO'!#REF!,"HH:MM"))</f>
        <v>#REF!</v>
      </c>
    </row>
    <row r="15" spans="1:13" x14ac:dyDescent="0.25">
      <c r="A15" s="144">
        <f>A14</f>
        <v>46101</v>
      </c>
      <c r="B15" s="145" t="e">
        <f>'ESCALA DO FLUXO'!#REF!</f>
        <v>#REF!</v>
      </c>
      <c r="C15" s="146"/>
      <c r="D15" s="147" t="e">
        <f>'ESCALA DO FLUXO'!#REF!</f>
        <v>#REF!</v>
      </c>
      <c r="F15" s="143" t="e">
        <f>'ESCALA DO FLUXO'!#REF!</f>
        <v>#REF!</v>
      </c>
      <c r="G15" s="148" t="str">
        <f>IFERROR(TRIM(_xlfn.TEXTAFTER('ESCALA DO FLUXO'!#REF!,"-")),"CANCELADO")</f>
        <v>CANCELADO</v>
      </c>
      <c r="H15" s="149" t="e">
        <f>_xlfn.CONCAT('ESCALA DO FLUXO'!#REF!, " ",TEXT('ESCALA DO FLUXO'!#REF!,"HH:MM"))</f>
        <v>#REF!</v>
      </c>
    </row>
  </sheetData>
  <conditionalFormatting sqref="A13:A15">
    <cfRule type="expression" dxfId="14" priority="9">
      <formula>$D13="CANCELADO"</formula>
    </cfRule>
  </conditionalFormatting>
  <conditionalFormatting sqref="A2:H12">
    <cfRule type="expression" dxfId="13" priority="11">
      <formula>$D2="CANCELADO"</formula>
    </cfRule>
  </conditionalFormatting>
  <conditionalFormatting sqref="D13:D15">
    <cfRule type="expression" dxfId="12" priority="10">
      <formula>$D13="CANCELADO"</formula>
    </cfRule>
  </conditionalFormatting>
  <conditionalFormatting sqref="E13">
    <cfRule type="expression" dxfId="11" priority="8">
      <formula>$D13="CANCELADO"</formula>
    </cfRule>
  </conditionalFormatting>
  <conditionalFormatting sqref="F13:F14">
    <cfRule type="expression" dxfId="10" priority="6">
      <formula>$D13="CANCELADO"</formula>
    </cfRule>
    <cfRule type="duplicateValues" dxfId="9" priority="7"/>
  </conditionalFormatting>
  <conditionalFormatting sqref="F15">
    <cfRule type="expression" dxfId="8" priority="1">
      <formula>$D14="CANCELADO"</formula>
    </cfRule>
    <cfRule type="duplicateValues" dxfId="7" priority="2"/>
  </conditionalFormatting>
  <conditionalFormatting sqref="F2:G12">
    <cfRule type="duplicateValues" dxfId="6" priority="12"/>
  </conditionalFormatting>
  <conditionalFormatting sqref="G13:G15">
    <cfRule type="duplicateValues" dxfId="5" priority="5"/>
  </conditionalFormatting>
  <conditionalFormatting sqref="G13:H15">
    <cfRule type="expression" dxfId="4" priority="3">
      <formula>$D13="CANCELADO"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1" fitToHeight="0" orientation="landscape" r:id="rId1"/>
  <ignoredErrors>
    <ignoredError sqref="A2:A12 F2:F7 G2:G7 H2:H7 D2:D7 B2:B7 B9:B13 D10:D12 F10:F13 G10:G12 H10:H12 B8:H8 C9:H9" calculatedColumn="1"/>
  </ignoredErrors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512AA-8712-434B-8558-3EEDAF774A26}">
  <sheetPr codeName="Planilha11">
    <tabColor rgb="FF002060"/>
    <pageSetUpPr fitToPage="1"/>
  </sheetPr>
  <dimension ref="A1:M14"/>
  <sheetViews>
    <sheetView zoomScaleNormal="100" workbookViewId="0">
      <selection activeCell="F13" sqref="F13:F14"/>
    </sheetView>
  </sheetViews>
  <sheetFormatPr defaultColWidth="9.140625" defaultRowHeight="15" x14ac:dyDescent="0.25"/>
  <cols>
    <col min="1" max="1" width="11.140625" style="8" bestFit="1" customWidth="1"/>
    <col min="2" max="2" width="11.28515625" style="20" bestFit="1" customWidth="1"/>
    <col min="3" max="3" width="10.42578125" style="8" hidden="1" customWidth="1"/>
    <col min="4" max="4" width="11.85546875" style="8" bestFit="1" customWidth="1"/>
    <col min="5" max="5" width="11.85546875" style="8" customWidth="1"/>
    <col min="6" max="6" width="49" style="8" customWidth="1"/>
    <col min="7" max="7" width="11.85546875" style="8" bestFit="1" customWidth="1"/>
    <col min="8" max="8" width="49" style="8" customWidth="1"/>
    <col min="9" max="9" width="9.140625" style="8"/>
    <col min="10" max="10" width="16.5703125" style="8" hidden="1" customWidth="1"/>
    <col min="11" max="11" width="15.42578125" style="8" hidden="1" customWidth="1"/>
    <col min="12" max="13" width="13.85546875" style="8" hidden="1" customWidth="1"/>
    <col min="14" max="16384" width="9.140625" style="8"/>
  </cols>
  <sheetData>
    <row r="1" spans="1:13" ht="15" customHeight="1" x14ac:dyDescent="0.25">
      <c r="A1" s="122" t="s">
        <v>51</v>
      </c>
      <c r="B1" s="123" t="s">
        <v>119</v>
      </c>
      <c r="C1" s="124" t="s">
        <v>118</v>
      </c>
      <c r="D1" s="124" t="s">
        <v>52</v>
      </c>
      <c r="E1" s="124" t="s">
        <v>161</v>
      </c>
      <c r="F1" s="124" t="s">
        <v>1565</v>
      </c>
      <c r="G1" s="124" t="s">
        <v>1566</v>
      </c>
      <c r="H1" s="125" t="s">
        <v>85</v>
      </c>
    </row>
    <row r="2" spans="1:13" x14ac:dyDescent="0.25">
      <c r="A2" s="120">
        <f>escala_do_fluxo[[#This Row],[DATA]]</f>
        <v>46101</v>
      </c>
      <c r="B2" s="12">
        <f>'ESCALA DO FLUXO'!F17</f>
        <v>0.8125</v>
      </c>
      <c r="C2" s="11"/>
      <c r="D2" s="11">
        <f>'ESCALA DO FLUXO'!D17</f>
        <v>18016</v>
      </c>
      <c r="E2" s="11" t="str" cm="1">
        <f t="array" ref="E2">IF(D2="CANCELADO","N/A",_xlfn.XLOOKUP(D2,Tabela6[[#All],[Veículo]],Tabela6[[#All],[Placa]],"N/E",1,1))</f>
        <v>PRK6658</v>
      </c>
      <c r="F2" s="12" t="str">
        <f>IFERROR(TRIM(_xlfn.TEXTBEFORE('ESCALA DO FLUXO'!I17,"-")),"CANCELADO")</f>
        <v>REGINALDO DE SOUSA OLIVEIRA</v>
      </c>
      <c r="G2" s="127" t="str">
        <f>IFERROR(TRIM(_xlfn.TEXTAFTER('ESCALA DO FLUXO'!I17,"-")),"CANCELADO")</f>
        <v>5412</v>
      </c>
      <c r="H2" s="121" t="str">
        <f>_xlfn.CONCAT('ESCALA DO FLUXO'!K17, " ",TEXT('ESCALA DO FLUXO'!F17,"HH:MM"))</f>
        <v>IMPERATRIZ (MA) X SÃO LUIS (MA) 19:30</v>
      </c>
      <c r="J2" s="14" t="s">
        <v>167</v>
      </c>
      <c r="K2" s="14" t="s">
        <v>168</v>
      </c>
      <c r="L2" s="14" t="s">
        <v>169</v>
      </c>
      <c r="M2" s="14" t="s">
        <v>170</v>
      </c>
    </row>
    <row r="3" spans="1:13" x14ac:dyDescent="0.25">
      <c r="A3" s="120">
        <f>A2</f>
        <v>46101</v>
      </c>
      <c r="B3" s="12">
        <f>'ESCALA DO FLUXO'!F19</f>
        <v>0.79861111111111116</v>
      </c>
      <c r="C3" s="11"/>
      <c r="D3" s="11">
        <f>'ESCALA DO FLUXO'!D19</f>
        <v>19015</v>
      </c>
      <c r="E3" s="11" t="str" cm="1">
        <f t="array" ref="E3">IF(D3="CANCELADO","N/A",_xlfn.XLOOKUP(D3,Tabela6[[#All],[Veículo]],Tabela6[[#All],[Placa]],"N/E",1,1))</f>
        <v>QTS1804</v>
      </c>
      <c r="F3" s="12" t="str">
        <f>IFERROR(TRIM(_xlfn.TEXTBEFORE('ESCALA DO FLUXO'!I19,"-")),"CANCELADO")</f>
        <v>FRANCISCO ALVES DA PAZ JUNIOR</v>
      </c>
      <c r="G3" s="12" t="str">
        <f>IFERROR(TRIM(_xlfn.TEXTAFTER('ESCALA DO FLUXO'!I19,"-")),"CANCELADO")</f>
        <v>1247</v>
      </c>
      <c r="H3" s="121" t="str">
        <f>_xlfn.CONCAT('ESCALA DO FLUXO'!K19, " ",TEXT('ESCALA DO FLUXO'!F19,"HH:MM"))</f>
        <v>GOIANIA (GO) X TERESINA (PI) VIA STI 19:10</v>
      </c>
    </row>
    <row r="4" spans="1:13" x14ac:dyDescent="0.25">
      <c r="A4" s="120">
        <f t="shared" ref="A4:A14" si="0">A3</f>
        <v>46101</v>
      </c>
      <c r="B4" s="12">
        <f>'ESCALA DO FLUXO'!F15</f>
        <v>0.82777777777777772</v>
      </c>
      <c r="C4" s="11"/>
      <c r="D4" s="11">
        <f>'ESCALA DO FLUXO'!D15</f>
        <v>25012</v>
      </c>
      <c r="E4" s="11" t="str" cm="1">
        <f t="array" ref="E4">IF(D4="CANCELADO","N/A",_xlfn.XLOOKUP(D4,Tabela6[[#All],[Veículo]],Tabela6[[#All],[Placa]],"N/E",1,1))</f>
        <v>OGT8A57</v>
      </c>
      <c r="F4" s="12" t="str">
        <f>IFERROR(TRIM(_xlfn.TEXTBEFORE('ESCALA DO FLUXO'!I15,"-")),"CANCELADO")</f>
        <v>BRUNO MATOS DA ROCHA</v>
      </c>
      <c r="G4" s="12" t="str">
        <f>IFERROR(TRIM(_xlfn.TEXTAFTER('ESCALA DO FLUXO'!I15,"-")),"CANCELADO")</f>
        <v>6013</v>
      </c>
      <c r="H4" s="121" t="str">
        <f>_xlfn.CONCAT('ESCALA DO FLUXO'!K15, " ",TEXT('ESCALA DO FLUXO'!F15,"HH:MM"))</f>
        <v>GOIANIA (GO) X BELEM (PA) 19:52</v>
      </c>
      <c r="J4" s="33">
        <v>16700</v>
      </c>
      <c r="K4" s="33"/>
      <c r="L4" s="33" t="s">
        <v>171</v>
      </c>
      <c r="M4" s="33" t="s">
        <v>171</v>
      </c>
    </row>
    <row r="5" spans="1:13" x14ac:dyDescent="0.25">
      <c r="A5" s="120">
        <f t="shared" si="0"/>
        <v>46101</v>
      </c>
      <c r="B5" s="12">
        <f>'ESCALA DO FLUXO'!F15</f>
        <v>0.82777777777777772</v>
      </c>
      <c r="C5" s="11"/>
      <c r="D5" s="11">
        <f>'ESCALA DO FLUXO'!D15</f>
        <v>25012</v>
      </c>
      <c r="E5" s="11" t="str" cm="1">
        <f t="array" ref="E5">IF(D5="CANCELADO","N/A",_xlfn.XLOOKUP(D5,Tabela6[[#All],[Veículo]],Tabela6[[#All],[Placa]],"N/E",1,1))</f>
        <v>OGT8A57</v>
      </c>
      <c r="F5" s="12" t="str">
        <f>IFERROR(TRIM(_xlfn.TEXTBEFORE('ESCALA DO FLUXO'!J15,"-")),"CANCELADO")</f>
        <v>ANTONIO FRANCINALDO DE OLIVEIRA MARQUES</v>
      </c>
      <c r="G5" s="12" t="str">
        <f>IFERROR(TRIM(_xlfn.TEXTAFTER('ESCALA DO FLUXO'!J15,"-")),"CANCELADO")</f>
        <v>5018</v>
      </c>
      <c r="H5" s="121" t="str">
        <f>_xlfn.CONCAT('ESCALA DO FLUXO'!K15, " ",TEXT('ESCALA DO FLUXO'!F15,"HH:MM"))</f>
        <v>GOIANIA (GO) X BELEM (PA) 19:52</v>
      </c>
      <c r="J5" s="33">
        <v>15900</v>
      </c>
      <c r="K5" s="33"/>
      <c r="L5" s="33"/>
      <c r="M5" s="33"/>
    </row>
    <row r="6" spans="1:13" x14ac:dyDescent="0.25">
      <c r="A6" s="120">
        <f t="shared" si="0"/>
        <v>46101</v>
      </c>
      <c r="B6" s="12">
        <f>'ESCALA DO FLUXO'!F20</f>
        <v>0.84166666666666667</v>
      </c>
      <c r="C6" s="11"/>
      <c r="D6" s="11" t="str">
        <f>'ESCALA DO FLUXO'!D20</f>
        <v>CANCELADO</v>
      </c>
      <c r="E6" s="11" t="str" cm="1">
        <f t="array" ref="E6">IF(D6="CANCELADO","N/A",_xlfn.XLOOKUP(D6,Tabela6[[#All],[Veículo]],Tabela6[[#All],[Placa]],"N/E",1,1))</f>
        <v>N/A</v>
      </c>
      <c r="F6" s="12" t="str">
        <f>IFERROR(TRIM(_xlfn.TEXTBEFORE('ESCALA DO FLUXO'!I20,"-")),"CANCELADO")</f>
        <v>CANCELADO</v>
      </c>
      <c r="G6" s="127" t="str">
        <f>IFERROR(TRIM(_xlfn.TEXTAFTER('ESCALA DO FLUXO'!I20,"-")),"CANCELADO")</f>
        <v>CANCELADO</v>
      </c>
      <c r="H6" s="121" t="str">
        <f>_xlfn.CONCAT('ESCALA DO FLUXO'!K20, " ",TEXT('ESCALA DO FLUXO'!F20,"HH:MM"))</f>
        <v>GOIANIA (GO) X SAO LUIS (MA) 20:12</v>
      </c>
    </row>
    <row r="7" spans="1:13" x14ac:dyDescent="0.25">
      <c r="A7" s="120">
        <f t="shared" si="0"/>
        <v>46101</v>
      </c>
      <c r="B7" s="12">
        <f>'ESCALA DO FLUXO'!F20</f>
        <v>0.84166666666666667</v>
      </c>
      <c r="C7" s="11"/>
      <c r="D7" s="11" t="str">
        <f>'ESCALA DO FLUXO'!D20</f>
        <v>CANCELADO</v>
      </c>
      <c r="E7" s="11" t="str" cm="1">
        <f t="array" ref="E7">IF(D7="CANCELADO","N/A",_xlfn.XLOOKUP(D7,Tabela6[[#All],[Veículo]],Tabela6[[#All],[Placa]],"N/E",1,1))</f>
        <v>N/A</v>
      </c>
      <c r="F7" s="12" t="str">
        <f>IFERROR(TRIM(_xlfn.TEXTBEFORE('ESCALA DO FLUXO'!J20,"-")),"CANCELADO")</f>
        <v>CANCELADO</v>
      </c>
      <c r="G7" s="127" t="str">
        <f>IFERROR(TRIM(_xlfn.TEXTAFTER('ESCALA DO FLUXO'!J20,"-")),"CANCELADO")</f>
        <v>CANCELADO</v>
      </c>
      <c r="H7" s="121" t="str">
        <f>_xlfn.CONCAT('ESCALA DO FLUXO'!K20, " ",TEXT('ESCALA DO FLUXO'!F20,"HH:MM"))</f>
        <v>GOIANIA (GO) X SAO LUIS (MA) 20:12</v>
      </c>
    </row>
    <row r="8" spans="1:13" x14ac:dyDescent="0.25">
      <c r="A8" s="120">
        <f t="shared" si="0"/>
        <v>46101</v>
      </c>
      <c r="B8" s="12">
        <f>'ESCALA DO FLUXO'!F18</f>
        <v>0.84375</v>
      </c>
      <c r="C8" s="11"/>
      <c r="D8" s="11">
        <f>'ESCALA DO FLUXO'!D18</f>
        <v>25008</v>
      </c>
      <c r="E8" s="11" t="str" cm="1">
        <f t="array" ref="E8">IF(D8="CANCELADO","N/A",_xlfn.XLOOKUP(D8,Tabela6[[#All],[Veículo]],Tabela6[[#All],[Placa]],"N/E",1,1))</f>
        <v>OGT8A57</v>
      </c>
      <c r="F8" s="12" t="str">
        <f>IFERROR(TRIM(_xlfn.TEXTBEFORE('ESCALA DO FLUXO'!I18,"-")),"CANCELADO")</f>
        <v>JARDEL DE SOUSA OLIVEIRA</v>
      </c>
      <c r="G8" s="12" t="str">
        <f>IFERROR(TRIM(_xlfn.TEXTAFTER('ESCALA DO FLUXO'!I18,"-")),"CANCELADO")</f>
        <v>5992</v>
      </c>
      <c r="H8" s="121" t="str">
        <f>_xlfn.CONCAT('ESCALA DO FLUXO'!K18, " ",TEXT('ESCALA DO FLUXO'!F18,"HH:MM"))</f>
        <v>GOIANIA (GO) X SAO LUIS (MA) 20:15</v>
      </c>
    </row>
    <row r="9" spans="1:13" x14ac:dyDescent="0.25">
      <c r="A9" s="120">
        <f t="shared" si="0"/>
        <v>46101</v>
      </c>
      <c r="B9" s="12">
        <f>'ESCALA DO FLUXO'!F21</f>
        <v>0.85416666666666663</v>
      </c>
      <c r="C9" s="11"/>
      <c r="D9" s="11">
        <f>'ESCALA DO FLUXO'!D21</f>
        <v>19014</v>
      </c>
      <c r="E9" s="11" t="str" cm="1">
        <f t="array" ref="E9">IF(D9="CANCELADO","N/A",_xlfn.XLOOKUP(D9,Tabela6[[#All],[Veículo]],Tabela6[[#All],[Placa]],"N/E",1,1))</f>
        <v>QTS1814</v>
      </c>
      <c r="F9" s="126" t="str">
        <f>IFERROR(TRIM(_xlfn.TEXTBEFORE('ESCALA DO FLUXO'!I21,"-")),"CANCELADO")</f>
        <v>KLEBER OLIVEIRA LIMA</v>
      </c>
      <c r="G9" s="12" t="str">
        <f>IFERROR(TRIM(_xlfn.TEXTAFTER('ESCALA DO FLUXO'!I21,"-")),"CANCELADO")</f>
        <v>5849</v>
      </c>
      <c r="H9" s="121" t="str">
        <f>_xlfn.CONCAT('ESCALA DO FLUXO'!K21, " ",TEXT('ESCALA DO FLUXO'!F21,"HH:MM"))</f>
        <v>FORTALEZA (CE) X SINOP (MT) 20:30</v>
      </c>
    </row>
    <row r="10" spans="1:13" x14ac:dyDescent="0.25">
      <c r="A10" s="120">
        <f t="shared" si="0"/>
        <v>46101</v>
      </c>
      <c r="B10" s="12">
        <f>'ESCALA DO FLUXO'!F21</f>
        <v>0.85416666666666663</v>
      </c>
      <c r="C10" s="11"/>
      <c r="D10" s="11">
        <f>'ESCALA DO FLUXO'!D21</f>
        <v>19014</v>
      </c>
      <c r="E10" s="11" t="str" cm="1">
        <f t="array" ref="E10">IF(D10="CANCELADO","N/A",_xlfn.XLOOKUP(D10,Tabela6[[#All],[Veículo]],Tabela6[[#All],[Placa]],"N/E",1,1))</f>
        <v>QTS1814</v>
      </c>
      <c r="F10" s="12" t="str">
        <f>IFERROR(TRIM(_xlfn.TEXTBEFORE('ESCALA DO FLUXO'!J21,"-")),"CANCELADO")</f>
        <v>CANCELADO</v>
      </c>
      <c r="G10" s="127" t="str">
        <f>IFERROR(TRIM(_xlfn.TEXTAFTER('ESCALA DO FLUXO'!J21,"-")),"CANCELADO")</f>
        <v>CANCELADO</v>
      </c>
      <c r="H10" s="121" t="str">
        <f>_xlfn.CONCAT('ESCALA DO FLUXO'!K21, " ",TEXT('ESCALA DO FLUXO'!F21,"HH:MM"))</f>
        <v>FORTALEZA (CE) X SINOP (MT) 20:30</v>
      </c>
    </row>
    <row r="11" spans="1:13" x14ac:dyDescent="0.25">
      <c r="A11" s="120">
        <f t="shared" si="0"/>
        <v>46101</v>
      </c>
      <c r="B11" s="12">
        <f>'ESCALA DO FLUXO'!F22</f>
        <v>0.87847222222222221</v>
      </c>
      <c r="C11" s="11"/>
      <c r="D11" s="11">
        <f>'ESCALA DO FLUXO'!D22</f>
        <v>19010</v>
      </c>
      <c r="E11" s="11" t="str" cm="1">
        <f t="array" ref="E11">IF(D11="CANCELADO","N/A",_xlfn.XLOOKUP(D11,Tabela6[[#All],[Veículo]],Tabela6[[#All],[Placa]],"N/E",1,1))</f>
        <v>QTO8077</v>
      </c>
      <c r="F11" s="12" t="str">
        <f>IFERROR(TRIM(_xlfn.TEXTBEFORE('ESCALA DO FLUXO'!I22,"-")),"CANCELADO")</f>
        <v>MARCIO DE SOUSA MATOS</v>
      </c>
      <c r="G11" s="127" t="str">
        <f>IFERROR(TRIM(_xlfn.TEXTAFTER('ESCALA DO FLUXO'!I22,"-")),"CANCELADO")</f>
        <v>5264</v>
      </c>
      <c r="H11" s="121" t="str">
        <f>_xlfn.CONCAT('ESCALA DO FLUXO'!K22, " ",TEXT('ESCALA DO FLUXO'!F22,"HH:MM"))</f>
        <v>GOIANIA (GO) X BELEM (PA) 21:05</v>
      </c>
    </row>
    <row r="12" spans="1:13" x14ac:dyDescent="0.25">
      <c r="A12" s="120">
        <f t="shared" si="0"/>
        <v>46101</v>
      </c>
      <c r="B12" s="140">
        <f>'ESCALA DO FLUXO'!F22</f>
        <v>0.87847222222222221</v>
      </c>
      <c r="C12" s="141"/>
      <c r="D12" s="141">
        <f>'ESCALA DO FLUXO'!D22</f>
        <v>19010</v>
      </c>
      <c r="E12" s="141" t="str" cm="1">
        <f t="array" ref="E12">IF(D12="CANCELADO","N/A",_xlfn.XLOOKUP(D12,Tabela6[[#All],[Veículo]],Tabela6[[#All],[Placa]],"N/E",1,1))</f>
        <v>QTO8077</v>
      </c>
      <c r="F12" s="140" t="str">
        <f>IFERROR(TRIM(_xlfn.TEXTBEFORE('ESCALA DO FLUXO'!J22,"-")),"CANCELADO")</f>
        <v>ANDSON WAGNER NASCIMENTO SOUZA</v>
      </c>
      <c r="G12" s="140" t="str">
        <f>IFERROR(TRIM(_xlfn.TEXTAFTER('ESCALA DO FLUXO'!J22,"-")),"CANCELADO")</f>
        <v>2902</v>
      </c>
      <c r="H12" s="142" t="str">
        <f>_xlfn.CONCAT('ESCALA DO FLUXO'!K22, " ",TEXT('ESCALA DO FLUXO'!F22,"HH:MM"))</f>
        <v>GOIANIA (GO) X BELEM (PA) 21:05</v>
      </c>
    </row>
    <row r="13" spans="1:13" x14ac:dyDescent="0.25">
      <c r="A13" s="120">
        <f t="shared" si="0"/>
        <v>46101</v>
      </c>
      <c r="B13" s="140">
        <f>'ESCALA DO FLUXO'!F23</f>
        <v>0</v>
      </c>
      <c r="C13" s="141"/>
      <c r="D13" s="141">
        <f>'ESCALA DO FLUXO'!D23</f>
        <v>0</v>
      </c>
      <c r="E13" s="141" t="str" cm="1">
        <f t="array" ref="E13">IF(D13="CANCELADO","N/A",_xlfn.XLOOKUP(D13,Tabela6[[#All],[Veículo]],Tabela6[[#All],[Placa]],"N/E",1,1))</f>
        <v>SPE0F17</v>
      </c>
      <c r="F13" s="140" t="str">
        <f>IFERROR(TRIM(_xlfn.TEXTBEFORE('ESCALA DO FLUXO'!I23,"-")),"CANCELADO")</f>
        <v>CANCELADO</v>
      </c>
      <c r="G13" s="140" t="str">
        <f>IFERROR(TRIM(_xlfn.TEXTAFTER('ESCALA DO FLUXO'!J23,"-")),"CANCELADO")</f>
        <v>CANCELADO</v>
      </c>
      <c r="H13" s="140" t="s">
        <v>1573</v>
      </c>
    </row>
    <row r="14" spans="1:13" x14ac:dyDescent="0.25">
      <c r="A14" s="120">
        <f t="shared" si="0"/>
        <v>46101</v>
      </c>
      <c r="B14" s="140">
        <v>0.85763888888888884</v>
      </c>
      <c r="C14" s="141"/>
      <c r="D14" s="141">
        <v>17000</v>
      </c>
      <c r="E14" s="141" t="s">
        <v>287</v>
      </c>
      <c r="F14" s="140" t="str">
        <f>IFERROR(TRIM(_xlfn.TEXTBEFORE('ESCALA DO FLUXO'!J23,"-")),"CANCELADO")</f>
        <v>CANCELADO</v>
      </c>
      <c r="G14" s="140" t="str">
        <f>IFERROR(TRIM(_xlfn.TEXTAFTER('ESCALA DO FLUXO'!J24,"-")),"CANCELADO")</f>
        <v>CANCELADO</v>
      </c>
      <c r="H14" s="140" t="s">
        <v>1573</v>
      </c>
    </row>
  </sheetData>
  <conditionalFormatting sqref="A2:A13">
    <cfRule type="expression" dxfId="3" priority="571">
      <formula>$D3="CANCELADO"</formula>
    </cfRule>
  </conditionalFormatting>
  <conditionalFormatting sqref="A14">
    <cfRule type="expression" dxfId="2" priority="583">
      <formula>#REF!="CANCELADO"</formula>
    </cfRule>
  </conditionalFormatting>
  <conditionalFormatting sqref="B2:H4 A4:A14 A5:H10">
    <cfRule type="expression" dxfId="1" priority="8">
      <formula>$D2="CANCELADO"</formula>
    </cfRule>
  </conditionalFormatting>
  <conditionalFormatting sqref="G4:G11 F2:G3 F4:F14">
    <cfRule type="duplicateValues" dxfId="0" priority="584"/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1" fitToHeight="0" orientation="landscape" r:id="rId1"/>
  <ignoredErrors>
    <ignoredError sqref="B3:H3 B6:H12 B5:H5 B4:H4 A2:H2 C13 B13 D13:E13 G13 B14:E14 G14 F13:F14" calculatedColumn="1"/>
  </ignoredErrors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DAD7-2216-40A1-8F76-F68E4E5A762D}">
  <sheetPr codeName="Planilha12"/>
  <dimension ref="A2:G10"/>
  <sheetViews>
    <sheetView workbookViewId="0">
      <selection activeCell="E14" sqref="E14"/>
    </sheetView>
  </sheetViews>
  <sheetFormatPr defaultColWidth="8.7109375" defaultRowHeight="15" x14ac:dyDescent="0.25"/>
  <cols>
    <col min="1" max="1" width="8.7109375" style="40"/>
    <col min="2" max="6" width="19.42578125" style="39" customWidth="1"/>
    <col min="7" max="16384" width="8.7109375" style="40"/>
  </cols>
  <sheetData>
    <row r="2" spans="1:7" x14ac:dyDescent="0.25">
      <c r="A2" s="45"/>
      <c r="B2" s="46"/>
      <c r="C2" s="46"/>
      <c r="D2" s="46"/>
      <c r="E2" s="46"/>
      <c r="F2" s="46"/>
      <c r="G2" s="45"/>
    </row>
    <row r="3" spans="1:7" x14ac:dyDescent="0.25">
      <c r="A3" s="45"/>
      <c r="B3" s="46"/>
      <c r="C3" s="46"/>
      <c r="D3" s="46"/>
      <c r="E3" s="46"/>
      <c r="F3" s="46"/>
      <c r="G3" s="45"/>
    </row>
    <row r="4" spans="1:7" x14ac:dyDescent="0.25">
      <c r="A4" s="43"/>
      <c r="B4" s="44"/>
      <c r="C4" s="44"/>
      <c r="D4" s="44"/>
      <c r="E4" s="44"/>
      <c r="F4" s="44"/>
      <c r="G4" s="43"/>
    </row>
    <row r="5" spans="1:7" x14ac:dyDescent="0.25">
      <c r="A5" s="43"/>
      <c r="B5" s="41" t="s">
        <v>172</v>
      </c>
      <c r="C5" s="41" t="s">
        <v>173</v>
      </c>
      <c r="D5" s="44"/>
      <c r="E5" s="41" t="s">
        <v>174</v>
      </c>
      <c r="F5" s="41" t="s">
        <v>175</v>
      </c>
      <c r="G5" s="43"/>
    </row>
    <row r="6" spans="1:7" x14ac:dyDescent="0.25">
      <c r="A6" s="43"/>
      <c r="B6" s="38"/>
      <c r="C6" s="42" t="str">
        <f>_xlfn.XLOOKUP(B6,Tabela6[Placa],Tabela6[Veículo],"N/E",1,1)</f>
        <v>N/E</v>
      </c>
      <c r="D6" s="44"/>
      <c r="E6" s="38"/>
      <c r="F6" s="42" t="str">
        <f>_xlfn.XLOOKUP(E6,Tabela6[Veículo],Tabela6[Placa],"N/E",1,1)</f>
        <v>N/E</v>
      </c>
      <c r="G6" s="43"/>
    </row>
    <row r="7" spans="1:7" x14ac:dyDescent="0.25">
      <c r="A7" s="43"/>
      <c r="B7" s="44"/>
      <c r="C7" s="44"/>
      <c r="D7" s="44"/>
      <c r="E7" s="44"/>
      <c r="F7" s="44"/>
      <c r="G7" s="43"/>
    </row>
    <row r="8" spans="1:7" x14ac:dyDescent="0.25">
      <c r="A8" s="45"/>
      <c r="B8" s="46"/>
      <c r="C8" s="46"/>
      <c r="D8" s="46"/>
      <c r="E8" s="46"/>
      <c r="F8" s="46"/>
      <c r="G8" s="45"/>
    </row>
    <row r="9" spans="1:7" x14ac:dyDescent="0.25">
      <c r="A9" s="45"/>
      <c r="B9" s="46"/>
      <c r="C9" s="46"/>
      <c r="D9" s="46"/>
      <c r="E9" s="46"/>
      <c r="F9" s="46"/>
      <c r="G9" s="45"/>
    </row>
    <row r="10" spans="1:7" x14ac:dyDescent="0.25">
      <c r="A10" s="45"/>
      <c r="B10" s="46"/>
      <c r="C10" s="46"/>
      <c r="D10" s="46"/>
      <c r="E10" s="46"/>
      <c r="F10" s="46"/>
      <c r="G10" s="45"/>
    </row>
  </sheetData>
  <sheetProtection algorithmName="SHA-512" hashValue="MdWqAoHlZP6yYt+SLUetl6hGVSfUvOcoHpKpvlBoqB2InEp4gtz0QaRgrXns+aP0PLSlk5jXKapc8beqBEbQ2w==" saltValue="qVtPJjqATtneHCHKmilWog==" spinCount="100000" sheet="1" objects="1" scenarios="1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E967-CB00-435B-9147-79F1865F98B8}">
  <sheetPr codeName="Planilha13"/>
  <dimension ref="A1:I624"/>
  <sheetViews>
    <sheetView topLeftCell="B155" workbookViewId="0">
      <selection activeCell="F169" sqref="F169"/>
    </sheetView>
  </sheetViews>
  <sheetFormatPr defaultRowHeight="15" x14ac:dyDescent="0.25"/>
  <cols>
    <col min="1" max="1" width="47.85546875" bestFit="1" customWidth="1"/>
    <col min="2" max="2" width="15.5703125" bestFit="1" customWidth="1"/>
    <col min="3" max="3" width="53.5703125" bestFit="1" customWidth="1"/>
    <col min="5" max="5" width="11" bestFit="1" customWidth="1"/>
    <col min="6" max="6" width="10" bestFit="1" customWidth="1"/>
  </cols>
  <sheetData>
    <row r="1" spans="1:9" x14ac:dyDescent="0.25">
      <c r="A1" t="s">
        <v>177</v>
      </c>
      <c r="B1" t="s">
        <v>178</v>
      </c>
      <c r="C1" t="s">
        <v>179</v>
      </c>
      <c r="E1" s="23" t="s">
        <v>180</v>
      </c>
      <c r="F1" s="24" t="s">
        <v>181</v>
      </c>
    </row>
    <row r="2" spans="1:9" x14ac:dyDescent="0.25">
      <c r="A2" s="18" t="s">
        <v>182</v>
      </c>
      <c r="B2" s="18">
        <v>85</v>
      </c>
      <c r="C2" s="19" t="s">
        <v>183</v>
      </c>
      <c r="E2" s="16" t="s">
        <v>184</v>
      </c>
      <c r="F2" s="16" t="s">
        <v>185</v>
      </c>
      <c r="I2" t="s">
        <v>186</v>
      </c>
    </row>
    <row r="3" spans="1:9" x14ac:dyDescent="0.25">
      <c r="A3" s="18" t="s">
        <v>187</v>
      </c>
      <c r="B3" s="18">
        <v>105</v>
      </c>
      <c r="C3" s="16" t="s">
        <v>188</v>
      </c>
      <c r="E3" s="16">
        <v>11800</v>
      </c>
      <c r="F3" s="16" t="s">
        <v>189</v>
      </c>
      <c r="I3" s="26">
        <v>0.57291666666666663</v>
      </c>
    </row>
    <row r="4" spans="1:9" x14ac:dyDescent="0.25">
      <c r="A4" s="18" t="s">
        <v>190</v>
      </c>
      <c r="B4" s="18">
        <v>549</v>
      </c>
      <c r="C4" s="16" t="s">
        <v>87</v>
      </c>
      <c r="E4" s="16">
        <v>11900</v>
      </c>
      <c r="F4" s="16" t="s">
        <v>191</v>
      </c>
      <c r="I4" s="26"/>
    </row>
    <row r="5" spans="1:9" x14ac:dyDescent="0.25">
      <c r="A5" s="18" t="s">
        <v>192</v>
      </c>
      <c r="B5" s="18">
        <v>556</v>
      </c>
      <c r="C5" s="16" t="s">
        <v>193</v>
      </c>
      <c r="E5" s="16">
        <v>12000</v>
      </c>
      <c r="F5" s="16" t="s">
        <v>194</v>
      </c>
      <c r="I5" s="25" t="str">
        <f ca="1">TEXT(NOW(),"DD/MM/AA")</f>
        <v>20/03/26</v>
      </c>
    </row>
    <row r="6" spans="1:9" x14ac:dyDescent="0.25">
      <c r="A6" s="18" t="s">
        <v>195</v>
      </c>
      <c r="B6" s="18">
        <v>561</v>
      </c>
      <c r="C6" s="16" t="s">
        <v>196</v>
      </c>
      <c r="E6" s="16">
        <v>12200</v>
      </c>
      <c r="F6" s="16" t="s">
        <v>197</v>
      </c>
      <c r="I6" s="25"/>
    </row>
    <row r="7" spans="1:9" x14ac:dyDescent="0.25">
      <c r="A7" s="18" t="s">
        <v>198</v>
      </c>
      <c r="B7" s="18">
        <v>568</v>
      </c>
      <c r="C7" s="16" t="s">
        <v>199</v>
      </c>
      <c r="E7" s="16">
        <v>12400</v>
      </c>
      <c r="F7" s="16" t="s">
        <v>200</v>
      </c>
      <c r="I7" s="2" t="str">
        <f ca="1">IF(TEXT(I5,"DD")/2=0,"GABRIEL","GUSTAVO")</f>
        <v>GUSTAVO</v>
      </c>
    </row>
    <row r="8" spans="1:9" x14ac:dyDescent="0.25">
      <c r="A8" s="18" t="s">
        <v>201</v>
      </c>
      <c r="B8" s="18">
        <v>569</v>
      </c>
      <c r="C8" s="16" t="s">
        <v>202</v>
      </c>
      <c r="E8" s="16" t="s">
        <v>203</v>
      </c>
      <c r="F8" s="16" t="s">
        <v>204</v>
      </c>
      <c r="I8" s="2"/>
    </row>
    <row r="9" spans="1:9" x14ac:dyDescent="0.25">
      <c r="A9" s="18" t="s">
        <v>205</v>
      </c>
      <c r="B9" s="18">
        <v>574</v>
      </c>
      <c r="C9" s="16" t="s">
        <v>206</v>
      </c>
      <c r="E9" s="16">
        <v>13000</v>
      </c>
      <c r="F9" s="16" t="s">
        <v>207</v>
      </c>
      <c r="I9" s="2"/>
    </row>
    <row r="10" spans="1:9" x14ac:dyDescent="0.25">
      <c r="A10" s="18" t="s">
        <v>208</v>
      </c>
      <c r="B10" s="18">
        <v>728</v>
      </c>
      <c r="C10" s="16" t="s">
        <v>209</v>
      </c>
      <c r="E10" s="16">
        <v>13700</v>
      </c>
      <c r="F10" s="16" t="s">
        <v>210</v>
      </c>
      <c r="I10" s="2"/>
    </row>
    <row r="11" spans="1:9" x14ac:dyDescent="0.25">
      <c r="A11" s="18" t="s">
        <v>211</v>
      </c>
      <c r="B11" s="18">
        <v>735</v>
      </c>
      <c r="C11" s="16" t="s">
        <v>212</v>
      </c>
      <c r="E11" s="16">
        <v>14000</v>
      </c>
      <c r="F11" s="16" t="s">
        <v>213</v>
      </c>
      <c r="I11" s="2" t="str">
        <f>IF(I3&lt;"12:00","MANHÃ","TARDE")</f>
        <v>MANHÃ</v>
      </c>
    </row>
    <row r="12" spans="1:9" x14ac:dyDescent="0.25">
      <c r="A12" s="18" t="s">
        <v>214</v>
      </c>
      <c r="B12" s="18">
        <v>748</v>
      </c>
      <c r="C12" s="16" t="s">
        <v>215</v>
      </c>
      <c r="E12" s="16">
        <v>14010</v>
      </c>
      <c r="F12" s="16" t="s">
        <v>216</v>
      </c>
      <c r="I12" s="26"/>
    </row>
    <row r="13" spans="1:9" x14ac:dyDescent="0.25">
      <c r="A13" s="18" t="s">
        <v>217</v>
      </c>
      <c r="B13" s="18">
        <v>866</v>
      </c>
      <c r="C13" s="16" t="s">
        <v>218</v>
      </c>
      <c r="E13" s="16">
        <v>14200</v>
      </c>
      <c r="F13" s="16" t="s">
        <v>219</v>
      </c>
      <c r="I13" s="30" t="str">
        <f>IF(PAINEL!H15="","",(IF(_xlfn.XLOOKUP(PAINEL!H15,PAINEL!#REF!,PAINEL!#REF!,"CARRO NÃO ENCONTRADO")="DISPONÍVEL","ESSE CARRO ESTÁ DISPONÍVEL","(ESCREVER OBSERVAÇÃO)")))</f>
        <v/>
      </c>
    </row>
    <row r="14" spans="1:9" x14ac:dyDescent="0.25">
      <c r="A14" s="18" t="s">
        <v>220</v>
      </c>
      <c r="B14" s="18">
        <v>901</v>
      </c>
      <c r="C14" s="16" t="s">
        <v>221</v>
      </c>
      <c r="E14" s="16">
        <v>14300</v>
      </c>
      <c r="F14" s="16" t="s">
        <v>222</v>
      </c>
    </row>
    <row r="15" spans="1:9" x14ac:dyDescent="0.25">
      <c r="A15" s="18" t="s">
        <v>223</v>
      </c>
      <c r="B15" s="18">
        <v>905</v>
      </c>
      <c r="C15" s="16" t="s">
        <v>224</v>
      </c>
      <c r="E15" s="16">
        <v>14400</v>
      </c>
      <c r="F15" s="16" t="s">
        <v>225</v>
      </c>
    </row>
    <row r="16" spans="1:9" x14ac:dyDescent="0.25">
      <c r="A16" s="18" t="s">
        <v>226</v>
      </c>
      <c r="B16" s="18">
        <v>906</v>
      </c>
      <c r="C16" s="16" t="s">
        <v>227</v>
      </c>
      <c r="E16" s="16">
        <v>14500</v>
      </c>
      <c r="F16" s="16" t="s">
        <v>228</v>
      </c>
    </row>
    <row r="17" spans="1:6" x14ac:dyDescent="0.25">
      <c r="A17" s="18" t="s">
        <v>229</v>
      </c>
      <c r="B17" s="18">
        <v>907</v>
      </c>
      <c r="C17" s="16" t="s">
        <v>94</v>
      </c>
      <c r="E17" s="16">
        <v>14700</v>
      </c>
      <c r="F17" s="16" t="s">
        <v>230</v>
      </c>
    </row>
    <row r="18" spans="1:6" x14ac:dyDescent="0.25">
      <c r="A18" s="18" t="s">
        <v>231</v>
      </c>
      <c r="B18" s="18">
        <v>920</v>
      </c>
      <c r="C18" s="16" t="s">
        <v>232</v>
      </c>
      <c r="E18" s="16">
        <v>14800</v>
      </c>
      <c r="F18" s="16" t="s">
        <v>233</v>
      </c>
    </row>
    <row r="19" spans="1:6" x14ac:dyDescent="0.25">
      <c r="A19" s="18" t="s">
        <v>234</v>
      </c>
      <c r="B19" s="18">
        <v>939</v>
      </c>
      <c r="C19" s="16" t="s">
        <v>235</v>
      </c>
      <c r="E19" s="16">
        <v>15200</v>
      </c>
      <c r="F19" s="16" t="s">
        <v>236</v>
      </c>
    </row>
    <row r="20" spans="1:6" x14ac:dyDescent="0.25">
      <c r="A20" s="18" t="s">
        <v>237</v>
      </c>
      <c r="B20" s="18">
        <v>948</v>
      </c>
      <c r="C20" s="16" t="s">
        <v>238</v>
      </c>
      <c r="E20" s="16">
        <v>15300</v>
      </c>
      <c r="F20" s="16" t="s">
        <v>239</v>
      </c>
    </row>
    <row r="21" spans="1:6" x14ac:dyDescent="0.25">
      <c r="A21" s="18" t="s">
        <v>240</v>
      </c>
      <c r="B21" s="18">
        <v>958</v>
      </c>
      <c r="C21" s="16" t="s">
        <v>241</v>
      </c>
      <c r="E21" s="16">
        <v>15400</v>
      </c>
      <c r="F21" s="16" t="s">
        <v>242</v>
      </c>
    </row>
    <row r="22" spans="1:6" x14ac:dyDescent="0.25">
      <c r="A22" s="18" t="s">
        <v>243</v>
      </c>
      <c r="B22" s="18">
        <v>979</v>
      </c>
      <c r="C22" s="16" t="s">
        <v>244</v>
      </c>
      <c r="E22" s="16">
        <v>15500</v>
      </c>
      <c r="F22" s="16" t="s">
        <v>245</v>
      </c>
    </row>
    <row r="23" spans="1:6" x14ac:dyDescent="0.25">
      <c r="A23" s="18" t="s">
        <v>246</v>
      </c>
      <c r="B23" s="18">
        <v>990</v>
      </c>
      <c r="C23" s="16" t="s">
        <v>247</v>
      </c>
      <c r="E23" s="16">
        <v>15600</v>
      </c>
      <c r="F23" s="16" t="s">
        <v>248</v>
      </c>
    </row>
    <row r="24" spans="1:6" x14ac:dyDescent="0.25">
      <c r="A24" s="18" t="s">
        <v>249</v>
      </c>
      <c r="B24" s="18">
        <v>1006</v>
      </c>
      <c r="C24" s="16" t="s">
        <v>250</v>
      </c>
      <c r="E24" s="16">
        <v>15700</v>
      </c>
      <c r="F24" s="16" t="s">
        <v>251</v>
      </c>
    </row>
    <row r="25" spans="1:6" x14ac:dyDescent="0.25">
      <c r="A25" s="18" t="s">
        <v>252</v>
      </c>
      <c r="B25" s="18">
        <v>1065</v>
      </c>
      <c r="C25" s="16" t="s">
        <v>253</v>
      </c>
      <c r="E25" s="16">
        <v>15800</v>
      </c>
      <c r="F25" s="16" t="s">
        <v>254</v>
      </c>
    </row>
    <row r="26" spans="1:6" x14ac:dyDescent="0.25">
      <c r="A26" s="18" t="s">
        <v>255</v>
      </c>
      <c r="B26" s="18">
        <v>1071</v>
      </c>
      <c r="C26" s="16" t="s">
        <v>256</v>
      </c>
      <c r="E26" s="16">
        <v>15900</v>
      </c>
      <c r="F26" s="16" t="s">
        <v>257</v>
      </c>
    </row>
    <row r="27" spans="1:6" x14ac:dyDescent="0.25">
      <c r="A27" s="18" t="s">
        <v>258</v>
      </c>
      <c r="B27" s="18">
        <v>1073</v>
      </c>
      <c r="C27" s="16" t="s">
        <v>259</v>
      </c>
      <c r="E27" s="16">
        <v>16000</v>
      </c>
      <c r="F27" s="16" t="s">
        <v>260</v>
      </c>
    </row>
    <row r="28" spans="1:6" x14ac:dyDescent="0.25">
      <c r="A28" s="18" t="s">
        <v>261</v>
      </c>
      <c r="B28" s="18">
        <v>1075</v>
      </c>
      <c r="C28" s="16" t="s">
        <v>262</v>
      </c>
      <c r="E28" s="16">
        <v>16100</v>
      </c>
      <c r="F28" s="16" t="s">
        <v>263</v>
      </c>
    </row>
    <row r="29" spans="1:6" x14ac:dyDescent="0.25">
      <c r="A29" s="18" t="s">
        <v>264</v>
      </c>
      <c r="B29" s="18">
        <v>1082</v>
      </c>
      <c r="C29" s="16" t="s">
        <v>265</v>
      </c>
      <c r="E29" s="16">
        <v>16300</v>
      </c>
      <c r="F29" s="16" t="s">
        <v>266</v>
      </c>
    </row>
    <row r="30" spans="1:6" x14ac:dyDescent="0.25">
      <c r="A30" s="18" t="s">
        <v>267</v>
      </c>
      <c r="B30" s="18">
        <v>1087</v>
      </c>
      <c r="C30" s="16" t="s">
        <v>268</v>
      </c>
      <c r="E30" s="16">
        <v>16400</v>
      </c>
      <c r="F30" s="16" t="s">
        <v>269</v>
      </c>
    </row>
    <row r="31" spans="1:6" x14ac:dyDescent="0.25">
      <c r="A31" s="18" t="s">
        <v>270</v>
      </c>
      <c r="B31" s="18">
        <v>1103</v>
      </c>
      <c r="C31" s="16" t="s">
        <v>271</v>
      </c>
      <c r="E31" s="16">
        <v>16500</v>
      </c>
      <c r="F31" s="16" t="s">
        <v>272</v>
      </c>
    </row>
    <row r="32" spans="1:6" x14ac:dyDescent="0.25">
      <c r="A32" s="18" t="s">
        <v>273</v>
      </c>
      <c r="B32" s="18">
        <v>1108</v>
      </c>
      <c r="C32" s="16" t="s">
        <v>274</v>
      </c>
      <c r="E32" s="16">
        <v>16600</v>
      </c>
      <c r="F32" s="16" t="s">
        <v>275</v>
      </c>
    </row>
    <row r="33" spans="1:6" x14ac:dyDescent="0.25">
      <c r="A33" s="18" t="s">
        <v>276</v>
      </c>
      <c r="B33" s="18">
        <v>1118</v>
      </c>
      <c r="C33" s="16" t="s">
        <v>277</v>
      </c>
      <c r="E33" s="16">
        <v>16700</v>
      </c>
      <c r="F33" s="16" t="s">
        <v>278</v>
      </c>
    </row>
    <row r="34" spans="1:6" x14ac:dyDescent="0.25">
      <c r="A34" s="18" t="s">
        <v>279</v>
      </c>
      <c r="B34" s="18">
        <v>1146</v>
      </c>
      <c r="C34" s="16" t="s">
        <v>280</v>
      </c>
      <c r="E34" s="16">
        <v>16800</v>
      </c>
      <c r="F34" s="16" t="s">
        <v>281</v>
      </c>
    </row>
    <row r="35" spans="1:6" x14ac:dyDescent="0.25">
      <c r="A35" s="18" t="s">
        <v>282</v>
      </c>
      <c r="B35" s="18">
        <v>1156</v>
      </c>
      <c r="C35" s="16" t="s">
        <v>283</v>
      </c>
      <c r="E35" s="16">
        <v>16900</v>
      </c>
      <c r="F35" s="16" t="s">
        <v>284</v>
      </c>
    </row>
    <row r="36" spans="1:6" x14ac:dyDescent="0.25">
      <c r="A36" s="18" t="s">
        <v>285</v>
      </c>
      <c r="B36" s="18">
        <v>1157</v>
      </c>
      <c r="C36" s="16" t="s">
        <v>286</v>
      </c>
      <c r="E36" s="16">
        <v>17000</v>
      </c>
      <c r="F36" s="16" t="s">
        <v>287</v>
      </c>
    </row>
    <row r="37" spans="1:6" x14ac:dyDescent="0.25">
      <c r="A37" s="18" t="s">
        <v>288</v>
      </c>
      <c r="B37" s="18">
        <v>1197</v>
      </c>
      <c r="C37" s="16" t="s">
        <v>98</v>
      </c>
      <c r="E37" s="16">
        <v>17100</v>
      </c>
      <c r="F37" s="16" t="s">
        <v>289</v>
      </c>
    </row>
    <row r="38" spans="1:6" x14ac:dyDescent="0.25">
      <c r="A38" s="18" t="s">
        <v>290</v>
      </c>
      <c r="B38" s="18">
        <v>1202</v>
      </c>
      <c r="C38" s="16" t="s">
        <v>291</v>
      </c>
      <c r="E38" s="16">
        <v>17200</v>
      </c>
      <c r="F38" s="16" t="s">
        <v>292</v>
      </c>
    </row>
    <row r="39" spans="1:6" x14ac:dyDescent="0.25">
      <c r="A39" s="18" t="s">
        <v>293</v>
      </c>
      <c r="B39" s="18">
        <v>1247</v>
      </c>
      <c r="C39" s="16" t="s">
        <v>294</v>
      </c>
      <c r="E39" s="16">
        <v>17300</v>
      </c>
      <c r="F39" s="16" t="s">
        <v>295</v>
      </c>
    </row>
    <row r="40" spans="1:6" x14ac:dyDescent="0.25">
      <c r="A40" s="18" t="s">
        <v>296</v>
      </c>
      <c r="B40" s="18">
        <v>1271</v>
      </c>
      <c r="C40" s="16" t="s">
        <v>297</v>
      </c>
      <c r="E40" s="16">
        <v>17400</v>
      </c>
      <c r="F40" s="16" t="s">
        <v>298</v>
      </c>
    </row>
    <row r="41" spans="1:6" x14ac:dyDescent="0.25">
      <c r="A41" s="18" t="s">
        <v>299</v>
      </c>
      <c r="B41" s="18">
        <v>1278</v>
      </c>
      <c r="C41" s="16" t="s">
        <v>300</v>
      </c>
      <c r="E41" s="16">
        <v>17500</v>
      </c>
      <c r="F41" s="16" t="s">
        <v>301</v>
      </c>
    </row>
    <row r="42" spans="1:6" x14ac:dyDescent="0.25">
      <c r="A42" s="18" t="s">
        <v>302</v>
      </c>
      <c r="B42" s="18">
        <v>1338</v>
      </c>
      <c r="C42" s="16" t="s">
        <v>303</v>
      </c>
      <c r="E42" s="16">
        <v>17600</v>
      </c>
      <c r="F42" s="16" t="s">
        <v>304</v>
      </c>
    </row>
    <row r="43" spans="1:6" x14ac:dyDescent="0.25">
      <c r="A43" s="18" t="s">
        <v>305</v>
      </c>
      <c r="B43" s="18">
        <v>1343</v>
      </c>
      <c r="C43" s="16" t="s">
        <v>306</v>
      </c>
      <c r="E43" s="16">
        <v>17700</v>
      </c>
      <c r="F43" s="16" t="s">
        <v>307</v>
      </c>
    </row>
    <row r="44" spans="1:6" x14ac:dyDescent="0.25">
      <c r="A44" s="18" t="s">
        <v>308</v>
      </c>
      <c r="B44" s="18">
        <v>1352</v>
      </c>
      <c r="C44" s="16" t="s">
        <v>104</v>
      </c>
      <c r="E44" s="16">
        <v>18001</v>
      </c>
      <c r="F44" s="16" t="s">
        <v>309</v>
      </c>
    </row>
    <row r="45" spans="1:6" x14ac:dyDescent="0.25">
      <c r="A45" s="18" t="s">
        <v>310</v>
      </c>
      <c r="B45" s="18">
        <v>1357</v>
      </c>
      <c r="C45" s="16" t="s">
        <v>311</v>
      </c>
      <c r="E45" s="16">
        <v>18002</v>
      </c>
      <c r="F45" s="16" t="s">
        <v>312</v>
      </c>
    </row>
    <row r="46" spans="1:6" x14ac:dyDescent="0.25">
      <c r="A46" s="18" t="s">
        <v>313</v>
      </c>
      <c r="B46" s="18">
        <v>1360</v>
      </c>
      <c r="C46" s="16" t="s">
        <v>314</v>
      </c>
      <c r="E46" s="16">
        <v>18003</v>
      </c>
      <c r="F46" s="16" t="s">
        <v>315</v>
      </c>
    </row>
    <row r="47" spans="1:6" x14ac:dyDescent="0.25">
      <c r="A47" s="18" t="s">
        <v>316</v>
      </c>
      <c r="B47" s="18">
        <v>1364</v>
      </c>
      <c r="C47" s="16" t="s">
        <v>317</v>
      </c>
      <c r="E47" s="16">
        <v>18004</v>
      </c>
      <c r="F47" s="16" t="s">
        <v>318</v>
      </c>
    </row>
    <row r="48" spans="1:6" x14ac:dyDescent="0.25">
      <c r="A48" s="18" t="s">
        <v>319</v>
      </c>
      <c r="B48" s="18">
        <v>1407</v>
      </c>
      <c r="C48" s="16" t="s">
        <v>320</v>
      </c>
      <c r="E48" s="16">
        <v>18005</v>
      </c>
      <c r="F48" s="16" t="s">
        <v>321</v>
      </c>
    </row>
    <row r="49" spans="1:6" x14ac:dyDescent="0.25">
      <c r="A49" s="18" t="s">
        <v>322</v>
      </c>
      <c r="B49" s="18">
        <v>1410</v>
      </c>
      <c r="C49" s="16" t="s">
        <v>115</v>
      </c>
      <c r="E49" s="16">
        <v>18006</v>
      </c>
      <c r="F49" s="16" t="s">
        <v>323</v>
      </c>
    </row>
    <row r="50" spans="1:6" x14ac:dyDescent="0.25">
      <c r="A50" s="18" t="s">
        <v>324</v>
      </c>
      <c r="B50" s="18">
        <v>1413</v>
      </c>
      <c r="C50" s="16" t="s">
        <v>325</v>
      </c>
      <c r="E50" s="16">
        <v>18007</v>
      </c>
      <c r="F50" s="16" t="s">
        <v>326</v>
      </c>
    </row>
    <row r="51" spans="1:6" x14ac:dyDescent="0.25">
      <c r="A51" s="18" t="s">
        <v>327</v>
      </c>
      <c r="B51" s="18">
        <v>1472</v>
      </c>
      <c r="C51" s="16" t="s">
        <v>108</v>
      </c>
      <c r="E51" s="16">
        <v>18008</v>
      </c>
      <c r="F51" s="16" t="s">
        <v>328</v>
      </c>
    </row>
    <row r="52" spans="1:6" x14ac:dyDescent="0.25">
      <c r="A52" s="18" t="s">
        <v>329</v>
      </c>
      <c r="B52" s="18">
        <v>1480</v>
      </c>
      <c r="C52" s="16" t="s">
        <v>330</v>
      </c>
      <c r="E52" s="16">
        <v>18009</v>
      </c>
      <c r="F52" s="16" t="s">
        <v>331</v>
      </c>
    </row>
    <row r="53" spans="1:6" x14ac:dyDescent="0.25">
      <c r="A53" s="18" t="s">
        <v>332</v>
      </c>
      <c r="B53" s="18">
        <v>1481</v>
      </c>
      <c r="C53" s="16" t="s">
        <v>333</v>
      </c>
      <c r="E53" s="16">
        <v>18010</v>
      </c>
      <c r="F53" s="16" t="s">
        <v>334</v>
      </c>
    </row>
    <row r="54" spans="1:6" x14ac:dyDescent="0.25">
      <c r="A54" s="18" t="s">
        <v>335</v>
      </c>
      <c r="B54" s="18">
        <v>1505</v>
      </c>
      <c r="C54" s="16" t="s">
        <v>336</v>
      </c>
      <c r="E54" s="16">
        <v>18011</v>
      </c>
      <c r="F54" s="16" t="s">
        <v>337</v>
      </c>
    </row>
    <row r="55" spans="1:6" x14ac:dyDescent="0.25">
      <c r="A55" s="18" t="s">
        <v>338</v>
      </c>
      <c r="B55" s="18">
        <v>1508</v>
      </c>
      <c r="C55" s="16" t="s">
        <v>339</v>
      </c>
      <c r="E55" s="16">
        <v>18012</v>
      </c>
      <c r="F55" s="16" t="s">
        <v>340</v>
      </c>
    </row>
    <row r="56" spans="1:6" x14ac:dyDescent="0.25">
      <c r="A56" s="18" t="s">
        <v>341</v>
      </c>
      <c r="B56" s="18">
        <v>1534</v>
      </c>
      <c r="C56" s="16" t="s">
        <v>342</v>
      </c>
      <c r="E56" s="16">
        <v>18013</v>
      </c>
      <c r="F56" s="16" t="s">
        <v>343</v>
      </c>
    </row>
    <row r="57" spans="1:6" x14ac:dyDescent="0.25">
      <c r="A57" s="18" t="s">
        <v>344</v>
      </c>
      <c r="B57" s="18">
        <v>1537</v>
      </c>
      <c r="C57" s="16" t="s">
        <v>345</v>
      </c>
      <c r="E57" s="16">
        <v>18014</v>
      </c>
      <c r="F57" s="16" t="s">
        <v>346</v>
      </c>
    </row>
    <row r="58" spans="1:6" x14ac:dyDescent="0.25">
      <c r="A58" s="18" t="s">
        <v>347</v>
      </c>
      <c r="B58" s="18">
        <v>1544</v>
      </c>
      <c r="C58" s="16" t="s">
        <v>348</v>
      </c>
      <c r="E58" s="16">
        <v>18015</v>
      </c>
      <c r="F58" s="16" t="s">
        <v>349</v>
      </c>
    </row>
    <row r="59" spans="1:6" x14ac:dyDescent="0.25">
      <c r="A59" s="18" t="s">
        <v>350</v>
      </c>
      <c r="B59" s="18">
        <v>1553</v>
      </c>
      <c r="C59" s="16" t="s">
        <v>351</v>
      </c>
      <c r="E59" s="16">
        <v>18016</v>
      </c>
      <c r="F59" s="16" t="s">
        <v>352</v>
      </c>
    </row>
    <row r="60" spans="1:6" x14ac:dyDescent="0.25">
      <c r="A60" s="18" t="s">
        <v>353</v>
      </c>
      <c r="B60" s="18">
        <v>1596</v>
      </c>
      <c r="C60" s="16" t="s">
        <v>91</v>
      </c>
      <c r="E60" s="16">
        <v>18017</v>
      </c>
      <c r="F60" s="16" t="s">
        <v>354</v>
      </c>
    </row>
    <row r="61" spans="1:6" x14ac:dyDescent="0.25">
      <c r="A61" s="18" t="s">
        <v>355</v>
      </c>
      <c r="B61" s="18">
        <v>1597</v>
      </c>
      <c r="C61" s="16" t="s">
        <v>356</v>
      </c>
      <c r="E61" s="16">
        <v>18018</v>
      </c>
      <c r="F61" s="16" t="s">
        <v>357</v>
      </c>
    </row>
    <row r="62" spans="1:6" x14ac:dyDescent="0.25">
      <c r="A62" s="18" t="s">
        <v>358</v>
      </c>
      <c r="B62" s="18">
        <v>1603</v>
      </c>
      <c r="C62" s="16" t="s">
        <v>359</v>
      </c>
      <c r="E62" s="16">
        <v>18019</v>
      </c>
      <c r="F62" s="16" t="s">
        <v>360</v>
      </c>
    </row>
    <row r="63" spans="1:6" x14ac:dyDescent="0.25">
      <c r="A63" s="18" t="s">
        <v>361</v>
      </c>
      <c r="B63" s="18">
        <v>1629</v>
      </c>
      <c r="C63" s="16" t="s">
        <v>362</v>
      </c>
      <c r="E63" s="16">
        <v>18020</v>
      </c>
      <c r="F63" s="16" t="s">
        <v>363</v>
      </c>
    </row>
    <row r="64" spans="1:6" x14ac:dyDescent="0.25">
      <c r="A64" s="18" t="s">
        <v>364</v>
      </c>
      <c r="B64" s="18">
        <v>1637</v>
      </c>
      <c r="C64" s="16" t="s">
        <v>365</v>
      </c>
      <c r="E64" s="16">
        <v>19001</v>
      </c>
      <c r="F64" s="16" t="s">
        <v>366</v>
      </c>
    </row>
    <row r="65" spans="1:6" x14ac:dyDescent="0.25">
      <c r="A65" s="18" t="s">
        <v>367</v>
      </c>
      <c r="B65" s="18">
        <v>1642</v>
      </c>
      <c r="C65" s="16" t="s">
        <v>368</v>
      </c>
      <c r="E65" s="16">
        <v>19002</v>
      </c>
      <c r="F65" s="16" t="s">
        <v>369</v>
      </c>
    </row>
    <row r="66" spans="1:6" x14ac:dyDescent="0.25">
      <c r="A66" s="18" t="s">
        <v>370</v>
      </c>
      <c r="B66" s="18">
        <v>1667</v>
      </c>
      <c r="C66" s="16" t="s">
        <v>371</v>
      </c>
      <c r="E66" s="16">
        <v>19003</v>
      </c>
      <c r="F66" s="16" t="s">
        <v>372</v>
      </c>
    </row>
    <row r="67" spans="1:6" x14ac:dyDescent="0.25">
      <c r="A67" s="18" t="s">
        <v>373</v>
      </c>
      <c r="B67" s="18">
        <v>1679</v>
      </c>
      <c r="C67" s="16" t="s">
        <v>374</v>
      </c>
      <c r="E67" s="16">
        <v>19004</v>
      </c>
      <c r="F67" s="16" t="s">
        <v>375</v>
      </c>
    </row>
    <row r="68" spans="1:6" x14ac:dyDescent="0.25">
      <c r="A68" s="18" t="s">
        <v>376</v>
      </c>
      <c r="B68" s="18">
        <v>1686</v>
      </c>
      <c r="C68" s="16" t="s">
        <v>377</v>
      </c>
      <c r="E68" s="16">
        <v>19005</v>
      </c>
      <c r="F68" s="16" t="s">
        <v>378</v>
      </c>
    </row>
    <row r="69" spans="1:6" x14ac:dyDescent="0.25">
      <c r="A69" s="18" t="s">
        <v>379</v>
      </c>
      <c r="B69" s="18">
        <v>1695</v>
      </c>
      <c r="C69" s="16" t="s">
        <v>380</v>
      </c>
      <c r="E69" s="16">
        <v>19006</v>
      </c>
      <c r="F69" s="16" t="s">
        <v>381</v>
      </c>
    </row>
    <row r="70" spans="1:6" x14ac:dyDescent="0.25">
      <c r="A70" s="18" t="s">
        <v>382</v>
      </c>
      <c r="B70" s="18">
        <v>1697</v>
      </c>
      <c r="C70" s="16" t="s">
        <v>383</v>
      </c>
      <c r="E70" s="16">
        <v>19007</v>
      </c>
      <c r="F70" s="16" t="s">
        <v>384</v>
      </c>
    </row>
    <row r="71" spans="1:6" x14ac:dyDescent="0.25">
      <c r="A71" s="18" t="s">
        <v>385</v>
      </c>
      <c r="B71" s="18">
        <v>1703</v>
      </c>
      <c r="C71" s="16" t="s">
        <v>386</v>
      </c>
      <c r="E71" s="16">
        <v>19008</v>
      </c>
      <c r="F71" s="16" t="s">
        <v>387</v>
      </c>
    </row>
    <row r="72" spans="1:6" x14ac:dyDescent="0.25">
      <c r="A72" s="18" t="s">
        <v>388</v>
      </c>
      <c r="B72" s="18">
        <v>1719</v>
      </c>
      <c r="C72" s="16" t="s">
        <v>389</v>
      </c>
      <c r="E72" s="16">
        <v>19009</v>
      </c>
      <c r="F72" s="16" t="s">
        <v>390</v>
      </c>
    </row>
    <row r="73" spans="1:6" x14ac:dyDescent="0.25">
      <c r="A73" s="18" t="s">
        <v>391</v>
      </c>
      <c r="B73" s="18">
        <v>1720</v>
      </c>
      <c r="C73" s="16" t="s">
        <v>392</v>
      </c>
      <c r="E73" s="16">
        <v>19010</v>
      </c>
      <c r="F73" s="16" t="s">
        <v>393</v>
      </c>
    </row>
    <row r="74" spans="1:6" x14ac:dyDescent="0.25">
      <c r="A74" s="18" t="s">
        <v>394</v>
      </c>
      <c r="B74" s="18">
        <v>1721</v>
      </c>
      <c r="C74" s="16" t="s">
        <v>395</v>
      </c>
      <c r="E74" s="16">
        <v>19011</v>
      </c>
      <c r="F74" s="16" t="s">
        <v>396</v>
      </c>
    </row>
    <row r="75" spans="1:6" x14ac:dyDescent="0.25">
      <c r="A75" s="18" t="s">
        <v>397</v>
      </c>
      <c r="B75" s="18">
        <v>1738</v>
      </c>
      <c r="C75" s="16" t="s">
        <v>103</v>
      </c>
      <c r="E75" s="16">
        <v>19012</v>
      </c>
      <c r="F75" s="16" t="s">
        <v>398</v>
      </c>
    </row>
    <row r="76" spans="1:6" x14ac:dyDescent="0.25">
      <c r="A76" s="18" t="s">
        <v>399</v>
      </c>
      <c r="B76" s="18">
        <v>1741</v>
      </c>
      <c r="C76" s="16" t="s">
        <v>400</v>
      </c>
      <c r="E76" s="16">
        <v>19013</v>
      </c>
      <c r="F76" s="16" t="s">
        <v>401</v>
      </c>
    </row>
    <row r="77" spans="1:6" x14ac:dyDescent="0.25">
      <c r="A77" s="18" t="s">
        <v>402</v>
      </c>
      <c r="B77" s="18">
        <v>1745</v>
      </c>
      <c r="C77" s="16" t="s">
        <v>403</v>
      </c>
      <c r="E77" s="16">
        <v>19014</v>
      </c>
      <c r="F77" s="16" t="s">
        <v>404</v>
      </c>
    </row>
    <row r="78" spans="1:6" x14ac:dyDescent="0.25">
      <c r="A78" s="18" t="s">
        <v>405</v>
      </c>
      <c r="B78" s="18">
        <v>1749</v>
      </c>
      <c r="C78" s="16" t="s">
        <v>114</v>
      </c>
      <c r="E78" s="16">
        <v>19015</v>
      </c>
      <c r="F78" s="16" t="s">
        <v>406</v>
      </c>
    </row>
    <row r="79" spans="1:6" x14ac:dyDescent="0.25">
      <c r="A79" s="18" t="s">
        <v>407</v>
      </c>
      <c r="B79" s="18">
        <v>1750</v>
      </c>
      <c r="C79" s="16" t="s">
        <v>408</v>
      </c>
      <c r="E79" s="16">
        <v>19016</v>
      </c>
      <c r="F79" s="16" t="s">
        <v>409</v>
      </c>
    </row>
    <row r="80" spans="1:6" x14ac:dyDescent="0.25">
      <c r="A80" s="18" t="s">
        <v>410</v>
      </c>
      <c r="B80" s="18">
        <v>1759</v>
      </c>
      <c r="C80" s="16" t="s">
        <v>411</v>
      </c>
      <c r="E80" s="16">
        <v>19017</v>
      </c>
      <c r="F80" s="16" t="s">
        <v>412</v>
      </c>
    </row>
    <row r="81" spans="1:6" x14ac:dyDescent="0.25">
      <c r="A81" s="18" t="s">
        <v>413</v>
      </c>
      <c r="B81" s="18">
        <v>1763</v>
      </c>
      <c r="C81" s="16" t="s">
        <v>414</v>
      </c>
      <c r="E81" s="16">
        <v>19018</v>
      </c>
      <c r="F81" s="16" t="s">
        <v>415</v>
      </c>
    </row>
    <row r="82" spans="1:6" x14ac:dyDescent="0.25">
      <c r="A82" s="18" t="s">
        <v>416</v>
      </c>
      <c r="B82" s="18">
        <v>1767</v>
      </c>
      <c r="C82" s="16" t="s">
        <v>417</v>
      </c>
      <c r="E82" s="16">
        <v>19019</v>
      </c>
      <c r="F82" s="16" t="s">
        <v>418</v>
      </c>
    </row>
    <row r="83" spans="1:6" x14ac:dyDescent="0.25">
      <c r="A83" s="18" t="s">
        <v>419</v>
      </c>
      <c r="B83" s="18">
        <v>1774</v>
      </c>
      <c r="C83" s="16" t="s">
        <v>420</v>
      </c>
      <c r="E83" s="16">
        <v>19020</v>
      </c>
      <c r="F83" s="16" t="s">
        <v>421</v>
      </c>
    </row>
    <row r="84" spans="1:6" x14ac:dyDescent="0.25">
      <c r="A84" s="18" t="s">
        <v>422</v>
      </c>
      <c r="B84" s="18">
        <v>1797</v>
      </c>
      <c r="C84" s="16" t="s">
        <v>423</v>
      </c>
      <c r="E84" s="16">
        <v>19021</v>
      </c>
      <c r="F84" s="16" t="s">
        <v>424</v>
      </c>
    </row>
    <row r="85" spans="1:6" x14ac:dyDescent="0.25">
      <c r="A85" s="18" t="s">
        <v>425</v>
      </c>
      <c r="B85" s="18">
        <v>1803</v>
      </c>
      <c r="C85" s="16" t="s">
        <v>426</v>
      </c>
      <c r="E85" s="16">
        <v>19022</v>
      </c>
      <c r="F85" s="16" t="s">
        <v>427</v>
      </c>
    </row>
    <row r="86" spans="1:6" x14ac:dyDescent="0.25">
      <c r="A86" s="18" t="s">
        <v>322</v>
      </c>
      <c r="B86" s="18">
        <v>1823</v>
      </c>
      <c r="C86" s="16" t="s">
        <v>428</v>
      </c>
      <c r="E86" s="16">
        <v>19023</v>
      </c>
      <c r="F86" s="16" t="s">
        <v>429</v>
      </c>
    </row>
    <row r="87" spans="1:6" x14ac:dyDescent="0.25">
      <c r="A87" s="18" t="s">
        <v>430</v>
      </c>
      <c r="B87" s="18">
        <v>1827</v>
      </c>
      <c r="C87" s="16" t="s">
        <v>431</v>
      </c>
      <c r="E87" s="16">
        <v>19024</v>
      </c>
      <c r="F87" s="16" t="s">
        <v>432</v>
      </c>
    </row>
    <row r="88" spans="1:6" x14ac:dyDescent="0.25">
      <c r="A88" s="18" t="s">
        <v>433</v>
      </c>
      <c r="B88" s="18">
        <v>1831</v>
      </c>
      <c r="C88" s="16" t="s">
        <v>434</v>
      </c>
      <c r="E88" s="16">
        <v>19025</v>
      </c>
      <c r="F88" s="16" t="s">
        <v>435</v>
      </c>
    </row>
    <row r="89" spans="1:6" x14ac:dyDescent="0.25">
      <c r="A89" s="18" t="s">
        <v>436</v>
      </c>
      <c r="B89" s="18">
        <v>1833</v>
      </c>
      <c r="C89" s="16" t="s">
        <v>102</v>
      </c>
      <c r="E89" s="16">
        <v>19026</v>
      </c>
      <c r="F89" s="16" t="s">
        <v>437</v>
      </c>
    </row>
    <row r="90" spans="1:6" x14ac:dyDescent="0.25">
      <c r="A90" s="18" t="s">
        <v>438</v>
      </c>
      <c r="B90" s="18">
        <v>1893</v>
      </c>
      <c r="C90" s="16" t="s">
        <v>439</v>
      </c>
      <c r="E90" s="16">
        <v>19027</v>
      </c>
      <c r="F90" s="16" t="s">
        <v>440</v>
      </c>
    </row>
    <row r="91" spans="1:6" x14ac:dyDescent="0.25">
      <c r="A91" s="18" t="s">
        <v>441</v>
      </c>
      <c r="B91" s="18">
        <v>1920</v>
      </c>
      <c r="C91" s="16" t="s">
        <v>106</v>
      </c>
      <c r="E91" s="16">
        <v>19028</v>
      </c>
      <c r="F91" s="16" t="s">
        <v>442</v>
      </c>
    </row>
    <row r="92" spans="1:6" x14ac:dyDescent="0.25">
      <c r="A92" s="18" t="s">
        <v>443</v>
      </c>
      <c r="B92" s="18">
        <v>1923</v>
      </c>
      <c r="C92" s="16" t="s">
        <v>444</v>
      </c>
      <c r="E92" s="16">
        <v>19029</v>
      </c>
      <c r="F92" s="16" t="s">
        <v>445</v>
      </c>
    </row>
    <row r="93" spans="1:6" x14ac:dyDescent="0.25">
      <c r="A93" s="18" t="s">
        <v>446</v>
      </c>
      <c r="B93" s="18">
        <v>1924</v>
      </c>
      <c r="C93" s="16" t="s">
        <v>113</v>
      </c>
      <c r="E93" s="16">
        <v>19030</v>
      </c>
      <c r="F93" s="16" t="s">
        <v>447</v>
      </c>
    </row>
    <row r="94" spans="1:6" x14ac:dyDescent="0.25">
      <c r="A94" s="18" t="s">
        <v>448</v>
      </c>
      <c r="B94" s="18">
        <v>1926</v>
      </c>
      <c r="C94" s="16" t="s">
        <v>449</v>
      </c>
      <c r="E94" s="16">
        <v>20001</v>
      </c>
      <c r="F94" s="16" t="s">
        <v>450</v>
      </c>
    </row>
    <row r="95" spans="1:6" x14ac:dyDescent="0.25">
      <c r="A95" s="18" t="s">
        <v>451</v>
      </c>
      <c r="B95" s="18">
        <v>1930</v>
      </c>
      <c r="C95" s="16" t="s">
        <v>452</v>
      </c>
      <c r="E95" s="16">
        <v>20002</v>
      </c>
      <c r="F95" s="16" t="s">
        <v>453</v>
      </c>
    </row>
    <row r="96" spans="1:6" x14ac:dyDescent="0.25">
      <c r="A96" s="18" t="s">
        <v>454</v>
      </c>
      <c r="B96" s="18">
        <v>1935</v>
      </c>
      <c r="C96" s="16" t="s">
        <v>455</v>
      </c>
      <c r="E96" s="16">
        <v>20003</v>
      </c>
      <c r="F96" s="16" t="s">
        <v>456</v>
      </c>
    </row>
    <row r="97" spans="1:6" x14ac:dyDescent="0.25">
      <c r="A97" s="18" t="s">
        <v>457</v>
      </c>
      <c r="B97" s="18">
        <v>1939</v>
      </c>
      <c r="C97" s="16" t="s">
        <v>458</v>
      </c>
      <c r="E97" s="16">
        <v>20004</v>
      </c>
      <c r="F97" s="16" t="s">
        <v>459</v>
      </c>
    </row>
    <row r="98" spans="1:6" x14ac:dyDescent="0.25">
      <c r="A98" s="18" t="s">
        <v>460</v>
      </c>
      <c r="B98" s="18">
        <v>1941</v>
      </c>
      <c r="C98" s="16" t="s">
        <v>461</v>
      </c>
      <c r="E98" s="16">
        <v>20005</v>
      </c>
      <c r="F98" s="16" t="s">
        <v>462</v>
      </c>
    </row>
    <row r="99" spans="1:6" x14ac:dyDescent="0.25">
      <c r="A99" s="18" t="s">
        <v>463</v>
      </c>
      <c r="B99" s="18">
        <v>1942</v>
      </c>
      <c r="C99" s="16" t="s">
        <v>464</v>
      </c>
      <c r="E99" s="16">
        <v>20006</v>
      </c>
      <c r="F99" s="16" t="s">
        <v>465</v>
      </c>
    </row>
    <row r="100" spans="1:6" x14ac:dyDescent="0.25">
      <c r="A100" s="18" t="s">
        <v>466</v>
      </c>
      <c r="B100" s="18">
        <v>1946</v>
      </c>
      <c r="C100" s="16" t="s">
        <v>467</v>
      </c>
      <c r="E100" s="16">
        <v>20007</v>
      </c>
      <c r="F100" s="16" t="s">
        <v>468</v>
      </c>
    </row>
    <row r="101" spans="1:6" x14ac:dyDescent="0.25">
      <c r="A101" s="18" t="s">
        <v>469</v>
      </c>
      <c r="B101" s="18">
        <v>1948</v>
      </c>
      <c r="C101" s="16" t="s">
        <v>470</v>
      </c>
      <c r="E101" s="16">
        <v>20008</v>
      </c>
      <c r="F101" s="16" t="s">
        <v>471</v>
      </c>
    </row>
    <row r="102" spans="1:6" x14ac:dyDescent="0.25">
      <c r="A102" s="18" t="s">
        <v>472</v>
      </c>
      <c r="B102" s="18">
        <v>1951</v>
      </c>
      <c r="C102" s="16" t="s">
        <v>473</v>
      </c>
      <c r="E102" s="16">
        <v>20009</v>
      </c>
      <c r="F102" s="16" t="s">
        <v>474</v>
      </c>
    </row>
    <row r="103" spans="1:6" x14ac:dyDescent="0.25">
      <c r="A103" s="18" t="s">
        <v>475</v>
      </c>
      <c r="B103" s="18">
        <v>1953</v>
      </c>
      <c r="C103" s="16" t="s">
        <v>476</v>
      </c>
      <c r="E103" s="16">
        <v>20010</v>
      </c>
      <c r="F103" s="16" t="s">
        <v>477</v>
      </c>
    </row>
    <row r="104" spans="1:6" x14ac:dyDescent="0.25">
      <c r="A104" s="18" t="s">
        <v>478</v>
      </c>
      <c r="B104" s="18">
        <v>1960</v>
      </c>
      <c r="C104" s="16" t="s">
        <v>479</v>
      </c>
      <c r="E104" s="16">
        <v>20011</v>
      </c>
      <c r="F104" s="16" t="s">
        <v>480</v>
      </c>
    </row>
    <row r="105" spans="1:6" x14ac:dyDescent="0.25">
      <c r="A105" s="18" t="s">
        <v>481</v>
      </c>
      <c r="B105" s="18">
        <v>1961</v>
      </c>
      <c r="C105" s="16" t="s">
        <v>482</v>
      </c>
      <c r="E105" s="16">
        <v>20012</v>
      </c>
      <c r="F105" s="16" t="s">
        <v>483</v>
      </c>
    </row>
    <row r="106" spans="1:6" x14ac:dyDescent="0.25">
      <c r="A106" s="18" t="s">
        <v>484</v>
      </c>
      <c r="B106" s="18">
        <v>1971</v>
      </c>
      <c r="C106" s="16" t="s">
        <v>485</v>
      </c>
      <c r="E106" s="16">
        <v>20013</v>
      </c>
      <c r="F106" s="16" t="s">
        <v>486</v>
      </c>
    </row>
    <row r="107" spans="1:6" x14ac:dyDescent="0.25">
      <c r="A107" s="18" t="s">
        <v>487</v>
      </c>
      <c r="B107" s="18">
        <v>1974</v>
      </c>
      <c r="C107" s="16" t="s">
        <v>488</v>
      </c>
      <c r="E107" s="16">
        <v>20014</v>
      </c>
      <c r="F107" s="16" t="s">
        <v>489</v>
      </c>
    </row>
    <row r="108" spans="1:6" x14ac:dyDescent="0.25">
      <c r="A108" s="18" t="s">
        <v>490</v>
      </c>
      <c r="B108" s="18">
        <v>2015</v>
      </c>
      <c r="C108" s="16" t="s">
        <v>491</v>
      </c>
      <c r="E108" s="16">
        <v>20015</v>
      </c>
      <c r="F108" s="16" t="s">
        <v>492</v>
      </c>
    </row>
    <row r="109" spans="1:6" x14ac:dyDescent="0.25">
      <c r="A109" s="18" t="s">
        <v>493</v>
      </c>
      <c r="B109" s="18">
        <v>2019</v>
      </c>
      <c r="C109" s="16" t="s">
        <v>494</v>
      </c>
      <c r="E109" s="16">
        <v>20016</v>
      </c>
      <c r="F109" s="16" t="s">
        <v>495</v>
      </c>
    </row>
    <row r="110" spans="1:6" x14ac:dyDescent="0.25">
      <c r="A110" s="18" t="s">
        <v>496</v>
      </c>
      <c r="B110" s="18">
        <v>2025</v>
      </c>
      <c r="C110" s="16" t="s">
        <v>116</v>
      </c>
      <c r="E110" s="16">
        <v>20017</v>
      </c>
      <c r="F110" s="16" t="s">
        <v>497</v>
      </c>
    </row>
    <row r="111" spans="1:6" x14ac:dyDescent="0.25">
      <c r="A111" s="18" t="s">
        <v>498</v>
      </c>
      <c r="B111" s="18">
        <v>2030</v>
      </c>
      <c r="C111" s="16" t="s">
        <v>499</v>
      </c>
      <c r="E111" s="16">
        <v>20018</v>
      </c>
      <c r="F111" s="16" t="s">
        <v>500</v>
      </c>
    </row>
    <row r="112" spans="1:6" x14ac:dyDescent="0.25">
      <c r="A112" s="18" t="s">
        <v>501</v>
      </c>
      <c r="B112" s="18">
        <v>2034</v>
      </c>
      <c r="C112" s="16" t="s">
        <v>502</v>
      </c>
      <c r="E112" s="16">
        <v>20019</v>
      </c>
      <c r="F112" s="16" t="s">
        <v>503</v>
      </c>
    </row>
    <row r="113" spans="1:6" x14ac:dyDescent="0.25">
      <c r="A113" s="18" t="s">
        <v>504</v>
      </c>
      <c r="B113" s="18">
        <v>2035</v>
      </c>
      <c r="C113" s="16" t="s">
        <v>505</v>
      </c>
      <c r="E113" s="16">
        <v>20020</v>
      </c>
      <c r="F113" s="16" t="s">
        <v>506</v>
      </c>
    </row>
    <row r="114" spans="1:6" x14ac:dyDescent="0.25">
      <c r="A114" s="18" t="s">
        <v>507</v>
      </c>
      <c r="B114" s="18">
        <v>2041</v>
      </c>
      <c r="C114" s="16" t="s">
        <v>508</v>
      </c>
      <c r="E114" s="16">
        <v>20021</v>
      </c>
      <c r="F114" s="16" t="s">
        <v>509</v>
      </c>
    </row>
    <row r="115" spans="1:6" x14ac:dyDescent="0.25">
      <c r="A115" s="18" t="s">
        <v>510</v>
      </c>
      <c r="B115" s="18">
        <v>2048</v>
      </c>
      <c r="C115" s="16" t="s">
        <v>511</v>
      </c>
      <c r="E115" s="16">
        <v>20022</v>
      </c>
      <c r="F115" s="16" t="s">
        <v>512</v>
      </c>
    </row>
    <row r="116" spans="1:6" x14ac:dyDescent="0.25">
      <c r="A116" s="18" t="s">
        <v>513</v>
      </c>
      <c r="B116" s="18">
        <v>2050</v>
      </c>
      <c r="C116" s="16" t="s">
        <v>514</v>
      </c>
      <c r="E116" s="16">
        <v>221101</v>
      </c>
      <c r="F116" s="16" t="s">
        <v>515</v>
      </c>
    </row>
    <row r="117" spans="1:6" x14ac:dyDescent="0.25">
      <c r="A117" s="18" t="s">
        <v>516</v>
      </c>
      <c r="B117" s="18">
        <v>2055</v>
      </c>
      <c r="C117" s="16" t="s">
        <v>517</v>
      </c>
      <c r="E117" s="16">
        <v>221301</v>
      </c>
      <c r="F117" s="16" t="s">
        <v>518</v>
      </c>
    </row>
    <row r="118" spans="1:6" x14ac:dyDescent="0.25">
      <c r="A118" s="18" t="s">
        <v>519</v>
      </c>
      <c r="B118" s="18">
        <v>2058</v>
      </c>
      <c r="C118" s="16" t="s">
        <v>520</v>
      </c>
      <c r="E118" s="16">
        <v>2343</v>
      </c>
      <c r="F118" s="16" t="s">
        <v>521</v>
      </c>
    </row>
    <row r="119" spans="1:6" x14ac:dyDescent="0.25">
      <c r="A119" s="18" t="s">
        <v>522</v>
      </c>
      <c r="B119" s="18">
        <v>2059</v>
      </c>
      <c r="C119" s="16" t="s">
        <v>523</v>
      </c>
      <c r="E119" s="16">
        <v>24001</v>
      </c>
      <c r="F119" s="16" t="s">
        <v>524</v>
      </c>
    </row>
    <row r="120" spans="1:6" x14ac:dyDescent="0.25">
      <c r="A120" s="18" t="s">
        <v>525</v>
      </c>
      <c r="B120" s="18">
        <v>2142</v>
      </c>
      <c r="C120" s="16" t="s">
        <v>526</v>
      </c>
      <c r="E120" s="16">
        <v>24002</v>
      </c>
      <c r="F120" s="16" t="s">
        <v>527</v>
      </c>
    </row>
    <row r="121" spans="1:6" x14ac:dyDescent="0.25">
      <c r="A121" s="18" t="s">
        <v>528</v>
      </c>
      <c r="B121" s="18">
        <v>2147</v>
      </c>
      <c r="C121" s="16" t="s">
        <v>529</v>
      </c>
      <c r="E121" s="16">
        <v>24003</v>
      </c>
      <c r="F121" s="16" t="s">
        <v>530</v>
      </c>
    </row>
    <row r="122" spans="1:6" x14ac:dyDescent="0.25">
      <c r="A122" s="18" t="s">
        <v>531</v>
      </c>
      <c r="B122" s="18">
        <v>2151</v>
      </c>
      <c r="C122" s="16" t="s">
        <v>111</v>
      </c>
      <c r="E122" s="16">
        <v>24004</v>
      </c>
      <c r="F122" s="16" t="s">
        <v>532</v>
      </c>
    </row>
    <row r="123" spans="1:6" x14ac:dyDescent="0.25">
      <c r="A123" s="18" t="s">
        <v>533</v>
      </c>
      <c r="B123" s="18">
        <v>2216</v>
      </c>
      <c r="C123" s="16" t="s">
        <v>534</v>
      </c>
      <c r="E123" s="16">
        <v>24005</v>
      </c>
      <c r="F123" s="16" t="s">
        <v>535</v>
      </c>
    </row>
    <row r="124" spans="1:6" x14ac:dyDescent="0.25">
      <c r="A124" s="18" t="s">
        <v>536</v>
      </c>
      <c r="B124" s="18">
        <v>2243</v>
      </c>
      <c r="C124" s="16" t="s">
        <v>537</v>
      </c>
      <c r="E124" s="16">
        <v>24006</v>
      </c>
      <c r="F124" s="16" t="s">
        <v>538</v>
      </c>
    </row>
    <row r="125" spans="1:6" x14ac:dyDescent="0.25">
      <c r="A125" s="18" t="s">
        <v>539</v>
      </c>
      <c r="B125" s="18">
        <v>2253</v>
      </c>
      <c r="C125" s="16" t="s">
        <v>540</v>
      </c>
      <c r="E125" s="16">
        <v>24007</v>
      </c>
      <c r="F125" s="16" t="s">
        <v>541</v>
      </c>
    </row>
    <row r="126" spans="1:6" x14ac:dyDescent="0.25">
      <c r="A126" s="18" t="s">
        <v>542</v>
      </c>
      <c r="B126" s="18">
        <v>2268</v>
      </c>
      <c r="C126" s="16" t="s">
        <v>543</v>
      </c>
      <c r="E126" s="16">
        <v>24008</v>
      </c>
      <c r="F126" s="16" t="s">
        <v>544</v>
      </c>
    </row>
    <row r="127" spans="1:6" x14ac:dyDescent="0.25">
      <c r="A127" s="18" t="s">
        <v>545</v>
      </c>
      <c r="B127" s="18">
        <v>2274</v>
      </c>
      <c r="C127" s="16" t="s">
        <v>546</v>
      </c>
      <c r="E127" s="16">
        <v>24009</v>
      </c>
      <c r="F127" s="16" t="s">
        <v>547</v>
      </c>
    </row>
    <row r="128" spans="1:6" x14ac:dyDescent="0.25">
      <c r="A128" s="18" t="s">
        <v>548</v>
      </c>
      <c r="B128" s="18">
        <v>2356</v>
      </c>
      <c r="C128" s="16" t="s">
        <v>549</v>
      </c>
      <c r="E128" s="16">
        <v>24010</v>
      </c>
      <c r="F128" s="16" t="s">
        <v>550</v>
      </c>
    </row>
    <row r="129" spans="1:6" x14ac:dyDescent="0.25">
      <c r="A129" s="18" t="s">
        <v>551</v>
      </c>
      <c r="B129" s="18">
        <v>2360</v>
      </c>
      <c r="C129" s="16" t="s">
        <v>552</v>
      </c>
      <c r="E129" s="16">
        <v>24011</v>
      </c>
      <c r="F129" s="16" t="s">
        <v>553</v>
      </c>
    </row>
    <row r="130" spans="1:6" x14ac:dyDescent="0.25">
      <c r="A130" s="18" t="s">
        <v>554</v>
      </c>
      <c r="B130" s="18">
        <v>2361</v>
      </c>
      <c r="C130" s="16" t="s">
        <v>555</v>
      </c>
      <c r="E130" s="16">
        <v>24012</v>
      </c>
      <c r="F130" s="16" t="s">
        <v>556</v>
      </c>
    </row>
    <row r="131" spans="1:6" x14ac:dyDescent="0.25">
      <c r="A131" s="18" t="s">
        <v>557</v>
      </c>
      <c r="B131" s="18">
        <v>2370</v>
      </c>
      <c r="C131" s="16" t="s">
        <v>558</v>
      </c>
      <c r="E131" s="16">
        <v>24013</v>
      </c>
      <c r="F131" s="16" t="s">
        <v>559</v>
      </c>
    </row>
    <row r="132" spans="1:6" x14ac:dyDescent="0.25">
      <c r="A132" s="18" t="s">
        <v>560</v>
      </c>
      <c r="B132" s="18">
        <v>2398</v>
      </c>
      <c r="C132" s="16" t="s">
        <v>561</v>
      </c>
      <c r="E132" s="16">
        <v>24014</v>
      </c>
      <c r="F132" s="16" t="s">
        <v>562</v>
      </c>
    </row>
    <row r="133" spans="1:6" x14ac:dyDescent="0.25">
      <c r="A133" s="18" t="s">
        <v>563</v>
      </c>
      <c r="B133" s="18">
        <v>2410</v>
      </c>
      <c r="C133" s="16" t="s">
        <v>564</v>
      </c>
      <c r="E133" s="16">
        <v>24015</v>
      </c>
      <c r="F133" s="16" t="s">
        <v>565</v>
      </c>
    </row>
    <row r="134" spans="1:6" x14ac:dyDescent="0.25">
      <c r="A134" s="18" t="s">
        <v>566</v>
      </c>
      <c r="B134" s="18">
        <v>2428</v>
      </c>
      <c r="C134" s="16" t="s">
        <v>567</v>
      </c>
      <c r="E134" s="16">
        <v>24016</v>
      </c>
      <c r="F134" s="16" t="s">
        <v>568</v>
      </c>
    </row>
    <row r="135" spans="1:6" x14ac:dyDescent="0.25">
      <c r="A135" s="18" t="s">
        <v>569</v>
      </c>
      <c r="B135" s="18">
        <v>2431</v>
      </c>
      <c r="C135" s="16" t="s">
        <v>570</v>
      </c>
      <c r="E135" s="16">
        <v>24017</v>
      </c>
      <c r="F135" s="16" t="s">
        <v>571</v>
      </c>
    </row>
    <row r="136" spans="1:6" x14ac:dyDescent="0.25">
      <c r="A136" s="18" t="s">
        <v>572</v>
      </c>
      <c r="B136" s="18">
        <v>2433</v>
      </c>
      <c r="C136" s="16" t="s">
        <v>573</v>
      </c>
      <c r="E136" s="16">
        <v>24018</v>
      </c>
      <c r="F136" s="16" t="s">
        <v>574</v>
      </c>
    </row>
    <row r="137" spans="1:6" x14ac:dyDescent="0.25">
      <c r="A137" s="18" t="s">
        <v>575</v>
      </c>
      <c r="B137" s="18">
        <v>2438</v>
      </c>
      <c r="C137" s="16" t="s">
        <v>576</v>
      </c>
      <c r="E137" s="16">
        <v>24019</v>
      </c>
      <c r="F137" s="16" t="s">
        <v>577</v>
      </c>
    </row>
    <row r="138" spans="1:6" x14ac:dyDescent="0.25">
      <c r="A138" s="18" t="s">
        <v>578</v>
      </c>
      <c r="B138" s="18">
        <v>2446</v>
      </c>
      <c r="C138" s="16" t="s">
        <v>579</v>
      </c>
      <c r="E138" s="16">
        <v>24020</v>
      </c>
      <c r="F138" s="16" t="s">
        <v>580</v>
      </c>
    </row>
    <row r="139" spans="1:6" x14ac:dyDescent="0.25">
      <c r="A139" s="18" t="s">
        <v>581</v>
      </c>
      <c r="B139" s="18">
        <v>2449</v>
      </c>
      <c r="C139" s="16" t="s">
        <v>582</v>
      </c>
      <c r="E139" s="16">
        <v>24021</v>
      </c>
      <c r="F139" s="16">
        <v>24021</v>
      </c>
    </row>
    <row r="140" spans="1:6" x14ac:dyDescent="0.25">
      <c r="A140" s="18" t="s">
        <v>583</v>
      </c>
      <c r="B140" s="18">
        <v>2450</v>
      </c>
      <c r="C140" s="16" t="s">
        <v>584</v>
      </c>
      <c r="E140" s="16">
        <v>24022</v>
      </c>
      <c r="F140" s="16" t="s">
        <v>585</v>
      </c>
    </row>
    <row r="141" spans="1:6" x14ac:dyDescent="0.25">
      <c r="A141" s="18" t="s">
        <v>586</v>
      </c>
      <c r="B141" s="18">
        <v>2455</v>
      </c>
      <c r="C141" s="16" t="s">
        <v>587</v>
      </c>
      <c r="E141" s="16">
        <v>24023</v>
      </c>
      <c r="F141" s="16">
        <v>24023</v>
      </c>
    </row>
    <row r="142" spans="1:6" x14ac:dyDescent="0.25">
      <c r="A142" s="18" t="s">
        <v>588</v>
      </c>
      <c r="B142" s="18">
        <v>2459</v>
      </c>
      <c r="C142" s="16" t="s">
        <v>589</v>
      </c>
      <c r="E142" s="16">
        <v>241601</v>
      </c>
      <c r="F142" s="16" t="s">
        <v>590</v>
      </c>
    </row>
    <row r="143" spans="1:6" x14ac:dyDescent="0.25">
      <c r="A143" s="18" t="s">
        <v>591</v>
      </c>
      <c r="B143" s="18">
        <v>2493</v>
      </c>
      <c r="C143" s="16" t="s">
        <v>592</v>
      </c>
      <c r="E143" s="16">
        <v>241801</v>
      </c>
      <c r="F143" s="16" t="s">
        <v>593</v>
      </c>
    </row>
    <row r="144" spans="1:6" x14ac:dyDescent="0.25">
      <c r="A144" s="18" t="s">
        <v>594</v>
      </c>
      <c r="B144" s="18">
        <v>2497</v>
      </c>
      <c r="C144" s="16" t="s">
        <v>595</v>
      </c>
      <c r="E144" s="16">
        <v>2620</v>
      </c>
      <c r="F144" s="16" t="s">
        <v>596</v>
      </c>
    </row>
    <row r="145" spans="1:6" x14ac:dyDescent="0.25">
      <c r="A145" s="18" t="s">
        <v>597</v>
      </c>
      <c r="B145" s="18">
        <v>2502</v>
      </c>
      <c r="C145" s="16" t="s">
        <v>598</v>
      </c>
      <c r="E145" s="16">
        <v>2630</v>
      </c>
      <c r="F145" s="16" t="s">
        <v>599</v>
      </c>
    </row>
    <row r="146" spans="1:6" x14ac:dyDescent="0.25">
      <c r="A146" s="18" t="s">
        <v>600</v>
      </c>
      <c r="B146" s="18">
        <v>2504</v>
      </c>
      <c r="C146" s="16" t="s">
        <v>601</v>
      </c>
      <c r="E146" s="16" t="s">
        <v>602</v>
      </c>
      <c r="F146" s="16" t="s">
        <v>603</v>
      </c>
    </row>
    <row r="147" spans="1:6" x14ac:dyDescent="0.25">
      <c r="A147" s="18" t="s">
        <v>604</v>
      </c>
      <c r="B147" s="18">
        <v>2510</v>
      </c>
      <c r="C147" s="16" t="s">
        <v>605</v>
      </c>
      <c r="E147" s="16" t="s">
        <v>606</v>
      </c>
      <c r="F147" s="16" t="s">
        <v>607</v>
      </c>
    </row>
    <row r="148" spans="1:6" x14ac:dyDescent="0.25">
      <c r="A148" s="16" t="s">
        <v>608</v>
      </c>
      <c r="B148" s="16">
        <v>2511</v>
      </c>
      <c r="C148" s="16" t="s">
        <v>609</v>
      </c>
      <c r="E148" s="16" t="s">
        <v>610</v>
      </c>
      <c r="F148" s="16" t="s">
        <v>611</v>
      </c>
    </row>
    <row r="149" spans="1:6" x14ac:dyDescent="0.25">
      <c r="A149" s="16" t="s">
        <v>612</v>
      </c>
      <c r="B149" s="16">
        <v>2513</v>
      </c>
      <c r="C149" s="16" t="s">
        <v>613</v>
      </c>
      <c r="E149" s="16" t="s">
        <v>614</v>
      </c>
      <c r="F149" s="16" t="s">
        <v>615</v>
      </c>
    </row>
    <row r="150" spans="1:6" x14ac:dyDescent="0.25">
      <c r="A150" s="16" t="s">
        <v>616</v>
      </c>
      <c r="B150" s="16">
        <v>2530</v>
      </c>
      <c r="C150" s="16" t="s">
        <v>617</v>
      </c>
      <c r="E150" s="16" t="s">
        <v>618</v>
      </c>
      <c r="F150" s="16" t="s">
        <v>619</v>
      </c>
    </row>
    <row r="151" spans="1:6" x14ac:dyDescent="0.25">
      <c r="A151" s="16" t="s">
        <v>620</v>
      </c>
      <c r="B151" s="16">
        <v>2541</v>
      </c>
      <c r="C151" s="16" t="s">
        <v>621</v>
      </c>
      <c r="E151" s="16" t="s">
        <v>622</v>
      </c>
      <c r="F151" s="16" t="s">
        <v>623</v>
      </c>
    </row>
    <row r="152" spans="1:6" x14ac:dyDescent="0.25">
      <c r="A152" s="16" t="s">
        <v>624</v>
      </c>
      <c r="B152" s="16">
        <v>2543</v>
      </c>
      <c r="C152" s="16" t="s">
        <v>625</v>
      </c>
      <c r="E152" s="16" t="s">
        <v>626</v>
      </c>
      <c r="F152" s="16">
        <v>915601</v>
      </c>
    </row>
    <row r="153" spans="1:6" x14ac:dyDescent="0.25">
      <c r="A153" s="16" t="s">
        <v>627</v>
      </c>
      <c r="B153" s="16">
        <v>2544</v>
      </c>
      <c r="C153" s="16" t="s">
        <v>628</v>
      </c>
      <c r="E153" s="16" t="s">
        <v>629</v>
      </c>
      <c r="F153" s="16" t="s">
        <v>630</v>
      </c>
    </row>
    <row r="154" spans="1:6" x14ac:dyDescent="0.25">
      <c r="A154" s="16" t="s">
        <v>631</v>
      </c>
      <c r="B154" s="16">
        <v>2551</v>
      </c>
      <c r="C154" s="16" t="s">
        <v>632</v>
      </c>
      <c r="E154" s="16" t="s">
        <v>633</v>
      </c>
      <c r="F154" s="16" t="s">
        <v>634</v>
      </c>
    </row>
    <row r="155" spans="1:6" x14ac:dyDescent="0.25">
      <c r="A155" s="16" t="s">
        <v>635</v>
      </c>
      <c r="B155" s="16">
        <v>2559</v>
      </c>
      <c r="C155" s="16" t="s">
        <v>636</v>
      </c>
      <c r="E155" s="16" t="s">
        <v>637</v>
      </c>
      <c r="F155" s="16" t="s">
        <v>638</v>
      </c>
    </row>
    <row r="156" spans="1:6" x14ac:dyDescent="0.25">
      <c r="A156" s="16" t="s">
        <v>639</v>
      </c>
      <c r="B156" s="16">
        <v>2584</v>
      </c>
      <c r="C156" s="16" t="s">
        <v>640</v>
      </c>
      <c r="E156" s="16" t="s">
        <v>641</v>
      </c>
      <c r="F156" s="16" t="s">
        <v>642</v>
      </c>
    </row>
    <row r="157" spans="1:6" x14ac:dyDescent="0.25">
      <c r="A157" s="16" t="s">
        <v>643</v>
      </c>
      <c r="B157" s="16">
        <v>2587</v>
      </c>
      <c r="C157" s="16" t="s">
        <v>644</v>
      </c>
      <c r="E157" s="16" t="s">
        <v>645</v>
      </c>
      <c r="F157" s="16" t="s">
        <v>646</v>
      </c>
    </row>
    <row r="158" spans="1:6" x14ac:dyDescent="0.25">
      <c r="A158" s="16" t="s">
        <v>647</v>
      </c>
      <c r="B158" s="16">
        <v>2602</v>
      </c>
      <c r="C158" s="16" t="s">
        <v>648</v>
      </c>
      <c r="E158" s="16" t="s">
        <v>649</v>
      </c>
      <c r="F158" s="16" t="s">
        <v>650</v>
      </c>
    </row>
    <row r="159" spans="1:6" x14ac:dyDescent="0.25">
      <c r="A159" s="16" t="s">
        <v>651</v>
      </c>
      <c r="B159" s="16">
        <v>2627</v>
      </c>
      <c r="C159" s="16" t="s">
        <v>652</v>
      </c>
      <c r="E159" s="16" t="s">
        <v>653</v>
      </c>
      <c r="F159" s="16" t="s">
        <v>653</v>
      </c>
    </row>
    <row r="160" spans="1:6" x14ac:dyDescent="0.25">
      <c r="A160" s="16" t="s">
        <v>654</v>
      </c>
      <c r="B160" s="16">
        <v>2629</v>
      </c>
      <c r="C160" s="16" t="s">
        <v>655</v>
      </c>
      <c r="E160" s="16" t="s">
        <v>656</v>
      </c>
      <c r="F160" s="16" t="s">
        <v>656</v>
      </c>
    </row>
    <row r="161" spans="1:6" x14ac:dyDescent="0.25">
      <c r="A161" s="16" t="s">
        <v>657</v>
      </c>
      <c r="B161" s="16">
        <v>2644</v>
      </c>
      <c r="C161" s="16" t="s">
        <v>658</v>
      </c>
      <c r="E161" s="16" t="s">
        <v>659</v>
      </c>
      <c r="F161" s="16" t="s">
        <v>659</v>
      </c>
    </row>
    <row r="162" spans="1:6" x14ac:dyDescent="0.25">
      <c r="A162" s="16" t="s">
        <v>660</v>
      </c>
      <c r="B162" s="16">
        <v>2645</v>
      </c>
      <c r="C162" s="16" t="s">
        <v>661</v>
      </c>
      <c r="E162" s="16" t="s">
        <v>662</v>
      </c>
      <c r="F162" s="16" t="s">
        <v>663</v>
      </c>
    </row>
    <row r="163" spans="1:6" x14ac:dyDescent="0.25">
      <c r="A163" s="16" t="s">
        <v>664</v>
      </c>
      <c r="B163" s="16">
        <v>2651</v>
      </c>
      <c r="C163" s="16" t="s">
        <v>665</v>
      </c>
      <c r="E163" s="16" t="s">
        <v>666</v>
      </c>
      <c r="F163" s="16" t="s">
        <v>667</v>
      </c>
    </row>
    <row r="164" spans="1:6" x14ac:dyDescent="0.25">
      <c r="A164" s="16" t="s">
        <v>668</v>
      </c>
      <c r="B164" s="16">
        <v>2652</v>
      </c>
      <c r="C164" s="16" t="s">
        <v>669</v>
      </c>
      <c r="E164" s="16" t="s">
        <v>670</v>
      </c>
      <c r="F164" s="16" t="s">
        <v>670</v>
      </c>
    </row>
    <row r="165" spans="1:6" x14ac:dyDescent="0.25">
      <c r="A165" s="16" t="s">
        <v>671</v>
      </c>
      <c r="B165" s="16">
        <v>2652</v>
      </c>
      <c r="C165" s="16" t="s">
        <v>672</v>
      </c>
      <c r="E165" s="16" t="s">
        <v>673</v>
      </c>
      <c r="F165" s="16" t="s">
        <v>673</v>
      </c>
    </row>
    <row r="166" spans="1:6" x14ac:dyDescent="0.25">
      <c r="A166" s="16" t="s">
        <v>674</v>
      </c>
      <c r="B166" s="16">
        <v>2653</v>
      </c>
      <c r="C166" s="16" t="s">
        <v>675</v>
      </c>
      <c r="E166" s="16" t="s">
        <v>676</v>
      </c>
      <c r="F166" s="16" t="s">
        <v>676</v>
      </c>
    </row>
    <row r="167" spans="1:6" x14ac:dyDescent="0.25">
      <c r="A167" s="16" t="s">
        <v>677</v>
      </c>
      <c r="B167" s="16">
        <v>2656</v>
      </c>
      <c r="C167" s="16" t="s">
        <v>678</v>
      </c>
      <c r="E167" s="16" t="s">
        <v>679</v>
      </c>
      <c r="F167" s="16" t="s">
        <v>679</v>
      </c>
    </row>
    <row r="168" spans="1:6" x14ac:dyDescent="0.25">
      <c r="A168" s="16" t="s">
        <v>680</v>
      </c>
      <c r="B168" s="16">
        <v>2662</v>
      </c>
      <c r="C168" s="16" t="s">
        <v>681</v>
      </c>
      <c r="E168" s="16" t="s">
        <v>682</v>
      </c>
      <c r="F168" s="16" t="s">
        <v>682</v>
      </c>
    </row>
    <row r="169" spans="1:6" x14ac:dyDescent="0.25">
      <c r="A169" s="16" t="s">
        <v>522</v>
      </c>
      <c r="B169" s="16">
        <v>2667</v>
      </c>
      <c r="C169" s="16" t="s">
        <v>683</v>
      </c>
      <c r="E169" s="16" t="s">
        <v>684</v>
      </c>
      <c r="F169" s="16" t="s">
        <v>684</v>
      </c>
    </row>
    <row r="170" spans="1:6" x14ac:dyDescent="0.25">
      <c r="A170" s="16" t="s">
        <v>685</v>
      </c>
      <c r="B170" s="16">
        <v>2670</v>
      </c>
      <c r="C170" s="16" t="s">
        <v>686</v>
      </c>
      <c r="E170" s="16" t="s">
        <v>687</v>
      </c>
      <c r="F170" s="16" t="s">
        <v>687</v>
      </c>
    </row>
    <row r="171" spans="1:6" x14ac:dyDescent="0.25">
      <c r="A171" s="16" t="s">
        <v>688</v>
      </c>
      <c r="B171" s="16">
        <v>2673</v>
      </c>
      <c r="C171" s="16" t="s">
        <v>689</v>
      </c>
      <c r="E171" s="16" t="s">
        <v>690</v>
      </c>
      <c r="F171" s="16" t="s">
        <v>691</v>
      </c>
    </row>
    <row r="172" spans="1:6" x14ac:dyDescent="0.25">
      <c r="A172" s="16" t="s">
        <v>692</v>
      </c>
      <c r="B172" s="16">
        <v>2676</v>
      </c>
      <c r="C172" s="16" t="s">
        <v>693</v>
      </c>
    </row>
    <row r="173" spans="1:6" x14ac:dyDescent="0.25">
      <c r="A173" s="16" t="s">
        <v>694</v>
      </c>
      <c r="B173" s="16">
        <v>2678</v>
      </c>
      <c r="C173" s="16" t="s">
        <v>695</v>
      </c>
    </row>
    <row r="174" spans="1:6" x14ac:dyDescent="0.25">
      <c r="A174" s="16" t="s">
        <v>696</v>
      </c>
      <c r="B174" s="16">
        <v>2680</v>
      </c>
      <c r="C174" s="16" t="s">
        <v>697</v>
      </c>
    </row>
    <row r="175" spans="1:6" x14ac:dyDescent="0.25">
      <c r="A175" s="16" t="s">
        <v>698</v>
      </c>
      <c r="B175" s="16">
        <v>2682</v>
      </c>
      <c r="C175" s="16" t="s">
        <v>699</v>
      </c>
    </row>
    <row r="176" spans="1:6" x14ac:dyDescent="0.25">
      <c r="A176" s="16" t="s">
        <v>700</v>
      </c>
      <c r="B176" s="16">
        <v>2687</v>
      </c>
      <c r="C176" s="16" t="s">
        <v>701</v>
      </c>
    </row>
    <row r="177" spans="1:3" x14ac:dyDescent="0.25">
      <c r="A177" s="16" t="s">
        <v>702</v>
      </c>
      <c r="B177" s="16">
        <v>2689</v>
      </c>
      <c r="C177" s="16" t="s">
        <v>703</v>
      </c>
    </row>
    <row r="178" spans="1:3" x14ac:dyDescent="0.25">
      <c r="A178" s="16" t="s">
        <v>704</v>
      </c>
      <c r="B178" s="16">
        <v>2695</v>
      </c>
      <c r="C178" s="16" t="s">
        <v>705</v>
      </c>
    </row>
    <row r="179" spans="1:3" x14ac:dyDescent="0.25">
      <c r="A179" s="16" t="s">
        <v>706</v>
      </c>
      <c r="B179" s="16">
        <v>2721</v>
      </c>
      <c r="C179" s="16" t="s">
        <v>707</v>
      </c>
    </row>
    <row r="180" spans="1:3" x14ac:dyDescent="0.25">
      <c r="A180" s="16" t="s">
        <v>708</v>
      </c>
      <c r="B180" s="16">
        <v>2734</v>
      </c>
      <c r="C180" s="16" t="s">
        <v>709</v>
      </c>
    </row>
    <row r="181" spans="1:3" x14ac:dyDescent="0.25">
      <c r="A181" s="16" t="s">
        <v>710</v>
      </c>
      <c r="B181" s="16">
        <v>2735</v>
      </c>
      <c r="C181" s="16" t="s">
        <v>711</v>
      </c>
    </row>
    <row r="182" spans="1:3" x14ac:dyDescent="0.25">
      <c r="A182" s="16" t="s">
        <v>557</v>
      </c>
      <c r="B182" s="16">
        <v>2737</v>
      </c>
      <c r="C182" s="16" t="s">
        <v>712</v>
      </c>
    </row>
    <row r="183" spans="1:3" x14ac:dyDescent="0.25">
      <c r="A183" s="16" t="s">
        <v>713</v>
      </c>
      <c r="B183" s="16">
        <v>2744</v>
      </c>
      <c r="C183" s="16" t="s">
        <v>714</v>
      </c>
    </row>
    <row r="184" spans="1:3" x14ac:dyDescent="0.25">
      <c r="A184" s="16" t="s">
        <v>715</v>
      </c>
      <c r="B184" s="16">
        <v>2747</v>
      </c>
      <c r="C184" s="16" t="s">
        <v>716</v>
      </c>
    </row>
    <row r="185" spans="1:3" x14ac:dyDescent="0.25">
      <c r="A185" s="16" t="s">
        <v>717</v>
      </c>
      <c r="B185" s="16">
        <v>2758</v>
      </c>
      <c r="C185" s="16" t="s">
        <v>718</v>
      </c>
    </row>
    <row r="186" spans="1:3" x14ac:dyDescent="0.25">
      <c r="A186" s="16" t="s">
        <v>719</v>
      </c>
      <c r="B186" s="16">
        <v>2760</v>
      </c>
      <c r="C186" s="16" t="s">
        <v>720</v>
      </c>
    </row>
    <row r="187" spans="1:3" x14ac:dyDescent="0.25">
      <c r="A187" s="16" t="s">
        <v>721</v>
      </c>
      <c r="B187" s="16">
        <v>2763</v>
      </c>
      <c r="C187" s="16" t="s">
        <v>722</v>
      </c>
    </row>
    <row r="188" spans="1:3" x14ac:dyDescent="0.25">
      <c r="A188" s="16" t="s">
        <v>723</v>
      </c>
      <c r="B188" s="16">
        <v>2776</v>
      </c>
      <c r="C188" s="16" t="s">
        <v>724</v>
      </c>
    </row>
    <row r="189" spans="1:3" x14ac:dyDescent="0.25">
      <c r="A189" s="16" t="s">
        <v>725</v>
      </c>
      <c r="B189" s="16">
        <v>2777</v>
      </c>
      <c r="C189" s="16" t="s">
        <v>726</v>
      </c>
    </row>
    <row r="190" spans="1:3" x14ac:dyDescent="0.25">
      <c r="A190" s="16" t="s">
        <v>727</v>
      </c>
      <c r="B190" s="16">
        <v>2778</v>
      </c>
      <c r="C190" s="16" t="s">
        <v>728</v>
      </c>
    </row>
    <row r="191" spans="1:3" x14ac:dyDescent="0.25">
      <c r="A191" s="16" t="s">
        <v>729</v>
      </c>
      <c r="B191" s="16">
        <v>2784</v>
      </c>
      <c r="C191" s="16" t="s">
        <v>730</v>
      </c>
    </row>
    <row r="192" spans="1:3" x14ac:dyDescent="0.25">
      <c r="A192" s="16" t="s">
        <v>731</v>
      </c>
      <c r="B192" s="16">
        <v>2787</v>
      </c>
      <c r="C192" s="16" t="s">
        <v>732</v>
      </c>
    </row>
    <row r="193" spans="1:3" x14ac:dyDescent="0.25">
      <c r="A193" s="16" t="s">
        <v>733</v>
      </c>
      <c r="B193" s="16">
        <v>2789</v>
      </c>
      <c r="C193" s="16" t="s">
        <v>734</v>
      </c>
    </row>
    <row r="194" spans="1:3" x14ac:dyDescent="0.25">
      <c r="A194" s="16" t="s">
        <v>643</v>
      </c>
      <c r="B194" s="16">
        <v>2790</v>
      </c>
      <c r="C194" s="16" t="s">
        <v>735</v>
      </c>
    </row>
    <row r="195" spans="1:3" x14ac:dyDescent="0.25">
      <c r="A195" s="16" t="s">
        <v>542</v>
      </c>
      <c r="B195" s="16">
        <v>2793</v>
      </c>
      <c r="C195" s="16" t="s">
        <v>736</v>
      </c>
    </row>
    <row r="196" spans="1:3" x14ac:dyDescent="0.25">
      <c r="A196" s="16" t="s">
        <v>737</v>
      </c>
      <c r="B196" s="16">
        <v>2795</v>
      </c>
      <c r="C196" s="16" t="s">
        <v>738</v>
      </c>
    </row>
    <row r="197" spans="1:3" x14ac:dyDescent="0.25">
      <c r="A197" s="16" t="s">
        <v>739</v>
      </c>
      <c r="B197" s="16">
        <v>2837</v>
      </c>
      <c r="C197" s="16" t="s">
        <v>740</v>
      </c>
    </row>
    <row r="198" spans="1:3" x14ac:dyDescent="0.25">
      <c r="A198" s="16" t="s">
        <v>741</v>
      </c>
      <c r="B198" s="16">
        <v>2841</v>
      </c>
      <c r="C198" s="16" t="s">
        <v>742</v>
      </c>
    </row>
    <row r="199" spans="1:3" x14ac:dyDescent="0.25">
      <c r="A199" s="16" t="s">
        <v>743</v>
      </c>
      <c r="B199" s="16">
        <v>2879</v>
      </c>
      <c r="C199" s="16" t="s">
        <v>744</v>
      </c>
    </row>
    <row r="200" spans="1:3" x14ac:dyDescent="0.25">
      <c r="A200" s="16" t="s">
        <v>745</v>
      </c>
      <c r="B200" s="16">
        <v>2880</v>
      </c>
      <c r="C200" s="16" t="s">
        <v>746</v>
      </c>
    </row>
    <row r="201" spans="1:3" x14ac:dyDescent="0.25">
      <c r="A201" s="16" t="s">
        <v>747</v>
      </c>
      <c r="B201" s="16">
        <v>2881</v>
      </c>
      <c r="C201" s="16" t="s">
        <v>748</v>
      </c>
    </row>
    <row r="202" spans="1:3" x14ac:dyDescent="0.25">
      <c r="A202" s="16" t="s">
        <v>749</v>
      </c>
      <c r="B202" s="16">
        <v>2902</v>
      </c>
      <c r="C202" s="16" t="s">
        <v>750</v>
      </c>
    </row>
    <row r="203" spans="1:3" x14ac:dyDescent="0.25">
      <c r="A203" s="16" t="s">
        <v>751</v>
      </c>
      <c r="B203" s="16">
        <v>2908</v>
      </c>
      <c r="C203" s="16" t="s">
        <v>752</v>
      </c>
    </row>
    <row r="204" spans="1:3" x14ac:dyDescent="0.25">
      <c r="A204" s="16" t="s">
        <v>753</v>
      </c>
      <c r="B204" s="16">
        <v>2911</v>
      </c>
      <c r="C204" s="16" t="s">
        <v>754</v>
      </c>
    </row>
    <row r="205" spans="1:3" x14ac:dyDescent="0.25">
      <c r="A205" s="16" t="s">
        <v>755</v>
      </c>
      <c r="B205" s="16">
        <v>2918</v>
      </c>
      <c r="C205" s="16" t="s">
        <v>756</v>
      </c>
    </row>
    <row r="206" spans="1:3" x14ac:dyDescent="0.25">
      <c r="A206" s="16" t="s">
        <v>757</v>
      </c>
      <c r="B206" s="16">
        <v>2956</v>
      </c>
      <c r="C206" s="16" t="s">
        <v>758</v>
      </c>
    </row>
    <row r="207" spans="1:3" x14ac:dyDescent="0.25">
      <c r="A207" s="16" t="s">
        <v>759</v>
      </c>
      <c r="B207" s="16">
        <v>2961</v>
      </c>
      <c r="C207" s="16" t="s">
        <v>760</v>
      </c>
    </row>
    <row r="208" spans="1:3" x14ac:dyDescent="0.25">
      <c r="A208" s="16" t="s">
        <v>761</v>
      </c>
      <c r="B208" s="16">
        <v>2964</v>
      </c>
      <c r="C208" s="16" t="s">
        <v>762</v>
      </c>
    </row>
    <row r="209" spans="1:3" x14ac:dyDescent="0.25">
      <c r="A209" s="16" t="s">
        <v>763</v>
      </c>
      <c r="B209" s="16">
        <v>2966</v>
      </c>
      <c r="C209" s="16" t="s">
        <v>764</v>
      </c>
    </row>
    <row r="210" spans="1:3" x14ac:dyDescent="0.25">
      <c r="A210" s="16" t="s">
        <v>765</v>
      </c>
      <c r="B210" s="16">
        <v>2968</v>
      </c>
      <c r="C210" s="16" t="s">
        <v>766</v>
      </c>
    </row>
    <row r="211" spans="1:3" x14ac:dyDescent="0.25">
      <c r="A211" s="16" t="s">
        <v>767</v>
      </c>
      <c r="B211" s="16">
        <v>2970</v>
      </c>
      <c r="C211" s="16" t="s">
        <v>768</v>
      </c>
    </row>
    <row r="212" spans="1:3" x14ac:dyDescent="0.25">
      <c r="A212" s="16" t="s">
        <v>769</v>
      </c>
      <c r="B212" s="16">
        <v>2971</v>
      </c>
      <c r="C212" s="16" t="s">
        <v>770</v>
      </c>
    </row>
    <row r="213" spans="1:3" x14ac:dyDescent="0.25">
      <c r="A213" s="16" t="s">
        <v>771</v>
      </c>
      <c r="B213" s="16">
        <v>2975</v>
      </c>
      <c r="C213" s="16" t="s">
        <v>772</v>
      </c>
    </row>
    <row r="214" spans="1:3" x14ac:dyDescent="0.25">
      <c r="A214" s="16" t="s">
        <v>773</v>
      </c>
      <c r="B214" s="16">
        <v>2978</v>
      </c>
      <c r="C214" s="16" t="s">
        <v>774</v>
      </c>
    </row>
    <row r="215" spans="1:3" x14ac:dyDescent="0.25">
      <c r="A215" s="16" t="s">
        <v>583</v>
      </c>
      <c r="B215" s="16">
        <v>2981</v>
      </c>
      <c r="C215" s="16" t="s">
        <v>775</v>
      </c>
    </row>
    <row r="216" spans="1:3" x14ac:dyDescent="0.25">
      <c r="A216" s="16" t="s">
        <v>620</v>
      </c>
      <c r="B216" s="16">
        <v>2983</v>
      </c>
      <c r="C216" s="16" t="s">
        <v>776</v>
      </c>
    </row>
    <row r="217" spans="1:3" x14ac:dyDescent="0.25">
      <c r="A217" s="16" t="s">
        <v>777</v>
      </c>
      <c r="B217" s="16">
        <v>2984</v>
      </c>
      <c r="C217" s="16" t="s">
        <v>778</v>
      </c>
    </row>
    <row r="218" spans="1:3" x14ac:dyDescent="0.25">
      <c r="A218" s="16" t="s">
        <v>779</v>
      </c>
      <c r="B218" s="16">
        <v>2985</v>
      </c>
      <c r="C218" s="16" t="s">
        <v>780</v>
      </c>
    </row>
    <row r="219" spans="1:3" x14ac:dyDescent="0.25">
      <c r="A219" s="16" t="s">
        <v>781</v>
      </c>
      <c r="B219" s="16">
        <v>2986</v>
      </c>
      <c r="C219" s="16" t="s">
        <v>782</v>
      </c>
    </row>
    <row r="220" spans="1:3" x14ac:dyDescent="0.25">
      <c r="A220" s="16" t="s">
        <v>783</v>
      </c>
      <c r="B220" s="16">
        <v>2988</v>
      </c>
      <c r="C220" s="16" t="s">
        <v>784</v>
      </c>
    </row>
    <row r="221" spans="1:3" x14ac:dyDescent="0.25">
      <c r="A221" s="16" t="s">
        <v>741</v>
      </c>
      <c r="B221" s="16">
        <v>2989</v>
      </c>
      <c r="C221" s="16" t="s">
        <v>785</v>
      </c>
    </row>
    <row r="222" spans="1:3" x14ac:dyDescent="0.25">
      <c r="A222" s="16" t="s">
        <v>786</v>
      </c>
      <c r="B222" s="16">
        <v>2992</v>
      </c>
      <c r="C222" s="16" t="s">
        <v>787</v>
      </c>
    </row>
    <row r="223" spans="1:3" x14ac:dyDescent="0.25">
      <c r="A223" s="16" t="s">
        <v>788</v>
      </c>
      <c r="B223" s="16">
        <v>2995</v>
      </c>
      <c r="C223" s="16" t="s">
        <v>789</v>
      </c>
    </row>
    <row r="224" spans="1:3" x14ac:dyDescent="0.25">
      <c r="A224" s="16" t="s">
        <v>790</v>
      </c>
      <c r="B224" s="16">
        <v>2996</v>
      </c>
      <c r="C224" s="16" t="s">
        <v>791</v>
      </c>
    </row>
    <row r="225" spans="1:3" x14ac:dyDescent="0.25">
      <c r="A225" s="16" t="s">
        <v>792</v>
      </c>
      <c r="B225" s="16">
        <v>2998</v>
      </c>
      <c r="C225" s="16" t="s">
        <v>793</v>
      </c>
    </row>
    <row r="226" spans="1:3" x14ac:dyDescent="0.25">
      <c r="A226" s="16" t="s">
        <v>794</v>
      </c>
      <c r="B226" s="16">
        <v>2999</v>
      </c>
      <c r="C226" s="16" t="s">
        <v>100</v>
      </c>
    </row>
    <row r="227" spans="1:3" x14ac:dyDescent="0.25">
      <c r="A227" s="16" t="s">
        <v>795</v>
      </c>
      <c r="B227" s="16">
        <v>3000</v>
      </c>
      <c r="C227" s="16" t="s">
        <v>796</v>
      </c>
    </row>
    <row r="228" spans="1:3" x14ac:dyDescent="0.25">
      <c r="A228" s="16" t="s">
        <v>797</v>
      </c>
      <c r="B228" s="16">
        <v>3001</v>
      </c>
      <c r="C228" s="16" t="s">
        <v>798</v>
      </c>
    </row>
    <row r="229" spans="1:3" x14ac:dyDescent="0.25">
      <c r="A229" s="16" t="s">
        <v>799</v>
      </c>
      <c r="B229" s="16">
        <v>3002</v>
      </c>
      <c r="C229" s="16" t="s">
        <v>88</v>
      </c>
    </row>
    <row r="230" spans="1:3" x14ac:dyDescent="0.25">
      <c r="A230" s="16" t="s">
        <v>800</v>
      </c>
      <c r="B230" s="16">
        <v>3004</v>
      </c>
      <c r="C230" s="16" t="s">
        <v>801</v>
      </c>
    </row>
    <row r="231" spans="1:3" x14ac:dyDescent="0.25">
      <c r="A231" s="16" t="s">
        <v>802</v>
      </c>
      <c r="B231" s="16">
        <v>3004</v>
      </c>
      <c r="C231" s="16" t="s">
        <v>803</v>
      </c>
    </row>
    <row r="232" spans="1:3" x14ac:dyDescent="0.25">
      <c r="A232" s="16" t="s">
        <v>704</v>
      </c>
      <c r="B232" s="16">
        <v>3006</v>
      </c>
      <c r="C232" s="16" t="s">
        <v>804</v>
      </c>
    </row>
    <row r="233" spans="1:3" x14ac:dyDescent="0.25">
      <c r="A233" s="16" t="s">
        <v>805</v>
      </c>
      <c r="B233" s="16">
        <v>3007</v>
      </c>
      <c r="C233" s="16" t="s">
        <v>806</v>
      </c>
    </row>
    <row r="234" spans="1:3" x14ac:dyDescent="0.25">
      <c r="A234" s="16" t="s">
        <v>807</v>
      </c>
      <c r="B234" s="16">
        <v>3008</v>
      </c>
      <c r="C234" s="16" t="s">
        <v>808</v>
      </c>
    </row>
    <row r="235" spans="1:3" x14ac:dyDescent="0.25">
      <c r="A235" s="16" t="s">
        <v>809</v>
      </c>
      <c r="B235" s="16">
        <v>3012</v>
      </c>
      <c r="C235" s="16" t="s">
        <v>810</v>
      </c>
    </row>
    <row r="236" spans="1:3" x14ac:dyDescent="0.25">
      <c r="A236" s="16" t="s">
        <v>811</v>
      </c>
      <c r="B236" s="16">
        <v>3022</v>
      </c>
      <c r="C236" s="16" t="s">
        <v>812</v>
      </c>
    </row>
    <row r="237" spans="1:3" x14ac:dyDescent="0.25">
      <c r="A237" s="16" t="s">
        <v>813</v>
      </c>
      <c r="B237" s="16">
        <v>3023</v>
      </c>
      <c r="C237" s="16" t="s">
        <v>814</v>
      </c>
    </row>
    <row r="238" spans="1:3" x14ac:dyDescent="0.25">
      <c r="A238" s="16" t="s">
        <v>815</v>
      </c>
      <c r="B238" s="16">
        <v>3025</v>
      </c>
      <c r="C238" s="16" t="s">
        <v>816</v>
      </c>
    </row>
    <row r="239" spans="1:3" x14ac:dyDescent="0.25">
      <c r="A239" s="16" t="s">
        <v>817</v>
      </c>
      <c r="B239" s="16">
        <v>3026</v>
      </c>
      <c r="C239" s="16" t="s">
        <v>818</v>
      </c>
    </row>
    <row r="240" spans="1:3" x14ac:dyDescent="0.25">
      <c r="A240" s="16" t="s">
        <v>819</v>
      </c>
      <c r="B240" s="16">
        <v>3031</v>
      </c>
      <c r="C240" s="16" t="s">
        <v>820</v>
      </c>
    </row>
    <row r="241" spans="1:3" x14ac:dyDescent="0.25">
      <c r="A241" s="16" t="s">
        <v>821</v>
      </c>
      <c r="B241" s="16">
        <v>3032</v>
      </c>
      <c r="C241" s="16" t="s">
        <v>822</v>
      </c>
    </row>
    <row r="242" spans="1:3" x14ac:dyDescent="0.25">
      <c r="A242" s="16" t="s">
        <v>823</v>
      </c>
      <c r="B242" s="16">
        <v>3033</v>
      </c>
      <c r="C242" s="16" t="s">
        <v>824</v>
      </c>
    </row>
    <row r="243" spans="1:3" x14ac:dyDescent="0.25">
      <c r="A243" s="16" t="s">
        <v>825</v>
      </c>
      <c r="B243" s="16">
        <v>3034</v>
      </c>
      <c r="C243" s="16" t="s">
        <v>826</v>
      </c>
    </row>
    <row r="244" spans="1:3" x14ac:dyDescent="0.25">
      <c r="A244" s="16" t="s">
        <v>827</v>
      </c>
      <c r="B244" s="16">
        <v>3037</v>
      </c>
      <c r="C244" s="16" t="s">
        <v>828</v>
      </c>
    </row>
    <row r="245" spans="1:3" x14ac:dyDescent="0.25">
      <c r="A245" s="16" t="s">
        <v>829</v>
      </c>
      <c r="B245" s="16">
        <v>3054</v>
      </c>
      <c r="C245" s="16" t="s">
        <v>830</v>
      </c>
    </row>
    <row r="246" spans="1:3" x14ac:dyDescent="0.25">
      <c r="A246" s="16" t="s">
        <v>831</v>
      </c>
      <c r="B246" s="16">
        <v>3058</v>
      </c>
      <c r="C246" s="16" t="s">
        <v>832</v>
      </c>
    </row>
    <row r="247" spans="1:3" x14ac:dyDescent="0.25">
      <c r="A247" s="16" t="s">
        <v>833</v>
      </c>
      <c r="B247" s="16">
        <v>3060</v>
      </c>
      <c r="C247" s="16" t="s">
        <v>834</v>
      </c>
    </row>
    <row r="248" spans="1:3" x14ac:dyDescent="0.25">
      <c r="A248" s="16" t="s">
        <v>835</v>
      </c>
      <c r="B248" s="16">
        <v>3066</v>
      </c>
      <c r="C248" s="16" t="s">
        <v>836</v>
      </c>
    </row>
    <row r="249" spans="1:3" x14ac:dyDescent="0.25">
      <c r="A249" s="16" t="s">
        <v>837</v>
      </c>
      <c r="B249" s="16">
        <v>3067</v>
      </c>
      <c r="C249" s="16" t="s">
        <v>838</v>
      </c>
    </row>
    <row r="250" spans="1:3" x14ac:dyDescent="0.25">
      <c r="A250" s="16" t="s">
        <v>839</v>
      </c>
      <c r="B250" s="16">
        <v>3069</v>
      </c>
      <c r="C250" s="16" t="s">
        <v>840</v>
      </c>
    </row>
    <row r="251" spans="1:3" x14ac:dyDescent="0.25">
      <c r="A251" s="16" t="s">
        <v>841</v>
      </c>
      <c r="B251" s="16">
        <v>3070</v>
      </c>
      <c r="C251" s="16" t="s">
        <v>842</v>
      </c>
    </row>
    <row r="252" spans="1:3" x14ac:dyDescent="0.25">
      <c r="A252" s="16" t="s">
        <v>843</v>
      </c>
      <c r="B252" s="16">
        <v>3073</v>
      </c>
      <c r="C252" s="16" t="s">
        <v>844</v>
      </c>
    </row>
    <row r="253" spans="1:3" x14ac:dyDescent="0.25">
      <c r="A253" s="16" t="s">
        <v>845</v>
      </c>
      <c r="B253" s="16">
        <v>3074</v>
      </c>
      <c r="C253" s="16" t="s">
        <v>846</v>
      </c>
    </row>
    <row r="254" spans="1:3" x14ac:dyDescent="0.25">
      <c r="A254" s="16" t="s">
        <v>847</v>
      </c>
      <c r="B254" s="16">
        <v>3075</v>
      </c>
      <c r="C254" s="16" t="s">
        <v>848</v>
      </c>
    </row>
    <row r="255" spans="1:3" x14ac:dyDescent="0.25">
      <c r="A255" s="16" t="s">
        <v>849</v>
      </c>
      <c r="B255" s="16">
        <v>3076</v>
      </c>
      <c r="C255" s="16" t="s">
        <v>850</v>
      </c>
    </row>
    <row r="256" spans="1:3" x14ac:dyDescent="0.25">
      <c r="A256" s="16" t="s">
        <v>851</v>
      </c>
      <c r="B256" s="16">
        <v>3077</v>
      </c>
      <c r="C256" s="16" t="s">
        <v>107</v>
      </c>
    </row>
    <row r="257" spans="1:3" x14ac:dyDescent="0.25">
      <c r="A257" s="16" t="s">
        <v>723</v>
      </c>
      <c r="B257" s="16">
        <v>3079</v>
      </c>
      <c r="C257" s="16" t="s">
        <v>852</v>
      </c>
    </row>
    <row r="258" spans="1:3" x14ac:dyDescent="0.25">
      <c r="A258" s="16" t="s">
        <v>853</v>
      </c>
      <c r="B258" s="16">
        <v>3079</v>
      </c>
      <c r="C258" s="16" t="s">
        <v>854</v>
      </c>
    </row>
    <row r="259" spans="1:3" x14ac:dyDescent="0.25">
      <c r="A259" s="16" t="s">
        <v>855</v>
      </c>
      <c r="B259" s="16">
        <v>3081</v>
      </c>
      <c r="C259" s="16" t="s">
        <v>856</v>
      </c>
    </row>
    <row r="260" spans="1:3" x14ac:dyDescent="0.25">
      <c r="A260" s="16" t="s">
        <v>857</v>
      </c>
      <c r="B260" s="16">
        <v>3083</v>
      </c>
      <c r="C260" s="16" t="s">
        <v>858</v>
      </c>
    </row>
    <row r="261" spans="1:3" x14ac:dyDescent="0.25">
      <c r="A261" s="16" t="s">
        <v>859</v>
      </c>
      <c r="B261" s="16">
        <v>3087</v>
      </c>
      <c r="C261" s="16" t="s">
        <v>860</v>
      </c>
    </row>
    <row r="262" spans="1:3" x14ac:dyDescent="0.25">
      <c r="A262" s="16" t="s">
        <v>861</v>
      </c>
      <c r="B262" s="16">
        <v>3088</v>
      </c>
      <c r="C262" s="16" t="s">
        <v>862</v>
      </c>
    </row>
    <row r="263" spans="1:3" x14ac:dyDescent="0.25">
      <c r="A263" s="16" t="s">
        <v>863</v>
      </c>
      <c r="B263" s="16">
        <v>3089</v>
      </c>
      <c r="C263" s="16" t="s">
        <v>864</v>
      </c>
    </row>
    <row r="264" spans="1:3" x14ac:dyDescent="0.25">
      <c r="A264" s="16" t="s">
        <v>865</v>
      </c>
      <c r="B264" s="16">
        <v>3090</v>
      </c>
      <c r="C264" s="16" t="s">
        <v>866</v>
      </c>
    </row>
    <row r="265" spans="1:3" x14ac:dyDescent="0.25">
      <c r="A265" s="16" t="s">
        <v>867</v>
      </c>
      <c r="B265" s="16">
        <v>3093</v>
      </c>
      <c r="C265" s="16" t="s">
        <v>868</v>
      </c>
    </row>
    <row r="266" spans="1:3" x14ac:dyDescent="0.25">
      <c r="A266" s="16" t="s">
        <v>869</v>
      </c>
      <c r="B266" s="16">
        <v>3096</v>
      </c>
      <c r="C266" s="16" t="s">
        <v>870</v>
      </c>
    </row>
    <row r="267" spans="1:3" x14ac:dyDescent="0.25">
      <c r="A267" s="16" t="s">
        <v>871</v>
      </c>
      <c r="B267" s="16">
        <v>3097</v>
      </c>
      <c r="C267" s="16" t="s">
        <v>872</v>
      </c>
    </row>
    <row r="268" spans="1:3" x14ac:dyDescent="0.25">
      <c r="A268" s="16" t="s">
        <v>873</v>
      </c>
      <c r="B268" s="16">
        <v>4000</v>
      </c>
      <c r="C268" s="16" t="s">
        <v>874</v>
      </c>
    </row>
    <row r="269" spans="1:3" x14ac:dyDescent="0.25">
      <c r="A269" s="16" t="s">
        <v>875</v>
      </c>
      <c r="B269" s="16">
        <v>4001</v>
      </c>
      <c r="C269" s="16" t="s">
        <v>876</v>
      </c>
    </row>
    <row r="270" spans="1:3" x14ac:dyDescent="0.25">
      <c r="A270" s="16" t="s">
        <v>877</v>
      </c>
      <c r="B270" s="16">
        <v>4002</v>
      </c>
      <c r="C270" s="16" t="s">
        <v>878</v>
      </c>
    </row>
    <row r="271" spans="1:3" x14ac:dyDescent="0.25">
      <c r="A271" s="16" t="s">
        <v>879</v>
      </c>
      <c r="B271" s="16">
        <v>4003</v>
      </c>
      <c r="C271" s="16" t="s">
        <v>880</v>
      </c>
    </row>
    <row r="272" spans="1:3" x14ac:dyDescent="0.25">
      <c r="A272" s="16" t="s">
        <v>881</v>
      </c>
      <c r="B272" s="16">
        <v>4004</v>
      </c>
      <c r="C272" s="16" t="s">
        <v>882</v>
      </c>
    </row>
    <row r="273" spans="1:3" x14ac:dyDescent="0.25">
      <c r="A273" s="16" t="s">
        <v>883</v>
      </c>
      <c r="B273" s="16">
        <v>4005</v>
      </c>
      <c r="C273" s="16" t="s">
        <v>884</v>
      </c>
    </row>
    <row r="274" spans="1:3" x14ac:dyDescent="0.25">
      <c r="A274" s="16" t="s">
        <v>885</v>
      </c>
      <c r="B274" s="16">
        <v>4006</v>
      </c>
      <c r="C274" s="16" t="s">
        <v>886</v>
      </c>
    </row>
    <row r="275" spans="1:3" x14ac:dyDescent="0.25">
      <c r="A275" s="16" t="s">
        <v>887</v>
      </c>
      <c r="B275" s="16">
        <v>4008</v>
      </c>
      <c r="C275" s="16" t="s">
        <v>888</v>
      </c>
    </row>
    <row r="276" spans="1:3" x14ac:dyDescent="0.25">
      <c r="A276" s="16" t="s">
        <v>889</v>
      </c>
      <c r="B276" s="16">
        <v>4009</v>
      </c>
      <c r="C276" s="16" t="s">
        <v>890</v>
      </c>
    </row>
    <row r="277" spans="1:3" x14ac:dyDescent="0.25">
      <c r="A277" s="16" t="s">
        <v>891</v>
      </c>
      <c r="B277" s="16">
        <v>4010</v>
      </c>
      <c r="C277" s="16" t="s">
        <v>892</v>
      </c>
    </row>
    <row r="278" spans="1:3" x14ac:dyDescent="0.25">
      <c r="A278" s="16" t="s">
        <v>893</v>
      </c>
      <c r="B278" s="16">
        <v>4011</v>
      </c>
      <c r="C278" s="16" t="s">
        <v>894</v>
      </c>
    </row>
    <row r="279" spans="1:3" x14ac:dyDescent="0.25">
      <c r="A279" s="16" t="s">
        <v>895</v>
      </c>
      <c r="B279" s="16">
        <v>4013</v>
      </c>
      <c r="C279" s="16" t="s">
        <v>896</v>
      </c>
    </row>
    <row r="280" spans="1:3" x14ac:dyDescent="0.25">
      <c r="A280" s="16" t="s">
        <v>897</v>
      </c>
      <c r="B280" s="16">
        <v>4014</v>
      </c>
      <c r="C280" s="16" t="s">
        <v>898</v>
      </c>
    </row>
    <row r="281" spans="1:3" x14ac:dyDescent="0.25">
      <c r="A281" s="16" t="s">
        <v>899</v>
      </c>
      <c r="B281" s="16">
        <v>4015</v>
      </c>
      <c r="C281" s="16" t="s">
        <v>900</v>
      </c>
    </row>
    <row r="282" spans="1:3" x14ac:dyDescent="0.25">
      <c r="A282" s="16" t="s">
        <v>901</v>
      </c>
      <c r="B282" s="16">
        <v>4016</v>
      </c>
      <c r="C282" s="16" t="s">
        <v>902</v>
      </c>
    </row>
    <row r="283" spans="1:3" x14ac:dyDescent="0.25">
      <c r="A283" s="16" t="s">
        <v>903</v>
      </c>
      <c r="B283" s="16">
        <v>4022</v>
      </c>
      <c r="C283" s="16" t="s">
        <v>904</v>
      </c>
    </row>
    <row r="284" spans="1:3" x14ac:dyDescent="0.25">
      <c r="A284" s="16" t="s">
        <v>905</v>
      </c>
      <c r="B284" s="16">
        <v>4025</v>
      </c>
      <c r="C284" s="16" t="s">
        <v>906</v>
      </c>
    </row>
    <row r="285" spans="1:3" x14ac:dyDescent="0.25">
      <c r="A285" s="16" t="s">
        <v>907</v>
      </c>
      <c r="B285" s="16">
        <v>4031</v>
      </c>
      <c r="C285" s="16" t="s">
        <v>908</v>
      </c>
    </row>
    <row r="286" spans="1:3" x14ac:dyDescent="0.25">
      <c r="A286" s="16" t="s">
        <v>909</v>
      </c>
      <c r="B286" s="16">
        <v>4033</v>
      </c>
      <c r="C286" s="16" t="s">
        <v>910</v>
      </c>
    </row>
    <row r="287" spans="1:3" x14ac:dyDescent="0.25">
      <c r="A287" s="16" t="s">
        <v>911</v>
      </c>
      <c r="B287" s="16">
        <v>4035</v>
      </c>
      <c r="C287" s="16" t="s">
        <v>912</v>
      </c>
    </row>
    <row r="288" spans="1:3" x14ac:dyDescent="0.25">
      <c r="A288" s="16" t="s">
        <v>913</v>
      </c>
      <c r="B288" s="16">
        <v>4036</v>
      </c>
      <c r="C288" s="16" t="s">
        <v>914</v>
      </c>
    </row>
    <row r="289" spans="1:3" x14ac:dyDescent="0.25">
      <c r="A289" s="16" t="s">
        <v>600</v>
      </c>
      <c r="B289" s="16">
        <v>4045</v>
      </c>
      <c r="C289" s="16" t="s">
        <v>915</v>
      </c>
    </row>
    <row r="290" spans="1:3" x14ac:dyDescent="0.25">
      <c r="A290" s="16" t="s">
        <v>916</v>
      </c>
      <c r="B290" s="16">
        <v>4046</v>
      </c>
      <c r="C290" s="16" t="s">
        <v>917</v>
      </c>
    </row>
    <row r="291" spans="1:3" x14ac:dyDescent="0.25">
      <c r="A291" s="16" t="s">
        <v>918</v>
      </c>
      <c r="B291" s="16">
        <v>4052</v>
      </c>
      <c r="C291" s="16" t="s">
        <v>919</v>
      </c>
    </row>
    <row r="292" spans="1:3" x14ac:dyDescent="0.25">
      <c r="A292" s="16" t="s">
        <v>920</v>
      </c>
      <c r="B292" s="16">
        <v>4054</v>
      </c>
      <c r="C292" s="16" t="s">
        <v>921</v>
      </c>
    </row>
    <row r="293" spans="1:3" x14ac:dyDescent="0.25">
      <c r="A293" s="16" t="s">
        <v>922</v>
      </c>
      <c r="B293" s="16">
        <v>4055</v>
      </c>
      <c r="C293" s="16" t="s">
        <v>923</v>
      </c>
    </row>
    <row r="294" spans="1:3" x14ac:dyDescent="0.25">
      <c r="A294" s="16" t="s">
        <v>924</v>
      </c>
      <c r="B294" s="16">
        <v>4056</v>
      </c>
      <c r="C294" s="16" t="s">
        <v>925</v>
      </c>
    </row>
    <row r="295" spans="1:3" x14ac:dyDescent="0.25">
      <c r="A295" s="16" t="s">
        <v>926</v>
      </c>
      <c r="B295" s="16">
        <v>4056</v>
      </c>
      <c r="C295" s="16" t="s">
        <v>927</v>
      </c>
    </row>
    <row r="296" spans="1:3" x14ac:dyDescent="0.25">
      <c r="A296" s="16" t="s">
        <v>928</v>
      </c>
      <c r="B296" s="16">
        <v>4062</v>
      </c>
      <c r="C296" s="16" t="s">
        <v>929</v>
      </c>
    </row>
    <row r="297" spans="1:3" x14ac:dyDescent="0.25">
      <c r="A297" s="16" t="s">
        <v>930</v>
      </c>
      <c r="B297" s="16">
        <v>4066</v>
      </c>
      <c r="C297" s="16" t="s">
        <v>109</v>
      </c>
    </row>
    <row r="298" spans="1:3" x14ac:dyDescent="0.25">
      <c r="A298" s="16" t="s">
        <v>931</v>
      </c>
      <c r="B298" s="16">
        <v>4067</v>
      </c>
      <c r="C298" s="16" t="s">
        <v>932</v>
      </c>
    </row>
    <row r="299" spans="1:3" x14ac:dyDescent="0.25">
      <c r="A299" s="16" t="s">
        <v>933</v>
      </c>
      <c r="B299" s="16">
        <v>4074</v>
      </c>
      <c r="C299" s="16" t="s">
        <v>934</v>
      </c>
    </row>
    <row r="300" spans="1:3" x14ac:dyDescent="0.25">
      <c r="A300" s="16" t="s">
        <v>935</v>
      </c>
      <c r="B300" s="16">
        <v>4075</v>
      </c>
      <c r="C300" s="16" t="s">
        <v>936</v>
      </c>
    </row>
    <row r="301" spans="1:3" x14ac:dyDescent="0.25">
      <c r="A301" s="16" t="s">
        <v>937</v>
      </c>
      <c r="B301" s="16">
        <v>4077</v>
      </c>
      <c r="C301" s="16" t="s">
        <v>938</v>
      </c>
    </row>
    <row r="302" spans="1:3" x14ac:dyDescent="0.25">
      <c r="A302" s="16" t="s">
        <v>939</v>
      </c>
      <c r="B302" s="16">
        <v>4079</v>
      </c>
      <c r="C302" s="16" t="s">
        <v>940</v>
      </c>
    </row>
    <row r="303" spans="1:3" x14ac:dyDescent="0.25">
      <c r="A303" s="16" t="s">
        <v>941</v>
      </c>
      <c r="B303" s="16">
        <v>4093</v>
      </c>
      <c r="C303" s="16" t="s">
        <v>942</v>
      </c>
    </row>
    <row r="304" spans="1:3" x14ac:dyDescent="0.25">
      <c r="A304" s="16" t="s">
        <v>943</v>
      </c>
      <c r="B304" s="16">
        <v>4093</v>
      </c>
      <c r="C304" s="16" t="s">
        <v>944</v>
      </c>
    </row>
    <row r="305" spans="1:3" x14ac:dyDescent="0.25">
      <c r="A305" s="16" t="s">
        <v>945</v>
      </c>
      <c r="B305" s="16">
        <v>4094</v>
      </c>
      <c r="C305" s="16" t="s">
        <v>946</v>
      </c>
    </row>
    <row r="306" spans="1:3" x14ac:dyDescent="0.25">
      <c r="A306" s="16" t="s">
        <v>947</v>
      </c>
      <c r="B306" s="16">
        <v>4095</v>
      </c>
      <c r="C306" s="16" t="s">
        <v>948</v>
      </c>
    </row>
    <row r="307" spans="1:3" x14ac:dyDescent="0.25">
      <c r="A307" s="16" t="s">
        <v>949</v>
      </c>
      <c r="B307" s="16">
        <v>5012</v>
      </c>
      <c r="C307" s="16" t="s">
        <v>950</v>
      </c>
    </row>
    <row r="308" spans="1:3" x14ac:dyDescent="0.25">
      <c r="A308" s="16" t="s">
        <v>951</v>
      </c>
      <c r="B308" s="16">
        <v>5012</v>
      </c>
      <c r="C308" s="16" t="s">
        <v>952</v>
      </c>
    </row>
    <row r="309" spans="1:3" x14ac:dyDescent="0.25">
      <c r="A309" s="16" t="s">
        <v>953</v>
      </c>
      <c r="B309" s="16">
        <v>5013</v>
      </c>
      <c r="C309" s="16" t="s">
        <v>954</v>
      </c>
    </row>
    <row r="310" spans="1:3" x14ac:dyDescent="0.25">
      <c r="A310" s="16" t="s">
        <v>955</v>
      </c>
      <c r="B310" s="16">
        <v>5014</v>
      </c>
      <c r="C310" s="16" t="s">
        <v>956</v>
      </c>
    </row>
    <row r="311" spans="1:3" x14ac:dyDescent="0.25">
      <c r="A311" s="16" t="s">
        <v>957</v>
      </c>
      <c r="B311" s="16">
        <v>5015</v>
      </c>
      <c r="C311" s="16" t="s">
        <v>958</v>
      </c>
    </row>
    <row r="312" spans="1:3" x14ac:dyDescent="0.25">
      <c r="A312" s="16" t="s">
        <v>959</v>
      </c>
      <c r="B312" s="16">
        <v>5016</v>
      </c>
      <c r="C312" s="16" t="s">
        <v>960</v>
      </c>
    </row>
    <row r="313" spans="1:3" x14ac:dyDescent="0.25">
      <c r="A313" s="16" t="s">
        <v>961</v>
      </c>
      <c r="B313" s="16">
        <v>5017</v>
      </c>
      <c r="C313" s="16" t="s">
        <v>962</v>
      </c>
    </row>
    <row r="314" spans="1:3" x14ac:dyDescent="0.25">
      <c r="A314" s="16" t="s">
        <v>963</v>
      </c>
      <c r="B314" s="16">
        <v>5018</v>
      </c>
      <c r="C314" s="16" t="s">
        <v>964</v>
      </c>
    </row>
    <row r="315" spans="1:3" x14ac:dyDescent="0.25">
      <c r="A315" s="16" t="s">
        <v>965</v>
      </c>
      <c r="B315" s="16">
        <v>5019</v>
      </c>
      <c r="C315" s="16" t="s">
        <v>966</v>
      </c>
    </row>
    <row r="316" spans="1:3" x14ac:dyDescent="0.25">
      <c r="A316" s="16" t="s">
        <v>967</v>
      </c>
      <c r="B316" s="16">
        <v>5022</v>
      </c>
      <c r="C316" s="16" t="s">
        <v>968</v>
      </c>
    </row>
    <row r="317" spans="1:3" x14ac:dyDescent="0.25">
      <c r="A317" s="16" t="s">
        <v>969</v>
      </c>
      <c r="B317" s="16">
        <v>5023</v>
      </c>
      <c r="C317" s="16" t="s">
        <v>970</v>
      </c>
    </row>
    <row r="318" spans="1:3" x14ac:dyDescent="0.25">
      <c r="A318" s="16" t="s">
        <v>971</v>
      </c>
      <c r="B318" s="16">
        <v>5024</v>
      </c>
      <c r="C318" s="16" t="s">
        <v>972</v>
      </c>
    </row>
    <row r="319" spans="1:3" x14ac:dyDescent="0.25">
      <c r="A319" s="16" t="s">
        <v>973</v>
      </c>
      <c r="B319" s="16">
        <v>5025</v>
      </c>
      <c r="C319" s="16" t="s">
        <v>974</v>
      </c>
    </row>
    <row r="320" spans="1:3" x14ac:dyDescent="0.25">
      <c r="A320" s="16" t="s">
        <v>975</v>
      </c>
      <c r="B320" s="16">
        <v>5027</v>
      </c>
      <c r="C320" s="16" t="s">
        <v>976</v>
      </c>
    </row>
    <row r="321" spans="1:3" x14ac:dyDescent="0.25">
      <c r="A321" s="16" t="s">
        <v>977</v>
      </c>
      <c r="B321" s="16">
        <v>5033</v>
      </c>
      <c r="C321" s="16" t="s">
        <v>978</v>
      </c>
    </row>
    <row r="322" spans="1:3" x14ac:dyDescent="0.25">
      <c r="A322" s="16" t="s">
        <v>979</v>
      </c>
      <c r="B322" s="16">
        <v>5035</v>
      </c>
      <c r="C322" s="16" t="s">
        <v>980</v>
      </c>
    </row>
    <row r="323" spans="1:3" x14ac:dyDescent="0.25">
      <c r="A323" s="16" t="s">
        <v>981</v>
      </c>
      <c r="B323" s="16">
        <v>5037</v>
      </c>
      <c r="C323" s="16" t="s">
        <v>982</v>
      </c>
    </row>
    <row r="324" spans="1:3" x14ac:dyDescent="0.25">
      <c r="A324" s="16" t="s">
        <v>983</v>
      </c>
      <c r="B324" s="16">
        <v>5039</v>
      </c>
      <c r="C324" s="16" t="s">
        <v>984</v>
      </c>
    </row>
    <row r="325" spans="1:3" x14ac:dyDescent="0.25">
      <c r="A325" s="16" t="s">
        <v>985</v>
      </c>
      <c r="B325" s="16">
        <v>5058</v>
      </c>
      <c r="C325" s="16" t="s">
        <v>986</v>
      </c>
    </row>
    <row r="326" spans="1:3" x14ac:dyDescent="0.25">
      <c r="A326" s="16" t="s">
        <v>987</v>
      </c>
      <c r="B326" s="16">
        <v>5059</v>
      </c>
      <c r="C326" s="16" t="s">
        <v>988</v>
      </c>
    </row>
    <row r="327" spans="1:3" x14ac:dyDescent="0.25">
      <c r="A327" s="16" t="s">
        <v>989</v>
      </c>
      <c r="B327" s="16">
        <v>5060</v>
      </c>
      <c r="C327" s="16" t="s">
        <v>990</v>
      </c>
    </row>
    <row r="328" spans="1:3" x14ac:dyDescent="0.25">
      <c r="A328" s="16" t="s">
        <v>991</v>
      </c>
      <c r="B328" s="16">
        <v>5061</v>
      </c>
      <c r="C328" s="16" t="s">
        <v>992</v>
      </c>
    </row>
    <row r="329" spans="1:3" x14ac:dyDescent="0.25">
      <c r="A329" s="16" t="s">
        <v>993</v>
      </c>
      <c r="B329" s="16">
        <v>5063</v>
      </c>
      <c r="C329" s="16" t="s">
        <v>994</v>
      </c>
    </row>
    <row r="330" spans="1:3" x14ac:dyDescent="0.25">
      <c r="A330" s="16" t="s">
        <v>995</v>
      </c>
      <c r="B330" s="16">
        <v>5064</v>
      </c>
      <c r="C330" s="16" t="s">
        <v>996</v>
      </c>
    </row>
    <row r="331" spans="1:3" x14ac:dyDescent="0.25">
      <c r="A331" s="16" t="s">
        <v>997</v>
      </c>
      <c r="B331" s="16">
        <v>5065</v>
      </c>
      <c r="C331" s="16" t="s">
        <v>998</v>
      </c>
    </row>
    <row r="332" spans="1:3" x14ac:dyDescent="0.25">
      <c r="A332" s="16" t="s">
        <v>999</v>
      </c>
      <c r="B332" s="16">
        <v>5086</v>
      </c>
      <c r="C332" s="16" t="s">
        <v>1000</v>
      </c>
    </row>
    <row r="333" spans="1:3" x14ac:dyDescent="0.25">
      <c r="A333" s="16" t="s">
        <v>1001</v>
      </c>
      <c r="B333" s="16">
        <v>5114</v>
      </c>
      <c r="C333" s="16" t="s">
        <v>1002</v>
      </c>
    </row>
    <row r="334" spans="1:3" x14ac:dyDescent="0.25">
      <c r="A334" s="16" t="s">
        <v>1003</v>
      </c>
      <c r="B334" s="16">
        <v>5115</v>
      </c>
      <c r="C334" s="16" t="s">
        <v>1004</v>
      </c>
    </row>
    <row r="335" spans="1:3" x14ac:dyDescent="0.25">
      <c r="A335" s="16" t="s">
        <v>1005</v>
      </c>
      <c r="B335" s="16">
        <v>5116</v>
      </c>
      <c r="C335" s="16" t="s">
        <v>1006</v>
      </c>
    </row>
    <row r="336" spans="1:3" x14ac:dyDescent="0.25">
      <c r="A336" s="16" t="s">
        <v>1007</v>
      </c>
      <c r="B336" s="16">
        <v>5117</v>
      </c>
      <c r="C336" s="16" t="s">
        <v>1008</v>
      </c>
    </row>
    <row r="337" spans="1:3" x14ac:dyDescent="0.25">
      <c r="A337" s="16" t="s">
        <v>1009</v>
      </c>
      <c r="B337" s="16">
        <v>5118</v>
      </c>
      <c r="C337" s="16" t="s">
        <v>1010</v>
      </c>
    </row>
    <row r="338" spans="1:3" x14ac:dyDescent="0.25">
      <c r="A338" s="16" t="s">
        <v>1011</v>
      </c>
      <c r="B338" s="16">
        <v>5122</v>
      </c>
      <c r="C338" s="16" t="s">
        <v>1012</v>
      </c>
    </row>
    <row r="339" spans="1:3" x14ac:dyDescent="0.25">
      <c r="A339" s="16" t="s">
        <v>1013</v>
      </c>
      <c r="B339" s="16">
        <v>5128</v>
      </c>
      <c r="C339" s="16" t="s">
        <v>1014</v>
      </c>
    </row>
    <row r="340" spans="1:3" x14ac:dyDescent="0.25">
      <c r="A340" s="16" t="s">
        <v>1015</v>
      </c>
      <c r="B340" s="16">
        <v>5129</v>
      </c>
      <c r="C340" s="16" t="s">
        <v>1016</v>
      </c>
    </row>
    <row r="341" spans="1:3" x14ac:dyDescent="0.25">
      <c r="A341" s="16" t="s">
        <v>1017</v>
      </c>
      <c r="B341" s="16">
        <v>5133</v>
      </c>
      <c r="C341" s="16" t="s">
        <v>1018</v>
      </c>
    </row>
    <row r="342" spans="1:3" x14ac:dyDescent="0.25">
      <c r="A342" s="16" t="s">
        <v>1019</v>
      </c>
      <c r="B342" s="16">
        <v>5137</v>
      </c>
      <c r="C342" s="16" t="s">
        <v>1020</v>
      </c>
    </row>
    <row r="343" spans="1:3" x14ac:dyDescent="0.25">
      <c r="A343" s="16" t="s">
        <v>1021</v>
      </c>
      <c r="B343" s="16">
        <v>5165</v>
      </c>
      <c r="C343" s="16" t="s">
        <v>1022</v>
      </c>
    </row>
    <row r="344" spans="1:3" x14ac:dyDescent="0.25">
      <c r="A344" s="16" t="s">
        <v>1023</v>
      </c>
      <c r="B344" s="16">
        <v>5166</v>
      </c>
      <c r="C344" s="16" t="s">
        <v>1024</v>
      </c>
    </row>
    <row r="345" spans="1:3" x14ac:dyDescent="0.25">
      <c r="A345" s="16" t="s">
        <v>1025</v>
      </c>
      <c r="B345" s="16">
        <v>5173</v>
      </c>
      <c r="C345" s="16" t="s">
        <v>1026</v>
      </c>
    </row>
    <row r="346" spans="1:3" x14ac:dyDescent="0.25">
      <c r="A346" s="16" t="s">
        <v>1027</v>
      </c>
      <c r="B346" s="16">
        <v>5174</v>
      </c>
      <c r="C346" s="16" t="s">
        <v>1028</v>
      </c>
    </row>
    <row r="347" spans="1:3" x14ac:dyDescent="0.25">
      <c r="A347" s="16" t="s">
        <v>1029</v>
      </c>
      <c r="B347" s="16">
        <v>5175</v>
      </c>
      <c r="C347" s="16" t="s">
        <v>1030</v>
      </c>
    </row>
    <row r="348" spans="1:3" x14ac:dyDescent="0.25">
      <c r="A348" s="16" t="s">
        <v>1031</v>
      </c>
      <c r="B348" s="16">
        <v>5178</v>
      </c>
      <c r="C348" s="16" t="s">
        <v>1032</v>
      </c>
    </row>
    <row r="349" spans="1:3" x14ac:dyDescent="0.25">
      <c r="A349" s="16" t="s">
        <v>1033</v>
      </c>
      <c r="B349" s="16">
        <v>5179</v>
      </c>
      <c r="C349" s="16" t="s">
        <v>1034</v>
      </c>
    </row>
    <row r="350" spans="1:3" x14ac:dyDescent="0.25">
      <c r="A350" s="16" t="s">
        <v>1035</v>
      </c>
      <c r="B350" s="16">
        <v>5180</v>
      </c>
      <c r="C350" s="16" t="s">
        <v>1036</v>
      </c>
    </row>
    <row r="351" spans="1:3" x14ac:dyDescent="0.25">
      <c r="A351" s="16" t="s">
        <v>1037</v>
      </c>
      <c r="B351" s="16">
        <v>5181</v>
      </c>
      <c r="C351" s="16" t="s">
        <v>1038</v>
      </c>
    </row>
    <row r="352" spans="1:3" x14ac:dyDescent="0.25">
      <c r="A352" s="16" t="s">
        <v>1039</v>
      </c>
      <c r="B352" s="16">
        <v>5184</v>
      </c>
      <c r="C352" s="16" t="s">
        <v>1040</v>
      </c>
    </row>
    <row r="353" spans="1:3" x14ac:dyDescent="0.25">
      <c r="A353" s="16" t="s">
        <v>1041</v>
      </c>
      <c r="B353" s="16">
        <v>5185</v>
      </c>
      <c r="C353" s="16" t="s">
        <v>1042</v>
      </c>
    </row>
    <row r="354" spans="1:3" x14ac:dyDescent="0.25">
      <c r="A354" s="16" t="s">
        <v>1043</v>
      </c>
      <c r="B354" s="16">
        <v>5186</v>
      </c>
      <c r="C354" s="16" t="s">
        <v>1044</v>
      </c>
    </row>
    <row r="355" spans="1:3" x14ac:dyDescent="0.25">
      <c r="A355" s="16" t="s">
        <v>1045</v>
      </c>
      <c r="B355" s="16">
        <v>5187</v>
      </c>
      <c r="C355" s="16" t="s">
        <v>1046</v>
      </c>
    </row>
    <row r="356" spans="1:3" x14ac:dyDescent="0.25">
      <c r="A356" s="16" t="s">
        <v>1047</v>
      </c>
      <c r="B356" s="16">
        <v>5188</v>
      </c>
      <c r="C356" s="16" t="s">
        <v>1048</v>
      </c>
    </row>
    <row r="357" spans="1:3" x14ac:dyDescent="0.25">
      <c r="A357" s="16" t="s">
        <v>1049</v>
      </c>
      <c r="B357" s="16">
        <v>5190</v>
      </c>
      <c r="C357" s="16" t="s">
        <v>1050</v>
      </c>
    </row>
    <row r="358" spans="1:3" x14ac:dyDescent="0.25">
      <c r="A358" s="16" t="s">
        <v>1051</v>
      </c>
      <c r="B358" s="16">
        <v>5191</v>
      </c>
      <c r="C358" s="16" t="s">
        <v>1052</v>
      </c>
    </row>
    <row r="359" spans="1:3" x14ac:dyDescent="0.25">
      <c r="A359" s="16" t="s">
        <v>1053</v>
      </c>
      <c r="B359" s="16">
        <v>5192</v>
      </c>
      <c r="C359" s="16" t="s">
        <v>1054</v>
      </c>
    </row>
    <row r="360" spans="1:3" x14ac:dyDescent="0.25">
      <c r="A360" s="16" t="s">
        <v>1055</v>
      </c>
      <c r="B360" s="16">
        <v>5192</v>
      </c>
      <c r="C360" s="16" t="s">
        <v>1056</v>
      </c>
    </row>
    <row r="361" spans="1:3" x14ac:dyDescent="0.25">
      <c r="A361" s="16" t="s">
        <v>1057</v>
      </c>
      <c r="B361" s="16">
        <v>5193</v>
      </c>
      <c r="C361" s="16" t="s">
        <v>1058</v>
      </c>
    </row>
    <row r="362" spans="1:3" x14ac:dyDescent="0.25">
      <c r="A362" s="16" t="s">
        <v>1059</v>
      </c>
      <c r="B362" s="16">
        <v>5194</v>
      </c>
      <c r="C362" s="16" t="s">
        <v>1060</v>
      </c>
    </row>
    <row r="363" spans="1:3" x14ac:dyDescent="0.25">
      <c r="A363" s="16" t="s">
        <v>1061</v>
      </c>
      <c r="B363" s="16">
        <v>5196</v>
      </c>
      <c r="C363" s="16" t="s">
        <v>1062</v>
      </c>
    </row>
    <row r="364" spans="1:3" x14ac:dyDescent="0.25">
      <c r="A364" s="16" t="s">
        <v>1063</v>
      </c>
      <c r="B364" s="16">
        <v>5197</v>
      </c>
      <c r="C364" s="16" t="s">
        <v>1064</v>
      </c>
    </row>
    <row r="365" spans="1:3" x14ac:dyDescent="0.25">
      <c r="A365" s="16" t="s">
        <v>1065</v>
      </c>
      <c r="B365" s="16">
        <v>5199</v>
      </c>
      <c r="C365" s="16" t="s">
        <v>1066</v>
      </c>
    </row>
    <row r="366" spans="1:3" x14ac:dyDescent="0.25">
      <c r="A366" s="16" t="s">
        <v>1067</v>
      </c>
      <c r="B366" s="16">
        <v>5200</v>
      </c>
      <c r="C366" s="16" t="s">
        <v>1068</v>
      </c>
    </row>
    <row r="367" spans="1:3" x14ac:dyDescent="0.25">
      <c r="A367" s="16" t="s">
        <v>1069</v>
      </c>
      <c r="B367" s="16">
        <v>5201</v>
      </c>
      <c r="C367" s="16" t="s">
        <v>1070</v>
      </c>
    </row>
    <row r="368" spans="1:3" x14ac:dyDescent="0.25">
      <c r="A368" s="16" t="s">
        <v>1071</v>
      </c>
      <c r="B368" s="16">
        <v>5202</v>
      </c>
      <c r="C368" s="16" t="s">
        <v>1072</v>
      </c>
    </row>
    <row r="369" spans="1:3" x14ac:dyDescent="0.25">
      <c r="A369" s="16" t="s">
        <v>1073</v>
      </c>
      <c r="B369" s="16">
        <v>5203</v>
      </c>
      <c r="C369" s="16" t="s">
        <v>1074</v>
      </c>
    </row>
    <row r="370" spans="1:3" x14ac:dyDescent="0.25">
      <c r="A370" s="16" t="s">
        <v>1075</v>
      </c>
      <c r="B370" s="16">
        <v>5207</v>
      </c>
      <c r="C370" s="16" t="s">
        <v>1076</v>
      </c>
    </row>
    <row r="371" spans="1:3" x14ac:dyDescent="0.25">
      <c r="A371" s="16" t="s">
        <v>1077</v>
      </c>
      <c r="B371" s="16">
        <v>5209</v>
      </c>
      <c r="C371" s="16" t="s">
        <v>1078</v>
      </c>
    </row>
    <row r="372" spans="1:3" x14ac:dyDescent="0.25">
      <c r="A372" s="16" t="s">
        <v>1079</v>
      </c>
      <c r="B372" s="16">
        <v>5210</v>
      </c>
      <c r="C372" s="16" t="s">
        <v>1080</v>
      </c>
    </row>
    <row r="373" spans="1:3" x14ac:dyDescent="0.25">
      <c r="A373" s="16" t="s">
        <v>1081</v>
      </c>
      <c r="B373" s="16">
        <v>5211</v>
      </c>
      <c r="C373" s="16" t="s">
        <v>1082</v>
      </c>
    </row>
    <row r="374" spans="1:3" x14ac:dyDescent="0.25">
      <c r="A374" s="16" t="s">
        <v>1083</v>
      </c>
      <c r="B374" s="16">
        <v>5218</v>
      </c>
      <c r="C374" s="16" t="s">
        <v>1084</v>
      </c>
    </row>
    <row r="375" spans="1:3" x14ac:dyDescent="0.25">
      <c r="A375" s="16" t="s">
        <v>1085</v>
      </c>
      <c r="B375" s="16">
        <v>5219</v>
      </c>
      <c r="C375" s="16" t="s">
        <v>1086</v>
      </c>
    </row>
    <row r="376" spans="1:3" x14ac:dyDescent="0.25">
      <c r="A376" s="16" t="s">
        <v>1087</v>
      </c>
      <c r="B376" s="16">
        <v>5220</v>
      </c>
      <c r="C376" s="16" t="s">
        <v>1088</v>
      </c>
    </row>
    <row r="377" spans="1:3" x14ac:dyDescent="0.25">
      <c r="A377" s="16" t="s">
        <v>1089</v>
      </c>
      <c r="B377" s="16">
        <v>5232</v>
      </c>
      <c r="C377" s="16" t="s">
        <v>1090</v>
      </c>
    </row>
    <row r="378" spans="1:3" x14ac:dyDescent="0.25">
      <c r="A378" s="16" t="s">
        <v>1091</v>
      </c>
      <c r="B378" s="16">
        <v>5234</v>
      </c>
      <c r="C378" s="16" t="s">
        <v>1092</v>
      </c>
    </row>
    <row r="379" spans="1:3" x14ac:dyDescent="0.25">
      <c r="A379" s="16" t="s">
        <v>1093</v>
      </c>
      <c r="B379" s="16">
        <v>5236</v>
      </c>
      <c r="C379" s="16" t="s">
        <v>1094</v>
      </c>
    </row>
    <row r="380" spans="1:3" x14ac:dyDescent="0.25">
      <c r="A380" s="16" t="s">
        <v>1095</v>
      </c>
      <c r="B380" s="16">
        <v>5237</v>
      </c>
      <c r="C380" s="16" t="s">
        <v>1096</v>
      </c>
    </row>
    <row r="381" spans="1:3" x14ac:dyDescent="0.25">
      <c r="A381" s="16" t="s">
        <v>1097</v>
      </c>
      <c r="B381" s="16">
        <v>5238</v>
      </c>
      <c r="C381" s="16" t="s">
        <v>1098</v>
      </c>
    </row>
    <row r="382" spans="1:3" x14ac:dyDescent="0.25">
      <c r="A382" s="16" t="s">
        <v>1099</v>
      </c>
      <c r="B382" s="16">
        <v>5239</v>
      </c>
      <c r="C382" s="16" t="s">
        <v>1100</v>
      </c>
    </row>
    <row r="383" spans="1:3" x14ac:dyDescent="0.25">
      <c r="A383" s="16" t="s">
        <v>1101</v>
      </c>
      <c r="B383" s="16">
        <v>5240</v>
      </c>
      <c r="C383" s="16" t="s">
        <v>1102</v>
      </c>
    </row>
    <row r="384" spans="1:3" x14ac:dyDescent="0.25">
      <c r="A384" s="16" t="s">
        <v>1103</v>
      </c>
      <c r="B384" s="16">
        <v>5241</v>
      </c>
      <c r="C384" s="16" t="s">
        <v>1104</v>
      </c>
    </row>
    <row r="385" spans="1:3" x14ac:dyDescent="0.25">
      <c r="A385" s="16" t="s">
        <v>1105</v>
      </c>
      <c r="B385" s="16">
        <v>5242</v>
      </c>
      <c r="C385" s="16" t="s">
        <v>1106</v>
      </c>
    </row>
    <row r="386" spans="1:3" x14ac:dyDescent="0.25">
      <c r="A386" s="16" t="s">
        <v>1107</v>
      </c>
      <c r="B386" s="16">
        <v>5243</v>
      </c>
      <c r="C386" s="16" t="s">
        <v>1108</v>
      </c>
    </row>
    <row r="387" spans="1:3" x14ac:dyDescent="0.25">
      <c r="A387" s="16" t="s">
        <v>1109</v>
      </c>
      <c r="B387" s="16">
        <v>5244</v>
      </c>
      <c r="C387" s="16" t="s">
        <v>1110</v>
      </c>
    </row>
    <row r="388" spans="1:3" x14ac:dyDescent="0.25">
      <c r="A388" s="16" t="s">
        <v>1111</v>
      </c>
      <c r="B388" s="16">
        <v>5245</v>
      </c>
      <c r="C388" s="16" t="s">
        <v>1112</v>
      </c>
    </row>
    <row r="389" spans="1:3" x14ac:dyDescent="0.25">
      <c r="A389" s="16" t="s">
        <v>1113</v>
      </c>
      <c r="B389" s="16">
        <v>5246</v>
      </c>
      <c r="C389" s="16" t="s">
        <v>1114</v>
      </c>
    </row>
    <row r="390" spans="1:3" x14ac:dyDescent="0.25">
      <c r="A390" s="16" t="s">
        <v>1115</v>
      </c>
      <c r="B390" s="16">
        <v>5247</v>
      </c>
      <c r="C390" s="16" t="s">
        <v>1116</v>
      </c>
    </row>
    <row r="391" spans="1:3" x14ac:dyDescent="0.25">
      <c r="A391" s="16" t="s">
        <v>1117</v>
      </c>
      <c r="B391" s="16">
        <v>5248</v>
      </c>
      <c r="C391" s="16" t="s">
        <v>1118</v>
      </c>
    </row>
    <row r="392" spans="1:3" x14ac:dyDescent="0.25">
      <c r="A392" s="16" t="s">
        <v>1119</v>
      </c>
      <c r="B392" s="16">
        <v>5250</v>
      </c>
      <c r="C392" s="16" t="s">
        <v>1120</v>
      </c>
    </row>
    <row r="393" spans="1:3" x14ac:dyDescent="0.25">
      <c r="A393" s="16" t="s">
        <v>1121</v>
      </c>
      <c r="B393" s="16">
        <v>5251</v>
      </c>
      <c r="C393" s="16" t="s">
        <v>1122</v>
      </c>
    </row>
    <row r="394" spans="1:3" x14ac:dyDescent="0.25">
      <c r="A394" s="16" t="s">
        <v>1123</v>
      </c>
      <c r="B394" s="16">
        <v>5252</v>
      </c>
      <c r="C394" s="16" t="s">
        <v>1124</v>
      </c>
    </row>
    <row r="395" spans="1:3" x14ac:dyDescent="0.25">
      <c r="A395" s="16" t="s">
        <v>1125</v>
      </c>
      <c r="B395" s="16">
        <v>5253</v>
      </c>
      <c r="C395" s="16" t="s">
        <v>1126</v>
      </c>
    </row>
    <row r="396" spans="1:3" x14ac:dyDescent="0.25">
      <c r="A396" s="16" t="s">
        <v>1127</v>
      </c>
      <c r="B396" s="16">
        <v>5260</v>
      </c>
      <c r="C396" s="16" t="s">
        <v>1128</v>
      </c>
    </row>
    <row r="397" spans="1:3" x14ac:dyDescent="0.25">
      <c r="A397" s="16" t="s">
        <v>1129</v>
      </c>
      <c r="B397" s="16">
        <v>5261</v>
      </c>
      <c r="C397" s="16" t="s">
        <v>1130</v>
      </c>
    </row>
    <row r="398" spans="1:3" x14ac:dyDescent="0.25">
      <c r="A398" s="16" t="s">
        <v>1131</v>
      </c>
      <c r="B398" s="16">
        <v>5262</v>
      </c>
      <c r="C398" s="16" t="s">
        <v>1132</v>
      </c>
    </row>
    <row r="399" spans="1:3" x14ac:dyDescent="0.25">
      <c r="A399" s="16" t="s">
        <v>1133</v>
      </c>
      <c r="B399" s="16">
        <v>5263</v>
      </c>
      <c r="C399" s="16" t="s">
        <v>1134</v>
      </c>
    </row>
    <row r="400" spans="1:3" x14ac:dyDescent="0.25">
      <c r="A400" s="16" t="s">
        <v>1135</v>
      </c>
      <c r="B400" s="16">
        <v>5264</v>
      </c>
      <c r="C400" s="16" t="s">
        <v>112</v>
      </c>
    </row>
    <row r="401" spans="1:3" x14ac:dyDescent="0.25">
      <c r="A401" s="16" t="s">
        <v>1136</v>
      </c>
      <c r="B401" s="16">
        <v>5265</v>
      </c>
      <c r="C401" s="16" t="s">
        <v>1137</v>
      </c>
    </row>
    <row r="402" spans="1:3" x14ac:dyDescent="0.25">
      <c r="A402" s="16" t="s">
        <v>1138</v>
      </c>
      <c r="B402" s="16">
        <v>5266</v>
      </c>
      <c r="C402" s="16" t="s">
        <v>1139</v>
      </c>
    </row>
    <row r="403" spans="1:3" x14ac:dyDescent="0.25">
      <c r="A403" s="16" t="s">
        <v>1140</v>
      </c>
      <c r="B403" s="16">
        <v>5267</v>
      </c>
      <c r="C403" s="16" t="s">
        <v>1141</v>
      </c>
    </row>
    <row r="404" spans="1:3" x14ac:dyDescent="0.25">
      <c r="A404" s="16" t="s">
        <v>1142</v>
      </c>
      <c r="B404" s="16">
        <v>5268</v>
      </c>
      <c r="C404" s="16" t="s">
        <v>1143</v>
      </c>
    </row>
    <row r="405" spans="1:3" x14ac:dyDescent="0.25">
      <c r="A405" s="16" t="s">
        <v>1144</v>
      </c>
      <c r="B405" s="16">
        <v>5269</v>
      </c>
      <c r="C405" s="16" t="s">
        <v>1145</v>
      </c>
    </row>
    <row r="406" spans="1:3" x14ac:dyDescent="0.25">
      <c r="A406" s="16" t="s">
        <v>1146</v>
      </c>
      <c r="B406" s="16">
        <v>5270</v>
      </c>
      <c r="C406" s="16" t="s">
        <v>1147</v>
      </c>
    </row>
    <row r="407" spans="1:3" x14ac:dyDescent="0.25">
      <c r="A407" s="16" t="s">
        <v>1148</v>
      </c>
      <c r="B407" s="16">
        <v>5271</v>
      </c>
      <c r="C407" s="16" t="s">
        <v>1149</v>
      </c>
    </row>
    <row r="408" spans="1:3" x14ac:dyDescent="0.25">
      <c r="A408" s="16" t="s">
        <v>1150</v>
      </c>
      <c r="B408" s="16">
        <v>5272</v>
      </c>
      <c r="C408" s="16" t="s">
        <v>1151</v>
      </c>
    </row>
    <row r="409" spans="1:3" x14ac:dyDescent="0.25">
      <c r="A409" s="16" t="s">
        <v>1152</v>
      </c>
      <c r="B409" s="16">
        <v>5273</v>
      </c>
      <c r="C409" s="16" t="s">
        <v>1153</v>
      </c>
    </row>
    <row r="410" spans="1:3" x14ac:dyDescent="0.25">
      <c r="A410" s="16" t="s">
        <v>454</v>
      </c>
      <c r="B410" s="16">
        <v>5275</v>
      </c>
      <c r="C410" s="16" t="s">
        <v>1154</v>
      </c>
    </row>
    <row r="411" spans="1:3" x14ac:dyDescent="0.25">
      <c r="A411" s="16" t="s">
        <v>1155</v>
      </c>
      <c r="B411" s="16">
        <v>5276</v>
      </c>
      <c r="C411" s="16" t="s">
        <v>1156</v>
      </c>
    </row>
    <row r="412" spans="1:3" x14ac:dyDescent="0.25">
      <c r="A412" s="16" t="s">
        <v>1157</v>
      </c>
      <c r="B412" s="16">
        <v>5277</v>
      </c>
      <c r="C412" s="16" t="s">
        <v>1158</v>
      </c>
    </row>
    <row r="413" spans="1:3" x14ac:dyDescent="0.25">
      <c r="A413" s="16" t="s">
        <v>1159</v>
      </c>
      <c r="B413" s="16">
        <v>5278</v>
      </c>
      <c r="C413" s="16" t="s">
        <v>1160</v>
      </c>
    </row>
    <row r="414" spans="1:3" x14ac:dyDescent="0.25">
      <c r="A414" s="16" t="s">
        <v>1161</v>
      </c>
      <c r="B414" s="16">
        <v>5279</v>
      </c>
      <c r="C414" s="16" t="s">
        <v>1162</v>
      </c>
    </row>
    <row r="415" spans="1:3" x14ac:dyDescent="0.25">
      <c r="A415" s="16" t="s">
        <v>1163</v>
      </c>
      <c r="B415" s="16">
        <v>5281</v>
      </c>
      <c r="C415" s="16" t="s">
        <v>1164</v>
      </c>
    </row>
    <row r="416" spans="1:3" x14ac:dyDescent="0.25">
      <c r="A416" s="16" t="s">
        <v>1165</v>
      </c>
      <c r="B416" s="16">
        <v>5282</v>
      </c>
      <c r="C416" s="16" t="s">
        <v>1166</v>
      </c>
    </row>
    <row r="417" spans="1:3" x14ac:dyDescent="0.25">
      <c r="A417" s="16" t="s">
        <v>1167</v>
      </c>
      <c r="B417" s="16">
        <v>5283</v>
      </c>
      <c r="C417" s="16" t="s">
        <v>1168</v>
      </c>
    </row>
    <row r="418" spans="1:3" x14ac:dyDescent="0.25">
      <c r="A418" s="16" t="s">
        <v>1169</v>
      </c>
      <c r="B418" s="16">
        <v>5284</v>
      </c>
      <c r="C418" s="16" t="s">
        <v>1170</v>
      </c>
    </row>
    <row r="419" spans="1:3" x14ac:dyDescent="0.25">
      <c r="A419" s="16" t="s">
        <v>1171</v>
      </c>
      <c r="B419" s="16">
        <v>5286</v>
      </c>
      <c r="C419" s="16" t="s">
        <v>1172</v>
      </c>
    </row>
    <row r="420" spans="1:3" x14ac:dyDescent="0.25">
      <c r="A420" s="16" t="s">
        <v>1173</v>
      </c>
      <c r="B420" s="16">
        <v>5287</v>
      </c>
      <c r="C420" s="16" t="s">
        <v>1174</v>
      </c>
    </row>
    <row r="421" spans="1:3" x14ac:dyDescent="0.25">
      <c r="A421" s="16" t="s">
        <v>1175</v>
      </c>
      <c r="B421" s="16">
        <v>5288</v>
      </c>
      <c r="C421" s="16" t="s">
        <v>1176</v>
      </c>
    </row>
    <row r="422" spans="1:3" x14ac:dyDescent="0.25">
      <c r="A422" s="16" t="s">
        <v>1177</v>
      </c>
      <c r="B422" s="16">
        <v>5289</v>
      </c>
      <c r="C422" s="16" t="s">
        <v>1178</v>
      </c>
    </row>
    <row r="423" spans="1:3" x14ac:dyDescent="0.25">
      <c r="A423" s="16" t="s">
        <v>1179</v>
      </c>
      <c r="B423" s="16">
        <v>5290</v>
      </c>
      <c r="C423" s="16" t="s">
        <v>1180</v>
      </c>
    </row>
    <row r="424" spans="1:3" x14ac:dyDescent="0.25">
      <c r="A424" s="16" t="s">
        <v>1181</v>
      </c>
      <c r="B424" s="16">
        <v>5291</v>
      </c>
      <c r="C424" s="16" t="s">
        <v>1182</v>
      </c>
    </row>
    <row r="425" spans="1:3" x14ac:dyDescent="0.25">
      <c r="A425" s="16" t="s">
        <v>1183</v>
      </c>
      <c r="B425" s="16">
        <v>5293</v>
      </c>
      <c r="C425" s="16" t="s">
        <v>1184</v>
      </c>
    </row>
    <row r="426" spans="1:3" x14ac:dyDescent="0.25">
      <c r="A426" s="16" t="s">
        <v>1185</v>
      </c>
      <c r="B426" s="16">
        <v>5294</v>
      </c>
      <c r="C426" s="16" t="s">
        <v>1186</v>
      </c>
    </row>
    <row r="427" spans="1:3" x14ac:dyDescent="0.25">
      <c r="A427" s="16" t="s">
        <v>1187</v>
      </c>
      <c r="B427" s="16">
        <v>5295</v>
      </c>
      <c r="C427" s="16" t="s">
        <v>1188</v>
      </c>
    </row>
    <row r="428" spans="1:3" x14ac:dyDescent="0.25">
      <c r="A428" s="16" t="s">
        <v>1189</v>
      </c>
      <c r="B428" s="16">
        <v>5296</v>
      </c>
      <c r="C428" s="16" t="s">
        <v>1190</v>
      </c>
    </row>
    <row r="429" spans="1:3" x14ac:dyDescent="0.25">
      <c r="A429" s="16" t="s">
        <v>1191</v>
      </c>
      <c r="B429" s="16">
        <v>5297</v>
      </c>
      <c r="C429" s="16" t="s">
        <v>1192</v>
      </c>
    </row>
    <row r="430" spans="1:3" x14ac:dyDescent="0.25">
      <c r="A430" s="16" t="s">
        <v>1193</v>
      </c>
      <c r="B430" s="16">
        <v>5298</v>
      </c>
      <c r="C430" s="16" t="s">
        <v>1194</v>
      </c>
    </row>
    <row r="431" spans="1:3" x14ac:dyDescent="0.25">
      <c r="A431" s="16" t="s">
        <v>1195</v>
      </c>
      <c r="B431" s="16">
        <v>5299</v>
      </c>
      <c r="C431" s="16" t="s">
        <v>1196</v>
      </c>
    </row>
    <row r="432" spans="1:3" x14ac:dyDescent="0.25">
      <c r="A432" s="16" t="s">
        <v>1197</v>
      </c>
      <c r="B432" s="16">
        <v>5300</v>
      </c>
      <c r="C432" s="16" t="s">
        <v>1198</v>
      </c>
    </row>
    <row r="433" spans="1:3" x14ac:dyDescent="0.25">
      <c r="A433" s="16" t="s">
        <v>1199</v>
      </c>
      <c r="B433" s="16">
        <v>5301</v>
      </c>
      <c r="C433" s="16" t="s">
        <v>1200</v>
      </c>
    </row>
    <row r="434" spans="1:3" x14ac:dyDescent="0.25">
      <c r="A434" s="16" t="s">
        <v>1201</v>
      </c>
      <c r="B434" s="16">
        <v>5302</v>
      </c>
      <c r="C434" s="16" t="s">
        <v>1202</v>
      </c>
    </row>
    <row r="435" spans="1:3" x14ac:dyDescent="0.25">
      <c r="A435" s="16" t="s">
        <v>1203</v>
      </c>
      <c r="B435" s="16">
        <v>5303</v>
      </c>
      <c r="C435" s="16" t="s">
        <v>1204</v>
      </c>
    </row>
    <row r="436" spans="1:3" x14ac:dyDescent="0.25">
      <c r="A436" s="16" t="s">
        <v>1205</v>
      </c>
      <c r="B436" s="16">
        <v>5304</v>
      </c>
      <c r="C436" s="16" t="s">
        <v>1206</v>
      </c>
    </row>
    <row r="437" spans="1:3" x14ac:dyDescent="0.25">
      <c r="A437" s="16" t="s">
        <v>1207</v>
      </c>
      <c r="B437" s="16">
        <v>5305</v>
      </c>
      <c r="C437" s="16" t="s">
        <v>1208</v>
      </c>
    </row>
    <row r="438" spans="1:3" x14ac:dyDescent="0.25">
      <c r="A438" s="16" t="s">
        <v>1209</v>
      </c>
      <c r="B438" s="16">
        <v>5306</v>
      </c>
      <c r="C438" s="16" t="s">
        <v>1210</v>
      </c>
    </row>
    <row r="439" spans="1:3" x14ac:dyDescent="0.25">
      <c r="A439" s="16" t="s">
        <v>620</v>
      </c>
      <c r="B439" s="16">
        <v>5308</v>
      </c>
      <c r="C439" s="16" t="s">
        <v>1211</v>
      </c>
    </row>
    <row r="440" spans="1:3" x14ac:dyDescent="0.25">
      <c r="A440" s="16" t="s">
        <v>1212</v>
      </c>
      <c r="B440" s="16">
        <v>5309</v>
      </c>
      <c r="C440" s="16" t="s">
        <v>1213</v>
      </c>
    </row>
    <row r="441" spans="1:3" x14ac:dyDescent="0.25">
      <c r="A441" s="16" t="s">
        <v>1214</v>
      </c>
      <c r="B441" s="16">
        <v>5310</v>
      </c>
      <c r="C441" s="16" t="s">
        <v>1215</v>
      </c>
    </row>
    <row r="442" spans="1:3" x14ac:dyDescent="0.25">
      <c r="A442" s="16" t="s">
        <v>1216</v>
      </c>
      <c r="B442" s="16">
        <v>5313</v>
      </c>
      <c r="C442" s="16" t="s">
        <v>1217</v>
      </c>
    </row>
    <row r="443" spans="1:3" x14ac:dyDescent="0.25">
      <c r="A443" s="16" t="s">
        <v>1218</v>
      </c>
      <c r="B443" s="16">
        <v>5314</v>
      </c>
      <c r="C443" s="16" t="s">
        <v>1219</v>
      </c>
    </row>
    <row r="444" spans="1:3" x14ac:dyDescent="0.25">
      <c r="A444" s="16" t="s">
        <v>1220</v>
      </c>
      <c r="B444" s="16">
        <v>5315</v>
      </c>
      <c r="C444" s="16" t="s">
        <v>1221</v>
      </c>
    </row>
    <row r="445" spans="1:3" x14ac:dyDescent="0.25">
      <c r="A445" s="16" t="s">
        <v>1222</v>
      </c>
      <c r="B445" s="16">
        <v>5316</v>
      </c>
      <c r="C445" s="16" t="s">
        <v>1223</v>
      </c>
    </row>
    <row r="446" spans="1:3" x14ac:dyDescent="0.25">
      <c r="A446" s="16" t="s">
        <v>1224</v>
      </c>
      <c r="B446" s="16">
        <v>5319</v>
      </c>
      <c r="C446" s="16" t="s">
        <v>1225</v>
      </c>
    </row>
    <row r="447" spans="1:3" x14ac:dyDescent="0.25">
      <c r="A447" s="16" t="s">
        <v>1226</v>
      </c>
      <c r="B447" s="16">
        <v>5320</v>
      </c>
      <c r="C447" s="16" t="s">
        <v>1227</v>
      </c>
    </row>
    <row r="448" spans="1:3" x14ac:dyDescent="0.25">
      <c r="A448" s="16" t="s">
        <v>1228</v>
      </c>
      <c r="B448" s="16">
        <v>5321</v>
      </c>
      <c r="C448" s="16" t="s">
        <v>1229</v>
      </c>
    </row>
    <row r="449" spans="1:3" x14ac:dyDescent="0.25">
      <c r="A449" s="16" t="s">
        <v>1230</v>
      </c>
      <c r="B449" s="16">
        <v>5323</v>
      </c>
      <c r="C449" s="16" t="s">
        <v>1231</v>
      </c>
    </row>
    <row r="450" spans="1:3" x14ac:dyDescent="0.25">
      <c r="A450" s="16" t="s">
        <v>1232</v>
      </c>
      <c r="B450" s="16">
        <v>5324</v>
      </c>
      <c r="C450" s="16" t="s">
        <v>1233</v>
      </c>
    </row>
    <row r="451" spans="1:3" x14ac:dyDescent="0.25">
      <c r="A451" s="16" t="s">
        <v>1234</v>
      </c>
      <c r="B451" s="16">
        <v>5327</v>
      </c>
      <c r="C451" s="16" t="s">
        <v>1235</v>
      </c>
    </row>
    <row r="452" spans="1:3" x14ac:dyDescent="0.25">
      <c r="A452" s="16" t="s">
        <v>1236</v>
      </c>
      <c r="B452" s="16">
        <v>5328</v>
      </c>
      <c r="C452" s="16" t="s">
        <v>1237</v>
      </c>
    </row>
    <row r="453" spans="1:3" x14ac:dyDescent="0.25">
      <c r="A453" s="16" t="s">
        <v>1238</v>
      </c>
      <c r="B453" s="16">
        <v>5329</v>
      </c>
      <c r="C453" s="16" t="s">
        <v>1239</v>
      </c>
    </row>
    <row r="454" spans="1:3" x14ac:dyDescent="0.25">
      <c r="A454" s="16" t="s">
        <v>1240</v>
      </c>
      <c r="B454" s="16">
        <v>5330</v>
      </c>
      <c r="C454" s="16" t="s">
        <v>1241</v>
      </c>
    </row>
    <row r="455" spans="1:3" x14ac:dyDescent="0.25">
      <c r="A455" s="16" t="s">
        <v>1242</v>
      </c>
      <c r="B455" s="16">
        <v>5331</v>
      </c>
      <c r="C455" s="16" t="s">
        <v>1243</v>
      </c>
    </row>
    <row r="456" spans="1:3" x14ac:dyDescent="0.25">
      <c r="A456" s="16" t="s">
        <v>1244</v>
      </c>
      <c r="B456" s="16">
        <v>5332</v>
      </c>
      <c r="C456" s="16" t="s">
        <v>1245</v>
      </c>
    </row>
    <row r="457" spans="1:3" x14ac:dyDescent="0.25">
      <c r="A457" s="16" t="s">
        <v>1246</v>
      </c>
      <c r="B457" s="16">
        <v>5334</v>
      </c>
      <c r="C457" s="16" t="s">
        <v>1247</v>
      </c>
    </row>
    <row r="458" spans="1:3" x14ac:dyDescent="0.25">
      <c r="A458" s="16" t="s">
        <v>1248</v>
      </c>
      <c r="B458" s="16">
        <v>5335</v>
      </c>
      <c r="C458" s="16" t="s">
        <v>1249</v>
      </c>
    </row>
    <row r="459" spans="1:3" x14ac:dyDescent="0.25">
      <c r="A459" s="16" t="s">
        <v>1250</v>
      </c>
      <c r="B459" s="16">
        <v>5336</v>
      </c>
      <c r="C459" s="16" t="s">
        <v>1251</v>
      </c>
    </row>
    <row r="460" spans="1:3" x14ac:dyDescent="0.25">
      <c r="A460" s="16" t="s">
        <v>1252</v>
      </c>
      <c r="B460" s="16">
        <v>5337</v>
      </c>
      <c r="C460" s="16" t="s">
        <v>1253</v>
      </c>
    </row>
    <row r="461" spans="1:3" x14ac:dyDescent="0.25">
      <c r="A461" s="16" t="s">
        <v>1254</v>
      </c>
      <c r="B461" s="16">
        <v>5338</v>
      </c>
      <c r="C461" s="16" t="s">
        <v>1255</v>
      </c>
    </row>
    <row r="462" spans="1:3" x14ac:dyDescent="0.25">
      <c r="A462" s="16" t="s">
        <v>1256</v>
      </c>
      <c r="B462" s="16">
        <v>5339</v>
      </c>
      <c r="C462" s="16" t="s">
        <v>1257</v>
      </c>
    </row>
    <row r="463" spans="1:3" x14ac:dyDescent="0.25">
      <c r="A463" s="16" t="s">
        <v>1258</v>
      </c>
      <c r="B463" s="16">
        <v>5350</v>
      </c>
      <c r="C463" s="16" t="s">
        <v>1259</v>
      </c>
    </row>
    <row r="464" spans="1:3" x14ac:dyDescent="0.25">
      <c r="A464" s="16" t="s">
        <v>1260</v>
      </c>
      <c r="B464" s="16">
        <v>5351</v>
      </c>
      <c r="C464" s="16" t="s">
        <v>1261</v>
      </c>
    </row>
    <row r="465" spans="1:3" x14ac:dyDescent="0.25">
      <c r="A465" s="16" t="s">
        <v>1262</v>
      </c>
      <c r="B465" s="16">
        <v>5352</v>
      </c>
      <c r="C465" s="16" t="s">
        <v>1263</v>
      </c>
    </row>
    <row r="466" spans="1:3" x14ac:dyDescent="0.25">
      <c r="A466" s="16" t="s">
        <v>1264</v>
      </c>
      <c r="B466" s="16">
        <v>5353</v>
      </c>
      <c r="C466" s="16" t="s">
        <v>1265</v>
      </c>
    </row>
    <row r="467" spans="1:3" x14ac:dyDescent="0.25">
      <c r="A467" s="16" t="s">
        <v>1266</v>
      </c>
      <c r="B467" s="16">
        <v>5354</v>
      </c>
      <c r="C467" s="16" t="s">
        <v>1267</v>
      </c>
    </row>
    <row r="468" spans="1:3" x14ac:dyDescent="0.25">
      <c r="A468" s="16" t="s">
        <v>1268</v>
      </c>
      <c r="B468" s="16">
        <v>5357</v>
      </c>
      <c r="C468" s="16" t="s">
        <v>1269</v>
      </c>
    </row>
    <row r="469" spans="1:3" x14ac:dyDescent="0.25">
      <c r="A469" s="16" t="s">
        <v>1270</v>
      </c>
      <c r="B469" s="16">
        <v>5360</v>
      </c>
      <c r="C469" s="16" t="s">
        <v>1271</v>
      </c>
    </row>
    <row r="470" spans="1:3" x14ac:dyDescent="0.25">
      <c r="A470" s="16" t="s">
        <v>1272</v>
      </c>
      <c r="B470" s="16">
        <v>5361</v>
      </c>
      <c r="C470" s="16" t="s">
        <v>1273</v>
      </c>
    </row>
    <row r="471" spans="1:3" x14ac:dyDescent="0.25">
      <c r="A471" s="16" t="s">
        <v>1274</v>
      </c>
      <c r="B471" s="16">
        <v>5376</v>
      </c>
      <c r="C471" s="16" t="s">
        <v>1275</v>
      </c>
    </row>
    <row r="472" spans="1:3" x14ac:dyDescent="0.25">
      <c r="A472" s="16" t="s">
        <v>1276</v>
      </c>
      <c r="B472" s="16">
        <v>5377</v>
      </c>
      <c r="C472" s="16" t="s">
        <v>1277</v>
      </c>
    </row>
    <row r="473" spans="1:3" x14ac:dyDescent="0.25">
      <c r="A473" s="16" t="s">
        <v>1278</v>
      </c>
      <c r="B473" s="16">
        <v>5378</v>
      </c>
      <c r="C473" s="16" t="s">
        <v>1279</v>
      </c>
    </row>
    <row r="474" spans="1:3" x14ac:dyDescent="0.25">
      <c r="A474" s="16" t="s">
        <v>1280</v>
      </c>
      <c r="B474" s="16">
        <v>5379</v>
      </c>
      <c r="C474" s="16" t="s">
        <v>1281</v>
      </c>
    </row>
    <row r="475" spans="1:3" x14ac:dyDescent="0.25">
      <c r="A475" s="16" t="s">
        <v>1282</v>
      </c>
      <c r="B475" s="16">
        <v>5380</v>
      </c>
      <c r="C475" s="16" t="s">
        <v>1283</v>
      </c>
    </row>
    <row r="476" spans="1:3" x14ac:dyDescent="0.25">
      <c r="A476" s="16" t="s">
        <v>1284</v>
      </c>
      <c r="B476" s="16">
        <v>5381</v>
      </c>
      <c r="C476" s="16" t="s">
        <v>1285</v>
      </c>
    </row>
    <row r="477" spans="1:3" x14ac:dyDescent="0.25">
      <c r="A477" s="16" t="s">
        <v>1286</v>
      </c>
      <c r="B477" s="16">
        <v>5382</v>
      </c>
      <c r="C477" s="16" t="s">
        <v>1287</v>
      </c>
    </row>
    <row r="478" spans="1:3" x14ac:dyDescent="0.25">
      <c r="A478" s="16" t="s">
        <v>1288</v>
      </c>
      <c r="B478" s="16">
        <v>5383</v>
      </c>
      <c r="C478" s="16" t="s">
        <v>1289</v>
      </c>
    </row>
    <row r="479" spans="1:3" x14ac:dyDescent="0.25">
      <c r="A479" s="16" t="s">
        <v>1290</v>
      </c>
      <c r="B479" s="16">
        <v>5387</v>
      </c>
      <c r="C479" s="16" t="s">
        <v>1291</v>
      </c>
    </row>
    <row r="480" spans="1:3" x14ac:dyDescent="0.25">
      <c r="A480" s="16" t="s">
        <v>1292</v>
      </c>
      <c r="B480" s="16">
        <v>5388</v>
      </c>
      <c r="C480" s="16" t="s">
        <v>1293</v>
      </c>
    </row>
    <row r="481" spans="1:3" x14ac:dyDescent="0.25">
      <c r="A481" s="16" t="s">
        <v>1294</v>
      </c>
      <c r="B481" s="16">
        <v>5389</v>
      </c>
      <c r="C481" s="16" t="s">
        <v>1295</v>
      </c>
    </row>
    <row r="482" spans="1:3" x14ac:dyDescent="0.25">
      <c r="A482" s="16" t="s">
        <v>1296</v>
      </c>
      <c r="B482" s="16">
        <v>5390</v>
      </c>
      <c r="C482" s="16" t="s">
        <v>1297</v>
      </c>
    </row>
    <row r="483" spans="1:3" x14ac:dyDescent="0.25">
      <c r="A483" s="16" t="s">
        <v>1298</v>
      </c>
      <c r="B483" s="16">
        <v>5393</v>
      </c>
      <c r="C483" s="16" t="s">
        <v>1299</v>
      </c>
    </row>
    <row r="484" spans="1:3" x14ac:dyDescent="0.25">
      <c r="A484" s="16" t="s">
        <v>1300</v>
      </c>
      <c r="B484" s="16">
        <v>5403</v>
      </c>
      <c r="C484" s="16" t="s">
        <v>1301</v>
      </c>
    </row>
    <row r="485" spans="1:3" x14ac:dyDescent="0.25">
      <c r="A485" s="16" t="s">
        <v>1302</v>
      </c>
      <c r="B485" s="16">
        <v>5408</v>
      </c>
      <c r="C485" s="16" t="s">
        <v>1303</v>
      </c>
    </row>
    <row r="486" spans="1:3" x14ac:dyDescent="0.25">
      <c r="A486" s="16" t="s">
        <v>1304</v>
      </c>
      <c r="B486" s="16">
        <v>5409</v>
      </c>
      <c r="C486" s="16" t="s">
        <v>1305</v>
      </c>
    </row>
    <row r="487" spans="1:3" x14ac:dyDescent="0.25">
      <c r="A487" s="16" t="s">
        <v>1306</v>
      </c>
      <c r="B487" s="16">
        <v>5410</v>
      </c>
      <c r="C487" s="16" t="s">
        <v>1307</v>
      </c>
    </row>
    <row r="488" spans="1:3" x14ac:dyDescent="0.25">
      <c r="A488" s="16" t="s">
        <v>1308</v>
      </c>
      <c r="B488" s="16">
        <v>5411</v>
      </c>
      <c r="C488" s="16" t="s">
        <v>1309</v>
      </c>
    </row>
    <row r="489" spans="1:3" x14ac:dyDescent="0.25">
      <c r="A489" s="16" t="s">
        <v>1310</v>
      </c>
      <c r="B489" s="16">
        <v>5411</v>
      </c>
      <c r="C489" s="16" t="s">
        <v>1311</v>
      </c>
    </row>
    <row r="490" spans="1:3" x14ac:dyDescent="0.25">
      <c r="A490" s="16" t="s">
        <v>1312</v>
      </c>
      <c r="B490" s="16">
        <v>5412</v>
      </c>
      <c r="C490" s="16" t="s">
        <v>1313</v>
      </c>
    </row>
    <row r="491" spans="1:3" x14ac:dyDescent="0.25">
      <c r="A491" s="16" t="s">
        <v>1314</v>
      </c>
      <c r="B491" s="16">
        <v>5414</v>
      </c>
      <c r="C491" s="16" t="s">
        <v>1315</v>
      </c>
    </row>
    <row r="492" spans="1:3" x14ac:dyDescent="0.25">
      <c r="A492" s="16" t="s">
        <v>1316</v>
      </c>
      <c r="B492" s="16">
        <v>5420</v>
      </c>
      <c r="C492" s="16" t="s">
        <v>1317</v>
      </c>
    </row>
    <row r="493" spans="1:3" x14ac:dyDescent="0.25">
      <c r="A493" s="16" t="s">
        <v>717</v>
      </c>
      <c r="B493" s="16">
        <v>5421</v>
      </c>
      <c r="C493" s="16" t="s">
        <v>1318</v>
      </c>
    </row>
    <row r="494" spans="1:3" x14ac:dyDescent="0.25">
      <c r="A494" s="16" t="s">
        <v>1319</v>
      </c>
      <c r="B494" s="16">
        <v>5422</v>
      </c>
      <c r="C494" s="16" t="s">
        <v>1320</v>
      </c>
    </row>
    <row r="495" spans="1:3" x14ac:dyDescent="0.25">
      <c r="A495" s="16" t="s">
        <v>1321</v>
      </c>
      <c r="B495" s="16">
        <v>5423</v>
      </c>
      <c r="C495" s="16" t="s">
        <v>1322</v>
      </c>
    </row>
    <row r="496" spans="1:3" x14ac:dyDescent="0.25">
      <c r="A496" s="16" t="s">
        <v>1323</v>
      </c>
      <c r="B496" s="16">
        <v>5424</v>
      </c>
      <c r="C496" s="16" t="s">
        <v>1324</v>
      </c>
    </row>
    <row r="497" spans="1:3" x14ac:dyDescent="0.25">
      <c r="A497" s="16" t="s">
        <v>1325</v>
      </c>
      <c r="B497" s="16">
        <v>5425</v>
      </c>
      <c r="C497" s="16" t="s">
        <v>1326</v>
      </c>
    </row>
    <row r="498" spans="1:3" x14ac:dyDescent="0.25">
      <c r="A498" s="16" t="s">
        <v>1327</v>
      </c>
      <c r="B498" s="16">
        <v>5426</v>
      </c>
      <c r="C498" s="16" t="s">
        <v>1328</v>
      </c>
    </row>
    <row r="499" spans="1:3" x14ac:dyDescent="0.25">
      <c r="A499" s="16" t="s">
        <v>1329</v>
      </c>
      <c r="B499" s="16">
        <v>5427</v>
      </c>
      <c r="C499" s="16" t="s">
        <v>1330</v>
      </c>
    </row>
    <row r="500" spans="1:3" x14ac:dyDescent="0.25">
      <c r="A500" s="16" t="s">
        <v>1331</v>
      </c>
      <c r="B500" s="16">
        <v>5428</v>
      </c>
      <c r="C500" s="16" t="s">
        <v>1332</v>
      </c>
    </row>
    <row r="501" spans="1:3" x14ac:dyDescent="0.25">
      <c r="A501" s="16" t="s">
        <v>1333</v>
      </c>
      <c r="B501" s="16">
        <v>5429</v>
      </c>
      <c r="C501" s="16" t="s">
        <v>1334</v>
      </c>
    </row>
    <row r="502" spans="1:3" x14ac:dyDescent="0.25">
      <c r="A502" s="17" t="s">
        <v>1335</v>
      </c>
      <c r="B502" s="17">
        <v>5430</v>
      </c>
      <c r="C502" s="17" t="s">
        <v>1336</v>
      </c>
    </row>
    <row r="503" spans="1:3" x14ac:dyDescent="0.25">
      <c r="A503" s="17" t="s">
        <v>1337</v>
      </c>
      <c r="B503" s="17">
        <v>5431</v>
      </c>
      <c r="C503" s="17" t="s">
        <v>1338</v>
      </c>
    </row>
    <row r="504" spans="1:3" x14ac:dyDescent="0.25">
      <c r="A504" s="17" t="s">
        <v>1339</v>
      </c>
      <c r="B504" s="17">
        <v>5431</v>
      </c>
      <c r="C504" s="17" t="s">
        <v>1340</v>
      </c>
    </row>
    <row r="505" spans="1:3" x14ac:dyDescent="0.25">
      <c r="A505" s="17" t="s">
        <v>1341</v>
      </c>
      <c r="B505" s="17">
        <v>5432</v>
      </c>
      <c r="C505" s="17" t="s">
        <v>1342</v>
      </c>
    </row>
    <row r="506" spans="1:3" x14ac:dyDescent="0.25">
      <c r="A506" s="17" t="s">
        <v>1343</v>
      </c>
      <c r="B506" s="17">
        <v>5433</v>
      </c>
      <c r="C506" s="17" t="s">
        <v>1344</v>
      </c>
    </row>
    <row r="507" spans="1:3" x14ac:dyDescent="0.25">
      <c r="A507" s="17" t="s">
        <v>1345</v>
      </c>
      <c r="B507" s="17">
        <v>5434</v>
      </c>
      <c r="C507" s="17" t="s">
        <v>1346</v>
      </c>
    </row>
    <row r="508" spans="1:3" x14ac:dyDescent="0.25">
      <c r="A508" s="17" t="s">
        <v>1347</v>
      </c>
      <c r="B508" s="17">
        <v>5435</v>
      </c>
      <c r="C508" s="17" t="s">
        <v>1348</v>
      </c>
    </row>
    <row r="509" spans="1:3" x14ac:dyDescent="0.25">
      <c r="A509" s="17" t="s">
        <v>1349</v>
      </c>
      <c r="B509" s="17">
        <v>5436</v>
      </c>
      <c r="C509" s="17" t="s">
        <v>1350</v>
      </c>
    </row>
    <row r="510" spans="1:3" x14ac:dyDescent="0.25">
      <c r="A510" s="17" t="s">
        <v>1351</v>
      </c>
      <c r="B510" s="17">
        <v>5437</v>
      </c>
      <c r="C510" s="17" t="s">
        <v>1352</v>
      </c>
    </row>
    <row r="511" spans="1:3" x14ac:dyDescent="0.25">
      <c r="A511" s="17" t="s">
        <v>1353</v>
      </c>
      <c r="B511" s="17">
        <v>5438</v>
      </c>
      <c r="C511" s="17" t="s">
        <v>1354</v>
      </c>
    </row>
    <row r="512" spans="1:3" x14ac:dyDescent="0.25">
      <c r="A512" s="17" t="s">
        <v>1355</v>
      </c>
      <c r="B512" s="17">
        <v>5438</v>
      </c>
      <c r="C512" s="17" t="s">
        <v>1356</v>
      </c>
    </row>
    <row r="513" spans="1:3" x14ac:dyDescent="0.25">
      <c r="A513" s="17" t="s">
        <v>1357</v>
      </c>
      <c r="B513" s="17">
        <v>5439</v>
      </c>
      <c r="C513" s="17" t="s">
        <v>1358</v>
      </c>
    </row>
    <row r="514" spans="1:3" x14ac:dyDescent="0.25">
      <c r="A514" s="17" t="s">
        <v>1359</v>
      </c>
      <c r="B514" s="17">
        <v>5439</v>
      </c>
      <c r="C514" s="17" t="s">
        <v>1360</v>
      </c>
    </row>
    <row r="515" spans="1:3" x14ac:dyDescent="0.25">
      <c r="A515" s="17" t="s">
        <v>1361</v>
      </c>
      <c r="B515" s="17">
        <v>5440</v>
      </c>
      <c r="C515" s="17" t="s">
        <v>1362</v>
      </c>
    </row>
    <row r="516" spans="1:3" x14ac:dyDescent="0.25">
      <c r="A516" s="17" t="s">
        <v>1363</v>
      </c>
      <c r="B516" s="17">
        <v>5441</v>
      </c>
      <c r="C516" s="17" t="s">
        <v>1364</v>
      </c>
    </row>
    <row r="517" spans="1:3" x14ac:dyDescent="0.25">
      <c r="A517" s="17" t="s">
        <v>1365</v>
      </c>
      <c r="B517" s="17">
        <v>5442</v>
      </c>
      <c r="C517" s="17" t="s">
        <v>1366</v>
      </c>
    </row>
    <row r="518" spans="1:3" x14ac:dyDescent="0.25">
      <c r="A518" s="17" t="s">
        <v>1367</v>
      </c>
      <c r="B518" s="17">
        <v>5442</v>
      </c>
      <c r="C518" s="17" t="s">
        <v>1368</v>
      </c>
    </row>
    <row r="519" spans="1:3" x14ac:dyDescent="0.25">
      <c r="A519" s="17" t="s">
        <v>1369</v>
      </c>
      <c r="B519" s="17">
        <v>5443</v>
      </c>
      <c r="C519" s="17" t="s">
        <v>1370</v>
      </c>
    </row>
    <row r="520" spans="1:3" x14ac:dyDescent="0.25">
      <c r="A520" s="17" t="s">
        <v>1371</v>
      </c>
      <c r="B520" s="17">
        <v>5444</v>
      </c>
      <c r="C520" s="17" t="s">
        <v>1372</v>
      </c>
    </row>
    <row r="521" spans="1:3" x14ac:dyDescent="0.25">
      <c r="A521" s="17" t="s">
        <v>1373</v>
      </c>
      <c r="B521" s="17">
        <v>5445</v>
      </c>
      <c r="C521" s="17" t="s">
        <v>1374</v>
      </c>
    </row>
    <row r="522" spans="1:3" x14ac:dyDescent="0.25">
      <c r="A522" s="17" t="s">
        <v>1375</v>
      </c>
      <c r="B522" s="17">
        <v>5445</v>
      </c>
      <c r="C522" s="17" t="s">
        <v>1376</v>
      </c>
    </row>
    <row r="523" spans="1:3" x14ac:dyDescent="0.25">
      <c r="A523" s="17" t="s">
        <v>1377</v>
      </c>
      <c r="B523" s="17">
        <v>5446</v>
      </c>
      <c r="C523" s="17" t="s">
        <v>1378</v>
      </c>
    </row>
    <row r="524" spans="1:3" x14ac:dyDescent="0.25">
      <c r="A524" s="17" t="s">
        <v>1379</v>
      </c>
      <c r="B524" s="17">
        <v>5447</v>
      </c>
      <c r="C524" s="17" t="s">
        <v>1380</v>
      </c>
    </row>
    <row r="525" spans="1:3" x14ac:dyDescent="0.25">
      <c r="A525" s="17" t="s">
        <v>1381</v>
      </c>
      <c r="B525" s="17">
        <v>5448</v>
      </c>
      <c r="C525" s="17" t="s">
        <v>1382</v>
      </c>
    </row>
    <row r="526" spans="1:3" x14ac:dyDescent="0.25">
      <c r="A526" s="17" t="s">
        <v>1383</v>
      </c>
      <c r="B526" s="17">
        <v>5448</v>
      </c>
      <c r="C526" s="17" t="s">
        <v>1384</v>
      </c>
    </row>
    <row r="527" spans="1:3" x14ac:dyDescent="0.25">
      <c r="A527" s="17" t="s">
        <v>1385</v>
      </c>
      <c r="B527" s="17">
        <v>5449</v>
      </c>
      <c r="C527" s="17" t="s">
        <v>1386</v>
      </c>
    </row>
    <row r="528" spans="1:3" x14ac:dyDescent="0.25">
      <c r="A528" s="17" t="s">
        <v>1387</v>
      </c>
      <c r="B528" s="17">
        <v>5449</v>
      </c>
      <c r="C528" s="17" t="s">
        <v>1388</v>
      </c>
    </row>
    <row r="529" spans="1:3" x14ac:dyDescent="0.25">
      <c r="A529" s="17" t="s">
        <v>1136</v>
      </c>
      <c r="B529" s="17">
        <v>5450</v>
      </c>
      <c r="C529" s="17" t="s">
        <v>1389</v>
      </c>
    </row>
    <row r="530" spans="1:3" x14ac:dyDescent="0.25">
      <c r="A530" s="17" t="s">
        <v>1337</v>
      </c>
      <c r="B530" s="17">
        <v>5451</v>
      </c>
      <c r="C530" s="17" t="s">
        <v>1390</v>
      </c>
    </row>
    <row r="531" spans="1:3" x14ac:dyDescent="0.25">
      <c r="A531" s="17" t="s">
        <v>1391</v>
      </c>
      <c r="B531" s="17">
        <v>5452</v>
      </c>
      <c r="C531" s="17" t="s">
        <v>97</v>
      </c>
    </row>
    <row r="532" spans="1:3" x14ac:dyDescent="0.25">
      <c r="A532" s="17" t="s">
        <v>533</v>
      </c>
      <c r="B532" s="17">
        <v>5453</v>
      </c>
      <c r="C532" s="17" t="s">
        <v>1392</v>
      </c>
    </row>
    <row r="533" spans="1:3" x14ac:dyDescent="0.25">
      <c r="A533" s="17" t="s">
        <v>1393</v>
      </c>
      <c r="B533" s="17">
        <v>5454</v>
      </c>
      <c r="C533" s="17" t="s">
        <v>1394</v>
      </c>
    </row>
    <row r="534" spans="1:3" x14ac:dyDescent="0.25">
      <c r="A534" s="17" t="s">
        <v>1395</v>
      </c>
      <c r="B534" s="17">
        <v>5455</v>
      </c>
      <c r="C534" s="17" t="s">
        <v>1396</v>
      </c>
    </row>
    <row r="535" spans="1:3" x14ac:dyDescent="0.25">
      <c r="A535" s="17" t="s">
        <v>1397</v>
      </c>
      <c r="B535" s="17">
        <v>5456</v>
      </c>
      <c r="C535" s="17" t="s">
        <v>1398</v>
      </c>
    </row>
    <row r="536" spans="1:3" x14ac:dyDescent="0.25">
      <c r="A536" s="17" t="s">
        <v>1399</v>
      </c>
      <c r="B536" s="17">
        <v>5457</v>
      </c>
      <c r="C536" s="17" t="s">
        <v>1400</v>
      </c>
    </row>
    <row r="537" spans="1:3" x14ac:dyDescent="0.25">
      <c r="A537" s="17" t="s">
        <v>1401</v>
      </c>
      <c r="B537" s="17">
        <v>5498</v>
      </c>
      <c r="C537" s="17" t="s">
        <v>1402</v>
      </c>
    </row>
    <row r="538" spans="1:3" x14ac:dyDescent="0.25">
      <c r="A538" s="17" t="s">
        <v>1403</v>
      </c>
      <c r="B538" s="17">
        <v>5499</v>
      </c>
      <c r="C538" s="17" t="s">
        <v>1404</v>
      </c>
    </row>
    <row r="539" spans="1:3" x14ac:dyDescent="0.25">
      <c r="A539" s="17" t="s">
        <v>1405</v>
      </c>
      <c r="B539" s="17">
        <v>5525</v>
      </c>
      <c r="C539" s="17" t="s">
        <v>1406</v>
      </c>
    </row>
    <row r="540" spans="1:3" x14ac:dyDescent="0.25">
      <c r="A540" s="17" t="s">
        <v>1407</v>
      </c>
      <c r="B540" s="17">
        <v>5526</v>
      </c>
      <c r="C540" s="17" t="s">
        <v>1408</v>
      </c>
    </row>
    <row r="541" spans="1:3" x14ac:dyDescent="0.25">
      <c r="A541" s="17" t="s">
        <v>1409</v>
      </c>
      <c r="B541" s="17">
        <v>5527</v>
      </c>
      <c r="C541" s="17" t="s">
        <v>1410</v>
      </c>
    </row>
    <row r="542" spans="1:3" x14ac:dyDescent="0.25">
      <c r="A542" s="17" t="s">
        <v>1411</v>
      </c>
      <c r="B542" s="17">
        <v>5530</v>
      </c>
      <c r="C542" s="17" t="s">
        <v>1412</v>
      </c>
    </row>
    <row r="543" spans="1:3" x14ac:dyDescent="0.25">
      <c r="A543" s="17" t="s">
        <v>1413</v>
      </c>
      <c r="B543" s="17">
        <v>5533</v>
      </c>
      <c r="C543" s="17" t="s">
        <v>1414</v>
      </c>
    </row>
    <row r="544" spans="1:3" x14ac:dyDescent="0.25">
      <c r="A544" s="17" t="s">
        <v>1415</v>
      </c>
      <c r="B544" s="17">
        <v>5534</v>
      </c>
      <c r="C544" s="17" t="s">
        <v>1416</v>
      </c>
    </row>
    <row r="545" spans="1:3" x14ac:dyDescent="0.25">
      <c r="A545" s="17" t="s">
        <v>1417</v>
      </c>
      <c r="B545" s="17">
        <v>5535</v>
      </c>
      <c r="C545" s="17" t="s">
        <v>1418</v>
      </c>
    </row>
    <row r="546" spans="1:3" x14ac:dyDescent="0.25">
      <c r="A546" s="17" t="s">
        <v>1419</v>
      </c>
      <c r="B546" s="17">
        <v>5535</v>
      </c>
      <c r="C546" s="17" t="s">
        <v>1420</v>
      </c>
    </row>
    <row r="547" spans="1:3" x14ac:dyDescent="0.25">
      <c r="A547" s="17" t="s">
        <v>1421</v>
      </c>
      <c r="B547" s="17">
        <v>5536</v>
      </c>
      <c r="C547" s="17" t="s">
        <v>1422</v>
      </c>
    </row>
    <row r="548" spans="1:3" x14ac:dyDescent="0.25">
      <c r="A548" s="17" t="s">
        <v>1423</v>
      </c>
      <c r="B548" s="17">
        <v>5537</v>
      </c>
      <c r="C548" s="17" t="s">
        <v>1424</v>
      </c>
    </row>
    <row r="549" spans="1:3" x14ac:dyDescent="0.25">
      <c r="A549" s="17" t="s">
        <v>1425</v>
      </c>
      <c r="B549" s="17">
        <v>5538</v>
      </c>
      <c r="C549" s="17" t="s">
        <v>1426</v>
      </c>
    </row>
    <row r="550" spans="1:3" x14ac:dyDescent="0.25">
      <c r="A550" s="17" t="s">
        <v>1427</v>
      </c>
      <c r="B550" s="17">
        <v>5539</v>
      </c>
      <c r="C550" s="17" t="s">
        <v>1428</v>
      </c>
    </row>
    <row r="551" spans="1:3" x14ac:dyDescent="0.25">
      <c r="A551" s="17" t="s">
        <v>1429</v>
      </c>
      <c r="B551" s="17">
        <v>5540</v>
      </c>
      <c r="C551" s="17" t="s">
        <v>1430</v>
      </c>
    </row>
    <row r="552" spans="1:3" x14ac:dyDescent="0.25">
      <c r="A552" s="17" t="s">
        <v>1431</v>
      </c>
      <c r="B552" s="17">
        <v>5542</v>
      </c>
      <c r="C552" s="17" t="s">
        <v>1432</v>
      </c>
    </row>
    <row r="553" spans="1:3" x14ac:dyDescent="0.25">
      <c r="A553" s="17" t="s">
        <v>1433</v>
      </c>
      <c r="B553" s="17">
        <v>5543</v>
      </c>
      <c r="C553" s="17" t="s">
        <v>1434</v>
      </c>
    </row>
    <row r="554" spans="1:3" x14ac:dyDescent="0.25">
      <c r="A554" s="17" t="s">
        <v>1393</v>
      </c>
      <c r="B554" s="17">
        <v>5544</v>
      </c>
      <c r="C554" s="17" t="s">
        <v>1435</v>
      </c>
    </row>
    <row r="555" spans="1:3" x14ac:dyDescent="0.25">
      <c r="A555" s="17" t="s">
        <v>1436</v>
      </c>
      <c r="B555" s="17">
        <v>5545</v>
      </c>
      <c r="C555" s="17" t="s">
        <v>110</v>
      </c>
    </row>
    <row r="556" spans="1:3" x14ac:dyDescent="0.25">
      <c r="A556" s="17" t="s">
        <v>1437</v>
      </c>
      <c r="B556" s="17">
        <v>5546</v>
      </c>
      <c r="C556" s="17" t="s">
        <v>1438</v>
      </c>
    </row>
    <row r="557" spans="1:3" x14ac:dyDescent="0.25">
      <c r="A557" s="17" t="s">
        <v>1439</v>
      </c>
      <c r="B557" s="17">
        <v>5550</v>
      </c>
      <c r="C557" s="17" t="s">
        <v>1440</v>
      </c>
    </row>
    <row r="558" spans="1:3" x14ac:dyDescent="0.25">
      <c r="A558" s="17" t="s">
        <v>1441</v>
      </c>
      <c r="B558" s="17">
        <v>5551</v>
      </c>
      <c r="C558" s="17" t="s">
        <v>1442</v>
      </c>
    </row>
    <row r="559" spans="1:3" x14ac:dyDescent="0.25">
      <c r="A559" s="17" t="s">
        <v>1443</v>
      </c>
      <c r="B559" s="17">
        <v>5552</v>
      </c>
      <c r="C559" s="17" t="s">
        <v>1444</v>
      </c>
    </row>
    <row r="560" spans="1:3" x14ac:dyDescent="0.25">
      <c r="A560" s="17" t="s">
        <v>1445</v>
      </c>
      <c r="B560" s="17">
        <v>5556</v>
      </c>
      <c r="C560" s="17" t="s">
        <v>1446</v>
      </c>
    </row>
    <row r="561" spans="1:3" x14ac:dyDescent="0.25">
      <c r="A561" s="17" t="s">
        <v>1447</v>
      </c>
      <c r="B561" s="17">
        <v>5557</v>
      </c>
      <c r="C561" s="17" t="s">
        <v>1448</v>
      </c>
    </row>
    <row r="562" spans="1:3" x14ac:dyDescent="0.25">
      <c r="A562" s="17" t="s">
        <v>739</v>
      </c>
      <c r="B562" s="17">
        <v>5558</v>
      </c>
      <c r="C562" s="17" t="s">
        <v>1449</v>
      </c>
    </row>
    <row r="563" spans="1:3" x14ac:dyDescent="0.25">
      <c r="A563" s="17" t="s">
        <v>1450</v>
      </c>
      <c r="B563" s="17">
        <v>5559</v>
      </c>
      <c r="C563" s="17" t="s">
        <v>1451</v>
      </c>
    </row>
    <row r="564" spans="1:3" x14ac:dyDescent="0.25">
      <c r="A564" s="17" t="s">
        <v>1452</v>
      </c>
      <c r="B564" s="17">
        <v>5560</v>
      </c>
      <c r="C564" s="17" t="s">
        <v>1453</v>
      </c>
    </row>
    <row r="565" spans="1:3" x14ac:dyDescent="0.25">
      <c r="A565" s="17" t="s">
        <v>1454</v>
      </c>
      <c r="B565" s="17">
        <v>5564</v>
      </c>
      <c r="C565" s="17" t="s">
        <v>1455</v>
      </c>
    </row>
    <row r="566" spans="1:3" x14ac:dyDescent="0.25">
      <c r="A566" s="17" t="s">
        <v>1456</v>
      </c>
      <c r="B566" s="17">
        <v>5568</v>
      </c>
      <c r="C566" s="17" t="s">
        <v>1457</v>
      </c>
    </row>
    <row r="567" spans="1:3" x14ac:dyDescent="0.25">
      <c r="A567" s="17" t="s">
        <v>1458</v>
      </c>
      <c r="B567" s="17">
        <v>5569</v>
      </c>
      <c r="C567" s="17" t="s">
        <v>1459</v>
      </c>
    </row>
    <row r="568" spans="1:3" x14ac:dyDescent="0.25">
      <c r="A568" s="17" t="s">
        <v>1460</v>
      </c>
      <c r="B568" s="17">
        <v>5570</v>
      </c>
      <c r="C568" s="17" t="s">
        <v>1461</v>
      </c>
    </row>
    <row r="569" spans="1:3" x14ac:dyDescent="0.25">
      <c r="A569" s="17" t="s">
        <v>1462</v>
      </c>
      <c r="B569" s="17">
        <v>5573</v>
      </c>
      <c r="C569" s="17" t="s">
        <v>1463</v>
      </c>
    </row>
    <row r="570" spans="1:3" x14ac:dyDescent="0.25">
      <c r="A570" s="17" t="s">
        <v>873</v>
      </c>
      <c r="B570" s="17">
        <v>5581</v>
      </c>
      <c r="C570" s="17" t="s">
        <v>1464</v>
      </c>
    </row>
    <row r="571" spans="1:3" x14ac:dyDescent="0.25">
      <c r="A571" s="17" t="s">
        <v>1465</v>
      </c>
      <c r="B571" s="17">
        <v>5582</v>
      </c>
      <c r="C571" s="17" t="s">
        <v>1466</v>
      </c>
    </row>
    <row r="572" spans="1:3" x14ac:dyDescent="0.25">
      <c r="A572" s="17" t="s">
        <v>1467</v>
      </c>
      <c r="B572" s="17">
        <v>5588</v>
      </c>
      <c r="C572" s="17" t="s">
        <v>1468</v>
      </c>
    </row>
    <row r="573" spans="1:3" x14ac:dyDescent="0.25">
      <c r="A573" s="17" t="s">
        <v>1469</v>
      </c>
      <c r="B573" s="17">
        <v>5591</v>
      </c>
      <c r="C573" s="17" t="s">
        <v>1470</v>
      </c>
    </row>
    <row r="574" spans="1:3" x14ac:dyDescent="0.25">
      <c r="A574" s="17" t="s">
        <v>1471</v>
      </c>
      <c r="B574" s="17">
        <v>5592</v>
      </c>
      <c r="C574" s="17" t="s">
        <v>1472</v>
      </c>
    </row>
    <row r="575" spans="1:3" x14ac:dyDescent="0.25">
      <c r="A575" s="17" t="s">
        <v>1473</v>
      </c>
      <c r="B575" s="17">
        <v>5594</v>
      </c>
      <c r="C575" s="17" t="s">
        <v>1474</v>
      </c>
    </row>
    <row r="576" spans="1:3" x14ac:dyDescent="0.25">
      <c r="A576" s="17" t="s">
        <v>1475</v>
      </c>
      <c r="B576" s="17">
        <v>5596</v>
      </c>
      <c r="C576" s="17" t="s">
        <v>1476</v>
      </c>
    </row>
    <row r="577" spans="1:3" x14ac:dyDescent="0.25">
      <c r="A577" s="17" t="s">
        <v>1477</v>
      </c>
      <c r="B577" s="17">
        <v>5607</v>
      </c>
      <c r="C577" s="17" t="s">
        <v>1478</v>
      </c>
    </row>
    <row r="578" spans="1:3" x14ac:dyDescent="0.25">
      <c r="A578" s="17" t="s">
        <v>1479</v>
      </c>
      <c r="B578" s="17">
        <v>5608</v>
      </c>
      <c r="C578" s="17" t="s">
        <v>1480</v>
      </c>
    </row>
    <row r="579" spans="1:3" x14ac:dyDescent="0.25">
      <c r="A579" s="17" t="s">
        <v>1479</v>
      </c>
      <c r="B579" s="17">
        <v>5609</v>
      </c>
      <c r="C579" s="17" t="s">
        <v>1481</v>
      </c>
    </row>
    <row r="580" spans="1:3" x14ac:dyDescent="0.25">
      <c r="A580" s="17" t="s">
        <v>1482</v>
      </c>
      <c r="B580" s="17">
        <v>5610</v>
      </c>
      <c r="C580" s="17" t="s">
        <v>1483</v>
      </c>
    </row>
    <row r="581" spans="1:3" x14ac:dyDescent="0.25">
      <c r="A581" s="17" t="s">
        <v>1484</v>
      </c>
      <c r="B581" s="17">
        <v>5619</v>
      </c>
      <c r="C581" s="17" t="s">
        <v>1485</v>
      </c>
    </row>
    <row r="582" spans="1:3" x14ac:dyDescent="0.25">
      <c r="A582" s="17" t="s">
        <v>1486</v>
      </c>
      <c r="B582" s="17">
        <v>5623</v>
      </c>
      <c r="C582" s="17" t="s">
        <v>1487</v>
      </c>
    </row>
    <row r="583" spans="1:3" x14ac:dyDescent="0.25">
      <c r="A583" s="17" t="s">
        <v>1488</v>
      </c>
      <c r="B583" s="17">
        <v>5627</v>
      </c>
      <c r="C583" s="17" t="s">
        <v>1489</v>
      </c>
    </row>
    <row r="584" spans="1:3" x14ac:dyDescent="0.25">
      <c r="A584" s="17" t="s">
        <v>1490</v>
      </c>
      <c r="B584" s="17">
        <v>5628</v>
      </c>
      <c r="C584" s="17" t="s">
        <v>1491</v>
      </c>
    </row>
    <row r="585" spans="1:3" x14ac:dyDescent="0.25">
      <c r="A585" s="17" t="s">
        <v>1492</v>
      </c>
      <c r="B585" s="17">
        <v>5630</v>
      </c>
      <c r="C585" s="17" t="s">
        <v>1493</v>
      </c>
    </row>
    <row r="586" spans="1:3" x14ac:dyDescent="0.25">
      <c r="A586" s="17" t="s">
        <v>1494</v>
      </c>
      <c r="B586" s="17">
        <v>5631</v>
      </c>
      <c r="C586" s="17" t="s">
        <v>1495</v>
      </c>
    </row>
    <row r="587" spans="1:3" x14ac:dyDescent="0.25">
      <c r="A587" s="17" t="s">
        <v>1496</v>
      </c>
      <c r="B587" s="17">
        <v>5632</v>
      </c>
      <c r="C587" s="17" t="s">
        <v>1497</v>
      </c>
    </row>
    <row r="588" spans="1:3" x14ac:dyDescent="0.25">
      <c r="A588" s="17" t="s">
        <v>1498</v>
      </c>
      <c r="B588" s="17">
        <v>5634</v>
      </c>
      <c r="C588" s="17" t="s">
        <v>1499</v>
      </c>
    </row>
    <row r="589" spans="1:3" x14ac:dyDescent="0.25">
      <c r="A589" s="17" t="s">
        <v>1500</v>
      </c>
      <c r="B589" s="17">
        <v>5636</v>
      </c>
      <c r="C589" s="17" t="s">
        <v>1501</v>
      </c>
    </row>
    <row r="590" spans="1:3" x14ac:dyDescent="0.25">
      <c r="A590" s="17" t="s">
        <v>1502</v>
      </c>
      <c r="B590" s="17">
        <v>5637</v>
      </c>
      <c r="C590" s="17" t="s">
        <v>126</v>
      </c>
    </row>
    <row r="591" spans="1:3" x14ac:dyDescent="0.25">
      <c r="A591" s="17" t="s">
        <v>1503</v>
      </c>
      <c r="B591" s="17">
        <v>5638</v>
      </c>
      <c r="C591" s="17" t="s">
        <v>1504</v>
      </c>
    </row>
    <row r="592" spans="1:3" x14ac:dyDescent="0.25">
      <c r="A592" s="17" t="s">
        <v>1505</v>
      </c>
      <c r="B592" s="17">
        <v>5645</v>
      </c>
      <c r="C592" s="17" t="s">
        <v>1506</v>
      </c>
    </row>
    <row r="593" spans="1:3" x14ac:dyDescent="0.25">
      <c r="A593" s="17" t="s">
        <v>1507</v>
      </c>
      <c r="B593" s="17">
        <v>5646</v>
      </c>
      <c r="C593" s="17" t="s">
        <v>1508</v>
      </c>
    </row>
    <row r="594" spans="1:3" x14ac:dyDescent="0.25">
      <c r="A594" s="17" t="s">
        <v>1509</v>
      </c>
      <c r="B594" s="17">
        <v>5647</v>
      </c>
      <c r="C594" s="17" t="s">
        <v>1510</v>
      </c>
    </row>
    <row r="595" spans="1:3" x14ac:dyDescent="0.25">
      <c r="A595" s="17" t="s">
        <v>1511</v>
      </c>
      <c r="B595" s="17">
        <v>5648</v>
      </c>
      <c r="C595" s="17" t="s">
        <v>1512</v>
      </c>
    </row>
    <row r="596" spans="1:3" x14ac:dyDescent="0.25">
      <c r="A596" s="17" t="s">
        <v>1513</v>
      </c>
      <c r="B596" s="17">
        <v>5649</v>
      </c>
      <c r="C596" s="17" t="s">
        <v>1514</v>
      </c>
    </row>
    <row r="597" spans="1:3" x14ac:dyDescent="0.25">
      <c r="A597" s="17" t="s">
        <v>1515</v>
      </c>
      <c r="B597" s="17">
        <v>5650</v>
      </c>
      <c r="C597" s="17" t="s">
        <v>1516</v>
      </c>
    </row>
    <row r="598" spans="1:3" x14ac:dyDescent="0.25">
      <c r="A598" s="17" t="s">
        <v>1517</v>
      </c>
      <c r="B598" s="17">
        <v>5651</v>
      </c>
      <c r="C598" s="17" t="s">
        <v>1518</v>
      </c>
    </row>
    <row r="599" spans="1:3" x14ac:dyDescent="0.25">
      <c r="A599" s="17" t="s">
        <v>1519</v>
      </c>
      <c r="B599" s="17">
        <v>5652</v>
      </c>
      <c r="C599" s="17" t="s">
        <v>1520</v>
      </c>
    </row>
    <row r="600" spans="1:3" x14ac:dyDescent="0.25">
      <c r="A600" s="17" t="s">
        <v>1521</v>
      </c>
      <c r="B600" s="17">
        <v>5653</v>
      </c>
      <c r="C600" s="17" t="s">
        <v>1522</v>
      </c>
    </row>
    <row r="601" spans="1:3" x14ac:dyDescent="0.25">
      <c r="A601" s="17" t="s">
        <v>1523</v>
      </c>
      <c r="B601" s="17">
        <v>5654</v>
      </c>
      <c r="C601" s="17" t="s">
        <v>1524</v>
      </c>
    </row>
    <row r="602" spans="1:3" x14ac:dyDescent="0.25">
      <c r="A602" s="17" t="s">
        <v>1525</v>
      </c>
      <c r="B602" s="17">
        <v>5655</v>
      </c>
      <c r="C602" s="17" t="s">
        <v>1526</v>
      </c>
    </row>
    <row r="603" spans="1:3" x14ac:dyDescent="0.25">
      <c r="A603" s="17" t="s">
        <v>1527</v>
      </c>
      <c r="B603" s="17">
        <v>5656</v>
      </c>
      <c r="C603" s="17" t="s">
        <v>95</v>
      </c>
    </row>
    <row r="604" spans="1:3" x14ac:dyDescent="0.25">
      <c r="A604" s="17" t="s">
        <v>1528</v>
      </c>
      <c r="B604" s="17">
        <v>5657</v>
      </c>
      <c r="C604" s="17" t="s">
        <v>1529</v>
      </c>
    </row>
    <row r="605" spans="1:3" x14ac:dyDescent="0.25">
      <c r="A605" s="17" t="s">
        <v>1530</v>
      </c>
      <c r="B605" s="17">
        <v>5658</v>
      </c>
      <c r="C605" s="17" t="s">
        <v>1531</v>
      </c>
    </row>
    <row r="606" spans="1:3" x14ac:dyDescent="0.25">
      <c r="A606" s="17" t="s">
        <v>1369</v>
      </c>
      <c r="B606" s="17">
        <v>5659</v>
      </c>
      <c r="C606" s="17" t="s">
        <v>1532</v>
      </c>
    </row>
    <row r="607" spans="1:3" x14ac:dyDescent="0.25">
      <c r="A607" s="17" t="s">
        <v>1387</v>
      </c>
      <c r="B607" s="17">
        <v>5660</v>
      </c>
      <c r="C607" s="17" t="s">
        <v>1533</v>
      </c>
    </row>
    <row r="608" spans="1:3" x14ac:dyDescent="0.25">
      <c r="A608" s="17" t="s">
        <v>1534</v>
      </c>
      <c r="B608" s="17">
        <v>5661</v>
      </c>
      <c r="C608" s="17" t="s">
        <v>1535</v>
      </c>
    </row>
    <row r="609" spans="1:3" x14ac:dyDescent="0.25">
      <c r="A609" s="17" t="s">
        <v>1536</v>
      </c>
      <c r="B609" s="17">
        <v>5662</v>
      </c>
      <c r="C609" s="17" t="s">
        <v>1537</v>
      </c>
    </row>
    <row r="610" spans="1:3" x14ac:dyDescent="0.25">
      <c r="A610" s="17" t="s">
        <v>1538</v>
      </c>
      <c r="B610" s="17">
        <v>5663</v>
      </c>
      <c r="C610" s="17" t="s">
        <v>1539</v>
      </c>
    </row>
    <row r="611" spans="1:3" x14ac:dyDescent="0.25">
      <c r="A611" s="17" t="s">
        <v>1540</v>
      </c>
      <c r="B611" s="17">
        <v>5666</v>
      </c>
      <c r="C611" s="17" t="s">
        <v>1541</v>
      </c>
    </row>
    <row r="612" spans="1:3" x14ac:dyDescent="0.25">
      <c r="A612" s="17" t="s">
        <v>1542</v>
      </c>
      <c r="B612" s="17">
        <v>5667</v>
      </c>
      <c r="C612" s="17" t="s">
        <v>1543</v>
      </c>
    </row>
    <row r="613" spans="1:3" x14ac:dyDescent="0.25">
      <c r="A613" s="17" t="s">
        <v>1456</v>
      </c>
      <c r="B613" s="17">
        <v>5668</v>
      </c>
      <c r="C613" s="17" t="s">
        <v>1544</v>
      </c>
    </row>
    <row r="614" spans="1:3" x14ac:dyDescent="0.25">
      <c r="A614" s="17" t="s">
        <v>1545</v>
      </c>
      <c r="B614" s="17">
        <v>5669</v>
      </c>
      <c r="C614" s="17" t="s">
        <v>1546</v>
      </c>
    </row>
    <row r="615" spans="1:3" x14ac:dyDescent="0.25">
      <c r="A615" s="17" t="s">
        <v>1547</v>
      </c>
      <c r="B615" s="17">
        <v>5673</v>
      </c>
      <c r="C615" s="17" t="s">
        <v>1548</v>
      </c>
    </row>
    <row r="616" spans="1:3" x14ac:dyDescent="0.25">
      <c r="A616" s="17" t="s">
        <v>1549</v>
      </c>
      <c r="B616" s="17">
        <v>5682</v>
      </c>
      <c r="C616" s="17" t="s">
        <v>1550</v>
      </c>
    </row>
    <row r="617" spans="1:3" x14ac:dyDescent="0.25">
      <c r="A617" s="17" t="s">
        <v>1551</v>
      </c>
      <c r="B617" s="17">
        <v>5683</v>
      </c>
      <c r="C617" s="17" t="s">
        <v>1552</v>
      </c>
    </row>
    <row r="618" spans="1:3" x14ac:dyDescent="0.25">
      <c r="A618" s="17" t="s">
        <v>1553</v>
      </c>
      <c r="B618" s="17">
        <v>5684</v>
      </c>
      <c r="C618" s="17" t="s">
        <v>1554</v>
      </c>
    </row>
    <row r="619" spans="1:3" x14ac:dyDescent="0.25">
      <c r="A619" s="17" t="s">
        <v>1555</v>
      </c>
      <c r="B619" s="17" t="s">
        <v>1556</v>
      </c>
      <c r="C619" s="17" t="s">
        <v>1557</v>
      </c>
    </row>
    <row r="620" spans="1:3" x14ac:dyDescent="0.25">
      <c r="A620" s="17" t="s">
        <v>1558</v>
      </c>
      <c r="B620" s="17" t="s">
        <v>1559</v>
      </c>
      <c r="C620" s="17" t="s">
        <v>1560</v>
      </c>
    </row>
    <row r="621" spans="1:3" x14ac:dyDescent="0.25">
      <c r="A621" s="18" t="s">
        <v>93</v>
      </c>
      <c r="B621" s="18" t="s">
        <v>93</v>
      </c>
      <c r="C621" s="18" t="s">
        <v>1561</v>
      </c>
    </row>
    <row r="622" spans="1:3" x14ac:dyDescent="0.25">
      <c r="A622" s="18" t="s">
        <v>1484</v>
      </c>
      <c r="B622" s="18"/>
      <c r="C622" s="18" t="s">
        <v>1562</v>
      </c>
    </row>
    <row r="623" spans="1:3" x14ac:dyDescent="0.25">
      <c r="A623" s="18" t="s">
        <v>1129</v>
      </c>
      <c r="B623" s="18"/>
      <c r="C623" s="18" t="s">
        <v>1563</v>
      </c>
    </row>
    <row r="624" spans="1:3" x14ac:dyDescent="0.25">
      <c r="A624" s="18" t="s">
        <v>1135</v>
      </c>
      <c r="B624" s="18"/>
      <c r="C624" s="18" t="s">
        <v>1564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69B68C-4B67-457A-B361-962ADD7832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10</vt:i4>
      </vt:variant>
    </vt:vector>
  </HeadingPairs>
  <TitlesOfParts>
    <vt:vector size="23" baseType="lpstr">
      <vt:lpstr>PAINEL</vt:lpstr>
      <vt:lpstr>BOAS-VINDAS</vt:lpstr>
      <vt:lpstr>RESERVAS E QUARTOS</vt:lpstr>
      <vt:lpstr>POS. FROTA</vt:lpstr>
      <vt:lpstr>ESCALA RODOVIÁRIA</vt:lpstr>
      <vt:lpstr>ESCALA DO FLUXO</vt:lpstr>
      <vt:lpstr>FROTA DIURNA</vt:lpstr>
      <vt:lpstr>FROTA NOTURNA</vt:lpstr>
      <vt:lpstr>PREVISÕES</vt:lpstr>
      <vt:lpstr>FTR DIU BFM</vt:lpstr>
      <vt:lpstr>FRT NTR BFM</vt:lpstr>
      <vt:lpstr>CONSULTA DE PLACA</vt:lpstr>
      <vt:lpstr>BANCO DE DADOS</vt:lpstr>
      <vt:lpstr>'FROTA NOTURNA'!Area_de_impressao</vt:lpstr>
      <vt:lpstr>'FRT NTR BFM'!Area_de_impressao</vt:lpstr>
      <vt:lpstr>'FTR DIU BFM'!Area_de_impressao</vt:lpstr>
      <vt:lpstr>'FRT NTR BFM'!mot_exibicao_de_escala</vt:lpstr>
      <vt:lpstr>'FTR DIU BFM'!mot_exibicao_de_escala</vt:lpstr>
      <vt:lpstr>mot_exibicao_de_escala</vt:lpstr>
      <vt:lpstr>mot_matricula</vt:lpstr>
      <vt:lpstr>'FRT NTR BFM'!mot_nome</vt:lpstr>
      <vt:lpstr>'FTR DIU BFM'!mot_nome</vt:lpstr>
      <vt:lpstr>mot_nome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Ferramentas do Tráfego</dc:title>
  <dc:subject/>
  <dc:creator>Gustavo Oliveira Melo</dc:creator>
  <cp:keywords>Satelite Norte IMP;Gustavo Mello</cp:keywords>
  <dc:description/>
  <cp:lastModifiedBy>Tráfego IMP 02</cp:lastModifiedBy>
  <cp:revision/>
  <cp:lastPrinted>2025-08-06T21:58:04Z</cp:lastPrinted>
  <dcterms:created xsi:type="dcterms:W3CDTF">2023-03-24T13:24:19Z</dcterms:created>
  <dcterms:modified xsi:type="dcterms:W3CDTF">2026-03-20T08:36:23Z</dcterms:modified>
  <cp:category/>
  <cp:contentStatus/>
</cp:coreProperties>
</file>