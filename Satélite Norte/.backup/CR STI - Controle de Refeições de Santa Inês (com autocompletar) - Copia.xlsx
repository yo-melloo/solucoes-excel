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763797BA848D3B0/Tráfego IMP/CONTROLE DE REFEIÇÕES/Novo Controle de Refeições 2025/"/>
    </mc:Choice>
  </mc:AlternateContent>
  <xr:revisionPtr revIDLastSave="1735" documentId="122_{FFB9F93E-6C1F-4949-BA33-1EB3B315F031}" xr6:coauthVersionLast="47" xr6:coauthVersionMax="47" xr10:uidLastSave="{30E649D3-253D-4EEA-8385-8B300845728A}"/>
  <bookViews>
    <workbookView xWindow="-120" yWindow="-120" windowWidth="20730" windowHeight="11160" tabRatio="520" firstSheet="1" activeTab="2" xr2:uid="{00000000-000D-0000-FFFF-FFFF00000000}"/>
  </bookViews>
  <sheets>
    <sheet name="e.FLUXO" sheetId="3" r:id="rId1"/>
    <sheet name="ALMOCO" sheetId="14" r:id="rId2"/>
    <sheet name="JANTA" sheetId="10" r:id="rId3"/>
    <sheet name="iALMOÇO" sheetId="2" state="hidden" r:id="rId4"/>
    <sheet name="TOTAIS" sheetId="1" r:id="rId5"/>
    <sheet name="BANCO DE DADOS" sheetId="9" r:id="rId6"/>
    <sheet name="AJUDA" sheetId="11" state="hidden" r:id="rId7"/>
    <sheet name="Demonstração AUTOCOMPLETAR" sheetId="12" state="hidden" r:id="rId8"/>
  </sheets>
  <definedNames>
    <definedName name="_xlnm._FilterDatabase" localSheetId="0" hidden="1">e.FLUXO!#REF!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4" l="1"/>
  <c r="Z7" i="14"/>
  <c r="Z8" i="14"/>
  <c r="Z9" i="14"/>
  <c r="Z10" i="14"/>
  <c r="Z11" i="14"/>
  <c r="Z12" i="14"/>
  <c r="Z13" i="14"/>
  <c r="Z14" i="14"/>
  <c r="Z15" i="14"/>
  <c r="Z16" i="14"/>
  <c r="Z17" i="14"/>
  <c r="Z18" i="14"/>
  <c r="Z19" i="14"/>
  <c r="Z20" i="14"/>
  <c r="Z21" i="14"/>
  <c r="Z22" i="14"/>
  <c r="Z23" i="14"/>
  <c r="Z24" i="14"/>
  <c r="Z25" i="14"/>
  <c r="Z26" i="14"/>
  <c r="Z27" i="14"/>
  <c r="Z28" i="14"/>
  <c r="Z29" i="14"/>
  <c r="Z30" i="14"/>
  <c r="Z31" i="14"/>
  <c r="Z32" i="14"/>
  <c r="Z33" i="14"/>
  <c r="Z34" i="14"/>
  <c r="Z35" i="14"/>
  <c r="Z36" i="14"/>
  <c r="Z37" i="14"/>
  <c r="Z38" i="14"/>
  <c r="Z39" i="14"/>
  <c r="Z40" i="14"/>
  <c r="Z41" i="14"/>
  <c r="Z42" i="14"/>
  <c r="Z43" i="14"/>
  <c r="Z44" i="14"/>
  <c r="Z45" i="14"/>
  <c r="Z46" i="14"/>
  <c r="Z47" i="14"/>
  <c r="Z48" i="14"/>
  <c r="Z49" i="14"/>
  <c r="Z50" i="14"/>
  <c r="Z51" i="14"/>
  <c r="Z52" i="14"/>
  <c r="Z53" i="14"/>
  <c r="Z54" i="14"/>
  <c r="Z55" i="14"/>
  <c r="Z56" i="14"/>
  <c r="Z57" i="14"/>
  <c r="Z58" i="14"/>
  <c r="Z59" i="14"/>
  <c r="Z60" i="14"/>
  <c r="Z61" i="14"/>
  <c r="Z62" i="14"/>
  <c r="Z63" i="14"/>
  <c r="Z64" i="14"/>
  <c r="Z65" i="14"/>
  <c r="Z66" i="14"/>
  <c r="Z67" i="14"/>
  <c r="Z68" i="14"/>
  <c r="Z69" i="14"/>
  <c r="Z70" i="14"/>
  <c r="Z71" i="14"/>
  <c r="Z72" i="14"/>
  <c r="Z73" i="14"/>
  <c r="Z74" i="14"/>
  <c r="Z75" i="14"/>
  <c r="Z76" i="14"/>
  <c r="Z77" i="14"/>
  <c r="Z78" i="14"/>
  <c r="Z79" i="14"/>
  <c r="Z80" i="14"/>
  <c r="Z81" i="14"/>
  <c r="Z82" i="14"/>
  <c r="Z83" i="14"/>
  <c r="Z84" i="14"/>
  <c r="Z85" i="14"/>
  <c r="Z86" i="14"/>
  <c r="Z87" i="14"/>
  <c r="Z88" i="14"/>
  <c r="Z89" i="14"/>
  <c r="Z90" i="14"/>
  <c r="Z91" i="14"/>
  <c r="Z92" i="14"/>
  <c r="Z93" i="14"/>
  <c r="Z94" i="14"/>
  <c r="Z95" i="14"/>
  <c r="Z96" i="14"/>
  <c r="Z97" i="14"/>
  <c r="Z98" i="14"/>
  <c r="Z99" i="14"/>
  <c r="Z100" i="14"/>
  <c r="Z101" i="14"/>
  <c r="Z102" i="14"/>
  <c r="Z103" i="14"/>
  <c r="Z104" i="14"/>
  <c r="Z105" i="14"/>
  <c r="Z106" i="14"/>
  <c r="Z107" i="14"/>
  <c r="Z108" i="14"/>
  <c r="Z109" i="14"/>
  <c r="Z110" i="14"/>
  <c r="Z111" i="14"/>
  <c r="Z112" i="14"/>
  <c r="Z113" i="14"/>
  <c r="Z114" i="14"/>
  <c r="Z115" i="14"/>
  <c r="Z116" i="14"/>
  <c r="Z117" i="14"/>
  <c r="Z118" i="14"/>
  <c r="Z119" i="14"/>
  <c r="Z120" i="14"/>
  <c r="Z121" i="14"/>
  <c r="Z122" i="14"/>
  <c r="Z123" i="14"/>
  <c r="Z124" i="14"/>
  <c r="Z125" i="14"/>
  <c r="Z126" i="14"/>
  <c r="Z127" i="14"/>
  <c r="Z128" i="14"/>
  <c r="Z129" i="14"/>
  <c r="Z130" i="14"/>
  <c r="Z131" i="14"/>
  <c r="Z132" i="14"/>
  <c r="Z133" i="14"/>
  <c r="Z134" i="14"/>
  <c r="Z135" i="14"/>
  <c r="Z136" i="14"/>
  <c r="Z137" i="14"/>
  <c r="Z138" i="14"/>
  <c r="Z139" i="14"/>
  <c r="Z140" i="14"/>
  <c r="Z141" i="14"/>
  <c r="Z142" i="14"/>
  <c r="Z143" i="14"/>
  <c r="Z144" i="14"/>
  <c r="Z145" i="14"/>
  <c r="Z146" i="14"/>
  <c r="Z147" i="14"/>
  <c r="Z148" i="14"/>
  <c r="Z149" i="14"/>
  <c r="Z150" i="14"/>
  <c r="Z151" i="14"/>
  <c r="Z152" i="14"/>
  <c r="Z153" i="14"/>
  <c r="Z154" i="14"/>
  <c r="Z155" i="14"/>
  <c r="Z156" i="14"/>
  <c r="Z157" i="14"/>
  <c r="Z158" i="14"/>
  <c r="Z159" i="14"/>
  <c r="Z160" i="14"/>
  <c r="Z161" i="14"/>
  <c r="Z162" i="14"/>
  <c r="Z163" i="14"/>
  <c r="Z164" i="14"/>
  <c r="Z165" i="14"/>
  <c r="Z166" i="14"/>
  <c r="Z167" i="14"/>
  <c r="Z168" i="14"/>
  <c r="Z169" i="14"/>
  <c r="Z170" i="14"/>
  <c r="Z171" i="14"/>
  <c r="Z172" i="14"/>
  <c r="Z173" i="14"/>
  <c r="Z174" i="14"/>
  <c r="Z175" i="14"/>
  <c r="Z176" i="14"/>
  <c r="Z177" i="14"/>
  <c r="Z178" i="14"/>
  <c r="Z179" i="14"/>
  <c r="Z180" i="14"/>
  <c r="Z181" i="14"/>
  <c r="Z182" i="14"/>
  <c r="Z183" i="14"/>
  <c r="Z184" i="14"/>
  <c r="Z185" i="14"/>
  <c r="Z186" i="14"/>
  <c r="Z187" i="14"/>
  <c r="Z188" i="14"/>
  <c r="Z189" i="14"/>
  <c r="Z190" i="14"/>
  <c r="Z191" i="14"/>
  <c r="Z192" i="14"/>
  <c r="Z193" i="14"/>
  <c r="Z275" i="14"/>
  <c r="Z276" i="14"/>
  <c r="Z277" i="14"/>
  <c r="Z278" i="14"/>
  <c r="Z279" i="14"/>
  <c r="Z194" i="14"/>
  <c r="Z195" i="14"/>
  <c r="Z196" i="14"/>
  <c r="Z197" i="14"/>
  <c r="Z198" i="14"/>
  <c r="Z199" i="14"/>
  <c r="Z200" i="14"/>
  <c r="Z201" i="14"/>
  <c r="Z202" i="14"/>
  <c r="Z203" i="14"/>
  <c r="Z204" i="14"/>
  <c r="Z205" i="14"/>
  <c r="Z206" i="14"/>
  <c r="Z207" i="14"/>
  <c r="Z208" i="14"/>
  <c r="Z209" i="14"/>
  <c r="Z210" i="14"/>
  <c r="Z211" i="14"/>
  <c r="Z212" i="14"/>
  <c r="Z213" i="14"/>
  <c r="Z214" i="14"/>
  <c r="Z215" i="14"/>
  <c r="Z216" i="14"/>
  <c r="Z217" i="14"/>
  <c r="Z218" i="14"/>
  <c r="Z219" i="14"/>
  <c r="Z220" i="14"/>
  <c r="Z221" i="14"/>
  <c r="Z222" i="14"/>
  <c r="Z223" i="14"/>
  <c r="Z224" i="14"/>
  <c r="Z225" i="14"/>
  <c r="Z226" i="14"/>
  <c r="Z227" i="14"/>
  <c r="Z228" i="14"/>
  <c r="Z229" i="14"/>
  <c r="Z230" i="14"/>
  <c r="Z231" i="14"/>
  <c r="Z232" i="14"/>
  <c r="Z233" i="14"/>
  <c r="Z234" i="14"/>
  <c r="Z235" i="14"/>
  <c r="Z236" i="14"/>
  <c r="Z237" i="14"/>
  <c r="Z238" i="14"/>
  <c r="Z239" i="14"/>
  <c r="Z240" i="14"/>
  <c r="Z241" i="14"/>
  <c r="Z242" i="14"/>
  <c r="Z243" i="14"/>
  <c r="Z244" i="14"/>
  <c r="Z245" i="14"/>
  <c r="Z246" i="14"/>
  <c r="Z247" i="14"/>
  <c r="Z248" i="14"/>
  <c r="Z249" i="14"/>
  <c r="Z250" i="14"/>
  <c r="Z251" i="14"/>
  <c r="Z252" i="14"/>
  <c r="Z253" i="14"/>
  <c r="Z254" i="14"/>
  <c r="Z255" i="14"/>
  <c r="Z256" i="14"/>
  <c r="Z257" i="14"/>
  <c r="Z258" i="14"/>
  <c r="Z259" i="14"/>
  <c r="Z260" i="14"/>
  <c r="Z261" i="14"/>
  <c r="Z262" i="14"/>
  <c r="Z263" i="14"/>
  <c r="Z264" i="14"/>
  <c r="Z265" i="14"/>
  <c r="Z266" i="14"/>
  <c r="Z267" i="14"/>
  <c r="Z268" i="14"/>
  <c r="Z269" i="14"/>
  <c r="Z270" i="14"/>
  <c r="Z271" i="14"/>
  <c r="Z272" i="14"/>
  <c r="Z273" i="14"/>
  <c r="Z274" i="14"/>
  <c r="Z245" i="10"/>
  <c r="Z246" i="10"/>
  <c r="Z247" i="10"/>
  <c r="Z244" i="10"/>
  <c r="Z240" i="10"/>
  <c r="Z241" i="10"/>
  <c r="Z242" i="10"/>
  <c r="Z243" i="10"/>
  <c r="Z239" i="10"/>
  <c r="D243" i="10"/>
  <c r="E243" i="10" s="1"/>
  <c r="D244" i="10"/>
  <c r="D245" i="10"/>
  <c r="D246" i="10"/>
  <c r="D247" i="10"/>
  <c r="E247" i="10" s="1"/>
  <c r="D248" i="10"/>
  <c r="F248" i="10" s="1"/>
  <c r="D249" i="10"/>
  <c r="D250" i="10"/>
  <c r="D251" i="10"/>
  <c r="E251" i="10" s="1"/>
  <c r="D252" i="10"/>
  <c r="F252" i="10" s="1"/>
  <c r="D253" i="10"/>
  <c r="E244" i="10"/>
  <c r="E245" i="10"/>
  <c r="E246" i="10"/>
  <c r="E248" i="10"/>
  <c r="G248" i="10" s="1"/>
  <c r="E249" i="10"/>
  <c r="E253" i="10"/>
  <c r="F243" i="10"/>
  <c r="F244" i="10"/>
  <c r="F245" i="10"/>
  <c r="F246" i="10"/>
  <c r="F247" i="10"/>
  <c r="F249" i="10"/>
  <c r="F253" i="10"/>
  <c r="G244" i="10"/>
  <c r="H244" i="10" s="1"/>
  <c r="L243" i="10"/>
  <c r="L244" i="10"/>
  <c r="L245" i="10"/>
  <c r="L246" i="10"/>
  <c r="L247" i="10"/>
  <c r="L248" i="10"/>
  <c r="L249" i="10"/>
  <c r="L250" i="10"/>
  <c r="L251" i="10"/>
  <c r="L252" i="10"/>
  <c r="L253" i="10"/>
  <c r="M243" i="10"/>
  <c r="M244" i="10"/>
  <c r="M245" i="10"/>
  <c r="M246" i="10"/>
  <c r="M247" i="10"/>
  <c r="M248" i="10"/>
  <c r="M249" i="10"/>
  <c r="M250" i="10"/>
  <c r="M251" i="10"/>
  <c r="M252" i="10"/>
  <c r="M253" i="10"/>
  <c r="N243" i="10"/>
  <c r="N244" i="10"/>
  <c r="N245" i="10"/>
  <c r="N246" i="10"/>
  <c r="N247" i="10"/>
  <c r="N248" i="10"/>
  <c r="N249" i="10"/>
  <c r="N250" i="10"/>
  <c r="N251" i="10"/>
  <c r="N252" i="10"/>
  <c r="N253" i="10"/>
  <c r="O243" i="10"/>
  <c r="O244" i="10"/>
  <c r="O245" i="10"/>
  <c r="O246" i="10"/>
  <c r="O247" i="10"/>
  <c r="O248" i="10"/>
  <c r="O249" i="10"/>
  <c r="O250" i="10"/>
  <c r="O251" i="10"/>
  <c r="O252" i="10"/>
  <c r="O253" i="10"/>
  <c r="Z234" i="10"/>
  <c r="Z235" i="10"/>
  <c r="Z236" i="10"/>
  <c r="Z237" i="10"/>
  <c r="Z238" i="10"/>
  <c r="Z233" i="10"/>
  <c r="Z231" i="10"/>
  <c r="Z232" i="10"/>
  <c r="Z230" i="10"/>
  <c r="Z224" i="10"/>
  <c r="Z225" i="10"/>
  <c r="Z226" i="10"/>
  <c r="Z227" i="10"/>
  <c r="Z228" i="10"/>
  <c r="Z229" i="10"/>
  <c r="Z223" i="10"/>
  <c r="D229" i="10"/>
  <c r="D230" i="10"/>
  <c r="E230" i="10" s="1"/>
  <c r="D231" i="10"/>
  <c r="E231" i="10" s="1"/>
  <c r="D232" i="10"/>
  <c r="F232" i="10" s="1"/>
  <c r="D233" i="10"/>
  <c r="D234" i="10"/>
  <c r="E234" i="10" s="1"/>
  <c r="D235" i="10"/>
  <c r="E235" i="10" s="1"/>
  <c r="D236" i="10"/>
  <c r="F236" i="10" s="1"/>
  <c r="D237" i="10"/>
  <c r="D238" i="10"/>
  <c r="E238" i="10" s="1"/>
  <c r="D239" i="10"/>
  <c r="E239" i="10" s="1"/>
  <c r="D240" i="10"/>
  <c r="F240" i="10" s="1"/>
  <c r="D241" i="10"/>
  <c r="D242" i="10"/>
  <c r="E242" i="10" s="1"/>
  <c r="E229" i="10"/>
  <c r="E232" i="10"/>
  <c r="G232" i="10" s="1"/>
  <c r="E233" i="10"/>
  <c r="E237" i="10"/>
  <c r="E241" i="10"/>
  <c r="F229" i="10"/>
  <c r="F230" i="10"/>
  <c r="F233" i="10"/>
  <c r="G233" i="10" s="1"/>
  <c r="H233" i="10" s="1"/>
  <c r="F237" i="10"/>
  <c r="F238" i="10"/>
  <c r="F241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Z217" i="10"/>
  <c r="Z218" i="10"/>
  <c r="Z219" i="10"/>
  <c r="Z220" i="10"/>
  <c r="Z221" i="10"/>
  <c r="Z222" i="10"/>
  <c r="Z216" i="10"/>
  <c r="D221" i="10"/>
  <c r="D222" i="10"/>
  <c r="D223" i="10"/>
  <c r="D224" i="10"/>
  <c r="D225" i="10"/>
  <c r="D226" i="10"/>
  <c r="D227" i="10"/>
  <c r="D228" i="10"/>
  <c r="E221" i="10"/>
  <c r="E222" i="10"/>
  <c r="E223" i="10"/>
  <c r="E224" i="10"/>
  <c r="E225" i="10"/>
  <c r="E226" i="10"/>
  <c r="E227" i="10"/>
  <c r="E228" i="10"/>
  <c r="F221" i="10"/>
  <c r="F222" i="10"/>
  <c r="F223" i="10"/>
  <c r="F224" i="10"/>
  <c r="F225" i="10"/>
  <c r="F226" i="10"/>
  <c r="F227" i="10"/>
  <c r="F228" i="10"/>
  <c r="G221" i="10"/>
  <c r="G222" i="10"/>
  <c r="G223" i="10"/>
  <c r="G224" i="10"/>
  <c r="G225" i="10"/>
  <c r="G226" i="10"/>
  <c r="G227" i="10"/>
  <c r="G228" i="10"/>
  <c r="H221" i="10"/>
  <c r="H222" i="10"/>
  <c r="H223" i="10"/>
  <c r="H224" i="10"/>
  <c r="H225" i="10"/>
  <c r="H226" i="10"/>
  <c r="H227" i="10"/>
  <c r="H228" i="10"/>
  <c r="I221" i="10"/>
  <c r="I222" i="10"/>
  <c r="I223" i="10"/>
  <c r="I224" i="10"/>
  <c r="I225" i="10"/>
  <c r="I226" i="10"/>
  <c r="I227" i="10"/>
  <c r="I228" i="10"/>
  <c r="J221" i="10"/>
  <c r="J222" i="10"/>
  <c r="J223" i="10"/>
  <c r="J224" i="10"/>
  <c r="J225" i="10"/>
  <c r="J226" i="10"/>
  <c r="J227" i="10"/>
  <c r="J228" i="10"/>
  <c r="K221" i="10"/>
  <c r="K222" i="10"/>
  <c r="K223" i="10"/>
  <c r="K224" i="10"/>
  <c r="K225" i="10"/>
  <c r="K226" i="10"/>
  <c r="K227" i="10"/>
  <c r="K228" i="10"/>
  <c r="L221" i="10"/>
  <c r="L222" i="10"/>
  <c r="L223" i="10"/>
  <c r="L224" i="10"/>
  <c r="L225" i="10"/>
  <c r="L226" i="10"/>
  <c r="L227" i="10"/>
  <c r="L228" i="10"/>
  <c r="M221" i="10"/>
  <c r="M222" i="10"/>
  <c r="M223" i="10"/>
  <c r="M224" i="10"/>
  <c r="M225" i="10"/>
  <c r="M226" i="10"/>
  <c r="M227" i="10"/>
  <c r="M228" i="10"/>
  <c r="N221" i="10"/>
  <c r="N222" i="10"/>
  <c r="O222" i="10" s="1"/>
  <c r="P222" i="10" s="1" a="1"/>
  <c r="P222" i="10" s="1"/>
  <c r="N223" i="10"/>
  <c r="N224" i="10"/>
  <c r="N225" i="10"/>
  <c r="N226" i="10"/>
  <c r="N227" i="10"/>
  <c r="N228" i="10"/>
  <c r="O221" i="10"/>
  <c r="P221" i="10" s="1" a="1"/>
  <c r="P221" i="10" s="1"/>
  <c r="Q221" i="10" s="1" a="1"/>
  <c r="Q221" i="10" s="1"/>
  <c r="O223" i="10"/>
  <c r="O224" i="10"/>
  <c r="O225" i="10"/>
  <c r="O226" i="10"/>
  <c r="O227" i="10"/>
  <c r="O228" i="10"/>
  <c r="P228" i="10" a="1"/>
  <c r="P228" i="10" s="1"/>
  <c r="Z211" i="10"/>
  <c r="Z212" i="10"/>
  <c r="Z213" i="10"/>
  <c r="Z214" i="10"/>
  <c r="Z215" i="10"/>
  <c r="Z210" i="10"/>
  <c r="Z206" i="10"/>
  <c r="Z207" i="10"/>
  <c r="Z208" i="10"/>
  <c r="Z209" i="10"/>
  <c r="Z205" i="10"/>
  <c r="Z204" i="10"/>
  <c r="D204" i="10"/>
  <c r="E204" i="10" s="1"/>
  <c r="D205" i="10"/>
  <c r="F205" i="10" s="1"/>
  <c r="D206" i="10"/>
  <c r="F206" i="10" s="1"/>
  <c r="D207" i="10"/>
  <c r="E207" i="10" s="1"/>
  <c r="D208" i="10"/>
  <c r="E208" i="10" s="1"/>
  <c r="D209" i="10"/>
  <c r="E209" i="10" s="1"/>
  <c r="D210" i="10"/>
  <c r="F210" i="10" s="1"/>
  <c r="D211" i="10"/>
  <c r="E211" i="10" s="1"/>
  <c r="D212" i="10"/>
  <c r="F212" i="10" s="1"/>
  <c r="D213" i="10"/>
  <c r="E213" i="10" s="1"/>
  <c r="D214" i="10"/>
  <c r="F214" i="10" s="1"/>
  <c r="D215" i="10"/>
  <c r="E215" i="10" s="1"/>
  <c r="D216" i="10"/>
  <c r="F216" i="10" s="1"/>
  <c r="D217" i="10"/>
  <c r="E217" i="10" s="1"/>
  <c r="D218" i="10"/>
  <c r="F218" i="10" s="1"/>
  <c r="D219" i="10"/>
  <c r="E219" i="10" s="1"/>
  <c r="D220" i="10"/>
  <c r="F220" i="10" s="1"/>
  <c r="E205" i="10"/>
  <c r="E206" i="10"/>
  <c r="G206" i="10" s="1"/>
  <c r="H206" i="10" s="1"/>
  <c r="E212" i="10"/>
  <c r="E220" i="10"/>
  <c r="F215" i="10"/>
  <c r="L204" i="10"/>
  <c r="M204" i="10" s="1"/>
  <c r="L205" i="10"/>
  <c r="N205" i="10" s="1"/>
  <c r="L206" i="10"/>
  <c r="N206" i="10" s="1"/>
  <c r="L207" i="10"/>
  <c r="L208" i="10"/>
  <c r="M208" i="10" s="1"/>
  <c r="L209" i="10"/>
  <c r="M209" i="10" s="1"/>
  <c r="L210" i="10"/>
  <c r="N210" i="10" s="1"/>
  <c r="L211" i="10"/>
  <c r="L212" i="10"/>
  <c r="N212" i="10" s="1"/>
  <c r="L213" i="10"/>
  <c r="L214" i="10"/>
  <c r="L215" i="10"/>
  <c r="L216" i="10"/>
  <c r="L217" i="10"/>
  <c r="L218" i="10"/>
  <c r="L219" i="10"/>
  <c r="L220" i="10"/>
  <c r="M205" i="10"/>
  <c r="M206" i="10"/>
  <c r="M214" i="10"/>
  <c r="M215" i="10"/>
  <c r="M216" i="10"/>
  <c r="M217" i="10"/>
  <c r="M218" i="10"/>
  <c r="M219" i="10"/>
  <c r="M220" i="10"/>
  <c r="N208" i="10"/>
  <c r="N214" i="10"/>
  <c r="N215" i="10"/>
  <c r="N216" i="10"/>
  <c r="N217" i="10"/>
  <c r="N218" i="10"/>
  <c r="N219" i="10"/>
  <c r="N220" i="10"/>
  <c r="O214" i="10"/>
  <c r="O215" i="10"/>
  <c r="O216" i="10"/>
  <c r="O217" i="10"/>
  <c r="O218" i="10"/>
  <c r="O219" i="10"/>
  <c r="O220" i="10"/>
  <c r="Z199" i="10"/>
  <c r="Z200" i="10"/>
  <c r="Z201" i="10"/>
  <c r="Z202" i="10"/>
  <c r="Z203" i="10"/>
  <c r="Z198" i="10"/>
  <c r="Z192" i="10"/>
  <c r="Z193" i="10"/>
  <c r="Z194" i="10"/>
  <c r="Z195" i="10"/>
  <c r="Z196" i="10"/>
  <c r="Z197" i="10"/>
  <c r="Z191" i="10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F196" i="10"/>
  <c r="F197" i="10"/>
  <c r="F199" i="10"/>
  <c r="F201" i="10"/>
  <c r="L194" i="10"/>
  <c r="M194" i="10" s="1"/>
  <c r="L195" i="10"/>
  <c r="N195" i="10" s="1"/>
  <c r="L196" i="10"/>
  <c r="L197" i="10"/>
  <c r="M197" i="10" s="1"/>
  <c r="L198" i="10"/>
  <c r="N198" i="10" s="1"/>
  <c r="L199" i="10"/>
  <c r="N199" i="10" s="1"/>
  <c r="L200" i="10"/>
  <c r="L201" i="10"/>
  <c r="M201" i="10" s="1"/>
  <c r="L202" i="10"/>
  <c r="M202" i="10" s="1"/>
  <c r="L203" i="10"/>
  <c r="M203" i="10"/>
  <c r="N203" i="10"/>
  <c r="O203" i="10"/>
  <c r="Z187" i="10"/>
  <c r="Z188" i="10"/>
  <c r="Z189" i="10"/>
  <c r="Z190" i="10"/>
  <c r="Z186" i="10"/>
  <c r="Z182" i="10"/>
  <c r="Z183" i="10"/>
  <c r="Z184" i="10"/>
  <c r="Z185" i="10"/>
  <c r="Z181" i="10"/>
  <c r="Z174" i="10"/>
  <c r="Z175" i="10"/>
  <c r="Z176" i="10"/>
  <c r="Z177" i="10"/>
  <c r="Z178" i="10"/>
  <c r="Z179" i="10"/>
  <c r="Z180" i="10"/>
  <c r="Z173" i="10"/>
  <c r="Z169" i="10"/>
  <c r="Z170" i="10"/>
  <c r="Z171" i="10"/>
  <c r="Z172" i="10"/>
  <c r="Z168" i="10"/>
  <c r="D168" i="10"/>
  <c r="E168" i="10" s="1"/>
  <c r="D169" i="10"/>
  <c r="E169" i="10" s="1"/>
  <c r="D170" i="10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F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F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E170" i="10"/>
  <c r="F169" i="10"/>
  <c r="F170" i="10"/>
  <c r="F173" i="10"/>
  <c r="L168" i="10"/>
  <c r="M168" i="10" s="1"/>
  <c r="L169" i="10"/>
  <c r="M169" i="10" s="1"/>
  <c r="L170" i="10"/>
  <c r="N170" i="10" s="1"/>
  <c r="L171" i="10"/>
  <c r="N171" i="10" s="1"/>
  <c r="L172" i="10"/>
  <c r="M172" i="10" s="1"/>
  <c r="L173" i="10"/>
  <c r="N173" i="10" s="1"/>
  <c r="L174" i="10"/>
  <c r="M174" i="10" s="1"/>
  <c r="L175" i="10"/>
  <c r="N175" i="10" s="1"/>
  <c r="L176" i="10"/>
  <c r="M176" i="10" s="1"/>
  <c r="L177" i="10"/>
  <c r="M177" i="10" s="1"/>
  <c r="L178" i="10"/>
  <c r="M178" i="10" s="1"/>
  <c r="L179" i="10"/>
  <c r="N179" i="10" s="1"/>
  <c r="L180" i="10"/>
  <c r="M180" i="10" s="1"/>
  <c r="L181" i="10"/>
  <c r="N181" i="10" s="1"/>
  <c r="L182" i="10"/>
  <c r="N182" i="10" s="1"/>
  <c r="L183" i="10"/>
  <c r="M183" i="10" s="1"/>
  <c r="L184" i="10"/>
  <c r="L185" i="10"/>
  <c r="L186" i="10"/>
  <c r="L187" i="10"/>
  <c r="L188" i="10"/>
  <c r="L189" i="10"/>
  <c r="L190" i="10"/>
  <c r="L191" i="10"/>
  <c r="L192" i="10"/>
  <c r="L193" i="10"/>
  <c r="M170" i="10"/>
  <c r="M184" i="10"/>
  <c r="M185" i="10"/>
  <c r="M186" i="10"/>
  <c r="M187" i="10"/>
  <c r="M188" i="10"/>
  <c r="M189" i="10"/>
  <c r="M190" i="10"/>
  <c r="M191" i="10"/>
  <c r="M192" i="10"/>
  <c r="M193" i="10"/>
  <c r="N184" i="10"/>
  <c r="N185" i="10"/>
  <c r="N186" i="10"/>
  <c r="N187" i="10"/>
  <c r="N188" i="10"/>
  <c r="N189" i="10"/>
  <c r="N190" i="10"/>
  <c r="N191" i="10"/>
  <c r="N192" i="10"/>
  <c r="N193" i="10"/>
  <c r="O184" i="10"/>
  <c r="O185" i="10"/>
  <c r="O186" i="10"/>
  <c r="O187" i="10"/>
  <c r="O188" i="10"/>
  <c r="O189" i="10"/>
  <c r="O190" i="10"/>
  <c r="O191" i="10"/>
  <c r="O192" i="10"/>
  <c r="O193" i="10"/>
  <c r="D271" i="14"/>
  <c r="D272" i="14"/>
  <c r="E272" i="14" s="1"/>
  <c r="D273" i="14"/>
  <c r="D274" i="14"/>
  <c r="F274" i="14" s="1"/>
  <c r="D275" i="14"/>
  <c r="D276" i="14"/>
  <c r="D277" i="14"/>
  <c r="D278" i="14"/>
  <c r="F278" i="14" s="1"/>
  <c r="D279" i="14"/>
  <c r="D280" i="14"/>
  <c r="E280" i="14" s="1"/>
  <c r="D281" i="14"/>
  <c r="E281" i="14" s="1"/>
  <c r="D282" i="14"/>
  <c r="F282" i="14" s="1"/>
  <c r="D283" i="14"/>
  <c r="D284" i="14"/>
  <c r="E284" i="14" s="1"/>
  <c r="E271" i="14"/>
  <c r="E273" i="14"/>
  <c r="E275" i="14"/>
  <c r="E283" i="14"/>
  <c r="F271" i="14"/>
  <c r="F273" i="14"/>
  <c r="F275" i="14"/>
  <c r="F283" i="14"/>
  <c r="L271" i="14"/>
  <c r="M271" i="14" s="1"/>
  <c r="L272" i="14"/>
  <c r="L273" i="14"/>
  <c r="M273" i="14" s="1"/>
  <c r="L274" i="14"/>
  <c r="N274" i="14" s="1"/>
  <c r="L275" i="14"/>
  <c r="M275" i="14" s="1"/>
  <c r="L276" i="14"/>
  <c r="M276" i="14" s="1"/>
  <c r="L277" i="14"/>
  <c r="L278" i="14"/>
  <c r="N278" i="14" s="1"/>
  <c r="L279" i="14"/>
  <c r="N279" i="14" s="1"/>
  <c r="L280" i="14"/>
  <c r="M280" i="14" s="1"/>
  <c r="L281" i="14"/>
  <c r="M281" i="14" s="1"/>
  <c r="L282" i="14"/>
  <c r="N282" i="14" s="1"/>
  <c r="L283" i="14"/>
  <c r="N283" i="14" s="1"/>
  <c r="L284" i="14"/>
  <c r="M284" i="14" s="1"/>
  <c r="M272" i="14"/>
  <c r="M274" i="14"/>
  <c r="M277" i="14"/>
  <c r="O277" i="14" s="1"/>
  <c r="M282" i="14"/>
  <c r="N272" i="14"/>
  <c r="N276" i="14"/>
  <c r="N277" i="14"/>
  <c r="N280" i="14"/>
  <c r="N284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4" i="14"/>
  <c r="J265" i="14"/>
  <c r="J266" i="14"/>
  <c r="J267" i="14"/>
  <c r="J268" i="14"/>
  <c r="J269" i="14"/>
  <c r="J27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M251" i="14"/>
  <c r="M252" i="14"/>
  <c r="M253" i="14"/>
  <c r="M254" i="14"/>
  <c r="M255" i="14"/>
  <c r="M256" i="14"/>
  <c r="M257" i="14"/>
  <c r="M258" i="14"/>
  <c r="O258" i="14" s="1"/>
  <c r="P258" i="14" s="1" a="1"/>
  <c r="P258" i="14" s="1"/>
  <c r="M259" i="14"/>
  <c r="M260" i="14"/>
  <c r="M261" i="14"/>
  <c r="M262" i="14"/>
  <c r="O262" i="14" s="1"/>
  <c r="P262" i="14" s="1" a="1"/>
  <c r="P262" i="14" s="1"/>
  <c r="M263" i="14"/>
  <c r="M264" i="14"/>
  <c r="M265" i="14"/>
  <c r="M266" i="14"/>
  <c r="O266" i="14" s="1"/>
  <c r="P266" i="14" s="1" a="1"/>
  <c r="P266" i="14" s="1"/>
  <c r="M267" i="14"/>
  <c r="M268" i="14"/>
  <c r="M269" i="14"/>
  <c r="M270" i="14"/>
  <c r="O270" i="14" s="1"/>
  <c r="P270" i="14" s="1" a="1"/>
  <c r="P270" i="14" s="1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O263" i="14" s="1"/>
  <c r="N264" i="14"/>
  <c r="N265" i="14"/>
  <c r="N266" i="14"/>
  <c r="N267" i="14"/>
  <c r="O267" i="14" s="1"/>
  <c r="N268" i="14"/>
  <c r="N269" i="14"/>
  <c r="N270" i="14"/>
  <c r="O251" i="14"/>
  <c r="O252" i="14"/>
  <c r="O253" i="14"/>
  <c r="O254" i="14"/>
  <c r="P254" i="14" s="1" a="1"/>
  <c r="P254" i="14" s="1"/>
  <c r="O255" i="14"/>
  <c r="P255" i="14" s="1" a="1"/>
  <c r="P255" i="14" s="1"/>
  <c r="O257" i="14"/>
  <c r="O259" i="14"/>
  <c r="O260" i="14"/>
  <c r="P260" i="14" s="1" a="1"/>
  <c r="P260" i="14" s="1"/>
  <c r="Q260" i="14" s="1" a="1"/>
  <c r="Q260" i="14" s="1"/>
  <c r="O261" i="14"/>
  <c r="O264" i="14"/>
  <c r="P264" i="14" s="1" a="1"/>
  <c r="P264" i="14" s="1"/>
  <c r="O265" i="14"/>
  <c r="O268" i="14"/>
  <c r="P268" i="14" s="1" a="1"/>
  <c r="P268" i="14" s="1"/>
  <c r="O269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E235" i="14"/>
  <c r="G235" i="14" s="1"/>
  <c r="H235" i="14" s="1"/>
  <c r="J235" i="14" s="1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F235" i="14"/>
  <c r="F236" i="14"/>
  <c r="F237" i="14"/>
  <c r="G237" i="14" s="1"/>
  <c r="H237" i="14" s="1"/>
  <c r="J237" i="14" s="1"/>
  <c r="F238" i="14"/>
  <c r="F239" i="14"/>
  <c r="F240" i="14"/>
  <c r="F241" i="14"/>
  <c r="F242" i="14"/>
  <c r="F243" i="14"/>
  <c r="F244" i="14"/>
  <c r="F245" i="14"/>
  <c r="F246" i="14"/>
  <c r="F247" i="14"/>
  <c r="G247" i="14" s="1"/>
  <c r="H247" i="14" s="1"/>
  <c r="F248" i="14"/>
  <c r="G248" i="14" s="1"/>
  <c r="H248" i="14" s="1"/>
  <c r="F249" i="14"/>
  <c r="F250" i="14"/>
  <c r="G236" i="14"/>
  <c r="H236" i="14" s="1"/>
  <c r="G238" i="14"/>
  <c r="G239" i="14"/>
  <c r="H239" i="14" s="1"/>
  <c r="G240" i="14"/>
  <c r="H240" i="14" s="1"/>
  <c r="G241" i="14"/>
  <c r="H241" i="14" s="1"/>
  <c r="J241" i="14" s="1"/>
  <c r="G242" i="14"/>
  <c r="G243" i="14"/>
  <c r="H243" i="14" s="1"/>
  <c r="G244" i="14"/>
  <c r="H244" i="14" s="1"/>
  <c r="G245" i="14"/>
  <c r="H245" i="14" s="1"/>
  <c r="J245" i="14" s="1"/>
  <c r="G246" i="14"/>
  <c r="G250" i="14"/>
  <c r="H250" i="14" s="1"/>
  <c r="H238" i="14"/>
  <c r="I238" i="14" s="1"/>
  <c r="H242" i="14"/>
  <c r="J242" i="14" s="1"/>
  <c r="H246" i="14"/>
  <c r="J246" i="14" s="1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M235" i="14"/>
  <c r="M236" i="14"/>
  <c r="M237" i="14"/>
  <c r="M238" i="14"/>
  <c r="M239" i="14"/>
  <c r="M240" i="14"/>
  <c r="M241" i="14"/>
  <c r="M242" i="14"/>
  <c r="O242" i="14" s="1"/>
  <c r="M243" i="14"/>
  <c r="M244" i="14"/>
  <c r="M245" i="14"/>
  <c r="O245" i="14" s="1"/>
  <c r="M246" i="14"/>
  <c r="M247" i="14"/>
  <c r="O247" i="14" s="1"/>
  <c r="M248" i="14"/>
  <c r="M249" i="14"/>
  <c r="O249" i="14" s="1"/>
  <c r="M250" i="14"/>
  <c r="N235" i="14"/>
  <c r="N236" i="14"/>
  <c r="N237" i="14"/>
  <c r="N238" i="14"/>
  <c r="N239" i="14"/>
  <c r="O239" i="14" s="1"/>
  <c r="N240" i="14"/>
  <c r="O240" i="14" s="1"/>
  <c r="N241" i="14"/>
  <c r="N242" i="14"/>
  <c r="N243" i="14"/>
  <c r="N244" i="14"/>
  <c r="N245" i="14"/>
  <c r="N246" i="14"/>
  <c r="N247" i="14"/>
  <c r="N248" i="14"/>
  <c r="N249" i="14"/>
  <c r="N250" i="14"/>
  <c r="O235" i="14"/>
  <c r="O236" i="14"/>
  <c r="O237" i="14"/>
  <c r="O238" i="14"/>
  <c r="O241" i="14"/>
  <c r="O244" i="14"/>
  <c r="O246" i="14"/>
  <c r="O248" i="14"/>
  <c r="O250" i="14"/>
  <c r="D207" i="14"/>
  <c r="D208" i="14"/>
  <c r="F208" i="14" s="1"/>
  <c r="D209" i="14"/>
  <c r="D210" i="14"/>
  <c r="F210" i="14" s="1"/>
  <c r="D211" i="14"/>
  <c r="D212" i="14"/>
  <c r="F212" i="14" s="1"/>
  <c r="D213" i="14"/>
  <c r="D214" i="14"/>
  <c r="F214" i="14" s="1"/>
  <c r="D215" i="14"/>
  <c r="D216" i="14"/>
  <c r="F216" i="14" s="1"/>
  <c r="D217" i="14"/>
  <c r="D218" i="14"/>
  <c r="E218" i="14" s="1"/>
  <c r="D219" i="14"/>
  <c r="D220" i="14"/>
  <c r="E220" i="14" s="1"/>
  <c r="D221" i="14"/>
  <c r="D222" i="14"/>
  <c r="E222" i="14" s="1"/>
  <c r="D223" i="14"/>
  <c r="D224" i="14"/>
  <c r="E224" i="14" s="1"/>
  <c r="D225" i="14"/>
  <c r="D226" i="14"/>
  <c r="E226" i="14" s="1"/>
  <c r="D227" i="14"/>
  <c r="D228" i="14"/>
  <c r="E228" i="14" s="1"/>
  <c r="D229" i="14"/>
  <c r="D230" i="14"/>
  <c r="E230" i="14" s="1"/>
  <c r="D231" i="14"/>
  <c r="D232" i="14"/>
  <c r="E232" i="14" s="1"/>
  <c r="D233" i="14"/>
  <c r="D234" i="14"/>
  <c r="E234" i="14" s="1"/>
  <c r="E207" i="14"/>
  <c r="E208" i="14"/>
  <c r="G208" i="14" s="1"/>
  <c r="H208" i="14" s="1"/>
  <c r="E209" i="14"/>
  <c r="E210" i="14"/>
  <c r="G210" i="14" s="1"/>
  <c r="H210" i="14" s="1"/>
  <c r="E211" i="14"/>
  <c r="E212" i="14"/>
  <c r="G212" i="14" s="1"/>
  <c r="E213" i="14"/>
  <c r="E214" i="14"/>
  <c r="G214" i="14" s="1"/>
  <c r="H214" i="14" s="1"/>
  <c r="E215" i="14"/>
  <c r="E216" i="14"/>
  <c r="G216" i="14" s="1"/>
  <c r="E217" i="14"/>
  <c r="E219" i="14"/>
  <c r="G219" i="14" s="1"/>
  <c r="H219" i="14" s="1"/>
  <c r="E221" i="14"/>
  <c r="G221" i="14" s="1"/>
  <c r="H221" i="14" s="1"/>
  <c r="I221" i="14" s="1"/>
  <c r="E223" i="14"/>
  <c r="G223" i="14" s="1"/>
  <c r="H223" i="14" s="1"/>
  <c r="E225" i="14"/>
  <c r="G225" i="14" s="1"/>
  <c r="H225" i="14" s="1"/>
  <c r="E227" i="14"/>
  <c r="G227" i="14" s="1"/>
  <c r="H227" i="14" s="1"/>
  <c r="E229" i="14"/>
  <c r="G229" i="14" s="1"/>
  <c r="H229" i="14" s="1"/>
  <c r="I229" i="14" s="1"/>
  <c r="E231" i="14"/>
  <c r="G231" i="14" s="1"/>
  <c r="H231" i="14" s="1"/>
  <c r="E233" i="14"/>
  <c r="G233" i="14" s="1"/>
  <c r="H233" i="14" s="1"/>
  <c r="F207" i="14"/>
  <c r="F209" i="14"/>
  <c r="F211" i="14"/>
  <c r="F213" i="14"/>
  <c r="F215" i="14"/>
  <c r="F217" i="14"/>
  <c r="F219" i="14"/>
  <c r="F221" i="14"/>
  <c r="F223" i="14"/>
  <c r="F225" i="14"/>
  <c r="F227" i="14"/>
  <c r="F229" i="14"/>
  <c r="F231" i="14"/>
  <c r="F233" i="14"/>
  <c r="G207" i="14"/>
  <c r="H207" i="14" s="1"/>
  <c r="G209" i="14"/>
  <c r="H209" i="14" s="1"/>
  <c r="G211" i="14"/>
  <c r="H211" i="14" s="1"/>
  <c r="G213" i="14"/>
  <c r="H213" i="14" s="1"/>
  <c r="I213" i="14" s="1"/>
  <c r="G215" i="14"/>
  <c r="H215" i="14" s="1"/>
  <c r="G217" i="14"/>
  <c r="H217" i="14" s="1"/>
  <c r="I217" i="14" s="1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M207" i="14"/>
  <c r="M208" i="14"/>
  <c r="M209" i="14"/>
  <c r="M210" i="14"/>
  <c r="M211" i="14"/>
  <c r="M212" i="14"/>
  <c r="M213" i="14"/>
  <c r="M214" i="14"/>
  <c r="M215" i="14"/>
  <c r="O215" i="14" s="1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O207" i="14"/>
  <c r="O208" i="14"/>
  <c r="O209" i="14"/>
  <c r="O210" i="14"/>
  <c r="O211" i="14"/>
  <c r="O212" i="14"/>
  <c r="O213" i="14"/>
  <c r="O214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C374" i="3"/>
  <c r="D374" i="3"/>
  <c r="E374" i="3"/>
  <c r="F374" i="3"/>
  <c r="G374" i="3"/>
  <c r="L198" i="14"/>
  <c r="L199" i="14"/>
  <c r="L200" i="14"/>
  <c r="L201" i="14"/>
  <c r="L202" i="14"/>
  <c r="L203" i="14"/>
  <c r="L204" i="14"/>
  <c r="L205" i="14"/>
  <c r="L206" i="14"/>
  <c r="D198" i="14"/>
  <c r="D199" i="14"/>
  <c r="D200" i="14"/>
  <c r="D201" i="14"/>
  <c r="D202" i="14"/>
  <c r="D203" i="14"/>
  <c r="D204" i="14"/>
  <c r="D205" i="14"/>
  <c r="D206" i="14"/>
  <c r="D194" i="14"/>
  <c r="D195" i="14"/>
  <c r="D196" i="14"/>
  <c r="D197" i="14"/>
  <c r="L194" i="14"/>
  <c r="L195" i="14"/>
  <c r="L196" i="14"/>
  <c r="L197" i="14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D187" i="14"/>
  <c r="D188" i="14"/>
  <c r="D189" i="14"/>
  <c r="D190" i="14"/>
  <c r="D191" i="14"/>
  <c r="D192" i="14"/>
  <c r="D193" i="14"/>
  <c r="L187" i="14"/>
  <c r="L188" i="14"/>
  <c r="L189" i="14"/>
  <c r="L190" i="14"/>
  <c r="L191" i="14"/>
  <c r="L192" i="14"/>
  <c r="L193" i="14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D163" i="10"/>
  <c r="D164" i="10"/>
  <c r="D165" i="10"/>
  <c r="D166" i="10"/>
  <c r="D167" i="10"/>
  <c r="L163" i="10"/>
  <c r="L164" i="10"/>
  <c r="L165" i="10"/>
  <c r="L166" i="10"/>
  <c r="L167" i="10"/>
  <c r="Z167" i="10"/>
  <c r="Z166" i="10"/>
  <c r="Z165" i="10"/>
  <c r="Z164" i="10"/>
  <c r="Z163" i="10"/>
  <c r="D156" i="10"/>
  <c r="L156" i="10"/>
  <c r="M156" i="10"/>
  <c r="N156" i="10"/>
  <c r="O156" i="10"/>
  <c r="Z155" i="10"/>
  <c r="Z154" i="10"/>
  <c r="Z153" i="10"/>
  <c r="Z152" i="10"/>
  <c r="Z151" i="10"/>
  <c r="Z150" i="10"/>
  <c r="Z149" i="10"/>
  <c r="Z148" i="10"/>
  <c r="Z147" i="10"/>
  <c r="Z146" i="10"/>
  <c r="Z145" i="10"/>
  <c r="Z144" i="10"/>
  <c r="Z143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7" i="10"/>
  <c r="D158" i="10"/>
  <c r="D159" i="10"/>
  <c r="D160" i="10"/>
  <c r="D161" i="10"/>
  <c r="D162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7" i="10"/>
  <c r="L158" i="10"/>
  <c r="L159" i="10"/>
  <c r="L160" i="10"/>
  <c r="L161" i="10"/>
  <c r="L162" i="10"/>
  <c r="Z142" i="10"/>
  <c r="Z141" i="10"/>
  <c r="Z140" i="10"/>
  <c r="Z139" i="10"/>
  <c r="Z138" i="10"/>
  <c r="Z137" i="10"/>
  <c r="Z136" i="10"/>
  <c r="Z135" i="10"/>
  <c r="Z134" i="10"/>
  <c r="Z133" i="10"/>
  <c r="Z132" i="10"/>
  <c r="Z131" i="10"/>
  <c r="Z130" i="10"/>
  <c r="Z129" i="10"/>
  <c r="Z128" i="10"/>
  <c r="Z127" i="10"/>
  <c r="Z126" i="10"/>
  <c r="Z125" i="10"/>
  <c r="Z124" i="10"/>
  <c r="Z123" i="10"/>
  <c r="Z122" i="10"/>
  <c r="Z121" i="10"/>
  <c r="Z120" i="10"/>
  <c r="Z119" i="10"/>
  <c r="Z118" i="10"/>
  <c r="Z117" i="10"/>
  <c r="Z116" i="10"/>
  <c r="Z115" i="10"/>
  <c r="Z114" i="10"/>
  <c r="Z113" i="10"/>
  <c r="Z112" i="10"/>
  <c r="Z111" i="10"/>
  <c r="Z110" i="10"/>
  <c r="Z109" i="10"/>
  <c r="Z108" i="10"/>
  <c r="Z107" i="10"/>
  <c r="Z106" i="10"/>
  <c r="Z105" i="10"/>
  <c r="Z104" i="10"/>
  <c r="Z103" i="10"/>
  <c r="Z102" i="10"/>
  <c r="Z101" i="10"/>
  <c r="Z100" i="10"/>
  <c r="Z99" i="10"/>
  <c r="Z98" i="10"/>
  <c r="Z97" i="10"/>
  <c r="Z96" i="10"/>
  <c r="Z95" i="10"/>
  <c r="Z94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Z93" i="10"/>
  <c r="Z92" i="10"/>
  <c r="Z91" i="10"/>
  <c r="D90" i="10"/>
  <c r="L90" i="10"/>
  <c r="Z90" i="10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M170" i="14" s="1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D376" i="3"/>
  <c r="E376" i="3"/>
  <c r="F376" i="3"/>
  <c r="G376" i="3"/>
  <c r="F190" i="10" l="1"/>
  <c r="G190" i="10" s="1"/>
  <c r="H190" i="10" s="1"/>
  <c r="F189" i="10"/>
  <c r="E186" i="10"/>
  <c r="F203" i="10"/>
  <c r="N204" i="10"/>
  <c r="O204" i="10" s="1"/>
  <c r="M212" i="10"/>
  <c r="O212" i="10" s="1"/>
  <c r="F219" i="10"/>
  <c r="G219" i="10" s="1"/>
  <c r="H219" i="10" s="1"/>
  <c r="F200" i="10"/>
  <c r="F217" i="10"/>
  <c r="G217" i="10" s="1"/>
  <c r="H217" i="10" s="1"/>
  <c r="O208" i="10"/>
  <c r="E240" i="10"/>
  <c r="G240" i="10" s="1"/>
  <c r="F209" i="10"/>
  <c r="G241" i="10"/>
  <c r="H241" i="10" s="1"/>
  <c r="I241" i="10" s="1"/>
  <c r="F195" i="10"/>
  <c r="F208" i="10"/>
  <c r="G208" i="10" s="1"/>
  <c r="H208" i="10" s="1"/>
  <c r="E236" i="10"/>
  <c r="G236" i="10" s="1"/>
  <c r="H236" i="10" s="1"/>
  <c r="F251" i="10"/>
  <c r="G170" i="10"/>
  <c r="H170" i="10" s="1"/>
  <c r="F202" i="10"/>
  <c r="F198" i="10"/>
  <c r="G198" i="10" s="1"/>
  <c r="H198" i="10" s="1"/>
  <c r="F194" i="10"/>
  <c r="F213" i="10"/>
  <c r="P223" i="10" a="1"/>
  <c r="P223" i="10" s="1"/>
  <c r="Q223" i="10" s="1" a="1"/>
  <c r="Q223" i="10" s="1"/>
  <c r="O174" i="10"/>
  <c r="G246" i="10"/>
  <c r="H246" i="10" s="1"/>
  <c r="N174" i="10"/>
  <c r="F181" i="10"/>
  <c r="G181" i="10" s="1"/>
  <c r="H181" i="10" s="1"/>
  <c r="F174" i="10"/>
  <c r="G174" i="10" s="1"/>
  <c r="H174" i="10" s="1"/>
  <c r="E178" i="10"/>
  <c r="F192" i="10"/>
  <c r="G192" i="10" s="1"/>
  <c r="H192" i="10" s="1"/>
  <c r="F182" i="10"/>
  <c r="G182" i="10" s="1"/>
  <c r="E214" i="10"/>
  <c r="G214" i="10" s="1"/>
  <c r="H214" i="10" s="1"/>
  <c r="G237" i="10"/>
  <c r="H237" i="10" s="1"/>
  <c r="G229" i="10"/>
  <c r="H229" i="10" s="1"/>
  <c r="G203" i="10"/>
  <c r="H203" i="10" s="1"/>
  <c r="J203" i="10" s="1"/>
  <c r="N178" i="10"/>
  <c r="M182" i="10"/>
  <c r="O182" i="10" s="1"/>
  <c r="G169" i="10"/>
  <c r="H169" i="10" s="1"/>
  <c r="I169" i="10" s="1"/>
  <c r="M198" i="10"/>
  <c r="O198" i="10" s="1"/>
  <c r="F234" i="10"/>
  <c r="G234" i="10" s="1"/>
  <c r="H234" i="10" s="1"/>
  <c r="F250" i="10"/>
  <c r="E250" i="10"/>
  <c r="J244" i="10"/>
  <c r="I244" i="10"/>
  <c r="G186" i="10"/>
  <c r="H186" i="10" s="1"/>
  <c r="J186" i="10" s="1"/>
  <c r="M199" i="10"/>
  <c r="O199" i="10" s="1"/>
  <c r="G245" i="10"/>
  <c r="H245" i="10" s="1"/>
  <c r="I245" i="10" s="1"/>
  <c r="F185" i="10"/>
  <c r="G185" i="10" s="1"/>
  <c r="F177" i="10"/>
  <c r="G177" i="10" s="1"/>
  <c r="H177" i="10" s="1"/>
  <c r="G195" i="10"/>
  <c r="M210" i="10"/>
  <c r="O210" i="10" s="1"/>
  <c r="G215" i="10"/>
  <c r="G249" i="10"/>
  <c r="H249" i="10" s="1"/>
  <c r="M195" i="10"/>
  <c r="O195" i="10" s="1"/>
  <c r="G202" i="10"/>
  <c r="H202" i="10" s="1"/>
  <c r="J202" i="10" s="1"/>
  <c r="G194" i="10"/>
  <c r="H194" i="10" s="1"/>
  <c r="N209" i="10"/>
  <c r="O209" i="10" s="1"/>
  <c r="E218" i="10"/>
  <c r="G218" i="10" s="1"/>
  <c r="H218" i="10" s="1"/>
  <c r="J218" i="10" s="1"/>
  <c r="E210" i="10"/>
  <c r="G210" i="10" s="1"/>
  <c r="H210" i="10" s="1"/>
  <c r="F242" i="10"/>
  <c r="G242" i="10" s="1"/>
  <c r="H242" i="10" s="1"/>
  <c r="G189" i="10"/>
  <c r="G178" i="10"/>
  <c r="G199" i="10"/>
  <c r="H199" i="10" s="1"/>
  <c r="P226" i="10" a="1"/>
  <c r="P226" i="10" s="1"/>
  <c r="I246" i="10"/>
  <c r="J246" i="10"/>
  <c r="I192" i="10"/>
  <c r="K192" i="10" s="1"/>
  <c r="P192" i="10" s="1" a="1"/>
  <c r="P192" i="10" s="1"/>
  <c r="Q192" i="10" s="1" a="1"/>
  <c r="Q192" i="10" s="1"/>
  <c r="J192" i="10"/>
  <c r="G212" i="10"/>
  <c r="H212" i="10" s="1"/>
  <c r="J206" i="10"/>
  <c r="I206" i="10"/>
  <c r="N177" i="10"/>
  <c r="O177" i="10" s="1"/>
  <c r="N169" i="10"/>
  <c r="O169" i="10" s="1"/>
  <c r="M181" i="10"/>
  <c r="O181" i="10" s="1"/>
  <c r="M173" i="10"/>
  <c r="O173" i="10" s="1"/>
  <c r="G173" i="10"/>
  <c r="H173" i="10" s="1"/>
  <c r="O178" i="10"/>
  <c r="O170" i="10"/>
  <c r="F184" i="10"/>
  <c r="G184" i="10" s="1"/>
  <c r="H184" i="10" s="1"/>
  <c r="F180" i="10"/>
  <c r="G180" i="10" s="1"/>
  <c r="H180" i="10" s="1"/>
  <c r="F176" i="10"/>
  <c r="G176" i="10" s="1"/>
  <c r="H176" i="10" s="1"/>
  <c r="F172" i="10"/>
  <c r="G172" i="10" s="1"/>
  <c r="F168" i="10"/>
  <c r="G168" i="10" s="1"/>
  <c r="H168" i="10" s="1"/>
  <c r="N194" i="10"/>
  <c r="O194" i="10" s="1"/>
  <c r="G238" i="10"/>
  <c r="G230" i="10"/>
  <c r="H230" i="10" s="1"/>
  <c r="F193" i="10"/>
  <c r="G193" i="10" s="1"/>
  <c r="H193" i="10" s="1"/>
  <c r="F188" i="10"/>
  <c r="G188" i="10" s="1"/>
  <c r="F183" i="10"/>
  <c r="G183" i="10" s="1"/>
  <c r="H183" i="10" s="1"/>
  <c r="F179" i="10"/>
  <c r="G179" i="10" s="1"/>
  <c r="F175" i="10"/>
  <c r="F171" i="10"/>
  <c r="O206" i="10"/>
  <c r="F207" i="10"/>
  <c r="G207" i="10" s="1"/>
  <c r="H207" i="10" s="1"/>
  <c r="E216" i="10"/>
  <c r="G216" i="10" s="1"/>
  <c r="P225" i="10" a="1"/>
  <c r="P225" i="10" s="1"/>
  <c r="E252" i="10"/>
  <c r="G252" i="10" s="1"/>
  <c r="H252" i="10" s="1"/>
  <c r="I252" i="10" s="1"/>
  <c r="N201" i="10"/>
  <c r="O201" i="10" s="1"/>
  <c r="O205" i="10"/>
  <c r="F211" i="10"/>
  <c r="G211" i="10" s="1"/>
  <c r="H211" i="10" s="1"/>
  <c r="F204" i="10"/>
  <c r="G204" i="10" s="1"/>
  <c r="H204" i="10" s="1"/>
  <c r="P224" i="10" a="1"/>
  <c r="P224" i="10" s="1"/>
  <c r="Q224" i="10" s="1" a="1"/>
  <c r="Q224" i="10" s="1"/>
  <c r="F239" i="10"/>
  <c r="F235" i="10"/>
  <c r="G235" i="10" s="1"/>
  <c r="H235" i="10" s="1"/>
  <c r="F231" i="10"/>
  <c r="G231" i="10" s="1"/>
  <c r="H231" i="10" s="1"/>
  <c r="G220" i="10"/>
  <c r="P227" i="10" a="1"/>
  <c r="P227" i="10" s="1"/>
  <c r="G239" i="10"/>
  <c r="H239" i="10" s="1"/>
  <c r="G247" i="10"/>
  <c r="G243" i="10"/>
  <c r="H172" i="10"/>
  <c r="H178" i="10"/>
  <c r="H188" i="10"/>
  <c r="J170" i="10"/>
  <c r="I170" i="10"/>
  <c r="H189" i="10"/>
  <c r="M179" i="10"/>
  <c r="O179" i="10" s="1"/>
  <c r="M175" i="10"/>
  <c r="O175" i="10" s="1"/>
  <c r="M171" i="10"/>
  <c r="O171" i="10" s="1"/>
  <c r="J169" i="10"/>
  <c r="K169" i="10" s="1"/>
  <c r="N197" i="10"/>
  <c r="O197" i="10" s="1"/>
  <c r="I202" i="10"/>
  <c r="K202" i="10" s="1"/>
  <c r="S221" i="10"/>
  <c r="R221" i="10"/>
  <c r="G175" i="10"/>
  <c r="G171" i="10"/>
  <c r="H195" i="10"/>
  <c r="G201" i="10"/>
  <c r="G197" i="10"/>
  <c r="J214" i="10"/>
  <c r="I214" i="10"/>
  <c r="H216" i="10"/>
  <c r="N180" i="10"/>
  <c r="O180" i="10" s="1"/>
  <c r="N176" i="10"/>
  <c r="O176" i="10" s="1"/>
  <c r="N172" i="10"/>
  <c r="O172" i="10" s="1"/>
  <c r="N168" i="10"/>
  <c r="O168" i="10" s="1"/>
  <c r="F191" i="10"/>
  <c r="G191" i="10" s="1"/>
  <c r="F187" i="10"/>
  <c r="G187" i="10" s="1"/>
  <c r="M200" i="10"/>
  <c r="N200" i="10"/>
  <c r="M196" i="10"/>
  <c r="N196" i="10"/>
  <c r="G200" i="10"/>
  <c r="G196" i="10"/>
  <c r="N183" i="10"/>
  <c r="O183" i="10" s="1"/>
  <c r="I203" i="10"/>
  <c r="K203" i="10" s="1"/>
  <c r="P203" i="10" s="1" a="1"/>
  <c r="P203" i="10" s="1"/>
  <c r="I219" i="10"/>
  <c r="J219" i="10"/>
  <c r="H215" i="10"/>
  <c r="H220" i="10"/>
  <c r="G213" i="10"/>
  <c r="H213" i="10" s="1"/>
  <c r="J241" i="10"/>
  <c r="J233" i="10"/>
  <c r="I233" i="10"/>
  <c r="I218" i="10"/>
  <c r="K218" i="10" s="1"/>
  <c r="P218" i="10" s="1" a="1"/>
  <c r="P218" i="10" s="1"/>
  <c r="Q218" i="10" s="1" a="1"/>
  <c r="Q218" i="10" s="1"/>
  <c r="H238" i="10"/>
  <c r="H240" i="10"/>
  <c r="H232" i="10"/>
  <c r="J245" i="10"/>
  <c r="M211" i="10"/>
  <c r="N211" i="10"/>
  <c r="M207" i="10"/>
  <c r="N207" i="10"/>
  <c r="G205" i="10"/>
  <c r="J237" i="10"/>
  <c r="I237" i="10"/>
  <c r="J229" i="10"/>
  <c r="I229" i="10"/>
  <c r="G209" i="10"/>
  <c r="H247" i="10"/>
  <c r="H243" i="10"/>
  <c r="G253" i="10"/>
  <c r="H253" i="10" s="1"/>
  <c r="G251" i="10"/>
  <c r="H251" i="10" s="1"/>
  <c r="H248" i="10"/>
  <c r="Q225" i="10" a="1"/>
  <c r="Q225" i="10" s="1"/>
  <c r="N202" i="10"/>
  <c r="O202" i="10" s="1"/>
  <c r="P202" i="10" s="1" a="1"/>
  <c r="P202" i="10" s="1"/>
  <c r="M213" i="10"/>
  <c r="N213" i="10"/>
  <c r="Q227" i="10" a="1"/>
  <c r="Q227" i="10" s="1"/>
  <c r="Q228" i="10" a="1"/>
  <c r="Q228" i="10" s="1"/>
  <c r="Q226" i="10" a="1"/>
  <c r="Q226" i="10" s="1"/>
  <c r="Q222" i="10" a="1"/>
  <c r="Q222" i="10" s="1"/>
  <c r="I233" i="14"/>
  <c r="J233" i="14"/>
  <c r="I225" i="14"/>
  <c r="J225" i="14"/>
  <c r="I207" i="14"/>
  <c r="K207" i="14" s="1"/>
  <c r="P207" i="14" s="1" a="1"/>
  <c r="P207" i="14" s="1"/>
  <c r="Q207" i="14" s="1" a="1"/>
  <c r="Q207" i="14" s="1"/>
  <c r="R207" i="14" s="1"/>
  <c r="J207" i="14"/>
  <c r="H216" i="14"/>
  <c r="H212" i="14"/>
  <c r="I208" i="14"/>
  <c r="J208" i="14"/>
  <c r="G232" i="14"/>
  <c r="H232" i="14" s="1"/>
  <c r="J243" i="14"/>
  <c r="I243" i="14"/>
  <c r="I239" i="14"/>
  <c r="K239" i="14" s="1"/>
  <c r="J239" i="14"/>
  <c r="O256" i="14"/>
  <c r="P256" i="14" s="1" a="1"/>
  <c r="P256" i="14" s="1"/>
  <c r="Q256" i="14" s="1" a="1"/>
  <c r="Q256" i="14" s="1"/>
  <c r="F234" i="14"/>
  <c r="G234" i="14" s="1"/>
  <c r="H234" i="14" s="1"/>
  <c r="F230" i="14"/>
  <c r="G230" i="14" s="1"/>
  <c r="F226" i="14"/>
  <c r="G226" i="14" s="1"/>
  <c r="H226" i="14" s="1"/>
  <c r="F222" i="14"/>
  <c r="G222" i="14" s="1"/>
  <c r="H222" i="14" s="1"/>
  <c r="F218" i="14"/>
  <c r="G218" i="14" s="1"/>
  <c r="I242" i="14"/>
  <c r="K242" i="14" s="1"/>
  <c r="P251" i="14" a="1"/>
  <c r="P251" i="14" s="1"/>
  <c r="O282" i="14"/>
  <c r="O278" i="14"/>
  <c r="O274" i="14"/>
  <c r="G249" i="14"/>
  <c r="H249" i="14" s="1"/>
  <c r="M279" i="14"/>
  <c r="O279" i="14" s="1"/>
  <c r="O272" i="14"/>
  <c r="J217" i="14"/>
  <c r="K217" i="14" s="1"/>
  <c r="F232" i="14"/>
  <c r="F228" i="14"/>
  <c r="G228" i="14" s="1"/>
  <c r="F224" i="14"/>
  <c r="G224" i="14" s="1"/>
  <c r="F220" i="14"/>
  <c r="G220" i="14" s="1"/>
  <c r="J238" i="14"/>
  <c r="K238" i="14" s="1"/>
  <c r="P238" i="14" s="1" a="1"/>
  <c r="P238" i="14" s="1"/>
  <c r="N281" i="14"/>
  <c r="O281" i="14" s="1"/>
  <c r="N273" i="14"/>
  <c r="M278" i="14"/>
  <c r="E274" i="14"/>
  <c r="G274" i="14" s="1"/>
  <c r="H274" i="14" s="1"/>
  <c r="J210" i="14"/>
  <c r="I210" i="14"/>
  <c r="J240" i="14"/>
  <c r="I240" i="14"/>
  <c r="J248" i="14"/>
  <c r="I248" i="14"/>
  <c r="J229" i="14"/>
  <c r="J221" i="14"/>
  <c r="K221" i="14" s="1"/>
  <c r="P221" i="14" s="1" a="1"/>
  <c r="P221" i="14" s="1"/>
  <c r="J213" i="14"/>
  <c r="K213" i="14" s="1"/>
  <c r="P213" i="14" s="1" a="1"/>
  <c r="P213" i="14" s="1"/>
  <c r="I250" i="14"/>
  <c r="K250" i="14" s="1"/>
  <c r="J250" i="14"/>
  <c r="J214" i="14"/>
  <c r="I214" i="14"/>
  <c r="K214" i="14" s="1"/>
  <c r="P214" i="14" s="1" a="1"/>
  <c r="P214" i="14" s="1"/>
  <c r="J227" i="14"/>
  <c r="I227" i="14"/>
  <c r="J219" i="14"/>
  <c r="I219" i="14"/>
  <c r="K219" i="14" s="1"/>
  <c r="P219" i="14" s="1" a="1"/>
  <c r="P219" i="14" s="1"/>
  <c r="J211" i="14"/>
  <c r="I211" i="14"/>
  <c r="K211" i="14" s="1"/>
  <c r="K233" i="14"/>
  <c r="K229" i="14"/>
  <c r="P229" i="14" s="1" a="1"/>
  <c r="P229" i="14" s="1"/>
  <c r="AA229" i="14" s="1"/>
  <c r="K225" i="14"/>
  <c r="J244" i="14"/>
  <c r="I244" i="14"/>
  <c r="K244" i="14" s="1"/>
  <c r="P244" i="14" s="1" a="1"/>
  <c r="P244" i="14" s="1"/>
  <c r="J236" i="14"/>
  <c r="I236" i="14"/>
  <c r="J231" i="14"/>
  <c r="I231" i="14"/>
  <c r="K231" i="14" s="1"/>
  <c r="P231" i="14" s="1" a="1"/>
  <c r="P231" i="14" s="1"/>
  <c r="J223" i="14"/>
  <c r="I223" i="14"/>
  <c r="K223" i="14" s="1"/>
  <c r="P223" i="14" s="1" a="1"/>
  <c r="P223" i="14" s="1"/>
  <c r="AA223" i="14" s="1"/>
  <c r="J215" i="14"/>
  <c r="I215" i="14"/>
  <c r="K215" i="14" s="1"/>
  <c r="P239" i="14" a="1"/>
  <c r="P239" i="14" s="1"/>
  <c r="O243" i="14"/>
  <c r="P242" i="14" a="1"/>
  <c r="P242" i="14" s="1"/>
  <c r="I246" i="14"/>
  <c r="K246" i="14" s="1"/>
  <c r="I235" i="14"/>
  <c r="K235" i="14" s="1"/>
  <c r="P235" i="14" s="1" a="1"/>
  <c r="P235" i="14" s="1"/>
  <c r="P267" i="14" a="1"/>
  <c r="P267" i="14" s="1"/>
  <c r="P263" i="14" a="1"/>
  <c r="P263" i="14" s="1"/>
  <c r="Q263" i="14" s="1" a="1"/>
  <c r="Q263" i="14" s="1"/>
  <c r="P259" i="14" a="1"/>
  <c r="P259" i="14" s="1"/>
  <c r="E282" i="14"/>
  <c r="G282" i="14" s="1"/>
  <c r="H282" i="14" s="1"/>
  <c r="G273" i="14"/>
  <c r="H273" i="14" s="1"/>
  <c r="J273" i="14" s="1"/>
  <c r="P250" i="14" a="1"/>
  <c r="P250" i="14" s="1"/>
  <c r="AA250" i="14" s="1"/>
  <c r="P246" i="14" a="1"/>
  <c r="P246" i="14" s="1"/>
  <c r="O273" i="14"/>
  <c r="E278" i="14"/>
  <c r="G278" i="14" s="1"/>
  <c r="H278" i="14" s="1"/>
  <c r="P252" i="14" a="1"/>
  <c r="P252" i="14" s="1"/>
  <c r="Q252" i="14" s="1" a="1"/>
  <c r="Q252" i="14" s="1"/>
  <c r="Q251" i="14" a="1"/>
  <c r="Q251" i="14" s="1"/>
  <c r="R251" i="14" s="1"/>
  <c r="F281" i="14"/>
  <c r="G281" i="14" s="1"/>
  <c r="H281" i="14" s="1"/>
  <c r="J249" i="14"/>
  <c r="I249" i="14"/>
  <c r="I209" i="14"/>
  <c r="J209" i="14"/>
  <c r="AA251" i="14"/>
  <c r="P233" i="14" a="1"/>
  <c r="P233" i="14" s="1"/>
  <c r="P225" i="14" a="1"/>
  <c r="P225" i="14" s="1"/>
  <c r="P217" i="14" a="1"/>
  <c r="P217" i="14" s="1"/>
  <c r="I245" i="14"/>
  <c r="K245" i="14" s="1"/>
  <c r="I241" i="14"/>
  <c r="K241" i="14" s="1"/>
  <c r="I237" i="14"/>
  <c r="K237" i="14" s="1"/>
  <c r="I247" i="14"/>
  <c r="J247" i="14"/>
  <c r="Q268" i="14" a="1"/>
  <c r="Q268" i="14" s="1"/>
  <c r="R268" i="14" s="1"/>
  <c r="Q264" i="14" a="1"/>
  <c r="Q264" i="14" s="1"/>
  <c r="R264" i="14" s="1"/>
  <c r="AA259" i="14"/>
  <c r="Q255" i="14" a="1"/>
  <c r="Q255" i="14" s="1"/>
  <c r="AA207" i="14"/>
  <c r="S251" i="14"/>
  <c r="Q267" i="14" a="1"/>
  <c r="Q267" i="14" s="1"/>
  <c r="AA262" i="14"/>
  <c r="AA258" i="14"/>
  <c r="Q259" i="14" a="1"/>
  <c r="Q259" i="14" s="1"/>
  <c r="R259" i="14" s="1"/>
  <c r="AA254" i="14"/>
  <c r="P215" i="14" a="1"/>
  <c r="P215" i="14" s="1"/>
  <c r="Q215" i="14" s="1" a="1"/>
  <c r="Q215" i="14" s="1"/>
  <c r="P211" i="14" a="1"/>
  <c r="P211" i="14" s="1"/>
  <c r="AA211" i="14" s="1"/>
  <c r="P245" i="14" a="1"/>
  <c r="P245" i="14" s="1"/>
  <c r="P241" i="14" a="1"/>
  <c r="P241" i="14" s="1"/>
  <c r="P237" i="14" a="1"/>
  <c r="P237" i="14" s="1"/>
  <c r="G283" i="14"/>
  <c r="AA255" i="14"/>
  <c r="Q266" i="14" a="1"/>
  <c r="Q266" i="14" s="1"/>
  <c r="S266" i="14" s="1"/>
  <c r="M283" i="14"/>
  <c r="O283" i="14" s="1"/>
  <c r="F277" i="14"/>
  <c r="E277" i="14"/>
  <c r="G277" i="14" s="1"/>
  <c r="H277" i="14" s="1"/>
  <c r="I277" i="14" s="1"/>
  <c r="G271" i="14"/>
  <c r="H271" i="14" s="1"/>
  <c r="E276" i="14"/>
  <c r="Q262" i="14" a="1"/>
  <c r="Q262" i="14" s="1"/>
  <c r="R262" i="14" s="1"/>
  <c r="Q258" i="14" a="1"/>
  <c r="Q258" i="14" s="1"/>
  <c r="R258" i="14" s="1"/>
  <c r="N275" i="14"/>
  <c r="O275" i="14" s="1"/>
  <c r="N271" i="14"/>
  <c r="O271" i="14" s="1"/>
  <c r="G275" i="14"/>
  <c r="H275" i="14" s="1"/>
  <c r="O284" i="14"/>
  <c r="O280" i="14"/>
  <c r="O276" i="14"/>
  <c r="F279" i="14"/>
  <c r="E279" i="14"/>
  <c r="S207" i="14"/>
  <c r="S268" i="14"/>
  <c r="N170" i="14"/>
  <c r="O170" i="14" s="1"/>
  <c r="Q211" i="14" a="1"/>
  <c r="Q211" i="14" s="1"/>
  <c r="R260" i="14"/>
  <c r="S260" i="14"/>
  <c r="Q250" i="14" a="1"/>
  <c r="Q250" i="14" s="1"/>
  <c r="Q246" i="14" a="1"/>
  <c r="Q246" i="14" s="1"/>
  <c r="Q242" i="14" a="1"/>
  <c r="Q242" i="14" s="1"/>
  <c r="Q270" i="14" a="1"/>
  <c r="Q270" i="14" s="1"/>
  <c r="Q254" i="14" a="1"/>
  <c r="Q254" i="14" s="1"/>
  <c r="I273" i="14"/>
  <c r="G276" i="14"/>
  <c r="P269" i="14" a="1"/>
  <c r="P269" i="14" s="1"/>
  <c r="AA264" i="14" s="1"/>
  <c r="P265" i="14" a="1"/>
  <c r="P265" i="14" s="1"/>
  <c r="AA260" i="14" s="1"/>
  <c r="P261" i="14" a="1"/>
  <c r="P261" i="14" s="1"/>
  <c r="P257" i="14" a="1"/>
  <c r="P257" i="14" s="1"/>
  <c r="AA252" i="14" s="1"/>
  <c r="P253" i="14" a="1"/>
  <c r="P253" i="14" s="1"/>
  <c r="H283" i="14"/>
  <c r="F284" i="14"/>
  <c r="G284" i="14" s="1"/>
  <c r="F280" i="14"/>
  <c r="G280" i="14" s="1"/>
  <c r="F276" i="14"/>
  <c r="F272" i="14"/>
  <c r="G272" i="14" s="1"/>
  <c r="F206" i="14"/>
  <c r="E206" i="14"/>
  <c r="G206" i="14" s="1"/>
  <c r="N206" i="14"/>
  <c r="M206" i="14"/>
  <c r="N205" i="14"/>
  <c r="M205" i="14"/>
  <c r="O205" i="14" s="1"/>
  <c r="N204" i="14"/>
  <c r="M204" i="14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89" i="14"/>
  <c r="D89" i="14"/>
  <c r="L88" i="14"/>
  <c r="D88" i="14"/>
  <c r="L87" i="14"/>
  <c r="D87" i="14"/>
  <c r="L86" i="14"/>
  <c r="D86" i="14"/>
  <c r="L85" i="14"/>
  <c r="D85" i="14"/>
  <c r="L84" i="14"/>
  <c r="D84" i="14"/>
  <c r="L83" i="14"/>
  <c r="D83" i="14"/>
  <c r="L82" i="14"/>
  <c r="D82" i="14"/>
  <c r="L81" i="14"/>
  <c r="D81" i="14"/>
  <c r="L80" i="14"/>
  <c r="D80" i="14"/>
  <c r="L79" i="14"/>
  <c r="D79" i="14"/>
  <c r="L78" i="14"/>
  <c r="D78" i="14"/>
  <c r="L77" i="14"/>
  <c r="D77" i="14"/>
  <c r="L76" i="14"/>
  <c r="D76" i="14"/>
  <c r="L75" i="14"/>
  <c r="D75" i="14"/>
  <c r="L74" i="14"/>
  <c r="D74" i="14"/>
  <c r="L73" i="14"/>
  <c r="D73" i="14"/>
  <c r="L72" i="14"/>
  <c r="D72" i="14"/>
  <c r="L71" i="14"/>
  <c r="D71" i="14"/>
  <c r="L70" i="14"/>
  <c r="D70" i="14"/>
  <c r="L69" i="14"/>
  <c r="D69" i="14"/>
  <c r="L68" i="14"/>
  <c r="D68" i="14"/>
  <c r="L67" i="14"/>
  <c r="D67" i="14"/>
  <c r="L66" i="14"/>
  <c r="D66" i="14"/>
  <c r="L65" i="14"/>
  <c r="D65" i="14"/>
  <c r="L64" i="14"/>
  <c r="D64" i="14"/>
  <c r="L63" i="14"/>
  <c r="D63" i="14"/>
  <c r="L62" i="14"/>
  <c r="D62" i="14"/>
  <c r="L61" i="14"/>
  <c r="D61" i="14"/>
  <c r="L60" i="14"/>
  <c r="D60" i="14"/>
  <c r="L59" i="14"/>
  <c r="D59" i="14"/>
  <c r="L58" i="14"/>
  <c r="D58" i="14"/>
  <c r="L57" i="14"/>
  <c r="D57" i="14"/>
  <c r="L56" i="14"/>
  <c r="D56" i="14"/>
  <c r="L55" i="14"/>
  <c r="D55" i="14"/>
  <c r="L54" i="14"/>
  <c r="D54" i="14"/>
  <c r="L53" i="14"/>
  <c r="D53" i="14"/>
  <c r="L52" i="14"/>
  <c r="D52" i="14"/>
  <c r="L51" i="14"/>
  <c r="D51" i="14"/>
  <c r="L50" i="14"/>
  <c r="D50" i="14"/>
  <c r="L49" i="14"/>
  <c r="D49" i="14"/>
  <c r="L48" i="14"/>
  <c r="D48" i="14"/>
  <c r="L47" i="14"/>
  <c r="D47" i="14"/>
  <c r="L46" i="14"/>
  <c r="D46" i="14"/>
  <c r="L45" i="14"/>
  <c r="D45" i="14"/>
  <c r="L44" i="14"/>
  <c r="D44" i="14"/>
  <c r="L43" i="14"/>
  <c r="D43" i="14"/>
  <c r="L42" i="14"/>
  <c r="D42" i="14"/>
  <c r="L41" i="14"/>
  <c r="D41" i="14"/>
  <c r="L40" i="14"/>
  <c r="D40" i="14"/>
  <c r="L39" i="14"/>
  <c r="D39" i="14"/>
  <c r="L38" i="14"/>
  <c r="D38" i="14"/>
  <c r="L37" i="14"/>
  <c r="D37" i="14"/>
  <c r="L36" i="14"/>
  <c r="D36" i="14"/>
  <c r="L35" i="14"/>
  <c r="D35" i="14"/>
  <c r="L34" i="14"/>
  <c r="D34" i="14"/>
  <c r="L33" i="14"/>
  <c r="D33" i="14"/>
  <c r="L32" i="14"/>
  <c r="D32" i="14"/>
  <c r="L31" i="14"/>
  <c r="D31" i="14"/>
  <c r="L30" i="14"/>
  <c r="D30" i="14"/>
  <c r="L29" i="14"/>
  <c r="D29" i="14"/>
  <c r="L28" i="14"/>
  <c r="D28" i="14"/>
  <c r="L27" i="14"/>
  <c r="D27" i="14"/>
  <c r="L26" i="14"/>
  <c r="D26" i="14"/>
  <c r="L25" i="14"/>
  <c r="D25" i="14"/>
  <c r="L24" i="14"/>
  <c r="D24" i="14"/>
  <c r="L23" i="14"/>
  <c r="D23" i="14"/>
  <c r="L22" i="14"/>
  <c r="D22" i="14"/>
  <c r="L21" i="14"/>
  <c r="D21" i="14"/>
  <c r="L20" i="14"/>
  <c r="D20" i="14"/>
  <c r="L19" i="14"/>
  <c r="D19" i="14"/>
  <c r="L18" i="14"/>
  <c r="D18" i="14"/>
  <c r="L17" i="14"/>
  <c r="D17" i="14"/>
  <c r="L16" i="14"/>
  <c r="D16" i="14"/>
  <c r="L15" i="14"/>
  <c r="D15" i="14"/>
  <c r="L14" i="14"/>
  <c r="D14" i="14"/>
  <c r="L13" i="14"/>
  <c r="D13" i="14"/>
  <c r="L12" i="14"/>
  <c r="D12" i="14"/>
  <c r="L11" i="14"/>
  <c r="D11" i="14"/>
  <c r="L10" i="14"/>
  <c r="D10" i="14"/>
  <c r="L9" i="14"/>
  <c r="D9" i="14"/>
  <c r="L8" i="14"/>
  <c r="D8" i="14"/>
  <c r="L7" i="14"/>
  <c r="D7" i="14"/>
  <c r="L6" i="14"/>
  <c r="D6" i="1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5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5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5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5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5" i="3"/>
  <c r="I208" i="10" l="1"/>
  <c r="J208" i="10"/>
  <c r="K208" i="10" s="1"/>
  <c r="P208" i="10" s="1" a="1"/>
  <c r="P208" i="10" s="1"/>
  <c r="J190" i="10"/>
  <c r="I190" i="10"/>
  <c r="K244" i="10"/>
  <c r="P244" i="10" s="1" a="1"/>
  <c r="P244" i="10" s="1"/>
  <c r="Q244" i="10" s="1" a="1"/>
  <c r="Q244" i="10" s="1"/>
  <c r="I181" i="10"/>
  <c r="J181" i="10"/>
  <c r="J198" i="10"/>
  <c r="I198" i="10"/>
  <c r="K198" i="10" s="1"/>
  <c r="I186" i="10"/>
  <c r="K233" i="10"/>
  <c r="P233" i="10" s="1" a="1"/>
  <c r="P233" i="10" s="1"/>
  <c r="Q233" i="10" s="1" a="1"/>
  <c r="Q233" i="10" s="1"/>
  <c r="J252" i="10"/>
  <c r="P198" i="10" a="1"/>
  <c r="P198" i="10" s="1"/>
  <c r="K206" i="10"/>
  <c r="I174" i="10"/>
  <c r="J174" i="10"/>
  <c r="I242" i="10"/>
  <c r="J242" i="10"/>
  <c r="H182" i="10"/>
  <c r="G250" i="10"/>
  <c r="H250" i="10" s="1"/>
  <c r="H185" i="10"/>
  <c r="K246" i="10"/>
  <c r="P246" i="10" s="1" a="1"/>
  <c r="P246" i="10" s="1"/>
  <c r="I249" i="10"/>
  <c r="J249" i="10"/>
  <c r="O200" i="10"/>
  <c r="O207" i="10"/>
  <c r="K219" i="10"/>
  <c r="P219" i="10" s="1" a="1"/>
  <c r="P219" i="10" s="1"/>
  <c r="K229" i="10"/>
  <c r="P229" i="10" s="1" a="1"/>
  <c r="P229" i="10" s="1"/>
  <c r="I207" i="10"/>
  <c r="J207" i="10"/>
  <c r="Q219" i="10" a="1"/>
  <c r="Q219" i="10" s="1"/>
  <c r="S219" i="10" s="1"/>
  <c r="J235" i="10"/>
  <c r="I235" i="10"/>
  <c r="I176" i="10"/>
  <c r="J176" i="10"/>
  <c r="I211" i="10"/>
  <c r="J211" i="10"/>
  <c r="J183" i="10"/>
  <c r="I183" i="10"/>
  <c r="K183" i="10" s="1"/>
  <c r="P183" i="10" s="1" a="1"/>
  <c r="P183" i="10" s="1"/>
  <c r="P169" i="10" a="1"/>
  <c r="P169" i="10" s="1"/>
  <c r="Q169" i="10" s="1" a="1"/>
  <c r="Q169" i="10" s="1"/>
  <c r="I230" i="10"/>
  <c r="J230" i="10"/>
  <c r="K252" i="10"/>
  <c r="P252" i="10" s="1" a="1"/>
  <c r="P252" i="10" s="1"/>
  <c r="K214" i="10"/>
  <c r="P214" i="10" s="1" a="1"/>
  <c r="P214" i="10" s="1"/>
  <c r="J212" i="10"/>
  <c r="I212" i="10"/>
  <c r="Q246" i="10" a="1"/>
  <c r="Q246" i="10" s="1"/>
  <c r="R246" i="10" s="1"/>
  <c r="P206" i="10" a="1"/>
  <c r="P206" i="10" s="1"/>
  <c r="Q208" i="10" a="1"/>
  <c r="Q208" i="10" s="1"/>
  <c r="S208" i="10" s="1"/>
  <c r="H191" i="10"/>
  <c r="Q229" i="10" a="1"/>
  <c r="Q229" i="10" s="1"/>
  <c r="I238" i="10"/>
  <c r="J238" i="10"/>
  <c r="K170" i="10"/>
  <c r="P170" i="10" s="1" a="1"/>
  <c r="P170" i="10" s="1"/>
  <c r="K174" i="10"/>
  <c r="P174" i="10" s="1" a="1"/>
  <c r="P174" i="10" s="1"/>
  <c r="I193" i="10"/>
  <c r="J193" i="10"/>
  <c r="K186" i="10"/>
  <c r="P186" i="10" s="1" a="1"/>
  <c r="P186" i="10" s="1"/>
  <c r="I234" i="10"/>
  <c r="J234" i="10"/>
  <c r="J236" i="10"/>
  <c r="I236" i="10"/>
  <c r="H205" i="10"/>
  <c r="I213" i="10"/>
  <c r="J213" i="10"/>
  <c r="H187" i="10"/>
  <c r="K237" i="10"/>
  <c r="P237" i="10" s="1" a="1"/>
  <c r="P237" i="10" s="1"/>
  <c r="K245" i="10"/>
  <c r="P245" i="10" s="1" a="1"/>
  <c r="P245" i="10" s="1"/>
  <c r="K241" i="10"/>
  <c r="P241" i="10" s="1" a="1"/>
  <c r="P241" i="10" s="1"/>
  <c r="J220" i="10"/>
  <c r="I220" i="10"/>
  <c r="O196" i="10"/>
  <c r="H197" i="10"/>
  <c r="H171" i="10"/>
  <c r="I173" i="10"/>
  <c r="J173" i="10"/>
  <c r="I188" i="10"/>
  <c r="J188" i="10"/>
  <c r="J168" i="10"/>
  <c r="I168" i="10"/>
  <c r="I180" i="10"/>
  <c r="J180" i="10"/>
  <c r="I243" i="10"/>
  <c r="J243" i="10"/>
  <c r="I231" i="10"/>
  <c r="J231" i="10"/>
  <c r="O211" i="10"/>
  <c r="J232" i="10"/>
  <c r="I232" i="10"/>
  <c r="H200" i="10"/>
  <c r="J210" i="10"/>
  <c r="I210" i="10"/>
  <c r="J195" i="10"/>
  <c r="I195" i="10"/>
  <c r="I247" i="10"/>
  <c r="J247" i="10"/>
  <c r="I239" i="10"/>
  <c r="J239" i="10"/>
  <c r="H209" i="10"/>
  <c r="J240" i="10"/>
  <c r="I240" i="10"/>
  <c r="I215" i="10"/>
  <c r="J215" i="10"/>
  <c r="Q203" i="10" a="1"/>
  <c r="Q203" i="10" s="1"/>
  <c r="J204" i="10"/>
  <c r="I204" i="10"/>
  <c r="H201" i="10"/>
  <c r="H175" i="10"/>
  <c r="I177" i="10"/>
  <c r="J177" i="10"/>
  <c r="I172" i="10"/>
  <c r="J172" i="10"/>
  <c r="K190" i="10"/>
  <c r="P190" i="10" s="1" a="1"/>
  <c r="P190" i="10" s="1"/>
  <c r="AA218" i="10" s="1"/>
  <c r="J199" i="10"/>
  <c r="I199" i="10"/>
  <c r="I217" i="10"/>
  <c r="J217" i="10"/>
  <c r="H196" i="10"/>
  <c r="J194" i="10"/>
  <c r="I194" i="10"/>
  <c r="I216" i="10"/>
  <c r="J216" i="10"/>
  <c r="H179" i="10"/>
  <c r="I189" i="10"/>
  <c r="J189" i="10"/>
  <c r="J178" i="10"/>
  <c r="I178" i="10"/>
  <c r="I184" i="10"/>
  <c r="J184" i="10"/>
  <c r="Q202" i="10" a="1"/>
  <c r="Q202" i="10" s="1"/>
  <c r="R244" i="10"/>
  <c r="S244" i="10"/>
  <c r="R223" i="10"/>
  <c r="S223" i="10"/>
  <c r="R225" i="10"/>
  <c r="S225" i="10"/>
  <c r="R224" i="10"/>
  <c r="S224" i="10"/>
  <c r="R228" i="10"/>
  <c r="S228" i="10"/>
  <c r="O213" i="10"/>
  <c r="S233" i="10"/>
  <c r="R233" i="10"/>
  <c r="I251" i="10"/>
  <c r="J251" i="10"/>
  <c r="R192" i="10"/>
  <c r="S192" i="10"/>
  <c r="R208" i="10"/>
  <c r="I253" i="10"/>
  <c r="J253" i="10"/>
  <c r="R222" i="10"/>
  <c r="S222" i="10"/>
  <c r="S226" i="10"/>
  <c r="R226" i="10"/>
  <c r="R227" i="10"/>
  <c r="S227" i="10"/>
  <c r="R218" i="10"/>
  <c r="S218" i="10"/>
  <c r="J248" i="10"/>
  <c r="I248" i="10"/>
  <c r="H228" i="14"/>
  <c r="J222" i="14"/>
  <c r="I222" i="14"/>
  <c r="R256" i="14"/>
  <c r="S256" i="14"/>
  <c r="V251" i="14" s="1"/>
  <c r="J226" i="14"/>
  <c r="I226" i="14"/>
  <c r="R252" i="14"/>
  <c r="S252" i="14"/>
  <c r="H220" i="14"/>
  <c r="H230" i="14"/>
  <c r="H224" i="14"/>
  <c r="H218" i="14"/>
  <c r="I234" i="14"/>
  <c r="K234" i="14" s="1"/>
  <c r="P234" i="14" s="1" a="1"/>
  <c r="P234" i="14" s="1"/>
  <c r="Q234" i="14" s="1" a="1"/>
  <c r="Q234" i="14" s="1"/>
  <c r="J234" i="14"/>
  <c r="K208" i="14"/>
  <c r="P208" i="14" s="1" a="1"/>
  <c r="P208" i="14" s="1"/>
  <c r="Q208" i="14" s="1" a="1"/>
  <c r="Q208" i="14" s="1"/>
  <c r="R208" i="14" s="1"/>
  <c r="I216" i="14"/>
  <c r="K216" i="14" s="1"/>
  <c r="P216" i="14" s="1" a="1"/>
  <c r="P216" i="14" s="1"/>
  <c r="Q216" i="14" s="1" a="1"/>
  <c r="Q216" i="14" s="1"/>
  <c r="J216" i="14"/>
  <c r="K236" i="14"/>
  <c r="P236" i="14" s="1" a="1"/>
  <c r="P236" i="14" s="1"/>
  <c r="K227" i="14"/>
  <c r="P227" i="14" s="1" a="1"/>
  <c r="P227" i="14" s="1"/>
  <c r="Q227" i="14" s="1" a="1"/>
  <c r="Q227" i="14" s="1"/>
  <c r="AA256" i="14"/>
  <c r="K247" i="14"/>
  <c r="P247" i="14" s="1" a="1"/>
  <c r="P247" i="14" s="1"/>
  <c r="K248" i="14"/>
  <c r="P248" i="14" s="1" a="1"/>
  <c r="P248" i="14" s="1"/>
  <c r="Q248" i="14" s="1" a="1"/>
  <c r="Q248" i="14" s="1"/>
  <c r="K210" i="14"/>
  <c r="P210" i="14" s="1" a="1"/>
  <c r="P210" i="14" s="1"/>
  <c r="Q210" i="14" s="1" a="1"/>
  <c r="Q210" i="14" s="1"/>
  <c r="K243" i="14"/>
  <c r="P243" i="14" s="1" a="1"/>
  <c r="P243" i="14" s="1"/>
  <c r="I212" i="14"/>
  <c r="K212" i="14" s="1"/>
  <c r="P212" i="14" s="1" a="1"/>
  <c r="P212" i="14" s="1"/>
  <c r="Q212" i="14" s="1" a="1"/>
  <c r="Q212" i="14" s="1"/>
  <c r="J212" i="14"/>
  <c r="Q265" i="14" a="1"/>
  <c r="Q265" i="14" s="1"/>
  <c r="J232" i="14"/>
  <c r="I232" i="14"/>
  <c r="U251" i="14"/>
  <c r="S208" i="14"/>
  <c r="R266" i="14"/>
  <c r="S210" i="14"/>
  <c r="R210" i="14"/>
  <c r="Q214" i="14" a="1"/>
  <c r="Q214" i="14" s="1"/>
  <c r="R234" i="14"/>
  <c r="S234" i="14"/>
  <c r="AA239" i="14"/>
  <c r="Q244" i="14" a="1"/>
  <c r="Q244" i="14" s="1"/>
  <c r="AA231" i="14"/>
  <c r="Q236" i="14" a="1"/>
  <c r="Q236" i="14" s="1"/>
  <c r="U259" i="14"/>
  <c r="AA233" i="14"/>
  <c r="AA214" i="14"/>
  <c r="S259" i="14"/>
  <c r="Q219" i="14" a="1"/>
  <c r="Q219" i="14" s="1"/>
  <c r="S219" i="14" s="1"/>
  <c r="AA219" i="14"/>
  <c r="AA263" i="14"/>
  <c r="K249" i="14"/>
  <c r="P249" i="14" s="1" a="1"/>
  <c r="P249" i="14" s="1"/>
  <c r="Q235" i="14" a="1"/>
  <c r="Q235" i="14" s="1"/>
  <c r="R235" i="14" s="1"/>
  <c r="AA265" i="14"/>
  <c r="AA225" i="14"/>
  <c r="Q239" i="14" a="1"/>
  <c r="Q239" i="14" s="1"/>
  <c r="K222" i="14"/>
  <c r="P222" i="14" s="1" a="1"/>
  <c r="P222" i="14" s="1"/>
  <c r="AA215" i="14"/>
  <c r="J277" i="14"/>
  <c r="Q238" i="14" a="1"/>
  <c r="Q238" i="14" s="1"/>
  <c r="O204" i="14"/>
  <c r="O206" i="14"/>
  <c r="Q257" i="14" a="1"/>
  <c r="Q257" i="14" s="1"/>
  <c r="AA253" i="14"/>
  <c r="AA261" i="14"/>
  <c r="Q233" i="14" a="1"/>
  <c r="Q233" i="14" s="1"/>
  <c r="R233" i="14" s="1"/>
  <c r="AA247" i="14"/>
  <c r="AA241" i="14"/>
  <c r="AA213" i="14"/>
  <c r="K226" i="14"/>
  <c r="P226" i="14" s="1" a="1"/>
  <c r="P226" i="14" s="1"/>
  <c r="Q226" i="14" s="1" a="1"/>
  <c r="Q226" i="14" s="1"/>
  <c r="K240" i="14"/>
  <c r="P240" i="14" s="1" a="1"/>
  <c r="P240" i="14" s="1"/>
  <c r="V219" i="14"/>
  <c r="Q237" i="14" a="1"/>
  <c r="Q237" i="14" s="1"/>
  <c r="AA245" i="14"/>
  <c r="AA257" i="14"/>
  <c r="J281" i="14"/>
  <c r="I281" i="14"/>
  <c r="S258" i="14"/>
  <c r="S235" i="14"/>
  <c r="Q253" i="14" a="1"/>
  <c r="Q253" i="14" s="1"/>
  <c r="Q261" i="14" a="1"/>
  <c r="Q261" i="14" s="1"/>
  <c r="Q269" i="14" a="1"/>
  <c r="Q269" i="14" s="1"/>
  <c r="Q245" i="14" a="1"/>
  <c r="Q245" i="14" s="1"/>
  <c r="Q217" i="14" a="1"/>
  <c r="Q217" i="14" s="1"/>
  <c r="R217" i="14" s="1"/>
  <c r="Q225" i="14" a="1"/>
  <c r="Q225" i="14" s="1"/>
  <c r="Y6" i="14"/>
  <c r="Y269" i="14"/>
  <c r="Y273" i="14"/>
  <c r="Y8" i="14"/>
  <c r="Y10" i="14"/>
  <c r="Y12" i="14"/>
  <c r="Y14" i="14"/>
  <c r="Y16" i="14"/>
  <c r="Y18" i="14"/>
  <c r="Y20" i="14"/>
  <c r="Y22" i="14"/>
  <c r="Y24" i="14"/>
  <c r="Y26" i="14"/>
  <c r="Y28" i="14"/>
  <c r="Y30" i="14"/>
  <c r="Y32" i="14"/>
  <c r="Y34" i="14"/>
  <c r="Y36" i="14"/>
  <c r="Y38" i="14"/>
  <c r="Y40" i="14"/>
  <c r="Y42" i="14"/>
  <c r="Y44" i="14"/>
  <c r="Y46" i="14"/>
  <c r="Y48" i="14"/>
  <c r="Y50" i="14"/>
  <c r="Y52" i="14"/>
  <c r="Y54" i="14"/>
  <c r="Y56" i="14"/>
  <c r="Y58" i="14"/>
  <c r="Y60" i="14"/>
  <c r="Y62" i="14"/>
  <c r="Y64" i="14"/>
  <c r="Y66" i="14"/>
  <c r="Y68" i="14"/>
  <c r="Y70" i="14"/>
  <c r="Y72" i="14"/>
  <c r="Y74" i="14"/>
  <c r="Y76" i="14"/>
  <c r="Y78" i="14"/>
  <c r="Y80" i="14"/>
  <c r="Y82" i="14"/>
  <c r="Y84" i="14"/>
  <c r="Y86" i="14"/>
  <c r="Y88" i="14"/>
  <c r="Y103" i="14"/>
  <c r="Y99" i="14"/>
  <c r="Y95" i="14"/>
  <c r="Y91" i="14"/>
  <c r="S262" i="14"/>
  <c r="S264" i="14"/>
  <c r="Y260" i="14"/>
  <c r="Y241" i="14"/>
  <c r="Y211" i="14"/>
  <c r="Y227" i="14"/>
  <c r="Y188" i="14"/>
  <c r="Y116" i="14"/>
  <c r="Y132" i="14"/>
  <c r="Y148" i="14"/>
  <c r="Y164" i="14"/>
  <c r="Y180" i="14"/>
  <c r="Y274" i="14"/>
  <c r="Y253" i="14"/>
  <c r="Y242" i="14"/>
  <c r="Y246" i="14"/>
  <c r="Y262" i="14"/>
  <c r="Y243" i="14"/>
  <c r="Y217" i="14"/>
  <c r="Y275" i="14"/>
  <c r="Y114" i="14"/>
  <c r="Y130" i="14"/>
  <c r="Y146" i="14"/>
  <c r="Y162" i="14"/>
  <c r="Y178" i="14"/>
  <c r="Y268" i="14"/>
  <c r="Y247" i="14"/>
  <c r="Y263" i="14"/>
  <c r="Y210" i="14"/>
  <c r="Y226" i="14"/>
  <c r="Q223" i="14" a="1"/>
  <c r="Q223" i="14" s="1"/>
  <c r="Y187" i="14"/>
  <c r="Y115" i="14"/>
  <c r="Y131" i="14"/>
  <c r="Y147" i="14"/>
  <c r="Y163" i="14"/>
  <c r="Y179" i="14"/>
  <c r="Y261" i="14"/>
  <c r="Y279" i="14"/>
  <c r="Y113" i="14"/>
  <c r="Y149" i="14"/>
  <c r="Y181" i="14"/>
  <c r="Y208" i="14"/>
  <c r="Y224" i="14"/>
  <c r="Q229" i="14" a="1"/>
  <c r="Q229" i="14" s="1"/>
  <c r="Y189" i="14"/>
  <c r="Y129" i="14"/>
  <c r="Y161" i="14"/>
  <c r="K209" i="14"/>
  <c r="P209" i="14" s="1" a="1"/>
  <c r="P209" i="14" s="1"/>
  <c r="Q209" i="14" s="1" a="1"/>
  <c r="Q209" i="14" s="1"/>
  <c r="Y256" i="14"/>
  <c r="Y237" i="14"/>
  <c r="Y207" i="14"/>
  <c r="Y223" i="14"/>
  <c r="Y277" i="14"/>
  <c r="Y112" i="14"/>
  <c r="Y128" i="14"/>
  <c r="Y144" i="14"/>
  <c r="Y160" i="14"/>
  <c r="Y176" i="14"/>
  <c r="Y270" i="14"/>
  <c r="Y249" i="14"/>
  <c r="Y238" i="14"/>
  <c r="Y258" i="14"/>
  <c r="Y239" i="14"/>
  <c r="Y213" i="14"/>
  <c r="Y229" i="14"/>
  <c r="Y198" i="14"/>
  <c r="Y110" i="14"/>
  <c r="Y126" i="14"/>
  <c r="Y142" i="14"/>
  <c r="Y158" i="14"/>
  <c r="Y174" i="14"/>
  <c r="Y259" i="14"/>
  <c r="Y244" i="14"/>
  <c r="Y206" i="14"/>
  <c r="Y222" i="14"/>
  <c r="Y276" i="14"/>
  <c r="Y111" i="14"/>
  <c r="Y127" i="14"/>
  <c r="Y143" i="14"/>
  <c r="Y159" i="14"/>
  <c r="Y175" i="14"/>
  <c r="Y257" i="14"/>
  <c r="R267" i="14"/>
  <c r="U262" i="14" s="1"/>
  <c r="S267" i="14"/>
  <c r="V262" i="14" s="1"/>
  <c r="Y105" i="14"/>
  <c r="Y141" i="14"/>
  <c r="Q247" i="14" a="1"/>
  <c r="Q247" i="14" s="1"/>
  <c r="Y204" i="14"/>
  <c r="Y220" i="14"/>
  <c r="S225" i="14"/>
  <c r="R225" i="14"/>
  <c r="Y201" i="14"/>
  <c r="Y153" i="14"/>
  <c r="Y102" i="14"/>
  <c r="Y94" i="14"/>
  <c r="Y9" i="14"/>
  <c r="Y13" i="14"/>
  <c r="Y17" i="14"/>
  <c r="Y21" i="14"/>
  <c r="Y25" i="14"/>
  <c r="Y29" i="14"/>
  <c r="Y33" i="14"/>
  <c r="Y39" i="14"/>
  <c r="Y43" i="14"/>
  <c r="Y45" i="14"/>
  <c r="Y49" i="14"/>
  <c r="Y53" i="14"/>
  <c r="Y59" i="14"/>
  <c r="Y63" i="14"/>
  <c r="Y67" i="14"/>
  <c r="Y71" i="14"/>
  <c r="Y75" i="14"/>
  <c r="Y79" i="14"/>
  <c r="Y83" i="14"/>
  <c r="Y87" i="14"/>
  <c r="R219" i="14"/>
  <c r="Y267" i="14"/>
  <c r="Y264" i="14"/>
  <c r="Y245" i="14"/>
  <c r="Y215" i="14"/>
  <c r="Y196" i="14"/>
  <c r="Y192" i="14"/>
  <c r="Y120" i="14"/>
  <c r="Y136" i="14"/>
  <c r="Y152" i="14"/>
  <c r="Y168" i="14"/>
  <c r="Y184" i="14"/>
  <c r="Y230" i="14"/>
  <c r="Y271" i="14"/>
  <c r="Y250" i="14"/>
  <c r="Y231" i="14"/>
  <c r="Y205" i="14"/>
  <c r="Y221" i="14"/>
  <c r="Y190" i="14"/>
  <c r="Y118" i="14"/>
  <c r="Y134" i="14"/>
  <c r="Y150" i="14"/>
  <c r="Y166" i="14"/>
  <c r="Y182" i="14"/>
  <c r="Y232" i="14"/>
  <c r="Y272" i="14"/>
  <c r="Y251" i="14"/>
  <c r="Y252" i="14"/>
  <c r="Y214" i="14"/>
  <c r="Y195" i="14"/>
  <c r="Y191" i="14"/>
  <c r="Y119" i="14"/>
  <c r="Y135" i="14"/>
  <c r="Y151" i="14"/>
  <c r="Y167" i="14"/>
  <c r="Y183" i="14"/>
  <c r="Y265" i="14"/>
  <c r="R263" i="14"/>
  <c r="U258" i="14" s="1"/>
  <c r="S263" i="14"/>
  <c r="V258" i="14" s="1"/>
  <c r="Y278" i="14"/>
  <c r="Y121" i="14"/>
  <c r="Y157" i="14"/>
  <c r="Q249" i="14" a="1"/>
  <c r="Q249" i="14" s="1"/>
  <c r="R255" i="14"/>
  <c r="S255" i="14"/>
  <c r="Y212" i="14"/>
  <c r="Y228" i="14"/>
  <c r="Q221" i="14" a="1"/>
  <c r="Q221" i="14" s="1"/>
  <c r="AA216" i="14"/>
  <c r="Y109" i="14"/>
  <c r="Y137" i="14"/>
  <c r="Y169" i="14"/>
  <c r="Y173" i="14"/>
  <c r="Y125" i="14"/>
  <c r="Y185" i="14"/>
  <c r="Y98" i="14"/>
  <c r="Y90" i="14"/>
  <c r="Y7" i="14"/>
  <c r="Y11" i="14"/>
  <c r="Y15" i="14"/>
  <c r="Y19" i="14"/>
  <c r="Y23" i="14"/>
  <c r="Y27" i="14"/>
  <c r="Y31" i="14"/>
  <c r="Y35" i="14"/>
  <c r="Y37" i="14"/>
  <c r="Y41" i="14"/>
  <c r="Y47" i="14"/>
  <c r="Y51" i="14"/>
  <c r="Y55" i="14"/>
  <c r="Y57" i="14"/>
  <c r="Y61" i="14"/>
  <c r="Y65" i="14"/>
  <c r="Y69" i="14"/>
  <c r="Y73" i="14"/>
  <c r="Y77" i="14"/>
  <c r="Y81" i="14"/>
  <c r="Y85" i="14"/>
  <c r="Y89" i="14"/>
  <c r="Y101" i="14"/>
  <c r="Y97" i="14"/>
  <c r="Y93" i="14"/>
  <c r="Y104" i="14"/>
  <c r="Y100" i="14"/>
  <c r="Y96" i="14"/>
  <c r="Y92" i="14"/>
  <c r="S217" i="14"/>
  <c r="G279" i="14"/>
  <c r="H279" i="14" s="1"/>
  <c r="I279" i="14" s="1"/>
  <c r="Y248" i="14"/>
  <c r="Y233" i="14"/>
  <c r="Y203" i="14"/>
  <c r="Y219" i="14"/>
  <c r="Y200" i="14"/>
  <c r="Y108" i="14"/>
  <c r="Y124" i="14"/>
  <c r="Y140" i="14"/>
  <c r="Y156" i="14"/>
  <c r="Y172" i="14"/>
  <c r="Y266" i="14"/>
  <c r="Y234" i="14"/>
  <c r="Y254" i="14"/>
  <c r="Y235" i="14"/>
  <c r="Y209" i="14"/>
  <c r="Y225" i="14"/>
  <c r="Y194" i="14"/>
  <c r="Y106" i="14"/>
  <c r="Y122" i="14"/>
  <c r="Y138" i="14"/>
  <c r="Y154" i="14"/>
  <c r="Y170" i="14"/>
  <c r="Y186" i="14"/>
  <c r="Y236" i="14"/>
  <c r="Y255" i="14"/>
  <c r="Y240" i="14"/>
  <c r="Q241" i="14" a="1"/>
  <c r="Q241" i="14" s="1"/>
  <c r="Y202" i="14"/>
  <c r="Y218" i="14"/>
  <c r="S215" i="14"/>
  <c r="V215" i="14" s="1"/>
  <c r="R215" i="14"/>
  <c r="U215" i="14" s="1"/>
  <c r="Q231" i="14" a="1"/>
  <c r="Q231" i="14" s="1"/>
  <c r="AA226" i="14"/>
  <c r="Y199" i="14"/>
  <c r="Y107" i="14"/>
  <c r="Y123" i="14"/>
  <c r="Y139" i="14"/>
  <c r="Y155" i="14"/>
  <c r="Y171" i="14"/>
  <c r="Y193" i="14"/>
  <c r="Y133" i="14"/>
  <c r="Y165" i="14"/>
  <c r="Y216" i="14"/>
  <c r="Q213" i="14" a="1"/>
  <c r="Q213" i="14" s="1"/>
  <c r="Y197" i="14"/>
  <c r="Y117" i="14"/>
  <c r="Y145" i="14"/>
  <c r="Y177" i="14"/>
  <c r="H280" i="14"/>
  <c r="H284" i="14"/>
  <c r="J283" i="14"/>
  <c r="I283" i="14"/>
  <c r="R257" i="14"/>
  <c r="U252" i="14" s="1"/>
  <c r="S257" i="14"/>
  <c r="V252" i="14" s="1"/>
  <c r="R265" i="14"/>
  <c r="U260" i="14" s="1"/>
  <c r="S265" i="14"/>
  <c r="V260" i="14" s="1"/>
  <c r="H272" i="14"/>
  <c r="I282" i="14"/>
  <c r="J282" i="14"/>
  <c r="R236" i="14"/>
  <c r="S236" i="14"/>
  <c r="R244" i="14"/>
  <c r="S244" i="14"/>
  <c r="K281" i="14"/>
  <c r="J275" i="14"/>
  <c r="I275" i="14"/>
  <c r="H276" i="14"/>
  <c r="R238" i="14"/>
  <c r="U233" i="14" s="1"/>
  <c r="S238" i="14"/>
  <c r="R246" i="14"/>
  <c r="S246" i="14"/>
  <c r="K277" i="14"/>
  <c r="R253" i="14"/>
  <c r="U253" i="14" s="1"/>
  <c r="S253" i="14"/>
  <c r="V248" i="14" s="1"/>
  <c r="R261" i="14"/>
  <c r="U256" i="14" s="1"/>
  <c r="S261" i="14"/>
  <c r="V256" i="14" s="1"/>
  <c r="R269" i="14"/>
  <c r="U264" i="14" s="1"/>
  <c r="S269" i="14"/>
  <c r="V264" i="14" s="1"/>
  <c r="J271" i="14"/>
  <c r="I271" i="14"/>
  <c r="R254" i="14"/>
  <c r="U254" i="14" s="1"/>
  <c r="S254" i="14"/>
  <c r="R248" i="14"/>
  <c r="S248" i="14"/>
  <c r="I278" i="14"/>
  <c r="J278" i="14"/>
  <c r="I274" i="14"/>
  <c r="J274" i="14"/>
  <c r="K273" i="14"/>
  <c r="R270" i="14"/>
  <c r="S270" i="14"/>
  <c r="V265" i="14" s="1"/>
  <c r="R242" i="14"/>
  <c r="S242" i="14"/>
  <c r="R250" i="14"/>
  <c r="S250" i="14"/>
  <c r="R211" i="14"/>
  <c r="U211" i="14" s="1"/>
  <c r="S211" i="14"/>
  <c r="S214" i="14"/>
  <c r="R214" i="14"/>
  <c r="F194" i="14"/>
  <c r="F195" i="14"/>
  <c r="F196" i="14"/>
  <c r="F197" i="14"/>
  <c r="N194" i="14"/>
  <c r="N195" i="14"/>
  <c r="N196" i="14"/>
  <c r="N197" i="14"/>
  <c r="F205" i="14"/>
  <c r="F204" i="14"/>
  <c r="F203" i="14"/>
  <c r="F202" i="14"/>
  <c r="F201" i="14"/>
  <c r="F200" i="14"/>
  <c r="F199" i="14"/>
  <c r="F198" i="14"/>
  <c r="N203" i="14"/>
  <c r="N202" i="14"/>
  <c r="N201" i="14"/>
  <c r="N200" i="14"/>
  <c r="N199" i="14"/>
  <c r="N198" i="14"/>
  <c r="E194" i="14"/>
  <c r="E195" i="14"/>
  <c r="E196" i="14"/>
  <c r="E197" i="14"/>
  <c r="M194" i="14"/>
  <c r="M195" i="14"/>
  <c r="M196" i="14"/>
  <c r="M197" i="14"/>
  <c r="E205" i="14"/>
  <c r="E204" i="14"/>
  <c r="E203" i="14"/>
  <c r="E202" i="14"/>
  <c r="E201" i="14"/>
  <c r="E200" i="14"/>
  <c r="E199" i="14"/>
  <c r="E198" i="14"/>
  <c r="M203" i="14"/>
  <c r="M202" i="14"/>
  <c r="M201" i="14"/>
  <c r="M200" i="14"/>
  <c r="M199" i="14"/>
  <c r="M198" i="14"/>
  <c r="H206" i="14"/>
  <c r="F187" i="14"/>
  <c r="F188" i="14"/>
  <c r="F189" i="14"/>
  <c r="F190" i="14"/>
  <c r="F191" i="14"/>
  <c r="F192" i="14"/>
  <c r="F193" i="14"/>
  <c r="N187" i="14"/>
  <c r="N188" i="14"/>
  <c r="N189" i="14"/>
  <c r="N190" i="14"/>
  <c r="N191" i="14"/>
  <c r="N192" i="14"/>
  <c r="N193" i="14"/>
  <c r="E187" i="14"/>
  <c r="E188" i="14"/>
  <c r="E189" i="14"/>
  <c r="E190" i="14"/>
  <c r="E191" i="14"/>
  <c r="E192" i="14"/>
  <c r="E193" i="14"/>
  <c r="M187" i="14"/>
  <c r="M188" i="14"/>
  <c r="M189" i="14"/>
  <c r="M190" i="14"/>
  <c r="M191" i="14"/>
  <c r="M192" i="14"/>
  <c r="M193" i="14"/>
  <c r="F163" i="10"/>
  <c r="F164" i="10"/>
  <c r="F165" i="10"/>
  <c r="F166" i="10"/>
  <c r="F167" i="10"/>
  <c r="N163" i="10"/>
  <c r="N164" i="10"/>
  <c r="N165" i="10"/>
  <c r="N166" i="10"/>
  <c r="N167" i="10"/>
  <c r="F156" i="10"/>
  <c r="E163" i="10"/>
  <c r="E164" i="10"/>
  <c r="E165" i="10"/>
  <c r="E166" i="10"/>
  <c r="E167" i="10"/>
  <c r="M163" i="10"/>
  <c r="M164" i="10"/>
  <c r="M165" i="10"/>
  <c r="M166" i="10"/>
  <c r="M167" i="10"/>
  <c r="E156" i="10"/>
  <c r="G156" i="10" s="1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7" i="10"/>
  <c r="F158" i="10"/>
  <c r="F159" i="10"/>
  <c r="F160" i="10"/>
  <c r="F161" i="10"/>
  <c r="F162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7" i="10"/>
  <c r="N158" i="10"/>
  <c r="N159" i="10"/>
  <c r="N160" i="10"/>
  <c r="N161" i="10"/>
  <c r="N162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F90" i="10"/>
  <c r="N90" i="10"/>
  <c r="E141" i="10"/>
  <c r="G141" i="10" s="1"/>
  <c r="E142" i="10"/>
  <c r="G142" i="10" s="1"/>
  <c r="E143" i="10"/>
  <c r="G143" i="10" s="1"/>
  <c r="E144" i="10"/>
  <c r="G144" i="10" s="1"/>
  <c r="E145" i="10"/>
  <c r="G145" i="10" s="1"/>
  <c r="E146" i="10"/>
  <c r="G146" i="10" s="1"/>
  <c r="E147" i="10"/>
  <c r="G147" i="10" s="1"/>
  <c r="E148" i="10"/>
  <c r="G148" i="10" s="1"/>
  <c r="E149" i="10"/>
  <c r="G149" i="10" s="1"/>
  <c r="E150" i="10"/>
  <c r="G150" i="10" s="1"/>
  <c r="E151" i="10"/>
  <c r="G151" i="10" s="1"/>
  <c r="E152" i="10"/>
  <c r="G152" i="10" s="1"/>
  <c r="E153" i="10"/>
  <c r="G153" i="10" s="1"/>
  <c r="E154" i="10"/>
  <c r="G154" i="10" s="1"/>
  <c r="E155" i="10"/>
  <c r="G155" i="10" s="1"/>
  <c r="E157" i="10"/>
  <c r="G157" i="10" s="1"/>
  <c r="E158" i="10"/>
  <c r="G158" i="10" s="1"/>
  <c r="E159" i="10"/>
  <c r="G159" i="10" s="1"/>
  <c r="E160" i="10"/>
  <c r="G160" i="10" s="1"/>
  <c r="E161" i="10"/>
  <c r="G161" i="10" s="1"/>
  <c r="E162" i="10"/>
  <c r="G162" i="10" s="1"/>
  <c r="M141" i="10"/>
  <c r="O141" i="10" s="1"/>
  <c r="M142" i="10"/>
  <c r="O142" i="10" s="1"/>
  <c r="M143" i="10"/>
  <c r="O143" i="10" s="1"/>
  <c r="M144" i="10"/>
  <c r="O144" i="10" s="1"/>
  <c r="M145" i="10"/>
  <c r="O145" i="10" s="1"/>
  <c r="M146" i="10"/>
  <c r="O146" i="10" s="1"/>
  <c r="M147" i="10"/>
  <c r="O147" i="10" s="1"/>
  <c r="M148" i="10"/>
  <c r="O148" i="10" s="1"/>
  <c r="M149" i="10"/>
  <c r="O149" i="10" s="1"/>
  <c r="M150" i="10"/>
  <c r="O150" i="10" s="1"/>
  <c r="M151" i="10"/>
  <c r="O151" i="10" s="1"/>
  <c r="M152" i="10"/>
  <c r="O152" i="10" s="1"/>
  <c r="M153" i="10"/>
  <c r="O153" i="10" s="1"/>
  <c r="M154" i="10"/>
  <c r="O154" i="10" s="1"/>
  <c r="M155" i="10"/>
  <c r="O155" i="10" s="1"/>
  <c r="M157" i="10"/>
  <c r="O157" i="10" s="1"/>
  <c r="M158" i="10"/>
  <c r="O158" i="10" s="1"/>
  <c r="M159" i="10"/>
  <c r="O159" i="10" s="1"/>
  <c r="M160" i="10"/>
  <c r="O160" i="10" s="1"/>
  <c r="M161" i="10"/>
  <c r="O161" i="10" s="1"/>
  <c r="M162" i="10"/>
  <c r="O162" i="10" s="1"/>
  <c r="E91" i="10"/>
  <c r="G91" i="10" s="1"/>
  <c r="E92" i="10"/>
  <c r="G92" i="10" s="1"/>
  <c r="E93" i="10"/>
  <c r="G93" i="10" s="1"/>
  <c r="E94" i="10"/>
  <c r="G94" i="10" s="1"/>
  <c r="E95" i="10"/>
  <c r="G95" i="10" s="1"/>
  <c r="E96" i="10"/>
  <c r="G96" i="10" s="1"/>
  <c r="E97" i="10"/>
  <c r="G97" i="10" s="1"/>
  <c r="E98" i="10"/>
  <c r="G98" i="10" s="1"/>
  <c r="E99" i="10"/>
  <c r="G99" i="10" s="1"/>
  <c r="E100" i="10"/>
  <c r="G100" i="10" s="1"/>
  <c r="E101" i="10"/>
  <c r="G101" i="10" s="1"/>
  <c r="E102" i="10"/>
  <c r="G102" i="10" s="1"/>
  <c r="E103" i="10"/>
  <c r="G103" i="10" s="1"/>
  <c r="E104" i="10"/>
  <c r="G104" i="10" s="1"/>
  <c r="E105" i="10"/>
  <c r="G105" i="10" s="1"/>
  <c r="E106" i="10"/>
  <c r="G106" i="10" s="1"/>
  <c r="E107" i="10"/>
  <c r="G107" i="10" s="1"/>
  <c r="E108" i="10"/>
  <c r="G108" i="10" s="1"/>
  <c r="E109" i="10"/>
  <c r="G109" i="10" s="1"/>
  <c r="E110" i="10"/>
  <c r="G110" i="10" s="1"/>
  <c r="E111" i="10"/>
  <c r="G111" i="10" s="1"/>
  <c r="E112" i="10"/>
  <c r="G112" i="10" s="1"/>
  <c r="E113" i="10"/>
  <c r="G113" i="10" s="1"/>
  <c r="E114" i="10"/>
  <c r="G114" i="10" s="1"/>
  <c r="E115" i="10"/>
  <c r="G115" i="10" s="1"/>
  <c r="E116" i="10"/>
  <c r="G116" i="10" s="1"/>
  <c r="E117" i="10"/>
  <c r="G117" i="10" s="1"/>
  <c r="E118" i="10"/>
  <c r="G118" i="10" s="1"/>
  <c r="E119" i="10"/>
  <c r="G119" i="10" s="1"/>
  <c r="E120" i="10"/>
  <c r="G120" i="10" s="1"/>
  <c r="E121" i="10"/>
  <c r="G121" i="10" s="1"/>
  <c r="E122" i="10"/>
  <c r="G122" i="10" s="1"/>
  <c r="E123" i="10"/>
  <c r="G123" i="10" s="1"/>
  <c r="E124" i="10"/>
  <c r="G124" i="10" s="1"/>
  <c r="E125" i="10"/>
  <c r="G125" i="10" s="1"/>
  <c r="E126" i="10"/>
  <c r="G126" i="10" s="1"/>
  <c r="E127" i="10"/>
  <c r="G127" i="10" s="1"/>
  <c r="E128" i="10"/>
  <c r="G128" i="10" s="1"/>
  <c r="E129" i="10"/>
  <c r="G129" i="10" s="1"/>
  <c r="E130" i="10"/>
  <c r="G130" i="10" s="1"/>
  <c r="E131" i="10"/>
  <c r="G131" i="10" s="1"/>
  <c r="E132" i="10"/>
  <c r="G132" i="10" s="1"/>
  <c r="E133" i="10"/>
  <c r="G133" i="10" s="1"/>
  <c r="E134" i="10"/>
  <c r="G134" i="10" s="1"/>
  <c r="E135" i="10"/>
  <c r="G135" i="10" s="1"/>
  <c r="E136" i="10"/>
  <c r="G136" i="10" s="1"/>
  <c r="E137" i="10"/>
  <c r="G137" i="10" s="1"/>
  <c r="E138" i="10"/>
  <c r="G138" i="10" s="1"/>
  <c r="E139" i="10"/>
  <c r="G139" i="10" s="1"/>
  <c r="E140" i="10"/>
  <c r="G140" i="10" s="1"/>
  <c r="M91" i="10"/>
  <c r="O91" i="10" s="1"/>
  <c r="M92" i="10"/>
  <c r="O92" i="10" s="1"/>
  <c r="M93" i="10"/>
  <c r="O93" i="10" s="1"/>
  <c r="M94" i="10"/>
  <c r="O94" i="10" s="1"/>
  <c r="M95" i="10"/>
  <c r="O95" i="10" s="1"/>
  <c r="M96" i="10"/>
  <c r="O96" i="10" s="1"/>
  <c r="M97" i="10"/>
  <c r="O97" i="10" s="1"/>
  <c r="M98" i="10"/>
  <c r="O98" i="10" s="1"/>
  <c r="M99" i="10"/>
  <c r="O99" i="10" s="1"/>
  <c r="M100" i="10"/>
  <c r="O100" i="10" s="1"/>
  <c r="M101" i="10"/>
  <c r="O101" i="10" s="1"/>
  <c r="M102" i="10"/>
  <c r="O102" i="10" s="1"/>
  <c r="M103" i="10"/>
  <c r="O103" i="10" s="1"/>
  <c r="M104" i="10"/>
  <c r="O104" i="10" s="1"/>
  <c r="M105" i="10"/>
  <c r="O105" i="10" s="1"/>
  <c r="M106" i="10"/>
  <c r="O106" i="10" s="1"/>
  <c r="M107" i="10"/>
  <c r="O107" i="10" s="1"/>
  <c r="M108" i="10"/>
  <c r="O108" i="10" s="1"/>
  <c r="M109" i="10"/>
  <c r="O109" i="10" s="1"/>
  <c r="M110" i="10"/>
  <c r="O110" i="10" s="1"/>
  <c r="M111" i="10"/>
  <c r="O111" i="10" s="1"/>
  <c r="M112" i="10"/>
  <c r="O112" i="10" s="1"/>
  <c r="M113" i="10"/>
  <c r="O113" i="10" s="1"/>
  <c r="M114" i="10"/>
  <c r="O114" i="10" s="1"/>
  <c r="M115" i="10"/>
  <c r="O115" i="10" s="1"/>
  <c r="M116" i="10"/>
  <c r="O116" i="10" s="1"/>
  <c r="M117" i="10"/>
  <c r="O117" i="10" s="1"/>
  <c r="M118" i="10"/>
  <c r="O118" i="10" s="1"/>
  <c r="M119" i="10"/>
  <c r="O119" i="10" s="1"/>
  <c r="M120" i="10"/>
  <c r="O120" i="10" s="1"/>
  <c r="M121" i="10"/>
  <c r="O121" i="10" s="1"/>
  <c r="M122" i="10"/>
  <c r="O122" i="10" s="1"/>
  <c r="M123" i="10"/>
  <c r="O123" i="10" s="1"/>
  <c r="M124" i="10"/>
  <c r="O124" i="10" s="1"/>
  <c r="M125" i="10"/>
  <c r="O125" i="10" s="1"/>
  <c r="M126" i="10"/>
  <c r="O126" i="10" s="1"/>
  <c r="M127" i="10"/>
  <c r="O127" i="10" s="1"/>
  <c r="M128" i="10"/>
  <c r="O128" i="10" s="1"/>
  <c r="M129" i="10"/>
  <c r="O129" i="10" s="1"/>
  <c r="M130" i="10"/>
  <c r="O130" i="10" s="1"/>
  <c r="M131" i="10"/>
  <c r="O131" i="10" s="1"/>
  <c r="M132" i="10"/>
  <c r="O132" i="10" s="1"/>
  <c r="M133" i="10"/>
  <c r="O133" i="10" s="1"/>
  <c r="M134" i="10"/>
  <c r="O134" i="10" s="1"/>
  <c r="M135" i="10"/>
  <c r="O135" i="10" s="1"/>
  <c r="M136" i="10"/>
  <c r="O136" i="10" s="1"/>
  <c r="M137" i="10"/>
  <c r="O137" i="10" s="1"/>
  <c r="M138" i="10"/>
  <c r="O138" i="10" s="1"/>
  <c r="M139" i="10"/>
  <c r="O139" i="10" s="1"/>
  <c r="M140" i="10"/>
  <c r="O140" i="10" s="1"/>
  <c r="E90" i="10"/>
  <c r="G90" i="10" s="1"/>
  <c r="M90" i="10"/>
  <c r="O90" i="10" s="1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E91" i="14"/>
  <c r="F93" i="14"/>
  <c r="F91" i="14"/>
  <c r="F95" i="14"/>
  <c r="M102" i="14"/>
  <c r="M91" i="14"/>
  <c r="F90" i="14"/>
  <c r="E95" i="14"/>
  <c r="F101" i="14"/>
  <c r="N103" i="14"/>
  <c r="N92" i="14"/>
  <c r="M100" i="14"/>
  <c r="N102" i="14"/>
  <c r="O102" i="14" s="1"/>
  <c r="N98" i="14"/>
  <c r="N94" i="14"/>
  <c r="N90" i="14"/>
  <c r="F104" i="14"/>
  <c r="F99" i="14"/>
  <c r="F94" i="14"/>
  <c r="E104" i="14"/>
  <c r="E99" i="14"/>
  <c r="E94" i="14"/>
  <c r="N104" i="14"/>
  <c r="N95" i="14"/>
  <c r="M99" i="14"/>
  <c r="M95" i="14"/>
  <c r="F100" i="14"/>
  <c r="E100" i="14"/>
  <c r="E90" i="14"/>
  <c r="F97" i="14"/>
  <c r="N100" i="14"/>
  <c r="M104" i="14"/>
  <c r="M96" i="14"/>
  <c r="N101" i="14"/>
  <c r="N97" i="14"/>
  <c r="N93" i="14"/>
  <c r="F103" i="14"/>
  <c r="F98" i="14"/>
  <c r="F92" i="14"/>
  <c r="E103" i="14"/>
  <c r="E98" i="14"/>
  <c r="E92" i="14"/>
  <c r="N96" i="14"/>
  <c r="M103" i="14"/>
  <c r="M92" i="14"/>
  <c r="F102" i="14"/>
  <c r="F96" i="14"/>
  <c r="E102" i="14"/>
  <c r="E96" i="14"/>
  <c r="N99" i="14"/>
  <c r="N91" i="14"/>
  <c r="M90" i="14"/>
  <c r="M94" i="14"/>
  <c r="M98" i="14"/>
  <c r="O98" i="14" s="1"/>
  <c r="M101" i="14"/>
  <c r="M97" i="14"/>
  <c r="M93" i="14"/>
  <c r="E101" i="14"/>
  <c r="E97" i="14"/>
  <c r="E93" i="14"/>
  <c r="M41" i="14"/>
  <c r="F45" i="14"/>
  <c r="F6" i="14"/>
  <c r="E10" i="14"/>
  <c r="F14" i="14"/>
  <c r="F16" i="14"/>
  <c r="M17" i="14"/>
  <c r="F20" i="14"/>
  <c r="E21" i="14"/>
  <c r="N22" i="14"/>
  <c r="F25" i="14"/>
  <c r="F29" i="14"/>
  <c r="E33" i="14"/>
  <c r="N39" i="14"/>
  <c r="N44" i="14"/>
  <c r="M45" i="14"/>
  <c r="E48" i="14"/>
  <c r="M49" i="14"/>
  <c r="F52" i="14"/>
  <c r="M53" i="14"/>
  <c r="F56" i="14"/>
  <c r="N57" i="14"/>
  <c r="F60" i="14"/>
  <c r="M61" i="14"/>
  <c r="F64" i="14"/>
  <c r="N65" i="14"/>
  <c r="N69" i="14"/>
  <c r="M73" i="14"/>
  <c r="N78" i="14"/>
  <c r="N82" i="14"/>
  <c r="N83" i="14"/>
  <c r="F86" i="14"/>
  <c r="M87" i="14"/>
  <c r="M6" i="14"/>
  <c r="F9" i="14"/>
  <c r="M10" i="14"/>
  <c r="F13" i="14"/>
  <c r="N14" i="14"/>
  <c r="N16" i="14"/>
  <c r="F19" i="14"/>
  <c r="N20" i="14"/>
  <c r="M21" i="14"/>
  <c r="F24" i="14"/>
  <c r="M25" i="14"/>
  <c r="F28" i="14"/>
  <c r="N29" i="14"/>
  <c r="F32" i="14"/>
  <c r="N33" i="14"/>
  <c r="F36" i="14"/>
  <c r="E37" i="14"/>
  <c r="F41" i="14"/>
  <c r="F42" i="14"/>
  <c r="N43" i="14"/>
  <c r="F47" i="14"/>
  <c r="F51" i="14"/>
  <c r="N52" i="14"/>
  <c r="N56" i="14"/>
  <c r="E59" i="14"/>
  <c r="N60" i="14"/>
  <c r="E63" i="14"/>
  <c r="N64" i="14"/>
  <c r="F75" i="14"/>
  <c r="M86" i="14"/>
  <c r="F89" i="14"/>
  <c r="E8" i="14"/>
  <c r="N9" i="14"/>
  <c r="E12" i="14"/>
  <c r="M13" i="14"/>
  <c r="F18" i="14"/>
  <c r="M20" i="14"/>
  <c r="F23" i="14"/>
  <c r="N24" i="14"/>
  <c r="N28" i="14"/>
  <c r="N32" i="14"/>
  <c r="N36" i="14"/>
  <c r="N37" i="14"/>
  <c r="F40" i="14"/>
  <c r="N41" i="14"/>
  <c r="E45" i="14"/>
  <c r="F46" i="14"/>
  <c r="N47" i="14"/>
  <c r="N51" i="14"/>
  <c r="E54" i="14"/>
  <c r="N55" i="14"/>
  <c r="M59" i="14"/>
  <c r="F62" i="14"/>
  <c r="M63" i="14"/>
  <c r="F66" i="14"/>
  <c r="E70" i="14"/>
  <c r="F74" i="14"/>
  <c r="M75" i="14"/>
  <c r="F78" i="14"/>
  <c r="F79" i="14"/>
  <c r="F83" i="14"/>
  <c r="E88" i="14"/>
  <c r="N89" i="14"/>
  <c r="N8" i="14"/>
  <c r="N12" i="14"/>
  <c r="F15" i="14"/>
  <c r="E16" i="14"/>
  <c r="E17" i="14"/>
  <c r="N18" i="14"/>
  <c r="F22" i="14"/>
  <c r="F26" i="14"/>
  <c r="N27" i="14"/>
  <c r="N31" i="14"/>
  <c r="N35" i="14"/>
  <c r="M36" i="14"/>
  <c r="N40" i="14"/>
  <c r="F44" i="14"/>
  <c r="M46" i="14"/>
  <c r="F49" i="14"/>
  <c r="M50" i="14"/>
  <c r="F53" i="14"/>
  <c r="F57" i="14"/>
  <c r="M58" i="14"/>
  <c r="F61" i="14"/>
  <c r="N62" i="14"/>
  <c r="F65" i="14"/>
  <c r="N66" i="14"/>
  <c r="F69" i="14"/>
  <c r="N70" i="14"/>
  <c r="F73" i="14"/>
  <c r="N74" i="14"/>
  <c r="M78" i="14"/>
  <c r="M79" i="14"/>
  <c r="F82" i="14"/>
  <c r="M83" i="14"/>
  <c r="F87" i="14"/>
  <c r="M88" i="14"/>
  <c r="E23" i="14"/>
  <c r="G23" i="14" s="1"/>
  <c r="F33" i="14"/>
  <c r="F21" i="14"/>
  <c r="N49" i="14"/>
  <c r="O49" i="14" s="1"/>
  <c r="N50" i="14"/>
  <c r="F70" i="14"/>
  <c r="M16" i="14"/>
  <c r="F17" i="14"/>
  <c r="M28" i="14"/>
  <c r="F48" i="14"/>
  <c r="E49" i="14"/>
  <c r="N53" i="14"/>
  <c r="M62" i="14"/>
  <c r="N10" i="14"/>
  <c r="E19" i="14"/>
  <c r="F37" i="14"/>
  <c r="M44" i="14"/>
  <c r="M47" i="14"/>
  <c r="E53" i="14"/>
  <c r="E56" i="14"/>
  <c r="N58" i="14"/>
  <c r="N45" i="14"/>
  <c r="N86" i="14"/>
  <c r="E20" i="14"/>
  <c r="M22" i="14"/>
  <c r="E24" i="14"/>
  <c r="E28" i="14"/>
  <c r="M51" i="14"/>
  <c r="E57" i="14"/>
  <c r="M60" i="14"/>
  <c r="F63" i="14"/>
  <c r="E64" i="14"/>
  <c r="M66" i="14"/>
  <c r="M74" i="14"/>
  <c r="N75" i="14"/>
  <c r="E86" i="14"/>
  <c r="E9" i="14"/>
  <c r="M55" i="14"/>
  <c r="E62" i="14"/>
  <c r="N6" i="14"/>
  <c r="M8" i="14"/>
  <c r="M14" i="14"/>
  <c r="E36" i="14"/>
  <c r="E40" i="14"/>
  <c r="E44" i="14"/>
  <c r="M56" i="14"/>
  <c r="N61" i="14"/>
  <c r="E66" i="14"/>
  <c r="E73" i="14"/>
  <c r="E78" i="14"/>
  <c r="E82" i="14"/>
  <c r="E13" i="14"/>
  <c r="M18" i="14"/>
  <c r="M24" i="14"/>
  <c r="E51" i="14"/>
  <c r="F54" i="14"/>
  <c r="F59" i="14"/>
  <c r="E60" i="14"/>
  <c r="M64" i="14"/>
  <c r="M65" i="14"/>
  <c r="E69" i="14"/>
  <c r="E74" i="14"/>
  <c r="M9" i="14"/>
  <c r="F10" i="14"/>
  <c r="M12" i="14"/>
  <c r="E15" i="14"/>
  <c r="E29" i="14"/>
  <c r="M29" i="14"/>
  <c r="M31" i="14"/>
  <c r="E32" i="14"/>
  <c r="M33" i="14"/>
  <c r="M35" i="14"/>
  <c r="M37" i="14"/>
  <c r="E41" i="14"/>
  <c r="M43" i="14"/>
  <c r="M57" i="14"/>
  <c r="N59" i="14"/>
  <c r="N63" i="14"/>
  <c r="E65" i="14"/>
  <c r="M70" i="14"/>
  <c r="N79" i="14"/>
  <c r="M82" i="14"/>
  <c r="N87" i="14"/>
  <c r="F7" i="14"/>
  <c r="E7" i="14"/>
  <c r="N23" i="14"/>
  <c r="M23" i="14"/>
  <c r="M26" i="14"/>
  <c r="N26" i="14"/>
  <c r="N7" i="14"/>
  <c r="M7" i="14"/>
  <c r="N11" i="14"/>
  <c r="M11" i="14"/>
  <c r="N15" i="14"/>
  <c r="M15" i="14"/>
  <c r="F11" i="14"/>
  <c r="E11" i="14"/>
  <c r="N19" i="14"/>
  <c r="M19" i="14"/>
  <c r="E30" i="14"/>
  <c r="E50" i="14"/>
  <c r="F8" i="14"/>
  <c r="F12" i="14"/>
  <c r="F27" i="14"/>
  <c r="E27" i="14"/>
  <c r="F30" i="14"/>
  <c r="M30" i="14"/>
  <c r="N30" i="14"/>
  <c r="M32" i="14"/>
  <c r="E34" i="14"/>
  <c r="M39" i="14"/>
  <c r="F43" i="14"/>
  <c r="E43" i="14"/>
  <c r="F50" i="14"/>
  <c r="M52" i="14"/>
  <c r="F39" i="14"/>
  <c r="E39" i="14"/>
  <c r="M42" i="14"/>
  <c r="N42" i="14"/>
  <c r="N48" i="14"/>
  <c r="M48" i="14"/>
  <c r="E6" i="14"/>
  <c r="N13" i="14"/>
  <c r="E14" i="14"/>
  <c r="N17" i="14"/>
  <c r="E18" i="14"/>
  <c r="N21" i="14"/>
  <c r="E22" i="14"/>
  <c r="N25" i="14"/>
  <c r="M27" i="14"/>
  <c r="F31" i="14"/>
  <c r="E31" i="14"/>
  <c r="F34" i="14"/>
  <c r="M34" i="14"/>
  <c r="N34" i="14"/>
  <c r="E38" i="14"/>
  <c r="E52" i="14"/>
  <c r="E25" i="14"/>
  <c r="E26" i="14"/>
  <c r="F35" i="14"/>
  <c r="E35" i="14"/>
  <c r="F38" i="14"/>
  <c r="M38" i="14"/>
  <c r="N38" i="14"/>
  <c r="M40" i="14"/>
  <c r="E42" i="14"/>
  <c r="E46" i="14"/>
  <c r="M54" i="14"/>
  <c r="N54" i="14"/>
  <c r="F55" i="14"/>
  <c r="E55" i="14"/>
  <c r="N46" i="14"/>
  <c r="E47" i="14"/>
  <c r="E58" i="14"/>
  <c r="F58" i="14"/>
  <c r="F68" i="14"/>
  <c r="E68" i="14"/>
  <c r="N68" i="14"/>
  <c r="M68" i="14"/>
  <c r="M71" i="14"/>
  <c r="N71" i="14"/>
  <c r="E61" i="14"/>
  <c r="E71" i="14"/>
  <c r="F71" i="14"/>
  <c r="N72" i="14"/>
  <c r="M72" i="14"/>
  <c r="E67" i="14"/>
  <c r="F72" i="14"/>
  <c r="E72" i="14"/>
  <c r="F67" i="14"/>
  <c r="M67" i="14"/>
  <c r="N67" i="14"/>
  <c r="M69" i="14"/>
  <c r="M76" i="14"/>
  <c r="N76" i="14"/>
  <c r="E76" i="14"/>
  <c r="F76" i="14"/>
  <c r="N77" i="14"/>
  <c r="M77" i="14"/>
  <c r="M80" i="14"/>
  <c r="N80" i="14"/>
  <c r="E84" i="14"/>
  <c r="F84" i="14"/>
  <c r="N85" i="14"/>
  <c r="M85" i="14"/>
  <c r="F77" i="14"/>
  <c r="E77" i="14"/>
  <c r="E80" i="14"/>
  <c r="F80" i="14"/>
  <c r="N81" i="14"/>
  <c r="M81" i="14"/>
  <c r="N73" i="14"/>
  <c r="F81" i="14"/>
  <c r="E81" i="14"/>
  <c r="M84" i="14"/>
  <c r="N84" i="14"/>
  <c r="F85" i="14"/>
  <c r="E85" i="14"/>
  <c r="E75" i="14"/>
  <c r="E79" i="14"/>
  <c r="E83" i="14"/>
  <c r="E87" i="14"/>
  <c r="F88" i="14"/>
  <c r="N88" i="14"/>
  <c r="E89" i="14"/>
  <c r="M89" i="14"/>
  <c r="K181" i="10" l="1"/>
  <c r="P181" i="10" s="1" a="1"/>
  <c r="P181" i="10" s="1"/>
  <c r="K235" i="10"/>
  <c r="P235" i="10" s="1" a="1"/>
  <c r="P235" i="10" s="1"/>
  <c r="AA198" i="10"/>
  <c r="R219" i="10"/>
  <c r="K220" i="10"/>
  <c r="P220" i="10" s="1" a="1"/>
  <c r="P220" i="10" s="1"/>
  <c r="Q198" i="10" a="1"/>
  <c r="Q198" i="10" s="1"/>
  <c r="K212" i="10"/>
  <c r="P212" i="10" s="1" a="1"/>
  <c r="P212" i="10" s="1"/>
  <c r="Q212" i="10" s="1" a="1"/>
  <c r="Q212" i="10" s="1"/>
  <c r="K207" i="10"/>
  <c r="P207" i="10" s="1" a="1"/>
  <c r="P207" i="10" s="1"/>
  <c r="K213" i="10"/>
  <c r="P213" i="10" s="1" a="1"/>
  <c r="P213" i="10" s="1"/>
  <c r="Q213" i="10" s="1" a="1"/>
  <c r="Q213" i="10" s="1"/>
  <c r="AA181" i="10"/>
  <c r="K242" i="10"/>
  <c r="P242" i="10" s="1" a="1"/>
  <c r="P242" i="10" s="1"/>
  <c r="Q242" i="10" s="1" a="1"/>
  <c r="Q242" i="10" s="1"/>
  <c r="R242" i="10" s="1"/>
  <c r="K216" i="10"/>
  <c r="P216" i="10" s="1" a="1"/>
  <c r="P216" i="10" s="1"/>
  <c r="Q216" i="10" s="1" a="1"/>
  <c r="Q216" i="10" s="1"/>
  <c r="J182" i="10"/>
  <c r="K182" i="10" s="1"/>
  <c r="P182" i="10" s="1" a="1"/>
  <c r="P182" i="10" s="1"/>
  <c r="Q182" i="10" s="1" a="1"/>
  <c r="Q182" i="10" s="1"/>
  <c r="I182" i="10"/>
  <c r="S169" i="10"/>
  <c r="R169" i="10"/>
  <c r="Q252" i="10" a="1"/>
  <c r="Q252" i="10" s="1"/>
  <c r="S246" i="10"/>
  <c r="I250" i="10"/>
  <c r="J250" i="10"/>
  <c r="K249" i="10"/>
  <c r="P249" i="10" s="1" a="1"/>
  <c r="P249" i="10" s="1"/>
  <c r="K240" i="10"/>
  <c r="P240" i="10" s="1" a="1"/>
  <c r="P240" i="10" s="1"/>
  <c r="AA240" i="10" s="1"/>
  <c r="K232" i="10"/>
  <c r="P232" i="10" s="1" a="1"/>
  <c r="P232" i="10" s="1"/>
  <c r="K236" i="10"/>
  <c r="P236" i="10" s="1" a="1"/>
  <c r="P236" i="10" s="1"/>
  <c r="Q236" i="10" s="1" a="1"/>
  <c r="Q236" i="10" s="1"/>
  <c r="O166" i="10"/>
  <c r="G167" i="10"/>
  <c r="G163" i="10"/>
  <c r="Q206" i="10" a="1"/>
  <c r="Q206" i="10" s="1"/>
  <c r="J185" i="10"/>
  <c r="I185" i="10"/>
  <c r="K204" i="10"/>
  <c r="P204" i="10" s="1" a="1"/>
  <c r="P204" i="10" s="1"/>
  <c r="Q204" i="10" s="1" a="1"/>
  <c r="Q204" i="10" s="1"/>
  <c r="K247" i="10"/>
  <c r="P247" i="10" s="1" a="1"/>
  <c r="P247" i="10" s="1"/>
  <c r="AA242" i="10" s="1"/>
  <c r="K168" i="10"/>
  <c r="P168" i="10" s="1" a="1"/>
  <c r="P168" i="10" s="1"/>
  <c r="Q168" i="10" s="1" a="1"/>
  <c r="Q168" i="10" s="1"/>
  <c r="Q214" i="10" a="1"/>
  <c r="Q214" i="10" s="1"/>
  <c r="V223" i="10"/>
  <c r="K230" i="10"/>
  <c r="P230" i="10" s="1" a="1"/>
  <c r="P230" i="10" s="1"/>
  <c r="Q230" i="10" s="1" a="1"/>
  <c r="Q230" i="10" s="1"/>
  <c r="K176" i="10"/>
  <c r="P176" i="10" s="1" a="1"/>
  <c r="P176" i="10" s="1"/>
  <c r="U223" i="10"/>
  <c r="K184" i="10"/>
  <c r="P184" i="10" s="1" a="1"/>
  <c r="P184" i="10" s="1"/>
  <c r="K189" i="10"/>
  <c r="P189" i="10" s="1" a="1"/>
  <c r="P189" i="10" s="1"/>
  <c r="K217" i="10"/>
  <c r="P217" i="10" s="1" a="1"/>
  <c r="P217" i="10" s="1"/>
  <c r="K239" i="10"/>
  <c r="P239" i="10" s="1" a="1"/>
  <c r="P239" i="10" s="1"/>
  <c r="K234" i="10"/>
  <c r="P234" i="10" s="1" a="1"/>
  <c r="P234" i="10" s="1"/>
  <c r="Q234" i="10" s="1" a="1"/>
  <c r="Q234" i="10" s="1"/>
  <c r="K193" i="10"/>
  <c r="P193" i="10" s="1" a="1"/>
  <c r="P193" i="10" s="1"/>
  <c r="AA221" i="10" s="1"/>
  <c r="K238" i="10"/>
  <c r="P238" i="10" s="1" a="1"/>
  <c r="P238" i="10" s="1"/>
  <c r="Q238" i="10" s="1" a="1"/>
  <c r="Q238" i="10" s="1"/>
  <c r="K211" i="10"/>
  <c r="P211" i="10" s="1" a="1"/>
  <c r="P211" i="10" s="1"/>
  <c r="AA183" i="10"/>
  <c r="Q183" i="10" a="1"/>
  <c r="Q183" i="10" s="1"/>
  <c r="O164" i="10"/>
  <c r="G165" i="10"/>
  <c r="O167" i="10"/>
  <c r="O163" i="10"/>
  <c r="G164" i="10"/>
  <c r="K248" i="10"/>
  <c r="P248" i="10" s="1" a="1"/>
  <c r="P248" i="10" s="1"/>
  <c r="AA184" i="10"/>
  <c r="Q189" i="10" a="1"/>
  <c r="Q189" i="10" s="1"/>
  <c r="I201" i="10"/>
  <c r="J201" i="10"/>
  <c r="S203" i="10"/>
  <c r="R203" i="10"/>
  <c r="I171" i="10"/>
  <c r="J171" i="10"/>
  <c r="Q241" i="10" a="1"/>
  <c r="Q241" i="10" s="1"/>
  <c r="AA241" i="10"/>
  <c r="K178" i="10"/>
  <c r="P178" i="10" s="1" a="1"/>
  <c r="P178" i="10" s="1"/>
  <c r="K194" i="10"/>
  <c r="P194" i="10" s="1" a="1"/>
  <c r="P194" i="10" s="1"/>
  <c r="AA222" i="10" s="1"/>
  <c r="Q190" i="10" a="1"/>
  <c r="Q190" i="10" s="1"/>
  <c r="AA190" i="10"/>
  <c r="K177" i="10"/>
  <c r="P177" i="10" s="1" a="1"/>
  <c r="P177" i="10" s="1"/>
  <c r="K195" i="10"/>
  <c r="P195" i="10" s="1" a="1"/>
  <c r="P195" i="10" s="1"/>
  <c r="I200" i="10"/>
  <c r="J200" i="10"/>
  <c r="K231" i="10"/>
  <c r="P231" i="10" s="1" a="1"/>
  <c r="P231" i="10" s="1"/>
  <c r="K180" i="10"/>
  <c r="P180" i="10" s="1" a="1"/>
  <c r="P180" i="10" s="1"/>
  <c r="K188" i="10"/>
  <c r="P188" i="10" s="1" a="1"/>
  <c r="P188" i="10" s="1"/>
  <c r="Q245" i="10" a="1"/>
  <c r="Q245" i="10" s="1"/>
  <c r="J187" i="10"/>
  <c r="I187" i="10"/>
  <c r="Q174" i="10" a="1"/>
  <c r="Q174" i="10" s="1"/>
  <c r="R229" i="10"/>
  <c r="S229" i="10"/>
  <c r="O165" i="10"/>
  <c r="G166" i="10"/>
  <c r="I179" i="10"/>
  <c r="J179" i="10"/>
  <c r="Q217" i="10" a="1"/>
  <c r="Q217" i="10" s="1"/>
  <c r="J209" i="10"/>
  <c r="I209" i="10"/>
  <c r="AA168" i="10"/>
  <c r="AA220" i="10"/>
  <c r="Q220" i="10" a="1"/>
  <c r="Q220" i="10" s="1"/>
  <c r="AA237" i="10"/>
  <c r="Q237" i="10" a="1"/>
  <c r="Q237" i="10" s="1"/>
  <c r="I205" i="10"/>
  <c r="J205" i="10"/>
  <c r="Q186" i="10" a="1"/>
  <c r="Q186" i="10" s="1"/>
  <c r="Q170" i="10" a="1"/>
  <c r="Q170" i="10" s="1"/>
  <c r="S198" i="10"/>
  <c r="R198" i="10"/>
  <c r="J191" i="10"/>
  <c r="I191" i="10"/>
  <c r="I196" i="10"/>
  <c r="J196" i="10"/>
  <c r="K199" i="10"/>
  <c r="P199" i="10" s="1" a="1"/>
  <c r="P199" i="10" s="1"/>
  <c r="K172" i="10"/>
  <c r="P172" i="10" s="1" a="1"/>
  <c r="P172" i="10" s="1"/>
  <c r="AA233" i="10" s="1"/>
  <c r="I175" i="10"/>
  <c r="J175" i="10"/>
  <c r="K215" i="10"/>
  <c r="P215" i="10" s="1" a="1"/>
  <c r="P215" i="10" s="1"/>
  <c r="K210" i="10"/>
  <c r="P210" i="10" s="1" a="1"/>
  <c r="P210" i="10" s="1"/>
  <c r="AA235" i="10"/>
  <c r="Q235" i="10" a="1"/>
  <c r="Q235" i="10" s="1"/>
  <c r="K243" i="10"/>
  <c r="P243" i="10" s="1" a="1"/>
  <c r="P243" i="10" s="1"/>
  <c r="K173" i="10"/>
  <c r="P173" i="10" s="1" a="1"/>
  <c r="P173" i="10" s="1"/>
  <c r="I197" i="10"/>
  <c r="J197" i="10"/>
  <c r="AA213" i="10"/>
  <c r="R202" i="10"/>
  <c r="S202" i="10"/>
  <c r="K253" i="10"/>
  <c r="P253" i="10" s="1" a="1"/>
  <c r="P253" i="10" s="1"/>
  <c r="Q253" i="10" s="1" a="1"/>
  <c r="Q253" i="10" s="1"/>
  <c r="K251" i="10"/>
  <c r="P251" i="10" s="1" a="1"/>
  <c r="P251" i="10" s="1"/>
  <c r="Q243" i="14" a="1"/>
  <c r="Q243" i="14" s="1"/>
  <c r="AA243" i="14"/>
  <c r="O191" i="14"/>
  <c r="O187" i="14"/>
  <c r="G190" i="14"/>
  <c r="J279" i="14"/>
  <c r="I220" i="14"/>
  <c r="J220" i="14"/>
  <c r="K232" i="14"/>
  <c r="P232" i="14" s="1" a="1"/>
  <c r="P232" i="14" s="1"/>
  <c r="Q232" i="14" s="1" a="1"/>
  <c r="Q232" i="14" s="1"/>
  <c r="AA248" i="14"/>
  <c r="J218" i="14"/>
  <c r="I218" i="14"/>
  <c r="K218" i="14" s="1"/>
  <c r="P218" i="14" s="1" a="1"/>
  <c r="P218" i="14" s="1"/>
  <c r="J230" i="14"/>
  <c r="I230" i="14"/>
  <c r="U212" i="14"/>
  <c r="S212" i="14"/>
  <c r="V207" i="14" s="1"/>
  <c r="R212" i="14"/>
  <c r="U207" i="14" s="1"/>
  <c r="AA212" i="14"/>
  <c r="R227" i="14"/>
  <c r="S227" i="14"/>
  <c r="R216" i="14"/>
  <c r="S216" i="14"/>
  <c r="J228" i="14"/>
  <c r="I228" i="14"/>
  <c r="K228" i="14" s="1"/>
  <c r="P228" i="14" s="1" a="1"/>
  <c r="P228" i="14" s="1"/>
  <c r="V259" i="14"/>
  <c r="I224" i="14"/>
  <c r="J224" i="14"/>
  <c r="AA208" i="14"/>
  <c r="U265" i="14"/>
  <c r="V250" i="14"/>
  <c r="U214" i="14"/>
  <c r="V253" i="14"/>
  <c r="V255" i="14"/>
  <c r="V261" i="14"/>
  <c r="AA235" i="14"/>
  <c r="Q240" i="14" a="1"/>
  <c r="Q240" i="14" s="1"/>
  <c r="AA244" i="14"/>
  <c r="AA249" i="14"/>
  <c r="V214" i="14"/>
  <c r="U257" i="14"/>
  <c r="O199" i="14"/>
  <c r="O203" i="14"/>
  <c r="G201" i="14"/>
  <c r="H201" i="14" s="1"/>
  <c r="G205" i="14"/>
  <c r="H205" i="14" s="1"/>
  <c r="O194" i="14"/>
  <c r="G194" i="14"/>
  <c r="V225" i="14"/>
  <c r="K283" i="14"/>
  <c r="P283" i="14" s="1" a="1"/>
  <c r="P283" i="14" s="1"/>
  <c r="K279" i="14"/>
  <c r="U250" i="14"/>
  <c r="V257" i="14"/>
  <c r="S233" i="14"/>
  <c r="R226" i="14"/>
  <c r="S226" i="14"/>
  <c r="AA240" i="14"/>
  <c r="U263" i="14"/>
  <c r="AA217" i="14"/>
  <c r="Q222" i="14" a="1"/>
  <c r="Q222" i="14" s="1"/>
  <c r="AA209" i="14"/>
  <c r="U219" i="14"/>
  <c r="R239" i="14"/>
  <c r="S239" i="14"/>
  <c r="V254" i="14"/>
  <c r="U248" i="14"/>
  <c r="K275" i="14"/>
  <c r="R237" i="14"/>
  <c r="S237" i="14"/>
  <c r="V211" i="14"/>
  <c r="U261" i="14"/>
  <c r="V263" i="14"/>
  <c r="U255" i="14"/>
  <c r="R245" i="14"/>
  <c r="S245" i="14"/>
  <c r="S229" i="14"/>
  <c r="R229" i="14"/>
  <c r="G53" i="14"/>
  <c r="H53" i="14" s="1"/>
  <c r="O183" i="14"/>
  <c r="O175" i="14"/>
  <c r="O166" i="14"/>
  <c r="O158" i="14"/>
  <c r="O150" i="14"/>
  <c r="O142" i="14"/>
  <c r="O134" i="14"/>
  <c r="O126" i="14"/>
  <c r="O118" i="14"/>
  <c r="O110" i="14"/>
  <c r="G184" i="14"/>
  <c r="G176" i="14"/>
  <c r="G168" i="14"/>
  <c r="G160" i="14"/>
  <c r="G152" i="14"/>
  <c r="G140" i="14"/>
  <c r="G132" i="14"/>
  <c r="H132" i="14" s="1"/>
  <c r="G124" i="14"/>
  <c r="G116" i="14"/>
  <c r="G108" i="14"/>
  <c r="S213" i="14"/>
  <c r="R213" i="14"/>
  <c r="R231" i="14"/>
  <c r="U226" i="14" s="1"/>
  <c r="S231" i="14"/>
  <c r="V226" i="14" s="1"/>
  <c r="S247" i="14"/>
  <c r="R247" i="14"/>
  <c r="O47" i="14"/>
  <c r="O186" i="14"/>
  <c r="O182" i="14"/>
  <c r="O178" i="14"/>
  <c r="O174" i="14"/>
  <c r="O169" i="14"/>
  <c r="O165" i="14"/>
  <c r="O161" i="14"/>
  <c r="O157" i="14"/>
  <c r="O153" i="14"/>
  <c r="O149" i="14"/>
  <c r="O145" i="14"/>
  <c r="O141" i="14"/>
  <c r="O137" i="14"/>
  <c r="O133" i="14"/>
  <c r="O129" i="14"/>
  <c r="O125" i="14"/>
  <c r="O121" i="14"/>
  <c r="O117" i="14"/>
  <c r="O113" i="14"/>
  <c r="O109" i="14"/>
  <c r="O105" i="14"/>
  <c r="G183" i="14"/>
  <c r="H183" i="14" s="1"/>
  <c r="G179" i="14"/>
  <c r="G175" i="14"/>
  <c r="G171" i="14"/>
  <c r="G167" i="14"/>
  <c r="H167" i="14" s="1"/>
  <c r="G163" i="14"/>
  <c r="G159" i="14"/>
  <c r="G155" i="14"/>
  <c r="G151" i="14"/>
  <c r="G147" i="14"/>
  <c r="G143" i="14"/>
  <c r="G139" i="14"/>
  <c r="G135" i="14"/>
  <c r="H135" i="14" s="1"/>
  <c r="G131" i="14"/>
  <c r="G127" i="14"/>
  <c r="G123" i="14"/>
  <c r="G119" i="14"/>
  <c r="H119" i="14" s="1"/>
  <c r="G115" i="14"/>
  <c r="G111" i="14"/>
  <c r="G107" i="14"/>
  <c r="O193" i="14"/>
  <c r="O189" i="14"/>
  <c r="G192" i="14"/>
  <c r="G188" i="14"/>
  <c r="O201" i="14"/>
  <c r="G199" i="14"/>
  <c r="H199" i="14" s="1"/>
  <c r="G203" i="14"/>
  <c r="H203" i="14" s="1"/>
  <c r="O196" i="14"/>
  <c r="G196" i="14"/>
  <c r="H196" i="14" s="1"/>
  <c r="R241" i="14"/>
  <c r="S241" i="14"/>
  <c r="S249" i="14"/>
  <c r="V244" i="14" s="1"/>
  <c r="R249" i="14"/>
  <c r="U244" i="14" s="1"/>
  <c r="O179" i="14"/>
  <c r="O171" i="14"/>
  <c r="O162" i="14"/>
  <c r="O154" i="14"/>
  <c r="O146" i="14"/>
  <c r="O138" i="14"/>
  <c r="O130" i="14"/>
  <c r="O122" i="14"/>
  <c r="O114" i="14"/>
  <c r="O106" i="14"/>
  <c r="G180" i="14"/>
  <c r="G172" i="14"/>
  <c r="G164" i="14"/>
  <c r="G156" i="14"/>
  <c r="G148" i="14"/>
  <c r="G144" i="14"/>
  <c r="H144" i="14" s="1"/>
  <c r="G136" i="14"/>
  <c r="G128" i="14"/>
  <c r="G120" i="14"/>
  <c r="G112" i="14"/>
  <c r="K274" i="14"/>
  <c r="R221" i="14"/>
  <c r="U216" i="14" s="1"/>
  <c r="S221" i="14"/>
  <c r="V216" i="14" s="1"/>
  <c r="O58" i="14"/>
  <c r="O185" i="14"/>
  <c r="O181" i="14"/>
  <c r="O177" i="14"/>
  <c r="O173" i="14"/>
  <c r="O168" i="14"/>
  <c r="O164" i="14"/>
  <c r="O160" i="14"/>
  <c r="O156" i="14"/>
  <c r="O152" i="14"/>
  <c r="O148" i="14"/>
  <c r="O144" i="14"/>
  <c r="O140" i="14"/>
  <c r="O136" i="14"/>
  <c r="O132" i="14"/>
  <c r="O128" i="14"/>
  <c r="O124" i="14"/>
  <c r="O120" i="14"/>
  <c r="O116" i="14"/>
  <c r="O112" i="14"/>
  <c r="O108" i="14"/>
  <c r="G186" i="14"/>
  <c r="G182" i="14"/>
  <c r="G178" i="14"/>
  <c r="G174" i="14"/>
  <c r="H174" i="14" s="1"/>
  <c r="G170" i="14"/>
  <c r="G166" i="14"/>
  <c r="G162" i="14"/>
  <c r="G158" i="14"/>
  <c r="H158" i="14" s="1"/>
  <c r="G154" i="14"/>
  <c r="G150" i="14"/>
  <c r="G146" i="14"/>
  <c r="G142" i="14"/>
  <c r="G138" i="14"/>
  <c r="G134" i="14"/>
  <c r="G130" i="14"/>
  <c r="G126" i="14"/>
  <c r="H126" i="14" s="1"/>
  <c r="G122" i="14"/>
  <c r="G118" i="14"/>
  <c r="G114" i="14"/>
  <c r="G110" i="14"/>
  <c r="H110" i="14" s="1"/>
  <c r="G106" i="14"/>
  <c r="O192" i="14"/>
  <c r="O188" i="14"/>
  <c r="G191" i="14"/>
  <c r="G187" i="14"/>
  <c r="O198" i="14"/>
  <c r="O202" i="14"/>
  <c r="G200" i="14"/>
  <c r="H200" i="14" s="1"/>
  <c r="J200" i="14" s="1"/>
  <c r="G204" i="14"/>
  <c r="H204" i="14" s="1"/>
  <c r="O195" i="14"/>
  <c r="G195" i="14"/>
  <c r="K278" i="14"/>
  <c r="R209" i="14"/>
  <c r="U209" i="14" s="1"/>
  <c r="S209" i="14"/>
  <c r="V209" i="14" s="1"/>
  <c r="R223" i="14"/>
  <c r="S223" i="14"/>
  <c r="O184" i="14"/>
  <c r="O180" i="14"/>
  <c r="O176" i="14"/>
  <c r="O172" i="14"/>
  <c r="O167" i="14"/>
  <c r="O163" i="14"/>
  <c r="O159" i="14"/>
  <c r="O155" i="14"/>
  <c r="O151" i="14"/>
  <c r="O147" i="14"/>
  <c r="O143" i="14"/>
  <c r="O139" i="14"/>
  <c r="O135" i="14"/>
  <c r="O131" i="14"/>
  <c r="O127" i="14"/>
  <c r="O123" i="14"/>
  <c r="O119" i="14"/>
  <c r="O115" i="14"/>
  <c r="O111" i="14"/>
  <c r="O107" i="14"/>
  <c r="G185" i="14"/>
  <c r="G181" i="14"/>
  <c r="H181" i="14" s="1"/>
  <c r="G177" i="14"/>
  <c r="G173" i="14"/>
  <c r="G169" i="14"/>
  <c r="H169" i="14" s="1"/>
  <c r="G165" i="14"/>
  <c r="H165" i="14" s="1"/>
  <c r="G161" i="14"/>
  <c r="G157" i="14"/>
  <c r="G153" i="14"/>
  <c r="H153" i="14" s="1"/>
  <c r="G149" i="14"/>
  <c r="H149" i="14" s="1"/>
  <c r="G145" i="14"/>
  <c r="G141" i="14"/>
  <c r="G137" i="14"/>
  <c r="H137" i="14" s="1"/>
  <c r="G133" i="14"/>
  <c r="H133" i="14" s="1"/>
  <c r="G129" i="14"/>
  <c r="G125" i="14"/>
  <c r="G121" i="14"/>
  <c r="G117" i="14"/>
  <c r="H117" i="14" s="1"/>
  <c r="G113" i="14"/>
  <c r="G109" i="14"/>
  <c r="G105" i="14"/>
  <c r="H105" i="14" s="1"/>
  <c r="P275" i="14" a="1"/>
  <c r="P275" i="14" s="1"/>
  <c r="K282" i="14"/>
  <c r="I272" i="14"/>
  <c r="J272" i="14"/>
  <c r="I280" i="14"/>
  <c r="J280" i="14"/>
  <c r="P278" i="14" a="1"/>
  <c r="P278" i="14" s="1"/>
  <c r="O190" i="14"/>
  <c r="G193" i="14"/>
  <c r="H193" i="14" s="1"/>
  <c r="G189" i="14"/>
  <c r="O200" i="14"/>
  <c r="G198" i="14"/>
  <c r="H198" i="14" s="1"/>
  <c r="J198" i="14" s="1"/>
  <c r="G202" i="14"/>
  <c r="H202" i="14" s="1"/>
  <c r="J202" i="14" s="1"/>
  <c r="O197" i="14"/>
  <c r="G197" i="14"/>
  <c r="P273" i="14" a="1"/>
  <c r="P273" i="14" s="1"/>
  <c r="AA268" i="14" s="1"/>
  <c r="P274" i="14" a="1"/>
  <c r="P274" i="14" s="1"/>
  <c r="P277" i="14" a="1"/>
  <c r="P277" i="14" s="1"/>
  <c r="I276" i="14"/>
  <c r="J276" i="14"/>
  <c r="P279" i="14" a="1"/>
  <c r="P279" i="14" s="1"/>
  <c r="I284" i="14"/>
  <c r="J284" i="14"/>
  <c r="G41" i="14"/>
  <c r="H41" i="14" s="1"/>
  <c r="J41" i="14" s="1"/>
  <c r="G32" i="14"/>
  <c r="H32" i="14" s="1"/>
  <c r="G60" i="14"/>
  <c r="H60" i="14" s="1"/>
  <c r="I60" i="14" s="1"/>
  <c r="O60" i="14"/>
  <c r="G24" i="14"/>
  <c r="H24" i="14" s="1"/>
  <c r="I24" i="14" s="1"/>
  <c r="K271" i="14"/>
  <c r="P281" i="14" a="1"/>
  <c r="P281" i="14" s="1"/>
  <c r="Q281" i="14" s="1" a="1"/>
  <c r="Q281" i="14" s="1"/>
  <c r="H197" i="14"/>
  <c r="H195" i="14"/>
  <c r="H194" i="14"/>
  <c r="J206" i="14"/>
  <c r="I206" i="14"/>
  <c r="J205" i="14"/>
  <c r="I205" i="14"/>
  <c r="J204" i="14"/>
  <c r="I204" i="14"/>
  <c r="J203" i="14"/>
  <c r="I203" i="14"/>
  <c r="J201" i="14"/>
  <c r="I201" i="14"/>
  <c r="J199" i="14"/>
  <c r="I199" i="14"/>
  <c r="H192" i="14"/>
  <c r="H191" i="14"/>
  <c r="H190" i="14"/>
  <c r="H189" i="14"/>
  <c r="H188" i="14"/>
  <c r="H187" i="14"/>
  <c r="H156" i="10"/>
  <c r="H167" i="10"/>
  <c r="H166" i="10"/>
  <c r="H165" i="10"/>
  <c r="H164" i="10"/>
  <c r="H163" i="10"/>
  <c r="H90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162" i="10"/>
  <c r="H161" i="10"/>
  <c r="H160" i="10"/>
  <c r="H159" i="10"/>
  <c r="H158" i="10"/>
  <c r="H157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86" i="14"/>
  <c r="H185" i="14"/>
  <c r="H184" i="14"/>
  <c r="H182" i="14"/>
  <c r="H180" i="14"/>
  <c r="H179" i="14"/>
  <c r="H178" i="14"/>
  <c r="H177" i="14"/>
  <c r="H176" i="14"/>
  <c r="H175" i="14"/>
  <c r="H173" i="14"/>
  <c r="H172" i="14"/>
  <c r="H171" i="14"/>
  <c r="H170" i="14"/>
  <c r="H168" i="14"/>
  <c r="H166" i="14"/>
  <c r="H164" i="14"/>
  <c r="H163" i="14"/>
  <c r="H162" i="14"/>
  <c r="H161" i="14"/>
  <c r="H160" i="14"/>
  <c r="H159" i="14"/>
  <c r="H157" i="14"/>
  <c r="H156" i="14"/>
  <c r="H155" i="14"/>
  <c r="H154" i="14"/>
  <c r="H152" i="14"/>
  <c r="H151" i="14"/>
  <c r="H150" i="14"/>
  <c r="H148" i="14"/>
  <c r="H147" i="14"/>
  <c r="H146" i="14"/>
  <c r="H145" i="14"/>
  <c r="H143" i="14"/>
  <c r="H142" i="14"/>
  <c r="H141" i="14"/>
  <c r="H140" i="14"/>
  <c r="H139" i="14"/>
  <c r="H138" i="14"/>
  <c r="H136" i="14"/>
  <c r="H134" i="14"/>
  <c r="H131" i="14"/>
  <c r="H130" i="14"/>
  <c r="H129" i="14"/>
  <c r="H128" i="14"/>
  <c r="H127" i="14"/>
  <c r="H125" i="14"/>
  <c r="H124" i="14"/>
  <c r="H123" i="14"/>
  <c r="H122" i="14"/>
  <c r="H121" i="14"/>
  <c r="H120" i="14"/>
  <c r="H118" i="14"/>
  <c r="H116" i="14"/>
  <c r="H115" i="14"/>
  <c r="H114" i="14"/>
  <c r="H113" i="14"/>
  <c r="H112" i="14"/>
  <c r="H111" i="14"/>
  <c r="H109" i="14"/>
  <c r="H108" i="14"/>
  <c r="H107" i="14"/>
  <c r="H106" i="14"/>
  <c r="G93" i="14"/>
  <c r="H93" i="14" s="1"/>
  <c r="O41" i="14"/>
  <c r="G25" i="14"/>
  <c r="H25" i="14" s="1"/>
  <c r="G51" i="14"/>
  <c r="H51" i="14" s="1"/>
  <c r="J51" i="14" s="1"/>
  <c r="O44" i="14"/>
  <c r="O45" i="14"/>
  <c r="G90" i="14"/>
  <c r="H90" i="14" s="1"/>
  <c r="I90" i="14" s="1"/>
  <c r="G91" i="14"/>
  <c r="H91" i="14" s="1"/>
  <c r="J91" i="14" s="1"/>
  <c r="O99" i="14"/>
  <c r="G98" i="14"/>
  <c r="H98" i="14" s="1"/>
  <c r="J98" i="14" s="1"/>
  <c r="G102" i="14"/>
  <c r="H102" i="14" s="1"/>
  <c r="I102" i="14" s="1"/>
  <c r="O83" i="14"/>
  <c r="G42" i="14"/>
  <c r="H42" i="14" s="1"/>
  <c r="O25" i="14"/>
  <c r="O13" i="14"/>
  <c r="O69" i="14"/>
  <c r="G6" i="14"/>
  <c r="H6" i="14" s="1"/>
  <c r="G12" i="14"/>
  <c r="H12" i="14" s="1"/>
  <c r="G9" i="14"/>
  <c r="H9" i="14" s="1"/>
  <c r="J9" i="14" s="1"/>
  <c r="O86" i="14"/>
  <c r="O61" i="14"/>
  <c r="G52" i="14"/>
  <c r="H52" i="14" s="1"/>
  <c r="O17" i="14"/>
  <c r="O10" i="14"/>
  <c r="O16" i="14"/>
  <c r="G36" i="14"/>
  <c r="H36" i="14" s="1"/>
  <c r="J36" i="14" s="1"/>
  <c r="O94" i="14"/>
  <c r="G95" i="14"/>
  <c r="H95" i="14" s="1"/>
  <c r="I95" i="14" s="1"/>
  <c r="G94" i="14"/>
  <c r="H94" i="14" s="1"/>
  <c r="I94" i="14" s="1"/>
  <c r="G73" i="14"/>
  <c r="H73" i="14" s="1"/>
  <c r="I73" i="14" s="1"/>
  <c r="G57" i="14"/>
  <c r="H57" i="14" s="1"/>
  <c r="I57" i="14" s="1"/>
  <c r="O100" i="14"/>
  <c r="G100" i="14"/>
  <c r="H100" i="14" s="1"/>
  <c r="I100" i="14" s="1"/>
  <c r="O92" i="14"/>
  <c r="G99" i="14"/>
  <c r="H99" i="14" s="1"/>
  <c r="J99" i="14" s="1"/>
  <c r="O103" i="14"/>
  <c r="G103" i="14"/>
  <c r="H103" i="14" s="1"/>
  <c r="I103" i="14" s="1"/>
  <c r="O93" i="14"/>
  <c r="O90" i="14"/>
  <c r="O78" i="14"/>
  <c r="G104" i="14"/>
  <c r="H104" i="14" s="1"/>
  <c r="O24" i="14"/>
  <c r="O37" i="14"/>
  <c r="G101" i="14"/>
  <c r="H101" i="14" s="1"/>
  <c r="O95" i="14"/>
  <c r="O57" i="14"/>
  <c r="O97" i="14"/>
  <c r="G96" i="14"/>
  <c r="H96" i="14" s="1"/>
  <c r="O96" i="14"/>
  <c r="O70" i="14"/>
  <c r="O29" i="14"/>
  <c r="G92" i="14"/>
  <c r="H92" i="14" s="1"/>
  <c r="O55" i="14"/>
  <c r="G82" i="14"/>
  <c r="H82" i="14" s="1"/>
  <c r="G45" i="14"/>
  <c r="H45" i="14" s="1"/>
  <c r="J45" i="14" s="1"/>
  <c r="G97" i="14"/>
  <c r="H97" i="14" s="1"/>
  <c r="O101" i="14"/>
  <c r="O91" i="14"/>
  <c r="O104" i="14"/>
  <c r="O46" i="14"/>
  <c r="G22" i="14"/>
  <c r="H22" i="14" s="1"/>
  <c r="O35" i="14"/>
  <c r="G54" i="14"/>
  <c r="H54" i="14" s="1"/>
  <c r="I54" i="14" s="1"/>
  <c r="G88" i="14"/>
  <c r="H88" i="14" s="1"/>
  <c r="O63" i="14"/>
  <c r="O36" i="14"/>
  <c r="G65" i="14"/>
  <c r="H65" i="14" s="1"/>
  <c r="O75" i="14"/>
  <c r="G15" i="14"/>
  <c r="H15" i="14" s="1"/>
  <c r="I98" i="14"/>
  <c r="O50" i="14"/>
  <c r="I91" i="14"/>
  <c r="O32" i="14"/>
  <c r="O14" i="14"/>
  <c r="G16" i="14"/>
  <c r="H16" i="14" s="1"/>
  <c r="J16" i="14" s="1"/>
  <c r="G59" i="14"/>
  <c r="H59" i="14" s="1"/>
  <c r="I59" i="14" s="1"/>
  <c r="G62" i="14"/>
  <c r="H62" i="14" s="1"/>
  <c r="I62" i="14" s="1"/>
  <c r="G46" i="14"/>
  <c r="H46" i="14" s="1"/>
  <c r="G26" i="14"/>
  <c r="H26" i="14" s="1"/>
  <c r="O52" i="14"/>
  <c r="G10" i="14"/>
  <c r="H10" i="14" s="1"/>
  <c r="I10" i="14" s="1"/>
  <c r="G66" i="14"/>
  <c r="H66" i="14" s="1"/>
  <c r="I66" i="14" s="1"/>
  <c r="O66" i="14"/>
  <c r="G61" i="14"/>
  <c r="H61" i="14" s="1"/>
  <c r="J60" i="14"/>
  <c r="K60" i="14" s="1"/>
  <c r="O33" i="14"/>
  <c r="G29" i="14"/>
  <c r="H29" i="14" s="1"/>
  <c r="J29" i="14" s="1"/>
  <c r="G70" i="14"/>
  <c r="H70" i="14" s="1"/>
  <c r="I70" i="14" s="1"/>
  <c r="G33" i="14"/>
  <c r="H33" i="14" s="1"/>
  <c r="J33" i="14" s="1"/>
  <c r="G21" i="14"/>
  <c r="H21" i="14" s="1"/>
  <c r="G79" i="14"/>
  <c r="H79" i="14" s="1"/>
  <c r="O87" i="14"/>
  <c r="O43" i="14"/>
  <c r="O64" i="14"/>
  <c r="G13" i="14"/>
  <c r="H13" i="14" s="1"/>
  <c r="J13" i="14" s="1"/>
  <c r="G40" i="14"/>
  <c r="H40" i="14" s="1"/>
  <c r="I40" i="14" s="1"/>
  <c r="O8" i="14"/>
  <c r="G48" i="14"/>
  <c r="H48" i="14" s="1"/>
  <c r="G89" i="14"/>
  <c r="H89" i="14" s="1"/>
  <c r="O73" i="14"/>
  <c r="O40" i="14"/>
  <c r="O27" i="14"/>
  <c r="G14" i="14"/>
  <c r="H14" i="14" s="1"/>
  <c r="G8" i="14"/>
  <c r="H8" i="14" s="1"/>
  <c r="G86" i="14"/>
  <c r="H86" i="14" s="1"/>
  <c r="G64" i="14"/>
  <c r="H64" i="14" s="1"/>
  <c r="I64" i="14" s="1"/>
  <c r="G20" i="14"/>
  <c r="H20" i="14" s="1"/>
  <c r="I20" i="14" s="1"/>
  <c r="G56" i="14"/>
  <c r="H56" i="14" s="1"/>
  <c r="O28" i="14"/>
  <c r="G87" i="14"/>
  <c r="H87" i="14" s="1"/>
  <c r="G18" i="14"/>
  <c r="H18" i="14" s="1"/>
  <c r="O59" i="14"/>
  <c r="G69" i="14"/>
  <c r="H69" i="14" s="1"/>
  <c r="J69" i="14" s="1"/>
  <c r="G78" i="14"/>
  <c r="H78" i="14" s="1"/>
  <c r="O56" i="14"/>
  <c r="G63" i="14"/>
  <c r="H63" i="14" s="1"/>
  <c r="I63" i="14" s="1"/>
  <c r="G28" i="14"/>
  <c r="H28" i="14" s="1"/>
  <c r="G19" i="14"/>
  <c r="H19" i="14" s="1"/>
  <c r="O53" i="14"/>
  <c r="G17" i="14"/>
  <c r="H17" i="14" s="1"/>
  <c r="O12" i="14"/>
  <c r="G74" i="14"/>
  <c r="H74" i="14" s="1"/>
  <c r="J74" i="14" s="1"/>
  <c r="O20" i="14"/>
  <c r="G83" i="14"/>
  <c r="H83" i="14" s="1"/>
  <c r="O21" i="14"/>
  <c r="O39" i="14"/>
  <c r="O9" i="14"/>
  <c r="O65" i="14"/>
  <c r="O18" i="14"/>
  <c r="G44" i="14"/>
  <c r="H44" i="14" s="1"/>
  <c r="O74" i="14"/>
  <c r="G49" i="14"/>
  <c r="H49" i="14" s="1"/>
  <c r="J49" i="14" s="1"/>
  <c r="O89" i="14"/>
  <c r="O88" i="14"/>
  <c r="G47" i="14"/>
  <c r="H47" i="14" s="1"/>
  <c r="O82" i="14"/>
  <c r="O22" i="14"/>
  <c r="G75" i="14"/>
  <c r="H75" i="14" s="1"/>
  <c r="O79" i="14"/>
  <c r="O31" i="14"/>
  <c r="O6" i="14"/>
  <c r="O51" i="14"/>
  <c r="G37" i="14"/>
  <c r="H37" i="14" s="1"/>
  <c r="J37" i="14" s="1"/>
  <c r="O62" i="14"/>
  <c r="G55" i="14"/>
  <c r="H55" i="14" s="1"/>
  <c r="O23" i="14"/>
  <c r="O54" i="14"/>
  <c r="O85" i="14"/>
  <c r="G84" i="14"/>
  <c r="H84" i="14" s="1"/>
  <c r="O77" i="14"/>
  <c r="O42" i="14"/>
  <c r="O72" i="14"/>
  <c r="G80" i="14"/>
  <c r="H80" i="14" s="1"/>
  <c r="G34" i="14"/>
  <c r="H34" i="14" s="1"/>
  <c r="O30" i="14"/>
  <c r="G11" i="14"/>
  <c r="H11" i="14" s="1"/>
  <c r="G7" i="14"/>
  <c r="H7" i="14" s="1"/>
  <c r="G81" i="14"/>
  <c r="H81" i="14" s="1"/>
  <c r="O81" i="14"/>
  <c r="G77" i="14"/>
  <c r="H77" i="14" s="1"/>
  <c r="G72" i="14"/>
  <c r="H72" i="14" s="1"/>
  <c r="O68" i="14"/>
  <c r="O7" i="14"/>
  <c r="O38" i="14"/>
  <c r="G35" i="14"/>
  <c r="O34" i="14"/>
  <c r="G31" i="14"/>
  <c r="G39" i="14"/>
  <c r="G43" i="14"/>
  <c r="G50" i="14"/>
  <c r="G30" i="14"/>
  <c r="O19" i="14"/>
  <c r="O11" i="14"/>
  <c r="G67" i="14"/>
  <c r="J24" i="14"/>
  <c r="O80" i="14"/>
  <c r="O76" i="14"/>
  <c r="G71" i="14"/>
  <c r="I53" i="14"/>
  <c r="J53" i="14"/>
  <c r="H23" i="14"/>
  <c r="G38" i="14"/>
  <c r="O26" i="14"/>
  <c r="I32" i="14"/>
  <c r="J32" i="14"/>
  <c r="G58" i="14"/>
  <c r="G85" i="14"/>
  <c r="O84" i="14"/>
  <c r="G76" i="14"/>
  <c r="O67" i="14"/>
  <c r="O71" i="14"/>
  <c r="G68" i="14"/>
  <c r="O48" i="14"/>
  <c r="G27" i="14"/>
  <c r="O15" i="14"/>
  <c r="AA232" i="10" l="1"/>
  <c r="AA223" i="10"/>
  <c r="Q181" i="10" a="1"/>
  <c r="Q181" i="10" s="1"/>
  <c r="AA224" i="10"/>
  <c r="S242" i="10"/>
  <c r="AA216" i="10"/>
  <c r="AA234" i="10"/>
  <c r="AA230" i="10"/>
  <c r="Q232" i="10" a="1"/>
  <c r="Q232" i="10" s="1"/>
  <c r="S232" i="10" s="1"/>
  <c r="Q207" i="10" a="1"/>
  <c r="Q207" i="10" s="1"/>
  <c r="R212" i="10"/>
  <c r="S212" i="10"/>
  <c r="Q193" i="10" a="1"/>
  <c r="Q193" i="10" s="1"/>
  <c r="S193" i="10" s="1"/>
  <c r="Q247" i="10" a="1"/>
  <c r="Q247" i="10" s="1"/>
  <c r="K185" i="10"/>
  <c r="P185" i="10" s="1" a="1"/>
  <c r="P185" i="10" s="1"/>
  <c r="Q185" i="10" s="1" a="1"/>
  <c r="Q185" i="10" s="1"/>
  <c r="R185" i="10" s="1"/>
  <c r="Q239" i="10" a="1"/>
  <c r="Q239" i="10" s="1"/>
  <c r="R239" i="10" s="1"/>
  <c r="AA189" i="10"/>
  <c r="AA208" i="10"/>
  <c r="R182" i="10"/>
  <c r="U224" i="10" s="1"/>
  <c r="S182" i="10"/>
  <c r="V224" i="10" s="1"/>
  <c r="AA226" i="10"/>
  <c r="AA225" i="10"/>
  <c r="Q249" i="10" a="1"/>
  <c r="Q249" i="10" s="1"/>
  <c r="R249" i="10" s="1"/>
  <c r="Q251" i="10" a="1"/>
  <c r="Q251" i="10" s="1"/>
  <c r="R251" i="10" s="1"/>
  <c r="Q240" i="10" a="1"/>
  <c r="Q240" i="10" s="1"/>
  <c r="S240" i="10" s="1"/>
  <c r="Q184" i="10" a="1"/>
  <c r="Q184" i="10" s="1"/>
  <c r="K250" i="10"/>
  <c r="P250" i="10" s="1" a="1"/>
  <c r="P250" i="10" s="1"/>
  <c r="S252" i="10"/>
  <c r="R252" i="10"/>
  <c r="AA238" i="10"/>
  <c r="Q248" i="10" a="1"/>
  <c r="Q248" i="10" s="1"/>
  <c r="S206" i="10"/>
  <c r="V198" i="10" s="1"/>
  <c r="R206" i="10"/>
  <c r="U198" i="10" s="1"/>
  <c r="Q176" i="10" a="1"/>
  <c r="Q176" i="10" s="1"/>
  <c r="S176" i="10" s="1"/>
  <c r="V176" i="10" s="1"/>
  <c r="AA176" i="10"/>
  <c r="S249" i="10"/>
  <c r="AA203" i="10"/>
  <c r="Q211" i="10" a="1"/>
  <c r="Q211" i="10" s="1"/>
  <c r="S211" i="10" s="1"/>
  <c r="K205" i="10"/>
  <c r="P205" i="10" s="1" a="1"/>
  <c r="P205" i="10" s="1"/>
  <c r="Q205" i="10" s="1" a="1"/>
  <c r="Q205" i="10" s="1"/>
  <c r="R230" i="10"/>
  <c r="S230" i="10"/>
  <c r="K187" i="10"/>
  <c r="P187" i="10" s="1" a="1"/>
  <c r="P187" i="10" s="1"/>
  <c r="AA187" i="10" s="1"/>
  <c r="R214" i="10"/>
  <c r="S214" i="10"/>
  <c r="S238" i="10"/>
  <c r="R238" i="10"/>
  <c r="R234" i="10"/>
  <c r="S234" i="10"/>
  <c r="R189" i="10"/>
  <c r="S189" i="10"/>
  <c r="Q215" i="10" a="1"/>
  <c r="Q215" i="10" s="1"/>
  <c r="R170" i="10"/>
  <c r="S170" i="10"/>
  <c r="R241" i="10"/>
  <c r="U241" i="10" s="1"/>
  <c r="S241" i="10"/>
  <c r="V241" i="10" s="1"/>
  <c r="K201" i="10"/>
  <c r="P201" i="10" s="1" a="1"/>
  <c r="P201" i="10" s="1"/>
  <c r="Q243" i="10" a="1"/>
  <c r="Q243" i="10" s="1"/>
  <c r="R216" i="10"/>
  <c r="S216" i="10"/>
  <c r="R184" i="10"/>
  <c r="S184" i="10"/>
  <c r="R183" i="10"/>
  <c r="S183" i="10"/>
  <c r="AA199" i="10"/>
  <c r="Q199" i="10" a="1"/>
  <c r="Q199" i="10" s="1"/>
  <c r="R235" i="10"/>
  <c r="S235" i="10"/>
  <c r="R237" i="10"/>
  <c r="S237" i="10"/>
  <c r="R168" i="10"/>
  <c r="S168" i="10"/>
  <c r="S239" i="10"/>
  <c r="S204" i="10"/>
  <c r="R204" i="10"/>
  <c r="Q188" i="10" a="1"/>
  <c r="Q188" i="10" s="1"/>
  <c r="K200" i="10"/>
  <c r="P200" i="10" s="1" a="1"/>
  <c r="P200" i="10" s="1"/>
  <c r="AA215" i="10" s="1"/>
  <c r="R190" i="10"/>
  <c r="S190" i="10"/>
  <c r="K197" i="10"/>
  <c r="P197" i="10" s="1" a="1"/>
  <c r="P197" i="10" s="1"/>
  <c r="K175" i="10"/>
  <c r="P175" i="10" s="1" a="1"/>
  <c r="P175" i="10" s="1"/>
  <c r="K196" i="10"/>
  <c r="P196" i="10" s="1" a="1"/>
  <c r="P196" i="10" s="1"/>
  <c r="R186" i="10"/>
  <c r="S186" i="10"/>
  <c r="K179" i="10"/>
  <c r="P179" i="10" s="1" a="1"/>
  <c r="P179" i="10" s="1"/>
  <c r="AA231" i="10" s="1"/>
  <c r="AA180" i="10"/>
  <c r="Q180" i="10" a="1"/>
  <c r="Q180" i="10" s="1"/>
  <c r="Q195" i="10" a="1"/>
  <c r="Q195" i="10" s="1"/>
  <c r="AA194" i="10"/>
  <c r="Q194" i="10" a="1"/>
  <c r="Q194" i="10" s="1"/>
  <c r="R193" i="10"/>
  <c r="AA173" i="10"/>
  <c r="Q173" i="10" a="1"/>
  <c r="Q173" i="10" s="1"/>
  <c r="Q210" i="10" a="1"/>
  <c r="Q210" i="10" s="1"/>
  <c r="AA172" i="10"/>
  <c r="Q172" i="10" a="1"/>
  <c r="Q172" i="10" s="1"/>
  <c r="K191" i="10"/>
  <c r="P191" i="10" s="1" a="1"/>
  <c r="P191" i="10" s="1"/>
  <c r="S220" i="10"/>
  <c r="V220" i="10" s="1"/>
  <c r="R220" i="10"/>
  <c r="U220" i="10" s="1"/>
  <c r="R211" i="10"/>
  <c r="K209" i="10"/>
  <c r="P209" i="10" s="1" a="1"/>
  <c r="P209" i="10" s="1"/>
  <c r="AA204" i="10" s="1"/>
  <c r="S217" i="10"/>
  <c r="R217" i="10"/>
  <c r="S174" i="10"/>
  <c r="R174" i="10"/>
  <c r="R245" i="10"/>
  <c r="S245" i="10"/>
  <c r="Q231" i="10" a="1"/>
  <c r="Q231" i="10" s="1"/>
  <c r="Q177" i="10" a="1"/>
  <c r="Q177" i="10" s="1"/>
  <c r="AA177" i="10"/>
  <c r="AA178" i="10"/>
  <c r="Q178" i="10" a="1"/>
  <c r="Q178" i="10" s="1"/>
  <c r="S236" i="10"/>
  <c r="R236" i="10"/>
  <c r="K171" i="10"/>
  <c r="P171" i="10" s="1" a="1"/>
  <c r="P171" i="10" s="1"/>
  <c r="AA243" i="10" s="1"/>
  <c r="S247" i="10"/>
  <c r="R247" i="10"/>
  <c r="S251" i="10"/>
  <c r="R253" i="10"/>
  <c r="S253" i="10"/>
  <c r="S213" i="10"/>
  <c r="V213" i="10" s="1"/>
  <c r="R213" i="10"/>
  <c r="U213" i="10" s="1"/>
  <c r="K224" i="14"/>
  <c r="P224" i="14" s="1" a="1"/>
  <c r="P224" i="14" s="1"/>
  <c r="R232" i="14"/>
  <c r="S232" i="14"/>
  <c r="K220" i="14"/>
  <c r="P220" i="14" s="1" a="1"/>
  <c r="P220" i="14" s="1"/>
  <c r="K204" i="14"/>
  <c r="K206" i="14"/>
  <c r="Q218" i="14" a="1"/>
  <c r="Q218" i="14" s="1"/>
  <c r="AA218" i="14"/>
  <c r="V212" i="14"/>
  <c r="Q228" i="14" a="1"/>
  <c r="Q228" i="14" s="1"/>
  <c r="AA228" i="14"/>
  <c r="K230" i="14"/>
  <c r="P230" i="14" s="1" a="1"/>
  <c r="P230" i="14" s="1"/>
  <c r="Q230" i="14" s="1" a="1"/>
  <c r="Q230" i="14" s="1"/>
  <c r="R243" i="14"/>
  <c r="U243" i="14" s="1"/>
  <c r="S243" i="14"/>
  <c r="V243" i="14" s="1"/>
  <c r="V247" i="14"/>
  <c r="V208" i="14"/>
  <c r="V213" i="14"/>
  <c r="V241" i="14"/>
  <c r="V223" i="14"/>
  <c r="V249" i="14"/>
  <c r="S240" i="14"/>
  <c r="V235" i="14" s="1"/>
  <c r="R240" i="14"/>
  <c r="U235" i="14" s="1"/>
  <c r="V231" i="14"/>
  <c r="U245" i="14"/>
  <c r="V245" i="14"/>
  <c r="U241" i="14"/>
  <c r="AA274" i="14"/>
  <c r="U239" i="14"/>
  <c r="V229" i="14"/>
  <c r="R222" i="14"/>
  <c r="U217" i="14" s="1"/>
  <c r="S222" i="14"/>
  <c r="V217" i="14" s="1"/>
  <c r="U231" i="14"/>
  <c r="U249" i="14"/>
  <c r="V239" i="14"/>
  <c r="AA273" i="14"/>
  <c r="U223" i="14"/>
  <c r="U247" i="14"/>
  <c r="U208" i="14"/>
  <c r="U213" i="14"/>
  <c r="U229" i="14"/>
  <c r="V233" i="14"/>
  <c r="K280" i="14"/>
  <c r="Q275" i="14" a="1"/>
  <c r="Q275" i="14" s="1"/>
  <c r="I200" i="14"/>
  <c r="K200" i="14" s="1"/>
  <c r="I202" i="14"/>
  <c r="K202" i="14" s="1"/>
  <c r="P202" i="14" s="1" a="1"/>
  <c r="P202" i="14" s="1"/>
  <c r="Q273" i="14" a="1"/>
  <c r="Q273" i="14" s="1"/>
  <c r="Q278" i="14" a="1"/>
  <c r="Q278" i="14" s="1"/>
  <c r="K284" i="14"/>
  <c r="P284" i="14" s="1" a="1"/>
  <c r="P284" i="14" s="1"/>
  <c r="Q277" i="14" a="1"/>
  <c r="Q277" i="14" s="1"/>
  <c r="Q283" i="14" a="1"/>
  <c r="Q283" i="14" s="1"/>
  <c r="P60" i="14" a="1"/>
  <c r="P60" i="14" s="1"/>
  <c r="AA60" i="14" s="1"/>
  <c r="Q279" i="14" a="1"/>
  <c r="Q279" i="14" s="1"/>
  <c r="S279" i="14" s="1"/>
  <c r="Q274" i="14" a="1"/>
  <c r="Q274" i="14" s="1"/>
  <c r="S274" i="14" s="1"/>
  <c r="V269" i="14" s="1"/>
  <c r="AA269" i="14"/>
  <c r="R275" i="14"/>
  <c r="S275" i="14"/>
  <c r="R274" i="14"/>
  <c r="U269" i="14" s="1"/>
  <c r="R273" i="14"/>
  <c r="U268" i="14" s="1"/>
  <c r="S273" i="14"/>
  <c r="V268" i="14" s="1"/>
  <c r="I198" i="14"/>
  <c r="K198" i="14" s="1"/>
  <c r="P198" i="14" s="1" a="1"/>
  <c r="P198" i="14" s="1"/>
  <c r="AA279" i="14" s="1"/>
  <c r="R283" i="14"/>
  <c r="S283" i="14"/>
  <c r="R277" i="14"/>
  <c r="S277" i="14"/>
  <c r="I41" i="14"/>
  <c r="K41" i="14" s="1"/>
  <c r="P41" i="14" s="1" a="1"/>
  <c r="P41" i="14" s="1"/>
  <c r="AA41" i="14" s="1"/>
  <c r="K276" i="14"/>
  <c r="K272" i="14"/>
  <c r="R281" i="14"/>
  <c r="S281" i="14"/>
  <c r="R278" i="14"/>
  <c r="U273" i="14" s="1"/>
  <c r="S278" i="14"/>
  <c r="V273" i="14" s="1"/>
  <c r="P280" i="14" a="1"/>
  <c r="P280" i="14" s="1"/>
  <c r="K199" i="14"/>
  <c r="K201" i="14"/>
  <c r="P201" i="14" s="1" a="1"/>
  <c r="P201" i="14" s="1"/>
  <c r="K203" i="14"/>
  <c r="P203" i="14" s="1" a="1"/>
  <c r="P203" i="14" s="1"/>
  <c r="K205" i="14"/>
  <c r="P205" i="14" s="1" a="1"/>
  <c r="P205" i="14" s="1"/>
  <c r="AA205" i="14" s="1"/>
  <c r="P271" i="14" a="1"/>
  <c r="P271" i="14" s="1"/>
  <c r="AA266" i="14" s="1"/>
  <c r="P282" i="14" a="1"/>
  <c r="P282" i="14" s="1"/>
  <c r="Q282" i="14" s="1" a="1"/>
  <c r="Q282" i="14" s="1"/>
  <c r="I194" i="14"/>
  <c r="J194" i="14"/>
  <c r="I195" i="14"/>
  <c r="J195" i="14"/>
  <c r="I196" i="14"/>
  <c r="J196" i="14"/>
  <c r="I197" i="14"/>
  <c r="J197" i="14"/>
  <c r="Q198" i="14" a="1"/>
  <c r="Q198" i="14" s="1"/>
  <c r="P199" i="14" a="1"/>
  <c r="P199" i="14" s="1"/>
  <c r="P200" i="14" a="1"/>
  <c r="P200" i="14" s="1"/>
  <c r="P204" i="14" a="1"/>
  <c r="P204" i="14" s="1"/>
  <c r="P206" i="14" a="1"/>
  <c r="P206" i="14" s="1"/>
  <c r="I187" i="14"/>
  <c r="J187" i="14"/>
  <c r="I188" i="14"/>
  <c r="J188" i="14"/>
  <c r="I189" i="14"/>
  <c r="J189" i="14"/>
  <c r="I190" i="14"/>
  <c r="J190" i="14"/>
  <c r="I191" i="14"/>
  <c r="J191" i="14"/>
  <c r="I192" i="14"/>
  <c r="J192" i="14"/>
  <c r="I193" i="14"/>
  <c r="J193" i="14"/>
  <c r="I163" i="10"/>
  <c r="J163" i="10"/>
  <c r="I164" i="10"/>
  <c r="J164" i="10"/>
  <c r="I165" i="10"/>
  <c r="J165" i="10"/>
  <c r="I166" i="10"/>
  <c r="J166" i="10"/>
  <c r="I167" i="10"/>
  <c r="J167" i="10"/>
  <c r="I156" i="10"/>
  <c r="J156" i="10"/>
  <c r="I141" i="10"/>
  <c r="J141" i="10"/>
  <c r="I142" i="10"/>
  <c r="J142" i="10"/>
  <c r="I143" i="10"/>
  <c r="J143" i="10"/>
  <c r="I144" i="10"/>
  <c r="J144" i="10"/>
  <c r="I145" i="10"/>
  <c r="J145" i="10"/>
  <c r="I146" i="10"/>
  <c r="J146" i="10"/>
  <c r="I147" i="10"/>
  <c r="J147" i="10"/>
  <c r="I148" i="10"/>
  <c r="J148" i="10"/>
  <c r="I149" i="10"/>
  <c r="J149" i="10"/>
  <c r="I150" i="10"/>
  <c r="J150" i="10"/>
  <c r="I151" i="10"/>
  <c r="J151" i="10"/>
  <c r="I152" i="10"/>
  <c r="J152" i="10"/>
  <c r="I153" i="10"/>
  <c r="J153" i="10"/>
  <c r="I154" i="10"/>
  <c r="J154" i="10"/>
  <c r="I155" i="10"/>
  <c r="J155" i="10"/>
  <c r="I157" i="10"/>
  <c r="J157" i="10"/>
  <c r="I158" i="10"/>
  <c r="J158" i="10"/>
  <c r="I159" i="10"/>
  <c r="J159" i="10"/>
  <c r="I160" i="10"/>
  <c r="J160" i="10"/>
  <c r="I161" i="10"/>
  <c r="J161" i="10"/>
  <c r="I162" i="10"/>
  <c r="J162" i="10"/>
  <c r="I91" i="10"/>
  <c r="J91" i="10"/>
  <c r="I92" i="10"/>
  <c r="J92" i="10"/>
  <c r="I93" i="10"/>
  <c r="J93" i="10"/>
  <c r="I94" i="10"/>
  <c r="J94" i="10"/>
  <c r="I95" i="10"/>
  <c r="J95" i="10"/>
  <c r="I96" i="10"/>
  <c r="J96" i="10"/>
  <c r="I97" i="10"/>
  <c r="J97" i="10"/>
  <c r="I98" i="10"/>
  <c r="J98" i="10"/>
  <c r="I99" i="10"/>
  <c r="J99" i="10"/>
  <c r="I100" i="10"/>
  <c r="J100" i="10"/>
  <c r="I101" i="10"/>
  <c r="J101" i="10"/>
  <c r="I102" i="10"/>
  <c r="J102" i="10"/>
  <c r="I103" i="10"/>
  <c r="J103" i="10"/>
  <c r="I104" i="10"/>
  <c r="J104" i="10"/>
  <c r="I105" i="10"/>
  <c r="J105" i="10"/>
  <c r="I106" i="10"/>
  <c r="J106" i="10"/>
  <c r="I107" i="10"/>
  <c r="J107" i="10"/>
  <c r="I108" i="10"/>
  <c r="J108" i="10"/>
  <c r="I109" i="10"/>
  <c r="J109" i="10"/>
  <c r="I110" i="10"/>
  <c r="J110" i="10"/>
  <c r="I111" i="10"/>
  <c r="J111" i="10"/>
  <c r="I112" i="10"/>
  <c r="J112" i="10"/>
  <c r="I113" i="10"/>
  <c r="J113" i="10"/>
  <c r="I114" i="10"/>
  <c r="J114" i="10"/>
  <c r="I115" i="10"/>
  <c r="J115" i="10"/>
  <c r="I116" i="10"/>
  <c r="J116" i="10"/>
  <c r="I117" i="10"/>
  <c r="J117" i="10"/>
  <c r="I118" i="10"/>
  <c r="J118" i="10"/>
  <c r="I119" i="10"/>
  <c r="J119" i="10"/>
  <c r="I120" i="10"/>
  <c r="J120" i="10"/>
  <c r="I121" i="10"/>
  <c r="J121" i="10"/>
  <c r="I122" i="10"/>
  <c r="J122" i="10"/>
  <c r="I123" i="10"/>
  <c r="J123" i="10"/>
  <c r="I124" i="10"/>
  <c r="J124" i="10"/>
  <c r="I125" i="10"/>
  <c r="J125" i="10"/>
  <c r="I126" i="10"/>
  <c r="J126" i="10"/>
  <c r="I127" i="10"/>
  <c r="J127" i="10"/>
  <c r="I128" i="10"/>
  <c r="J128" i="10"/>
  <c r="I129" i="10"/>
  <c r="J129" i="10"/>
  <c r="I130" i="10"/>
  <c r="J130" i="10"/>
  <c r="I131" i="10"/>
  <c r="J131" i="10"/>
  <c r="I132" i="10"/>
  <c r="J132" i="10"/>
  <c r="I133" i="10"/>
  <c r="J133" i="10"/>
  <c r="I134" i="10"/>
  <c r="J134" i="10"/>
  <c r="I135" i="10"/>
  <c r="J135" i="10"/>
  <c r="I136" i="10"/>
  <c r="J136" i="10"/>
  <c r="I137" i="10"/>
  <c r="J137" i="10"/>
  <c r="I138" i="10"/>
  <c r="J138" i="10"/>
  <c r="I139" i="10"/>
  <c r="J139" i="10"/>
  <c r="I140" i="10"/>
  <c r="J140" i="10"/>
  <c r="I90" i="10"/>
  <c r="J90" i="10"/>
  <c r="I105" i="14"/>
  <c r="J105" i="14"/>
  <c r="I106" i="14"/>
  <c r="J106" i="14"/>
  <c r="I107" i="14"/>
  <c r="J107" i="14"/>
  <c r="I108" i="14"/>
  <c r="J108" i="14"/>
  <c r="I109" i="14"/>
  <c r="J109" i="14"/>
  <c r="I110" i="14"/>
  <c r="J110" i="14"/>
  <c r="I111" i="14"/>
  <c r="J111" i="14"/>
  <c r="I112" i="14"/>
  <c r="J112" i="14"/>
  <c r="I113" i="14"/>
  <c r="J113" i="14"/>
  <c r="I114" i="14"/>
  <c r="J114" i="14"/>
  <c r="I115" i="14"/>
  <c r="J115" i="14"/>
  <c r="I116" i="14"/>
  <c r="J116" i="14"/>
  <c r="I117" i="14"/>
  <c r="J117" i="14"/>
  <c r="I118" i="14"/>
  <c r="J118" i="14"/>
  <c r="I119" i="14"/>
  <c r="J119" i="14"/>
  <c r="I120" i="14"/>
  <c r="J120" i="14"/>
  <c r="I121" i="14"/>
  <c r="J121" i="14"/>
  <c r="I122" i="14"/>
  <c r="J122" i="14"/>
  <c r="I123" i="14"/>
  <c r="J123" i="14"/>
  <c r="I124" i="14"/>
  <c r="J124" i="14"/>
  <c r="I125" i="14"/>
  <c r="J125" i="14"/>
  <c r="I126" i="14"/>
  <c r="J126" i="14"/>
  <c r="I127" i="14"/>
  <c r="J127" i="14"/>
  <c r="I128" i="14"/>
  <c r="J128" i="14"/>
  <c r="I129" i="14"/>
  <c r="J129" i="14"/>
  <c r="I130" i="14"/>
  <c r="J130" i="14"/>
  <c r="I131" i="14"/>
  <c r="J131" i="14"/>
  <c r="I132" i="14"/>
  <c r="J132" i="14"/>
  <c r="I133" i="14"/>
  <c r="J133" i="14"/>
  <c r="I134" i="14"/>
  <c r="J134" i="14"/>
  <c r="I135" i="14"/>
  <c r="J135" i="14"/>
  <c r="I136" i="14"/>
  <c r="J136" i="14"/>
  <c r="I137" i="14"/>
  <c r="J137" i="14"/>
  <c r="I138" i="14"/>
  <c r="J138" i="14"/>
  <c r="I139" i="14"/>
  <c r="J139" i="14"/>
  <c r="I140" i="14"/>
  <c r="J140" i="14"/>
  <c r="I141" i="14"/>
  <c r="J141" i="14"/>
  <c r="I142" i="14"/>
  <c r="J142" i="14"/>
  <c r="I143" i="14"/>
  <c r="J143" i="14"/>
  <c r="I144" i="14"/>
  <c r="J144" i="14"/>
  <c r="I145" i="14"/>
  <c r="J145" i="14"/>
  <c r="I146" i="14"/>
  <c r="J146" i="14"/>
  <c r="I147" i="14"/>
  <c r="J147" i="14"/>
  <c r="I148" i="14"/>
  <c r="J148" i="14"/>
  <c r="I149" i="14"/>
  <c r="J149" i="14"/>
  <c r="I150" i="14"/>
  <c r="J150" i="14"/>
  <c r="I151" i="14"/>
  <c r="J151" i="14"/>
  <c r="I152" i="14"/>
  <c r="J152" i="14"/>
  <c r="I153" i="14"/>
  <c r="J153" i="14"/>
  <c r="I154" i="14"/>
  <c r="J154" i="14"/>
  <c r="I155" i="14"/>
  <c r="J155" i="14"/>
  <c r="I156" i="14"/>
  <c r="J156" i="14"/>
  <c r="I157" i="14"/>
  <c r="J157" i="14"/>
  <c r="I158" i="14"/>
  <c r="J158" i="14"/>
  <c r="I159" i="14"/>
  <c r="J159" i="14"/>
  <c r="I160" i="14"/>
  <c r="J160" i="14"/>
  <c r="I161" i="14"/>
  <c r="J161" i="14"/>
  <c r="I162" i="14"/>
  <c r="J162" i="14"/>
  <c r="I163" i="14"/>
  <c r="J163" i="14"/>
  <c r="I164" i="14"/>
  <c r="J164" i="14"/>
  <c r="I165" i="14"/>
  <c r="J165" i="14"/>
  <c r="I166" i="14"/>
  <c r="J166" i="14"/>
  <c r="I167" i="14"/>
  <c r="J167" i="14"/>
  <c r="I168" i="14"/>
  <c r="J168" i="14"/>
  <c r="I169" i="14"/>
  <c r="J169" i="14"/>
  <c r="I170" i="14"/>
  <c r="J170" i="14"/>
  <c r="I171" i="14"/>
  <c r="J171" i="14"/>
  <c r="I172" i="14"/>
  <c r="J172" i="14"/>
  <c r="I173" i="14"/>
  <c r="J173" i="14"/>
  <c r="I174" i="14"/>
  <c r="J174" i="14"/>
  <c r="I175" i="14"/>
  <c r="J175" i="14"/>
  <c r="I176" i="14"/>
  <c r="J176" i="14"/>
  <c r="I177" i="14"/>
  <c r="J177" i="14"/>
  <c r="I178" i="14"/>
  <c r="J178" i="14"/>
  <c r="I179" i="14"/>
  <c r="J179" i="14"/>
  <c r="I180" i="14"/>
  <c r="J180" i="14"/>
  <c r="I181" i="14"/>
  <c r="J181" i="14"/>
  <c r="I182" i="14"/>
  <c r="J182" i="14"/>
  <c r="I183" i="14"/>
  <c r="J183" i="14"/>
  <c r="I184" i="14"/>
  <c r="J184" i="14"/>
  <c r="I185" i="14"/>
  <c r="J185" i="14"/>
  <c r="I186" i="14"/>
  <c r="J186" i="14"/>
  <c r="I51" i="14"/>
  <c r="K51" i="14" s="1"/>
  <c r="J102" i="14"/>
  <c r="I36" i="14"/>
  <c r="J73" i="14"/>
  <c r="K73" i="14" s="1"/>
  <c r="P73" i="14" s="1" a="1"/>
  <c r="P73" i="14" s="1"/>
  <c r="AA73" i="14" s="1"/>
  <c r="J90" i="14"/>
  <c r="K90" i="14" s="1"/>
  <c r="P90" i="14" s="1" a="1"/>
  <c r="P90" i="14" s="1"/>
  <c r="AA90" i="14" s="1"/>
  <c r="J94" i="14"/>
  <c r="J62" i="14"/>
  <c r="K62" i="14" s="1"/>
  <c r="P62" i="14" s="1" a="1"/>
  <c r="P62" i="14" s="1"/>
  <c r="AA62" i="14" s="1"/>
  <c r="I9" i="14"/>
  <c r="K9" i="14" s="1"/>
  <c r="P9" i="14" s="1" a="1"/>
  <c r="P9" i="14" s="1"/>
  <c r="I29" i="14"/>
  <c r="K29" i="14" s="1"/>
  <c r="P29" i="14" s="1" a="1"/>
  <c r="P29" i="14" s="1"/>
  <c r="AA29" i="14" s="1"/>
  <c r="J57" i="14"/>
  <c r="I99" i="14"/>
  <c r="K99" i="14" s="1"/>
  <c r="P99" i="14" s="1" a="1"/>
  <c r="P99" i="14" s="1"/>
  <c r="AA99" i="14" s="1"/>
  <c r="J95" i="14"/>
  <c r="J103" i="14"/>
  <c r="K103" i="14" s="1"/>
  <c r="P103" i="14" s="1" a="1"/>
  <c r="P103" i="14" s="1"/>
  <c r="AA103" i="14" s="1"/>
  <c r="J59" i="14"/>
  <c r="K59" i="14" s="1"/>
  <c r="P59" i="14" s="1" a="1"/>
  <c r="P59" i="14" s="1"/>
  <c r="J40" i="14"/>
  <c r="K40" i="14" s="1"/>
  <c r="P40" i="14" s="1" a="1"/>
  <c r="P40" i="14" s="1"/>
  <c r="AA40" i="14" s="1"/>
  <c r="J100" i="14"/>
  <c r="K100" i="14" s="1"/>
  <c r="P100" i="14" s="1" a="1"/>
  <c r="P100" i="14" s="1"/>
  <c r="AA100" i="14" s="1"/>
  <c r="I69" i="14"/>
  <c r="K69" i="14" s="1"/>
  <c r="P69" i="14" s="1" a="1"/>
  <c r="P69" i="14" s="1"/>
  <c r="AA69" i="14" s="1"/>
  <c r="J10" i="14"/>
  <c r="K10" i="14" s="1"/>
  <c r="P10" i="14" s="1" a="1"/>
  <c r="P10" i="14" s="1"/>
  <c r="K98" i="14"/>
  <c r="P98" i="14" s="1" a="1"/>
  <c r="P98" i="14" s="1"/>
  <c r="AA98" i="14" s="1"/>
  <c r="J104" i="14"/>
  <c r="I104" i="14"/>
  <c r="K102" i="14"/>
  <c r="P102" i="14" s="1" a="1"/>
  <c r="P102" i="14" s="1"/>
  <c r="AA102" i="14" s="1"/>
  <c r="J70" i="14"/>
  <c r="K70" i="14" s="1"/>
  <c r="P70" i="14" s="1" a="1"/>
  <c r="P70" i="14" s="1"/>
  <c r="AA70" i="14" s="1"/>
  <c r="J20" i="14"/>
  <c r="K20" i="14" s="1"/>
  <c r="P20" i="14" s="1" a="1"/>
  <c r="P20" i="14" s="1"/>
  <c r="AA20" i="14" s="1"/>
  <c r="I45" i="14"/>
  <c r="K45" i="14" s="1"/>
  <c r="P45" i="14" s="1" a="1"/>
  <c r="P45" i="14" s="1"/>
  <c r="AA45" i="14" s="1"/>
  <c r="I13" i="14"/>
  <c r="K13" i="14" s="1"/>
  <c r="P13" i="14" s="1" a="1"/>
  <c r="P13" i="14" s="1"/>
  <c r="I37" i="14"/>
  <c r="K37" i="14" s="1"/>
  <c r="P37" i="14" s="1" a="1"/>
  <c r="P37" i="14" s="1"/>
  <c r="AA37" i="14" s="1"/>
  <c r="I49" i="14"/>
  <c r="K49" i="14" s="1"/>
  <c r="P49" i="14" s="1" a="1"/>
  <c r="P49" i="14" s="1"/>
  <c r="AA49" i="14" s="1"/>
  <c r="J92" i="14"/>
  <c r="I92" i="14"/>
  <c r="J96" i="14"/>
  <c r="I96" i="14"/>
  <c r="J63" i="14"/>
  <c r="K63" i="14" s="1"/>
  <c r="P63" i="14" s="1" a="1"/>
  <c r="P63" i="14" s="1"/>
  <c r="AA63" i="14" s="1"/>
  <c r="J54" i="14"/>
  <c r="K54" i="14" s="1"/>
  <c r="P54" i="14" s="1" a="1"/>
  <c r="P54" i="14" s="1"/>
  <c r="K94" i="14"/>
  <c r="P94" i="14" s="1" a="1"/>
  <c r="P94" i="14" s="1"/>
  <c r="K95" i="14"/>
  <c r="P95" i="14" s="1" a="1"/>
  <c r="P95" i="14" s="1"/>
  <c r="AA95" i="14" s="1"/>
  <c r="K91" i="14"/>
  <c r="P91" i="14" s="1" a="1"/>
  <c r="P91" i="14" s="1"/>
  <c r="AA91" i="14" s="1"/>
  <c r="J66" i="14"/>
  <c r="K66" i="14" s="1"/>
  <c r="P66" i="14" s="1" a="1"/>
  <c r="P66" i="14" s="1"/>
  <c r="AA66" i="14" s="1"/>
  <c r="J64" i="14"/>
  <c r="K64" i="14" s="1"/>
  <c r="P64" i="14" s="1" a="1"/>
  <c r="P64" i="14" s="1"/>
  <c r="AA64" i="14" s="1"/>
  <c r="I74" i="14"/>
  <c r="K74" i="14" s="1"/>
  <c r="P74" i="14" s="1" a="1"/>
  <c r="P74" i="14" s="1"/>
  <c r="AA74" i="14" s="1"/>
  <c r="J101" i="14"/>
  <c r="I101" i="14"/>
  <c r="I16" i="14"/>
  <c r="K16" i="14" s="1"/>
  <c r="P16" i="14" s="1" a="1"/>
  <c r="P16" i="14" s="1"/>
  <c r="AA16" i="14" s="1"/>
  <c r="J93" i="14"/>
  <c r="I93" i="14"/>
  <c r="J97" i="14"/>
  <c r="I97" i="14"/>
  <c r="I33" i="14"/>
  <c r="K33" i="14" s="1"/>
  <c r="P33" i="14" s="1" a="1"/>
  <c r="P33" i="14" s="1"/>
  <c r="AA33" i="14" s="1"/>
  <c r="P51" i="14" a="1"/>
  <c r="P51" i="14" s="1"/>
  <c r="AA51" i="14" s="1"/>
  <c r="K53" i="14"/>
  <c r="P53" i="14" s="1" a="1"/>
  <c r="P53" i="14" s="1"/>
  <c r="AA53" i="14" s="1"/>
  <c r="K36" i="14"/>
  <c r="P36" i="14" s="1" a="1"/>
  <c r="P36" i="14" s="1"/>
  <c r="AA36" i="14" s="1"/>
  <c r="Q60" i="14" a="1"/>
  <c r="Q60" i="14" s="1"/>
  <c r="H38" i="14"/>
  <c r="I25" i="14"/>
  <c r="J25" i="14"/>
  <c r="H71" i="14"/>
  <c r="J89" i="14"/>
  <c r="I89" i="14"/>
  <c r="I46" i="14"/>
  <c r="J46" i="14"/>
  <c r="H67" i="14"/>
  <c r="I83" i="14"/>
  <c r="J83" i="14"/>
  <c r="H50" i="14"/>
  <c r="H31" i="14"/>
  <c r="J19" i="14"/>
  <c r="I19" i="14"/>
  <c r="J55" i="14"/>
  <c r="I55" i="14"/>
  <c r="J23" i="14"/>
  <c r="I23" i="14"/>
  <c r="I88" i="14"/>
  <c r="J88" i="14"/>
  <c r="J14" i="14"/>
  <c r="I14" i="14"/>
  <c r="J11" i="14"/>
  <c r="I11" i="14"/>
  <c r="J72" i="14"/>
  <c r="I72" i="14"/>
  <c r="J86" i="14"/>
  <c r="I86" i="14"/>
  <c r="H68" i="14"/>
  <c r="J61" i="14"/>
  <c r="I61" i="14"/>
  <c r="H85" i="14"/>
  <c r="K57" i="14"/>
  <c r="P57" i="14" s="1" a="1"/>
  <c r="P57" i="14" s="1"/>
  <c r="AA57" i="14" s="1"/>
  <c r="J22" i="14"/>
  <c r="I22" i="14"/>
  <c r="I44" i="14"/>
  <c r="J44" i="14"/>
  <c r="J47" i="14"/>
  <c r="I47" i="14"/>
  <c r="J78" i="14"/>
  <c r="I78" i="14"/>
  <c r="H43" i="14"/>
  <c r="J18" i="14"/>
  <c r="I18" i="14"/>
  <c r="I26" i="14"/>
  <c r="J26" i="14"/>
  <c r="J12" i="14"/>
  <c r="I12" i="14"/>
  <c r="I28" i="14"/>
  <c r="J28" i="14"/>
  <c r="H76" i="14"/>
  <c r="I82" i="14"/>
  <c r="J82" i="14"/>
  <c r="H58" i="14"/>
  <c r="J77" i="14"/>
  <c r="I77" i="14"/>
  <c r="I42" i="14"/>
  <c r="J42" i="14"/>
  <c r="J81" i="14"/>
  <c r="I81" i="14"/>
  <c r="H30" i="14"/>
  <c r="J7" i="14"/>
  <c r="I7" i="14"/>
  <c r="H27" i="14"/>
  <c r="I65" i="14"/>
  <c r="J65" i="14"/>
  <c r="J52" i="14"/>
  <c r="I52" i="14"/>
  <c r="I48" i="14"/>
  <c r="J48" i="14"/>
  <c r="I56" i="14"/>
  <c r="J56" i="14"/>
  <c r="I87" i="14"/>
  <c r="J87" i="14"/>
  <c r="K32" i="14"/>
  <c r="P32" i="14" s="1" a="1"/>
  <c r="P32" i="14" s="1"/>
  <c r="AA32" i="14" s="1"/>
  <c r="J15" i="14"/>
  <c r="I15" i="14"/>
  <c r="I84" i="14"/>
  <c r="J84" i="14"/>
  <c r="J6" i="14"/>
  <c r="I6" i="14"/>
  <c r="I75" i="14"/>
  <c r="J75" i="14"/>
  <c r="I79" i="14"/>
  <c r="J79" i="14"/>
  <c r="I34" i="14"/>
  <c r="J34" i="14"/>
  <c r="K24" i="14"/>
  <c r="P24" i="14" s="1" a="1"/>
  <c r="P24" i="14" s="1"/>
  <c r="AA24" i="14" s="1"/>
  <c r="I80" i="14"/>
  <c r="J80" i="14"/>
  <c r="I17" i="14"/>
  <c r="J17" i="14"/>
  <c r="H39" i="14"/>
  <c r="H35" i="14"/>
  <c r="I21" i="14"/>
  <c r="J21" i="14"/>
  <c r="J8" i="14"/>
  <c r="I8" i="14"/>
  <c r="R181" i="10" l="1"/>
  <c r="U181" i="10" s="1"/>
  <c r="S181" i="10"/>
  <c r="V181" i="10" s="1"/>
  <c r="R240" i="10"/>
  <c r="U240" i="10" s="1"/>
  <c r="AA185" i="10"/>
  <c r="S185" i="10"/>
  <c r="V227" i="10" s="1"/>
  <c r="AA227" i="10"/>
  <c r="U185" i="10"/>
  <c r="R232" i="10"/>
  <c r="U227" i="10" s="1"/>
  <c r="R176" i="10"/>
  <c r="U176" i="10" s="1"/>
  <c r="AA205" i="10"/>
  <c r="R207" i="10"/>
  <c r="S207" i="10"/>
  <c r="AA170" i="10"/>
  <c r="V185" i="10"/>
  <c r="AA219" i="10"/>
  <c r="AA186" i="10"/>
  <c r="AA195" i="10"/>
  <c r="AA212" i="10"/>
  <c r="AA174" i="10"/>
  <c r="AA229" i="10"/>
  <c r="AA182" i="10"/>
  <c r="S248" i="10"/>
  <c r="R248" i="10"/>
  <c r="Q250" i="10" a="1"/>
  <c r="Q250" i="10" s="1"/>
  <c r="U221" i="10"/>
  <c r="V225" i="10"/>
  <c r="V218" i="10"/>
  <c r="V208" i="10"/>
  <c r="U235" i="10"/>
  <c r="U225" i="10"/>
  <c r="U184" i="10"/>
  <c r="V221" i="10"/>
  <c r="U208" i="10"/>
  <c r="V235" i="10"/>
  <c r="V240" i="10"/>
  <c r="U218" i="10"/>
  <c r="Q187" i="10" a="1"/>
  <c r="Q187" i="10" s="1"/>
  <c r="V237" i="10"/>
  <c r="V184" i="10"/>
  <c r="V242" i="10"/>
  <c r="V203" i="10"/>
  <c r="U242" i="10"/>
  <c r="U203" i="10"/>
  <c r="AA197" i="10"/>
  <c r="Q197" i="10" a="1"/>
  <c r="Q197" i="10" s="1"/>
  <c r="R173" i="10"/>
  <c r="U168" i="10" s="1"/>
  <c r="S173" i="10"/>
  <c r="V168" i="10" s="1"/>
  <c r="R180" i="10"/>
  <c r="U180" i="10" s="1"/>
  <c r="S180" i="10"/>
  <c r="V180" i="10" s="1"/>
  <c r="R178" i="10"/>
  <c r="U178" i="10" s="1"/>
  <c r="S178" i="10"/>
  <c r="V178" i="10" s="1"/>
  <c r="R231" i="10"/>
  <c r="U226" i="10" s="1"/>
  <c r="S231" i="10"/>
  <c r="V226" i="10" s="1"/>
  <c r="AA209" i="10"/>
  <c r="Q209" i="10" a="1"/>
  <c r="Q209" i="10" s="1"/>
  <c r="R210" i="10"/>
  <c r="S210" i="10"/>
  <c r="S195" i="10"/>
  <c r="V190" i="10" s="1"/>
  <c r="R195" i="10"/>
  <c r="AA179" i="10"/>
  <c r="Q179" i="10" a="1"/>
  <c r="Q179" i="10" s="1"/>
  <c r="Q175" i="10" a="1"/>
  <c r="Q175" i="10" s="1"/>
  <c r="AA200" i="10"/>
  <c r="Q200" i="10" a="1"/>
  <c r="Q200" i="10" s="1"/>
  <c r="S215" i="10"/>
  <c r="R215" i="10"/>
  <c r="Q171" i="10" a="1"/>
  <c r="Q171" i="10" s="1"/>
  <c r="AA171" i="10"/>
  <c r="AA191" i="10"/>
  <c r="Q191" i="10" a="1"/>
  <c r="Q191" i="10" s="1"/>
  <c r="R188" i="10"/>
  <c r="S188" i="10"/>
  <c r="R172" i="10"/>
  <c r="S172" i="10"/>
  <c r="R194" i="10"/>
  <c r="U189" i="10" s="1"/>
  <c r="S194" i="10"/>
  <c r="V189" i="10" s="1"/>
  <c r="R243" i="10"/>
  <c r="S243" i="10"/>
  <c r="S177" i="10"/>
  <c r="V177" i="10" s="1"/>
  <c r="R177" i="10"/>
  <c r="U177" i="10" s="1"/>
  <c r="AA196" i="10"/>
  <c r="Q196" i="10" a="1"/>
  <c r="Q196" i="10" s="1"/>
  <c r="S187" i="10"/>
  <c r="V182" i="10" s="1"/>
  <c r="R187" i="10"/>
  <c r="U182" i="10" s="1"/>
  <c r="S199" i="10"/>
  <c r="V199" i="10" s="1"/>
  <c r="R199" i="10"/>
  <c r="U199" i="10" s="1"/>
  <c r="S205" i="10"/>
  <c r="R205" i="10"/>
  <c r="AA201" i="10"/>
  <c r="Q201" i="10" a="1"/>
  <c r="Q201" i="10" s="1"/>
  <c r="R230" i="14"/>
  <c r="U225" i="14" s="1"/>
  <c r="S230" i="14"/>
  <c r="R228" i="14"/>
  <c r="U228" i="14" s="1"/>
  <c r="S228" i="14"/>
  <c r="V228" i="14" s="1"/>
  <c r="Q224" i="14" a="1"/>
  <c r="Q224" i="14" s="1"/>
  <c r="AA224" i="14"/>
  <c r="R218" i="14"/>
  <c r="U218" i="14" s="1"/>
  <c r="S218" i="14"/>
  <c r="V218" i="14" s="1"/>
  <c r="AA220" i="14"/>
  <c r="Q220" i="14" a="1"/>
  <c r="Q220" i="14" s="1"/>
  <c r="R279" i="14"/>
  <c r="U274" i="14" s="1"/>
  <c r="V274" i="14"/>
  <c r="AA202" i="14"/>
  <c r="U240" i="14"/>
  <c r="AA198" i="14"/>
  <c r="AA203" i="14"/>
  <c r="AA201" i="14"/>
  <c r="AA206" i="14"/>
  <c r="V240" i="14"/>
  <c r="Q94" i="14" a="1"/>
  <c r="Q94" i="14" s="1"/>
  <c r="AA94" i="14"/>
  <c r="Q271" i="14" a="1"/>
  <c r="Q271" i="14" s="1"/>
  <c r="R271" i="14" s="1"/>
  <c r="U266" i="14" s="1"/>
  <c r="Q9" i="14" a="1"/>
  <c r="Q9" i="14" s="1"/>
  <c r="AA9" i="14"/>
  <c r="Q54" i="14" a="1"/>
  <c r="Q54" i="14" s="1"/>
  <c r="S54" i="14" s="1"/>
  <c r="V54" i="14" s="1"/>
  <c r="AA54" i="14"/>
  <c r="Q13" i="14" a="1"/>
  <c r="Q13" i="14" s="1"/>
  <c r="AA13" i="14"/>
  <c r="Q10" i="14" a="1"/>
  <c r="Q10" i="14" s="1"/>
  <c r="R10" i="14" s="1"/>
  <c r="U10" i="14" s="1"/>
  <c r="AA10" i="14"/>
  <c r="Q59" i="14" a="1"/>
  <c r="Q59" i="14" s="1"/>
  <c r="AA59" i="14"/>
  <c r="Q280" i="14" a="1"/>
  <c r="Q280" i="14" s="1"/>
  <c r="R280" i="14" s="1"/>
  <c r="Q284" i="14" a="1"/>
  <c r="Q284" i="14" s="1"/>
  <c r="R284" i="14" s="1"/>
  <c r="P272" i="14" a="1"/>
  <c r="P272" i="14" s="1"/>
  <c r="R282" i="14"/>
  <c r="S282" i="14"/>
  <c r="P276" i="14" a="1"/>
  <c r="P276" i="14" s="1"/>
  <c r="Q206" i="14" a="1"/>
  <c r="Q206" i="14" s="1"/>
  <c r="R206" i="14" s="1"/>
  <c r="K197" i="14"/>
  <c r="P197" i="14" s="1" a="1"/>
  <c r="P197" i="14" s="1"/>
  <c r="AA278" i="14" s="1"/>
  <c r="K196" i="14"/>
  <c r="P196" i="14" s="1" a="1"/>
  <c r="P196" i="14" s="1"/>
  <c r="AA277" i="14" s="1"/>
  <c r="K195" i="14"/>
  <c r="P195" i="14" s="1" a="1"/>
  <c r="P195" i="14" s="1"/>
  <c r="AA276" i="14" s="1"/>
  <c r="K194" i="14"/>
  <c r="P194" i="14" s="1" a="1"/>
  <c r="P194" i="14" s="1"/>
  <c r="AA275" i="14" s="1"/>
  <c r="Q205" i="14" a="1"/>
  <c r="Q205" i="14" s="1"/>
  <c r="S205" i="14" s="1"/>
  <c r="V205" i="14" s="1"/>
  <c r="Q204" i="14" a="1"/>
  <c r="Q204" i="14" s="1"/>
  <c r="S204" i="14" s="1"/>
  <c r="Q203" i="14" a="1"/>
  <c r="Q203" i="14" s="1"/>
  <c r="S203" i="14" s="1"/>
  <c r="Q202" i="14" a="1"/>
  <c r="Q202" i="14" s="1"/>
  <c r="R202" i="14" s="1"/>
  <c r="Q201" i="14" a="1"/>
  <c r="Q201" i="14" s="1"/>
  <c r="R201" i="14" s="1"/>
  <c r="Q200" i="14" a="1"/>
  <c r="Q200" i="14" s="1"/>
  <c r="R200" i="14" s="1"/>
  <c r="Q199" i="14" a="1"/>
  <c r="Q199" i="14" s="1"/>
  <c r="S199" i="14" s="1"/>
  <c r="S206" i="14"/>
  <c r="R204" i="14"/>
  <c r="S202" i="14"/>
  <c r="S201" i="14"/>
  <c r="S198" i="14"/>
  <c r="V279" i="14" s="1"/>
  <c r="R198" i="14"/>
  <c r="K193" i="14"/>
  <c r="P193" i="14" s="1" a="1"/>
  <c r="P193" i="14" s="1"/>
  <c r="AA193" i="14" s="1"/>
  <c r="K192" i="14"/>
  <c r="P192" i="14" s="1" a="1"/>
  <c r="P192" i="14" s="1"/>
  <c r="AA192" i="14" s="1"/>
  <c r="K191" i="14"/>
  <c r="P191" i="14" s="1" a="1"/>
  <c r="P191" i="14" s="1"/>
  <c r="AA191" i="14" s="1"/>
  <c r="K190" i="14"/>
  <c r="P190" i="14" s="1" a="1"/>
  <c r="P190" i="14" s="1"/>
  <c r="AA190" i="14" s="1"/>
  <c r="K189" i="14"/>
  <c r="P189" i="14" s="1" a="1"/>
  <c r="P189" i="14" s="1"/>
  <c r="AA189" i="14" s="1"/>
  <c r="K188" i="14"/>
  <c r="P188" i="14" s="1" a="1"/>
  <c r="P188" i="14" s="1"/>
  <c r="AA188" i="14" s="1"/>
  <c r="K187" i="14"/>
  <c r="P187" i="14" s="1" a="1"/>
  <c r="P187" i="14" s="1"/>
  <c r="AA187" i="14" s="1"/>
  <c r="K156" i="10"/>
  <c r="P156" i="10" s="1" a="1"/>
  <c r="P156" i="10" s="1"/>
  <c r="Q156" i="10" s="1" a="1"/>
  <c r="Q156" i="10" s="1"/>
  <c r="K167" i="10"/>
  <c r="P167" i="10" s="1" a="1"/>
  <c r="P167" i="10" s="1"/>
  <c r="AA239" i="10" s="1"/>
  <c r="K166" i="10"/>
  <c r="P166" i="10" s="1" a="1"/>
  <c r="P166" i="10" s="1"/>
  <c r="K165" i="10"/>
  <c r="P165" i="10" s="1" a="1"/>
  <c r="P165" i="10" s="1"/>
  <c r="AA246" i="10" s="1"/>
  <c r="K164" i="10"/>
  <c r="P164" i="10" s="1" a="1"/>
  <c r="P164" i="10" s="1"/>
  <c r="AA245" i="10" s="1"/>
  <c r="K163" i="10"/>
  <c r="P163" i="10" s="1" a="1"/>
  <c r="P163" i="10" s="1"/>
  <c r="K90" i="10"/>
  <c r="P90" i="10" s="1" a="1"/>
  <c r="P90" i="10" s="1"/>
  <c r="K140" i="10"/>
  <c r="P140" i="10" s="1" a="1"/>
  <c r="P140" i="10" s="1"/>
  <c r="K139" i="10"/>
  <c r="P139" i="10" s="1" a="1"/>
  <c r="P139" i="10" s="1"/>
  <c r="K138" i="10"/>
  <c r="P138" i="10" s="1" a="1"/>
  <c r="P138" i="10" s="1"/>
  <c r="K137" i="10"/>
  <c r="P137" i="10" s="1" a="1"/>
  <c r="P137" i="10" s="1"/>
  <c r="K136" i="10"/>
  <c r="P136" i="10" s="1" a="1"/>
  <c r="P136" i="10" s="1"/>
  <c r="K135" i="10"/>
  <c r="P135" i="10" s="1" a="1"/>
  <c r="P135" i="10" s="1"/>
  <c r="K134" i="10"/>
  <c r="P134" i="10" s="1" a="1"/>
  <c r="P134" i="10" s="1"/>
  <c r="K133" i="10"/>
  <c r="P133" i="10" s="1" a="1"/>
  <c r="P133" i="10" s="1"/>
  <c r="K132" i="10"/>
  <c r="P132" i="10" s="1" a="1"/>
  <c r="P132" i="10" s="1"/>
  <c r="K131" i="10"/>
  <c r="P131" i="10" s="1" a="1"/>
  <c r="P131" i="10" s="1"/>
  <c r="K130" i="10"/>
  <c r="P130" i="10" s="1" a="1"/>
  <c r="P130" i="10" s="1"/>
  <c r="K129" i="10"/>
  <c r="P129" i="10" s="1" a="1"/>
  <c r="P129" i="10" s="1"/>
  <c r="K128" i="10"/>
  <c r="P128" i="10" s="1" a="1"/>
  <c r="P128" i="10" s="1"/>
  <c r="K127" i="10"/>
  <c r="P127" i="10" s="1" a="1"/>
  <c r="P127" i="10" s="1"/>
  <c r="K126" i="10"/>
  <c r="P126" i="10" s="1" a="1"/>
  <c r="P126" i="10" s="1"/>
  <c r="K125" i="10"/>
  <c r="P125" i="10" s="1" a="1"/>
  <c r="P125" i="10" s="1"/>
  <c r="K124" i="10"/>
  <c r="P124" i="10" s="1" a="1"/>
  <c r="P124" i="10" s="1"/>
  <c r="K123" i="10"/>
  <c r="P123" i="10" s="1" a="1"/>
  <c r="P123" i="10" s="1"/>
  <c r="K122" i="10"/>
  <c r="P122" i="10" s="1" a="1"/>
  <c r="P122" i="10" s="1"/>
  <c r="K121" i="10"/>
  <c r="P121" i="10" s="1" a="1"/>
  <c r="P121" i="10" s="1"/>
  <c r="K120" i="10"/>
  <c r="P120" i="10" s="1" a="1"/>
  <c r="P120" i="10" s="1"/>
  <c r="K119" i="10"/>
  <c r="P119" i="10" s="1" a="1"/>
  <c r="P119" i="10" s="1"/>
  <c r="K118" i="10"/>
  <c r="P118" i="10" s="1" a="1"/>
  <c r="P118" i="10" s="1"/>
  <c r="K117" i="10"/>
  <c r="P117" i="10" s="1" a="1"/>
  <c r="P117" i="10" s="1"/>
  <c r="K116" i="10"/>
  <c r="P116" i="10" s="1" a="1"/>
  <c r="P116" i="10" s="1"/>
  <c r="K115" i="10"/>
  <c r="P115" i="10" s="1" a="1"/>
  <c r="P115" i="10" s="1"/>
  <c r="K114" i="10"/>
  <c r="P114" i="10" s="1" a="1"/>
  <c r="P114" i="10" s="1"/>
  <c r="K113" i="10"/>
  <c r="P113" i="10" s="1" a="1"/>
  <c r="P113" i="10" s="1"/>
  <c r="K112" i="10"/>
  <c r="P112" i="10" s="1" a="1"/>
  <c r="P112" i="10" s="1"/>
  <c r="K111" i="10"/>
  <c r="P111" i="10" s="1" a="1"/>
  <c r="P111" i="10" s="1"/>
  <c r="K110" i="10"/>
  <c r="P110" i="10" s="1" a="1"/>
  <c r="P110" i="10" s="1"/>
  <c r="K109" i="10"/>
  <c r="P109" i="10" s="1" a="1"/>
  <c r="P109" i="10" s="1"/>
  <c r="K108" i="10"/>
  <c r="P108" i="10" s="1" a="1"/>
  <c r="P108" i="10" s="1"/>
  <c r="K107" i="10"/>
  <c r="P107" i="10" s="1" a="1"/>
  <c r="P107" i="10" s="1"/>
  <c r="K106" i="10"/>
  <c r="P106" i="10" s="1" a="1"/>
  <c r="P106" i="10" s="1"/>
  <c r="K105" i="10"/>
  <c r="P105" i="10" s="1" a="1"/>
  <c r="P105" i="10" s="1"/>
  <c r="K104" i="10"/>
  <c r="P104" i="10" s="1" a="1"/>
  <c r="P104" i="10" s="1"/>
  <c r="K103" i="10"/>
  <c r="P103" i="10" s="1" a="1"/>
  <c r="P103" i="10" s="1"/>
  <c r="K102" i="10"/>
  <c r="P102" i="10" s="1" a="1"/>
  <c r="P102" i="10" s="1"/>
  <c r="K101" i="10"/>
  <c r="P101" i="10" s="1" a="1"/>
  <c r="P101" i="10" s="1"/>
  <c r="K100" i="10"/>
  <c r="P100" i="10" s="1" a="1"/>
  <c r="P100" i="10" s="1"/>
  <c r="K99" i="10"/>
  <c r="P99" i="10" s="1" a="1"/>
  <c r="P99" i="10" s="1"/>
  <c r="K98" i="10"/>
  <c r="P98" i="10" s="1" a="1"/>
  <c r="P98" i="10" s="1"/>
  <c r="K97" i="10"/>
  <c r="P97" i="10" s="1" a="1"/>
  <c r="P97" i="10" s="1"/>
  <c r="K96" i="10"/>
  <c r="P96" i="10" s="1" a="1"/>
  <c r="P96" i="10" s="1"/>
  <c r="K95" i="10"/>
  <c r="P95" i="10" s="1" a="1"/>
  <c r="P95" i="10" s="1"/>
  <c r="K94" i="10"/>
  <c r="P94" i="10" s="1" a="1"/>
  <c r="P94" i="10" s="1"/>
  <c r="K93" i="10"/>
  <c r="P93" i="10" s="1" a="1"/>
  <c r="P93" i="10" s="1"/>
  <c r="K92" i="10"/>
  <c r="P92" i="10" s="1" a="1"/>
  <c r="P92" i="10" s="1"/>
  <c r="K91" i="10"/>
  <c r="P91" i="10" s="1" a="1"/>
  <c r="P91" i="10" s="1"/>
  <c r="K162" i="10"/>
  <c r="P162" i="10" s="1" a="1"/>
  <c r="P162" i="10" s="1"/>
  <c r="K161" i="10"/>
  <c r="P161" i="10" s="1" a="1"/>
  <c r="P161" i="10" s="1"/>
  <c r="K160" i="10"/>
  <c r="P160" i="10" s="1" a="1"/>
  <c r="P160" i="10" s="1"/>
  <c r="K159" i="10"/>
  <c r="P159" i="10" s="1" a="1"/>
  <c r="P159" i="10" s="1"/>
  <c r="K158" i="10"/>
  <c r="P158" i="10" s="1" a="1"/>
  <c r="P158" i="10" s="1"/>
  <c r="K157" i="10"/>
  <c r="P157" i="10" s="1" a="1"/>
  <c r="P157" i="10" s="1"/>
  <c r="K155" i="10"/>
  <c r="P155" i="10" s="1" a="1"/>
  <c r="P155" i="10" s="1"/>
  <c r="K154" i="10"/>
  <c r="P154" i="10" s="1" a="1"/>
  <c r="P154" i="10" s="1"/>
  <c r="K153" i="10"/>
  <c r="P153" i="10" s="1" a="1"/>
  <c r="P153" i="10" s="1"/>
  <c r="K152" i="10"/>
  <c r="P152" i="10" s="1" a="1"/>
  <c r="P152" i="10" s="1"/>
  <c r="K151" i="10"/>
  <c r="P151" i="10" s="1" a="1"/>
  <c r="P151" i="10" s="1"/>
  <c r="K150" i="10"/>
  <c r="P150" i="10" s="1" a="1"/>
  <c r="P150" i="10" s="1"/>
  <c r="K149" i="10"/>
  <c r="P149" i="10" s="1" a="1"/>
  <c r="P149" i="10" s="1"/>
  <c r="K148" i="10"/>
  <c r="P148" i="10" s="1" a="1"/>
  <c r="P148" i="10" s="1"/>
  <c r="K147" i="10"/>
  <c r="P147" i="10" s="1" a="1"/>
  <c r="P147" i="10" s="1"/>
  <c r="K146" i="10"/>
  <c r="P146" i="10" s="1" a="1"/>
  <c r="P146" i="10" s="1"/>
  <c r="K145" i="10"/>
  <c r="P145" i="10" s="1" a="1"/>
  <c r="P145" i="10" s="1"/>
  <c r="K144" i="10"/>
  <c r="P144" i="10" s="1" a="1"/>
  <c r="P144" i="10" s="1"/>
  <c r="K143" i="10"/>
  <c r="P143" i="10" s="1" a="1"/>
  <c r="P143" i="10" s="1"/>
  <c r="K142" i="10"/>
  <c r="P142" i="10" s="1" a="1"/>
  <c r="P142" i="10" s="1"/>
  <c r="K141" i="10"/>
  <c r="P141" i="10" s="1" a="1"/>
  <c r="P141" i="10" s="1"/>
  <c r="K186" i="14"/>
  <c r="P186" i="14" s="1" a="1"/>
  <c r="P186" i="14" s="1"/>
  <c r="AA186" i="14" s="1"/>
  <c r="K185" i="14"/>
  <c r="P185" i="14" s="1" a="1"/>
  <c r="P185" i="14" s="1"/>
  <c r="AA185" i="14" s="1"/>
  <c r="K184" i="14"/>
  <c r="P184" i="14" s="1" a="1"/>
  <c r="P184" i="14" s="1"/>
  <c r="AA184" i="14" s="1"/>
  <c r="K183" i="14"/>
  <c r="P183" i="14" s="1" a="1"/>
  <c r="P183" i="14" s="1"/>
  <c r="AA183" i="14" s="1"/>
  <c r="K182" i="14"/>
  <c r="P182" i="14" s="1" a="1"/>
  <c r="P182" i="14" s="1"/>
  <c r="AA182" i="14" s="1"/>
  <c r="K181" i="14"/>
  <c r="P181" i="14" s="1" a="1"/>
  <c r="P181" i="14" s="1"/>
  <c r="AA181" i="14" s="1"/>
  <c r="K180" i="14"/>
  <c r="P180" i="14" s="1" a="1"/>
  <c r="P180" i="14" s="1"/>
  <c r="AA180" i="14" s="1"/>
  <c r="K179" i="14"/>
  <c r="P179" i="14" s="1" a="1"/>
  <c r="P179" i="14" s="1"/>
  <c r="AA179" i="14" s="1"/>
  <c r="K178" i="14"/>
  <c r="P178" i="14" s="1" a="1"/>
  <c r="P178" i="14" s="1"/>
  <c r="AA178" i="14" s="1"/>
  <c r="K177" i="14"/>
  <c r="P177" i="14" s="1" a="1"/>
  <c r="P177" i="14" s="1"/>
  <c r="AA177" i="14" s="1"/>
  <c r="K176" i="14"/>
  <c r="P176" i="14" s="1" a="1"/>
  <c r="P176" i="14" s="1"/>
  <c r="AA176" i="14" s="1"/>
  <c r="K175" i="14"/>
  <c r="P175" i="14" s="1" a="1"/>
  <c r="P175" i="14" s="1"/>
  <c r="AA175" i="14" s="1"/>
  <c r="K174" i="14"/>
  <c r="P174" i="14" s="1" a="1"/>
  <c r="P174" i="14" s="1"/>
  <c r="AA174" i="14" s="1"/>
  <c r="K173" i="14"/>
  <c r="P173" i="14" s="1" a="1"/>
  <c r="P173" i="14" s="1"/>
  <c r="AA173" i="14" s="1"/>
  <c r="K172" i="14"/>
  <c r="P172" i="14" s="1" a="1"/>
  <c r="P172" i="14" s="1"/>
  <c r="AA172" i="14" s="1"/>
  <c r="K171" i="14"/>
  <c r="P171" i="14" s="1" a="1"/>
  <c r="P171" i="14" s="1"/>
  <c r="AA171" i="14" s="1"/>
  <c r="K170" i="14"/>
  <c r="P170" i="14" s="1" a="1"/>
  <c r="P170" i="14" s="1"/>
  <c r="AA170" i="14" s="1"/>
  <c r="K169" i="14"/>
  <c r="P169" i="14" s="1" a="1"/>
  <c r="P169" i="14" s="1"/>
  <c r="AA169" i="14" s="1"/>
  <c r="K168" i="14"/>
  <c r="P168" i="14" s="1" a="1"/>
  <c r="P168" i="14" s="1"/>
  <c r="AA168" i="14" s="1"/>
  <c r="K167" i="14"/>
  <c r="P167" i="14" s="1" a="1"/>
  <c r="P167" i="14" s="1"/>
  <c r="AA167" i="14" s="1"/>
  <c r="K166" i="14"/>
  <c r="P166" i="14" s="1" a="1"/>
  <c r="P166" i="14" s="1"/>
  <c r="AA166" i="14" s="1"/>
  <c r="K165" i="14"/>
  <c r="P165" i="14" s="1" a="1"/>
  <c r="P165" i="14" s="1"/>
  <c r="AA165" i="14" s="1"/>
  <c r="K164" i="14"/>
  <c r="P164" i="14" s="1" a="1"/>
  <c r="P164" i="14" s="1"/>
  <c r="AA164" i="14" s="1"/>
  <c r="K163" i="14"/>
  <c r="P163" i="14" s="1" a="1"/>
  <c r="P163" i="14" s="1"/>
  <c r="AA163" i="14" s="1"/>
  <c r="K162" i="14"/>
  <c r="P162" i="14" s="1" a="1"/>
  <c r="P162" i="14" s="1"/>
  <c r="AA162" i="14" s="1"/>
  <c r="K161" i="14"/>
  <c r="P161" i="14" s="1" a="1"/>
  <c r="P161" i="14" s="1"/>
  <c r="AA161" i="14" s="1"/>
  <c r="K160" i="14"/>
  <c r="P160" i="14" s="1" a="1"/>
  <c r="P160" i="14" s="1"/>
  <c r="AA160" i="14" s="1"/>
  <c r="K159" i="14"/>
  <c r="P159" i="14" s="1" a="1"/>
  <c r="P159" i="14" s="1"/>
  <c r="AA159" i="14" s="1"/>
  <c r="K158" i="14"/>
  <c r="P158" i="14" s="1" a="1"/>
  <c r="P158" i="14" s="1"/>
  <c r="AA158" i="14" s="1"/>
  <c r="K157" i="14"/>
  <c r="P157" i="14" s="1" a="1"/>
  <c r="P157" i="14" s="1"/>
  <c r="AA157" i="14" s="1"/>
  <c r="K156" i="14"/>
  <c r="P156" i="14" s="1" a="1"/>
  <c r="P156" i="14" s="1"/>
  <c r="AA156" i="14" s="1"/>
  <c r="K155" i="14"/>
  <c r="P155" i="14" s="1" a="1"/>
  <c r="P155" i="14" s="1"/>
  <c r="AA155" i="14" s="1"/>
  <c r="K154" i="14"/>
  <c r="P154" i="14" s="1" a="1"/>
  <c r="P154" i="14" s="1"/>
  <c r="AA154" i="14" s="1"/>
  <c r="K153" i="14"/>
  <c r="P153" i="14" s="1" a="1"/>
  <c r="P153" i="14" s="1"/>
  <c r="AA153" i="14" s="1"/>
  <c r="K152" i="14"/>
  <c r="P152" i="14" s="1" a="1"/>
  <c r="P152" i="14" s="1"/>
  <c r="AA152" i="14" s="1"/>
  <c r="K151" i="14"/>
  <c r="P151" i="14" s="1" a="1"/>
  <c r="P151" i="14" s="1"/>
  <c r="AA151" i="14" s="1"/>
  <c r="K150" i="14"/>
  <c r="P150" i="14" s="1" a="1"/>
  <c r="P150" i="14" s="1"/>
  <c r="AA150" i="14" s="1"/>
  <c r="K149" i="14"/>
  <c r="P149" i="14" s="1" a="1"/>
  <c r="P149" i="14" s="1"/>
  <c r="AA149" i="14" s="1"/>
  <c r="K148" i="14"/>
  <c r="P148" i="14" s="1" a="1"/>
  <c r="P148" i="14" s="1"/>
  <c r="AA148" i="14" s="1"/>
  <c r="K147" i="14"/>
  <c r="P147" i="14" s="1" a="1"/>
  <c r="P147" i="14" s="1"/>
  <c r="AA147" i="14" s="1"/>
  <c r="K146" i="14"/>
  <c r="P146" i="14" s="1" a="1"/>
  <c r="P146" i="14" s="1"/>
  <c r="AA146" i="14" s="1"/>
  <c r="K145" i="14"/>
  <c r="P145" i="14" s="1" a="1"/>
  <c r="P145" i="14" s="1"/>
  <c r="AA145" i="14" s="1"/>
  <c r="K144" i="14"/>
  <c r="P144" i="14" s="1" a="1"/>
  <c r="P144" i="14" s="1"/>
  <c r="AA144" i="14" s="1"/>
  <c r="K143" i="14"/>
  <c r="P143" i="14" s="1" a="1"/>
  <c r="P143" i="14" s="1"/>
  <c r="AA143" i="14" s="1"/>
  <c r="K142" i="14"/>
  <c r="P142" i="14" s="1" a="1"/>
  <c r="P142" i="14" s="1"/>
  <c r="AA142" i="14" s="1"/>
  <c r="K141" i="14"/>
  <c r="P141" i="14" s="1" a="1"/>
  <c r="P141" i="14" s="1"/>
  <c r="AA141" i="14" s="1"/>
  <c r="K140" i="14"/>
  <c r="P140" i="14" s="1" a="1"/>
  <c r="P140" i="14" s="1"/>
  <c r="AA140" i="14" s="1"/>
  <c r="K139" i="14"/>
  <c r="P139" i="14" s="1" a="1"/>
  <c r="P139" i="14" s="1"/>
  <c r="AA139" i="14" s="1"/>
  <c r="K138" i="14"/>
  <c r="P138" i="14" s="1" a="1"/>
  <c r="P138" i="14" s="1"/>
  <c r="AA138" i="14" s="1"/>
  <c r="K137" i="14"/>
  <c r="P137" i="14" s="1" a="1"/>
  <c r="P137" i="14" s="1"/>
  <c r="AA137" i="14" s="1"/>
  <c r="K136" i="14"/>
  <c r="P136" i="14" s="1" a="1"/>
  <c r="P136" i="14" s="1"/>
  <c r="AA136" i="14" s="1"/>
  <c r="K135" i="14"/>
  <c r="P135" i="14" s="1" a="1"/>
  <c r="P135" i="14" s="1"/>
  <c r="AA135" i="14" s="1"/>
  <c r="K134" i="14"/>
  <c r="P134" i="14" s="1" a="1"/>
  <c r="P134" i="14" s="1"/>
  <c r="AA134" i="14" s="1"/>
  <c r="K133" i="14"/>
  <c r="P133" i="14" s="1" a="1"/>
  <c r="P133" i="14" s="1"/>
  <c r="AA133" i="14" s="1"/>
  <c r="K132" i="14"/>
  <c r="P132" i="14" s="1" a="1"/>
  <c r="P132" i="14" s="1"/>
  <c r="AA132" i="14" s="1"/>
  <c r="K131" i="14"/>
  <c r="P131" i="14" s="1" a="1"/>
  <c r="P131" i="14" s="1"/>
  <c r="AA131" i="14" s="1"/>
  <c r="K130" i="14"/>
  <c r="P130" i="14" s="1" a="1"/>
  <c r="P130" i="14" s="1"/>
  <c r="AA130" i="14" s="1"/>
  <c r="K129" i="14"/>
  <c r="P129" i="14" s="1" a="1"/>
  <c r="P129" i="14" s="1"/>
  <c r="AA129" i="14" s="1"/>
  <c r="K128" i="14"/>
  <c r="P128" i="14" s="1" a="1"/>
  <c r="P128" i="14" s="1"/>
  <c r="AA128" i="14" s="1"/>
  <c r="K127" i="14"/>
  <c r="P127" i="14" s="1" a="1"/>
  <c r="P127" i="14" s="1"/>
  <c r="AA127" i="14" s="1"/>
  <c r="K126" i="14"/>
  <c r="P126" i="14" s="1" a="1"/>
  <c r="P126" i="14" s="1"/>
  <c r="AA126" i="14" s="1"/>
  <c r="K125" i="14"/>
  <c r="P125" i="14" s="1" a="1"/>
  <c r="P125" i="14" s="1"/>
  <c r="AA125" i="14" s="1"/>
  <c r="K124" i="14"/>
  <c r="P124" i="14" s="1" a="1"/>
  <c r="P124" i="14" s="1"/>
  <c r="AA124" i="14" s="1"/>
  <c r="K123" i="14"/>
  <c r="P123" i="14" s="1" a="1"/>
  <c r="P123" i="14" s="1"/>
  <c r="AA123" i="14" s="1"/>
  <c r="K122" i="14"/>
  <c r="P122" i="14" s="1" a="1"/>
  <c r="P122" i="14" s="1"/>
  <c r="AA122" i="14" s="1"/>
  <c r="K121" i="14"/>
  <c r="P121" i="14" s="1" a="1"/>
  <c r="P121" i="14" s="1"/>
  <c r="AA121" i="14" s="1"/>
  <c r="K120" i="14"/>
  <c r="P120" i="14" s="1" a="1"/>
  <c r="P120" i="14" s="1"/>
  <c r="AA120" i="14" s="1"/>
  <c r="K119" i="14"/>
  <c r="P119" i="14" s="1" a="1"/>
  <c r="P119" i="14" s="1"/>
  <c r="AA119" i="14" s="1"/>
  <c r="K118" i="14"/>
  <c r="P118" i="14" s="1" a="1"/>
  <c r="P118" i="14" s="1"/>
  <c r="AA118" i="14" s="1"/>
  <c r="K117" i="14"/>
  <c r="P117" i="14" s="1" a="1"/>
  <c r="P117" i="14" s="1"/>
  <c r="AA117" i="14" s="1"/>
  <c r="K116" i="14"/>
  <c r="P116" i="14" s="1" a="1"/>
  <c r="P116" i="14" s="1"/>
  <c r="AA116" i="14" s="1"/>
  <c r="K115" i="14"/>
  <c r="P115" i="14" s="1" a="1"/>
  <c r="P115" i="14" s="1"/>
  <c r="AA115" i="14" s="1"/>
  <c r="K114" i="14"/>
  <c r="P114" i="14" s="1" a="1"/>
  <c r="P114" i="14" s="1"/>
  <c r="AA114" i="14" s="1"/>
  <c r="K113" i="14"/>
  <c r="P113" i="14" s="1" a="1"/>
  <c r="P113" i="14" s="1"/>
  <c r="AA113" i="14" s="1"/>
  <c r="K112" i="14"/>
  <c r="P112" i="14" s="1" a="1"/>
  <c r="P112" i="14" s="1"/>
  <c r="AA112" i="14" s="1"/>
  <c r="K111" i="14"/>
  <c r="P111" i="14" s="1" a="1"/>
  <c r="P111" i="14" s="1"/>
  <c r="AA111" i="14" s="1"/>
  <c r="K110" i="14"/>
  <c r="P110" i="14" s="1" a="1"/>
  <c r="P110" i="14" s="1"/>
  <c r="AA110" i="14" s="1"/>
  <c r="K109" i="14"/>
  <c r="P109" i="14" s="1" a="1"/>
  <c r="P109" i="14" s="1"/>
  <c r="AA109" i="14" s="1"/>
  <c r="K108" i="14"/>
  <c r="P108" i="14" s="1" a="1"/>
  <c r="P108" i="14" s="1"/>
  <c r="AA108" i="14" s="1"/>
  <c r="K107" i="14"/>
  <c r="P107" i="14" s="1" a="1"/>
  <c r="P107" i="14" s="1"/>
  <c r="AA107" i="14" s="1"/>
  <c r="K106" i="14"/>
  <c r="P106" i="14" s="1" a="1"/>
  <c r="P106" i="14" s="1"/>
  <c r="AA106" i="14" s="1"/>
  <c r="K105" i="14"/>
  <c r="P105" i="14" s="1" a="1"/>
  <c r="P105" i="14" s="1"/>
  <c r="AA105" i="14" s="1"/>
  <c r="Q102" i="14" a="1"/>
  <c r="Q102" i="14" s="1"/>
  <c r="R102" i="14" s="1"/>
  <c r="U102" i="14" s="1"/>
  <c r="Q100" i="14" a="1"/>
  <c r="Q100" i="14" s="1"/>
  <c r="Q103" i="14" a="1"/>
  <c r="Q103" i="14" s="1"/>
  <c r="R103" i="14" s="1"/>
  <c r="U103" i="14" s="1"/>
  <c r="Q40" i="14" a="1"/>
  <c r="Q40" i="14" s="1"/>
  <c r="S40" i="14" s="1"/>
  <c r="V40" i="14" s="1"/>
  <c r="Q98" i="14" a="1"/>
  <c r="Q98" i="14" s="1"/>
  <c r="R98" i="14" s="1"/>
  <c r="U98" i="14" s="1"/>
  <c r="K96" i="14"/>
  <c r="P96" i="14" s="1" a="1"/>
  <c r="P96" i="14" s="1"/>
  <c r="AA96" i="14" s="1"/>
  <c r="K104" i="14"/>
  <c r="P104" i="14" s="1" a="1"/>
  <c r="P104" i="14" s="1"/>
  <c r="AA104" i="14" s="1"/>
  <c r="Q91" i="14" a="1"/>
  <c r="Q91" i="14" s="1"/>
  <c r="S91" i="14" s="1"/>
  <c r="V91" i="14" s="1"/>
  <c r="K92" i="14"/>
  <c r="P92" i="14" s="1" a="1"/>
  <c r="P92" i="14" s="1"/>
  <c r="AA92" i="14" s="1"/>
  <c r="Q74" i="14" a="1"/>
  <c r="Q74" i="14" s="1"/>
  <c r="S74" i="14" s="1"/>
  <c r="V74" i="14" s="1"/>
  <c r="Q95" i="14" a="1"/>
  <c r="Q95" i="14" s="1"/>
  <c r="S95" i="14" s="1"/>
  <c r="V95" i="14" s="1"/>
  <c r="Q90" i="14" a="1"/>
  <c r="Q90" i="14" s="1"/>
  <c r="R90" i="14" s="1"/>
  <c r="U90" i="14" s="1"/>
  <c r="Q16" i="14" a="1"/>
  <c r="Q16" i="14" s="1"/>
  <c r="R16" i="14" s="1"/>
  <c r="U16" i="14" s="1"/>
  <c r="K97" i="14"/>
  <c r="P97" i="14" s="1" a="1"/>
  <c r="P97" i="14" s="1"/>
  <c r="AA97" i="14" s="1"/>
  <c r="K101" i="14"/>
  <c r="P101" i="14" s="1" a="1"/>
  <c r="P101" i="14" s="1"/>
  <c r="AA101" i="14" s="1"/>
  <c r="R94" i="14"/>
  <c r="U94" i="14" s="1"/>
  <c r="S94" i="14"/>
  <c r="V94" i="14" s="1"/>
  <c r="Q99" i="14" a="1"/>
  <c r="Q99" i="14" s="1"/>
  <c r="K86" i="14"/>
  <c r="P86" i="14" s="1" a="1"/>
  <c r="P86" i="14" s="1"/>
  <c r="AA86" i="14" s="1"/>
  <c r="K11" i="14"/>
  <c r="P11" i="14" s="1" a="1"/>
  <c r="P11" i="14" s="1"/>
  <c r="AA11" i="14" s="1"/>
  <c r="K55" i="14"/>
  <c r="P55" i="14" s="1" a="1"/>
  <c r="P55" i="14" s="1"/>
  <c r="K93" i="14"/>
  <c r="P93" i="14" s="1" a="1"/>
  <c r="P93" i="14" s="1"/>
  <c r="AA93" i="14" s="1"/>
  <c r="Q51" i="14" a="1"/>
  <c r="Q51" i="14" s="1"/>
  <c r="R51" i="14" s="1"/>
  <c r="U51" i="14" s="1"/>
  <c r="Q29" i="14" a="1"/>
  <c r="Q29" i="14" s="1"/>
  <c r="S29" i="14" s="1"/>
  <c r="V29" i="14" s="1"/>
  <c r="Q73" i="14" a="1"/>
  <c r="Q73" i="14" s="1"/>
  <c r="S73" i="14" s="1"/>
  <c r="V73" i="14" s="1"/>
  <c r="Q69" i="14" a="1"/>
  <c r="Q69" i="14" s="1"/>
  <c r="Q70" i="14" a="1"/>
  <c r="Q70" i="14" s="1"/>
  <c r="R70" i="14" s="1"/>
  <c r="U70" i="14" s="1"/>
  <c r="K89" i="14"/>
  <c r="P89" i="14" s="1" a="1"/>
  <c r="P89" i="14" s="1"/>
  <c r="AA89" i="14" s="1"/>
  <c r="K14" i="14"/>
  <c r="P14" i="14" s="1" a="1"/>
  <c r="P14" i="14" s="1"/>
  <c r="AA14" i="14" s="1"/>
  <c r="Q36" i="14" a="1"/>
  <c r="Q36" i="14" s="1"/>
  <c r="R36" i="14" s="1"/>
  <c r="U36" i="14" s="1"/>
  <c r="Q53" i="14" a="1"/>
  <c r="Q53" i="14" s="1"/>
  <c r="R53" i="14" s="1"/>
  <c r="U53" i="14" s="1"/>
  <c r="Q20" i="14" a="1"/>
  <c r="Q20" i="14" s="1"/>
  <c r="S20" i="14" s="1"/>
  <c r="V20" i="14" s="1"/>
  <c r="Q45" i="14" a="1"/>
  <c r="Q45" i="14" s="1"/>
  <c r="R45" i="14" s="1"/>
  <c r="U45" i="14" s="1"/>
  <c r="K17" i="14"/>
  <c r="P17" i="14" s="1" a="1"/>
  <c r="P17" i="14" s="1"/>
  <c r="AA17" i="14" s="1"/>
  <c r="K79" i="14"/>
  <c r="P79" i="14" s="1" a="1"/>
  <c r="P79" i="14" s="1"/>
  <c r="K87" i="14"/>
  <c r="P87" i="14" s="1" a="1"/>
  <c r="P87" i="14" s="1"/>
  <c r="AA87" i="14" s="1"/>
  <c r="K81" i="14"/>
  <c r="P81" i="14" s="1" a="1"/>
  <c r="P81" i="14" s="1"/>
  <c r="AA81" i="14" s="1"/>
  <c r="K77" i="14"/>
  <c r="P77" i="14" s="1" a="1"/>
  <c r="P77" i="14" s="1"/>
  <c r="AA77" i="14" s="1"/>
  <c r="K82" i="14"/>
  <c r="P82" i="14" s="1" a="1"/>
  <c r="P82" i="14" s="1"/>
  <c r="AA82" i="14" s="1"/>
  <c r="K44" i="14"/>
  <c r="P44" i="14" s="1" a="1"/>
  <c r="P44" i="14" s="1"/>
  <c r="AA44" i="14" s="1"/>
  <c r="K83" i="14"/>
  <c r="P83" i="14" s="1" a="1"/>
  <c r="P83" i="14" s="1"/>
  <c r="AA83" i="14" s="1"/>
  <c r="K25" i="14"/>
  <c r="P25" i="14" s="1" a="1"/>
  <c r="P25" i="14" s="1"/>
  <c r="R60" i="14"/>
  <c r="U60" i="14" s="1"/>
  <c r="S60" i="14"/>
  <c r="V60" i="14" s="1"/>
  <c r="K52" i="14"/>
  <c r="P52" i="14" s="1" a="1"/>
  <c r="P52" i="14" s="1"/>
  <c r="AA52" i="14" s="1"/>
  <c r="K12" i="14"/>
  <c r="P12" i="14" s="1" a="1"/>
  <c r="P12" i="14" s="1"/>
  <c r="AA12" i="14" s="1"/>
  <c r="K18" i="14"/>
  <c r="P18" i="14" s="1" a="1"/>
  <c r="P18" i="14" s="1"/>
  <c r="AA18" i="14" s="1"/>
  <c r="K61" i="14"/>
  <c r="P61" i="14" s="1" a="1"/>
  <c r="P61" i="14" s="1"/>
  <c r="K72" i="14"/>
  <c r="P72" i="14" s="1" a="1"/>
  <c r="P72" i="14" s="1"/>
  <c r="AA72" i="14" s="1"/>
  <c r="K23" i="14"/>
  <c r="P23" i="14" s="1" a="1"/>
  <c r="P23" i="14" s="1"/>
  <c r="AA23" i="14" s="1"/>
  <c r="K19" i="14"/>
  <c r="P19" i="14" s="1" a="1"/>
  <c r="P19" i="14" s="1"/>
  <c r="R59" i="14"/>
  <c r="U59" i="14" s="1"/>
  <c r="S59" i="14"/>
  <c r="V59" i="14" s="1"/>
  <c r="K21" i="14"/>
  <c r="P21" i="14" s="1" a="1"/>
  <c r="P21" i="14" s="1"/>
  <c r="AA21" i="14" s="1"/>
  <c r="K34" i="14"/>
  <c r="P34" i="14" s="1" a="1"/>
  <c r="P34" i="14" s="1"/>
  <c r="AA34" i="14" s="1"/>
  <c r="K75" i="14"/>
  <c r="P75" i="14" s="1" a="1"/>
  <c r="P75" i="14" s="1"/>
  <c r="AA75" i="14" s="1"/>
  <c r="Q32" i="14" a="1"/>
  <c r="Q32" i="14" s="1"/>
  <c r="Q63" i="14" a="1"/>
  <c r="Q63" i="14" s="1"/>
  <c r="J31" i="14"/>
  <c r="I31" i="14"/>
  <c r="K8" i="14"/>
  <c r="P8" i="14" s="1" a="1"/>
  <c r="P8" i="14" s="1"/>
  <c r="AA8" i="14" s="1"/>
  <c r="Q33" i="14" a="1"/>
  <c r="Q33" i="14" s="1"/>
  <c r="Q49" i="14" a="1"/>
  <c r="Q49" i="14" s="1"/>
  <c r="K80" i="14"/>
  <c r="P80" i="14" s="1" a="1"/>
  <c r="P80" i="14" s="1"/>
  <c r="AA80" i="14" s="1"/>
  <c r="Q64" i="14" a="1"/>
  <c r="Q64" i="14" s="1"/>
  <c r="K84" i="14"/>
  <c r="P84" i="14" s="1" a="1"/>
  <c r="P84" i="14" s="1"/>
  <c r="AA84" i="14" s="1"/>
  <c r="Q62" i="14" a="1"/>
  <c r="Q62" i="14" s="1"/>
  <c r="K48" i="14"/>
  <c r="P48" i="14" s="1" a="1"/>
  <c r="P48" i="14" s="1"/>
  <c r="AA48" i="14" s="1"/>
  <c r="K7" i="14"/>
  <c r="P7" i="14" s="1" a="1"/>
  <c r="P7" i="14" s="1"/>
  <c r="AA7" i="14" s="1"/>
  <c r="I30" i="14"/>
  <c r="J30" i="14"/>
  <c r="K42" i="14"/>
  <c r="P42" i="14" s="1" a="1"/>
  <c r="P42" i="14" s="1"/>
  <c r="AA42" i="14" s="1"/>
  <c r="J58" i="14"/>
  <c r="I58" i="14"/>
  <c r="K28" i="14"/>
  <c r="P28" i="14" s="1" a="1"/>
  <c r="P28" i="14" s="1"/>
  <c r="AA28" i="14" s="1"/>
  <c r="K78" i="14"/>
  <c r="P78" i="14" s="1" a="1"/>
  <c r="P78" i="14" s="1"/>
  <c r="AA78" i="14" s="1"/>
  <c r="J85" i="14"/>
  <c r="I85" i="14"/>
  <c r="I50" i="14"/>
  <c r="J50" i="14"/>
  <c r="K46" i="14"/>
  <c r="P46" i="14" s="1" a="1"/>
  <c r="P46" i="14" s="1"/>
  <c r="AA46" i="14" s="1"/>
  <c r="I71" i="14"/>
  <c r="J71" i="14"/>
  <c r="J27" i="14"/>
  <c r="I27" i="14"/>
  <c r="J35" i="14"/>
  <c r="I35" i="14"/>
  <c r="J39" i="14"/>
  <c r="I39" i="14"/>
  <c r="Q24" i="14" a="1"/>
  <c r="Q24" i="14" s="1"/>
  <c r="K6" i="14"/>
  <c r="P6" i="14" s="1" a="1"/>
  <c r="P6" i="14" s="1"/>
  <c r="AA6" i="14" s="1"/>
  <c r="K15" i="14"/>
  <c r="P15" i="14" s="1" a="1"/>
  <c r="P15" i="14" s="1"/>
  <c r="AA15" i="14" s="1"/>
  <c r="S10" i="14"/>
  <c r="V10" i="14" s="1"/>
  <c r="S9" i="14"/>
  <c r="V9" i="14" s="1"/>
  <c r="R9" i="14"/>
  <c r="U9" i="14" s="1"/>
  <c r="I76" i="14"/>
  <c r="J76" i="14"/>
  <c r="S13" i="14"/>
  <c r="V13" i="14" s="1"/>
  <c r="R13" i="14"/>
  <c r="U13" i="14" s="1"/>
  <c r="J43" i="14"/>
  <c r="I43" i="14"/>
  <c r="Q66" i="14" a="1"/>
  <c r="Q66" i="14" s="1"/>
  <c r="Q37" i="14" a="1"/>
  <c r="Q37" i="14" s="1"/>
  <c r="Q41" i="14" a="1"/>
  <c r="Q41" i="14" s="1"/>
  <c r="K56" i="14"/>
  <c r="P56" i="14" s="1" a="1"/>
  <c r="P56" i="14" s="1"/>
  <c r="AA56" i="14" s="1"/>
  <c r="K65" i="14"/>
  <c r="P65" i="14" s="1" a="1"/>
  <c r="P65" i="14" s="1"/>
  <c r="AA65" i="14" s="1"/>
  <c r="K26" i="14"/>
  <c r="P26" i="14" s="1" a="1"/>
  <c r="P26" i="14" s="1"/>
  <c r="AA26" i="14" s="1"/>
  <c r="K47" i="14"/>
  <c r="P47" i="14" s="1" a="1"/>
  <c r="P47" i="14" s="1"/>
  <c r="AA47" i="14" s="1"/>
  <c r="K22" i="14"/>
  <c r="P22" i="14" s="1" a="1"/>
  <c r="P22" i="14" s="1"/>
  <c r="AA22" i="14" s="1"/>
  <c r="Q57" i="14" a="1"/>
  <c r="Q57" i="14" s="1"/>
  <c r="J68" i="14"/>
  <c r="I68" i="14"/>
  <c r="K88" i="14"/>
  <c r="P88" i="14" s="1" a="1"/>
  <c r="P88" i="14" s="1"/>
  <c r="AA88" i="14" s="1"/>
  <c r="I67" i="14"/>
  <c r="J67" i="14"/>
  <c r="I38" i="14"/>
  <c r="J38" i="14"/>
  <c r="U237" i="10" l="1"/>
  <c r="U183" i="10"/>
  <c r="V173" i="10"/>
  <c r="U190" i="10"/>
  <c r="U173" i="10"/>
  <c r="V183" i="10"/>
  <c r="R250" i="10"/>
  <c r="S250" i="10"/>
  <c r="V187" i="10"/>
  <c r="V229" i="10"/>
  <c r="U194" i="10"/>
  <c r="U222" i="10"/>
  <c r="V232" i="10"/>
  <c r="V216" i="10"/>
  <c r="U230" i="10"/>
  <c r="U216" i="10"/>
  <c r="V172" i="10"/>
  <c r="V233" i="10"/>
  <c r="V230" i="10"/>
  <c r="U238" i="10"/>
  <c r="U172" i="10"/>
  <c r="U233" i="10"/>
  <c r="U234" i="10"/>
  <c r="U232" i="10"/>
  <c r="U187" i="10"/>
  <c r="U229" i="10"/>
  <c r="V194" i="10"/>
  <c r="V222" i="10"/>
  <c r="V238" i="10"/>
  <c r="V234" i="10"/>
  <c r="R201" i="10"/>
  <c r="S201" i="10"/>
  <c r="S196" i="10"/>
  <c r="R196" i="10"/>
  <c r="R191" i="10"/>
  <c r="U186" i="10" s="1"/>
  <c r="S191" i="10"/>
  <c r="V186" i="10" s="1"/>
  <c r="S175" i="10"/>
  <c r="V170" i="10" s="1"/>
  <c r="R175" i="10"/>
  <c r="U170" i="10" s="1"/>
  <c r="S209" i="10"/>
  <c r="R209" i="10"/>
  <c r="R197" i="10"/>
  <c r="S197" i="10"/>
  <c r="R200" i="10"/>
  <c r="U200" i="10" s="1"/>
  <c r="S200" i="10"/>
  <c r="V200" i="10" s="1"/>
  <c r="R179" i="10"/>
  <c r="U179" i="10" s="1"/>
  <c r="S179" i="10"/>
  <c r="V179" i="10" s="1"/>
  <c r="R171" i="10"/>
  <c r="S171" i="10"/>
  <c r="S200" i="14"/>
  <c r="R220" i="14"/>
  <c r="U220" i="14" s="1"/>
  <c r="S220" i="14"/>
  <c r="V220" i="14" s="1"/>
  <c r="R224" i="14"/>
  <c r="U224" i="14" s="1"/>
  <c r="S224" i="14"/>
  <c r="V224" i="14" s="1"/>
  <c r="R54" i="14"/>
  <c r="U54" i="14" s="1"/>
  <c r="R29" i="14"/>
  <c r="U29" i="14" s="1"/>
  <c r="R40" i="14"/>
  <c r="U40" i="14" s="1"/>
  <c r="V202" i="14"/>
  <c r="V201" i="14"/>
  <c r="V206" i="14"/>
  <c r="AA194" i="14"/>
  <c r="AA195" i="14"/>
  <c r="V198" i="14"/>
  <c r="V203" i="14"/>
  <c r="AA197" i="14"/>
  <c r="U202" i="14"/>
  <c r="U201" i="14"/>
  <c r="U206" i="14"/>
  <c r="S102" i="14"/>
  <c r="V102" i="14" s="1"/>
  <c r="R199" i="14"/>
  <c r="S284" i="14"/>
  <c r="S280" i="14"/>
  <c r="Q19" i="14" a="1"/>
  <c r="Q19" i="14" s="1"/>
  <c r="AA19" i="14"/>
  <c r="Q79" i="14" a="1"/>
  <c r="Q79" i="14" s="1"/>
  <c r="R79" i="14" s="1"/>
  <c r="U79" i="14" s="1"/>
  <c r="AA79" i="14"/>
  <c r="Q25" i="14" a="1"/>
  <c r="Q25" i="14" s="1"/>
  <c r="AA25" i="14"/>
  <c r="S271" i="14"/>
  <c r="V266" i="14" s="1"/>
  <c r="Q55" i="14" a="1"/>
  <c r="Q55" i="14" s="1"/>
  <c r="S55" i="14" s="1"/>
  <c r="V55" i="14" s="1"/>
  <c r="AA55" i="14"/>
  <c r="R205" i="14"/>
  <c r="U205" i="14" s="1"/>
  <c r="Q276" i="14" a="1"/>
  <c r="Q276" i="14" s="1"/>
  <c r="S276" i="14" s="1"/>
  <c r="V271" i="14" s="1"/>
  <c r="AA271" i="14"/>
  <c r="Q61" i="14" a="1"/>
  <c r="Q61" i="14" s="1"/>
  <c r="AA61" i="14"/>
  <c r="S51" i="14"/>
  <c r="V51" i="14" s="1"/>
  <c r="R203" i="14"/>
  <c r="Q272" i="14" a="1"/>
  <c r="Q272" i="14" s="1"/>
  <c r="S272" i="14" s="1"/>
  <c r="R272" i="14"/>
  <c r="Q194" i="14" a="1"/>
  <c r="Q194" i="14" s="1"/>
  <c r="Q195" i="14" a="1"/>
  <c r="Q195" i="14" s="1"/>
  <c r="Q196" i="14" a="1"/>
  <c r="Q196" i="14" s="1"/>
  <c r="Q197" i="14" a="1"/>
  <c r="Q197" i="14" s="1"/>
  <c r="Q187" i="14" a="1"/>
  <c r="Q187" i="14" s="1"/>
  <c r="Q188" i="14" a="1"/>
  <c r="Q188" i="14" s="1"/>
  <c r="Q189" i="14" a="1"/>
  <c r="Q189" i="14" s="1"/>
  <c r="Q190" i="14" a="1"/>
  <c r="Q190" i="14" s="1"/>
  <c r="Q191" i="14" a="1"/>
  <c r="Q191" i="14" s="1"/>
  <c r="Q192" i="14" a="1"/>
  <c r="Q192" i="14" s="1"/>
  <c r="Q193" i="14" a="1"/>
  <c r="Q193" i="14" s="1"/>
  <c r="AA163" i="10"/>
  <c r="Q163" i="10" a="1"/>
  <c r="Q163" i="10" s="1"/>
  <c r="AA164" i="10"/>
  <c r="Q164" i="10" a="1"/>
  <c r="Q164" i="10" s="1"/>
  <c r="AA165" i="10"/>
  <c r="Q165" i="10" a="1"/>
  <c r="Q165" i="10" s="1"/>
  <c r="AA166" i="10"/>
  <c r="Q166" i="10" a="1"/>
  <c r="Q166" i="10" s="1"/>
  <c r="AA167" i="10"/>
  <c r="Q167" i="10" a="1"/>
  <c r="Q167" i="10" s="1"/>
  <c r="R156" i="10"/>
  <c r="S156" i="10"/>
  <c r="AA141" i="10"/>
  <c r="Q141" i="10" a="1"/>
  <c r="Q141" i="10" s="1"/>
  <c r="AA142" i="10"/>
  <c r="Q142" i="10" a="1"/>
  <c r="Q142" i="10" s="1"/>
  <c r="AA143" i="10"/>
  <c r="Q143" i="10" a="1"/>
  <c r="Q143" i="10" s="1"/>
  <c r="AA144" i="10"/>
  <c r="Q144" i="10" a="1"/>
  <c r="Q144" i="10" s="1"/>
  <c r="AA145" i="10"/>
  <c r="Q145" i="10" a="1"/>
  <c r="Q145" i="10" s="1"/>
  <c r="AA146" i="10"/>
  <c r="Q146" i="10" a="1"/>
  <c r="Q146" i="10" s="1"/>
  <c r="AA147" i="10"/>
  <c r="Q147" i="10" a="1"/>
  <c r="Q147" i="10" s="1"/>
  <c r="AA148" i="10"/>
  <c r="Q148" i="10" a="1"/>
  <c r="Q148" i="10" s="1"/>
  <c r="AA149" i="10"/>
  <c r="Q149" i="10" a="1"/>
  <c r="Q149" i="10" s="1"/>
  <c r="AA150" i="10"/>
  <c r="Q150" i="10" a="1"/>
  <c r="Q150" i="10" s="1"/>
  <c r="AA151" i="10"/>
  <c r="Q151" i="10" a="1"/>
  <c r="Q151" i="10" s="1"/>
  <c r="AA152" i="10"/>
  <c r="Q152" i="10" a="1"/>
  <c r="Q152" i="10" s="1"/>
  <c r="AA153" i="10"/>
  <c r="Q153" i="10" a="1"/>
  <c r="Q153" i="10" s="1"/>
  <c r="AA154" i="10"/>
  <c r="Q154" i="10" a="1"/>
  <c r="Q154" i="10" s="1"/>
  <c r="AA155" i="10"/>
  <c r="Q155" i="10" a="1"/>
  <c r="Q155" i="10" s="1"/>
  <c r="Q157" i="10" a="1"/>
  <c r="Q157" i="10" s="1"/>
  <c r="Q158" i="10" a="1"/>
  <c r="Q158" i="10" s="1"/>
  <c r="Q159" i="10" a="1"/>
  <c r="Q159" i="10" s="1"/>
  <c r="Q160" i="10" a="1"/>
  <c r="Q160" i="10" s="1"/>
  <c r="Q161" i="10" a="1"/>
  <c r="Q161" i="10" s="1"/>
  <c r="Q162" i="10" a="1"/>
  <c r="Q162" i="10" s="1"/>
  <c r="AA91" i="10"/>
  <c r="Q91" i="10" a="1"/>
  <c r="Q91" i="10" s="1"/>
  <c r="AA92" i="10"/>
  <c r="Q92" i="10" a="1"/>
  <c r="Q92" i="10" s="1"/>
  <c r="AA93" i="10"/>
  <c r="Q93" i="10" a="1"/>
  <c r="Q93" i="10" s="1"/>
  <c r="AA94" i="10"/>
  <c r="Q94" i="10" a="1"/>
  <c r="Q94" i="10" s="1"/>
  <c r="AA95" i="10"/>
  <c r="Q95" i="10" a="1"/>
  <c r="Q95" i="10" s="1"/>
  <c r="AA96" i="10"/>
  <c r="Q96" i="10" a="1"/>
  <c r="Q96" i="10" s="1"/>
  <c r="AA97" i="10"/>
  <c r="Q97" i="10" a="1"/>
  <c r="Q97" i="10" s="1"/>
  <c r="AA98" i="10"/>
  <c r="Q98" i="10" a="1"/>
  <c r="Q98" i="10" s="1"/>
  <c r="AA99" i="10"/>
  <c r="Q99" i="10" a="1"/>
  <c r="Q99" i="10" s="1"/>
  <c r="AA100" i="10"/>
  <c r="Q100" i="10" a="1"/>
  <c r="Q100" i="10" s="1"/>
  <c r="AA101" i="10"/>
  <c r="Q101" i="10" a="1"/>
  <c r="Q101" i="10" s="1"/>
  <c r="AA102" i="10"/>
  <c r="Q102" i="10" a="1"/>
  <c r="Q102" i="10" s="1"/>
  <c r="AA103" i="10"/>
  <c r="Q103" i="10" a="1"/>
  <c r="Q103" i="10" s="1"/>
  <c r="AA104" i="10"/>
  <c r="Q104" i="10" a="1"/>
  <c r="Q104" i="10" s="1"/>
  <c r="AA105" i="10"/>
  <c r="Q105" i="10" a="1"/>
  <c r="Q105" i="10" s="1"/>
  <c r="AA106" i="10"/>
  <c r="Q106" i="10" a="1"/>
  <c r="Q106" i="10" s="1"/>
  <c r="AA107" i="10"/>
  <c r="Q107" i="10" a="1"/>
  <c r="Q107" i="10" s="1"/>
  <c r="AA108" i="10"/>
  <c r="Q108" i="10" a="1"/>
  <c r="Q108" i="10" s="1"/>
  <c r="AA109" i="10"/>
  <c r="Q109" i="10" a="1"/>
  <c r="Q109" i="10" s="1"/>
  <c r="AA110" i="10"/>
  <c r="Q110" i="10" a="1"/>
  <c r="Q110" i="10" s="1"/>
  <c r="AA111" i="10"/>
  <c r="Q111" i="10" a="1"/>
  <c r="Q111" i="10" s="1"/>
  <c r="AA112" i="10"/>
  <c r="Q112" i="10" a="1"/>
  <c r="Q112" i="10" s="1"/>
  <c r="AA113" i="10"/>
  <c r="Q113" i="10" a="1"/>
  <c r="Q113" i="10" s="1"/>
  <c r="AA114" i="10"/>
  <c r="Q114" i="10" a="1"/>
  <c r="Q114" i="10" s="1"/>
  <c r="AA115" i="10"/>
  <c r="Q115" i="10" a="1"/>
  <c r="Q115" i="10" s="1"/>
  <c r="AA116" i="10"/>
  <c r="Q116" i="10" a="1"/>
  <c r="Q116" i="10" s="1"/>
  <c r="AA117" i="10"/>
  <c r="Q117" i="10" a="1"/>
  <c r="Q117" i="10" s="1"/>
  <c r="AA118" i="10"/>
  <c r="Q118" i="10" a="1"/>
  <c r="Q118" i="10" s="1"/>
  <c r="AA119" i="10"/>
  <c r="Q119" i="10" a="1"/>
  <c r="Q119" i="10" s="1"/>
  <c r="AA120" i="10"/>
  <c r="Q120" i="10" a="1"/>
  <c r="Q120" i="10" s="1"/>
  <c r="AA121" i="10"/>
  <c r="Q121" i="10" a="1"/>
  <c r="Q121" i="10" s="1"/>
  <c r="AA122" i="10"/>
  <c r="Q122" i="10" a="1"/>
  <c r="Q122" i="10" s="1"/>
  <c r="AA123" i="10"/>
  <c r="Q123" i="10" a="1"/>
  <c r="Q123" i="10" s="1"/>
  <c r="AA124" i="10"/>
  <c r="Q124" i="10" a="1"/>
  <c r="Q124" i="10" s="1"/>
  <c r="AA125" i="10"/>
  <c r="Q125" i="10" a="1"/>
  <c r="Q125" i="10" s="1"/>
  <c r="AA126" i="10"/>
  <c r="Q126" i="10" a="1"/>
  <c r="Q126" i="10" s="1"/>
  <c r="AA127" i="10"/>
  <c r="Q127" i="10" a="1"/>
  <c r="Q127" i="10" s="1"/>
  <c r="AA128" i="10"/>
  <c r="Q128" i="10" a="1"/>
  <c r="Q128" i="10" s="1"/>
  <c r="AA129" i="10"/>
  <c r="Q129" i="10" a="1"/>
  <c r="Q129" i="10" s="1"/>
  <c r="AA130" i="10"/>
  <c r="Q130" i="10" a="1"/>
  <c r="Q130" i="10" s="1"/>
  <c r="AA131" i="10"/>
  <c r="Q131" i="10" a="1"/>
  <c r="Q131" i="10" s="1"/>
  <c r="AA132" i="10"/>
  <c r="Q132" i="10" a="1"/>
  <c r="Q132" i="10" s="1"/>
  <c r="AA133" i="10"/>
  <c r="Q133" i="10" a="1"/>
  <c r="Q133" i="10" s="1"/>
  <c r="AA134" i="10"/>
  <c r="Q134" i="10" a="1"/>
  <c r="Q134" i="10" s="1"/>
  <c r="AA135" i="10"/>
  <c r="Q135" i="10" a="1"/>
  <c r="Q135" i="10" s="1"/>
  <c r="AA136" i="10"/>
  <c r="Q136" i="10" a="1"/>
  <c r="Q136" i="10" s="1"/>
  <c r="AA137" i="10"/>
  <c r="Q137" i="10" a="1"/>
  <c r="Q137" i="10" s="1"/>
  <c r="AA138" i="10"/>
  <c r="Q138" i="10" a="1"/>
  <c r="Q138" i="10" s="1"/>
  <c r="AA139" i="10"/>
  <c r="Q139" i="10" a="1"/>
  <c r="Q139" i="10" s="1"/>
  <c r="AA140" i="10"/>
  <c r="Q140" i="10" a="1"/>
  <c r="Q140" i="10" s="1"/>
  <c r="AA90" i="10"/>
  <c r="Q90" i="10" a="1"/>
  <c r="Q90" i="10" s="1"/>
  <c r="Q105" i="14" a="1"/>
  <c r="Q105" i="14" s="1"/>
  <c r="Q106" i="14" a="1"/>
  <c r="Q106" i="14" s="1"/>
  <c r="Q107" i="14" a="1"/>
  <c r="Q107" i="14" s="1"/>
  <c r="Q108" i="14" a="1"/>
  <c r="Q108" i="14" s="1"/>
  <c r="Q109" i="14" a="1"/>
  <c r="Q109" i="14" s="1"/>
  <c r="Q110" i="14" a="1"/>
  <c r="Q110" i="14" s="1"/>
  <c r="Q111" i="14" a="1"/>
  <c r="Q111" i="14" s="1"/>
  <c r="Q112" i="14" a="1"/>
  <c r="Q112" i="14" s="1"/>
  <c r="Q113" i="14" a="1"/>
  <c r="Q113" i="14" s="1"/>
  <c r="Q114" i="14" a="1"/>
  <c r="Q114" i="14" s="1"/>
  <c r="Q115" i="14" a="1"/>
  <c r="Q115" i="14" s="1"/>
  <c r="Q116" i="14" a="1"/>
  <c r="Q116" i="14" s="1"/>
  <c r="Q117" i="14" a="1"/>
  <c r="Q117" i="14" s="1"/>
  <c r="Q118" i="14" a="1"/>
  <c r="Q118" i="14" s="1"/>
  <c r="Q119" i="14" a="1"/>
  <c r="Q119" i="14" s="1"/>
  <c r="Q120" i="14" a="1"/>
  <c r="Q120" i="14" s="1"/>
  <c r="Q121" i="14" a="1"/>
  <c r="Q121" i="14" s="1"/>
  <c r="Q122" i="14" a="1"/>
  <c r="Q122" i="14" s="1"/>
  <c r="Q123" i="14" a="1"/>
  <c r="Q123" i="14" s="1"/>
  <c r="Q124" i="14" a="1"/>
  <c r="Q124" i="14" s="1"/>
  <c r="Q125" i="14" a="1"/>
  <c r="Q125" i="14" s="1"/>
  <c r="Q126" i="14" a="1"/>
  <c r="Q126" i="14" s="1"/>
  <c r="Q127" i="14" a="1"/>
  <c r="Q127" i="14" s="1"/>
  <c r="Q128" i="14" a="1"/>
  <c r="Q128" i="14" s="1"/>
  <c r="Q129" i="14" a="1"/>
  <c r="Q129" i="14" s="1"/>
  <c r="Q130" i="14" a="1"/>
  <c r="Q130" i="14" s="1"/>
  <c r="Q131" i="14" a="1"/>
  <c r="Q131" i="14" s="1"/>
  <c r="Q132" i="14" a="1"/>
  <c r="Q132" i="14" s="1"/>
  <c r="Q133" i="14" a="1"/>
  <c r="Q133" i="14" s="1"/>
  <c r="Q134" i="14" a="1"/>
  <c r="Q134" i="14" s="1"/>
  <c r="Q135" i="14" a="1"/>
  <c r="Q135" i="14" s="1"/>
  <c r="Q136" i="14" a="1"/>
  <c r="Q136" i="14" s="1"/>
  <c r="Q137" i="14" a="1"/>
  <c r="Q137" i="14" s="1"/>
  <c r="Q138" i="14" a="1"/>
  <c r="Q138" i="14" s="1"/>
  <c r="Q139" i="14" a="1"/>
  <c r="Q139" i="14" s="1"/>
  <c r="Q140" i="14" a="1"/>
  <c r="Q140" i="14" s="1"/>
  <c r="Q141" i="14" a="1"/>
  <c r="Q141" i="14" s="1"/>
  <c r="Q142" i="14" a="1"/>
  <c r="Q142" i="14" s="1"/>
  <c r="Q143" i="14" a="1"/>
  <c r="Q143" i="14" s="1"/>
  <c r="Q144" i="14" a="1"/>
  <c r="Q144" i="14" s="1"/>
  <c r="Q145" i="14" a="1"/>
  <c r="Q145" i="14" s="1"/>
  <c r="Q146" i="14" a="1"/>
  <c r="Q146" i="14" s="1"/>
  <c r="Q147" i="14" a="1"/>
  <c r="Q147" i="14" s="1"/>
  <c r="Q148" i="14" a="1"/>
  <c r="Q148" i="14" s="1"/>
  <c r="Q149" i="14" a="1"/>
  <c r="Q149" i="14" s="1"/>
  <c r="Q150" i="14" a="1"/>
  <c r="Q150" i="14" s="1"/>
  <c r="Q151" i="14" a="1"/>
  <c r="Q151" i="14" s="1"/>
  <c r="Q152" i="14" a="1"/>
  <c r="Q152" i="14" s="1"/>
  <c r="Q153" i="14" a="1"/>
  <c r="Q153" i="14" s="1"/>
  <c r="Q154" i="14" a="1"/>
  <c r="Q154" i="14" s="1"/>
  <c r="Q155" i="14" a="1"/>
  <c r="Q155" i="14" s="1"/>
  <c r="Q156" i="14" a="1"/>
  <c r="Q156" i="14" s="1"/>
  <c r="Q157" i="14" a="1"/>
  <c r="Q157" i="14" s="1"/>
  <c r="Q158" i="14" a="1"/>
  <c r="Q158" i="14" s="1"/>
  <c r="Q159" i="14" a="1"/>
  <c r="Q159" i="14" s="1"/>
  <c r="Q160" i="14" a="1"/>
  <c r="Q160" i="14" s="1"/>
  <c r="Q161" i="14" a="1"/>
  <c r="Q161" i="14" s="1"/>
  <c r="Q162" i="14" a="1"/>
  <c r="Q162" i="14" s="1"/>
  <c r="Q163" i="14" a="1"/>
  <c r="Q163" i="14" s="1"/>
  <c r="Q164" i="14" a="1"/>
  <c r="Q164" i="14" s="1"/>
  <c r="Q165" i="14" a="1"/>
  <c r="Q165" i="14" s="1"/>
  <c r="Q166" i="14" a="1"/>
  <c r="Q166" i="14" s="1"/>
  <c r="Q167" i="14" a="1"/>
  <c r="Q167" i="14" s="1"/>
  <c r="Q168" i="14" a="1"/>
  <c r="Q168" i="14" s="1"/>
  <c r="Q169" i="14" a="1"/>
  <c r="Q169" i="14" s="1"/>
  <c r="Q170" i="14" a="1"/>
  <c r="Q170" i="14" s="1"/>
  <c r="Q171" i="14" a="1"/>
  <c r="Q171" i="14" s="1"/>
  <c r="Q172" i="14" a="1"/>
  <c r="Q172" i="14" s="1"/>
  <c r="Q173" i="14" a="1"/>
  <c r="Q173" i="14" s="1"/>
  <c r="Q174" i="14" a="1"/>
  <c r="Q174" i="14" s="1"/>
  <c r="Q175" i="14" a="1"/>
  <c r="Q175" i="14" s="1"/>
  <c r="Q176" i="14" a="1"/>
  <c r="Q176" i="14" s="1"/>
  <c r="Q177" i="14" a="1"/>
  <c r="Q177" i="14" s="1"/>
  <c r="Q178" i="14" a="1"/>
  <c r="Q178" i="14" s="1"/>
  <c r="Q179" i="14" a="1"/>
  <c r="Q179" i="14" s="1"/>
  <c r="Q180" i="14" a="1"/>
  <c r="Q180" i="14" s="1"/>
  <c r="Q181" i="14" a="1"/>
  <c r="Q181" i="14" s="1"/>
  <c r="Q182" i="14" a="1"/>
  <c r="Q182" i="14" s="1"/>
  <c r="Q183" i="14" a="1"/>
  <c r="Q183" i="14" s="1"/>
  <c r="Q184" i="14" a="1"/>
  <c r="Q184" i="14" s="1"/>
  <c r="Q185" i="14" a="1"/>
  <c r="Q185" i="14" s="1"/>
  <c r="Q186" i="14" a="1"/>
  <c r="Q186" i="14" s="1"/>
  <c r="R74" i="14"/>
  <c r="U74" i="14" s="1"/>
  <c r="S98" i="14"/>
  <c r="V98" i="14" s="1"/>
  <c r="S103" i="14"/>
  <c r="V103" i="14" s="1"/>
  <c r="S100" i="14"/>
  <c r="V100" i="14" s="1"/>
  <c r="R100" i="14"/>
  <c r="U100" i="14" s="1"/>
  <c r="R91" i="14"/>
  <c r="U91" i="14" s="1"/>
  <c r="R95" i="14"/>
  <c r="U95" i="14" s="1"/>
  <c r="Q104" i="14" a="1"/>
  <c r="Q104" i="14" s="1"/>
  <c r="Q96" i="14" a="1"/>
  <c r="Q96" i="14" s="1"/>
  <c r="R20" i="14"/>
  <c r="U20" i="14" s="1"/>
  <c r="S16" i="14"/>
  <c r="V16" i="14" s="1"/>
  <c r="Q86" i="14" a="1"/>
  <c r="Q86" i="14" s="1"/>
  <c r="S86" i="14" s="1"/>
  <c r="V86" i="14" s="1"/>
  <c r="Q44" i="14" a="1"/>
  <c r="Q44" i="14" s="1"/>
  <c r="R44" i="14" s="1"/>
  <c r="U44" i="14" s="1"/>
  <c r="Q92" i="14" a="1"/>
  <c r="Q92" i="14" s="1"/>
  <c r="S90" i="14"/>
  <c r="V90" i="14" s="1"/>
  <c r="S36" i="14"/>
  <c r="V36" i="14" s="1"/>
  <c r="Q93" i="14" a="1"/>
  <c r="Q93" i="14" s="1"/>
  <c r="S70" i="14"/>
  <c r="V70" i="14" s="1"/>
  <c r="Q11" i="14" a="1"/>
  <c r="Q11" i="14" s="1"/>
  <c r="S11" i="14" s="1"/>
  <c r="V11" i="14" s="1"/>
  <c r="S99" i="14"/>
  <c r="V99" i="14" s="1"/>
  <c r="R99" i="14"/>
  <c r="U99" i="14" s="1"/>
  <c r="Q101" i="14" a="1"/>
  <c r="Q101" i="14" s="1"/>
  <c r="Q97" i="14" a="1"/>
  <c r="Q97" i="14" s="1"/>
  <c r="S53" i="14"/>
  <c r="V53" i="14" s="1"/>
  <c r="Q87" i="14" a="1"/>
  <c r="Q87" i="14" s="1"/>
  <c r="S87" i="14" s="1"/>
  <c r="V87" i="14" s="1"/>
  <c r="Q14" i="14" a="1"/>
  <c r="Q14" i="14" s="1"/>
  <c r="S14" i="14" s="1"/>
  <c r="V14" i="14" s="1"/>
  <c r="R73" i="14"/>
  <c r="U73" i="14" s="1"/>
  <c r="Q89" i="14" a="1"/>
  <c r="Q89" i="14" s="1"/>
  <c r="S89" i="14" s="1"/>
  <c r="V89" i="14" s="1"/>
  <c r="S45" i="14"/>
  <c r="V45" i="14" s="1"/>
  <c r="R69" i="14"/>
  <c r="U69" i="14" s="1"/>
  <c r="S69" i="14"/>
  <c r="V69" i="14" s="1"/>
  <c r="Q23" i="14" a="1"/>
  <c r="Q23" i="14" s="1"/>
  <c r="S23" i="14" s="1"/>
  <c r="V23" i="14" s="1"/>
  <c r="Q77" i="14" a="1"/>
  <c r="Q77" i="14" s="1"/>
  <c r="R77" i="14" s="1"/>
  <c r="U77" i="14" s="1"/>
  <c r="Q17" i="14" a="1"/>
  <c r="Q17" i="14" s="1"/>
  <c r="S17" i="14" s="1"/>
  <c r="V17" i="14" s="1"/>
  <c r="Q12" i="14" a="1"/>
  <c r="Q12" i="14" s="1"/>
  <c r="R12" i="14" s="1"/>
  <c r="U12" i="14" s="1"/>
  <c r="Q18" i="14" a="1"/>
  <c r="Q18" i="14" s="1"/>
  <c r="S18" i="14" s="1"/>
  <c r="V18" i="14" s="1"/>
  <c r="Q82" i="14" a="1"/>
  <c r="Q82" i="14" s="1"/>
  <c r="R82" i="14" s="1"/>
  <c r="U82" i="14" s="1"/>
  <c r="K43" i="14"/>
  <c r="P43" i="14" s="1" a="1"/>
  <c r="P43" i="14" s="1"/>
  <c r="AA43" i="14" s="1"/>
  <c r="K39" i="14"/>
  <c r="P39" i="14" s="1" a="1"/>
  <c r="P39" i="14" s="1"/>
  <c r="AA39" i="14" s="1"/>
  <c r="K27" i="14"/>
  <c r="P27" i="14" s="1" a="1"/>
  <c r="P27" i="14" s="1"/>
  <c r="AA27" i="14" s="1"/>
  <c r="K50" i="14"/>
  <c r="P50" i="14" s="1" a="1"/>
  <c r="P50" i="14" s="1"/>
  <c r="K85" i="14"/>
  <c r="P85" i="14" s="1" a="1"/>
  <c r="P85" i="14" s="1"/>
  <c r="AA85" i="14" s="1"/>
  <c r="K58" i="14"/>
  <c r="P58" i="14" s="1" a="1"/>
  <c r="P58" i="14" s="1"/>
  <c r="AA58" i="14" s="1"/>
  <c r="Q83" i="14" a="1"/>
  <c r="Q83" i="14" s="1"/>
  <c r="R83" i="14" s="1"/>
  <c r="U83" i="14" s="1"/>
  <c r="Q72" i="14" a="1"/>
  <c r="Q72" i="14" s="1"/>
  <c r="R72" i="14" s="1"/>
  <c r="U72" i="14" s="1"/>
  <c r="Q81" i="14" a="1"/>
  <c r="Q81" i="14" s="1"/>
  <c r="R81" i="14" s="1"/>
  <c r="U81" i="14" s="1"/>
  <c r="K35" i="14"/>
  <c r="P35" i="14" s="1" a="1"/>
  <c r="P35" i="14" s="1"/>
  <c r="AA35" i="14" s="1"/>
  <c r="Q52" i="14" a="1"/>
  <c r="Q52" i="14" s="1"/>
  <c r="S52" i="14" s="1"/>
  <c r="V52" i="14" s="1"/>
  <c r="Q28" i="14" a="1"/>
  <c r="Q28" i="14" s="1"/>
  <c r="R62" i="14"/>
  <c r="U62" i="14" s="1"/>
  <c r="S62" i="14"/>
  <c r="V62" i="14" s="1"/>
  <c r="R33" i="14"/>
  <c r="U33" i="14" s="1"/>
  <c r="S33" i="14"/>
  <c r="V33" i="14" s="1"/>
  <c r="Q56" i="14" a="1"/>
  <c r="Q56" i="14" s="1"/>
  <c r="Q6" i="14" a="1"/>
  <c r="Q6" i="14" s="1"/>
  <c r="K71" i="14"/>
  <c r="P71" i="14" s="1" a="1"/>
  <c r="P71" i="14" s="1"/>
  <c r="AA71" i="14" s="1"/>
  <c r="K30" i="14"/>
  <c r="P30" i="14" s="1" a="1"/>
  <c r="P30" i="14" s="1"/>
  <c r="AA30" i="14" s="1"/>
  <c r="Q80" i="14" a="1"/>
  <c r="Q80" i="14" s="1"/>
  <c r="S63" i="14"/>
  <c r="V63" i="14" s="1"/>
  <c r="R63" i="14"/>
  <c r="U63" i="14" s="1"/>
  <c r="Q75" i="14" a="1"/>
  <c r="Q75" i="14" s="1"/>
  <c r="Q65" i="14" a="1"/>
  <c r="Q65" i="14" s="1"/>
  <c r="S19" i="14"/>
  <c r="V19" i="14" s="1"/>
  <c r="R19" i="14"/>
  <c r="U19" i="14" s="1"/>
  <c r="K76" i="14"/>
  <c r="P76" i="14" s="1" a="1"/>
  <c r="P76" i="14" s="1"/>
  <c r="AA76" i="14" s="1"/>
  <c r="R41" i="14"/>
  <c r="U41" i="14" s="1"/>
  <c r="S41" i="14"/>
  <c r="V41" i="14" s="1"/>
  <c r="Q46" i="14" a="1"/>
  <c r="Q46" i="14" s="1"/>
  <c r="Q7" i="14" a="1"/>
  <c r="Q7" i="14" s="1"/>
  <c r="Q84" i="14" a="1"/>
  <c r="Q84" i="14" s="1"/>
  <c r="R49" i="14"/>
  <c r="U49" i="14" s="1"/>
  <c r="S49" i="14"/>
  <c r="V49" i="14" s="1"/>
  <c r="Q8" i="14" a="1"/>
  <c r="Q8" i="14" s="1"/>
  <c r="Q34" i="14" a="1"/>
  <c r="Q34" i="14" s="1"/>
  <c r="Q15" i="14" a="1"/>
  <c r="Q15" i="14" s="1"/>
  <c r="R24" i="14"/>
  <c r="U24" i="14" s="1"/>
  <c r="S24" i="14"/>
  <c r="V24" i="14" s="1"/>
  <c r="K67" i="14"/>
  <c r="P67" i="14" s="1" a="1"/>
  <c r="P67" i="14" s="1"/>
  <c r="AA67" i="14" s="1"/>
  <c r="R57" i="14"/>
  <c r="U57" i="14" s="1"/>
  <c r="S57" i="14"/>
  <c r="V57" i="14" s="1"/>
  <c r="Q88" i="14" a="1"/>
  <c r="Q88" i="14" s="1"/>
  <c r="Q47" i="14" a="1"/>
  <c r="Q47" i="14" s="1"/>
  <c r="R37" i="14"/>
  <c r="U37" i="14" s="1"/>
  <c r="S37" i="14"/>
  <c r="V37" i="14" s="1"/>
  <c r="R66" i="14"/>
  <c r="U66" i="14" s="1"/>
  <c r="S66" i="14"/>
  <c r="V66" i="14" s="1"/>
  <c r="K38" i="14"/>
  <c r="P38" i="14" s="1" a="1"/>
  <c r="P38" i="14" s="1"/>
  <c r="AA38" i="14" s="1"/>
  <c r="K68" i="14"/>
  <c r="P68" i="14" s="1" a="1"/>
  <c r="P68" i="14" s="1"/>
  <c r="AA68" i="14" s="1"/>
  <c r="Q22" i="14" a="1"/>
  <c r="Q22" i="14" s="1"/>
  <c r="Q26" i="14" a="1"/>
  <c r="Q26" i="14" s="1"/>
  <c r="Q78" i="14" a="1"/>
  <c r="Q78" i="14" s="1"/>
  <c r="Q42" i="14" a="1"/>
  <c r="Q42" i="14" s="1"/>
  <c r="Q48" i="14" a="1"/>
  <c r="Q48" i="14" s="1"/>
  <c r="R64" i="14"/>
  <c r="U64" i="14" s="1"/>
  <c r="S64" i="14"/>
  <c r="V64" i="14" s="1"/>
  <c r="S25" i="14"/>
  <c r="V25" i="14" s="1"/>
  <c r="R25" i="14"/>
  <c r="U25" i="14" s="1"/>
  <c r="K31" i="14"/>
  <c r="P31" i="14" s="1" a="1"/>
  <c r="P31" i="14" s="1"/>
  <c r="AA31" i="14" s="1"/>
  <c r="S61" i="14"/>
  <c r="V61" i="14" s="1"/>
  <c r="R61" i="14"/>
  <c r="U61" i="14" s="1"/>
  <c r="R32" i="14"/>
  <c r="U32" i="14" s="1"/>
  <c r="S32" i="14"/>
  <c r="V32" i="14" s="1"/>
  <c r="Q21" i="14" a="1"/>
  <c r="Q21" i="14" s="1"/>
  <c r="V174" i="10" l="1"/>
  <c r="U174" i="10"/>
  <c r="V171" i="10"/>
  <c r="U209" i="10"/>
  <c r="U204" i="10"/>
  <c r="U171" i="10"/>
  <c r="V209" i="10"/>
  <c r="V204" i="10"/>
  <c r="U191" i="10"/>
  <c r="U219" i="10"/>
  <c r="U201" i="10"/>
  <c r="V231" i="10"/>
  <c r="V215" i="10"/>
  <c r="U231" i="10"/>
  <c r="V197" i="10"/>
  <c r="V212" i="10"/>
  <c r="U196" i="10"/>
  <c r="U197" i="10"/>
  <c r="U212" i="10"/>
  <c r="V196" i="10"/>
  <c r="V243" i="10"/>
  <c r="V191" i="10"/>
  <c r="V219" i="10"/>
  <c r="V201" i="10"/>
  <c r="U205" i="10"/>
  <c r="U243" i="10"/>
  <c r="U215" i="10"/>
  <c r="V205" i="10"/>
  <c r="R55" i="14"/>
  <c r="U55" i="14" s="1"/>
  <c r="S79" i="14"/>
  <c r="V79" i="14" s="1"/>
  <c r="R276" i="14"/>
  <c r="U271" i="14" s="1"/>
  <c r="U198" i="14"/>
  <c r="U203" i="14"/>
  <c r="Q50" i="14" a="1"/>
  <c r="Q50" i="14" s="1"/>
  <c r="AA50" i="14"/>
  <c r="R197" i="14"/>
  <c r="S197" i="14"/>
  <c r="R196" i="14"/>
  <c r="S196" i="14"/>
  <c r="V277" i="14" s="1"/>
  <c r="R195" i="14"/>
  <c r="U195" i="14" s="1"/>
  <c r="S195" i="14"/>
  <c r="R194" i="14"/>
  <c r="U194" i="14" s="1"/>
  <c r="S194" i="14"/>
  <c r="R193" i="14"/>
  <c r="U193" i="14" s="1"/>
  <c r="S193" i="14"/>
  <c r="V193" i="14" s="1"/>
  <c r="R192" i="14"/>
  <c r="U192" i="14" s="1"/>
  <c r="S192" i="14"/>
  <c r="V192" i="14" s="1"/>
  <c r="R191" i="14"/>
  <c r="U191" i="14" s="1"/>
  <c r="S191" i="14"/>
  <c r="V191" i="14" s="1"/>
  <c r="R190" i="14"/>
  <c r="U190" i="14" s="1"/>
  <c r="S190" i="14"/>
  <c r="V190" i="14" s="1"/>
  <c r="R189" i="14"/>
  <c r="U189" i="14" s="1"/>
  <c r="S189" i="14"/>
  <c r="V189" i="14" s="1"/>
  <c r="R188" i="14"/>
  <c r="U188" i="14" s="1"/>
  <c r="S188" i="14"/>
  <c r="V188" i="14" s="1"/>
  <c r="R187" i="14"/>
  <c r="U187" i="14" s="1"/>
  <c r="S187" i="14"/>
  <c r="V187" i="14" s="1"/>
  <c r="R167" i="10"/>
  <c r="S167" i="10"/>
  <c r="R166" i="10"/>
  <c r="S166" i="10"/>
  <c r="R165" i="10"/>
  <c r="S165" i="10"/>
  <c r="R164" i="10"/>
  <c r="S164" i="10"/>
  <c r="R163" i="10"/>
  <c r="S163" i="10"/>
  <c r="R90" i="10"/>
  <c r="U90" i="10" s="1"/>
  <c r="S90" i="10"/>
  <c r="V90" i="10" s="1"/>
  <c r="R140" i="10"/>
  <c r="U140" i="10" s="1"/>
  <c r="S140" i="10"/>
  <c r="V140" i="10" s="1"/>
  <c r="R139" i="10"/>
  <c r="U139" i="10" s="1"/>
  <c r="S139" i="10"/>
  <c r="V139" i="10" s="1"/>
  <c r="R138" i="10"/>
  <c r="U138" i="10" s="1"/>
  <c r="S138" i="10"/>
  <c r="V138" i="10" s="1"/>
  <c r="R137" i="10"/>
  <c r="U137" i="10" s="1"/>
  <c r="S137" i="10"/>
  <c r="V137" i="10" s="1"/>
  <c r="R136" i="10"/>
  <c r="U136" i="10" s="1"/>
  <c r="S136" i="10"/>
  <c r="V136" i="10" s="1"/>
  <c r="R135" i="10"/>
  <c r="U135" i="10" s="1"/>
  <c r="S135" i="10"/>
  <c r="V135" i="10" s="1"/>
  <c r="R134" i="10"/>
  <c r="U134" i="10" s="1"/>
  <c r="S134" i="10"/>
  <c r="V134" i="10" s="1"/>
  <c r="R133" i="10"/>
  <c r="U133" i="10" s="1"/>
  <c r="S133" i="10"/>
  <c r="V133" i="10" s="1"/>
  <c r="R132" i="10"/>
  <c r="U132" i="10" s="1"/>
  <c r="S132" i="10"/>
  <c r="V132" i="10" s="1"/>
  <c r="R131" i="10"/>
  <c r="U131" i="10" s="1"/>
  <c r="S131" i="10"/>
  <c r="V131" i="10" s="1"/>
  <c r="R130" i="10"/>
  <c r="U130" i="10" s="1"/>
  <c r="S130" i="10"/>
  <c r="V130" i="10" s="1"/>
  <c r="R129" i="10"/>
  <c r="U129" i="10" s="1"/>
  <c r="S129" i="10"/>
  <c r="V129" i="10" s="1"/>
  <c r="R128" i="10"/>
  <c r="U128" i="10" s="1"/>
  <c r="S128" i="10"/>
  <c r="V128" i="10" s="1"/>
  <c r="R127" i="10"/>
  <c r="U127" i="10" s="1"/>
  <c r="S127" i="10"/>
  <c r="V127" i="10" s="1"/>
  <c r="R126" i="10"/>
  <c r="U126" i="10" s="1"/>
  <c r="S126" i="10"/>
  <c r="V126" i="10" s="1"/>
  <c r="R125" i="10"/>
  <c r="U125" i="10" s="1"/>
  <c r="S125" i="10"/>
  <c r="V125" i="10" s="1"/>
  <c r="R124" i="10"/>
  <c r="U124" i="10" s="1"/>
  <c r="S124" i="10"/>
  <c r="V124" i="10" s="1"/>
  <c r="R123" i="10"/>
  <c r="U123" i="10" s="1"/>
  <c r="S123" i="10"/>
  <c r="V123" i="10" s="1"/>
  <c r="R122" i="10"/>
  <c r="U122" i="10" s="1"/>
  <c r="S122" i="10"/>
  <c r="V122" i="10" s="1"/>
  <c r="R121" i="10"/>
  <c r="U121" i="10" s="1"/>
  <c r="S121" i="10"/>
  <c r="V121" i="10" s="1"/>
  <c r="R120" i="10"/>
  <c r="U120" i="10" s="1"/>
  <c r="S120" i="10"/>
  <c r="V120" i="10" s="1"/>
  <c r="R119" i="10"/>
  <c r="U119" i="10" s="1"/>
  <c r="S119" i="10"/>
  <c r="V119" i="10" s="1"/>
  <c r="R118" i="10"/>
  <c r="U118" i="10" s="1"/>
  <c r="S118" i="10"/>
  <c r="V118" i="10" s="1"/>
  <c r="R117" i="10"/>
  <c r="U117" i="10" s="1"/>
  <c r="S117" i="10"/>
  <c r="V117" i="10" s="1"/>
  <c r="R116" i="10"/>
  <c r="U116" i="10" s="1"/>
  <c r="S116" i="10"/>
  <c r="V116" i="10" s="1"/>
  <c r="R115" i="10"/>
  <c r="U115" i="10" s="1"/>
  <c r="S115" i="10"/>
  <c r="V115" i="10" s="1"/>
  <c r="R114" i="10"/>
  <c r="U114" i="10" s="1"/>
  <c r="S114" i="10"/>
  <c r="V114" i="10" s="1"/>
  <c r="R113" i="10"/>
  <c r="U113" i="10" s="1"/>
  <c r="S113" i="10"/>
  <c r="V113" i="10" s="1"/>
  <c r="R112" i="10"/>
  <c r="U112" i="10" s="1"/>
  <c r="S112" i="10"/>
  <c r="V112" i="10" s="1"/>
  <c r="R111" i="10"/>
  <c r="U111" i="10" s="1"/>
  <c r="S111" i="10"/>
  <c r="V111" i="10" s="1"/>
  <c r="R110" i="10"/>
  <c r="U110" i="10" s="1"/>
  <c r="S110" i="10"/>
  <c r="V110" i="10" s="1"/>
  <c r="R109" i="10"/>
  <c r="U109" i="10" s="1"/>
  <c r="S109" i="10"/>
  <c r="V109" i="10" s="1"/>
  <c r="R108" i="10"/>
  <c r="U108" i="10" s="1"/>
  <c r="S108" i="10"/>
  <c r="V108" i="10" s="1"/>
  <c r="R107" i="10"/>
  <c r="S107" i="10"/>
  <c r="R106" i="10"/>
  <c r="S106" i="10"/>
  <c r="R105" i="10"/>
  <c r="U105" i="10" s="1"/>
  <c r="S105" i="10"/>
  <c r="V105" i="10" s="1"/>
  <c r="R104" i="10"/>
  <c r="U104" i="10" s="1"/>
  <c r="S104" i="10"/>
  <c r="V104" i="10" s="1"/>
  <c r="R103" i="10"/>
  <c r="U103" i="10" s="1"/>
  <c r="S103" i="10"/>
  <c r="V103" i="10" s="1"/>
  <c r="R102" i="10"/>
  <c r="U102" i="10" s="1"/>
  <c r="S102" i="10"/>
  <c r="V102" i="10" s="1"/>
  <c r="R101" i="10"/>
  <c r="U101" i="10" s="1"/>
  <c r="S101" i="10"/>
  <c r="V101" i="10" s="1"/>
  <c r="R100" i="10"/>
  <c r="U100" i="10" s="1"/>
  <c r="S100" i="10"/>
  <c r="V100" i="10" s="1"/>
  <c r="R99" i="10"/>
  <c r="U99" i="10" s="1"/>
  <c r="S99" i="10"/>
  <c r="V99" i="10" s="1"/>
  <c r="R98" i="10"/>
  <c r="U98" i="10" s="1"/>
  <c r="S98" i="10"/>
  <c r="V98" i="10" s="1"/>
  <c r="R97" i="10"/>
  <c r="U97" i="10" s="1"/>
  <c r="S97" i="10"/>
  <c r="V97" i="10" s="1"/>
  <c r="R96" i="10"/>
  <c r="U96" i="10" s="1"/>
  <c r="S96" i="10"/>
  <c r="V96" i="10" s="1"/>
  <c r="R95" i="10"/>
  <c r="U95" i="10" s="1"/>
  <c r="S95" i="10"/>
  <c r="V95" i="10" s="1"/>
  <c r="R94" i="10"/>
  <c r="U94" i="10" s="1"/>
  <c r="S94" i="10"/>
  <c r="V94" i="10" s="1"/>
  <c r="R93" i="10"/>
  <c r="U93" i="10" s="1"/>
  <c r="S93" i="10"/>
  <c r="V93" i="10" s="1"/>
  <c r="R92" i="10"/>
  <c r="U92" i="10" s="1"/>
  <c r="S92" i="10"/>
  <c r="V92" i="10" s="1"/>
  <c r="R91" i="10"/>
  <c r="U91" i="10" s="1"/>
  <c r="S91" i="10"/>
  <c r="V91" i="10" s="1"/>
  <c r="R162" i="10"/>
  <c r="S162" i="10"/>
  <c r="R161" i="10"/>
  <c r="S161" i="10"/>
  <c r="R160" i="10"/>
  <c r="S160" i="10"/>
  <c r="R159" i="10"/>
  <c r="S159" i="10"/>
  <c r="R158" i="10"/>
  <c r="S158" i="10"/>
  <c r="R157" i="10"/>
  <c r="S157" i="10"/>
  <c r="R155" i="10"/>
  <c r="U155" i="10" s="1"/>
  <c r="S155" i="10"/>
  <c r="V155" i="10" s="1"/>
  <c r="R154" i="10"/>
  <c r="U154" i="10" s="1"/>
  <c r="S154" i="10"/>
  <c r="V154" i="10" s="1"/>
  <c r="R153" i="10"/>
  <c r="U153" i="10" s="1"/>
  <c r="S153" i="10"/>
  <c r="V153" i="10" s="1"/>
  <c r="R152" i="10"/>
  <c r="U152" i="10" s="1"/>
  <c r="S152" i="10"/>
  <c r="V152" i="10" s="1"/>
  <c r="R151" i="10"/>
  <c r="U151" i="10" s="1"/>
  <c r="S151" i="10"/>
  <c r="V151" i="10" s="1"/>
  <c r="R150" i="10"/>
  <c r="U150" i="10" s="1"/>
  <c r="S150" i="10"/>
  <c r="V150" i="10" s="1"/>
  <c r="R149" i="10"/>
  <c r="U149" i="10" s="1"/>
  <c r="S149" i="10"/>
  <c r="V149" i="10" s="1"/>
  <c r="R148" i="10"/>
  <c r="U148" i="10" s="1"/>
  <c r="S148" i="10"/>
  <c r="V148" i="10" s="1"/>
  <c r="R147" i="10"/>
  <c r="U147" i="10" s="1"/>
  <c r="S147" i="10"/>
  <c r="V147" i="10" s="1"/>
  <c r="R146" i="10"/>
  <c r="U146" i="10" s="1"/>
  <c r="S146" i="10"/>
  <c r="V146" i="10" s="1"/>
  <c r="R145" i="10"/>
  <c r="U145" i="10" s="1"/>
  <c r="S145" i="10"/>
  <c r="V145" i="10" s="1"/>
  <c r="R144" i="10"/>
  <c r="U144" i="10" s="1"/>
  <c r="S144" i="10"/>
  <c r="V144" i="10" s="1"/>
  <c r="R143" i="10"/>
  <c r="U143" i="10" s="1"/>
  <c r="S143" i="10"/>
  <c r="V143" i="10" s="1"/>
  <c r="R142" i="10"/>
  <c r="U142" i="10" s="1"/>
  <c r="S142" i="10"/>
  <c r="V142" i="10" s="1"/>
  <c r="R141" i="10"/>
  <c r="U141" i="10" s="1"/>
  <c r="S141" i="10"/>
  <c r="V141" i="10" s="1"/>
  <c r="R186" i="14"/>
  <c r="U186" i="14" s="1"/>
  <c r="S186" i="14"/>
  <c r="V186" i="14" s="1"/>
  <c r="R185" i="14"/>
  <c r="U185" i="14" s="1"/>
  <c r="S185" i="14"/>
  <c r="V185" i="14" s="1"/>
  <c r="R184" i="14"/>
  <c r="U184" i="14" s="1"/>
  <c r="S184" i="14"/>
  <c r="V184" i="14" s="1"/>
  <c r="R183" i="14"/>
  <c r="U183" i="14" s="1"/>
  <c r="S183" i="14"/>
  <c r="V183" i="14" s="1"/>
  <c r="R182" i="14"/>
  <c r="U182" i="14" s="1"/>
  <c r="S182" i="14"/>
  <c r="V182" i="14" s="1"/>
  <c r="R181" i="14"/>
  <c r="U181" i="14" s="1"/>
  <c r="S181" i="14"/>
  <c r="V181" i="14" s="1"/>
  <c r="R180" i="14"/>
  <c r="U180" i="14" s="1"/>
  <c r="S180" i="14"/>
  <c r="V180" i="14" s="1"/>
  <c r="R179" i="14"/>
  <c r="U179" i="14" s="1"/>
  <c r="S179" i="14"/>
  <c r="V179" i="14" s="1"/>
  <c r="R178" i="14"/>
  <c r="U178" i="14" s="1"/>
  <c r="S178" i="14"/>
  <c r="V178" i="14" s="1"/>
  <c r="R177" i="14"/>
  <c r="U177" i="14" s="1"/>
  <c r="S177" i="14"/>
  <c r="V177" i="14" s="1"/>
  <c r="R176" i="14"/>
  <c r="U176" i="14" s="1"/>
  <c r="S176" i="14"/>
  <c r="V176" i="14" s="1"/>
  <c r="R175" i="14"/>
  <c r="U175" i="14" s="1"/>
  <c r="S175" i="14"/>
  <c r="V175" i="14" s="1"/>
  <c r="R174" i="14"/>
  <c r="U174" i="14" s="1"/>
  <c r="S174" i="14"/>
  <c r="V174" i="14" s="1"/>
  <c r="R173" i="14"/>
  <c r="U173" i="14" s="1"/>
  <c r="S173" i="14"/>
  <c r="V173" i="14" s="1"/>
  <c r="R172" i="14"/>
  <c r="U172" i="14" s="1"/>
  <c r="S172" i="14"/>
  <c r="V172" i="14" s="1"/>
  <c r="R171" i="14"/>
  <c r="U171" i="14" s="1"/>
  <c r="S171" i="14"/>
  <c r="V171" i="14" s="1"/>
  <c r="R170" i="14"/>
  <c r="U170" i="14" s="1"/>
  <c r="S170" i="14"/>
  <c r="V170" i="14" s="1"/>
  <c r="R169" i="14"/>
  <c r="U169" i="14" s="1"/>
  <c r="S169" i="14"/>
  <c r="V169" i="14" s="1"/>
  <c r="R168" i="14"/>
  <c r="U168" i="14" s="1"/>
  <c r="S168" i="14"/>
  <c r="V168" i="14" s="1"/>
  <c r="R167" i="14"/>
  <c r="U167" i="14" s="1"/>
  <c r="S167" i="14"/>
  <c r="V167" i="14" s="1"/>
  <c r="R166" i="14"/>
  <c r="U166" i="14" s="1"/>
  <c r="S166" i="14"/>
  <c r="V166" i="14" s="1"/>
  <c r="R165" i="14"/>
  <c r="U165" i="14" s="1"/>
  <c r="S165" i="14"/>
  <c r="V165" i="14" s="1"/>
  <c r="R164" i="14"/>
  <c r="U164" i="14" s="1"/>
  <c r="S164" i="14"/>
  <c r="V164" i="14" s="1"/>
  <c r="R163" i="14"/>
  <c r="U163" i="14" s="1"/>
  <c r="S163" i="14"/>
  <c r="V163" i="14" s="1"/>
  <c r="R162" i="14"/>
  <c r="U162" i="14" s="1"/>
  <c r="S162" i="14"/>
  <c r="V162" i="14" s="1"/>
  <c r="R161" i="14"/>
  <c r="U161" i="14" s="1"/>
  <c r="S161" i="14"/>
  <c r="V161" i="14" s="1"/>
  <c r="R160" i="14"/>
  <c r="U160" i="14" s="1"/>
  <c r="S160" i="14"/>
  <c r="V160" i="14" s="1"/>
  <c r="R159" i="14"/>
  <c r="U159" i="14" s="1"/>
  <c r="S159" i="14"/>
  <c r="V159" i="14" s="1"/>
  <c r="R158" i="14"/>
  <c r="U158" i="14" s="1"/>
  <c r="S158" i="14"/>
  <c r="V158" i="14" s="1"/>
  <c r="R157" i="14"/>
  <c r="U157" i="14" s="1"/>
  <c r="S157" i="14"/>
  <c r="V157" i="14" s="1"/>
  <c r="R156" i="14"/>
  <c r="U156" i="14" s="1"/>
  <c r="S156" i="14"/>
  <c r="V156" i="14" s="1"/>
  <c r="R155" i="14"/>
  <c r="U155" i="14" s="1"/>
  <c r="S155" i="14"/>
  <c r="V155" i="14" s="1"/>
  <c r="R154" i="14"/>
  <c r="U154" i="14" s="1"/>
  <c r="S154" i="14"/>
  <c r="V154" i="14" s="1"/>
  <c r="R153" i="14"/>
  <c r="U153" i="14" s="1"/>
  <c r="S153" i="14"/>
  <c r="V153" i="14" s="1"/>
  <c r="R152" i="14"/>
  <c r="U152" i="14" s="1"/>
  <c r="S152" i="14"/>
  <c r="V152" i="14" s="1"/>
  <c r="R151" i="14"/>
  <c r="U151" i="14" s="1"/>
  <c r="S151" i="14"/>
  <c r="V151" i="14" s="1"/>
  <c r="R150" i="14"/>
  <c r="U150" i="14" s="1"/>
  <c r="S150" i="14"/>
  <c r="V150" i="14" s="1"/>
  <c r="R149" i="14"/>
  <c r="U149" i="14" s="1"/>
  <c r="S149" i="14"/>
  <c r="V149" i="14" s="1"/>
  <c r="R148" i="14"/>
  <c r="U148" i="14" s="1"/>
  <c r="S148" i="14"/>
  <c r="V148" i="14" s="1"/>
  <c r="R147" i="14"/>
  <c r="U147" i="14" s="1"/>
  <c r="S147" i="14"/>
  <c r="V147" i="14" s="1"/>
  <c r="R146" i="14"/>
  <c r="U146" i="14" s="1"/>
  <c r="S146" i="14"/>
  <c r="V146" i="14" s="1"/>
  <c r="R145" i="14"/>
  <c r="U145" i="14" s="1"/>
  <c r="S145" i="14"/>
  <c r="V145" i="14" s="1"/>
  <c r="R144" i="14"/>
  <c r="U144" i="14" s="1"/>
  <c r="S144" i="14"/>
  <c r="V144" i="14" s="1"/>
  <c r="R143" i="14"/>
  <c r="U143" i="14" s="1"/>
  <c r="S143" i="14"/>
  <c r="V143" i="14" s="1"/>
  <c r="R142" i="14"/>
  <c r="U142" i="14" s="1"/>
  <c r="S142" i="14"/>
  <c r="V142" i="14" s="1"/>
  <c r="R141" i="14"/>
  <c r="U141" i="14" s="1"/>
  <c r="S141" i="14"/>
  <c r="V141" i="14" s="1"/>
  <c r="R140" i="14"/>
  <c r="U140" i="14" s="1"/>
  <c r="S140" i="14"/>
  <c r="V140" i="14" s="1"/>
  <c r="R139" i="14"/>
  <c r="U139" i="14" s="1"/>
  <c r="S139" i="14"/>
  <c r="V139" i="14" s="1"/>
  <c r="R138" i="14"/>
  <c r="U138" i="14" s="1"/>
  <c r="S138" i="14"/>
  <c r="V138" i="14" s="1"/>
  <c r="R137" i="14"/>
  <c r="U137" i="14" s="1"/>
  <c r="S137" i="14"/>
  <c r="V137" i="14" s="1"/>
  <c r="R136" i="14"/>
  <c r="U136" i="14" s="1"/>
  <c r="S136" i="14"/>
  <c r="V136" i="14" s="1"/>
  <c r="R135" i="14"/>
  <c r="U135" i="14" s="1"/>
  <c r="S135" i="14"/>
  <c r="V135" i="14" s="1"/>
  <c r="R134" i="14"/>
  <c r="U134" i="14" s="1"/>
  <c r="S134" i="14"/>
  <c r="V134" i="14" s="1"/>
  <c r="R133" i="14"/>
  <c r="U133" i="14" s="1"/>
  <c r="S133" i="14"/>
  <c r="V133" i="14" s="1"/>
  <c r="R132" i="14"/>
  <c r="U132" i="14" s="1"/>
  <c r="S132" i="14"/>
  <c r="V132" i="14" s="1"/>
  <c r="R131" i="14"/>
  <c r="U131" i="14" s="1"/>
  <c r="S131" i="14"/>
  <c r="V131" i="14" s="1"/>
  <c r="R130" i="14"/>
  <c r="U130" i="14" s="1"/>
  <c r="S130" i="14"/>
  <c r="V130" i="14" s="1"/>
  <c r="R129" i="14"/>
  <c r="U129" i="14" s="1"/>
  <c r="S129" i="14"/>
  <c r="V129" i="14" s="1"/>
  <c r="R128" i="14"/>
  <c r="U128" i="14" s="1"/>
  <c r="S128" i="14"/>
  <c r="V128" i="14" s="1"/>
  <c r="R127" i="14"/>
  <c r="U127" i="14" s="1"/>
  <c r="S127" i="14"/>
  <c r="V127" i="14" s="1"/>
  <c r="R126" i="14"/>
  <c r="U126" i="14" s="1"/>
  <c r="S126" i="14"/>
  <c r="V126" i="14" s="1"/>
  <c r="R125" i="14"/>
  <c r="U125" i="14" s="1"/>
  <c r="S125" i="14"/>
  <c r="V125" i="14" s="1"/>
  <c r="R124" i="14"/>
  <c r="U124" i="14" s="1"/>
  <c r="S124" i="14"/>
  <c r="V124" i="14" s="1"/>
  <c r="R123" i="14"/>
  <c r="U123" i="14" s="1"/>
  <c r="S123" i="14"/>
  <c r="V123" i="14" s="1"/>
  <c r="R122" i="14"/>
  <c r="U122" i="14" s="1"/>
  <c r="S122" i="14"/>
  <c r="V122" i="14" s="1"/>
  <c r="R121" i="14"/>
  <c r="U121" i="14" s="1"/>
  <c r="S121" i="14"/>
  <c r="V121" i="14" s="1"/>
  <c r="R120" i="14"/>
  <c r="U120" i="14" s="1"/>
  <c r="S120" i="14"/>
  <c r="V120" i="14" s="1"/>
  <c r="R119" i="14"/>
  <c r="U119" i="14" s="1"/>
  <c r="S119" i="14"/>
  <c r="V119" i="14" s="1"/>
  <c r="R118" i="14"/>
  <c r="U118" i="14" s="1"/>
  <c r="S118" i="14"/>
  <c r="V118" i="14" s="1"/>
  <c r="R117" i="14"/>
  <c r="U117" i="14" s="1"/>
  <c r="S117" i="14"/>
  <c r="V117" i="14" s="1"/>
  <c r="R116" i="14"/>
  <c r="U116" i="14" s="1"/>
  <c r="S116" i="14"/>
  <c r="V116" i="14" s="1"/>
  <c r="R115" i="14"/>
  <c r="U115" i="14" s="1"/>
  <c r="S115" i="14"/>
  <c r="V115" i="14" s="1"/>
  <c r="R114" i="14"/>
  <c r="U114" i="14" s="1"/>
  <c r="S114" i="14"/>
  <c r="V114" i="14" s="1"/>
  <c r="R113" i="14"/>
  <c r="U113" i="14" s="1"/>
  <c r="S113" i="14"/>
  <c r="V113" i="14" s="1"/>
  <c r="R112" i="14"/>
  <c r="U112" i="14" s="1"/>
  <c r="S112" i="14"/>
  <c r="V112" i="14" s="1"/>
  <c r="R111" i="14"/>
  <c r="U111" i="14" s="1"/>
  <c r="S111" i="14"/>
  <c r="V111" i="14" s="1"/>
  <c r="R110" i="14"/>
  <c r="U110" i="14" s="1"/>
  <c r="S110" i="14"/>
  <c r="V110" i="14" s="1"/>
  <c r="R109" i="14"/>
  <c r="U109" i="14" s="1"/>
  <c r="S109" i="14"/>
  <c r="V109" i="14" s="1"/>
  <c r="R108" i="14"/>
  <c r="U108" i="14" s="1"/>
  <c r="S108" i="14"/>
  <c r="V108" i="14" s="1"/>
  <c r="R107" i="14"/>
  <c r="U107" i="14" s="1"/>
  <c r="S107" i="14"/>
  <c r="V107" i="14" s="1"/>
  <c r="R106" i="14"/>
  <c r="U106" i="14" s="1"/>
  <c r="S106" i="14"/>
  <c r="V106" i="14" s="1"/>
  <c r="R105" i="14"/>
  <c r="U105" i="14" s="1"/>
  <c r="S105" i="14"/>
  <c r="V105" i="14" s="1"/>
  <c r="R86" i="14"/>
  <c r="U86" i="14" s="1"/>
  <c r="S44" i="14"/>
  <c r="V44" i="14" s="1"/>
  <c r="R104" i="14"/>
  <c r="U104" i="14" s="1"/>
  <c r="S104" i="14"/>
  <c r="V104" i="14" s="1"/>
  <c r="R96" i="14"/>
  <c r="U96" i="14" s="1"/>
  <c r="S96" i="14"/>
  <c r="V96" i="14" s="1"/>
  <c r="R92" i="14"/>
  <c r="U92" i="14" s="1"/>
  <c r="S92" i="14"/>
  <c r="V92" i="14" s="1"/>
  <c r="S82" i="14"/>
  <c r="V82" i="14" s="1"/>
  <c r="R14" i="14"/>
  <c r="U14" i="14" s="1"/>
  <c r="Q35" i="14" a="1"/>
  <c r="Q35" i="14" s="1"/>
  <c r="R35" i="14" s="1"/>
  <c r="U35" i="14" s="1"/>
  <c r="S77" i="14"/>
  <c r="V77" i="14" s="1"/>
  <c r="R11" i="14"/>
  <c r="U11" i="14" s="1"/>
  <c r="S72" i="14"/>
  <c r="V72" i="14" s="1"/>
  <c r="R17" i="14"/>
  <c r="U17" i="14" s="1"/>
  <c r="S97" i="14"/>
  <c r="V97" i="14" s="1"/>
  <c r="R97" i="14"/>
  <c r="U97" i="14" s="1"/>
  <c r="R93" i="14"/>
  <c r="U93" i="14" s="1"/>
  <c r="S93" i="14"/>
  <c r="V93" i="14" s="1"/>
  <c r="R101" i="14"/>
  <c r="U101" i="14" s="1"/>
  <c r="S101" i="14"/>
  <c r="V101" i="14" s="1"/>
  <c r="Q27" i="14" a="1"/>
  <c r="Q27" i="14" s="1"/>
  <c r="R27" i="14" s="1"/>
  <c r="U27" i="14" s="1"/>
  <c r="R87" i="14"/>
  <c r="U87" i="14" s="1"/>
  <c r="R18" i="14"/>
  <c r="U18" i="14" s="1"/>
  <c r="Q85" i="14" a="1"/>
  <c r="Q85" i="14" s="1"/>
  <c r="S85" i="14" s="1"/>
  <c r="V85" i="14" s="1"/>
  <c r="R23" i="14"/>
  <c r="U23" i="14" s="1"/>
  <c r="S12" i="14"/>
  <c r="V12" i="14" s="1"/>
  <c r="R89" i="14"/>
  <c r="U89" i="14" s="1"/>
  <c r="Q43" i="14" a="1"/>
  <c r="Q43" i="14" s="1"/>
  <c r="R43" i="14" s="1"/>
  <c r="U43" i="14" s="1"/>
  <c r="Q39" i="14" a="1"/>
  <c r="Q39" i="14" s="1"/>
  <c r="S39" i="14" s="1"/>
  <c r="V39" i="14" s="1"/>
  <c r="S81" i="14"/>
  <c r="V81" i="14" s="1"/>
  <c r="Q58" i="14" a="1"/>
  <c r="Q58" i="14" s="1"/>
  <c r="R58" i="14" s="1"/>
  <c r="U58" i="14" s="1"/>
  <c r="R52" i="14"/>
  <c r="U52" i="14" s="1"/>
  <c r="S83" i="14"/>
  <c r="V83" i="14" s="1"/>
  <c r="S42" i="14"/>
  <c r="V42" i="14" s="1"/>
  <c r="R42" i="14"/>
  <c r="U42" i="14" s="1"/>
  <c r="S26" i="14"/>
  <c r="V26" i="14" s="1"/>
  <c r="R26" i="14"/>
  <c r="U26" i="14" s="1"/>
  <c r="Q68" i="14" a="1"/>
  <c r="Q68" i="14" s="1"/>
  <c r="S88" i="14"/>
  <c r="V88" i="14" s="1"/>
  <c r="R88" i="14"/>
  <c r="U88" i="14" s="1"/>
  <c r="Q67" i="14" a="1"/>
  <c r="Q67" i="14" s="1"/>
  <c r="R65" i="14"/>
  <c r="U65" i="14" s="1"/>
  <c r="S65" i="14"/>
  <c r="V65" i="14" s="1"/>
  <c r="S80" i="14"/>
  <c r="V80" i="14" s="1"/>
  <c r="R80" i="14"/>
  <c r="U80" i="14" s="1"/>
  <c r="S6" i="14"/>
  <c r="V6" i="14" s="1"/>
  <c r="R6" i="14"/>
  <c r="U6" i="14" s="1"/>
  <c r="R28" i="14"/>
  <c r="U28" i="14" s="1"/>
  <c r="S28" i="14"/>
  <c r="V28" i="14" s="1"/>
  <c r="R48" i="14"/>
  <c r="U48" i="14" s="1"/>
  <c r="S48" i="14"/>
  <c r="V48" i="14" s="1"/>
  <c r="R78" i="14"/>
  <c r="U78" i="14" s="1"/>
  <c r="S78" i="14"/>
  <c r="V78" i="14" s="1"/>
  <c r="S22" i="14"/>
  <c r="V22" i="14" s="1"/>
  <c r="R22" i="14"/>
  <c r="U22" i="14" s="1"/>
  <c r="S47" i="14"/>
  <c r="V47" i="14" s="1"/>
  <c r="R47" i="14"/>
  <c r="U47" i="14" s="1"/>
  <c r="R75" i="14"/>
  <c r="U75" i="14" s="1"/>
  <c r="S75" i="14"/>
  <c r="V75" i="14" s="1"/>
  <c r="S21" i="14"/>
  <c r="V21" i="14" s="1"/>
  <c r="R21" i="14"/>
  <c r="U21" i="14" s="1"/>
  <c r="S15" i="14"/>
  <c r="V15" i="14" s="1"/>
  <c r="R15" i="14"/>
  <c r="U15" i="14" s="1"/>
  <c r="R8" i="14"/>
  <c r="U8" i="14" s="1"/>
  <c r="S8" i="14"/>
  <c r="V8" i="14" s="1"/>
  <c r="S84" i="14"/>
  <c r="V84" i="14" s="1"/>
  <c r="R84" i="14"/>
  <c r="U84" i="14" s="1"/>
  <c r="S46" i="14"/>
  <c r="V46" i="14" s="1"/>
  <c r="R46" i="14"/>
  <c r="U46" i="14" s="1"/>
  <c r="Q31" i="14" a="1"/>
  <c r="Q31" i="14" s="1"/>
  <c r="Q38" i="14" a="1"/>
  <c r="Q38" i="14" s="1"/>
  <c r="S50" i="14"/>
  <c r="V50" i="14" s="1"/>
  <c r="R50" i="14"/>
  <c r="U50" i="14" s="1"/>
  <c r="S34" i="14"/>
  <c r="V34" i="14" s="1"/>
  <c r="R34" i="14"/>
  <c r="U34" i="14" s="1"/>
  <c r="S7" i="14"/>
  <c r="V7" i="14" s="1"/>
  <c r="R7" i="14"/>
  <c r="U7" i="14" s="1"/>
  <c r="Q76" i="14" a="1"/>
  <c r="Q76" i="14" s="1"/>
  <c r="Q30" i="14" a="1"/>
  <c r="Q30" i="14" s="1"/>
  <c r="R56" i="14"/>
  <c r="U56" i="14" s="1"/>
  <c r="S56" i="14"/>
  <c r="V56" i="14" s="1"/>
  <c r="Q71" i="14" a="1"/>
  <c r="Q71" i="14" s="1"/>
  <c r="U163" i="10" l="1"/>
  <c r="U165" i="10"/>
  <c r="U246" i="10"/>
  <c r="U167" i="10"/>
  <c r="U239" i="10"/>
  <c r="V164" i="10"/>
  <c r="V245" i="10"/>
  <c r="V166" i="10"/>
  <c r="U164" i="10"/>
  <c r="U245" i="10"/>
  <c r="U166" i="10"/>
  <c r="V163" i="10"/>
  <c r="V165" i="10"/>
  <c r="V246" i="10"/>
  <c r="V167" i="10"/>
  <c r="V239" i="10"/>
  <c r="S43" i="14"/>
  <c r="V43" i="14" s="1"/>
  <c r="V276" i="14"/>
  <c r="V195" i="14"/>
  <c r="V278" i="14"/>
  <c r="V197" i="14"/>
  <c r="U278" i="14"/>
  <c r="U197" i="14"/>
  <c r="S35" i="14"/>
  <c r="V35" i="14" s="1"/>
  <c r="V275" i="14"/>
  <c r="V194" i="14"/>
  <c r="S27" i="14"/>
  <c r="V27" i="14" s="1"/>
  <c r="R39" i="14"/>
  <c r="U39" i="14" s="1"/>
  <c r="S58" i="14"/>
  <c r="V58" i="14" s="1"/>
  <c r="R85" i="14"/>
  <c r="U85" i="14" s="1"/>
  <c r="S30" i="14"/>
  <c r="V30" i="14" s="1"/>
  <c r="R30" i="14"/>
  <c r="U30" i="14" s="1"/>
  <c r="S76" i="14"/>
  <c r="V76" i="14" s="1"/>
  <c r="R76" i="14"/>
  <c r="U76" i="14" s="1"/>
  <c r="S38" i="14"/>
  <c r="V38" i="14" s="1"/>
  <c r="R38" i="14"/>
  <c r="U38" i="14" s="1"/>
  <c r="S71" i="14"/>
  <c r="V71" i="14" s="1"/>
  <c r="R71" i="14"/>
  <c r="U71" i="14" s="1"/>
  <c r="S31" i="14"/>
  <c r="V31" i="14" s="1"/>
  <c r="R31" i="14"/>
  <c r="U31" i="14" s="1"/>
  <c r="S67" i="14"/>
  <c r="V67" i="14" s="1"/>
  <c r="R67" i="14"/>
  <c r="U67" i="14" s="1"/>
  <c r="S68" i="14"/>
  <c r="V68" i="14" s="1"/>
  <c r="R68" i="14"/>
  <c r="U68" i="14" s="1"/>
  <c r="AB5" i="2" l="1" a="1"/>
  <c r="AB5" i="2" s="1"/>
  <c r="AA5" i="2" a="1"/>
  <c r="AA5" i="2" s="1"/>
  <c r="Z5" i="2" a="1"/>
  <c r="Z5" i="2" s="1"/>
  <c r="Y5" i="2" a="1"/>
  <c r="Y5" i="2" s="1"/>
  <c r="X5" i="2"/>
  <c r="W5" i="2" a="1"/>
  <c r="W5" i="2" s="1"/>
  <c r="V5" i="2" a="1"/>
  <c r="V5" i="2" s="1"/>
  <c r="S4" i="12"/>
  <c r="K4" i="12"/>
  <c r="H4" i="12"/>
  <c r="G4" i="12"/>
  <c r="L89" i="10"/>
  <c r="D89" i="10"/>
  <c r="L88" i="10"/>
  <c r="D88" i="10"/>
  <c r="L87" i="10"/>
  <c r="D87" i="10"/>
  <c r="L86" i="10"/>
  <c r="D86" i="10"/>
  <c r="L85" i="10"/>
  <c r="D85" i="10"/>
  <c r="L84" i="10"/>
  <c r="D84" i="10"/>
  <c r="L83" i="10"/>
  <c r="D83" i="10"/>
  <c r="L82" i="10"/>
  <c r="D82" i="10"/>
  <c r="L81" i="10"/>
  <c r="D81" i="10"/>
  <c r="L80" i="10"/>
  <c r="D80" i="10"/>
  <c r="L79" i="10"/>
  <c r="D79" i="10"/>
  <c r="L78" i="10"/>
  <c r="D78" i="10"/>
  <c r="L77" i="10"/>
  <c r="D77" i="10"/>
  <c r="L76" i="10"/>
  <c r="D76" i="10"/>
  <c r="L75" i="10"/>
  <c r="D75" i="10"/>
  <c r="L74" i="10"/>
  <c r="D74" i="10"/>
  <c r="L73" i="10"/>
  <c r="D73" i="10"/>
  <c r="L72" i="10"/>
  <c r="D72" i="10"/>
  <c r="L71" i="10"/>
  <c r="D71" i="10"/>
  <c r="L70" i="10"/>
  <c r="D70" i="10"/>
  <c r="L69" i="10"/>
  <c r="D69" i="10"/>
  <c r="L68" i="10"/>
  <c r="D68" i="10"/>
  <c r="L67" i="10"/>
  <c r="D67" i="10"/>
  <c r="L66" i="10"/>
  <c r="D66" i="10"/>
  <c r="L65" i="10"/>
  <c r="D65" i="10"/>
  <c r="L64" i="10"/>
  <c r="D64" i="10"/>
  <c r="L63" i="10"/>
  <c r="D63" i="10"/>
  <c r="L62" i="10"/>
  <c r="D62" i="10"/>
  <c r="L61" i="10"/>
  <c r="D61" i="10"/>
  <c r="L60" i="10"/>
  <c r="D60" i="10"/>
  <c r="L59" i="10"/>
  <c r="D59" i="10"/>
  <c r="L58" i="10"/>
  <c r="D58" i="10"/>
  <c r="L57" i="10"/>
  <c r="D57" i="10"/>
  <c r="L56" i="10"/>
  <c r="D56" i="10"/>
  <c r="L55" i="10"/>
  <c r="D55" i="10"/>
  <c r="L54" i="10"/>
  <c r="D54" i="10"/>
  <c r="L53" i="10"/>
  <c r="D53" i="10"/>
  <c r="L52" i="10"/>
  <c r="D52" i="10"/>
  <c r="L51" i="10"/>
  <c r="D51" i="10"/>
  <c r="L50" i="10"/>
  <c r="D50" i="10"/>
  <c r="L49" i="10"/>
  <c r="D49" i="10"/>
  <c r="L48" i="10"/>
  <c r="D48" i="10"/>
  <c r="L47" i="10"/>
  <c r="D47" i="10"/>
  <c r="L46" i="10"/>
  <c r="D46" i="10"/>
  <c r="L45" i="10"/>
  <c r="D45" i="10"/>
  <c r="L44" i="10"/>
  <c r="D44" i="10"/>
  <c r="L43" i="10"/>
  <c r="D43" i="10"/>
  <c r="L42" i="10"/>
  <c r="D42" i="10"/>
  <c r="L41" i="10"/>
  <c r="D41" i="10"/>
  <c r="L40" i="10"/>
  <c r="D40" i="10"/>
  <c r="L39" i="10"/>
  <c r="D39" i="10"/>
  <c r="L38" i="10"/>
  <c r="D38" i="10"/>
  <c r="L37" i="10"/>
  <c r="D37" i="10"/>
  <c r="L36" i="10"/>
  <c r="D36" i="10"/>
  <c r="L35" i="10"/>
  <c r="D35" i="10"/>
  <c r="L34" i="10"/>
  <c r="D34" i="10"/>
  <c r="L33" i="10"/>
  <c r="D33" i="10"/>
  <c r="L32" i="10"/>
  <c r="D32" i="10"/>
  <c r="L31" i="10"/>
  <c r="D31" i="10"/>
  <c r="L30" i="10"/>
  <c r="D30" i="10"/>
  <c r="L29" i="10"/>
  <c r="D29" i="10"/>
  <c r="L28" i="10"/>
  <c r="D28" i="10"/>
  <c r="L27" i="10"/>
  <c r="D27" i="10"/>
  <c r="L26" i="10"/>
  <c r="D26" i="10"/>
  <c r="L25" i="10"/>
  <c r="D25" i="10"/>
  <c r="L24" i="10"/>
  <c r="D24" i="10"/>
  <c r="L23" i="10"/>
  <c r="D23" i="10"/>
  <c r="L22" i="10"/>
  <c r="D22" i="10"/>
  <c r="L21" i="10"/>
  <c r="D21" i="10"/>
  <c r="L20" i="10"/>
  <c r="D20" i="10"/>
  <c r="L19" i="10"/>
  <c r="D19" i="10"/>
  <c r="L18" i="10"/>
  <c r="D18" i="10"/>
  <c r="L17" i="10"/>
  <c r="D17" i="10"/>
  <c r="L16" i="10"/>
  <c r="D16" i="10"/>
  <c r="L15" i="10"/>
  <c r="D15" i="10"/>
  <c r="L14" i="10"/>
  <c r="D14" i="10"/>
  <c r="L13" i="10"/>
  <c r="D13" i="10"/>
  <c r="L12" i="10"/>
  <c r="D12" i="10"/>
  <c r="L11" i="10"/>
  <c r="D11" i="10"/>
  <c r="L10" i="10"/>
  <c r="D10" i="10"/>
  <c r="L9" i="10"/>
  <c r="D9" i="10"/>
  <c r="L8" i="10"/>
  <c r="D8" i="10"/>
  <c r="L7" i="10"/>
  <c r="D7" i="10"/>
  <c r="D6" i="10"/>
  <c r="L6" i="10"/>
  <c r="Z43" i="10"/>
  <c r="Z44" i="10"/>
  <c r="Z45" i="10"/>
  <c r="Z46" i="10"/>
  <c r="Z47" i="10"/>
  <c r="Z48" i="10"/>
  <c r="Z49" i="10"/>
  <c r="Z50" i="10"/>
  <c r="Z51" i="10"/>
  <c r="Z52" i="10"/>
  <c r="Z53" i="10"/>
  <c r="Z89" i="10"/>
  <c r="Z88" i="10"/>
  <c r="Z87" i="10"/>
  <c r="Z86" i="10"/>
  <c r="Z85" i="10"/>
  <c r="Z84" i="10"/>
  <c r="Z83" i="10"/>
  <c r="Z82" i="10"/>
  <c r="Z81" i="10"/>
  <c r="Z80" i="10"/>
  <c r="Z79" i="10"/>
  <c r="Z78" i="10"/>
  <c r="Z77" i="10"/>
  <c r="Z76" i="10"/>
  <c r="Z75" i="10"/>
  <c r="Z74" i="10"/>
  <c r="Z73" i="10"/>
  <c r="Z72" i="10"/>
  <c r="Z71" i="10"/>
  <c r="Z70" i="10"/>
  <c r="Z69" i="10"/>
  <c r="Z68" i="10"/>
  <c r="Z67" i="10"/>
  <c r="Z66" i="10"/>
  <c r="Z65" i="10"/>
  <c r="Z64" i="10"/>
  <c r="Z63" i="10"/>
  <c r="Z62" i="10"/>
  <c r="Z61" i="10"/>
  <c r="Z60" i="10"/>
  <c r="Z59" i="10"/>
  <c r="Z58" i="10"/>
  <c r="Z57" i="10"/>
  <c r="Z56" i="10"/>
  <c r="Z55" i="10"/>
  <c r="Z54" i="10"/>
  <c r="Z42" i="10"/>
  <c r="Z41" i="10"/>
  <c r="Z40" i="10"/>
  <c r="Z39" i="10"/>
  <c r="Z38" i="10"/>
  <c r="Z37" i="10"/>
  <c r="Z36" i="10"/>
  <c r="Z35" i="10"/>
  <c r="Z34" i="10"/>
  <c r="Z33" i="10"/>
  <c r="Z32" i="10"/>
  <c r="Z31" i="10"/>
  <c r="Z30" i="10"/>
  <c r="Z29" i="10"/>
  <c r="Z28" i="10"/>
  <c r="Z27" i="10"/>
  <c r="Z26" i="10"/>
  <c r="Z25" i="10"/>
  <c r="Z24" i="10"/>
  <c r="Z23" i="10"/>
  <c r="Z22" i="10"/>
  <c r="Z21" i="10"/>
  <c r="Z20" i="10"/>
  <c r="Z19" i="10"/>
  <c r="Z18" i="10"/>
  <c r="Z17" i="10"/>
  <c r="Z16" i="10"/>
  <c r="Z15" i="10"/>
  <c r="Z14" i="10"/>
  <c r="Z13" i="10"/>
  <c r="Z12" i="10"/>
  <c r="Z11" i="10"/>
  <c r="Z10" i="10"/>
  <c r="Z9" i="10"/>
  <c r="Z8" i="10"/>
  <c r="Z7" i="10"/>
  <c r="Z6" i="10"/>
  <c r="I108" i="2"/>
  <c r="I107" i="2"/>
  <c r="I106" i="2"/>
  <c r="I105" i="2"/>
  <c r="I104" i="2"/>
  <c r="I103" i="2"/>
  <c r="I102" i="2"/>
  <c r="I101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M104" i="2"/>
  <c r="M105" i="2"/>
  <c r="M106" i="2"/>
  <c r="M107" i="2"/>
  <c r="M108" i="2"/>
  <c r="M109" i="2"/>
  <c r="M110" i="2"/>
  <c r="O110" i="2" s="1" a="1"/>
  <c r="O110" i="2" s="1"/>
  <c r="M111" i="2"/>
  <c r="N111" i="2" s="1" a="1"/>
  <c r="N111" i="2" s="1"/>
  <c r="P111" i="2" s="1"/>
  <c r="M112" i="2"/>
  <c r="N112" i="2" s="1" a="1"/>
  <c r="N112" i="2" s="1"/>
  <c r="P112" i="2" s="1"/>
  <c r="M113" i="2"/>
  <c r="N113" i="2" s="1" a="1"/>
  <c r="N113" i="2" s="1"/>
  <c r="P113" i="2" s="1"/>
  <c r="Q113" i="2" s="1" a="1"/>
  <c r="Q113" i="2" s="1"/>
  <c r="M114" i="2"/>
  <c r="M115" i="2"/>
  <c r="O115" i="2" s="1" a="1"/>
  <c r="O115" i="2" s="1"/>
  <c r="M116" i="2"/>
  <c r="M117" i="2"/>
  <c r="N117" i="2" s="1" a="1"/>
  <c r="N117" i="2" s="1"/>
  <c r="P117" i="2" s="1"/>
  <c r="M118" i="2"/>
  <c r="N118" i="2" s="1" a="1"/>
  <c r="N118" i="2" s="1"/>
  <c r="P118" i="2" s="1"/>
  <c r="M119" i="2"/>
  <c r="N119" i="2" s="1" a="1"/>
  <c r="N119" i="2" s="1"/>
  <c r="P119" i="2" s="1"/>
  <c r="M120" i="2"/>
  <c r="N120" i="2" s="1" a="1"/>
  <c r="N120" i="2" s="1"/>
  <c r="P120" i="2" s="1"/>
  <c r="M121" i="2"/>
  <c r="N121" i="2" s="1" a="1"/>
  <c r="N121" i="2" s="1"/>
  <c r="P121" i="2" s="1"/>
  <c r="M122" i="2"/>
  <c r="N122" i="2" s="1" a="1"/>
  <c r="N122" i="2" s="1"/>
  <c r="P122" i="2" s="1"/>
  <c r="M123" i="2"/>
  <c r="N123" i="2" s="1" a="1"/>
  <c r="N123" i="2" s="1"/>
  <c r="P123" i="2" s="1"/>
  <c r="M124" i="2"/>
  <c r="N124" i="2" s="1" a="1"/>
  <c r="N124" i="2" s="1"/>
  <c r="P124" i="2" s="1"/>
  <c r="Q124" i="2" s="1" a="1"/>
  <c r="Q124" i="2" s="1"/>
  <c r="M125" i="2"/>
  <c r="N125" i="2" s="1" a="1"/>
  <c r="N125" i="2" s="1"/>
  <c r="P125" i="2" s="1"/>
  <c r="M126" i="2"/>
  <c r="N126" i="2" s="1" a="1"/>
  <c r="N126" i="2" s="1"/>
  <c r="P126" i="2" s="1"/>
  <c r="S126" i="2" s="1"/>
  <c r="M127" i="2"/>
  <c r="N127" i="2" s="1" a="1"/>
  <c r="N127" i="2" s="1"/>
  <c r="P127" i="2" s="1"/>
  <c r="M128" i="2"/>
  <c r="N128" i="2" s="1" a="1"/>
  <c r="N128" i="2" s="1"/>
  <c r="P128" i="2" s="1"/>
  <c r="M129" i="2"/>
  <c r="N129" i="2" s="1" a="1"/>
  <c r="N129" i="2" s="1"/>
  <c r="P129" i="2" s="1"/>
  <c r="M130" i="2"/>
  <c r="M131" i="2"/>
  <c r="O131" i="2" s="1" a="1"/>
  <c r="O131" i="2" s="1"/>
  <c r="M132" i="2"/>
  <c r="M133" i="2"/>
  <c r="M134" i="2"/>
  <c r="M135" i="2"/>
  <c r="N135" i="2" s="1" a="1"/>
  <c r="N135" i="2" s="1"/>
  <c r="P135" i="2" s="1"/>
  <c r="M136" i="2"/>
  <c r="N136" i="2" s="1" a="1"/>
  <c r="N136" i="2" s="1"/>
  <c r="P136" i="2" s="1"/>
  <c r="M137" i="2"/>
  <c r="N137" i="2" s="1" a="1"/>
  <c r="N137" i="2" s="1"/>
  <c r="P137" i="2" s="1"/>
  <c r="M138" i="2"/>
  <c r="N138" i="2" s="1" a="1"/>
  <c r="N138" i="2" s="1"/>
  <c r="P138" i="2" s="1"/>
  <c r="M139" i="2"/>
  <c r="N139" i="2" s="1" a="1"/>
  <c r="N139" i="2" s="1"/>
  <c r="P139" i="2" s="1"/>
  <c r="S139" i="2" s="1"/>
  <c r="M140" i="2"/>
  <c r="N140" i="2" s="1" a="1"/>
  <c r="N140" i="2" s="1"/>
  <c r="P140" i="2" s="1"/>
  <c r="M141" i="2"/>
  <c r="N141" i="2" s="1" a="1"/>
  <c r="N141" i="2" s="1"/>
  <c r="P141" i="2" s="1"/>
  <c r="M142" i="2"/>
  <c r="N142" i="2" s="1" a="1"/>
  <c r="N142" i="2" s="1"/>
  <c r="P142" i="2" s="1"/>
  <c r="M143" i="2"/>
  <c r="N143" i="2" s="1" a="1"/>
  <c r="N143" i="2" s="1"/>
  <c r="P143" i="2" s="1"/>
  <c r="M144" i="2"/>
  <c r="N144" i="2" s="1" a="1"/>
  <c r="N144" i="2" s="1"/>
  <c r="P144" i="2" s="1"/>
  <c r="M145" i="2"/>
  <c r="O145" i="2" s="1" a="1"/>
  <c r="O145" i="2" s="1"/>
  <c r="M146" i="2"/>
  <c r="N146" i="2" s="1" a="1"/>
  <c r="N146" i="2" s="1"/>
  <c r="P146" i="2" s="1"/>
  <c r="S146" i="2" s="1"/>
  <c r="M147" i="2"/>
  <c r="N147" i="2" s="1" a="1"/>
  <c r="N147" i="2" s="1"/>
  <c r="P147" i="2" s="1"/>
  <c r="M148" i="2"/>
  <c r="M149" i="2"/>
  <c r="N149" i="2" s="1" a="1"/>
  <c r="N149" i="2" s="1"/>
  <c r="P149" i="2" s="1"/>
  <c r="M150" i="2"/>
  <c r="N150" i="2" s="1" a="1"/>
  <c r="N150" i="2" s="1"/>
  <c r="P150" i="2" s="1"/>
  <c r="M151" i="2"/>
  <c r="M152" i="2"/>
  <c r="N152" i="2" s="1" a="1"/>
  <c r="N152" i="2" s="1"/>
  <c r="P152" i="2" s="1"/>
  <c r="M153" i="2"/>
  <c r="N153" i="2" s="1" a="1"/>
  <c r="N153" i="2" s="1"/>
  <c r="P153" i="2" s="1"/>
  <c r="R153" i="2" s="1" a="1"/>
  <c r="R153" i="2" s="1"/>
  <c r="M154" i="2"/>
  <c r="M155" i="2"/>
  <c r="N155" i="2" s="1" a="1"/>
  <c r="N155" i="2" s="1"/>
  <c r="P155" i="2" s="1"/>
  <c r="M156" i="2"/>
  <c r="N156" i="2" s="1" a="1"/>
  <c r="N156" i="2" s="1"/>
  <c r="P156" i="2" s="1"/>
  <c r="M157" i="2"/>
  <c r="N157" i="2" s="1" a="1"/>
  <c r="N157" i="2" s="1"/>
  <c r="P157" i="2" s="1"/>
  <c r="M158" i="2"/>
  <c r="N158" i="2" s="1" a="1"/>
  <c r="N158" i="2" s="1"/>
  <c r="P158" i="2" s="1"/>
  <c r="M159" i="2"/>
  <c r="N159" i="2" s="1" a="1"/>
  <c r="N159" i="2" s="1"/>
  <c r="P159" i="2" s="1"/>
  <c r="M160" i="2"/>
  <c r="N160" i="2" s="1" a="1"/>
  <c r="N160" i="2" s="1"/>
  <c r="P160" i="2" s="1"/>
  <c r="M161" i="2"/>
  <c r="O161" i="2" s="1" a="1"/>
  <c r="O161" i="2" s="1"/>
  <c r="M162" i="2"/>
  <c r="M163" i="2"/>
  <c r="N163" i="2" s="1" a="1"/>
  <c r="N163" i="2" s="1"/>
  <c r="P163" i="2" s="1"/>
  <c r="R163" i="2" s="1" a="1"/>
  <c r="R163" i="2" s="1"/>
  <c r="M164" i="2"/>
  <c r="M165" i="2"/>
  <c r="M166" i="2"/>
  <c r="N166" i="2" s="1" a="1"/>
  <c r="N166" i="2" s="1"/>
  <c r="P166" i="2" s="1"/>
  <c r="M167" i="2"/>
  <c r="M168" i="2"/>
  <c r="N168" i="2" s="1" a="1"/>
  <c r="N168" i="2" s="1"/>
  <c r="P168" i="2" s="1"/>
  <c r="M169" i="2"/>
  <c r="N169" i="2" s="1" a="1"/>
  <c r="N169" i="2" s="1"/>
  <c r="P169" i="2" s="1"/>
  <c r="M170" i="2"/>
  <c r="N170" i="2" s="1" a="1"/>
  <c r="N170" i="2" s="1"/>
  <c r="P170" i="2" s="1"/>
  <c r="M171" i="2"/>
  <c r="N171" i="2" s="1" a="1"/>
  <c r="N171" i="2" s="1"/>
  <c r="P171" i="2" s="1"/>
  <c r="M172" i="2"/>
  <c r="N172" i="2" s="1" a="1"/>
  <c r="N172" i="2" s="1"/>
  <c r="P172" i="2" s="1"/>
  <c r="M173" i="2"/>
  <c r="N173" i="2" s="1" a="1"/>
  <c r="N173" i="2" s="1"/>
  <c r="P173" i="2" s="1"/>
  <c r="M174" i="2"/>
  <c r="N174" i="2" s="1" a="1"/>
  <c r="N174" i="2" s="1"/>
  <c r="P174" i="2" s="1"/>
  <c r="M175" i="2"/>
  <c r="N175" i="2" s="1" a="1"/>
  <c r="N175" i="2" s="1"/>
  <c r="P175" i="2" s="1"/>
  <c r="M176" i="2"/>
  <c r="N176" i="2" s="1" a="1"/>
  <c r="N176" i="2" s="1"/>
  <c r="P176" i="2" s="1"/>
  <c r="M177" i="2"/>
  <c r="O177" i="2" s="1" a="1"/>
  <c r="O177" i="2" s="1"/>
  <c r="M178" i="2"/>
  <c r="M179" i="2"/>
  <c r="N179" i="2" s="1" a="1"/>
  <c r="N179" i="2" s="1"/>
  <c r="P179" i="2" s="1"/>
  <c r="M180" i="2"/>
  <c r="M181" i="2"/>
  <c r="N181" i="2" s="1" a="1"/>
  <c r="N181" i="2" s="1"/>
  <c r="P181" i="2" s="1"/>
  <c r="M182" i="2"/>
  <c r="N182" i="2" s="1" a="1"/>
  <c r="N182" i="2" s="1"/>
  <c r="P182" i="2" s="1"/>
  <c r="S182" i="2" s="1"/>
  <c r="M183" i="2"/>
  <c r="N183" i="2" s="1" a="1"/>
  <c r="N183" i="2" s="1"/>
  <c r="P183" i="2" s="1"/>
  <c r="S183" i="2" s="1"/>
  <c r="M184" i="2"/>
  <c r="N184" i="2" s="1" a="1"/>
  <c r="N184" i="2" s="1"/>
  <c r="P184" i="2" s="1"/>
  <c r="R184" i="2" s="1" a="1"/>
  <c r="R184" i="2" s="1"/>
  <c r="M185" i="2"/>
  <c r="O185" i="2" s="1" a="1"/>
  <c r="O185" i="2" s="1"/>
  <c r="M186" i="2"/>
  <c r="N186" i="2" s="1" a="1"/>
  <c r="N186" i="2" s="1"/>
  <c r="P186" i="2" s="1"/>
  <c r="M187" i="2"/>
  <c r="N187" i="2" s="1" a="1"/>
  <c r="N187" i="2" s="1"/>
  <c r="P187" i="2" s="1"/>
  <c r="M188" i="2"/>
  <c r="N188" i="2" s="1" a="1"/>
  <c r="N188" i="2" s="1"/>
  <c r="P188" i="2" s="1"/>
  <c r="M189" i="2"/>
  <c r="N189" i="2" s="1" a="1"/>
  <c r="N189" i="2" s="1"/>
  <c r="P189" i="2" s="1"/>
  <c r="M190" i="2"/>
  <c r="N190" i="2" s="1" a="1"/>
  <c r="N190" i="2" s="1"/>
  <c r="P190" i="2" s="1"/>
  <c r="M191" i="2"/>
  <c r="N191" i="2" s="1" a="1"/>
  <c r="N191" i="2" s="1"/>
  <c r="P191" i="2" s="1"/>
  <c r="M192" i="2"/>
  <c r="N192" i="2" s="1" a="1"/>
  <c r="N192" i="2" s="1"/>
  <c r="P192" i="2" s="1"/>
  <c r="Q192" i="2" s="1" a="1"/>
  <c r="Q192" i="2" s="1"/>
  <c r="M193" i="2"/>
  <c r="O193" i="2" s="1" a="1"/>
  <c r="O193" i="2" s="1"/>
  <c r="M194" i="2"/>
  <c r="M195" i="2"/>
  <c r="N195" i="2" s="1" a="1"/>
  <c r="N195" i="2" s="1"/>
  <c r="P195" i="2" s="1"/>
  <c r="M196" i="2"/>
  <c r="M197" i="2"/>
  <c r="M198" i="2"/>
  <c r="N198" i="2" s="1" a="1"/>
  <c r="N198" i="2" s="1"/>
  <c r="P198" i="2" s="1"/>
  <c r="S198" i="2" s="1"/>
  <c r="M199" i="2"/>
  <c r="N199" i="2" s="1" a="1"/>
  <c r="N199" i="2" s="1"/>
  <c r="P199" i="2" s="1"/>
  <c r="M200" i="2"/>
  <c r="N200" i="2" s="1" a="1"/>
  <c r="N200" i="2" s="1"/>
  <c r="P200" i="2" s="1"/>
  <c r="R200" i="2" s="1" a="1"/>
  <c r="R200" i="2" s="1"/>
  <c r="M201" i="2"/>
  <c r="N201" i="2" s="1" a="1"/>
  <c r="N201" i="2" s="1"/>
  <c r="P201" i="2" s="1"/>
  <c r="R201" i="2" s="1" a="1"/>
  <c r="R201" i="2" s="1"/>
  <c r="M202" i="2"/>
  <c r="N202" i="2" s="1" a="1"/>
  <c r="N202" i="2" s="1"/>
  <c r="P202" i="2" s="1"/>
  <c r="M203" i="2"/>
  <c r="N203" i="2" s="1" a="1"/>
  <c r="N203" i="2" s="1"/>
  <c r="P203" i="2" s="1"/>
  <c r="M204" i="2"/>
  <c r="N204" i="2" s="1" a="1"/>
  <c r="N204" i="2" s="1"/>
  <c r="P204" i="2" s="1"/>
  <c r="M205" i="2"/>
  <c r="N205" i="2" s="1" a="1"/>
  <c r="N205" i="2" s="1"/>
  <c r="P205" i="2" s="1"/>
  <c r="M206" i="2"/>
  <c r="N206" i="2" s="1" a="1"/>
  <c r="N206" i="2" s="1"/>
  <c r="P206" i="2" s="1"/>
  <c r="S206" i="2" s="1"/>
  <c r="M207" i="2"/>
  <c r="O207" i="2" s="1" a="1"/>
  <c r="O207" i="2" s="1"/>
  <c r="M208" i="2"/>
  <c r="N208" i="2" s="1" a="1"/>
  <c r="N208" i="2" s="1"/>
  <c r="P208" i="2" s="1"/>
  <c r="M209" i="2"/>
  <c r="O209" i="2" s="1" a="1"/>
  <c r="O209" i="2" s="1"/>
  <c r="M210" i="2"/>
  <c r="M211" i="2"/>
  <c r="N211" i="2" s="1" a="1"/>
  <c r="N211" i="2" s="1"/>
  <c r="P211" i="2" s="1"/>
  <c r="Q211" i="2" s="1" a="1"/>
  <c r="Q211" i="2" s="1"/>
  <c r="M212" i="2"/>
  <c r="M213" i="2"/>
  <c r="M214" i="2"/>
  <c r="M215" i="2"/>
  <c r="N215" i="2" s="1" a="1"/>
  <c r="N215" i="2" s="1"/>
  <c r="P215" i="2" s="1"/>
  <c r="M216" i="2"/>
  <c r="N216" i="2" s="1" a="1"/>
  <c r="N216" i="2" s="1"/>
  <c r="P216" i="2" s="1"/>
  <c r="M217" i="2"/>
  <c r="N217" i="2" s="1" a="1"/>
  <c r="N217" i="2" s="1"/>
  <c r="P217" i="2" s="1"/>
  <c r="M218" i="2"/>
  <c r="N218" i="2" s="1" a="1"/>
  <c r="N218" i="2" s="1"/>
  <c r="P218" i="2" s="1"/>
  <c r="M219" i="2"/>
  <c r="N219" i="2" s="1" a="1"/>
  <c r="N219" i="2" s="1"/>
  <c r="P219" i="2" s="1"/>
  <c r="M220" i="2"/>
  <c r="N220" i="2" s="1" a="1"/>
  <c r="N220" i="2" s="1"/>
  <c r="P220" i="2" s="1"/>
  <c r="R220" i="2" s="1" a="1"/>
  <c r="R220" i="2" s="1"/>
  <c r="M221" i="2"/>
  <c r="N221" i="2" s="1" a="1"/>
  <c r="N221" i="2" s="1"/>
  <c r="P221" i="2" s="1"/>
  <c r="R221" i="2" s="1" a="1"/>
  <c r="R221" i="2" s="1"/>
  <c r="M222" i="2"/>
  <c r="N222" i="2" s="1" a="1"/>
  <c r="N222" i="2" s="1"/>
  <c r="P222" i="2" s="1"/>
  <c r="M223" i="2"/>
  <c r="O223" i="2" s="1" a="1"/>
  <c r="O223" i="2" s="1"/>
  <c r="M224" i="2"/>
  <c r="O224" i="2" s="1" a="1"/>
  <c r="O224" i="2" s="1"/>
  <c r="M225" i="2"/>
  <c r="O225" i="2" s="1" a="1"/>
  <c r="O225" i="2" s="1"/>
  <c r="M226" i="2"/>
  <c r="M227" i="2"/>
  <c r="M228" i="2"/>
  <c r="M229" i="2"/>
  <c r="M230" i="2"/>
  <c r="N230" i="2" s="1" a="1"/>
  <c r="N230" i="2" s="1"/>
  <c r="P230" i="2" s="1"/>
  <c r="S230" i="2" s="1"/>
  <c r="M231" i="2"/>
  <c r="N231" i="2" s="1" a="1"/>
  <c r="N231" i="2" s="1"/>
  <c r="P231" i="2" s="1"/>
  <c r="Q231" i="2" s="1" a="1"/>
  <c r="Q231" i="2" s="1"/>
  <c r="M232" i="2"/>
  <c r="N232" i="2" s="1" a="1"/>
  <c r="N232" i="2" s="1"/>
  <c r="P232" i="2" s="1"/>
  <c r="R232" i="2" s="1" a="1"/>
  <c r="R232" i="2" s="1"/>
  <c r="M233" i="2"/>
  <c r="N233" i="2" s="1" a="1"/>
  <c r="N233" i="2" s="1"/>
  <c r="P233" i="2" s="1"/>
  <c r="S233" i="2" s="1"/>
  <c r="M234" i="2"/>
  <c r="N234" i="2" s="1" a="1"/>
  <c r="N234" i="2" s="1"/>
  <c r="P234" i="2" s="1"/>
  <c r="M235" i="2"/>
  <c r="N235" i="2" s="1" a="1"/>
  <c r="N235" i="2" s="1"/>
  <c r="P235" i="2" s="1"/>
  <c r="M236" i="2"/>
  <c r="O236" i="2" s="1" a="1"/>
  <c r="O236" i="2" s="1"/>
  <c r="M237" i="2"/>
  <c r="N237" i="2" s="1" a="1"/>
  <c r="N237" i="2" s="1"/>
  <c r="P237" i="2" s="1"/>
  <c r="M238" i="2"/>
  <c r="N238" i="2" s="1" a="1"/>
  <c r="N238" i="2" s="1"/>
  <c r="P238" i="2" s="1"/>
  <c r="M239" i="2"/>
  <c r="O239" i="2" s="1" a="1"/>
  <c r="O239" i="2" s="1"/>
  <c r="M240" i="2"/>
  <c r="O240" i="2" s="1" a="1"/>
  <c r="O240" i="2" s="1"/>
  <c r="M241" i="2"/>
  <c r="N241" i="2" s="1" a="1"/>
  <c r="N241" i="2" s="1"/>
  <c r="P241" i="2" s="1"/>
  <c r="M242" i="2"/>
  <c r="O242" i="2" s="1" a="1"/>
  <c r="O242" i="2" s="1"/>
  <c r="M243" i="2"/>
  <c r="O243" i="2" s="1" a="1"/>
  <c r="O243" i="2" s="1"/>
  <c r="M244" i="2"/>
  <c r="M245" i="2"/>
  <c r="M246" i="2"/>
  <c r="N246" i="2" s="1" a="1"/>
  <c r="N246" i="2" s="1"/>
  <c r="P246" i="2" s="1"/>
  <c r="S246" i="2" s="1"/>
  <c r="M247" i="2"/>
  <c r="M248" i="2"/>
  <c r="N248" i="2" s="1" a="1"/>
  <c r="N248" i="2" s="1"/>
  <c r="P248" i="2" s="1"/>
  <c r="M249" i="2"/>
  <c r="N249" i="2" s="1" a="1"/>
  <c r="N249" i="2" s="1"/>
  <c r="P249" i="2" s="1"/>
  <c r="Q249" i="2" s="1" a="1"/>
  <c r="Q249" i="2" s="1"/>
  <c r="M250" i="2"/>
  <c r="N250" i="2" s="1" a="1"/>
  <c r="N250" i="2" s="1"/>
  <c r="P250" i="2" s="1"/>
  <c r="M251" i="2"/>
  <c r="N251" i="2" s="1" a="1"/>
  <c r="N251" i="2" s="1"/>
  <c r="P251" i="2" s="1"/>
  <c r="M252" i="2"/>
  <c r="N252" i="2" s="1" a="1"/>
  <c r="N252" i="2" s="1"/>
  <c r="P252" i="2" s="1"/>
  <c r="M253" i="2"/>
  <c r="N253" i="2" s="1" a="1"/>
  <c r="N253" i="2" s="1"/>
  <c r="P253" i="2" s="1"/>
  <c r="R253" i="2" s="1" a="1"/>
  <c r="R253" i="2" s="1"/>
  <c r="M254" i="2"/>
  <c r="N254" i="2" s="1" a="1"/>
  <c r="N254" i="2" s="1"/>
  <c r="P254" i="2" s="1"/>
  <c r="M255" i="2"/>
  <c r="N255" i="2" s="1" a="1"/>
  <c r="N255" i="2" s="1"/>
  <c r="P255" i="2" s="1"/>
  <c r="M256" i="2"/>
  <c r="N256" i="2" s="1" a="1"/>
  <c r="N256" i="2" s="1"/>
  <c r="P256" i="2" s="1"/>
  <c r="M257" i="2"/>
  <c r="N257" i="2" s="1" a="1"/>
  <c r="N257" i="2" s="1"/>
  <c r="P257" i="2" s="1"/>
  <c r="M258" i="2"/>
  <c r="N258" i="2" s="1" a="1"/>
  <c r="N258" i="2" s="1"/>
  <c r="P258" i="2" s="1"/>
  <c r="Q258" i="2" s="1" a="1"/>
  <c r="Q258" i="2" s="1"/>
  <c r="M259" i="2"/>
  <c r="N259" i="2" s="1" a="1"/>
  <c r="N259" i="2" s="1"/>
  <c r="P259" i="2" s="1"/>
  <c r="M260" i="2"/>
  <c r="M261" i="2"/>
  <c r="M262" i="2"/>
  <c r="M263" i="2"/>
  <c r="N263" i="2" s="1" a="1"/>
  <c r="N263" i="2" s="1"/>
  <c r="P263" i="2" s="1"/>
  <c r="R263" i="2" s="1" a="1"/>
  <c r="R263" i="2" s="1"/>
  <c r="M264" i="2"/>
  <c r="N264" i="2" s="1" a="1"/>
  <c r="N264" i="2" s="1"/>
  <c r="P264" i="2" s="1"/>
  <c r="Q264" i="2" s="1" a="1"/>
  <c r="Q264" i="2" s="1"/>
  <c r="M265" i="2"/>
  <c r="N265" i="2" s="1" a="1"/>
  <c r="N265" i="2" s="1"/>
  <c r="P265" i="2" s="1"/>
  <c r="M266" i="2"/>
  <c r="N266" i="2" s="1" a="1"/>
  <c r="N266" i="2" s="1"/>
  <c r="P266" i="2" s="1"/>
  <c r="M267" i="2"/>
  <c r="N267" i="2" s="1" a="1"/>
  <c r="N267" i="2" s="1"/>
  <c r="P267" i="2" s="1"/>
  <c r="M268" i="2"/>
  <c r="N268" i="2" s="1" a="1"/>
  <c r="N268" i="2" s="1"/>
  <c r="P268" i="2" s="1"/>
  <c r="M269" i="2"/>
  <c r="N269" i="2" s="1" a="1"/>
  <c r="N269" i="2" s="1"/>
  <c r="P269" i="2" s="1"/>
  <c r="M270" i="2"/>
  <c r="N270" i="2" s="1" a="1"/>
  <c r="N270" i="2" s="1"/>
  <c r="P270" i="2" s="1"/>
  <c r="S270" i="2" s="1"/>
  <c r="M271" i="2"/>
  <c r="N271" i="2" s="1" a="1"/>
  <c r="N271" i="2" s="1"/>
  <c r="P271" i="2" s="1"/>
  <c r="M272" i="2"/>
  <c r="N272" i="2" s="1" a="1"/>
  <c r="N272" i="2" s="1"/>
  <c r="P272" i="2" s="1"/>
  <c r="M273" i="2"/>
  <c r="O273" i="2" s="1" a="1"/>
  <c r="O273" i="2" s="1"/>
  <c r="M274" i="2"/>
  <c r="M275" i="2"/>
  <c r="O275" i="2" s="1" a="1"/>
  <c r="O275" i="2" s="1"/>
  <c r="M276" i="2"/>
  <c r="M277" i="2"/>
  <c r="M278" i="2"/>
  <c r="M279" i="2"/>
  <c r="M280" i="2"/>
  <c r="N280" i="2" s="1" a="1"/>
  <c r="N280" i="2" s="1"/>
  <c r="P280" i="2" s="1"/>
  <c r="Q280" i="2" s="1" a="1"/>
  <c r="Q280" i="2" s="1"/>
  <c r="M281" i="2"/>
  <c r="N281" i="2" s="1" a="1"/>
  <c r="N281" i="2" s="1"/>
  <c r="P281" i="2" s="1"/>
  <c r="M282" i="2"/>
  <c r="N282" i="2" s="1" a="1"/>
  <c r="N282" i="2" s="1"/>
  <c r="P282" i="2" s="1"/>
  <c r="Q282" i="2" s="1" a="1"/>
  <c r="Q282" i="2" s="1"/>
  <c r="M283" i="2"/>
  <c r="N283" i="2" s="1" a="1"/>
  <c r="N283" i="2" s="1"/>
  <c r="P283" i="2" s="1"/>
  <c r="M284" i="2"/>
  <c r="N284" i="2" s="1" a="1"/>
  <c r="N284" i="2" s="1"/>
  <c r="P284" i="2" s="1"/>
  <c r="M285" i="2"/>
  <c r="N285" i="2" s="1" a="1"/>
  <c r="N285" i="2" s="1"/>
  <c r="P285" i="2" s="1"/>
  <c r="M286" i="2"/>
  <c r="N286" i="2" s="1" a="1"/>
  <c r="N286" i="2" s="1"/>
  <c r="P286" i="2" s="1"/>
  <c r="M287" i="2"/>
  <c r="N287" i="2" s="1" a="1"/>
  <c r="N287" i="2" s="1"/>
  <c r="P287" i="2" s="1"/>
  <c r="M288" i="2"/>
  <c r="O288" i="2" s="1" a="1"/>
  <c r="O288" i="2" s="1"/>
  <c r="M289" i="2"/>
  <c r="O289" i="2" s="1" a="1"/>
  <c r="O289" i="2" s="1"/>
  <c r="M290" i="2"/>
  <c r="M291" i="2"/>
  <c r="O291" i="2" s="1" a="1"/>
  <c r="O291" i="2" s="1"/>
  <c r="M292" i="2"/>
  <c r="M293" i="2"/>
  <c r="M294" i="2"/>
  <c r="M295" i="2"/>
  <c r="N295" i="2" s="1" a="1"/>
  <c r="N295" i="2" s="1"/>
  <c r="P295" i="2" s="1"/>
  <c r="Q295" i="2" s="1" a="1"/>
  <c r="Q295" i="2" s="1"/>
  <c r="M296" i="2"/>
  <c r="N296" i="2" s="1" a="1"/>
  <c r="N296" i="2" s="1"/>
  <c r="P296" i="2" s="1"/>
  <c r="M297" i="2"/>
  <c r="N297" i="2" s="1" a="1"/>
  <c r="N297" i="2" s="1"/>
  <c r="P297" i="2" s="1"/>
  <c r="M298" i="2"/>
  <c r="N298" i="2" s="1" a="1"/>
  <c r="N298" i="2" s="1"/>
  <c r="P298" i="2" s="1"/>
  <c r="Q298" i="2" s="1" a="1"/>
  <c r="Q298" i="2" s="1"/>
  <c r="M299" i="2"/>
  <c r="N299" i="2" s="1" a="1"/>
  <c r="N299" i="2" s="1"/>
  <c r="P299" i="2" s="1"/>
  <c r="M300" i="2"/>
  <c r="O300" i="2" s="1" a="1"/>
  <c r="O300" i="2" s="1"/>
  <c r="M301" i="2"/>
  <c r="N301" i="2" s="1" a="1"/>
  <c r="N301" i="2" s="1"/>
  <c r="P301" i="2" s="1"/>
  <c r="M302" i="2"/>
  <c r="N302" i="2" s="1" a="1"/>
  <c r="N302" i="2" s="1"/>
  <c r="P302" i="2" s="1"/>
  <c r="S302" i="2" s="1"/>
  <c r="M303" i="2"/>
  <c r="N303" i="2" s="1" a="1"/>
  <c r="N303" i="2" s="1"/>
  <c r="P303" i="2" s="1"/>
  <c r="M304" i="2"/>
  <c r="O304" i="2" s="1" a="1"/>
  <c r="O304" i="2" s="1"/>
  <c r="M305" i="2"/>
  <c r="O305" i="2" s="1" a="1"/>
  <c r="O305" i="2" s="1"/>
  <c r="M306" i="2"/>
  <c r="N306" i="2" s="1" a="1"/>
  <c r="N306" i="2" s="1"/>
  <c r="P306" i="2" s="1"/>
  <c r="M307" i="2"/>
  <c r="N307" i="2" s="1" a="1"/>
  <c r="N307" i="2" s="1"/>
  <c r="P307" i="2" s="1"/>
  <c r="R307" i="2" s="1" a="1"/>
  <c r="R307" i="2" s="1"/>
  <c r="M308" i="2"/>
  <c r="M309" i="2"/>
  <c r="M310" i="2"/>
  <c r="M311" i="2"/>
  <c r="M312" i="2"/>
  <c r="N312" i="2" s="1" a="1"/>
  <c r="N312" i="2" s="1"/>
  <c r="P312" i="2" s="1"/>
  <c r="M313" i="2"/>
  <c r="N313" i="2" s="1" a="1"/>
  <c r="N313" i="2" s="1"/>
  <c r="P313" i="2" s="1"/>
  <c r="M314" i="2"/>
  <c r="O314" i="2" s="1" a="1"/>
  <c r="O314" i="2" s="1"/>
  <c r="M315" i="2"/>
  <c r="O315" i="2" s="1" a="1"/>
  <c r="O315" i="2" s="1"/>
  <c r="M316" i="2"/>
  <c r="N316" i="2" s="1" a="1"/>
  <c r="N316" i="2" s="1"/>
  <c r="P316" i="2" s="1"/>
  <c r="M317" i="2"/>
  <c r="N317" i="2" s="1" a="1"/>
  <c r="N317" i="2" s="1"/>
  <c r="P317" i="2" s="1"/>
  <c r="M318" i="2"/>
  <c r="N318" i="2" s="1" a="1"/>
  <c r="N318" i="2" s="1"/>
  <c r="P318" i="2" s="1"/>
  <c r="M319" i="2"/>
  <c r="N319" i="2" s="1" a="1"/>
  <c r="N319" i="2" s="1"/>
  <c r="P319" i="2" s="1"/>
  <c r="M320" i="2"/>
  <c r="O320" i="2" s="1" a="1"/>
  <c r="O320" i="2" s="1"/>
  <c r="M321" i="2"/>
  <c r="O321" i="2" s="1" a="1"/>
  <c r="O321" i="2" s="1"/>
  <c r="M322" i="2"/>
  <c r="M323" i="2"/>
  <c r="N323" i="2" s="1" a="1"/>
  <c r="N323" i="2" s="1"/>
  <c r="P323" i="2" s="1"/>
  <c r="M324" i="2"/>
  <c r="M325" i="2"/>
  <c r="M326" i="2"/>
  <c r="N326" i="2" s="1" a="1"/>
  <c r="N326" i="2" s="1"/>
  <c r="P326" i="2" s="1"/>
  <c r="Q326" i="2" s="1" a="1"/>
  <c r="Q326" i="2" s="1"/>
  <c r="M327" i="2"/>
  <c r="N327" i="2" s="1" a="1"/>
  <c r="N327" i="2" s="1"/>
  <c r="P327" i="2" s="1"/>
  <c r="M328" i="2"/>
  <c r="N328" i="2" s="1" a="1"/>
  <c r="N328" i="2" s="1"/>
  <c r="P328" i="2" s="1"/>
  <c r="M329" i="2"/>
  <c r="N329" i="2" s="1" a="1"/>
  <c r="N329" i="2" s="1"/>
  <c r="P329" i="2" s="1"/>
  <c r="R329" i="2" s="1" a="1"/>
  <c r="R329" i="2" s="1"/>
  <c r="M330" i="2"/>
  <c r="N330" i="2" s="1" a="1"/>
  <c r="N330" i="2" s="1"/>
  <c r="P330" i="2" s="1"/>
  <c r="M331" i="2"/>
  <c r="N331" i="2" s="1" a="1"/>
  <c r="N331" i="2" s="1"/>
  <c r="P331" i="2" s="1"/>
  <c r="M332" i="2"/>
  <c r="N332" i="2" s="1" a="1"/>
  <c r="N332" i="2" s="1"/>
  <c r="P332" i="2" s="1"/>
  <c r="M333" i="2"/>
  <c r="N333" i="2" s="1" a="1"/>
  <c r="N333" i="2" s="1"/>
  <c r="P333" i="2" s="1"/>
  <c r="M334" i="2"/>
  <c r="N334" i="2" s="1" a="1"/>
  <c r="N334" i="2" s="1"/>
  <c r="P334" i="2" s="1"/>
  <c r="M335" i="2"/>
  <c r="N335" i="2" s="1" a="1"/>
  <c r="N335" i="2" s="1"/>
  <c r="P335" i="2" s="1"/>
  <c r="M336" i="2"/>
  <c r="N336" i="2" s="1" a="1"/>
  <c r="N336" i="2" s="1"/>
  <c r="P336" i="2" s="1"/>
  <c r="M337" i="2"/>
  <c r="O337" i="2" s="1" a="1"/>
  <c r="O337" i="2" s="1"/>
  <c r="M338" i="2"/>
  <c r="M339" i="2"/>
  <c r="O339" i="2" s="1" a="1"/>
  <c r="O339" i="2" s="1"/>
  <c r="M340" i="2"/>
  <c r="M341" i="2"/>
  <c r="M342" i="2"/>
  <c r="M343" i="2"/>
  <c r="N343" i="2" s="1" a="1"/>
  <c r="N343" i="2" s="1"/>
  <c r="P343" i="2" s="1"/>
  <c r="M344" i="2"/>
  <c r="N344" i="2" s="1" a="1"/>
  <c r="N344" i="2" s="1"/>
  <c r="P344" i="2" s="1"/>
  <c r="M345" i="2"/>
  <c r="N345" i="2" s="1" a="1"/>
  <c r="N345" i="2" s="1"/>
  <c r="P345" i="2" s="1"/>
  <c r="M346" i="2"/>
  <c r="N346" i="2" s="1" a="1"/>
  <c r="N346" i="2" s="1"/>
  <c r="P346" i="2" s="1"/>
  <c r="M347" i="2"/>
  <c r="N347" i="2" s="1" a="1"/>
  <c r="N347" i="2" s="1"/>
  <c r="P347" i="2" s="1"/>
  <c r="M348" i="2"/>
  <c r="N348" i="2" s="1" a="1"/>
  <c r="N348" i="2" s="1"/>
  <c r="P348" i="2" s="1"/>
  <c r="R348" i="2" s="1" a="1"/>
  <c r="R348" i="2" s="1"/>
  <c r="M349" i="2"/>
  <c r="N349" i="2" s="1" a="1"/>
  <c r="N349" i="2" s="1"/>
  <c r="P349" i="2" s="1"/>
  <c r="R349" i="2" s="1" a="1"/>
  <c r="R349" i="2" s="1"/>
  <c r="M350" i="2"/>
  <c r="N350" i="2" s="1" a="1"/>
  <c r="N350" i="2" s="1"/>
  <c r="P350" i="2" s="1"/>
  <c r="M351" i="2"/>
  <c r="N351" i="2" s="1" a="1"/>
  <c r="N351" i="2" s="1"/>
  <c r="P351" i="2" s="1"/>
  <c r="M352" i="2"/>
  <c r="N352" i="2" s="1" a="1"/>
  <c r="N352" i="2" s="1"/>
  <c r="P352" i="2" s="1"/>
  <c r="M353" i="2"/>
  <c r="N353" i="2" s="1" a="1"/>
  <c r="N353" i="2" s="1"/>
  <c r="P353" i="2" s="1"/>
  <c r="M354" i="2"/>
  <c r="N354" i="2" s="1" a="1"/>
  <c r="N354" i="2" s="1"/>
  <c r="P354" i="2" s="1"/>
  <c r="M355" i="2"/>
  <c r="N355" i="2" s="1" a="1"/>
  <c r="N355" i="2" s="1"/>
  <c r="P355" i="2" s="1"/>
  <c r="M356" i="2"/>
  <c r="M357" i="2"/>
  <c r="M358" i="2"/>
  <c r="M359" i="2"/>
  <c r="N359" i="2" s="1" a="1"/>
  <c r="N359" i="2" s="1"/>
  <c r="P359" i="2" s="1"/>
  <c r="M360" i="2"/>
  <c r="N360" i="2" s="1" a="1"/>
  <c r="N360" i="2" s="1"/>
  <c r="P360" i="2" s="1"/>
  <c r="M361" i="2"/>
  <c r="N361" i="2" s="1" a="1"/>
  <c r="N361" i="2" s="1"/>
  <c r="P361" i="2" s="1"/>
  <c r="M362" i="2"/>
  <c r="N362" i="2" s="1" a="1"/>
  <c r="N362" i="2" s="1"/>
  <c r="P362" i="2" s="1"/>
  <c r="M363" i="2"/>
  <c r="N363" i="2" s="1" a="1"/>
  <c r="N363" i="2" s="1"/>
  <c r="P363" i="2" s="1"/>
  <c r="M364" i="2"/>
  <c r="N364" i="2" s="1" a="1"/>
  <c r="N364" i="2" s="1"/>
  <c r="P364" i="2" s="1"/>
  <c r="R364" i="2" s="1" a="1"/>
  <c r="R364" i="2" s="1"/>
  <c r="M365" i="2"/>
  <c r="N365" i="2" s="1" a="1"/>
  <c r="N365" i="2" s="1"/>
  <c r="P365" i="2" s="1"/>
  <c r="Q365" i="2" s="1" a="1"/>
  <c r="Q365" i="2" s="1"/>
  <c r="M366" i="2"/>
  <c r="N366" i="2" s="1" a="1"/>
  <c r="N366" i="2" s="1"/>
  <c r="P366" i="2" s="1"/>
  <c r="S366" i="2" s="1"/>
  <c r="M367" i="2"/>
  <c r="N367" i="2" s="1" a="1"/>
  <c r="N367" i="2" s="1"/>
  <c r="P367" i="2" s="1"/>
  <c r="M368" i="2"/>
  <c r="N368" i="2" s="1" a="1"/>
  <c r="N368" i="2" s="1"/>
  <c r="P368" i="2" s="1"/>
  <c r="Q368" i="2" s="1" a="1"/>
  <c r="Q368" i="2" s="1"/>
  <c r="M369" i="2"/>
  <c r="N369" i="2" s="1" a="1"/>
  <c r="N369" i="2" s="1"/>
  <c r="P369" i="2" s="1"/>
  <c r="M370" i="2"/>
  <c r="M371" i="2"/>
  <c r="N371" i="2" s="1" a="1"/>
  <c r="N371" i="2" s="1"/>
  <c r="P371" i="2" s="1"/>
  <c r="M372" i="2"/>
  <c r="M373" i="2"/>
  <c r="M374" i="2"/>
  <c r="M375" i="2"/>
  <c r="N375" i="2" s="1" a="1"/>
  <c r="N375" i="2" s="1"/>
  <c r="P375" i="2" s="1"/>
  <c r="M376" i="2"/>
  <c r="N376" i="2" s="1" a="1"/>
  <c r="N376" i="2" s="1"/>
  <c r="P376" i="2" s="1"/>
  <c r="M377" i="2"/>
  <c r="N377" i="2" s="1" a="1"/>
  <c r="N377" i="2" s="1"/>
  <c r="P377" i="2" s="1"/>
  <c r="M378" i="2"/>
  <c r="N378" i="2" s="1" a="1"/>
  <c r="N378" i="2" s="1"/>
  <c r="P378" i="2" s="1"/>
  <c r="M379" i="2"/>
  <c r="N379" i="2" s="1" a="1"/>
  <c r="N379" i="2" s="1"/>
  <c r="P379" i="2" s="1"/>
  <c r="M380" i="2"/>
  <c r="N380" i="2" s="1" a="1"/>
  <c r="N380" i="2" s="1"/>
  <c r="P380" i="2" s="1"/>
  <c r="M381" i="2"/>
  <c r="N381" i="2" s="1" a="1"/>
  <c r="N381" i="2" s="1"/>
  <c r="P381" i="2" s="1"/>
  <c r="M382" i="2"/>
  <c r="N382" i="2" s="1" a="1"/>
  <c r="N382" i="2" s="1"/>
  <c r="P382" i="2" s="1"/>
  <c r="M383" i="2"/>
  <c r="N383" i="2" s="1" a="1"/>
  <c r="N383" i="2" s="1"/>
  <c r="P383" i="2" s="1"/>
  <c r="M384" i="2"/>
  <c r="N384" i="2" s="1" a="1"/>
  <c r="N384" i="2" s="1"/>
  <c r="P384" i="2" s="1"/>
  <c r="M385" i="2"/>
  <c r="N385" i="2" s="1" a="1"/>
  <c r="N385" i="2" s="1"/>
  <c r="P385" i="2" s="1"/>
  <c r="M386" i="2"/>
  <c r="M387" i="2"/>
  <c r="N387" i="2" s="1" a="1"/>
  <c r="N387" i="2" s="1"/>
  <c r="P387" i="2" s="1"/>
  <c r="Q387" i="2" s="1" a="1"/>
  <c r="Q387" i="2" s="1"/>
  <c r="M388" i="2"/>
  <c r="M389" i="2"/>
  <c r="M390" i="2"/>
  <c r="M391" i="2"/>
  <c r="N391" i="2" s="1" a="1"/>
  <c r="N391" i="2" s="1"/>
  <c r="P391" i="2" s="1"/>
  <c r="S391" i="2" s="1"/>
  <c r="M392" i="2"/>
  <c r="N392" i="2" s="1" a="1"/>
  <c r="N392" i="2" s="1"/>
  <c r="P392" i="2" s="1"/>
  <c r="Q392" i="2" s="1" a="1"/>
  <c r="Q392" i="2" s="1"/>
  <c r="M393" i="2"/>
  <c r="N393" i="2" s="1" a="1"/>
  <c r="N393" i="2" s="1"/>
  <c r="P393" i="2" s="1"/>
  <c r="R393" i="2" s="1" a="1"/>
  <c r="R393" i="2" s="1"/>
  <c r="M394" i="2"/>
  <c r="N394" i="2" s="1" a="1"/>
  <c r="N394" i="2" s="1"/>
  <c r="P394" i="2" s="1"/>
  <c r="M395" i="2"/>
  <c r="N395" i="2" s="1" a="1"/>
  <c r="N395" i="2" s="1"/>
  <c r="P395" i="2" s="1"/>
  <c r="M396" i="2"/>
  <c r="N396" i="2" s="1" a="1"/>
  <c r="N396" i="2" s="1"/>
  <c r="P396" i="2" s="1"/>
  <c r="M397" i="2"/>
  <c r="N397" i="2" s="1" a="1"/>
  <c r="N397" i="2" s="1"/>
  <c r="P397" i="2" s="1"/>
  <c r="R397" i="2" s="1" a="1"/>
  <c r="R397" i="2" s="1"/>
  <c r="M398" i="2"/>
  <c r="N398" i="2" s="1" a="1"/>
  <c r="N398" i="2" s="1"/>
  <c r="P398" i="2" s="1"/>
  <c r="M399" i="2"/>
  <c r="N399" i="2" s="1" a="1"/>
  <c r="N399" i="2" s="1"/>
  <c r="P399" i="2" s="1"/>
  <c r="M400" i="2"/>
  <c r="N400" i="2" s="1" a="1"/>
  <c r="N400" i="2" s="1"/>
  <c r="P400" i="2" s="1"/>
  <c r="M401" i="2"/>
  <c r="N401" i="2" s="1" a="1"/>
  <c r="N401" i="2" s="1"/>
  <c r="P401" i="2" s="1"/>
  <c r="M402" i="2"/>
  <c r="N402" i="2" s="1" a="1"/>
  <c r="N402" i="2" s="1"/>
  <c r="P402" i="2" s="1"/>
  <c r="S402" i="2" s="1"/>
  <c r="M403" i="2"/>
  <c r="N403" i="2" s="1" a="1"/>
  <c r="N403" i="2" s="1"/>
  <c r="P403" i="2" s="1"/>
  <c r="R403" i="2" s="1" a="1"/>
  <c r="R403" i="2" s="1"/>
  <c r="M404" i="2"/>
  <c r="M405" i="2"/>
  <c r="M406" i="2"/>
  <c r="N406" i="2" s="1" a="1"/>
  <c r="N406" i="2" s="1"/>
  <c r="P406" i="2" s="1"/>
  <c r="S406" i="2" s="1"/>
  <c r="M407" i="2"/>
  <c r="N407" i="2" s="1" a="1"/>
  <c r="N407" i="2" s="1"/>
  <c r="P407" i="2" s="1"/>
  <c r="R407" i="2" s="1" a="1"/>
  <c r="R407" i="2" s="1"/>
  <c r="M408" i="2"/>
  <c r="N408" i="2" s="1" a="1"/>
  <c r="N408" i="2" s="1"/>
  <c r="P408" i="2" s="1"/>
  <c r="Q408" i="2" s="1" a="1"/>
  <c r="Q408" i="2" s="1"/>
  <c r="N114" i="2" a="1"/>
  <c r="N114" i="2" s="1"/>
  <c r="P114" i="2" s="1"/>
  <c r="Q114" i="2" s="1" a="1"/>
  <c r="Q114" i="2" s="1"/>
  <c r="N115" i="2" a="1"/>
  <c r="N115" i="2" s="1"/>
  <c r="P115" i="2" s="1"/>
  <c r="N116" i="2" a="1"/>
  <c r="N116" i="2" s="1"/>
  <c r="P116" i="2" s="1"/>
  <c r="Q116" i="2" s="1" a="1"/>
  <c r="Q116" i="2" s="1"/>
  <c r="N130" i="2" a="1"/>
  <c r="N130" i="2" s="1"/>
  <c r="P130" i="2" s="1"/>
  <c r="Q130" i="2" s="1" a="1"/>
  <c r="Q130" i="2" s="1"/>
  <c r="N132" i="2" a="1"/>
  <c r="N132" i="2" s="1"/>
  <c r="P132" i="2" s="1"/>
  <c r="N133" i="2" a="1"/>
  <c r="N133" i="2" s="1"/>
  <c r="P133" i="2" s="1"/>
  <c r="N134" i="2" a="1"/>
  <c r="N134" i="2" s="1"/>
  <c r="P134" i="2" s="1"/>
  <c r="Q134" i="2" s="1" a="1"/>
  <c r="Q134" i="2" s="1"/>
  <c r="N148" i="2" a="1"/>
  <c r="N148" i="2" s="1"/>
  <c r="P148" i="2" s="1"/>
  <c r="R148" i="2" s="1" a="1"/>
  <c r="R148" i="2" s="1"/>
  <c r="N151" i="2" a="1"/>
  <c r="N151" i="2" s="1"/>
  <c r="P151" i="2" s="1"/>
  <c r="R151" i="2" s="1" a="1"/>
  <c r="R151" i="2" s="1"/>
  <c r="N154" i="2" a="1"/>
  <c r="N154" i="2" s="1"/>
  <c r="P154" i="2" s="1"/>
  <c r="N162" i="2" a="1"/>
  <c r="N162" i="2" s="1"/>
  <c r="P162" i="2" s="1"/>
  <c r="N164" i="2" a="1"/>
  <c r="N164" i="2" s="1"/>
  <c r="P164" i="2" s="1"/>
  <c r="Q164" i="2" s="1" a="1"/>
  <c r="Q164" i="2" s="1"/>
  <c r="N165" i="2" a="1"/>
  <c r="N165" i="2" s="1"/>
  <c r="P165" i="2" s="1"/>
  <c r="Q165" i="2" s="1" a="1"/>
  <c r="Q165" i="2" s="1"/>
  <c r="N167" i="2" a="1"/>
  <c r="N167" i="2" s="1"/>
  <c r="P167" i="2" s="1"/>
  <c r="R167" i="2" s="1" a="1"/>
  <c r="R167" i="2" s="1"/>
  <c r="N178" i="2" a="1"/>
  <c r="N178" i="2" s="1"/>
  <c r="P178" i="2" s="1"/>
  <c r="N180" i="2" a="1"/>
  <c r="N180" i="2" s="1"/>
  <c r="P180" i="2" s="1"/>
  <c r="N194" i="2" a="1"/>
  <c r="N194" i="2" s="1"/>
  <c r="P194" i="2" s="1"/>
  <c r="Q194" i="2" s="1" a="1"/>
  <c r="Q194" i="2" s="1"/>
  <c r="N196" i="2" a="1"/>
  <c r="N196" i="2" s="1"/>
  <c r="P196" i="2" s="1"/>
  <c r="Q196" i="2" s="1" a="1"/>
  <c r="Q196" i="2" s="1"/>
  <c r="N197" i="2" a="1"/>
  <c r="N197" i="2" s="1"/>
  <c r="P197" i="2" s="1"/>
  <c r="Q197" i="2" s="1" a="1"/>
  <c r="Q197" i="2" s="1"/>
  <c r="N210" i="2" a="1"/>
  <c r="N210" i="2" s="1"/>
  <c r="P210" i="2" s="1"/>
  <c r="N212" i="2" a="1"/>
  <c r="N212" i="2" s="1"/>
  <c r="P212" i="2" s="1"/>
  <c r="N213" i="2" a="1"/>
  <c r="N213" i="2" s="1"/>
  <c r="P213" i="2" s="1"/>
  <c r="N214" i="2" a="1"/>
  <c r="N214" i="2" s="1"/>
  <c r="P214" i="2" s="1"/>
  <c r="N226" i="2" a="1"/>
  <c r="N226" i="2" s="1"/>
  <c r="P226" i="2" s="1"/>
  <c r="N227" i="2" a="1"/>
  <c r="N227" i="2" s="1"/>
  <c r="P227" i="2" s="1"/>
  <c r="N228" i="2" a="1"/>
  <c r="N228" i="2" s="1"/>
  <c r="P228" i="2" s="1"/>
  <c r="N229" i="2" a="1"/>
  <c r="N229" i="2" s="1"/>
  <c r="P229" i="2" s="1"/>
  <c r="N242" i="2" a="1"/>
  <c r="N242" i="2" s="1"/>
  <c r="P242" i="2" s="1"/>
  <c r="N244" i="2" a="1"/>
  <c r="N244" i="2" s="1"/>
  <c r="P244" i="2" s="1"/>
  <c r="N245" i="2" a="1"/>
  <c r="N245" i="2" s="1"/>
  <c r="P245" i="2" s="1"/>
  <c r="N247" i="2" a="1"/>
  <c r="N247" i="2" s="1"/>
  <c r="P247" i="2" s="1"/>
  <c r="S247" i="2" s="1"/>
  <c r="N260" i="2" a="1"/>
  <c r="N260" i="2" s="1"/>
  <c r="P260" i="2" s="1"/>
  <c r="N261" i="2" a="1"/>
  <c r="N261" i="2" s="1"/>
  <c r="P261" i="2" s="1"/>
  <c r="R261" i="2" s="1" a="1"/>
  <c r="R261" i="2" s="1"/>
  <c r="N262" i="2" a="1"/>
  <c r="N262" i="2" s="1"/>
  <c r="P262" i="2" s="1"/>
  <c r="N274" i="2" a="1"/>
  <c r="N274" i="2" s="1"/>
  <c r="P274" i="2" s="1"/>
  <c r="Q274" i="2" s="1" a="1"/>
  <c r="Q274" i="2" s="1"/>
  <c r="N276" i="2" a="1"/>
  <c r="N276" i="2" s="1"/>
  <c r="P276" i="2" s="1"/>
  <c r="Q276" i="2" s="1" a="1"/>
  <c r="Q276" i="2" s="1"/>
  <c r="N277" i="2" a="1"/>
  <c r="N277" i="2" s="1"/>
  <c r="P277" i="2" s="1"/>
  <c r="N278" i="2" a="1"/>
  <c r="N278" i="2" s="1"/>
  <c r="P278" i="2" s="1"/>
  <c r="S278" i="2" s="1"/>
  <c r="N279" i="2" a="1"/>
  <c r="N279" i="2" s="1"/>
  <c r="P279" i="2" s="1"/>
  <c r="S279" i="2" s="1"/>
  <c r="N290" i="2" a="1"/>
  <c r="N290" i="2" s="1"/>
  <c r="P290" i="2" s="1"/>
  <c r="N292" i="2" a="1"/>
  <c r="N292" i="2" s="1"/>
  <c r="P292" i="2" s="1"/>
  <c r="N293" i="2" a="1"/>
  <c r="N293" i="2" s="1"/>
  <c r="P293" i="2" s="1"/>
  <c r="R293" i="2" s="1" a="1"/>
  <c r="R293" i="2" s="1"/>
  <c r="N294" i="2" a="1"/>
  <c r="N294" i="2" s="1"/>
  <c r="P294" i="2" s="1"/>
  <c r="N308" i="2" a="1"/>
  <c r="N308" i="2" s="1"/>
  <c r="P308" i="2" s="1"/>
  <c r="N309" i="2" a="1"/>
  <c r="N309" i="2" s="1"/>
  <c r="P309" i="2" s="1"/>
  <c r="R309" i="2" s="1" a="1"/>
  <c r="R309" i="2" s="1"/>
  <c r="N310" i="2" a="1"/>
  <c r="N310" i="2" s="1"/>
  <c r="P310" i="2" s="1"/>
  <c r="N311" i="2" a="1"/>
  <c r="N311" i="2" s="1"/>
  <c r="P311" i="2" s="1"/>
  <c r="R311" i="2" s="1" a="1"/>
  <c r="R311" i="2" s="1"/>
  <c r="N322" i="2" a="1"/>
  <c r="N322" i="2" s="1"/>
  <c r="P322" i="2" s="1"/>
  <c r="N324" i="2" a="1"/>
  <c r="N324" i="2" s="1"/>
  <c r="P324" i="2" s="1"/>
  <c r="Q324" i="2" s="1" a="1"/>
  <c r="Q324" i="2" s="1"/>
  <c r="N325" i="2" a="1"/>
  <c r="N325" i="2" s="1"/>
  <c r="P325" i="2" s="1"/>
  <c r="N337" i="2" a="1"/>
  <c r="N337" i="2" s="1"/>
  <c r="P337" i="2" s="1"/>
  <c r="N338" i="2" a="1"/>
  <c r="N338" i="2" s="1"/>
  <c r="N340" i="2" a="1"/>
  <c r="N340" i="2" s="1"/>
  <c r="P340" i="2" s="1"/>
  <c r="R340" i="2" s="1" a="1"/>
  <c r="R340" i="2" s="1"/>
  <c r="N341" i="2" a="1"/>
  <c r="N341" i="2" s="1"/>
  <c r="P341" i="2" s="1"/>
  <c r="R341" i="2" s="1" a="1"/>
  <c r="R341" i="2" s="1"/>
  <c r="N342" i="2" a="1"/>
  <c r="N342" i="2" s="1"/>
  <c r="P342" i="2" s="1"/>
  <c r="S342" i="2" s="1"/>
  <c r="N356" i="2" a="1"/>
  <c r="N356" i="2" s="1"/>
  <c r="P356" i="2" s="1"/>
  <c r="R356" i="2" s="1" a="1"/>
  <c r="R356" i="2" s="1"/>
  <c r="N357" i="2" a="1"/>
  <c r="N357" i="2" s="1"/>
  <c r="P357" i="2" s="1"/>
  <c r="R357" i="2" s="1" a="1"/>
  <c r="R357" i="2" s="1"/>
  <c r="N358" i="2" a="1"/>
  <c r="N358" i="2" s="1"/>
  <c r="P358" i="2" s="1"/>
  <c r="S358" i="2" s="1"/>
  <c r="N370" i="2" a="1"/>
  <c r="N370" i="2" s="1"/>
  <c r="P370" i="2" s="1"/>
  <c r="N372" i="2" a="1"/>
  <c r="N372" i="2" s="1"/>
  <c r="P372" i="2" s="1"/>
  <c r="N373" i="2" a="1"/>
  <c r="N373" i="2" s="1"/>
  <c r="P373" i="2" s="1"/>
  <c r="R373" i="2" s="1" a="1"/>
  <c r="R373" i="2" s="1"/>
  <c r="N374" i="2" a="1"/>
  <c r="N374" i="2" s="1"/>
  <c r="P374" i="2" s="1"/>
  <c r="S374" i="2" s="1"/>
  <c r="N386" i="2" a="1"/>
  <c r="N386" i="2" s="1"/>
  <c r="P386" i="2" s="1"/>
  <c r="Q386" i="2" s="1" a="1"/>
  <c r="Q386" i="2" s="1"/>
  <c r="N388" i="2" a="1"/>
  <c r="N388" i="2" s="1"/>
  <c r="P388" i="2" s="1"/>
  <c r="R388" i="2" s="1" a="1"/>
  <c r="R388" i="2" s="1"/>
  <c r="N389" i="2" a="1"/>
  <c r="N389" i="2" s="1"/>
  <c r="P389" i="2" s="1"/>
  <c r="N390" i="2" a="1"/>
  <c r="N390" i="2" s="1"/>
  <c r="P390" i="2" s="1"/>
  <c r="N404" i="2" a="1"/>
  <c r="N404" i="2" s="1"/>
  <c r="P404" i="2" s="1"/>
  <c r="R404" i="2" s="1" a="1"/>
  <c r="R404" i="2" s="1"/>
  <c r="N405" i="2" a="1"/>
  <c r="N405" i="2" s="1"/>
  <c r="P405" i="2" s="1"/>
  <c r="O114" i="2" a="1"/>
  <c r="O114" i="2" s="1"/>
  <c r="O116" i="2" a="1"/>
  <c r="O116" i="2" s="1"/>
  <c r="O117" i="2" a="1"/>
  <c r="O117" i="2" s="1"/>
  <c r="O118" i="2" a="1"/>
  <c r="O118" i="2" s="1"/>
  <c r="O119" i="2" a="1"/>
  <c r="O119" i="2" s="1"/>
  <c r="O120" i="2" a="1"/>
  <c r="O120" i="2" s="1"/>
  <c r="O122" i="2" a="1"/>
  <c r="O122" i="2" s="1"/>
  <c r="O130" i="2" a="1"/>
  <c r="O130" i="2" s="1"/>
  <c r="O132" i="2" a="1"/>
  <c r="O132" i="2" s="1"/>
  <c r="O133" i="2" a="1"/>
  <c r="O133" i="2" s="1"/>
  <c r="O134" i="2" a="1"/>
  <c r="O134" i="2" s="1"/>
  <c r="O135" i="2" a="1"/>
  <c r="O135" i="2" s="1"/>
  <c r="O136" i="2" a="1"/>
  <c r="O136" i="2" s="1"/>
  <c r="O137" i="2" a="1"/>
  <c r="O137" i="2" s="1"/>
  <c r="O138" i="2" a="1"/>
  <c r="O138" i="2" s="1"/>
  <c r="O146" i="2" a="1"/>
  <c r="O146" i="2" s="1"/>
  <c r="O148" i="2" a="1"/>
  <c r="O148" i="2" s="1"/>
  <c r="O149" i="2" a="1"/>
  <c r="O149" i="2" s="1"/>
  <c r="O150" i="2" a="1"/>
  <c r="O150" i="2" s="1"/>
  <c r="O151" i="2" a="1"/>
  <c r="O151" i="2" s="1"/>
  <c r="O152" i="2" a="1"/>
  <c r="O152" i="2" s="1"/>
  <c r="O153" i="2" a="1"/>
  <c r="O153" i="2" s="1"/>
  <c r="O154" i="2" a="1"/>
  <c r="O154" i="2" s="1"/>
  <c r="O162" i="2" a="1"/>
  <c r="O162" i="2" s="1"/>
  <c r="O163" i="2" a="1"/>
  <c r="O163" i="2" s="1"/>
  <c r="O164" i="2" a="1"/>
  <c r="O164" i="2" s="1"/>
  <c r="O165" i="2" a="1"/>
  <c r="O165" i="2" s="1"/>
  <c r="O166" i="2" a="1"/>
  <c r="O166" i="2" s="1"/>
  <c r="O167" i="2" a="1"/>
  <c r="O167" i="2" s="1"/>
  <c r="O168" i="2" a="1"/>
  <c r="O168" i="2" s="1"/>
  <c r="O169" i="2" a="1"/>
  <c r="O169" i="2" s="1"/>
  <c r="O178" i="2" a="1"/>
  <c r="O178" i="2" s="1"/>
  <c r="O180" i="2" a="1"/>
  <c r="O180" i="2" s="1"/>
  <c r="O181" i="2" a="1"/>
  <c r="O181" i="2" s="1"/>
  <c r="O182" i="2" a="1"/>
  <c r="O182" i="2" s="1"/>
  <c r="O183" i="2" a="1"/>
  <c r="O183" i="2" s="1"/>
  <c r="O184" i="2" a="1"/>
  <c r="O184" i="2" s="1"/>
  <c r="O186" i="2" a="1"/>
  <c r="O186" i="2" s="1"/>
  <c r="O194" i="2" a="1"/>
  <c r="O194" i="2" s="1"/>
  <c r="O195" i="2" a="1"/>
  <c r="O195" i="2" s="1"/>
  <c r="O196" i="2" a="1"/>
  <c r="O196" i="2" s="1"/>
  <c r="O197" i="2" a="1"/>
  <c r="O197" i="2" s="1"/>
  <c r="O198" i="2" a="1"/>
  <c r="O198" i="2" s="1"/>
  <c r="O199" i="2" a="1"/>
  <c r="O199" i="2" s="1"/>
  <c r="O200" i="2" a="1"/>
  <c r="O200" i="2" s="1"/>
  <c r="O201" i="2" a="1"/>
  <c r="O201" i="2" s="1"/>
  <c r="O202" i="2" a="1"/>
  <c r="O202" i="2" s="1"/>
  <c r="O210" i="2" a="1"/>
  <c r="O210" i="2" s="1"/>
  <c r="O211" i="2" a="1"/>
  <c r="O211" i="2" s="1"/>
  <c r="O212" i="2" a="1"/>
  <c r="O212" i="2" s="1"/>
  <c r="O213" i="2" a="1"/>
  <c r="O213" i="2" s="1"/>
  <c r="O214" i="2" a="1"/>
  <c r="O214" i="2" s="1"/>
  <c r="O215" i="2" a="1"/>
  <c r="O215" i="2" s="1"/>
  <c r="O216" i="2" a="1"/>
  <c r="O216" i="2" s="1"/>
  <c r="O217" i="2" a="1"/>
  <c r="O217" i="2" s="1"/>
  <c r="O218" i="2" a="1"/>
  <c r="O218" i="2" s="1"/>
  <c r="O226" i="2" a="1"/>
  <c r="O226" i="2" s="1"/>
  <c r="O227" i="2" a="1"/>
  <c r="O227" i="2" s="1"/>
  <c r="O228" i="2" a="1"/>
  <c r="O228" i="2" s="1"/>
  <c r="O229" i="2" a="1"/>
  <c r="O229" i="2" s="1"/>
  <c r="O230" i="2" a="1"/>
  <c r="O230" i="2" s="1"/>
  <c r="O231" i="2" a="1"/>
  <c r="O231" i="2" s="1"/>
  <c r="O232" i="2" a="1"/>
  <c r="O232" i="2" s="1"/>
  <c r="O233" i="2" a="1"/>
  <c r="O233" i="2" s="1"/>
  <c r="O234" i="2" a="1"/>
  <c r="O234" i="2" s="1"/>
  <c r="O244" i="2" a="1"/>
  <c r="O244" i="2" s="1"/>
  <c r="O245" i="2" a="1"/>
  <c r="O245" i="2" s="1"/>
  <c r="O246" i="2" a="1"/>
  <c r="O246" i="2" s="1"/>
  <c r="O247" i="2" a="1"/>
  <c r="O247" i="2" s="1"/>
  <c r="O248" i="2" a="1"/>
  <c r="O248" i="2" s="1"/>
  <c r="O250" i="2" a="1"/>
  <c r="O250" i="2" s="1"/>
  <c r="O257" i="2" a="1"/>
  <c r="O257" i="2" s="1"/>
  <c r="O258" i="2" a="1"/>
  <c r="O258" i="2" s="1"/>
  <c r="O260" i="2" a="1"/>
  <c r="O260" i="2" s="1"/>
  <c r="O261" i="2" a="1"/>
  <c r="O261" i="2" s="1"/>
  <c r="O262" i="2" a="1"/>
  <c r="O262" i="2" s="1"/>
  <c r="O263" i="2" a="1"/>
  <c r="O263" i="2" s="1"/>
  <c r="O264" i="2" a="1"/>
  <c r="O264" i="2" s="1"/>
  <c r="O274" i="2" a="1"/>
  <c r="O274" i="2" s="1"/>
  <c r="O276" i="2" a="1"/>
  <c r="O276" i="2" s="1"/>
  <c r="O277" i="2" a="1"/>
  <c r="O277" i="2" s="1"/>
  <c r="O278" i="2" a="1"/>
  <c r="O278" i="2" s="1"/>
  <c r="O279" i="2" a="1"/>
  <c r="O279" i="2" s="1"/>
  <c r="O280" i="2" a="1"/>
  <c r="O280" i="2" s="1"/>
  <c r="O290" i="2" a="1"/>
  <c r="O290" i="2" s="1"/>
  <c r="O292" i="2" a="1"/>
  <c r="O292" i="2" s="1"/>
  <c r="O293" i="2" a="1"/>
  <c r="O293" i="2" s="1"/>
  <c r="O294" i="2" a="1"/>
  <c r="O294" i="2" s="1"/>
  <c r="O295" i="2" a="1"/>
  <c r="O295" i="2" s="1"/>
  <c r="O296" i="2" a="1"/>
  <c r="O296" i="2" s="1"/>
  <c r="O306" i="2" a="1"/>
  <c r="O306" i="2" s="1"/>
  <c r="O308" i="2" a="1"/>
  <c r="O308" i="2" s="1"/>
  <c r="O309" i="2" a="1"/>
  <c r="O309" i="2" s="1"/>
  <c r="O310" i="2" a="1"/>
  <c r="O310" i="2" s="1"/>
  <c r="O311" i="2" a="1"/>
  <c r="O311" i="2" s="1"/>
  <c r="O312" i="2" a="1"/>
  <c r="O312" i="2" s="1"/>
  <c r="O313" i="2" a="1"/>
  <c r="O313" i="2" s="1"/>
  <c r="O322" i="2" a="1"/>
  <c r="O322" i="2" s="1"/>
  <c r="O324" i="2" a="1"/>
  <c r="O324" i="2" s="1"/>
  <c r="O325" i="2" a="1"/>
  <c r="O325" i="2" s="1"/>
  <c r="O326" i="2" a="1"/>
  <c r="O326" i="2" s="1"/>
  <c r="O327" i="2" a="1"/>
  <c r="O327" i="2" s="1"/>
  <c r="O330" i="2" a="1"/>
  <c r="O330" i="2" s="1"/>
  <c r="O338" i="2" a="1"/>
  <c r="O338" i="2" s="1"/>
  <c r="O340" i="2" a="1"/>
  <c r="O340" i="2" s="1"/>
  <c r="O341" i="2" a="1"/>
  <c r="O341" i="2" s="1"/>
  <c r="O342" i="2" a="1"/>
  <c r="O342" i="2" s="1"/>
  <c r="O343" i="2" a="1"/>
  <c r="O343" i="2" s="1"/>
  <c r="O344" i="2" a="1"/>
  <c r="O344" i="2" s="1"/>
  <c r="O345" i="2" a="1"/>
  <c r="O345" i="2" s="1"/>
  <c r="O346" i="2" a="1"/>
  <c r="O346" i="2" s="1"/>
  <c r="O354" i="2" a="1"/>
  <c r="O354" i="2" s="1"/>
  <c r="O355" i="2" a="1"/>
  <c r="O355" i="2" s="1"/>
  <c r="O356" i="2" a="1"/>
  <c r="O356" i="2" s="1"/>
  <c r="O357" i="2" a="1"/>
  <c r="O357" i="2" s="1"/>
  <c r="O358" i="2" a="1"/>
  <c r="O358" i="2" s="1"/>
  <c r="O359" i="2" a="1"/>
  <c r="O359" i="2" s="1"/>
  <c r="O366" i="2" a="1"/>
  <c r="O366" i="2" s="1"/>
  <c r="O370" i="2" a="1"/>
  <c r="O370" i="2" s="1"/>
  <c r="O371" i="2" a="1"/>
  <c r="O371" i="2" s="1"/>
  <c r="O372" i="2" a="1"/>
  <c r="O372" i="2" s="1"/>
  <c r="O373" i="2" a="1"/>
  <c r="O373" i="2" s="1"/>
  <c r="O374" i="2" a="1"/>
  <c r="O374" i="2" s="1"/>
  <c r="O375" i="2" a="1"/>
  <c r="O375" i="2" s="1"/>
  <c r="O376" i="2" a="1"/>
  <c r="O376" i="2" s="1"/>
  <c r="O377" i="2" a="1"/>
  <c r="O377" i="2" s="1"/>
  <c r="O383" i="2" a="1"/>
  <c r="O383" i="2" s="1"/>
  <c r="O386" i="2" a="1"/>
  <c r="O386" i="2" s="1"/>
  <c r="O387" i="2" a="1"/>
  <c r="O387" i="2" s="1"/>
  <c r="O388" i="2" a="1"/>
  <c r="O388" i="2" s="1"/>
  <c r="O389" i="2" a="1"/>
  <c r="O389" i="2" s="1"/>
  <c r="O390" i="2" a="1"/>
  <c r="O390" i="2" s="1"/>
  <c r="O391" i="2" a="1"/>
  <c r="O391" i="2" s="1"/>
  <c r="O392" i="2" a="1"/>
  <c r="O392" i="2" s="1"/>
  <c r="O393" i="2" a="1"/>
  <c r="O393" i="2" s="1"/>
  <c r="O394" i="2" a="1"/>
  <c r="O394" i="2" s="1"/>
  <c r="O402" i="2" a="1"/>
  <c r="O402" i="2" s="1"/>
  <c r="O403" i="2" a="1"/>
  <c r="O403" i="2" s="1"/>
  <c r="O404" i="2" a="1"/>
  <c r="O404" i="2" s="1"/>
  <c r="O405" i="2" a="1"/>
  <c r="O405" i="2" s="1"/>
  <c r="O406" i="2" a="1"/>
  <c r="O406" i="2" s="1"/>
  <c r="O407" i="2" a="1"/>
  <c r="O407" i="2" s="1"/>
  <c r="O408" i="2" a="1"/>
  <c r="O408" i="2" s="1"/>
  <c r="P338" i="2"/>
  <c r="Q338" i="2" s="1" a="1"/>
  <c r="Q338" i="2" s="1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18" i="2"/>
  <c r="I19" i="2"/>
  <c r="I20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I17" i="2"/>
  <c r="I16" i="2"/>
  <c r="I15" i="2"/>
  <c r="I14" i="2"/>
  <c r="I13" i="2"/>
  <c r="I12" i="2"/>
  <c r="L5" i="2"/>
  <c r="L6" i="2"/>
  <c r="L7" i="2"/>
  <c r="L8" i="2"/>
  <c r="L9" i="2"/>
  <c r="L10" i="2"/>
  <c r="L11" i="2"/>
  <c r="M12" i="2"/>
  <c r="M11" i="2"/>
  <c r="M10" i="2"/>
  <c r="M9" i="2"/>
  <c r="M8" i="2"/>
  <c r="M7" i="2"/>
  <c r="M6" i="2"/>
  <c r="Y247" i="10" l="1"/>
  <c r="Y245" i="10"/>
  <c r="Y246" i="10"/>
  <c r="Y243" i="10"/>
  <c r="Y244" i="10"/>
  <c r="Y241" i="10"/>
  <c r="Y242" i="10"/>
  <c r="Y239" i="10"/>
  <c r="Y240" i="10"/>
  <c r="Y237" i="10"/>
  <c r="Y238" i="10"/>
  <c r="Y235" i="10"/>
  <c r="Y236" i="10"/>
  <c r="Y233" i="10"/>
  <c r="Y234" i="10"/>
  <c r="Y231" i="10"/>
  <c r="Y232" i="10"/>
  <c r="Y229" i="10"/>
  <c r="Y230" i="10"/>
  <c r="Y227" i="10"/>
  <c r="Y228" i="10"/>
  <c r="Y225" i="10"/>
  <c r="Y226" i="10"/>
  <c r="Y223" i="10"/>
  <c r="Y224" i="10"/>
  <c r="Y221" i="10"/>
  <c r="Y222" i="10"/>
  <c r="Y219" i="10"/>
  <c r="Y220" i="10"/>
  <c r="Y217" i="10"/>
  <c r="Y218" i="10"/>
  <c r="Y215" i="10"/>
  <c r="Y216" i="10"/>
  <c r="Y213" i="10"/>
  <c r="Y214" i="10"/>
  <c r="Y211" i="10"/>
  <c r="Y212" i="10"/>
  <c r="Y209" i="10"/>
  <c r="Y210" i="10"/>
  <c r="Y207" i="10"/>
  <c r="Y208" i="10"/>
  <c r="Y205" i="10"/>
  <c r="Y206" i="10"/>
  <c r="Y203" i="10"/>
  <c r="Y204" i="10"/>
  <c r="Y201" i="10"/>
  <c r="Y202" i="10"/>
  <c r="Y199" i="10"/>
  <c r="Y200" i="10"/>
  <c r="Y197" i="10"/>
  <c r="Y198" i="10"/>
  <c r="Y195" i="10"/>
  <c r="Y196" i="10"/>
  <c r="Y193" i="10"/>
  <c r="Y194" i="10"/>
  <c r="Y191" i="10"/>
  <c r="Y192" i="10"/>
  <c r="Y189" i="10"/>
  <c r="Y190" i="10"/>
  <c r="Y187" i="10"/>
  <c r="Y188" i="10"/>
  <c r="Y185" i="10"/>
  <c r="Y186" i="10"/>
  <c r="Y183" i="10"/>
  <c r="Y184" i="10"/>
  <c r="Y181" i="10"/>
  <c r="Y182" i="10"/>
  <c r="Y179" i="10"/>
  <c r="Y180" i="10"/>
  <c r="Y177" i="10"/>
  <c r="Y178" i="10"/>
  <c r="Y175" i="10"/>
  <c r="Y176" i="10"/>
  <c r="Y173" i="10"/>
  <c r="Y174" i="10"/>
  <c r="Y171" i="10"/>
  <c r="Y172" i="10"/>
  <c r="Y169" i="10"/>
  <c r="Y170" i="10"/>
  <c r="Y167" i="10"/>
  <c r="Y168" i="10"/>
  <c r="Y165" i="10"/>
  <c r="Y166" i="10"/>
  <c r="Y163" i="10"/>
  <c r="Y164" i="10"/>
  <c r="Y155" i="10"/>
  <c r="Y153" i="10"/>
  <c r="Y154" i="10"/>
  <c r="Y151" i="10"/>
  <c r="Y152" i="10"/>
  <c r="Y149" i="10"/>
  <c r="Y150" i="10"/>
  <c r="Y147" i="10"/>
  <c r="Y148" i="10"/>
  <c r="Y145" i="10"/>
  <c r="Y146" i="10"/>
  <c r="Y143" i="10"/>
  <c r="Y144" i="10"/>
  <c r="Y141" i="10"/>
  <c r="Y142" i="10"/>
  <c r="Y139" i="10"/>
  <c r="Y140" i="10"/>
  <c r="Y137" i="10"/>
  <c r="Y138" i="10"/>
  <c r="Y135" i="10"/>
  <c r="Y136" i="10"/>
  <c r="Y133" i="10"/>
  <c r="Y134" i="10"/>
  <c r="Y131" i="10"/>
  <c r="Y132" i="10"/>
  <c r="Y129" i="10"/>
  <c r="Y130" i="10"/>
  <c r="Y127" i="10"/>
  <c r="Y128" i="10"/>
  <c r="Y125" i="10"/>
  <c r="Y126" i="10"/>
  <c r="Y123" i="10"/>
  <c r="Y124" i="10"/>
  <c r="Y121" i="10"/>
  <c r="Y122" i="10"/>
  <c r="Y119" i="10"/>
  <c r="Y120" i="10"/>
  <c r="Y117" i="10"/>
  <c r="Y118" i="10"/>
  <c r="Y115" i="10"/>
  <c r="Y116" i="10"/>
  <c r="Y113" i="10"/>
  <c r="Y114" i="10"/>
  <c r="Y111" i="10"/>
  <c r="Y112" i="10"/>
  <c r="Y109" i="10"/>
  <c r="Y110" i="10"/>
  <c r="Y107" i="10"/>
  <c r="Y108" i="10"/>
  <c r="Y106" i="10"/>
  <c r="Y104" i="10"/>
  <c r="Y105" i="10"/>
  <c r="Y102" i="10"/>
  <c r="Y103" i="10"/>
  <c r="Y100" i="10"/>
  <c r="Y101" i="10"/>
  <c r="Y98" i="10"/>
  <c r="Y99" i="10"/>
  <c r="Y96" i="10"/>
  <c r="Y97" i="10"/>
  <c r="Y94" i="10"/>
  <c r="Y95" i="10"/>
  <c r="Y92" i="10"/>
  <c r="Y93" i="10"/>
  <c r="Y90" i="10"/>
  <c r="Y91" i="10"/>
  <c r="M6" i="10"/>
  <c r="N6" i="10"/>
  <c r="M8" i="10"/>
  <c r="N8" i="10"/>
  <c r="M10" i="10"/>
  <c r="N10" i="10"/>
  <c r="M12" i="10"/>
  <c r="N12" i="10"/>
  <c r="M14" i="10"/>
  <c r="N14" i="10"/>
  <c r="M16" i="10"/>
  <c r="N16" i="10"/>
  <c r="M18" i="10"/>
  <c r="N18" i="10"/>
  <c r="M20" i="10"/>
  <c r="N20" i="10"/>
  <c r="M22" i="10"/>
  <c r="N22" i="10"/>
  <c r="M24" i="10"/>
  <c r="N24" i="10"/>
  <c r="M26" i="10"/>
  <c r="N26" i="10"/>
  <c r="M28" i="10"/>
  <c r="N28" i="10"/>
  <c r="M30" i="10"/>
  <c r="N30" i="10"/>
  <c r="M32" i="10"/>
  <c r="N32" i="10"/>
  <c r="M34" i="10"/>
  <c r="N34" i="10"/>
  <c r="M36" i="10"/>
  <c r="N36" i="10"/>
  <c r="M38" i="10"/>
  <c r="N38" i="10"/>
  <c r="M40" i="10"/>
  <c r="N40" i="10"/>
  <c r="M42" i="10"/>
  <c r="N42" i="10"/>
  <c r="M44" i="10"/>
  <c r="N44" i="10"/>
  <c r="M46" i="10"/>
  <c r="N46" i="10"/>
  <c r="M48" i="10"/>
  <c r="N48" i="10"/>
  <c r="M50" i="10"/>
  <c r="N50" i="10"/>
  <c r="M52" i="10"/>
  <c r="N52" i="10"/>
  <c r="M54" i="10"/>
  <c r="N54" i="10"/>
  <c r="M56" i="10"/>
  <c r="N56" i="10"/>
  <c r="M58" i="10"/>
  <c r="N58" i="10"/>
  <c r="M60" i="10"/>
  <c r="N60" i="10"/>
  <c r="M62" i="10"/>
  <c r="N62" i="10"/>
  <c r="M64" i="10"/>
  <c r="N64" i="10"/>
  <c r="M66" i="10"/>
  <c r="N66" i="10"/>
  <c r="M68" i="10"/>
  <c r="N68" i="10"/>
  <c r="M70" i="10"/>
  <c r="N70" i="10"/>
  <c r="M72" i="10"/>
  <c r="N72" i="10"/>
  <c r="M74" i="10"/>
  <c r="N74" i="10"/>
  <c r="M76" i="10"/>
  <c r="N76" i="10"/>
  <c r="M78" i="10"/>
  <c r="N78" i="10"/>
  <c r="M80" i="10"/>
  <c r="N80" i="10"/>
  <c r="M82" i="10"/>
  <c r="N82" i="10"/>
  <c r="M84" i="10"/>
  <c r="N84" i="10"/>
  <c r="M86" i="10"/>
  <c r="N86" i="10"/>
  <c r="M88" i="10"/>
  <c r="N88" i="10"/>
  <c r="M7" i="10"/>
  <c r="N7" i="10"/>
  <c r="N9" i="10"/>
  <c r="M9" i="10"/>
  <c r="M11" i="10"/>
  <c r="N11" i="10"/>
  <c r="N13" i="10"/>
  <c r="M13" i="10"/>
  <c r="M15" i="10"/>
  <c r="N15" i="10"/>
  <c r="N17" i="10"/>
  <c r="M17" i="10"/>
  <c r="N19" i="10"/>
  <c r="M19" i="10"/>
  <c r="N21" i="10"/>
  <c r="M21" i="10"/>
  <c r="M23" i="10"/>
  <c r="N23" i="10"/>
  <c r="N25" i="10"/>
  <c r="M25" i="10"/>
  <c r="M27" i="10"/>
  <c r="N27" i="10"/>
  <c r="N29" i="10"/>
  <c r="M29" i="10"/>
  <c r="M31" i="10"/>
  <c r="N31" i="10"/>
  <c r="N33" i="10"/>
  <c r="M33" i="10"/>
  <c r="M35" i="10"/>
  <c r="N35" i="10"/>
  <c r="N37" i="10"/>
  <c r="M37" i="10"/>
  <c r="M39" i="10"/>
  <c r="N39" i="10"/>
  <c r="N41" i="10"/>
  <c r="M41" i="10"/>
  <c r="N43" i="10"/>
  <c r="M43" i="10"/>
  <c r="N45" i="10"/>
  <c r="M45" i="10"/>
  <c r="N47" i="10"/>
  <c r="M47" i="10"/>
  <c r="N49" i="10"/>
  <c r="M49" i="10"/>
  <c r="N51" i="10"/>
  <c r="M51" i="10"/>
  <c r="N53" i="10"/>
  <c r="M53" i="10"/>
  <c r="N55" i="10"/>
  <c r="M55" i="10"/>
  <c r="N57" i="10"/>
  <c r="M57" i="10"/>
  <c r="N59" i="10"/>
  <c r="M59" i="10"/>
  <c r="N61" i="10"/>
  <c r="M61" i="10"/>
  <c r="N63" i="10"/>
  <c r="M63" i="10"/>
  <c r="N65" i="10"/>
  <c r="M65" i="10"/>
  <c r="N67" i="10"/>
  <c r="M67" i="10"/>
  <c r="N69" i="10"/>
  <c r="M69" i="10"/>
  <c r="N71" i="10"/>
  <c r="M71" i="10"/>
  <c r="N73" i="10"/>
  <c r="M73" i="10"/>
  <c r="N75" i="10"/>
  <c r="M75" i="10"/>
  <c r="N77" i="10"/>
  <c r="M77" i="10"/>
  <c r="N79" i="10"/>
  <c r="M79" i="10"/>
  <c r="N81" i="10"/>
  <c r="M81" i="10"/>
  <c r="N83" i="10"/>
  <c r="M83" i="10"/>
  <c r="N85" i="10"/>
  <c r="M85" i="10"/>
  <c r="N87" i="10"/>
  <c r="M87" i="10"/>
  <c r="N89" i="10"/>
  <c r="M89" i="10"/>
  <c r="F8" i="10"/>
  <c r="E8" i="10"/>
  <c r="E10" i="10"/>
  <c r="F10" i="10"/>
  <c r="F12" i="10"/>
  <c r="E12" i="10"/>
  <c r="E14" i="10"/>
  <c r="F14" i="10"/>
  <c r="F16" i="10"/>
  <c r="E16" i="10"/>
  <c r="E18" i="10"/>
  <c r="F18" i="10"/>
  <c r="F20" i="10"/>
  <c r="E20" i="10"/>
  <c r="E22" i="10"/>
  <c r="F22" i="10"/>
  <c r="F24" i="10"/>
  <c r="E24" i="10"/>
  <c r="E26" i="10"/>
  <c r="F26" i="10"/>
  <c r="F28" i="10"/>
  <c r="E28" i="10"/>
  <c r="E30" i="10"/>
  <c r="F30" i="10"/>
  <c r="F32" i="10"/>
  <c r="E32" i="10"/>
  <c r="E34" i="10"/>
  <c r="F34" i="10"/>
  <c r="F36" i="10"/>
  <c r="E36" i="10"/>
  <c r="E38" i="10"/>
  <c r="F38" i="10"/>
  <c r="F40" i="10"/>
  <c r="E40" i="10"/>
  <c r="E42" i="10"/>
  <c r="F42" i="10"/>
  <c r="F44" i="10"/>
  <c r="E44" i="10"/>
  <c r="E46" i="10"/>
  <c r="F46" i="10"/>
  <c r="F48" i="10"/>
  <c r="E48" i="10"/>
  <c r="E50" i="10"/>
  <c r="F50" i="10"/>
  <c r="F52" i="10"/>
  <c r="E52" i="10"/>
  <c r="E54" i="10"/>
  <c r="F54" i="10"/>
  <c r="F56" i="10"/>
  <c r="E56" i="10"/>
  <c r="E58" i="10"/>
  <c r="F58" i="10"/>
  <c r="F60" i="10"/>
  <c r="E60" i="10"/>
  <c r="E62" i="10"/>
  <c r="F62" i="10"/>
  <c r="F64" i="10"/>
  <c r="E64" i="10"/>
  <c r="E66" i="10"/>
  <c r="F66" i="10"/>
  <c r="F68" i="10"/>
  <c r="E68" i="10"/>
  <c r="E70" i="10"/>
  <c r="F70" i="10"/>
  <c r="F72" i="10"/>
  <c r="E72" i="10"/>
  <c r="E74" i="10"/>
  <c r="F74" i="10"/>
  <c r="F76" i="10"/>
  <c r="E76" i="10"/>
  <c r="E78" i="10"/>
  <c r="F78" i="10"/>
  <c r="F80" i="10"/>
  <c r="E80" i="10"/>
  <c r="E82" i="10"/>
  <c r="F82" i="10"/>
  <c r="F84" i="10"/>
  <c r="E84" i="10"/>
  <c r="E86" i="10"/>
  <c r="F86" i="10"/>
  <c r="F88" i="10"/>
  <c r="E88" i="10"/>
  <c r="E6" i="10"/>
  <c r="F6" i="10"/>
  <c r="E27" i="10"/>
  <c r="F27" i="10"/>
  <c r="F29" i="10"/>
  <c r="E29" i="10"/>
  <c r="E31" i="10"/>
  <c r="F31" i="10"/>
  <c r="F33" i="10"/>
  <c r="E33" i="10"/>
  <c r="E35" i="10"/>
  <c r="F35" i="10"/>
  <c r="F37" i="10"/>
  <c r="E37" i="10"/>
  <c r="E39" i="10"/>
  <c r="F39" i="10"/>
  <c r="F41" i="10"/>
  <c r="E41" i="10"/>
  <c r="E43" i="10"/>
  <c r="F43" i="10"/>
  <c r="F45" i="10"/>
  <c r="E45" i="10"/>
  <c r="E47" i="10"/>
  <c r="F47" i="10"/>
  <c r="F49" i="10"/>
  <c r="E49" i="10"/>
  <c r="E51" i="10"/>
  <c r="F51" i="10"/>
  <c r="F53" i="10"/>
  <c r="E53" i="10"/>
  <c r="E55" i="10"/>
  <c r="F55" i="10"/>
  <c r="F57" i="10"/>
  <c r="E57" i="10"/>
  <c r="E59" i="10"/>
  <c r="F59" i="10"/>
  <c r="F61" i="10"/>
  <c r="E61" i="10"/>
  <c r="E63" i="10"/>
  <c r="F63" i="10"/>
  <c r="F65" i="10"/>
  <c r="E65" i="10"/>
  <c r="E67" i="10"/>
  <c r="F67" i="10"/>
  <c r="F69" i="10"/>
  <c r="E69" i="10"/>
  <c r="E71" i="10"/>
  <c r="F71" i="10"/>
  <c r="F73" i="10"/>
  <c r="E73" i="10"/>
  <c r="E75" i="10"/>
  <c r="F75" i="10"/>
  <c r="F77" i="10"/>
  <c r="E77" i="10"/>
  <c r="E79" i="10"/>
  <c r="F79" i="10"/>
  <c r="F81" i="10"/>
  <c r="E81" i="10"/>
  <c r="E83" i="10"/>
  <c r="F83" i="10"/>
  <c r="F85" i="10"/>
  <c r="E85" i="10"/>
  <c r="E87" i="10"/>
  <c r="F87" i="10"/>
  <c r="F89" i="10"/>
  <c r="E89" i="10"/>
  <c r="E7" i="10"/>
  <c r="F7" i="10"/>
  <c r="F9" i="10"/>
  <c r="E9" i="10"/>
  <c r="E11" i="10"/>
  <c r="F11" i="10"/>
  <c r="F13" i="10"/>
  <c r="E13" i="10"/>
  <c r="E15" i="10"/>
  <c r="F15" i="10"/>
  <c r="F17" i="10"/>
  <c r="E17" i="10"/>
  <c r="E19" i="10"/>
  <c r="F19" i="10"/>
  <c r="F21" i="10"/>
  <c r="E21" i="10"/>
  <c r="E23" i="10"/>
  <c r="F23" i="10"/>
  <c r="F25" i="10"/>
  <c r="E25" i="10"/>
  <c r="Q151" i="2" a="1"/>
  <c r="Q151" i="2" s="1"/>
  <c r="M4" i="12" a="1"/>
  <c r="M4" i="12" s="1"/>
  <c r="L4" i="12" a="1"/>
  <c r="L4" i="12" s="1"/>
  <c r="U4" i="12" a="1"/>
  <c r="U4" i="12" s="1"/>
  <c r="T4" i="12" a="1"/>
  <c r="T4" i="12" s="1"/>
  <c r="Y20" i="10"/>
  <c r="Y89" i="10"/>
  <c r="Y88" i="10"/>
  <c r="Y87" i="10"/>
  <c r="Y86" i="10"/>
  <c r="Y85" i="10"/>
  <c r="Y84" i="10"/>
  <c r="Y83" i="10"/>
  <c r="Y82" i="10"/>
  <c r="Y81" i="10"/>
  <c r="Y80" i="10"/>
  <c r="Y79" i="10"/>
  <c r="Y78" i="10"/>
  <c r="Y77" i="10"/>
  <c r="Y76" i="10"/>
  <c r="Y75" i="10"/>
  <c r="Y74" i="10"/>
  <c r="Y73" i="10"/>
  <c r="Y72" i="10"/>
  <c r="Y71" i="10"/>
  <c r="Y70" i="10"/>
  <c r="Y69" i="10"/>
  <c r="Y68" i="10"/>
  <c r="Y67" i="10"/>
  <c r="Y66" i="10"/>
  <c r="Y65" i="10"/>
  <c r="Y64" i="10"/>
  <c r="Y63" i="10"/>
  <c r="Y62" i="10"/>
  <c r="Y61" i="10"/>
  <c r="Y60" i="10"/>
  <c r="Y59" i="10"/>
  <c r="Y58" i="10"/>
  <c r="Y57" i="10"/>
  <c r="Y56" i="10"/>
  <c r="Y55" i="10"/>
  <c r="Y42" i="10"/>
  <c r="Y41" i="10"/>
  <c r="Y40" i="10"/>
  <c r="Y39" i="10"/>
  <c r="Y38" i="10"/>
  <c r="Y37" i="10"/>
  <c r="Y36" i="10"/>
  <c r="Y35" i="10"/>
  <c r="Y34" i="10"/>
  <c r="Y33" i="10"/>
  <c r="Y32" i="10"/>
  <c r="Y31" i="10"/>
  <c r="Y30" i="10"/>
  <c r="Y29" i="10"/>
  <c r="Y28" i="10"/>
  <c r="Y27" i="10"/>
  <c r="Y26" i="10"/>
  <c r="Y25" i="10"/>
  <c r="Y24" i="10"/>
  <c r="Y23" i="10"/>
  <c r="Y22" i="10"/>
  <c r="Y21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6" i="10"/>
  <c r="T374" i="2" a="1"/>
  <c r="T374" i="2" s="1"/>
  <c r="U374" i="2" a="1"/>
  <c r="U374" i="2" s="1"/>
  <c r="T358" i="2" a="1"/>
  <c r="T358" i="2" s="1"/>
  <c r="U358" i="2" a="1"/>
  <c r="U358" i="2" s="1"/>
  <c r="T342" i="2" a="1"/>
  <c r="T342" i="2" s="1"/>
  <c r="U342" i="2" a="1"/>
  <c r="U342" i="2" s="1"/>
  <c r="T279" i="2" a="1"/>
  <c r="T279" i="2" s="1"/>
  <c r="U279" i="2" a="1"/>
  <c r="U279" i="2" s="1"/>
  <c r="T278" i="2" a="1"/>
  <c r="T278" i="2" s="1"/>
  <c r="U278" i="2" a="1"/>
  <c r="U278" i="2" s="1"/>
  <c r="T247" i="2" a="1"/>
  <c r="T247" i="2" s="1"/>
  <c r="U247" i="2" a="1"/>
  <c r="U247" i="2" s="1"/>
  <c r="T406" i="2" a="1"/>
  <c r="T406" i="2" s="1"/>
  <c r="U406" i="2" a="1"/>
  <c r="U406" i="2" s="1"/>
  <c r="T402" i="2" a="1"/>
  <c r="T402" i="2" s="1"/>
  <c r="U402" i="2" a="1"/>
  <c r="U402" i="2" s="1"/>
  <c r="T391" i="2" a="1"/>
  <c r="T391" i="2" s="1"/>
  <c r="U391" i="2" a="1"/>
  <c r="U391" i="2" s="1"/>
  <c r="T366" i="2" a="1"/>
  <c r="T366" i="2" s="1"/>
  <c r="U366" i="2" a="1"/>
  <c r="U366" i="2" s="1"/>
  <c r="T302" i="2" a="1"/>
  <c r="T302" i="2" s="1"/>
  <c r="U302" i="2" a="1"/>
  <c r="U302" i="2" s="1"/>
  <c r="T270" i="2" a="1"/>
  <c r="T270" i="2" s="1"/>
  <c r="U270" i="2" a="1"/>
  <c r="U270" i="2" s="1"/>
  <c r="T246" i="2" a="1"/>
  <c r="T246" i="2" s="1"/>
  <c r="U246" i="2" a="1"/>
  <c r="U246" i="2" s="1"/>
  <c r="T233" i="2" a="1"/>
  <c r="T233" i="2" s="1"/>
  <c r="U233" i="2" a="1"/>
  <c r="U233" i="2" s="1"/>
  <c r="T230" i="2" a="1"/>
  <c r="T230" i="2" s="1"/>
  <c r="U230" i="2" a="1"/>
  <c r="U230" i="2" s="1"/>
  <c r="T206" i="2" a="1"/>
  <c r="T206" i="2" s="1"/>
  <c r="U206" i="2" a="1"/>
  <c r="U206" i="2" s="1"/>
  <c r="T198" i="2" a="1"/>
  <c r="T198" i="2" s="1"/>
  <c r="U198" i="2" a="1"/>
  <c r="U198" i="2" s="1"/>
  <c r="T183" i="2" a="1"/>
  <c r="T183" i="2" s="1"/>
  <c r="U183" i="2" a="1"/>
  <c r="U183" i="2" s="1"/>
  <c r="T182" i="2" a="1"/>
  <c r="T182" i="2" s="1"/>
  <c r="U182" i="2" a="1"/>
  <c r="U182" i="2" s="1"/>
  <c r="T146" i="2" a="1"/>
  <c r="T146" i="2" s="1"/>
  <c r="U146" i="2" a="1"/>
  <c r="U146" i="2" s="1"/>
  <c r="T139" i="2" a="1"/>
  <c r="T139" i="2" s="1"/>
  <c r="U139" i="2" a="1"/>
  <c r="U139" i="2" s="1"/>
  <c r="T126" i="2" a="1"/>
  <c r="T126" i="2" s="1"/>
  <c r="U126" i="2" a="1"/>
  <c r="U126" i="2" s="1"/>
  <c r="N104" i="2" a="1"/>
  <c r="N104" i="2" s="1"/>
  <c r="N105" i="2" a="1"/>
  <c r="N105" i="2" s="1"/>
  <c r="N106" i="2" a="1"/>
  <c r="N106" i="2" s="1"/>
  <c r="N24" i="2" a="1"/>
  <c r="N24" i="2" s="1"/>
  <c r="O104" i="2" a="1"/>
  <c r="O104" i="2" s="1"/>
  <c r="P104" i="2" s="1"/>
  <c r="R104" i="2" s="1" a="1"/>
  <c r="R104" i="2" s="1"/>
  <c r="O105" i="2" a="1"/>
  <c r="O105" i="2" s="1"/>
  <c r="P105" i="2" s="1"/>
  <c r="R105" i="2" s="1" a="1"/>
  <c r="R105" i="2" s="1"/>
  <c r="O106" i="2" a="1"/>
  <c r="O106" i="2" s="1"/>
  <c r="O109" i="2" a="1"/>
  <c r="O109" i="2" s="1"/>
  <c r="O24" i="2" a="1"/>
  <c r="O24" i="2" s="1"/>
  <c r="N103" i="2" a="1"/>
  <c r="N103" i="2" s="1"/>
  <c r="O102" i="2" a="1"/>
  <c r="O102" i="2" s="1"/>
  <c r="N87" i="2" a="1"/>
  <c r="N87" i="2" s="1"/>
  <c r="O74" i="2" a="1"/>
  <c r="O74" i="2" s="1"/>
  <c r="O73" i="2" a="1"/>
  <c r="O73" i="2" s="1"/>
  <c r="O72" i="2" a="1"/>
  <c r="O72" i="2" s="1"/>
  <c r="N71" i="2" a="1"/>
  <c r="N71" i="2" s="1"/>
  <c r="N55" i="2" a="1"/>
  <c r="N55" i="2" s="1"/>
  <c r="O41" i="2" a="1"/>
  <c r="O41" i="2" s="1"/>
  <c r="O40" i="2" a="1"/>
  <c r="O40" i="2" s="1"/>
  <c r="O39" i="2" a="1"/>
  <c r="O39" i="2" s="1"/>
  <c r="N23" i="2" a="1"/>
  <c r="N23" i="2" s="1"/>
  <c r="O19" i="2" a="1"/>
  <c r="O19" i="2" s="1"/>
  <c r="N109" i="2" a="1"/>
  <c r="N109" i="2" s="1"/>
  <c r="P109" i="2" s="1"/>
  <c r="R109" i="2" s="1" a="1"/>
  <c r="R109" i="2" s="1"/>
  <c r="N108" i="2" a="1"/>
  <c r="N108" i="2" s="1"/>
  <c r="Q195" i="2" a="1"/>
  <c r="Q195" i="2" s="1"/>
  <c r="R195" i="2" a="1"/>
  <c r="R195" i="2" s="1"/>
  <c r="S195" i="2"/>
  <c r="R179" i="2" a="1"/>
  <c r="R179" i="2" s="1"/>
  <c r="Q179" i="2" a="1"/>
  <c r="Q179" i="2" s="1"/>
  <c r="R147" i="2" a="1"/>
  <c r="R147" i="2" s="1"/>
  <c r="S147" i="2"/>
  <c r="Q147" i="2" a="1"/>
  <c r="Q147" i="2" s="1"/>
  <c r="O179" i="2" a="1"/>
  <c r="O179" i="2" s="1"/>
  <c r="O349" i="2" a="1"/>
  <c r="O349" i="2" s="1"/>
  <c r="O173" i="2" a="1"/>
  <c r="O173" i="2" s="1"/>
  <c r="O147" i="2" a="1"/>
  <c r="O147" i="2" s="1"/>
  <c r="N339" i="2" a="1"/>
  <c r="N339" i="2" s="1"/>
  <c r="P339" i="2" s="1"/>
  <c r="Q339" i="2" s="1" a="1"/>
  <c r="Q339" i="2" s="1"/>
  <c r="N291" i="2" a="1"/>
  <c r="N291" i="2" s="1"/>
  <c r="P291" i="2" s="1"/>
  <c r="Q291" i="2" s="1" a="1"/>
  <c r="Q291" i="2" s="1"/>
  <c r="N243" i="2" a="1"/>
  <c r="N243" i="2" s="1"/>
  <c r="P243" i="2" s="1"/>
  <c r="N131" i="2" a="1"/>
  <c r="N131" i="2" s="1"/>
  <c r="P131" i="2" s="1"/>
  <c r="S167" i="2"/>
  <c r="O323" i="2" a="1"/>
  <c r="O323" i="2" s="1"/>
  <c r="S165" i="2"/>
  <c r="O259" i="2" a="1"/>
  <c r="O259" i="2" s="1"/>
  <c r="N275" i="2" a="1"/>
  <c r="N275" i="2" s="1"/>
  <c r="P275" i="2" s="1"/>
  <c r="S275" i="2" s="1"/>
  <c r="O336" i="2" a="1"/>
  <c r="O336" i="2" s="1"/>
  <c r="O307" i="2" a="1"/>
  <c r="O307" i="2" s="1"/>
  <c r="R165" i="2" a="1"/>
  <c r="R165" i="2" s="1"/>
  <c r="Q167" i="2" a="1"/>
  <c r="Q167" i="2" s="1"/>
  <c r="O329" i="2" a="1"/>
  <c r="O329" i="2" s="1"/>
  <c r="O298" i="2" a="1"/>
  <c r="O298" i="2" s="1"/>
  <c r="O267" i="2" a="1"/>
  <c r="O267" i="2" s="1"/>
  <c r="O129" i="2" a="1"/>
  <c r="O129" i="2" s="1"/>
  <c r="H108" i="2"/>
  <c r="O328" i="2" a="1"/>
  <c r="O328" i="2" s="1"/>
  <c r="O297" i="2" a="1"/>
  <c r="O297" i="2" s="1"/>
  <c r="O266" i="2" a="1"/>
  <c r="O266" i="2" s="1"/>
  <c r="R123" i="2" a="1"/>
  <c r="R123" i="2" s="1"/>
  <c r="Q123" i="2" a="1"/>
  <c r="Q123" i="2" s="1"/>
  <c r="S123" i="2"/>
  <c r="Q344" i="2" a="1"/>
  <c r="Q344" i="2" s="1"/>
  <c r="R344" i="2" a="1"/>
  <c r="R344" i="2" s="1"/>
  <c r="S344" i="2"/>
  <c r="O395" i="2" a="1"/>
  <c r="O395" i="2" s="1"/>
  <c r="O187" i="2" a="1"/>
  <c r="O187" i="2" s="1"/>
  <c r="H106" i="2"/>
  <c r="O235" i="2" a="1"/>
  <c r="O235" i="2" s="1"/>
  <c r="O107" i="2" a="1"/>
  <c r="O107" i="2" s="1"/>
  <c r="O155" i="2" a="1"/>
  <c r="O155" i="2" s="1"/>
  <c r="O363" i="2" a="1"/>
  <c r="O363" i="2" s="1"/>
  <c r="O283" i="2" a="1"/>
  <c r="O283" i="2" s="1"/>
  <c r="O360" i="2" a="1"/>
  <c r="O360" i="2" s="1"/>
  <c r="O282" i="2" a="1"/>
  <c r="O282" i="2" s="1"/>
  <c r="O203" i="2" a="1"/>
  <c r="O203" i="2" s="1"/>
  <c r="O281" i="2" a="1"/>
  <c r="O281" i="2" s="1"/>
  <c r="O123" i="2" a="1"/>
  <c r="O123" i="2" s="1"/>
  <c r="O331" i="2" a="1"/>
  <c r="O331" i="2" s="1"/>
  <c r="O251" i="2" a="1"/>
  <c r="O251" i="2" s="1"/>
  <c r="R274" i="2" a="1"/>
  <c r="R274" i="2" s="1"/>
  <c r="O171" i="2" a="1"/>
  <c r="O171" i="2" s="1"/>
  <c r="O379" i="2" a="1"/>
  <c r="O379" i="2" s="1"/>
  <c r="O299" i="2" a="1"/>
  <c r="O299" i="2" s="1"/>
  <c r="N315" i="2" a="1"/>
  <c r="N315" i="2" s="1"/>
  <c r="P315" i="2" s="1"/>
  <c r="Q315" i="2" s="1" a="1"/>
  <c r="Q315" i="2" s="1"/>
  <c r="O219" i="2" a="1"/>
  <c r="O219" i="2" s="1"/>
  <c r="N314" i="2" a="1"/>
  <c r="N314" i="2" s="1"/>
  <c r="P314" i="2" s="1"/>
  <c r="Q314" i="2" s="1" a="1"/>
  <c r="Q314" i="2" s="1"/>
  <c r="O139" i="2" a="1"/>
  <c r="O139" i="2" s="1"/>
  <c r="H107" i="2"/>
  <c r="O347" i="2" a="1"/>
  <c r="O347" i="2" s="1"/>
  <c r="N107" i="2" a="1"/>
  <c r="N107" i="2" s="1"/>
  <c r="O396" i="2" a="1"/>
  <c r="O396" i="2" s="1"/>
  <c r="H105" i="2"/>
  <c r="O252" i="2" a="1"/>
  <c r="O252" i="2" s="1"/>
  <c r="R258" i="2" a="1"/>
  <c r="R258" i="2" s="1"/>
  <c r="S258" i="2"/>
  <c r="O204" i="2" a="1"/>
  <c r="O204" i="2" s="1"/>
  <c r="O348" i="2" a="1"/>
  <c r="O348" i="2" s="1"/>
  <c r="O156" i="2" a="1"/>
  <c r="O156" i="2" s="1"/>
  <c r="O108" i="2" a="1"/>
  <c r="O108" i="2" s="1"/>
  <c r="N236" i="2" a="1"/>
  <c r="N236" i="2" s="1"/>
  <c r="P236" i="2" s="1"/>
  <c r="S236" i="2" s="1"/>
  <c r="O220" i="2" a="1"/>
  <c r="O220" i="2" s="1"/>
  <c r="N185" i="2" a="1"/>
  <c r="N185" i="2" s="1"/>
  <c r="P185" i="2" s="1"/>
  <c r="R185" i="2" s="1" a="1"/>
  <c r="R185" i="2" s="1"/>
  <c r="O362" i="2" a="1"/>
  <c r="O362" i="2" s="1"/>
  <c r="O170" i="2" a="1"/>
  <c r="O170" i="2" s="1"/>
  <c r="O124" i="2" a="1"/>
  <c r="O124" i="2" s="1"/>
  <c r="O364" i="2" a="1"/>
  <c r="O364" i="2" s="1"/>
  <c r="O172" i="2" a="1"/>
  <c r="O172" i="2" s="1"/>
  <c r="S151" i="2"/>
  <c r="O284" i="2" a="1"/>
  <c r="O284" i="2" s="1"/>
  <c r="O188" i="2" a="1"/>
  <c r="O188" i="2" s="1"/>
  <c r="S114" i="2"/>
  <c r="O140" i="2" a="1"/>
  <c r="O140" i="2" s="1"/>
  <c r="O332" i="2" a="1"/>
  <c r="O332" i="2" s="1"/>
  <c r="R265" i="2" a="1"/>
  <c r="R265" i="2" s="1"/>
  <c r="S265" i="2"/>
  <c r="Q265" i="2" a="1"/>
  <c r="Q265" i="2" s="1"/>
  <c r="S121" i="2"/>
  <c r="Q121" i="2" a="1"/>
  <c r="Q121" i="2" s="1"/>
  <c r="R121" i="2" a="1"/>
  <c r="R121" i="2" s="1"/>
  <c r="R376" i="2" a="1"/>
  <c r="R376" i="2" s="1"/>
  <c r="Q376" i="2" a="1"/>
  <c r="Q376" i="2" s="1"/>
  <c r="Q199" i="2" a="1"/>
  <c r="Q199" i="2" s="1"/>
  <c r="R199" i="2" a="1"/>
  <c r="R199" i="2" s="1"/>
  <c r="S199" i="2"/>
  <c r="S119" i="2"/>
  <c r="Q119" i="2" a="1"/>
  <c r="Q119" i="2" s="1"/>
  <c r="R119" i="2" a="1"/>
  <c r="R119" i="2" s="1"/>
  <c r="S231" i="2"/>
  <c r="O237" i="2" a="1"/>
  <c r="O237" i="2" s="1"/>
  <c r="H104" i="2"/>
  <c r="R114" i="2" a="1"/>
  <c r="R114" i="2" s="1"/>
  <c r="O365" i="2" a="1"/>
  <c r="O365" i="2" s="1"/>
  <c r="O125" i="2" a="1"/>
  <c r="O125" i="2" s="1"/>
  <c r="O253" i="2" a="1"/>
  <c r="O253" i="2" s="1"/>
  <c r="S179" i="2"/>
  <c r="R231" i="2" a="1"/>
  <c r="R231" i="2" s="1"/>
  <c r="Q311" i="2" a="1"/>
  <c r="Q311" i="2" s="1"/>
  <c r="Q307" i="2" a="1"/>
  <c r="Q307" i="2" s="1"/>
  <c r="O381" i="2" a="1"/>
  <c r="O381" i="2" s="1"/>
  <c r="O361" i="2" a="1"/>
  <c r="O361" i="2" s="1"/>
  <c r="O269" i="2" a="1"/>
  <c r="O269" i="2" s="1"/>
  <c r="O121" i="2" a="1"/>
  <c r="O121" i="2" s="1"/>
  <c r="S311" i="2"/>
  <c r="S148" i="2"/>
  <c r="O380" i="2" a="1"/>
  <c r="O380" i="2" s="1"/>
  <c r="O268" i="2" a="1"/>
  <c r="O268" i="2" s="1"/>
  <c r="O249" i="2" a="1"/>
  <c r="O249" i="2" s="1"/>
  <c r="O205" i="2" a="1"/>
  <c r="O205" i="2" s="1"/>
  <c r="S307" i="2"/>
  <c r="S295" i="2"/>
  <c r="O397" i="2" a="1"/>
  <c r="O397" i="2" s="1"/>
  <c r="S274" i="2"/>
  <c r="O285" i="2" a="1"/>
  <c r="O285" i="2" s="1"/>
  <c r="O265" i="2" a="1"/>
  <c r="O265" i="2" s="1"/>
  <c r="O157" i="2" a="1"/>
  <c r="O157" i="2" s="1"/>
  <c r="O333" i="2" a="1"/>
  <c r="O333" i="2" s="1"/>
  <c r="O221" i="2" a="1"/>
  <c r="O221" i="2" s="1"/>
  <c r="R322" i="2" a="1"/>
  <c r="R322" i="2" s="1"/>
  <c r="S322" i="2"/>
  <c r="Q322" i="2" a="1"/>
  <c r="Q322" i="2" s="1"/>
  <c r="Q235" i="2" a="1"/>
  <c r="Q235" i="2" s="1"/>
  <c r="S235" i="2"/>
  <c r="R235" i="2" a="1"/>
  <c r="R235" i="2" s="1"/>
  <c r="Q219" i="2" a="1"/>
  <c r="Q219" i="2" s="1"/>
  <c r="S219" i="2"/>
  <c r="R217" i="2" a="1"/>
  <c r="R217" i="2" s="1"/>
  <c r="S217" i="2"/>
  <c r="S259" i="2"/>
  <c r="Q259" i="2" a="1"/>
  <c r="Q259" i="2" s="1"/>
  <c r="R259" i="2" a="1"/>
  <c r="R259" i="2" s="1"/>
  <c r="Q328" i="2" a="1"/>
  <c r="Q328" i="2" s="1"/>
  <c r="R328" i="2" a="1"/>
  <c r="R328" i="2" s="1"/>
  <c r="S328" i="2"/>
  <c r="Q296" i="2" a="1"/>
  <c r="Q296" i="2" s="1"/>
  <c r="S296" i="2"/>
  <c r="R296" i="2" a="1"/>
  <c r="R296" i="2" s="1"/>
  <c r="S248" i="2"/>
  <c r="Q248" i="2" a="1"/>
  <c r="Q248" i="2" s="1"/>
  <c r="Q120" i="2" a="1"/>
  <c r="Q120" i="2" s="1"/>
  <c r="S120" i="2"/>
  <c r="S215" i="2"/>
  <c r="Q215" i="2" a="1"/>
  <c r="Q215" i="2" s="1"/>
  <c r="R215" i="2" a="1"/>
  <c r="R215" i="2" s="1"/>
  <c r="R181" i="2" a="1"/>
  <c r="R181" i="2" s="1"/>
  <c r="Q181" i="2" a="1"/>
  <c r="Q181" i="2" s="1"/>
  <c r="S181" i="2"/>
  <c r="S149" i="2"/>
  <c r="Q149" i="2" a="1"/>
  <c r="Q149" i="2" s="1"/>
  <c r="R149" i="2" a="1"/>
  <c r="R149" i="2" s="1"/>
  <c r="R375" i="2" a="1"/>
  <c r="R375" i="2" s="1"/>
  <c r="S375" i="2"/>
  <c r="Q375" i="2" a="1"/>
  <c r="Q375" i="2" s="1"/>
  <c r="Q210" i="2" a="1"/>
  <c r="Q210" i="2" s="1"/>
  <c r="R210" i="2" a="1"/>
  <c r="R210" i="2" s="1"/>
  <c r="S276" i="2"/>
  <c r="S197" i="2"/>
  <c r="S116" i="2"/>
  <c r="O103" i="2" a="1"/>
  <c r="O103" i="2" s="1"/>
  <c r="R264" i="2" a="1"/>
  <c r="R264" i="2" s="1"/>
  <c r="O238" i="2" a="1"/>
  <c r="O238" i="2" s="1"/>
  <c r="O87" i="2" a="1"/>
  <c r="O87" i="2" s="1"/>
  <c r="R164" i="2" a="1"/>
  <c r="R164" i="2" s="1"/>
  <c r="O382" i="2" a="1"/>
  <c r="O382" i="2" s="1"/>
  <c r="S264" i="2"/>
  <c r="O398" i="2" a="1"/>
  <c r="O398" i="2" s="1"/>
  <c r="S386" i="2"/>
  <c r="Q148" i="2" a="1"/>
  <c r="Q148" i="2" s="1"/>
  <c r="H103" i="2"/>
  <c r="O71" i="2" a="1"/>
  <c r="O71" i="2" s="1"/>
  <c r="S376" i="2"/>
  <c r="O378" i="2" a="1"/>
  <c r="O378" i="2" s="1"/>
  <c r="O270" i="2" a="1"/>
  <c r="O270" i="2" s="1"/>
  <c r="O23" i="2" a="1"/>
  <c r="O23" i="2" s="1"/>
  <c r="S164" i="2"/>
  <c r="Q146" i="2" a="1"/>
  <c r="Q146" i="2" s="1"/>
  <c r="O55" i="2" a="1"/>
  <c r="O55" i="2" s="1"/>
  <c r="O254" i="2" a="1"/>
  <c r="O254" i="2" s="1"/>
  <c r="R211" i="2" a="1"/>
  <c r="R211" i="2" s="1"/>
  <c r="Q247" i="2" a="1"/>
  <c r="Q247" i="2" s="1"/>
  <c r="O126" i="2" a="1"/>
  <c r="O126" i="2" s="1"/>
  <c r="R197" i="2" a="1"/>
  <c r="R197" i="2" s="1"/>
  <c r="O141" i="2" a="1"/>
  <c r="O141" i="2" s="1"/>
  <c r="O350" i="2" a="1"/>
  <c r="O350" i="2" s="1"/>
  <c r="S211" i="2"/>
  <c r="R276" i="2" a="1"/>
  <c r="R276" i="2" s="1"/>
  <c r="O222" i="2" a="1"/>
  <c r="O222" i="2" s="1"/>
  <c r="N110" i="2" a="1"/>
  <c r="N110" i="2" s="1"/>
  <c r="P110" i="2" s="1"/>
  <c r="Q110" i="2" s="1" a="1"/>
  <c r="Q110" i="2" s="1"/>
  <c r="Q204" i="2" a="1"/>
  <c r="Q204" i="2" s="1"/>
  <c r="S204" i="2"/>
  <c r="S372" i="2"/>
  <c r="Q372" i="2" a="1"/>
  <c r="Q372" i="2" s="1"/>
  <c r="R372" i="2" a="1"/>
  <c r="R372" i="2" s="1"/>
  <c r="S371" i="2"/>
  <c r="Q371" i="2" a="1"/>
  <c r="Q371" i="2" s="1"/>
  <c r="R371" i="2" a="1"/>
  <c r="R371" i="2" s="1"/>
  <c r="Q313" i="2" a="1"/>
  <c r="Q313" i="2" s="1"/>
  <c r="S313" i="2"/>
  <c r="Q346" i="2" a="1"/>
  <c r="Q346" i="2" s="1"/>
  <c r="R346" i="2" a="1"/>
  <c r="R346" i="2" s="1"/>
  <c r="S346" i="2"/>
  <c r="S138" i="2"/>
  <c r="R138" i="2" a="1"/>
  <c r="R138" i="2" s="1"/>
  <c r="Q138" i="2" a="1"/>
  <c r="Q138" i="2" s="1"/>
  <c r="R312" i="2" a="1"/>
  <c r="R312" i="2" s="1"/>
  <c r="S312" i="2"/>
  <c r="Q312" i="2" a="1"/>
  <c r="Q312" i="2" s="1"/>
  <c r="Q162" i="2" a="1"/>
  <c r="Q162" i="2" s="1"/>
  <c r="R162" i="2" a="1"/>
  <c r="R162" i="2" s="1"/>
  <c r="S162" i="2"/>
  <c r="Q345" i="2" a="1"/>
  <c r="Q345" i="2" s="1"/>
  <c r="R345" i="2" a="1"/>
  <c r="R345" i="2" s="1"/>
  <c r="S345" i="2"/>
  <c r="S169" i="2"/>
  <c r="R169" i="2" a="1"/>
  <c r="R169" i="2" s="1"/>
  <c r="Q169" i="2" a="1"/>
  <c r="Q169" i="2" s="1"/>
  <c r="S137" i="2"/>
  <c r="R137" i="2" a="1"/>
  <c r="R137" i="2" s="1"/>
  <c r="Q137" i="2" a="1"/>
  <c r="Q137" i="2" s="1"/>
  <c r="Q362" i="2" a="1"/>
  <c r="Q362" i="2" s="1"/>
  <c r="R362" i="2" a="1"/>
  <c r="R362" i="2" s="1"/>
  <c r="S362" i="2"/>
  <c r="Q389" i="2" a="1"/>
  <c r="Q389" i="2" s="1"/>
  <c r="S389" i="2"/>
  <c r="R122" i="2" a="1"/>
  <c r="R122" i="2" s="1"/>
  <c r="Q122" i="2" a="1"/>
  <c r="Q122" i="2" s="1"/>
  <c r="S122" i="2"/>
  <c r="S168" i="2"/>
  <c r="R168" i="2" a="1"/>
  <c r="R168" i="2" s="1"/>
  <c r="Q168" i="2" a="1"/>
  <c r="Q168" i="2" s="1"/>
  <c r="Q166" i="2" a="1"/>
  <c r="Q166" i="2" s="1"/>
  <c r="R166" i="2" a="1"/>
  <c r="R166" i="2" s="1"/>
  <c r="S166" i="2"/>
  <c r="Q118" i="2" a="1"/>
  <c r="Q118" i="2" s="1"/>
  <c r="R118" i="2" a="1"/>
  <c r="R118" i="2" s="1"/>
  <c r="S118" i="2"/>
  <c r="Q277" i="2" a="1"/>
  <c r="Q277" i="2" s="1"/>
  <c r="S277" i="2"/>
  <c r="Q150" i="2" a="1"/>
  <c r="Q150" i="2" s="1"/>
  <c r="S150" i="2"/>
  <c r="R150" i="2" a="1"/>
  <c r="R150" i="2" s="1"/>
  <c r="O399" i="2" a="1"/>
  <c r="O399" i="2" s="1"/>
  <c r="S163" i="2"/>
  <c r="S210" i="2"/>
  <c r="Q407" i="2" a="1"/>
  <c r="Q407" i="2" s="1"/>
  <c r="Q404" i="2" a="1"/>
  <c r="Q404" i="2" s="1"/>
  <c r="S407" i="2"/>
  <c r="S340" i="2"/>
  <c r="S263" i="2"/>
  <c r="R146" i="2" a="1"/>
  <c r="R146" i="2" s="1"/>
  <c r="Q403" i="2" a="1"/>
  <c r="Q403" i="2" s="1"/>
  <c r="O287" i="2" a="1"/>
  <c r="O287" i="2" s="1"/>
  <c r="S404" i="2"/>
  <c r="Q388" i="2" a="1"/>
  <c r="Q388" i="2" s="1"/>
  <c r="O286" i="2" a="1"/>
  <c r="O286" i="2" s="1"/>
  <c r="S403" i="2"/>
  <c r="S326" i="2"/>
  <c r="R233" i="2" a="1"/>
  <c r="R233" i="2" s="1"/>
  <c r="Q163" i="2" a="1"/>
  <c r="Q163" i="2" s="1"/>
  <c r="O303" i="2" a="1"/>
  <c r="O303" i="2" s="1"/>
  <c r="H102" i="2"/>
  <c r="S324" i="2"/>
  <c r="Q233" i="2" a="1"/>
  <c r="Q233" i="2" s="1"/>
  <c r="O319" i="2" a="1"/>
  <c r="O319" i="2" s="1"/>
  <c r="O302" i="2" a="1"/>
  <c r="O302" i="2" s="1"/>
  <c r="N300" i="2" a="1"/>
  <c r="N300" i="2" s="1"/>
  <c r="P300" i="2" s="1"/>
  <c r="Q300" i="2" s="1" a="1"/>
  <c r="Q300" i="2" s="1"/>
  <c r="R326" i="2" a="1"/>
  <c r="R326" i="2" s="1"/>
  <c r="Q153" i="2" a="1"/>
  <c r="Q153" i="2" s="1"/>
  <c r="O318" i="2" a="1"/>
  <c r="O318" i="2" s="1"/>
  <c r="O301" i="2" a="1"/>
  <c r="O301" i="2" s="1"/>
  <c r="O190" i="2" a="1"/>
  <c r="O190" i="2" s="1"/>
  <c r="S388" i="2"/>
  <c r="R324" i="2" a="1"/>
  <c r="R324" i="2" s="1"/>
  <c r="R219" i="2" a="1"/>
  <c r="R219" i="2" s="1"/>
  <c r="O335" i="2" a="1"/>
  <c r="O335" i="2" s="1"/>
  <c r="O317" i="2" a="1"/>
  <c r="O317" i="2" s="1"/>
  <c r="O189" i="2" a="1"/>
  <c r="O189" i="2" s="1"/>
  <c r="R120" i="2" a="1"/>
  <c r="R120" i="2" s="1"/>
  <c r="Q217" i="2" a="1"/>
  <c r="Q217" i="2" s="1"/>
  <c r="O351" i="2" a="1"/>
  <c r="O351" i="2" s="1"/>
  <c r="O334" i="2" a="1"/>
  <c r="O334" i="2" s="1"/>
  <c r="O316" i="2" a="1"/>
  <c r="O316" i="2" s="1"/>
  <c r="O206" i="2" a="1"/>
  <c r="O206" i="2" s="1"/>
  <c r="S130" i="2"/>
  <c r="S220" i="2"/>
  <c r="S124" i="2"/>
  <c r="O367" i="2" a="1"/>
  <c r="O367" i="2" s="1"/>
  <c r="R117" i="2" a="1"/>
  <c r="R117" i="2" s="1"/>
  <c r="S117" i="2"/>
  <c r="Q117" i="2" a="1"/>
  <c r="Q117" i="2" s="1"/>
  <c r="Q297" i="2" a="1"/>
  <c r="Q297" i="2" s="1"/>
  <c r="R297" i="2" a="1"/>
  <c r="R297" i="2" s="1"/>
  <c r="S297" i="2"/>
  <c r="R343" i="2" a="1"/>
  <c r="R343" i="2" s="1"/>
  <c r="Q343" i="2" a="1"/>
  <c r="Q343" i="2" s="1"/>
  <c r="S343" i="2"/>
  <c r="Q133" i="2" a="1"/>
  <c r="Q133" i="2" s="1"/>
  <c r="S133" i="2"/>
  <c r="R133" i="2" a="1"/>
  <c r="R133" i="2" s="1"/>
  <c r="R400" i="2" a="1"/>
  <c r="R400" i="2" s="1"/>
  <c r="S400" i="2"/>
  <c r="Q384" i="2" a="1"/>
  <c r="Q384" i="2" s="1"/>
  <c r="R384" i="2" a="1"/>
  <c r="R384" i="2" s="1"/>
  <c r="S384" i="2"/>
  <c r="R336" i="2" a="1"/>
  <c r="R336" i="2" s="1"/>
  <c r="Q336" i="2" a="1"/>
  <c r="Q336" i="2" s="1"/>
  <c r="S336" i="2"/>
  <c r="S399" i="2"/>
  <c r="Q399" i="2" a="1"/>
  <c r="Q399" i="2" s="1"/>
  <c r="R399" i="2" a="1"/>
  <c r="R399" i="2" s="1"/>
  <c r="Q383" i="2" a="1"/>
  <c r="Q383" i="2" s="1"/>
  <c r="R383" i="2" a="1"/>
  <c r="R383" i="2" s="1"/>
  <c r="S383" i="2"/>
  <c r="R335" i="2" a="1"/>
  <c r="R335" i="2" s="1"/>
  <c r="Q335" i="2" a="1"/>
  <c r="Q335" i="2" s="1"/>
  <c r="S335" i="2"/>
  <c r="Q319" i="2" a="1"/>
  <c r="Q319" i="2" s="1"/>
  <c r="R319" i="2" a="1"/>
  <c r="R319" i="2" s="1"/>
  <c r="S319" i="2"/>
  <c r="R244" i="2" a="1"/>
  <c r="R244" i="2" s="1"/>
  <c r="S244" i="2"/>
  <c r="Q244" i="2" a="1"/>
  <c r="Q244" i="2" s="1"/>
  <c r="R333" i="2" a="1"/>
  <c r="R333" i="2" s="1"/>
  <c r="S333" i="2"/>
  <c r="R301" i="2" a="1"/>
  <c r="R301" i="2" s="1"/>
  <c r="S301" i="2"/>
  <c r="Q301" i="2" a="1"/>
  <c r="Q301" i="2" s="1"/>
  <c r="R237" i="2" a="1"/>
  <c r="R237" i="2" s="1"/>
  <c r="Q237" i="2" a="1"/>
  <c r="Q237" i="2" s="1"/>
  <c r="S237" i="2"/>
  <c r="Q361" i="2" a="1"/>
  <c r="Q361" i="2" s="1"/>
  <c r="S361" i="2"/>
  <c r="R361" i="2" a="1"/>
  <c r="R361" i="2" s="1"/>
  <c r="S360" i="2"/>
  <c r="R360" i="2" a="1"/>
  <c r="R360" i="2" s="1"/>
  <c r="Q360" i="2" a="1"/>
  <c r="Q360" i="2" s="1"/>
  <c r="Q152" i="2" a="1"/>
  <c r="Q152" i="2" s="1"/>
  <c r="R152" i="2" a="1"/>
  <c r="R152" i="2" s="1"/>
  <c r="S152" i="2"/>
  <c r="S359" i="2"/>
  <c r="R359" i="2" a="1"/>
  <c r="R359" i="2" s="1"/>
  <c r="Q359" i="2" a="1"/>
  <c r="Q359" i="2" s="1"/>
  <c r="R262" i="2" a="1"/>
  <c r="R262" i="2" s="1"/>
  <c r="Q262" i="2" a="1"/>
  <c r="Q262" i="2" s="1"/>
  <c r="S262" i="2"/>
  <c r="Q213" i="2" a="1"/>
  <c r="Q213" i="2" s="1"/>
  <c r="S213" i="2"/>
  <c r="R213" i="2" a="1"/>
  <c r="R213" i="2" s="1"/>
  <c r="Q250" i="2" a="1"/>
  <c r="Q250" i="2" s="1"/>
  <c r="S250" i="2"/>
  <c r="R234" i="2" a="1"/>
  <c r="R234" i="2" s="1"/>
  <c r="Q234" i="2" a="1"/>
  <c r="Q234" i="2" s="1"/>
  <c r="S234" i="2"/>
  <c r="Q218" i="2" a="1"/>
  <c r="Q218" i="2" s="1"/>
  <c r="S218" i="2"/>
  <c r="R218" i="2" a="1"/>
  <c r="R218" i="2" s="1"/>
  <c r="Q212" i="2" a="1"/>
  <c r="Q212" i="2" s="1"/>
  <c r="S212" i="2"/>
  <c r="R212" i="2" a="1"/>
  <c r="R212" i="2" s="1"/>
  <c r="S281" i="2"/>
  <c r="Q281" i="2" a="1"/>
  <c r="Q281" i="2" s="1"/>
  <c r="R281" i="2" a="1"/>
  <c r="R281" i="2" s="1"/>
  <c r="Q260" i="2" a="1"/>
  <c r="Q260" i="2" s="1"/>
  <c r="S260" i="2"/>
  <c r="R260" i="2" a="1"/>
  <c r="R260" i="2" s="1"/>
  <c r="R136" i="2" a="1"/>
  <c r="R136" i="2" s="1"/>
  <c r="S136" i="2"/>
  <c r="Q136" i="2" a="1"/>
  <c r="Q136" i="2" s="1"/>
  <c r="S135" i="2"/>
  <c r="Q135" i="2" a="1"/>
  <c r="Q135" i="2" s="1"/>
  <c r="R135" i="2" a="1"/>
  <c r="R135" i="2" s="1"/>
  <c r="Q378" i="2" a="1"/>
  <c r="Q378" i="2" s="1"/>
  <c r="S378" i="2"/>
  <c r="S327" i="2"/>
  <c r="Q327" i="2" a="1"/>
  <c r="Q327" i="2" s="1"/>
  <c r="R327" i="2" a="1"/>
  <c r="R327" i="2" s="1"/>
  <c r="Q377" i="2" a="1"/>
  <c r="Q377" i="2" s="1"/>
  <c r="R377" i="2" a="1"/>
  <c r="R377" i="2" s="1"/>
  <c r="S377" i="2"/>
  <c r="R196" i="2" a="1"/>
  <c r="R196" i="2" s="1"/>
  <c r="R134" i="2" a="1"/>
  <c r="R134" i="2" s="1"/>
  <c r="O352" i="2" a="1"/>
  <c r="O352" i="2" s="1"/>
  <c r="O384" i="2" a="1"/>
  <c r="O384" i="2" s="1"/>
  <c r="O368" i="2" a="1"/>
  <c r="O368" i="2" s="1"/>
  <c r="S153" i="2"/>
  <c r="R282" i="2" a="1"/>
  <c r="R282" i="2" s="1"/>
  <c r="R194" i="2" a="1"/>
  <c r="R194" i="2" s="1"/>
  <c r="O400" i="2" a="1"/>
  <c r="O400" i="2" s="1"/>
  <c r="N240" i="2" a="1"/>
  <c r="N240" i="2" s="1"/>
  <c r="P240" i="2" s="1"/>
  <c r="Q240" i="2" s="1" a="1"/>
  <c r="Q240" i="2" s="1"/>
  <c r="S196" i="2"/>
  <c r="R130" i="2" a="1"/>
  <c r="R130" i="2" s="1"/>
  <c r="N239" i="2" a="1"/>
  <c r="N239" i="2" s="1"/>
  <c r="P239" i="2" s="1"/>
  <c r="S239" i="2" s="1"/>
  <c r="N207" i="2" a="1"/>
  <c r="N207" i="2" s="1"/>
  <c r="P207" i="2" s="1"/>
  <c r="Q207" i="2" s="1" a="1"/>
  <c r="Q207" i="2" s="1"/>
  <c r="S338" i="2"/>
  <c r="R391" i="2" a="1"/>
  <c r="R391" i="2" s="1"/>
  <c r="Q183" i="2" a="1"/>
  <c r="Q183" i="2" s="1"/>
  <c r="N224" i="2" a="1"/>
  <c r="N224" i="2" s="1"/>
  <c r="P224" i="2" s="1"/>
  <c r="R224" i="2" s="1" a="1"/>
  <c r="R224" i="2" s="1"/>
  <c r="S194" i="2"/>
  <c r="R389" i="2" a="1"/>
  <c r="R389" i="2" s="1"/>
  <c r="R249" i="2" a="1"/>
  <c r="R249" i="2" s="1"/>
  <c r="R183" i="2" a="1"/>
  <c r="R183" i="2" s="1"/>
  <c r="N223" i="2" a="1"/>
  <c r="N223" i="2" s="1"/>
  <c r="P223" i="2" s="1"/>
  <c r="Q223" i="2" s="1" a="1"/>
  <c r="Q223" i="2" s="1"/>
  <c r="R279" i="2" a="1"/>
  <c r="R279" i="2" s="1"/>
  <c r="R248" i="2" a="1"/>
  <c r="R248" i="2" s="1"/>
  <c r="Q391" i="2" a="1"/>
  <c r="Q391" i="2" s="1"/>
  <c r="R277" i="2" a="1"/>
  <c r="R277" i="2" s="1"/>
  <c r="R247" i="2" a="1"/>
  <c r="R247" i="2" s="1"/>
  <c r="Q279" i="2" a="1"/>
  <c r="Q279" i="2" s="1"/>
  <c r="S329" i="2"/>
  <c r="R313" i="2" a="1"/>
  <c r="R313" i="2" s="1"/>
  <c r="Q329" i="2" a="1"/>
  <c r="Q329" i="2" s="1"/>
  <c r="N320" i="2" a="1"/>
  <c r="N320" i="2" s="1"/>
  <c r="P320" i="2" s="1"/>
  <c r="N304" i="2" a="1"/>
  <c r="N304" i="2" s="1"/>
  <c r="P304" i="2" s="1"/>
  <c r="S249" i="2"/>
  <c r="N288" i="2" a="1"/>
  <c r="N288" i="2" s="1"/>
  <c r="P288" i="2" s="1"/>
  <c r="Q263" i="2" a="1"/>
  <c r="Q263" i="2" s="1"/>
  <c r="O176" i="2" a="1"/>
  <c r="O176" i="2" s="1"/>
  <c r="O160" i="2" a="1"/>
  <c r="O160" i="2" s="1"/>
  <c r="O144" i="2" a="1"/>
  <c r="O144" i="2" s="1"/>
  <c r="O112" i="2" a="1"/>
  <c r="O112" i="2" s="1"/>
  <c r="S282" i="2"/>
  <c r="R338" i="2" a="1"/>
  <c r="R338" i="2" s="1"/>
  <c r="R204" i="2" a="1"/>
  <c r="R204" i="2" s="1"/>
  <c r="O272" i="2" a="1"/>
  <c r="O272" i="2" s="1"/>
  <c r="O256" i="2" a="1"/>
  <c r="O256" i="2" s="1"/>
  <c r="O208" i="2" a="1"/>
  <c r="O208" i="2" s="1"/>
  <c r="O192" i="2" a="1"/>
  <c r="O192" i="2" s="1"/>
  <c r="O175" i="2" a="1"/>
  <c r="O175" i="2" s="1"/>
  <c r="O159" i="2" a="1"/>
  <c r="O159" i="2" s="1"/>
  <c r="O143" i="2" a="1"/>
  <c r="O143" i="2" s="1"/>
  <c r="O128" i="2" a="1"/>
  <c r="O128" i="2" s="1"/>
  <c r="O111" i="2" a="1"/>
  <c r="O111" i="2" s="1"/>
  <c r="R116" i="2" a="1"/>
  <c r="R116" i="2" s="1"/>
  <c r="O271" i="2" a="1"/>
  <c r="O271" i="2" s="1"/>
  <c r="O255" i="2" a="1"/>
  <c r="O255" i="2" s="1"/>
  <c r="O191" i="2" a="1"/>
  <c r="O191" i="2" s="1"/>
  <c r="O174" i="2" a="1"/>
  <c r="O174" i="2" s="1"/>
  <c r="O158" i="2" a="1"/>
  <c r="O158" i="2" s="1"/>
  <c r="O142" i="2" a="1"/>
  <c r="O142" i="2" s="1"/>
  <c r="O127" i="2" a="1"/>
  <c r="O127" i="2" s="1"/>
  <c r="S134" i="2"/>
  <c r="R245" i="2" a="1"/>
  <c r="R245" i="2" s="1"/>
  <c r="S245" i="2"/>
  <c r="Q245" i="2" a="1"/>
  <c r="Q245" i="2" s="1"/>
  <c r="S401" i="2"/>
  <c r="R401" i="2" a="1"/>
  <c r="R401" i="2" s="1"/>
  <c r="Q401" i="2" a="1"/>
  <c r="Q401" i="2" s="1"/>
  <c r="R385" i="2" a="1"/>
  <c r="R385" i="2" s="1"/>
  <c r="S385" i="2"/>
  <c r="Q385" i="2" a="1"/>
  <c r="Q385" i="2" s="1"/>
  <c r="Q369" i="2" a="1"/>
  <c r="Q369" i="2" s="1"/>
  <c r="R369" i="2" a="1"/>
  <c r="R369" i="2" s="1"/>
  <c r="S369" i="2"/>
  <c r="S353" i="2"/>
  <c r="R353" i="2" a="1"/>
  <c r="R353" i="2" s="1"/>
  <c r="Q353" i="2" a="1"/>
  <c r="Q353" i="2" s="1"/>
  <c r="S257" i="2"/>
  <c r="Q257" i="2" a="1"/>
  <c r="Q257" i="2" s="1"/>
  <c r="R257" i="2" a="1"/>
  <c r="R257" i="2" s="1"/>
  <c r="R241" i="2" a="1"/>
  <c r="R241" i="2" s="1"/>
  <c r="S241" i="2"/>
  <c r="Q241" i="2" a="1"/>
  <c r="Q241" i="2" s="1"/>
  <c r="S352" i="2"/>
  <c r="R352" i="2" a="1"/>
  <c r="R352" i="2" s="1"/>
  <c r="Q352" i="2" a="1"/>
  <c r="Q352" i="2" s="1"/>
  <c r="Q272" i="2" a="1"/>
  <c r="Q272" i="2" s="1"/>
  <c r="R272" i="2" a="1"/>
  <c r="R272" i="2" s="1"/>
  <c r="S272" i="2"/>
  <c r="S256" i="2"/>
  <c r="Q256" i="2" a="1"/>
  <c r="Q256" i="2" s="1"/>
  <c r="R256" i="2" a="1"/>
  <c r="R256" i="2" s="1"/>
  <c r="S208" i="2"/>
  <c r="R208" i="2" a="1"/>
  <c r="R208" i="2" s="1"/>
  <c r="Q208" i="2" a="1"/>
  <c r="Q208" i="2" s="1"/>
  <c r="R176" i="2" a="1"/>
  <c r="R176" i="2" s="1"/>
  <c r="Q176" i="2" a="1"/>
  <c r="Q176" i="2" s="1"/>
  <c r="S176" i="2"/>
  <c r="S160" i="2"/>
  <c r="R160" i="2" a="1"/>
  <c r="R160" i="2" s="1"/>
  <c r="Q160" i="2" a="1"/>
  <c r="Q160" i="2" s="1"/>
  <c r="Q144" i="2" a="1"/>
  <c r="Q144" i="2" s="1"/>
  <c r="S144" i="2"/>
  <c r="R144" i="2" a="1"/>
  <c r="R144" i="2" s="1"/>
  <c r="Q128" i="2" a="1"/>
  <c r="Q128" i="2" s="1"/>
  <c r="R128" i="2" a="1"/>
  <c r="R128" i="2" s="1"/>
  <c r="S128" i="2"/>
  <c r="Q112" i="2" a="1"/>
  <c r="Q112" i="2" s="1"/>
  <c r="R112" i="2" a="1"/>
  <c r="R112" i="2" s="1"/>
  <c r="R287" i="2" a="1"/>
  <c r="R287" i="2" s="1"/>
  <c r="S287" i="2"/>
  <c r="Q287" i="2" a="1"/>
  <c r="Q287" i="2" s="1"/>
  <c r="Q271" i="2" a="1"/>
  <c r="Q271" i="2" s="1"/>
  <c r="R271" i="2" a="1"/>
  <c r="R271" i="2" s="1"/>
  <c r="S271" i="2"/>
  <c r="S255" i="2"/>
  <c r="R255" i="2" a="1"/>
  <c r="R255" i="2" s="1"/>
  <c r="Q255" i="2" a="1"/>
  <c r="Q255" i="2" s="1"/>
  <c r="R191" i="2" a="1"/>
  <c r="R191" i="2" s="1"/>
  <c r="Q191" i="2" a="1"/>
  <c r="Q191" i="2" s="1"/>
  <c r="S191" i="2"/>
  <c r="R175" i="2" a="1"/>
  <c r="R175" i="2" s="1"/>
  <c r="Q175" i="2" a="1"/>
  <c r="Q175" i="2" s="1"/>
  <c r="S175" i="2"/>
  <c r="Q111" i="2" a="1"/>
  <c r="Q111" i="2" s="1"/>
  <c r="R111" i="2" a="1"/>
  <c r="R111" i="2" s="1"/>
  <c r="S111" i="2"/>
  <c r="R222" i="2" a="1"/>
  <c r="R222" i="2" s="1"/>
  <c r="Q222" i="2" a="1"/>
  <c r="Q222" i="2" s="1"/>
  <c r="S222" i="2"/>
  <c r="R190" i="2" a="1"/>
  <c r="R190" i="2" s="1"/>
  <c r="Q190" i="2" a="1"/>
  <c r="Q190" i="2" s="1"/>
  <c r="S190" i="2"/>
  <c r="R158" i="2" a="1"/>
  <c r="R158" i="2" s="1"/>
  <c r="Q158" i="2" a="1"/>
  <c r="Q158" i="2" s="1"/>
  <c r="S158" i="2"/>
  <c r="S142" i="2"/>
  <c r="R142" i="2" a="1"/>
  <c r="R142" i="2" s="1"/>
  <c r="Q142" i="2" a="1"/>
  <c r="Q142" i="2" s="1"/>
  <c r="Q125" i="2" a="1"/>
  <c r="Q125" i="2" s="1"/>
  <c r="R125" i="2" a="1"/>
  <c r="R125" i="2" s="1"/>
  <c r="S125" i="2"/>
  <c r="R269" i="2" a="1"/>
  <c r="R269" i="2" s="1"/>
  <c r="S269" i="2"/>
  <c r="Q269" i="2" a="1"/>
  <c r="Q269" i="2" s="1"/>
  <c r="S205" i="2"/>
  <c r="R205" i="2" a="1"/>
  <c r="R205" i="2" s="1"/>
  <c r="Q205" i="2" a="1"/>
  <c r="Q205" i="2" s="1"/>
  <c r="R188" i="2" a="1"/>
  <c r="R188" i="2" s="1"/>
  <c r="Q188" i="2" a="1"/>
  <c r="Q188" i="2" s="1"/>
  <c r="S188" i="2"/>
  <c r="Q294" i="2" a="1"/>
  <c r="Q294" i="2" s="1"/>
  <c r="R294" i="2" a="1"/>
  <c r="R294" i="2" s="1"/>
  <c r="S294" i="2"/>
  <c r="R238" i="2" a="1"/>
  <c r="R238" i="2" s="1"/>
  <c r="S238" i="2"/>
  <c r="Q238" i="2" a="1"/>
  <c r="Q238" i="2" s="1"/>
  <c r="R171" i="2" a="1"/>
  <c r="R171" i="2" s="1"/>
  <c r="Q171" i="2" a="1"/>
  <c r="Q171" i="2" s="1"/>
  <c r="S171" i="2"/>
  <c r="R155" i="2" a="1"/>
  <c r="R155" i="2" s="1"/>
  <c r="Q155" i="2" a="1"/>
  <c r="Q155" i="2" s="1"/>
  <c r="S155" i="2"/>
  <c r="R308" i="2" a="1"/>
  <c r="R308" i="2" s="1"/>
  <c r="S308" i="2"/>
  <c r="Q308" i="2" a="1"/>
  <c r="Q308" i="2" s="1"/>
  <c r="Q170" i="2" a="1"/>
  <c r="Q170" i="2" s="1"/>
  <c r="R170" i="2" a="1"/>
  <c r="R170" i="2" s="1"/>
  <c r="S170" i="2"/>
  <c r="R202" i="2" a="1"/>
  <c r="R202" i="2" s="1"/>
  <c r="Q202" i="2" a="1"/>
  <c r="Q202" i="2" s="1"/>
  <c r="S202" i="2"/>
  <c r="Q390" i="2" a="1"/>
  <c r="Q390" i="2" s="1"/>
  <c r="R390" i="2" a="1"/>
  <c r="R390" i="2" s="1"/>
  <c r="S390" i="2"/>
  <c r="Q337" i="2" a="1"/>
  <c r="Q337" i="2" s="1"/>
  <c r="S337" i="2"/>
  <c r="R337" i="2" a="1"/>
  <c r="R337" i="2" s="1"/>
  <c r="R323" i="2" a="1"/>
  <c r="R323" i="2" s="1"/>
  <c r="Q323" i="2" a="1"/>
  <c r="Q323" i="2" s="1"/>
  <c r="S323" i="2"/>
  <c r="S351" i="2"/>
  <c r="R351" i="2" a="1"/>
  <c r="R351" i="2" s="1"/>
  <c r="Q351" i="2" a="1"/>
  <c r="Q351" i="2" s="1"/>
  <c r="S405" i="2"/>
  <c r="R405" i="2" a="1"/>
  <c r="R405" i="2" s="1"/>
  <c r="Q405" i="2" a="1"/>
  <c r="Q405" i="2" s="1"/>
  <c r="R298" i="2" a="1"/>
  <c r="R298" i="2" s="1"/>
  <c r="Q139" i="2" a="1"/>
  <c r="Q139" i="2" s="1"/>
  <c r="S392" i="2"/>
  <c r="R280" i="2" a="1"/>
  <c r="R280" i="2" s="1"/>
  <c r="Q333" i="2" a="1"/>
  <c r="Q333" i="2" s="1"/>
  <c r="N321" i="2" a="1"/>
  <c r="N321" i="2" s="1"/>
  <c r="P321" i="2" s="1"/>
  <c r="H5" i="2"/>
  <c r="S341" i="2"/>
  <c r="R392" i="2" a="1"/>
  <c r="R392" i="2" s="1"/>
  <c r="O401" i="2" a="1"/>
  <c r="O401" i="2" s="1"/>
  <c r="O241" i="2" a="1"/>
  <c r="O241" i="2" s="1"/>
  <c r="O113" i="2" a="1"/>
  <c r="O113" i="2" s="1"/>
  <c r="N305" i="2" a="1"/>
  <c r="N305" i="2" s="1"/>
  <c r="P305" i="2" s="1"/>
  <c r="N225" i="2" a="1"/>
  <c r="N225" i="2" s="1"/>
  <c r="P225" i="2" s="1"/>
  <c r="Q220" i="2" a="1"/>
  <c r="Q220" i="2" s="1"/>
  <c r="O385" i="2" a="1"/>
  <c r="O385" i="2" s="1"/>
  <c r="S365" i="2"/>
  <c r="R295" i="2" a="1"/>
  <c r="R295" i="2" s="1"/>
  <c r="O369" i="2" a="1"/>
  <c r="O369" i="2" s="1"/>
  <c r="N209" i="2" a="1"/>
  <c r="N209" i="2" s="1"/>
  <c r="P209" i="2" s="1"/>
  <c r="Q209" i="2" s="1" a="1"/>
  <c r="Q209" i="2" s="1"/>
  <c r="S387" i="2"/>
  <c r="Q400" i="2" a="1"/>
  <c r="Q400" i="2" s="1"/>
  <c r="N289" i="2" a="1"/>
  <c r="N289" i="2" s="1"/>
  <c r="P289" i="2" s="1"/>
  <c r="N193" i="2" a="1"/>
  <c r="N193" i="2" s="1"/>
  <c r="P193" i="2" s="1"/>
  <c r="S192" i="2"/>
  <c r="R387" i="2" a="1"/>
  <c r="R387" i="2" s="1"/>
  <c r="O353" i="2" a="1"/>
  <c r="O353" i="2" s="1"/>
  <c r="N177" i="2" a="1"/>
  <c r="N177" i="2" s="1"/>
  <c r="P177" i="2" s="1"/>
  <c r="S280" i="2"/>
  <c r="R386" i="2" a="1"/>
  <c r="R386" i="2" s="1"/>
  <c r="R365" i="2" a="1"/>
  <c r="R365" i="2" s="1"/>
  <c r="R192" i="2" a="1"/>
  <c r="R192" i="2" s="1"/>
  <c r="Q341" i="2" a="1"/>
  <c r="Q341" i="2" s="1"/>
  <c r="N273" i="2" a="1"/>
  <c r="N273" i="2" s="1"/>
  <c r="P273" i="2" s="1"/>
  <c r="N161" i="2" a="1"/>
  <c r="N161" i="2" s="1"/>
  <c r="P161" i="2" s="1"/>
  <c r="N145" i="2" a="1"/>
  <c r="N145" i="2" s="1"/>
  <c r="P145" i="2" s="1"/>
  <c r="R124" i="2" a="1"/>
  <c r="R124" i="2" s="1"/>
  <c r="Q340" i="2" a="1"/>
  <c r="Q340" i="2" s="1"/>
  <c r="R139" i="2" a="1"/>
  <c r="R139" i="2" s="1"/>
  <c r="H101" i="2"/>
  <c r="S298" i="2"/>
  <c r="R378" i="2" a="1"/>
  <c r="R378" i="2" s="1"/>
  <c r="R250" i="2" a="1"/>
  <c r="R250" i="2" s="1"/>
  <c r="S159" i="2"/>
  <c r="Q159" i="2" a="1"/>
  <c r="Q159" i="2" s="1"/>
  <c r="R159" i="2" a="1"/>
  <c r="R159" i="2" s="1"/>
  <c r="Q254" i="2" a="1"/>
  <c r="Q254" i="2" s="1"/>
  <c r="R254" i="2" a="1"/>
  <c r="R254" i="2" s="1"/>
  <c r="S254" i="2"/>
  <c r="Q318" i="2" a="1"/>
  <c r="Q318" i="2" s="1"/>
  <c r="R318" i="2" a="1"/>
  <c r="R318" i="2" s="1"/>
  <c r="S318" i="2"/>
  <c r="S129" i="2"/>
  <c r="R129" i="2" a="1"/>
  <c r="R129" i="2" s="1"/>
  <c r="Q129" i="2" a="1"/>
  <c r="Q129" i="2" s="1"/>
  <c r="Q396" i="2" a="1"/>
  <c r="Q396" i="2" s="1"/>
  <c r="S396" i="2"/>
  <c r="R396" i="2" a="1"/>
  <c r="R396" i="2" s="1"/>
  <c r="S317" i="2"/>
  <c r="Q317" i="2" a="1"/>
  <c r="Q317" i="2" s="1"/>
  <c r="R317" i="2" a="1"/>
  <c r="R317" i="2" s="1"/>
  <c r="Q382" i="2" a="1"/>
  <c r="Q382" i="2" s="1"/>
  <c r="R382" i="2" a="1"/>
  <c r="R382" i="2" s="1"/>
  <c r="Q156" i="2" a="1"/>
  <c r="Q156" i="2" s="1"/>
  <c r="S156" i="2"/>
  <c r="R156" i="2" a="1"/>
  <c r="R156" i="2" s="1"/>
  <c r="Q355" i="2" a="1"/>
  <c r="Q355" i="2" s="1"/>
  <c r="R355" i="2" a="1"/>
  <c r="R355" i="2" s="1"/>
  <c r="S355" i="2"/>
  <c r="S285" i="2"/>
  <c r="Q285" i="2" a="1"/>
  <c r="Q285" i="2" s="1"/>
  <c r="Q174" i="2" a="1"/>
  <c r="Q174" i="2" s="1"/>
  <c r="R174" i="2" a="1"/>
  <c r="R174" i="2" s="1"/>
  <c r="S143" i="2"/>
  <c r="Q143" i="2" a="1"/>
  <c r="Q143" i="2" s="1"/>
  <c r="R143" i="2" a="1"/>
  <c r="R143" i="2" s="1"/>
  <c r="Q115" i="2" a="1"/>
  <c r="Q115" i="2" s="1"/>
  <c r="R115" i="2" a="1"/>
  <c r="R115" i="2" s="1"/>
  <c r="S115" i="2"/>
  <c r="Q201" i="2" a="1"/>
  <c r="Q201" i="2" s="1"/>
  <c r="Q380" i="2" a="1"/>
  <c r="Q380" i="2" s="1"/>
  <c r="S380" i="2"/>
  <c r="Q270" i="2" a="1"/>
  <c r="Q270" i="2" s="1"/>
  <c r="R270" i="2" a="1"/>
  <c r="R270" i="2" s="1"/>
  <c r="Q184" i="2" a="1"/>
  <c r="Q184" i="2" s="1"/>
  <c r="S184" i="2"/>
  <c r="R154" i="2" a="1"/>
  <c r="R154" i="2" s="1"/>
  <c r="S154" i="2"/>
  <c r="Q154" i="2" a="1"/>
  <c r="Q154" i="2" s="1"/>
  <c r="S367" i="2"/>
  <c r="Q367" i="2" a="1"/>
  <c r="Q367" i="2" s="1"/>
  <c r="R367" i="2" a="1"/>
  <c r="R367" i="2" s="1"/>
  <c r="R354" i="2" a="1"/>
  <c r="R354" i="2" s="1"/>
  <c r="S354" i="2"/>
  <c r="Q354" i="2" a="1"/>
  <c r="Q354" i="2" s="1"/>
  <c r="S189" i="2"/>
  <c r="Q189" i="2" a="1"/>
  <c r="Q189" i="2" s="1"/>
  <c r="R189" i="2" a="1"/>
  <c r="R189" i="2" s="1"/>
  <c r="Q379" i="2" a="1"/>
  <c r="Q379" i="2" s="1"/>
  <c r="S379" i="2"/>
  <c r="R379" i="2" a="1"/>
  <c r="R379" i="2" s="1"/>
  <c r="Q334" i="2" a="1"/>
  <c r="Q334" i="2" s="1"/>
  <c r="R334" i="2" a="1"/>
  <c r="R334" i="2" s="1"/>
  <c r="Q180" i="2" a="1"/>
  <c r="Q180" i="2" s="1"/>
  <c r="R180" i="2" a="1"/>
  <c r="R180" i="2" s="1"/>
  <c r="S180" i="2"/>
  <c r="R394" i="2" a="1"/>
  <c r="R394" i="2" s="1"/>
  <c r="Q394" i="2" a="1"/>
  <c r="Q394" i="2" s="1"/>
  <c r="S381" i="2"/>
  <c r="Q381" i="2" a="1"/>
  <c r="Q381" i="2" s="1"/>
  <c r="Q325" i="2" a="1"/>
  <c r="Q325" i="2" s="1"/>
  <c r="S325" i="2"/>
  <c r="Q216" i="2" a="1"/>
  <c r="Q216" i="2" s="1"/>
  <c r="S216" i="2"/>
  <c r="Q203" i="2" a="1"/>
  <c r="Q203" i="2" s="1"/>
  <c r="S203" i="2"/>
  <c r="R203" i="2" a="1"/>
  <c r="R203" i="2" s="1"/>
  <c r="S173" i="2"/>
  <c r="Q173" i="2" a="1"/>
  <c r="Q173" i="2" s="1"/>
  <c r="R173" i="2" a="1"/>
  <c r="R173" i="2" s="1"/>
  <c r="S157" i="2"/>
  <c r="Q157" i="2" a="1"/>
  <c r="Q157" i="2" s="1"/>
  <c r="R157" i="2" a="1"/>
  <c r="R157" i="2" s="1"/>
  <c r="S141" i="2"/>
  <c r="Q141" i="2" a="1"/>
  <c r="Q141" i="2" s="1"/>
  <c r="R141" i="2" a="1"/>
  <c r="R141" i="2" s="1"/>
  <c r="S127" i="2"/>
  <c r="Q127" i="2" a="1"/>
  <c r="Q127" i="2" s="1"/>
  <c r="R127" i="2" a="1"/>
  <c r="R127" i="2" s="1"/>
  <c r="S113" i="2"/>
  <c r="R113" i="2" a="1"/>
  <c r="R113" i="2" s="1"/>
  <c r="S408" i="2"/>
  <c r="S368" i="2"/>
  <c r="R325" i="2" a="1"/>
  <c r="R325" i="2" s="1"/>
  <c r="Q268" i="2" a="1"/>
  <c r="Q268" i="2" s="1"/>
  <c r="S268" i="2"/>
  <c r="R268" i="2" a="1"/>
  <c r="R268" i="2" s="1"/>
  <c r="R178" i="2" a="1"/>
  <c r="R178" i="2" s="1"/>
  <c r="S178" i="2"/>
  <c r="Q178" i="2" a="1"/>
  <c r="Q178" i="2" s="1"/>
  <c r="Q310" i="2" a="1"/>
  <c r="Q310" i="2" s="1"/>
  <c r="R310" i="2" a="1"/>
  <c r="R310" i="2" s="1"/>
  <c r="R242" i="2" a="1"/>
  <c r="R242" i="2" s="1"/>
  <c r="S242" i="2"/>
  <c r="Q242" i="2" a="1"/>
  <c r="Q242" i="2" s="1"/>
  <c r="Q229" i="2" a="1"/>
  <c r="Q229" i="2" s="1"/>
  <c r="S229" i="2"/>
  <c r="Q187" i="2" a="1"/>
  <c r="Q187" i="2" s="1"/>
  <c r="S187" i="2"/>
  <c r="R187" i="2" a="1"/>
  <c r="R187" i="2" s="1"/>
  <c r="Q172" i="2" a="1"/>
  <c r="Q172" i="2" s="1"/>
  <c r="S172" i="2"/>
  <c r="R172" i="2" a="1"/>
  <c r="R172" i="2" s="1"/>
  <c r="Q126" i="2" a="1"/>
  <c r="Q126" i="2" s="1"/>
  <c r="R126" i="2" a="1"/>
  <c r="R126" i="2" s="1"/>
  <c r="Q350" i="2" a="1"/>
  <c r="Q350" i="2" s="1"/>
  <c r="R350" i="2" a="1"/>
  <c r="R350" i="2" s="1"/>
  <c r="Q331" i="2" a="1"/>
  <c r="Q331" i="2" s="1"/>
  <c r="S331" i="2"/>
  <c r="R331" i="2" a="1"/>
  <c r="R331" i="2" s="1"/>
  <c r="Q284" i="2" a="1"/>
  <c r="Q284" i="2" s="1"/>
  <c r="S284" i="2"/>
  <c r="R284" i="2" a="1"/>
  <c r="R284" i="2" s="1"/>
  <c r="Q228" i="2" a="1"/>
  <c r="Q228" i="2" s="1"/>
  <c r="R228" i="2" a="1"/>
  <c r="R228" i="2" s="1"/>
  <c r="S228" i="2"/>
  <c r="Q200" i="2" a="1"/>
  <c r="Q200" i="2" s="1"/>
  <c r="S200" i="2"/>
  <c r="R216" i="2" a="1"/>
  <c r="R216" i="2" s="1"/>
  <c r="Q395" i="2" a="1"/>
  <c r="Q395" i="2" s="1"/>
  <c r="S395" i="2"/>
  <c r="R395" i="2" a="1"/>
  <c r="R395" i="2" s="1"/>
  <c r="Q348" i="2" a="1"/>
  <c r="Q348" i="2" s="1"/>
  <c r="S348" i="2"/>
  <c r="Q283" i="2" a="1"/>
  <c r="Q283" i="2" s="1"/>
  <c r="S283" i="2"/>
  <c r="R283" i="2" a="1"/>
  <c r="R283" i="2" s="1"/>
  <c r="S349" i="2"/>
  <c r="Q349" i="2" a="1"/>
  <c r="Q349" i="2" s="1"/>
  <c r="S253" i="2"/>
  <c r="Q253" i="2" a="1"/>
  <c r="Q253" i="2" s="1"/>
  <c r="Q227" i="2" a="1"/>
  <c r="Q227" i="2" s="1"/>
  <c r="R227" i="2" a="1"/>
  <c r="R227" i="2" s="1"/>
  <c r="S227" i="2"/>
  <c r="Q286" i="2" a="1"/>
  <c r="Q286" i="2" s="1"/>
  <c r="R286" i="2" a="1"/>
  <c r="R286" i="2" s="1"/>
  <c r="R229" i="2" a="1"/>
  <c r="R229" i="2" s="1"/>
  <c r="Q347" i="2" a="1"/>
  <c r="Q347" i="2" s="1"/>
  <c r="S347" i="2"/>
  <c r="R347" i="2" a="1"/>
  <c r="R347" i="2" s="1"/>
  <c r="Q206" i="2" a="1"/>
  <c r="Q206" i="2" s="1"/>
  <c r="R206" i="2" a="1"/>
  <c r="R206" i="2" s="1"/>
  <c r="R306" i="2" a="1"/>
  <c r="R306" i="2" s="1"/>
  <c r="S306" i="2"/>
  <c r="Q306" i="2" a="1"/>
  <c r="Q306" i="2" s="1"/>
  <c r="Q293" i="2" a="1"/>
  <c r="Q293" i="2" s="1"/>
  <c r="S293" i="2"/>
  <c r="Q278" i="2" a="1"/>
  <c r="Q278" i="2" s="1"/>
  <c r="R278" i="2" a="1"/>
  <c r="R278" i="2" s="1"/>
  <c r="R266" i="2" a="1"/>
  <c r="R266" i="2" s="1"/>
  <c r="S266" i="2"/>
  <c r="Q266" i="2" a="1"/>
  <c r="Q266" i="2" s="1"/>
  <c r="R226" i="2" a="1"/>
  <c r="R226" i="2" s="1"/>
  <c r="S226" i="2"/>
  <c r="Q226" i="2" a="1"/>
  <c r="Q226" i="2" s="1"/>
  <c r="Q198" i="2" a="1"/>
  <c r="Q198" i="2" s="1"/>
  <c r="R198" i="2" a="1"/>
  <c r="R198" i="2" s="1"/>
  <c r="Q332" i="2" a="1"/>
  <c r="Q332" i="2" s="1"/>
  <c r="S332" i="2"/>
  <c r="R332" i="2" a="1"/>
  <c r="R332" i="2" s="1"/>
  <c r="S201" i="2"/>
  <c r="Q302" i="2" a="1"/>
  <c r="Q302" i="2" s="1"/>
  <c r="R302" i="2" a="1"/>
  <c r="R302" i="2" s="1"/>
  <c r="Q182" i="2" a="1"/>
  <c r="Q182" i="2" s="1"/>
  <c r="R182" i="2" a="1"/>
  <c r="R182" i="2" s="1"/>
  <c r="Q292" i="2" a="1"/>
  <c r="Q292" i="2" s="1"/>
  <c r="R292" i="2" a="1"/>
  <c r="R292" i="2" s="1"/>
  <c r="S292" i="2"/>
  <c r="S382" i="2"/>
  <c r="Q366" i="2" a="1"/>
  <c r="Q366" i="2" s="1"/>
  <c r="R366" i="2" a="1"/>
  <c r="R366" i="2" s="1"/>
  <c r="Q232" i="2" a="1"/>
  <c r="Q232" i="2" s="1"/>
  <c r="S232" i="2"/>
  <c r="R402" i="2" a="1"/>
  <c r="R402" i="2" s="1"/>
  <c r="Q402" i="2" a="1"/>
  <c r="Q402" i="2" s="1"/>
  <c r="Q374" i="2" a="1"/>
  <c r="Q374" i="2" s="1"/>
  <c r="R374" i="2" a="1"/>
  <c r="R374" i="2" s="1"/>
  <c r="S303" i="2"/>
  <c r="Q303" i="2" a="1"/>
  <c r="Q303" i="2" s="1"/>
  <c r="R303" i="2" a="1"/>
  <c r="R303" i="2" s="1"/>
  <c r="Q309" i="2" a="1"/>
  <c r="Q309" i="2" s="1"/>
  <c r="S309" i="2"/>
  <c r="R186" i="2" a="1"/>
  <c r="R186" i="2" s="1"/>
  <c r="S186" i="2"/>
  <c r="Q186" i="2" a="1"/>
  <c r="Q186" i="2" s="1"/>
  <c r="S334" i="2"/>
  <c r="S286" i="2"/>
  <c r="R285" i="2" a="1"/>
  <c r="R285" i="2" s="1"/>
  <c r="Q393" i="2" a="1"/>
  <c r="Q393" i="2" s="1"/>
  <c r="Q299" i="2" a="1"/>
  <c r="Q299" i="2" s="1"/>
  <c r="S299" i="2"/>
  <c r="R299" i="2" a="1"/>
  <c r="R299" i="2" s="1"/>
  <c r="Q230" i="2" a="1"/>
  <c r="Q230" i="2" s="1"/>
  <c r="R230" i="2" a="1"/>
  <c r="R230" i="2" s="1"/>
  <c r="Q373" i="2" a="1"/>
  <c r="Q373" i="2" s="1"/>
  <c r="S373" i="2"/>
  <c r="R290" i="2" a="1"/>
  <c r="R290" i="2" s="1"/>
  <c r="S290" i="2"/>
  <c r="Q290" i="2" a="1"/>
  <c r="Q290" i="2" s="1"/>
  <c r="Q398" i="2" a="1"/>
  <c r="Q398" i="2" s="1"/>
  <c r="R398" i="2" a="1"/>
  <c r="R398" i="2" s="1"/>
  <c r="Q214" i="2" a="1"/>
  <c r="Q214" i="2" s="1"/>
  <c r="R214" i="2" a="1"/>
  <c r="R214" i="2" s="1"/>
  <c r="Q140" i="2" a="1"/>
  <c r="Q140" i="2" s="1"/>
  <c r="S140" i="2"/>
  <c r="R140" i="2" a="1"/>
  <c r="R140" i="2" s="1"/>
  <c r="S310" i="2"/>
  <c r="S174" i="2"/>
  <c r="S112" i="2"/>
  <c r="R368" i="2" a="1"/>
  <c r="R368" i="2" s="1"/>
  <c r="Q364" i="2" a="1"/>
  <c r="Q364" i="2" s="1"/>
  <c r="S364" i="2"/>
  <c r="Q132" i="2" a="1"/>
  <c r="Q132" i="2" s="1"/>
  <c r="R132" i="2" a="1"/>
  <c r="R132" i="2" s="1"/>
  <c r="S132" i="2"/>
  <c r="Q358" i="2" a="1"/>
  <c r="Q358" i="2" s="1"/>
  <c r="R358" i="2" a="1"/>
  <c r="R358" i="2" s="1"/>
  <c r="R330" i="2" a="1"/>
  <c r="R330" i="2" s="1"/>
  <c r="S330" i="2"/>
  <c r="Q330" i="2" a="1"/>
  <c r="Q330" i="2" s="1"/>
  <c r="R408" i="2" a="1"/>
  <c r="R408" i="2" s="1"/>
  <c r="Q406" i="2" a="1"/>
  <c r="Q406" i="2" s="1"/>
  <c r="R406" i="2" a="1"/>
  <c r="R406" i="2" s="1"/>
  <c r="S398" i="2"/>
  <c r="Q363" i="2" a="1"/>
  <c r="Q363" i="2" s="1"/>
  <c r="S363" i="2"/>
  <c r="R363" i="2" a="1"/>
  <c r="R363" i="2" s="1"/>
  <c r="Q357" i="2" a="1"/>
  <c r="Q357" i="2" s="1"/>
  <c r="S357" i="2"/>
  <c r="Q342" i="2" a="1"/>
  <c r="Q342" i="2" s="1"/>
  <c r="R342" i="2" a="1"/>
  <c r="R342" i="2" s="1"/>
  <c r="Q261" i="2" a="1"/>
  <c r="Q261" i="2" s="1"/>
  <c r="S261" i="2"/>
  <c r="S221" i="2"/>
  <c r="Q221" i="2" a="1"/>
  <c r="Q221" i="2" s="1"/>
  <c r="S394" i="2"/>
  <c r="S350" i="2"/>
  <c r="S214" i="2"/>
  <c r="R381" i="2" a="1"/>
  <c r="R381" i="2" s="1"/>
  <c r="Q252" i="2" a="1"/>
  <c r="Q252" i="2" s="1"/>
  <c r="S252" i="2"/>
  <c r="R252" i="2" a="1"/>
  <c r="R252" i="2" s="1"/>
  <c r="R370" i="2" a="1"/>
  <c r="R370" i="2" s="1"/>
  <c r="S370" i="2"/>
  <c r="Q370" i="2" a="1"/>
  <c r="Q370" i="2" s="1"/>
  <c r="Q246" i="2" a="1"/>
  <c r="Q246" i="2" s="1"/>
  <c r="R246" i="2" a="1"/>
  <c r="R246" i="2" s="1"/>
  <c r="Q267" i="2" a="1"/>
  <c r="Q267" i="2" s="1"/>
  <c r="S267" i="2"/>
  <c r="R267" i="2" a="1"/>
  <c r="R267" i="2" s="1"/>
  <c r="S393" i="2"/>
  <c r="R380" i="2" a="1"/>
  <c r="R380" i="2" s="1"/>
  <c r="Q316" i="2" a="1"/>
  <c r="Q316" i="2" s="1"/>
  <c r="S316" i="2"/>
  <c r="R316" i="2" a="1"/>
  <c r="R316" i="2" s="1"/>
  <c r="Q251" i="2" a="1"/>
  <c r="Q251" i="2" s="1"/>
  <c r="S251" i="2"/>
  <c r="R251" i="2" a="1"/>
  <c r="R251" i="2" s="1"/>
  <c r="S397" i="2"/>
  <c r="Q397" i="2" a="1"/>
  <c r="Q397" i="2" s="1"/>
  <c r="Q356" i="2" a="1"/>
  <c r="Q356" i="2" s="1"/>
  <c r="S356" i="2"/>
  <c r="N101" i="2" a="1"/>
  <c r="N101" i="2" s="1"/>
  <c r="H100" i="2"/>
  <c r="O100" i="2" a="1"/>
  <c r="O100" i="2" s="1"/>
  <c r="H99" i="2"/>
  <c r="O99" i="2" a="1"/>
  <c r="O99" i="2" s="1"/>
  <c r="H98" i="2"/>
  <c r="N98" i="2" a="1"/>
  <c r="N98" i="2" s="1"/>
  <c r="H97" i="2"/>
  <c r="O97" i="2" a="1"/>
  <c r="O97" i="2" s="1"/>
  <c r="H96" i="2"/>
  <c r="O96" i="2" a="1"/>
  <c r="O96" i="2" s="1"/>
  <c r="H95" i="2"/>
  <c r="N95" i="2" a="1"/>
  <c r="N95" i="2" s="1"/>
  <c r="H94" i="2"/>
  <c r="N94" i="2" a="1"/>
  <c r="N94" i="2" s="1"/>
  <c r="H93" i="2"/>
  <c r="N93" i="2" a="1"/>
  <c r="N93" i="2" s="1"/>
  <c r="H92" i="2"/>
  <c r="N92" i="2" a="1"/>
  <c r="N92" i="2" s="1"/>
  <c r="H91" i="2"/>
  <c r="N91" i="2" a="1"/>
  <c r="N91" i="2" s="1"/>
  <c r="H90" i="2"/>
  <c r="O90" i="2" a="1"/>
  <c r="O90" i="2" s="1"/>
  <c r="H89" i="2"/>
  <c r="H88" i="2"/>
  <c r="O89" i="2" a="1"/>
  <c r="O89" i="2" s="1"/>
  <c r="N88" i="2" a="1"/>
  <c r="N88" i="2" s="1"/>
  <c r="H87" i="2"/>
  <c r="H86" i="2"/>
  <c r="N86" i="2" a="1"/>
  <c r="N86" i="2" s="1"/>
  <c r="H85" i="2"/>
  <c r="H6" i="2"/>
  <c r="H7" i="2"/>
  <c r="H8" i="2"/>
  <c r="H9" i="2"/>
  <c r="H10" i="2"/>
  <c r="H11" i="2"/>
  <c r="N85" i="2" a="1"/>
  <c r="N85" i="2" s="1"/>
  <c r="H84" i="2"/>
  <c r="N84" i="2" a="1"/>
  <c r="N84" i="2" s="1"/>
  <c r="H83" i="2"/>
  <c r="N83" i="2" a="1"/>
  <c r="N83" i="2" s="1"/>
  <c r="H82" i="2"/>
  <c r="N82" i="2" a="1"/>
  <c r="N82" i="2" s="1"/>
  <c r="H81" i="2"/>
  <c r="O81" i="2" a="1"/>
  <c r="O81" i="2" s="1"/>
  <c r="H80" i="2"/>
  <c r="O80" i="2" a="1"/>
  <c r="O80" i="2" s="1"/>
  <c r="H79" i="2"/>
  <c r="N79" i="2" a="1"/>
  <c r="N79" i="2" s="1"/>
  <c r="H78" i="2"/>
  <c r="N78" i="2" a="1"/>
  <c r="N78" i="2" s="1"/>
  <c r="H77" i="2"/>
  <c r="N77" i="2" a="1"/>
  <c r="N77" i="2" s="1"/>
  <c r="H76" i="2"/>
  <c r="N76" i="2" a="1"/>
  <c r="N76" i="2" s="1"/>
  <c r="H75" i="2"/>
  <c r="N75" i="2" a="1"/>
  <c r="N75" i="2" s="1"/>
  <c r="H74" i="2"/>
  <c r="N74" i="2" a="1"/>
  <c r="N74" i="2" s="1"/>
  <c r="H73" i="2"/>
  <c r="N73" i="2" a="1"/>
  <c r="N73" i="2" s="1"/>
  <c r="P73" i="2" s="1"/>
  <c r="R73" i="2" s="1" a="1"/>
  <c r="R73" i="2" s="1"/>
  <c r="H72" i="2"/>
  <c r="N72" i="2" a="1"/>
  <c r="N72" i="2" s="1"/>
  <c r="H71" i="2"/>
  <c r="H70" i="2"/>
  <c r="N70" i="2" a="1"/>
  <c r="N70" i="2" s="1"/>
  <c r="H69" i="2"/>
  <c r="N69" i="2" a="1"/>
  <c r="N69" i="2" s="1"/>
  <c r="H68" i="2"/>
  <c r="O68" i="2" a="1"/>
  <c r="O68" i="2" s="1"/>
  <c r="H67" i="2"/>
  <c r="O67" i="2" a="1"/>
  <c r="O67" i="2" s="1"/>
  <c r="H66" i="2"/>
  <c r="O66" i="2" a="1"/>
  <c r="O66" i="2" s="1"/>
  <c r="H65" i="2"/>
  <c r="O65" i="2" a="1"/>
  <c r="O65" i="2" s="1"/>
  <c r="H64" i="2"/>
  <c r="O64" i="2" a="1"/>
  <c r="O64" i="2" s="1"/>
  <c r="H63" i="2"/>
  <c r="N63" i="2" a="1"/>
  <c r="N63" i="2" s="1"/>
  <c r="H62" i="2"/>
  <c r="N62" i="2" a="1"/>
  <c r="N62" i="2" s="1"/>
  <c r="H61" i="2"/>
  <c r="N61" i="2" a="1"/>
  <c r="N61" i="2" s="1"/>
  <c r="H60" i="2"/>
  <c r="N60" i="2" a="1"/>
  <c r="N60" i="2" s="1"/>
  <c r="H59" i="2"/>
  <c r="N59" i="2" a="1"/>
  <c r="N59" i="2" s="1"/>
  <c r="H58" i="2"/>
  <c r="O58" i="2" a="1"/>
  <c r="O58" i="2" s="1"/>
  <c r="H57" i="2"/>
  <c r="O57" i="2" a="1"/>
  <c r="O57" i="2" s="1"/>
  <c r="H56" i="2"/>
  <c r="O56" i="2" a="1"/>
  <c r="O56" i="2" s="1"/>
  <c r="H55" i="2"/>
  <c r="H54" i="2"/>
  <c r="N54" i="2" a="1"/>
  <c r="N54" i="2" s="1"/>
  <c r="H53" i="2"/>
  <c r="N53" i="2" a="1"/>
  <c r="N53" i="2" s="1"/>
  <c r="H52" i="2"/>
  <c r="N52" i="2" a="1"/>
  <c r="N52" i="2" s="1"/>
  <c r="H51" i="2"/>
  <c r="N51" i="2" a="1"/>
  <c r="N51" i="2" s="1"/>
  <c r="H50" i="2"/>
  <c r="N50" i="2" a="1"/>
  <c r="N50" i="2" s="1"/>
  <c r="H49" i="2"/>
  <c r="O49" i="2" a="1"/>
  <c r="O49" i="2" s="1"/>
  <c r="H48" i="2"/>
  <c r="O48" i="2" a="1"/>
  <c r="O48" i="2" s="1"/>
  <c r="H47" i="2"/>
  <c r="N47" i="2" a="1"/>
  <c r="N47" i="2" s="1"/>
  <c r="H46" i="2"/>
  <c r="N46" i="2" a="1"/>
  <c r="N46" i="2" s="1"/>
  <c r="H45" i="2"/>
  <c r="N45" i="2" a="1"/>
  <c r="N45" i="2" s="1"/>
  <c r="H44" i="2"/>
  <c r="N44" i="2" a="1"/>
  <c r="N44" i="2" s="1"/>
  <c r="H43" i="2"/>
  <c r="N43" i="2" a="1"/>
  <c r="N43" i="2" s="1"/>
  <c r="H42" i="2"/>
  <c r="O42" i="2" a="1"/>
  <c r="O42" i="2" s="1"/>
  <c r="H41" i="2"/>
  <c r="N41" i="2" a="1"/>
  <c r="N41" i="2" s="1"/>
  <c r="H40" i="2"/>
  <c r="N40" i="2" a="1"/>
  <c r="N40" i="2" s="1"/>
  <c r="H39" i="2"/>
  <c r="N39" i="2" a="1"/>
  <c r="N39" i="2" s="1"/>
  <c r="P39" i="2" s="1"/>
  <c r="R39" i="2" s="1" a="1"/>
  <c r="R39" i="2" s="1"/>
  <c r="H38" i="2"/>
  <c r="N38" i="2" a="1"/>
  <c r="N38" i="2" s="1"/>
  <c r="H37" i="2"/>
  <c r="O37" i="2" a="1"/>
  <c r="O37" i="2" s="1"/>
  <c r="H36" i="2"/>
  <c r="O36" i="2" a="1"/>
  <c r="O36" i="2" s="1"/>
  <c r="H35" i="2"/>
  <c r="O35" i="2" a="1"/>
  <c r="O35" i="2" s="1"/>
  <c r="H34" i="2"/>
  <c r="N34" i="2" a="1"/>
  <c r="N34" i="2" s="1"/>
  <c r="H33" i="2"/>
  <c r="O33" i="2" a="1"/>
  <c r="O33" i="2" s="1"/>
  <c r="H32" i="2"/>
  <c r="O32" i="2" a="1"/>
  <c r="O32" i="2" s="1"/>
  <c r="H31" i="2"/>
  <c r="N31" i="2" a="1"/>
  <c r="N31" i="2" s="1"/>
  <c r="H30" i="2"/>
  <c r="N30" i="2" a="1"/>
  <c r="N30" i="2" s="1"/>
  <c r="H29" i="2"/>
  <c r="N29" i="2" a="1"/>
  <c r="N29" i="2" s="1"/>
  <c r="H28" i="2"/>
  <c r="N28" i="2" a="1"/>
  <c r="N28" i="2" s="1"/>
  <c r="H27" i="2"/>
  <c r="N27" i="2" a="1"/>
  <c r="N27" i="2" s="1"/>
  <c r="H26" i="2"/>
  <c r="N26" i="2" a="1"/>
  <c r="N26" i="2" s="1"/>
  <c r="H25" i="2"/>
  <c r="N25" i="2" a="1"/>
  <c r="N25" i="2" s="1"/>
  <c r="H24" i="2"/>
  <c r="H23" i="2"/>
  <c r="H22" i="2"/>
  <c r="N22" i="2" a="1"/>
  <c r="N22" i="2" s="1"/>
  <c r="H21" i="2"/>
  <c r="O21" i="2" a="1"/>
  <c r="O21" i="2" s="1"/>
  <c r="H20" i="2"/>
  <c r="N20" i="2" a="1"/>
  <c r="N20" i="2" s="1"/>
  <c r="H19" i="2"/>
  <c r="N19" i="2" a="1"/>
  <c r="N19" i="2" s="1"/>
  <c r="P19" i="2" s="1"/>
  <c r="Q19" i="2" s="1" a="1"/>
  <c r="Q19" i="2" s="1"/>
  <c r="H18" i="2"/>
  <c r="N18" i="2" a="1"/>
  <c r="N18" i="2" s="1"/>
  <c r="H17" i="2"/>
  <c r="O17" i="2" a="1"/>
  <c r="O17" i="2" s="1"/>
  <c r="H16" i="2"/>
  <c r="O16" i="2" a="1"/>
  <c r="O16" i="2" s="1"/>
  <c r="H15" i="2"/>
  <c r="N15" i="2" a="1"/>
  <c r="N15" i="2" s="1"/>
  <c r="H14" i="2"/>
  <c r="N14" i="2" a="1"/>
  <c r="N14" i="2" s="1"/>
  <c r="H13" i="2"/>
  <c r="N13" i="2" a="1"/>
  <c r="N13" i="2" s="1"/>
  <c r="H12" i="2"/>
  <c r="O25" i="2" a="1"/>
  <c r="O25" i="2" s="1"/>
  <c r="O26" i="2" a="1"/>
  <c r="O26" i="2" s="1"/>
  <c r="N99" i="2" a="1"/>
  <c r="N99" i="2" s="1"/>
  <c r="O44" i="2" a="1"/>
  <c r="O44" i="2" s="1"/>
  <c r="O52" i="2" a="1"/>
  <c r="O52" i="2" s="1"/>
  <c r="O51" i="2" a="1"/>
  <c r="O51" i="2" s="1"/>
  <c r="N68" i="2" a="1"/>
  <c r="N68" i="2" s="1"/>
  <c r="N100" i="2" a="1"/>
  <c r="N100" i="2" s="1"/>
  <c r="O101" i="2" a="1"/>
  <c r="O101" i="2" s="1"/>
  <c r="N36" i="2" a="1"/>
  <c r="N36" i="2" s="1"/>
  <c r="N67" i="2" a="1"/>
  <c r="N67" i="2" s="1"/>
  <c r="N35" i="2" a="1"/>
  <c r="N35" i="2" s="1"/>
  <c r="O84" i="2" a="1"/>
  <c r="O84" i="2" s="1"/>
  <c r="O83" i="2" a="1"/>
  <c r="O83" i="2" s="1"/>
  <c r="O20" i="2" a="1"/>
  <c r="O20" i="2" s="1"/>
  <c r="O54" i="2" a="1"/>
  <c r="O54" i="2" s="1"/>
  <c r="O22" i="2" a="1"/>
  <c r="O22" i="2" s="1"/>
  <c r="O53" i="2" a="1"/>
  <c r="O53" i="2" s="1"/>
  <c r="O85" i="2" a="1"/>
  <c r="O85" i="2" s="1"/>
  <c r="N102" i="2" a="1"/>
  <c r="N102" i="2" s="1"/>
  <c r="N37" i="2" a="1"/>
  <c r="N37" i="2" s="1"/>
  <c r="O70" i="2" a="1"/>
  <c r="O70" i="2" s="1"/>
  <c r="N21" i="2" a="1"/>
  <c r="N21" i="2" s="1"/>
  <c r="O38" i="2" a="1"/>
  <c r="O38" i="2" s="1"/>
  <c r="O69" i="2" a="1"/>
  <c r="O69" i="2" s="1"/>
  <c r="O86" i="2" a="1"/>
  <c r="O86" i="2" s="1"/>
  <c r="N58" i="2" a="1"/>
  <c r="N58" i="2" s="1"/>
  <c r="O43" i="2" a="1"/>
  <c r="O43" i="2" s="1"/>
  <c r="N57" i="2" a="1"/>
  <c r="N57" i="2" s="1"/>
  <c r="N56" i="2" a="1"/>
  <c r="N56" i="2" s="1"/>
  <c r="O92" i="2" a="1"/>
  <c r="O92" i="2" s="1"/>
  <c r="O91" i="2" a="1"/>
  <c r="O91" i="2" s="1"/>
  <c r="N90" i="2" a="1"/>
  <c r="N90" i="2" s="1"/>
  <c r="N89" i="2" a="1"/>
  <c r="N89" i="2" s="1"/>
  <c r="O88" i="2" a="1"/>
  <c r="O88" i="2" s="1"/>
  <c r="O27" i="2" a="1"/>
  <c r="O27" i="2" s="1"/>
  <c r="O18" i="2" a="1"/>
  <c r="O18" i="2" s="1"/>
  <c r="O76" i="2" a="1"/>
  <c r="O76" i="2" s="1"/>
  <c r="N42" i="2" a="1"/>
  <c r="N42" i="2" s="1"/>
  <c r="O75" i="2" a="1"/>
  <c r="O75" i="2" s="1"/>
  <c r="O60" i="2" a="1"/>
  <c r="O60" i="2" s="1"/>
  <c r="O59" i="2" a="1"/>
  <c r="O59" i="2" s="1"/>
  <c r="N66" i="2" a="1"/>
  <c r="N66" i="2" s="1"/>
  <c r="N97" i="2" a="1"/>
  <c r="N97" i="2" s="1"/>
  <c r="N49" i="2" a="1"/>
  <c r="N49" i="2" s="1"/>
  <c r="N65" i="2" a="1"/>
  <c r="N65" i="2" s="1"/>
  <c r="N81" i="2" a="1"/>
  <c r="N81" i="2" s="1"/>
  <c r="O34" i="2" a="1"/>
  <c r="O34" i="2" s="1"/>
  <c r="O98" i="2" a="1"/>
  <c r="O98" i="2" s="1"/>
  <c r="O82" i="2" a="1"/>
  <c r="O82" i="2" s="1"/>
  <c r="O50" i="2" a="1"/>
  <c r="O50" i="2" s="1"/>
  <c r="O31" i="2" a="1"/>
  <c r="O31" i="2" s="1"/>
  <c r="O95" i="2" a="1"/>
  <c r="O95" i="2" s="1"/>
  <c r="O79" i="2" a="1"/>
  <c r="O79" i="2" s="1"/>
  <c r="O63" i="2" a="1"/>
  <c r="O63" i="2" s="1"/>
  <c r="O47" i="2" a="1"/>
  <c r="O47" i="2" s="1"/>
  <c r="O30" i="2" a="1"/>
  <c r="O30" i="2" s="1"/>
  <c r="N33" i="2" a="1"/>
  <c r="N33" i="2" s="1"/>
  <c r="O94" i="2" a="1"/>
  <c r="O94" i="2" s="1"/>
  <c r="O78" i="2" a="1"/>
  <c r="O78" i="2" s="1"/>
  <c r="O62" i="2" a="1"/>
  <c r="O62" i="2" s="1"/>
  <c r="O46" i="2" a="1"/>
  <c r="O46" i="2" s="1"/>
  <c r="O29" i="2" a="1"/>
  <c r="O29" i="2" s="1"/>
  <c r="O93" i="2" a="1"/>
  <c r="O93" i="2" s="1"/>
  <c r="O77" i="2" a="1"/>
  <c r="O77" i="2" s="1"/>
  <c r="O61" i="2" a="1"/>
  <c r="O61" i="2" s="1"/>
  <c r="O45" i="2" a="1"/>
  <c r="O45" i="2" s="1"/>
  <c r="O28" i="2" a="1"/>
  <c r="O28" i="2" s="1"/>
  <c r="N17" i="2" a="1"/>
  <c r="N17" i="2" s="1"/>
  <c r="O14" i="2" a="1"/>
  <c r="O14" i="2" s="1"/>
  <c r="O15" i="2" a="1"/>
  <c r="O15" i="2" s="1"/>
  <c r="O13" i="2" a="1"/>
  <c r="O13" i="2" s="1"/>
  <c r="N96" i="2" a="1"/>
  <c r="N96" i="2" s="1"/>
  <c r="N80" i="2" a="1"/>
  <c r="N80" i="2" s="1"/>
  <c r="N64" i="2" a="1"/>
  <c r="N64" i="2" s="1"/>
  <c r="N48" i="2" a="1"/>
  <c r="N48" i="2" s="1"/>
  <c r="N32" i="2" a="1"/>
  <c r="N32" i="2" s="1"/>
  <c r="N16" i="2" a="1"/>
  <c r="N16" i="2" s="1"/>
  <c r="O6" i="2" a="1"/>
  <c r="O6" i="2" s="1"/>
  <c r="O9" i="2" a="1"/>
  <c r="O9" i="2" s="1"/>
  <c r="O7" i="2" a="1"/>
  <c r="O7" i="2" s="1"/>
  <c r="O12" i="2" a="1"/>
  <c r="O12" i="2" s="1"/>
  <c r="O11" i="2" a="1"/>
  <c r="O11" i="2" s="1"/>
  <c r="O10" i="2" a="1"/>
  <c r="O10" i="2" s="1"/>
  <c r="O8" i="2" a="1"/>
  <c r="O8" i="2" s="1"/>
  <c r="N6" i="2" a="1"/>
  <c r="N6" i="2" s="1"/>
  <c r="N11" i="2" a="1"/>
  <c r="N11" i="2" s="1"/>
  <c r="N12" i="2" a="1"/>
  <c r="N12" i="2" s="1"/>
  <c r="N7" i="2" a="1"/>
  <c r="N7" i="2" s="1"/>
  <c r="N8" i="2" a="1"/>
  <c r="N8" i="2" s="1"/>
  <c r="N9" i="2" a="1"/>
  <c r="N9" i="2" s="1"/>
  <c r="N10" i="2" a="1"/>
  <c r="N10" i="2" s="1"/>
  <c r="P106" i="2" l="1"/>
  <c r="Q106" i="2" s="1" a="1"/>
  <c r="Q106" i="2" s="1"/>
  <c r="P103" i="2"/>
  <c r="R103" i="2" s="1" a="1"/>
  <c r="R103" i="2" s="1"/>
  <c r="P55" i="2"/>
  <c r="Q55" i="2" s="1" a="1"/>
  <c r="Q55" i="2" s="1"/>
  <c r="Q275" i="2" a="1"/>
  <c r="Q275" i="2" s="1"/>
  <c r="P23" i="2"/>
  <c r="Q23" i="2" s="1" a="1"/>
  <c r="Q23" i="2" s="1"/>
  <c r="P108" i="2"/>
  <c r="R108" i="2" s="1" a="1"/>
  <c r="R108" i="2" s="1"/>
  <c r="P71" i="2"/>
  <c r="Q71" i="2" s="1" a="1"/>
  <c r="Q71" i="2" s="1"/>
  <c r="P87" i="2"/>
  <c r="Q87" i="2" s="1" a="1"/>
  <c r="Q87" i="2" s="1"/>
  <c r="P24" i="2"/>
  <c r="R24" i="2" s="1" a="1"/>
  <c r="R24" i="2" s="1"/>
  <c r="R275" i="2" a="1"/>
  <c r="R275" i="2" s="1"/>
  <c r="P102" i="2"/>
  <c r="R102" i="2" s="1" a="1"/>
  <c r="R102" i="2" s="1"/>
  <c r="P49" i="2"/>
  <c r="R49" i="2" s="1" a="1"/>
  <c r="R49" i="2" s="1"/>
  <c r="P96" i="2"/>
  <c r="Q96" i="2" s="1" a="1"/>
  <c r="Q96" i="2" s="1"/>
  <c r="P41" i="2"/>
  <c r="Q41" i="2" s="1" a="1"/>
  <c r="Q41" i="2" s="1"/>
  <c r="R236" i="2" a="1"/>
  <c r="R236" i="2" s="1"/>
  <c r="R314" i="2" a="1"/>
  <c r="R314" i="2" s="1"/>
  <c r="Q236" i="2" a="1"/>
  <c r="Q236" i="2" s="1"/>
  <c r="R300" i="2" a="1"/>
  <c r="R300" i="2" s="1"/>
  <c r="Q109" i="2" a="1"/>
  <c r="Q109" i="2" s="1"/>
  <c r="P64" i="2"/>
  <c r="Q64" i="2" s="1" a="1"/>
  <c r="Q64" i="2" s="1"/>
  <c r="P72" i="2"/>
  <c r="Q72" i="2" s="1" a="1"/>
  <c r="Q72" i="2" s="1"/>
  <c r="O59" i="10"/>
  <c r="O55" i="10"/>
  <c r="O51" i="10"/>
  <c r="O47" i="10"/>
  <c r="O43" i="10"/>
  <c r="O39" i="10"/>
  <c r="O35" i="10"/>
  <c r="O31" i="10"/>
  <c r="O27" i="10"/>
  <c r="O23" i="10"/>
  <c r="O19" i="10"/>
  <c r="O15" i="10"/>
  <c r="O11" i="10"/>
  <c r="O7" i="10"/>
  <c r="P40" i="2"/>
  <c r="R40" i="2" s="1" a="1"/>
  <c r="R40" i="2" s="1"/>
  <c r="S300" i="2"/>
  <c r="T300" i="2" s="1" a="1"/>
  <c r="T300" i="2" s="1"/>
  <c r="G87" i="10"/>
  <c r="G83" i="10"/>
  <c r="G79" i="10"/>
  <c r="G75" i="10"/>
  <c r="G71" i="10"/>
  <c r="G67" i="10"/>
  <c r="G15" i="10"/>
  <c r="G11" i="10"/>
  <c r="G7" i="10"/>
  <c r="P74" i="2"/>
  <c r="Q74" i="2" s="1" a="1"/>
  <c r="Q74" i="2" s="1"/>
  <c r="O58" i="10"/>
  <c r="O54" i="10"/>
  <c r="O50" i="10"/>
  <c r="O46" i="10"/>
  <c r="O42" i="10"/>
  <c r="O38" i="10"/>
  <c r="O34" i="10"/>
  <c r="O30" i="10"/>
  <c r="O26" i="10"/>
  <c r="O22" i="10"/>
  <c r="O18" i="10"/>
  <c r="O14" i="10"/>
  <c r="O10" i="10"/>
  <c r="S209" i="2"/>
  <c r="T209" i="2" s="1" a="1"/>
  <c r="T209" i="2" s="1"/>
  <c r="G66" i="10"/>
  <c r="G62" i="10"/>
  <c r="G58" i="10"/>
  <c r="G54" i="10"/>
  <c r="G50" i="10"/>
  <c r="G46" i="10"/>
  <c r="G42" i="10"/>
  <c r="G38" i="10"/>
  <c r="G34" i="10"/>
  <c r="G30" i="10"/>
  <c r="G26" i="10"/>
  <c r="G22" i="10"/>
  <c r="G18" i="10"/>
  <c r="G14" i="10"/>
  <c r="O57" i="10"/>
  <c r="O53" i="10"/>
  <c r="O49" i="10"/>
  <c r="O45" i="10"/>
  <c r="O41" i="10"/>
  <c r="O37" i="10"/>
  <c r="O33" i="10"/>
  <c r="O29" i="10"/>
  <c r="O25" i="10"/>
  <c r="O21" i="10"/>
  <c r="O17" i="10"/>
  <c r="O13" i="10"/>
  <c r="O9" i="10"/>
  <c r="V4" i="12"/>
  <c r="G89" i="10"/>
  <c r="G85" i="10"/>
  <c r="G81" i="10"/>
  <c r="G77" i="10"/>
  <c r="G73" i="10"/>
  <c r="G69" i="10"/>
  <c r="G9" i="10"/>
  <c r="N4" i="12"/>
  <c r="O4" i="12" s="1"/>
  <c r="Q185" i="2" a="1"/>
  <c r="Q185" i="2" s="1"/>
  <c r="Q104" i="2" a="1"/>
  <c r="Q104" i="2" s="1"/>
  <c r="G88" i="10"/>
  <c r="G84" i="10"/>
  <c r="G80" i="10"/>
  <c r="G76" i="10"/>
  <c r="G72" i="10"/>
  <c r="G68" i="10"/>
  <c r="G64" i="10"/>
  <c r="G60" i="10"/>
  <c r="G56" i="10"/>
  <c r="G52" i="10"/>
  <c r="G48" i="10"/>
  <c r="G44" i="10"/>
  <c r="G40" i="10"/>
  <c r="G36" i="10"/>
  <c r="G32" i="10"/>
  <c r="G28" i="10"/>
  <c r="G24" i="10"/>
  <c r="G20" i="10"/>
  <c r="G16" i="10"/>
  <c r="G12" i="10"/>
  <c r="G8" i="10"/>
  <c r="P56" i="2"/>
  <c r="R56" i="2" s="1" a="1"/>
  <c r="R56" i="2" s="1"/>
  <c r="Q239" i="2" a="1"/>
  <c r="Q239" i="2" s="1"/>
  <c r="O88" i="10"/>
  <c r="O84" i="10"/>
  <c r="O80" i="10"/>
  <c r="O76" i="10"/>
  <c r="O72" i="10"/>
  <c r="O68" i="10"/>
  <c r="O63" i="10"/>
  <c r="O86" i="10"/>
  <c r="O82" i="10"/>
  <c r="O78" i="10"/>
  <c r="O74" i="10"/>
  <c r="O70" i="10"/>
  <c r="O62" i="10"/>
  <c r="O89" i="10"/>
  <c r="O85" i="10"/>
  <c r="O81" i="10"/>
  <c r="O77" i="10"/>
  <c r="O73" i="10"/>
  <c r="O69" i="10"/>
  <c r="O65" i="10"/>
  <c r="O61" i="10"/>
  <c r="O64" i="10"/>
  <c r="O60" i="10"/>
  <c r="O56" i="10"/>
  <c r="O52" i="10"/>
  <c r="O48" i="10"/>
  <c r="O44" i="10"/>
  <c r="O40" i="10"/>
  <c r="O36" i="10"/>
  <c r="O32" i="10"/>
  <c r="O28" i="10"/>
  <c r="O24" i="10"/>
  <c r="O20" i="10"/>
  <c r="O16" i="10"/>
  <c r="O12" i="10"/>
  <c r="O8" i="10"/>
  <c r="O87" i="10"/>
  <c r="O83" i="10"/>
  <c r="O79" i="10"/>
  <c r="O75" i="10"/>
  <c r="O71" i="10"/>
  <c r="O67" i="10"/>
  <c r="G63" i="10"/>
  <c r="G59" i="10"/>
  <c r="G55" i="10"/>
  <c r="G51" i="10"/>
  <c r="G47" i="10"/>
  <c r="G43" i="10"/>
  <c r="G39" i="10"/>
  <c r="G35" i="10"/>
  <c r="G31" i="10"/>
  <c r="G27" i="10"/>
  <c r="O66" i="10"/>
  <c r="G86" i="10"/>
  <c r="G82" i="10"/>
  <c r="G78" i="10"/>
  <c r="G74" i="10"/>
  <c r="G70" i="10"/>
  <c r="G65" i="10"/>
  <c r="G61" i="10"/>
  <c r="G57" i="10"/>
  <c r="G53" i="10"/>
  <c r="G49" i="10"/>
  <c r="G45" i="10"/>
  <c r="G41" i="10"/>
  <c r="G37" i="10"/>
  <c r="G33" i="10"/>
  <c r="G29" i="10"/>
  <c r="G25" i="10"/>
  <c r="G21" i="10"/>
  <c r="G17" i="10"/>
  <c r="G13" i="10"/>
  <c r="G23" i="10"/>
  <c r="G19" i="10"/>
  <c r="G10" i="10"/>
  <c r="P26" i="2"/>
  <c r="R26" i="2" s="1" a="1"/>
  <c r="R26" i="2" s="1"/>
  <c r="P59" i="2"/>
  <c r="R59" i="2" s="1" a="1"/>
  <c r="R59" i="2" s="1"/>
  <c r="P85" i="2"/>
  <c r="P91" i="2"/>
  <c r="O6" i="10"/>
  <c r="G6" i="10"/>
  <c r="T356" i="2" a="1"/>
  <c r="T356" i="2" s="1"/>
  <c r="U356" i="2" a="1"/>
  <c r="U356" i="2" s="1"/>
  <c r="T397" i="2" a="1"/>
  <c r="T397" i="2" s="1"/>
  <c r="U397" i="2" a="1"/>
  <c r="U397" i="2" s="1"/>
  <c r="T251" i="2" a="1"/>
  <c r="T251" i="2" s="1"/>
  <c r="U251" i="2" a="1"/>
  <c r="U251" i="2" s="1"/>
  <c r="T316" i="2" a="1"/>
  <c r="T316" i="2" s="1"/>
  <c r="U316" i="2" a="1"/>
  <c r="U316" i="2" s="1"/>
  <c r="T393" i="2" a="1"/>
  <c r="T393" i="2" s="1"/>
  <c r="U393" i="2" a="1"/>
  <c r="U393" i="2" s="1"/>
  <c r="T267" i="2" a="1"/>
  <c r="T267" i="2" s="1"/>
  <c r="U267" i="2" a="1"/>
  <c r="U267" i="2" s="1"/>
  <c r="T370" i="2" a="1"/>
  <c r="T370" i="2" s="1"/>
  <c r="U370" i="2" a="1"/>
  <c r="U370" i="2" s="1"/>
  <c r="T252" i="2" a="1"/>
  <c r="T252" i="2" s="1"/>
  <c r="U252" i="2" a="1"/>
  <c r="U252" i="2" s="1"/>
  <c r="T214" i="2" a="1"/>
  <c r="T214" i="2" s="1"/>
  <c r="U214" i="2" a="1"/>
  <c r="U214" i="2" s="1"/>
  <c r="T350" i="2" a="1"/>
  <c r="T350" i="2" s="1"/>
  <c r="U350" i="2" a="1"/>
  <c r="U350" i="2" s="1"/>
  <c r="T394" i="2" a="1"/>
  <c r="T394" i="2" s="1"/>
  <c r="U394" i="2" a="1"/>
  <c r="U394" i="2" s="1"/>
  <c r="T221" i="2" a="1"/>
  <c r="T221" i="2" s="1"/>
  <c r="U221" i="2" a="1"/>
  <c r="U221" i="2" s="1"/>
  <c r="T261" i="2" a="1"/>
  <c r="T261" i="2" s="1"/>
  <c r="U261" i="2" a="1"/>
  <c r="U261" i="2" s="1"/>
  <c r="T357" i="2" a="1"/>
  <c r="T357" i="2" s="1"/>
  <c r="U357" i="2" a="1"/>
  <c r="U357" i="2" s="1"/>
  <c r="T363" i="2" a="1"/>
  <c r="T363" i="2" s="1"/>
  <c r="U363" i="2" a="1"/>
  <c r="U363" i="2" s="1"/>
  <c r="T398" i="2" a="1"/>
  <c r="T398" i="2" s="1"/>
  <c r="U398" i="2" a="1"/>
  <c r="U398" i="2" s="1"/>
  <c r="T330" i="2" a="1"/>
  <c r="T330" i="2" s="1"/>
  <c r="U330" i="2" a="1"/>
  <c r="U330" i="2" s="1"/>
  <c r="T132" i="2" a="1"/>
  <c r="T132" i="2" s="1"/>
  <c r="U132" i="2" a="1"/>
  <c r="U132" i="2" s="1"/>
  <c r="T364" i="2" a="1"/>
  <c r="T364" i="2" s="1"/>
  <c r="U364" i="2" a="1"/>
  <c r="U364" i="2" s="1"/>
  <c r="T112" i="2" a="1"/>
  <c r="T112" i="2" s="1"/>
  <c r="U112" i="2" a="1"/>
  <c r="U112" i="2" s="1"/>
  <c r="T174" i="2" a="1"/>
  <c r="T174" i="2" s="1"/>
  <c r="U174" i="2" a="1"/>
  <c r="U174" i="2" s="1"/>
  <c r="T310" i="2" a="1"/>
  <c r="T310" i="2" s="1"/>
  <c r="U310" i="2" a="1"/>
  <c r="U310" i="2" s="1"/>
  <c r="T140" i="2" a="1"/>
  <c r="T140" i="2" s="1"/>
  <c r="U140" i="2" a="1"/>
  <c r="U140" i="2" s="1"/>
  <c r="T290" i="2" a="1"/>
  <c r="T290" i="2" s="1"/>
  <c r="U290" i="2" a="1"/>
  <c r="U290" i="2" s="1"/>
  <c r="T373" i="2" a="1"/>
  <c r="T373" i="2" s="1"/>
  <c r="U373" i="2" a="1"/>
  <c r="U373" i="2" s="1"/>
  <c r="T299" i="2" a="1"/>
  <c r="T299" i="2" s="1"/>
  <c r="U299" i="2" a="1"/>
  <c r="U299" i="2" s="1"/>
  <c r="T286" i="2" a="1"/>
  <c r="T286" i="2" s="1"/>
  <c r="U286" i="2" a="1"/>
  <c r="U286" i="2" s="1"/>
  <c r="T334" i="2" a="1"/>
  <c r="T334" i="2" s="1"/>
  <c r="U334" i="2" a="1"/>
  <c r="U334" i="2" s="1"/>
  <c r="T186" i="2" a="1"/>
  <c r="T186" i="2" s="1"/>
  <c r="U186" i="2" a="1"/>
  <c r="U186" i="2" s="1"/>
  <c r="T309" i="2" a="1"/>
  <c r="T309" i="2" s="1"/>
  <c r="U309" i="2" a="1"/>
  <c r="U309" i="2" s="1"/>
  <c r="T303" i="2" a="1"/>
  <c r="T303" i="2" s="1"/>
  <c r="U303" i="2" a="1"/>
  <c r="U303" i="2" s="1"/>
  <c r="T232" i="2" a="1"/>
  <c r="T232" i="2" s="1"/>
  <c r="U232" i="2" a="1"/>
  <c r="U232" i="2" s="1"/>
  <c r="T382" i="2" a="1"/>
  <c r="T382" i="2" s="1"/>
  <c r="U382" i="2" a="1"/>
  <c r="U382" i="2" s="1"/>
  <c r="T292" i="2" a="1"/>
  <c r="T292" i="2" s="1"/>
  <c r="U292" i="2" a="1"/>
  <c r="U292" i="2" s="1"/>
  <c r="T236" i="2" a="1"/>
  <c r="T236" i="2" s="1"/>
  <c r="U236" i="2" a="1"/>
  <c r="U236" i="2" s="1"/>
  <c r="T201" i="2" a="1"/>
  <c r="T201" i="2" s="1"/>
  <c r="U201" i="2" a="1"/>
  <c r="U201" i="2" s="1"/>
  <c r="T332" i="2" a="1"/>
  <c r="T332" i="2" s="1"/>
  <c r="U332" i="2" a="1"/>
  <c r="U332" i="2" s="1"/>
  <c r="T226" i="2" a="1"/>
  <c r="T226" i="2" s="1"/>
  <c r="U226" i="2" a="1"/>
  <c r="U226" i="2" s="1"/>
  <c r="T266" i="2" a="1"/>
  <c r="T266" i="2" s="1"/>
  <c r="U266" i="2" a="1"/>
  <c r="U266" i="2" s="1"/>
  <c r="T293" i="2" a="1"/>
  <c r="T293" i="2" s="1"/>
  <c r="U293" i="2" a="1"/>
  <c r="U293" i="2" s="1"/>
  <c r="T306" i="2" a="1"/>
  <c r="T306" i="2" s="1"/>
  <c r="U306" i="2" a="1"/>
  <c r="U306" i="2" s="1"/>
  <c r="T347" i="2" a="1"/>
  <c r="T347" i="2" s="1"/>
  <c r="U347" i="2" a="1"/>
  <c r="U347" i="2" s="1"/>
  <c r="T227" i="2" a="1"/>
  <c r="T227" i="2" s="1"/>
  <c r="U227" i="2" a="1"/>
  <c r="U227" i="2" s="1"/>
  <c r="T253" i="2" a="1"/>
  <c r="T253" i="2" s="1"/>
  <c r="U253" i="2" a="1"/>
  <c r="U253" i="2" s="1"/>
  <c r="T349" i="2" a="1"/>
  <c r="T349" i="2" s="1"/>
  <c r="U349" i="2" a="1"/>
  <c r="U349" i="2" s="1"/>
  <c r="T283" i="2" a="1"/>
  <c r="T283" i="2" s="1"/>
  <c r="U283" i="2" a="1"/>
  <c r="U283" i="2" s="1"/>
  <c r="T348" i="2" a="1"/>
  <c r="T348" i="2" s="1"/>
  <c r="U348" i="2" a="1"/>
  <c r="U348" i="2" s="1"/>
  <c r="T395" i="2" a="1"/>
  <c r="T395" i="2" s="1"/>
  <c r="U395" i="2" a="1"/>
  <c r="U395" i="2" s="1"/>
  <c r="T200" i="2" a="1"/>
  <c r="T200" i="2" s="1"/>
  <c r="U200" i="2" a="1"/>
  <c r="U200" i="2" s="1"/>
  <c r="T228" i="2" a="1"/>
  <c r="T228" i="2" s="1"/>
  <c r="U228" i="2" a="1"/>
  <c r="U228" i="2" s="1"/>
  <c r="T284" i="2" a="1"/>
  <c r="T284" i="2" s="1"/>
  <c r="U284" i="2" a="1"/>
  <c r="U284" i="2" s="1"/>
  <c r="T331" i="2" a="1"/>
  <c r="T331" i="2" s="1"/>
  <c r="U331" i="2" a="1"/>
  <c r="U331" i="2" s="1"/>
  <c r="T172" i="2" a="1"/>
  <c r="T172" i="2" s="1"/>
  <c r="U172" i="2" a="1"/>
  <c r="U172" i="2" s="1"/>
  <c r="T187" i="2" a="1"/>
  <c r="T187" i="2" s="1"/>
  <c r="U187" i="2" a="1"/>
  <c r="U187" i="2" s="1"/>
  <c r="T229" i="2" a="1"/>
  <c r="T229" i="2" s="1"/>
  <c r="U229" i="2" a="1"/>
  <c r="U229" i="2" s="1"/>
  <c r="T242" i="2" a="1"/>
  <c r="T242" i="2" s="1"/>
  <c r="U242" i="2" a="1"/>
  <c r="U242" i="2" s="1"/>
  <c r="T178" i="2" a="1"/>
  <c r="T178" i="2" s="1"/>
  <c r="U178" i="2" a="1"/>
  <c r="U178" i="2" s="1"/>
  <c r="T268" i="2" a="1"/>
  <c r="T268" i="2" s="1"/>
  <c r="U268" i="2" a="1"/>
  <c r="U268" i="2" s="1"/>
  <c r="T368" i="2" a="1"/>
  <c r="T368" i="2" s="1"/>
  <c r="U368" i="2" a="1"/>
  <c r="U368" i="2" s="1"/>
  <c r="T408" i="2" a="1"/>
  <c r="T408" i="2" s="1"/>
  <c r="U408" i="2" a="1"/>
  <c r="U408" i="2" s="1"/>
  <c r="T113" i="2" a="1"/>
  <c r="T113" i="2" s="1"/>
  <c r="U113" i="2" a="1"/>
  <c r="U113" i="2" s="1"/>
  <c r="T127" i="2" a="1"/>
  <c r="T127" i="2" s="1"/>
  <c r="U127" i="2" a="1"/>
  <c r="U127" i="2" s="1"/>
  <c r="T141" i="2" a="1"/>
  <c r="T141" i="2" s="1"/>
  <c r="U141" i="2" a="1"/>
  <c r="U141" i="2" s="1"/>
  <c r="T157" i="2" a="1"/>
  <c r="T157" i="2" s="1"/>
  <c r="U157" i="2" a="1"/>
  <c r="U157" i="2" s="1"/>
  <c r="T173" i="2" a="1"/>
  <c r="T173" i="2" s="1"/>
  <c r="U173" i="2" a="1"/>
  <c r="U173" i="2" s="1"/>
  <c r="T203" i="2" a="1"/>
  <c r="T203" i="2" s="1"/>
  <c r="U203" i="2" a="1"/>
  <c r="U203" i="2" s="1"/>
  <c r="T216" i="2" a="1"/>
  <c r="T216" i="2" s="1"/>
  <c r="U216" i="2" a="1"/>
  <c r="U216" i="2" s="1"/>
  <c r="T325" i="2" a="1"/>
  <c r="T325" i="2" s="1"/>
  <c r="U325" i="2" a="1"/>
  <c r="U325" i="2" s="1"/>
  <c r="T381" i="2" a="1"/>
  <c r="T381" i="2" s="1"/>
  <c r="U381" i="2" a="1"/>
  <c r="U381" i="2" s="1"/>
  <c r="T180" i="2" a="1"/>
  <c r="T180" i="2" s="1"/>
  <c r="U180" i="2" a="1"/>
  <c r="U180" i="2" s="1"/>
  <c r="T379" i="2" a="1"/>
  <c r="T379" i="2" s="1"/>
  <c r="U379" i="2" a="1"/>
  <c r="U379" i="2" s="1"/>
  <c r="T189" i="2" a="1"/>
  <c r="T189" i="2" s="1"/>
  <c r="U189" i="2" a="1"/>
  <c r="U189" i="2" s="1"/>
  <c r="T354" i="2" a="1"/>
  <c r="T354" i="2" s="1"/>
  <c r="U354" i="2" a="1"/>
  <c r="U354" i="2" s="1"/>
  <c r="T367" i="2" a="1"/>
  <c r="T367" i="2" s="1"/>
  <c r="U367" i="2" a="1"/>
  <c r="U367" i="2" s="1"/>
  <c r="T154" i="2" a="1"/>
  <c r="T154" i="2" s="1"/>
  <c r="U154" i="2" a="1"/>
  <c r="U154" i="2" s="1"/>
  <c r="T184" i="2" a="1"/>
  <c r="T184" i="2" s="1"/>
  <c r="U184" i="2" a="1"/>
  <c r="U184" i="2" s="1"/>
  <c r="T380" i="2" a="1"/>
  <c r="T380" i="2" s="1"/>
  <c r="U380" i="2" a="1"/>
  <c r="U380" i="2" s="1"/>
  <c r="T115" i="2" a="1"/>
  <c r="T115" i="2" s="1"/>
  <c r="U115" i="2" a="1"/>
  <c r="U115" i="2" s="1"/>
  <c r="T143" i="2" a="1"/>
  <c r="T143" i="2" s="1"/>
  <c r="U143" i="2" a="1"/>
  <c r="U143" i="2" s="1"/>
  <c r="T285" i="2" a="1"/>
  <c r="T285" i="2" s="1"/>
  <c r="U285" i="2" a="1"/>
  <c r="U285" i="2" s="1"/>
  <c r="T355" i="2" a="1"/>
  <c r="T355" i="2" s="1"/>
  <c r="U355" i="2" a="1"/>
  <c r="U355" i="2" s="1"/>
  <c r="T156" i="2" a="1"/>
  <c r="T156" i="2" s="1"/>
  <c r="U156" i="2" a="1"/>
  <c r="U156" i="2" s="1"/>
  <c r="T317" i="2" a="1"/>
  <c r="T317" i="2" s="1"/>
  <c r="U317" i="2" a="1"/>
  <c r="U317" i="2" s="1"/>
  <c r="T396" i="2" a="1"/>
  <c r="T396" i="2" s="1"/>
  <c r="U396" i="2" a="1"/>
  <c r="U396" i="2" s="1"/>
  <c r="T129" i="2" a="1"/>
  <c r="T129" i="2" s="1"/>
  <c r="U129" i="2" a="1"/>
  <c r="U129" i="2" s="1"/>
  <c r="T318" i="2" a="1"/>
  <c r="T318" i="2" s="1"/>
  <c r="U318" i="2" a="1"/>
  <c r="U318" i="2" s="1"/>
  <c r="T254" i="2" a="1"/>
  <c r="T254" i="2" s="1"/>
  <c r="U254" i="2" a="1"/>
  <c r="U254" i="2" s="1"/>
  <c r="T159" i="2" a="1"/>
  <c r="T159" i="2" s="1"/>
  <c r="U159" i="2" a="1"/>
  <c r="U159" i="2" s="1"/>
  <c r="T298" i="2" a="1"/>
  <c r="T298" i="2" s="1"/>
  <c r="U298" i="2" a="1"/>
  <c r="U298" i="2" s="1"/>
  <c r="T280" i="2" a="1"/>
  <c r="T280" i="2" s="1"/>
  <c r="U280" i="2" a="1"/>
  <c r="U280" i="2" s="1"/>
  <c r="T192" i="2" a="1"/>
  <c r="T192" i="2" s="1"/>
  <c r="U192" i="2" a="1"/>
  <c r="U192" i="2" s="1"/>
  <c r="T387" i="2" a="1"/>
  <c r="T387" i="2" s="1"/>
  <c r="U387" i="2" a="1"/>
  <c r="U387" i="2" s="1"/>
  <c r="T365" i="2" a="1"/>
  <c r="T365" i="2" s="1"/>
  <c r="U365" i="2" a="1"/>
  <c r="U365" i="2" s="1"/>
  <c r="T341" i="2" a="1"/>
  <c r="T341" i="2" s="1"/>
  <c r="U341" i="2" a="1"/>
  <c r="U341" i="2" s="1"/>
  <c r="T392" i="2" a="1"/>
  <c r="T392" i="2" s="1"/>
  <c r="U392" i="2" a="1"/>
  <c r="U392" i="2" s="1"/>
  <c r="T405" i="2" a="1"/>
  <c r="T405" i="2" s="1"/>
  <c r="U405" i="2" a="1"/>
  <c r="U405" i="2" s="1"/>
  <c r="T351" i="2" a="1"/>
  <c r="T351" i="2" s="1"/>
  <c r="U351" i="2" a="1"/>
  <c r="U351" i="2" s="1"/>
  <c r="T323" i="2" a="1"/>
  <c r="T323" i="2" s="1"/>
  <c r="U323" i="2" a="1"/>
  <c r="U323" i="2" s="1"/>
  <c r="T337" i="2" a="1"/>
  <c r="T337" i="2" s="1"/>
  <c r="U337" i="2" a="1"/>
  <c r="U337" i="2" s="1"/>
  <c r="T390" i="2" a="1"/>
  <c r="T390" i="2" s="1"/>
  <c r="U390" i="2" a="1"/>
  <c r="U390" i="2" s="1"/>
  <c r="T202" i="2" a="1"/>
  <c r="T202" i="2" s="1"/>
  <c r="U202" i="2" a="1"/>
  <c r="U202" i="2" s="1"/>
  <c r="T170" i="2" a="1"/>
  <c r="T170" i="2" s="1"/>
  <c r="U170" i="2" a="1"/>
  <c r="U170" i="2" s="1"/>
  <c r="T308" i="2" a="1"/>
  <c r="T308" i="2" s="1"/>
  <c r="U308" i="2" a="1"/>
  <c r="U308" i="2" s="1"/>
  <c r="T155" i="2" a="1"/>
  <c r="T155" i="2" s="1"/>
  <c r="U155" i="2" a="1"/>
  <c r="U155" i="2" s="1"/>
  <c r="T171" i="2" a="1"/>
  <c r="T171" i="2" s="1"/>
  <c r="U171" i="2" a="1"/>
  <c r="U171" i="2" s="1"/>
  <c r="T238" i="2" a="1"/>
  <c r="T238" i="2" s="1"/>
  <c r="U238" i="2" a="1"/>
  <c r="U238" i="2" s="1"/>
  <c r="T294" i="2" a="1"/>
  <c r="T294" i="2" s="1"/>
  <c r="U294" i="2" a="1"/>
  <c r="U294" i="2" s="1"/>
  <c r="T188" i="2" a="1"/>
  <c r="T188" i="2" s="1"/>
  <c r="U188" i="2" a="1"/>
  <c r="U188" i="2" s="1"/>
  <c r="T205" i="2" a="1"/>
  <c r="T205" i="2" s="1"/>
  <c r="U205" i="2" a="1"/>
  <c r="U205" i="2" s="1"/>
  <c r="T269" i="2" a="1"/>
  <c r="T269" i="2" s="1"/>
  <c r="U269" i="2" a="1"/>
  <c r="U269" i="2" s="1"/>
  <c r="T125" i="2" a="1"/>
  <c r="T125" i="2" s="1"/>
  <c r="U125" i="2" a="1"/>
  <c r="U125" i="2" s="1"/>
  <c r="T142" i="2" a="1"/>
  <c r="T142" i="2" s="1"/>
  <c r="U142" i="2" a="1"/>
  <c r="U142" i="2" s="1"/>
  <c r="T158" i="2" a="1"/>
  <c r="T158" i="2" s="1"/>
  <c r="U158" i="2" a="1"/>
  <c r="U158" i="2" s="1"/>
  <c r="T190" i="2" a="1"/>
  <c r="T190" i="2" s="1"/>
  <c r="U190" i="2" a="1"/>
  <c r="U190" i="2" s="1"/>
  <c r="T222" i="2" a="1"/>
  <c r="T222" i="2" s="1"/>
  <c r="U222" i="2" a="1"/>
  <c r="U222" i="2" s="1"/>
  <c r="T111" i="2" a="1"/>
  <c r="T111" i="2" s="1"/>
  <c r="U111" i="2" a="1"/>
  <c r="U111" i="2" s="1"/>
  <c r="T175" i="2" a="1"/>
  <c r="T175" i="2" s="1"/>
  <c r="U175" i="2" a="1"/>
  <c r="U175" i="2" s="1"/>
  <c r="T191" i="2" a="1"/>
  <c r="T191" i="2" s="1"/>
  <c r="U191" i="2" a="1"/>
  <c r="U191" i="2" s="1"/>
  <c r="T255" i="2" a="1"/>
  <c r="T255" i="2" s="1"/>
  <c r="U255" i="2" a="1"/>
  <c r="U255" i="2" s="1"/>
  <c r="T271" i="2" a="1"/>
  <c r="T271" i="2" s="1"/>
  <c r="U271" i="2" a="1"/>
  <c r="U271" i="2" s="1"/>
  <c r="T287" i="2" a="1"/>
  <c r="T287" i="2" s="1"/>
  <c r="U287" i="2" a="1"/>
  <c r="U287" i="2" s="1"/>
  <c r="T128" i="2" a="1"/>
  <c r="T128" i="2" s="1"/>
  <c r="U128" i="2" a="1"/>
  <c r="U128" i="2" s="1"/>
  <c r="T144" i="2" a="1"/>
  <c r="T144" i="2" s="1"/>
  <c r="U144" i="2" a="1"/>
  <c r="U144" i="2" s="1"/>
  <c r="T160" i="2" a="1"/>
  <c r="T160" i="2" s="1"/>
  <c r="U160" i="2" a="1"/>
  <c r="U160" i="2" s="1"/>
  <c r="T176" i="2" a="1"/>
  <c r="T176" i="2" s="1"/>
  <c r="U176" i="2" a="1"/>
  <c r="U176" i="2" s="1"/>
  <c r="T208" i="2" a="1"/>
  <c r="T208" i="2" s="1"/>
  <c r="U208" i="2" a="1"/>
  <c r="U208" i="2" s="1"/>
  <c r="T256" i="2" a="1"/>
  <c r="T256" i="2" s="1"/>
  <c r="U256" i="2" a="1"/>
  <c r="U256" i="2" s="1"/>
  <c r="T272" i="2" a="1"/>
  <c r="T272" i="2" s="1"/>
  <c r="U272" i="2" a="1"/>
  <c r="U272" i="2" s="1"/>
  <c r="T352" i="2" a="1"/>
  <c r="T352" i="2" s="1"/>
  <c r="U352" i="2" a="1"/>
  <c r="U352" i="2" s="1"/>
  <c r="T241" i="2" a="1"/>
  <c r="T241" i="2" s="1"/>
  <c r="U241" i="2" a="1"/>
  <c r="U241" i="2" s="1"/>
  <c r="T257" i="2" a="1"/>
  <c r="T257" i="2" s="1"/>
  <c r="U257" i="2" a="1"/>
  <c r="U257" i="2" s="1"/>
  <c r="T353" i="2" a="1"/>
  <c r="T353" i="2" s="1"/>
  <c r="U353" i="2" a="1"/>
  <c r="U353" i="2" s="1"/>
  <c r="T369" i="2" a="1"/>
  <c r="T369" i="2" s="1"/>
  <c r="U369" i="2" a="1"/>
  <c r="U369" i="2" s="1"/>
  <c r="T385" i="2" a="1"/>
  <c r="T385" i="2" s="1"/>
  <c r="U385" i="2" a="1"/>
  <c r="U385" i="2" s="1"/>
  <c r="T401" i="2" a="1"/>
  <c r="T401" i="2" s="1"/>
  <c r="U401" i="2" a="1"/>
  <c r="U401" i="2" s="1"/>
  <c r="T245" i="2" a="1"/>
  <c r="T245" i="2" s="1"/>
  <c r="U245" i="2" a="1"/>
  <c r="U245" i="2" s="1"/>
  <c r="T134" i="2" a="1"/>
  <c r="T134" i="2" s="1"/>
  <c r="U134" i="2" a="1"/>
  <c r="U134" i="2" s="1"/>
  <c r="T282" i="2" a="1"/>
  <c r="T282" i="2" s="1"/>
  <c r="U282" i="2" a="1"/>
  <c r="U282" i="2" s="1"/>
  <c r="T249" i="2" a="1"/>
  <c r="T249" i="2" s="1"/>
  <c r="U249" i="2" a="1"/>
  <c r="U249" i="2" s="1"/>
  <c r="T329" i="2" a="1"/>
  <c r="T329" i="2" s="1"/>
  <c r="U329" i="2" a="1"/>
  <c r="U329" i="2" s="1"/>
  <c r="T194" i="2" a="1"/>
  <c r="T194" i="2" s="1"/>
  <c r="U194" i="2" a="1"/>
  <c r="U194" i="2" s="1"/>
  <c r="T338" i="2" a="1"/>
  <c r="T338" i="2" s="1"/>
  <c r="U338" i="2" a="1"/>
  <c r="U338" i="2" s="1"/>
  <c r="T239" i="2" a="1"/>
  <c r="T239" i="2" s="1"/>
  <c r="U239" i="2" a="1"/>
  <c r="U239" i="2" s="1"/>
  <c r="T196" i="2" a="1"/>
  <c r="T196" i="2" s="1"/>
  <c r="U196" i="2" a="1"/>
  <c r="U196" i="2" s="1"/>
  <c r="T153" i="2" a="1"/>
  <c r="T153" i="2" s="1"/>
  <c r="U153" i="2" a="1"/>
  <c r="U153" i="2" s="1"/>
  <c r="T377" i="2" a="1"/>
  <c r="T377" i="2" s="1"/>
  <c r="U377" i="2" a="1"/>
  <c r="U377" i="2" s="1"/>
  <c r="T327" i="2" a="1"/>
  <c r="T327" i="2" s="1"/>
  <c r="U327" i="2" a="1"/>
  <c r="U327" i="2" s="1"/>
  <c r="T378" i="2" a="1"/>
  <c r="T378" i="2" s="1"/>
  <c r="U378" i="2" a="1"/>
  <c r="U378" i="2" s="1"/>
  <c r="T135" i="2" a="1"/>
  <c r="T135" i="2" s="1"/>
  <c r="U135" i="2" a="1"/>
  <c r="U135" i="2" s="1"/>
  <c r="T136" i="2" a="1"/>
  <c r="T136" i="2" s="1"/>
  <c r="U136" i="2" a="1"/>
  <c r="U136" i="2" s="1"/>
  <c r="T260" i="2" a="1"/>
  <c r="T260" i="2" s="1"/>
  <c r="U260" i="2" a="1"/>
  <c r="U260" i="2" s="1"/>
  <c r="T281" i="2" a="1"/>
  <c r="T281" i="2" s="1"/>
  <c r="U281" i="2" a="1"/>
  <c r="U281" i="2" s="1"/>
  <c r="T212" i="2" a="1"/>
  <c r="T212" i="2" s="1"/>
  <c r="U212" i="2" a="1"/>
  <c r="U212" i="2" s="1"/>
  <c r="T218" i="2" a="1"/>
  <c r="T218" i="2" s="1"/>
  <c r="U218" i="2" a="1"/>
  <c r="U218" i="2" s="1"/>
  <c r="T234" i="2" a="1"/>
  <c r="T234" i="2" s="1"/>
  <c r="U234" i="2" a="1"/>
  <c r="U234" i="2" s="1"/>
  <c r="T250" i="2" a="1"/>
  <c r="T250" i="2" s="1"/>
  <c r="U250" i="2" a="1"/>
  <c r="U250" i="2" s="1"/>
  <c r="T213" i="2" a="1"/>
  <c r="T213" i="2" s="1"/>
  <c r="U213" i="2" a="1"/>
  <c r="U213" i="2" s="1"/>
  <c r="T262" i="2" a="1"/>
  <c r="T262" i="2" s="1"/>
  <c r="U262" i="2" a="1"/>
  <c r="U262" i="2" s="1"/>
  <c r="T359" i="2" a="1"/>
  <c r="T359" i="2" s="1"/>
  <c r="U359" i="2" a="1"/>
  <c r="U359" i="2" s="1"/>
  <c r="T152" i="2" a="1"/>
  <c r="T152" i="2" s="1"/>
  <c r="U152" i="2" a="1"/>
  <c r="U152" i="2" s="1"/>
  <c r="T360" i="2" a="1"/>
  <c r="T360" i="2" s="1"/>
  <c r="U360" i="2" a="1"/>
  <c r="U360" i="2" s="1"/>
  <c r="T361" i="2" a="1"/>
  <c r="T361" i="2" s="1"/>
  <c r="U361" i="2" a="1"/>
  <c r="U361" i="2" s="1"/>
  <c r="T237" i="2" a="1"/>
  <c r="T237" i="2" s="1"/>
  <c r="U237" i="2" a="1"/>
  <c r="U237" i="2" s="1"/>
  <c r="T301" i="2" a="1"/>
  <c r="T301" i="2" s="1"/>
  <c r="U301" i="2" a="1"/>
  <c r="U301" i="2" s="1"/>
  <c r="T333" i="2" a="1"/>
  <c r="T333" i="2" s="1"/>
  <c r="U333" i="2" a="1"/>
  <c r="U333" i="2" s="1"/>
  <c r="T244" i="2" a="1"/>
  <c r="T244" i="2" s="1"/>
  <c r="U244" i="2" a="1"/>
  <c r="U244" i="2" s="1"/>
  <c r="T319" i="2" a="1"/>
  <c r="T319" i="2" s="1"/>
  <c r="U319" i="2" a="1"/>
  <c r="U319" i="2" s="1"/>
  <c r="T335" i="2" a="1"/>
  <c r="T335" i="2" s="1"/>
  <c r="U335" i="2" a="1"/>
  <c r="U335" i="2" s="1"/>
  <c r="T383" i="2" a="1"/>
  <c r="T383" i="2" s="1"/>
  <c r="U383" i="2" a="1"/>
  <c r="U383" i="2" s="1"/>
  <c r="T399" i="2" a="1"/>
  <c r="T399" i="2" s="1"/>
  <c r="U399" i="2" a="1"/>
  <c r="U399" i="2" s="1"/>
  <c r="T336" i="2" a="1"/>
  <c r="T336" i="2" s="1"/>
  <c r="U336" i="2" a="1"/>
  <c r="U336" i="2" s="1"/>
  <c r="T384" i="2" a="1"/>
  <c r="T384" i="2" s="1"/>
  <c r="U384" i="2" a="1"/>
  <c r="U384" i="2" s="1"/>
  <c r="T400" i="2" a="1"/>
  <c r="T400" i="2" s="1"/>
  <c r="U400" i="2" a="1"/>
  <c r="U400" i="2" s="1"/>
  <c r="T133" i="2" a="1"/>
  <c r="T133" i="2" s="1"/>
  <c r="U133" i="2" a="1"/>
  <c r="U133" i="2" s="1"/>
  <c r="T343" i="2" a="1"/>
  <c r="T343" i="2" s="1"/>
  <c r="U343" i="2" a="1"/>
  <c r="U343" i="2" s="1"/>
  <c r="T297" i="2" a="1"/>
  <c r="T297" i="2" s="1"/>
  <c r="U297" i="2" a="1"/>
  <c r="U297" i="2" s="1"/>
  <c r="T117" i="2" a="1"/>
  <c r="T117" i="2" s="1"/>
  <c r="U117" i="2" a="1"/>
  <c r="U117" i="2" s="1"/>
  <c r="T124" i="2" a="1"/>
  <c r="T124" i="2" s="1"/>
  <c r="U124" i="2" a="1"/>
  <c r="U124" i="2" s="1"/>
  <c r="T220" i="2" a="1"/>
  <c r="T220" i="2" s="1"/>
  <c r="U220" i="2" a="1"/>
  <c r="U220" i="2" s="1"/>
  <c r="T130" i="2" a="1"/>
  <c r="T130" i="2" s="1"/>
  <c r="U130" i="2" a="1"/>
  <c r="U130" i="2" s="1"/>
  <c r="T388" i="2" a="1"/>
  <c r="T388" i="2" s="1"/>
  <c r="U388" i="2" a="1"/>
  <c r="U388" i="2" s="1"/>
  <c r="T324" i="2" a="1"/>
  <c r="T324" i="2" s="1"/>
  <c r="U324" i="2" a="1"/>
  <c r="U324" i="2" s="1"/>
  <c r="T326" i="2" a="1"/>
  <c r="T326" i="2" s="1"/>
  <c r="U326" i="2" a="1"/>
  <c r="U326" i="2" s="1"/>
  <c r="T403" i="2" a="1"/>
  <c r="T403" i="2" s="1"/>
  <c r="U403" i="2" a="1"/>
  <c r="U403" i="2" s="1"/>
  <c r="T404" i="2" a="1"/>
  <c r="T404" i="2" s="1"/>
  <c r="U404" i="2" a="1"/>
  <c r="U404" i="2" s="1"/>
  <c r="T263" i="2" a="1"/>
  <c r="T263" i="2" s="1"/>
  <c r="U263" i="2" a="1"/>
  <c r="U263" i="2" s="1"/>
  <c r="T340" i="2" a="1"/>
  <c r="T340" i="2" s="1"/>
  <c r="U340" i="2" a="1"/>
  <c r="U340" i="2" s="1"/>
  <c r="T407" i="2" a="1"/>
  <c r="T407" i="2" s="1"/>
  <c r="U407" i="2" a="1"/>
  <c r="U407" i="2" s="1"/>
  <c r="T210" i="2" a="1"/>
  <c r="T210" i="2" s="1"/>
  <c r="U210" i="2" a="1"/>
  <c r="U210" i="2" s="1"/>
  <c r="T163" i="2" a="1"/>
  <c r="T163" i="2" s="1"/>
  <c r="U163" i="2" a="1"/>
  <c r="U163" i="2" s="1"/>
  <c r="T150" i="2" a="1"/>
  <c r="T150" i="2" s="1"/>
  <c r="U150" i="2" a="1"/>
  <c r="U150" i="2" s="1"/>
  <c r="T277" i="2" a="1"/>
  <c r="T277" i="2" s="1"/>
  <c r="U277" i="2" a="1"/>
  <c r="U277" i="2" s="1"/>
  <c r="T118" i="2" a="1"/>
  <c r="T118" i="2" s="1"/>
  <c r="U118" i="2" a="1"/>
  <c r="U118" i="2" s="1"/>
  <c r="T166" i="2" a="1"/>
  <c r="T166" i="2" s="1"/>
  <c r="U166" i="2" a="1"/>
  <c r="U166" i="2" s="1"/>
  <c r="T168" i="2" a="1"/>
  <c r="T168" i="2" s="1"/>
  <c r="U168" i="2" a="1"/>
  <c r="U168" i="2" s="1"/>
  <c r="T122" i="2" a="1"/>
  <c r="T122" i="2" s="1"/>
  <c r="U122" i="2" a="1"/>
  <c r="U122" i="2" s="1"/>
  <c r="T389" i="2" a="1"/>
  <c r="T389" i="2" s="1"/>
  <c r="U389" i="2" a="1"/>
  <c r="U389" i="2" s="1"/>
  <c r="T362" i="2" a="1"/>
  <c r="T362" i="2" s="1"/>
  <c r="U362" i="2" a="1"/>
  <c r="U362" i="2" s="1"/>
  <c r="T137" i="2" a="1"/>
  <c r="T137" i="2" s="1"/>
  <c r="U137" i="2" a="1"/>
  <c r="U137" i="2" s="1"/>
  <c r="T169" i="2" a="1"/>
  <c r="T169" i="2" s="1"/>
  <c r="U169" i="2" a="1"/>
  <c r="U169" i="2" s="1"/>
  <c r="T345" i="2" a="1"/>
  <c r="T345" i="2" s="1"/>
  <c r="U345" i="2" a="1"/>
  <c r="U345" i="2" s="1"/>
  <c r="T162" i="2" a="1"/>
  <c r="T162" i="2" s="1"/>
  <c r="U162" i="2" a="1"/>
  <c r="U162" i="2" s="1"/>
  <c r="T312" i="2" a="1"/>
  <c r="T312" i="2" s="1"/>
  <c r="U312" i="2" a="1"/>
  <c r="U312" i="2" s="1"/>
  <c r="T138" i="2" a="1"/>
  <c r="T138" i="2" s="1"/>
  <c r="U138" i="2" a="1"/>
  <c r="U138" i="2" s="1"/>
  <c r="T346" i="2" a="1"/>
  <c r="T346" i="2" s="1"/>
  <c r="U346" i="2" a="1"/>
  <c r="U346" i="2" s="1"/>
  <c r="T313" i="2" a="1"/>
  <c r="T313" i="2" s="1"/>
  <c r="U313" i="2" a="1"/>
  <c r="U313" i="2" s="1"/>
  <c r="T371" i="2" a="1"/>
  <c r="T371" i="2" s="1"/>
  <c r="U371" i="2" a="1"/>
  <c r="U371" i="2" s="1"/>
  <c r="T372" i="2" a="1"/>
  <c r="T372" i="2" s="1"/>
  <c r="U372" i="2" a="1"/>
  <c r="U372" i="2" s="1"/>
  <c r="T204" i="2" a="1"/>
  <c r="T204" i="2" s="1"/>
  <c r="U204" i="2" a="1"/>
  <c r="U204" i="2" s="1"/>
  <c r="T211" i="2" a="1"/>
  <c r="T211" i="2" s="1"/>
  <c r="U211" i="2" a="1"/>
  <c r="U211" i="2" s="1"/>
  <c r="T164" i="2" a="1"/>
  <c r="T164" i="2" s="1"/>
  <c r="U164" i="2" a="1"/>
  <c r="U164" i="2" s="1"/>
  <c r="T376" i="2" a="1"/>
  <c r="T376" i="2" s="1"/>
  <c r="U376" i="2" a="1"/>
  <c r="U376" i="2" s="1"/>
  <c r="T386" i="2" a="1"/>
  <c r="T386" i="2" s="1"/>
  <c r="U386" i="2" a="1"/>
  <c r="U386" i="2" s="1"/>
  <c r="T264" i="2" a="1"/>
  <c r="T264" i="2" s="1"/>
  <c r="U264" i="2" a="1"/>
  <c r="U264" i="2" s="1"/>
  <c r="T116" i="2" a="1"/>
  <c r="T116" i="2" s="1"/>
  <c r="U116" i="2" a="1"/>
  <c r="U116" i="2" s="1"/>
  <c r="T197" i="2" a="1"/>
  <c r="T197" i="2" s="1"/>
  <c r="U197" i="2" a="1"/>
  <c r="U197" i="2" s="1"/>
  <c r="T276" i="2" a="1"/>
  <c r="T276" i="2" s="1"/>
  <c r="U276" i="2" a="1"/>
  <c r="U276" i="2" s="1"/>
  <c r="T375" i="2" a="1"/>
  <c r="T375" i="2" s="1"/>
  <c r="U375" i="2" a="1"/>
  <c r="U375" i="2" s="1"/>
  <c r="T149" i="2" a="1"/>
  <c r="T149" i="2" s="1"/>
  <c r="U149" i="2" a="1"/>
  <c r="U149" i="2" s="1"/>
  <c r="T181" i="2" a="1"/>
  <c r="T181" i="2" s="1"/>
  <c r="U181" i="2" a="1"/>
  <c r="U181" i="2" s="1"/>
  <c r="T215" i="2" a="1"/>
  <c r="T215" i="2" s="1"/>
  <c r="U215" i="2" a="1"/>
  <c r="U215" i="2" s="1"/>
  <c r="T120" i="2" a="1"/>
  <c r="T120" i="2" s="1"/>
  <c r="U120" i="2" a="1"/>
  <c r="U120" i="2" s="1"/>
  <c r="T248" i="2" a="1"/>
  <c r="T248" i="2" s="1"/>
  <c r="U248" i="2" a="1"/>
  <c r="U248" i="2" s="1"/>
  <c r="T296" i="2" a="1"/>
  <c r="T296" i="2" s="1"/>
  <c r="U296" i="2" a="1"/>
  <c r="U296" i="2" s="1"/>
  <c r="T328" i="2" a="1"/>
  <c r="T328" i="2" s="1"/>
  <c r="U328" i="2" a="1"/>
  <c r="U328" i="2" s="1"/>
  <c r="T259" i="2" a="1"/>
  <c r="T259" i="2" s="1"/>
  <c r="U259" i="2" a="1"/>
  <c r="U259" i="2" s="1"/>
  <c r="T217" i="2" a="1"/>
  <c r="T217" i="2" s="1"/>
  <c r="U217" i="2" a="1"/>
  <c r="U217" i="2" s="1"/>
  <c r="T219" i="2" a="1"/>
  <c r="T219" i="2" s="1"/>
  <c r="U219" i="2" a="1"/>
  <c r="U219" i="2" s="1"/>
  <c r="T235" i="2" a="1"/>
  <c r="T235" i="2" s="1"/>
  <c r="U235" i="2" a="1"/>
  <c r="U235" i="2" s="1"/>
  <c r="T322" i="2" a="1"/>
  <c r="T322" i="2" s="1"/>
  <c r="U322" i="2" a="1"/>
  <c r="U322" i="2" s="1"/>
  <c r="T274" i="2" a="1"/>
  <c r="T274" i="2" s="1"/>
  <c r="U274" i="2" a="1"/>
  <c r="U274" i="2" s="1"/>
  <c r="T295" i="2" a="1"/>
  <c r="T295" i="2" s="1"/>
  <c r="U295" i="2" a="1"/>
  <c r="U295" i="2" s="1"/>
  <c r="T307" i="2" a="1"/>
  <c r="T307" i="2" s="1"/>
  <c r="U307" i="2" a="1"/>
  <c r="U307" i="2" s="1"/>
  <c r="T148" i="2" a="1"/>
  <c r="T148" i="2" s="1"/>
  <c r="U148" i="2" a="1"/>
  <c r="U148" i="2" s="1"/>
  <c r="T311" i="2" a="1"/>
  <c r="T311" i="2" s="1"/>
  <c r="U311" i="2" a="1"/>
  <c r="U311" i="2" s="1"/>
  <c r="T179" i="2" a="1"/>
  <c r="T179" i="2" s="1"/>
  <c r="U179" i="2" a="1"/>
  <c r="U179" i="2" s="1"/>
  <c r="T231" i="2" a="1"/>
  <c r="T231" i="2" s="1"/>
  <c r="U231" i="2" a="1"/>
  <c r="U231" i="2" s="1"/>
  <c r="T119" i="2" a="1"/>
  <c r="T119" i="2" s="1"/>
  <c r="U119" i="2" a="1"/>
  <c r="U119" i="2" s="1"/>
  <c r="T199" i="2" a="1"/>
  <c r="T199" i="2" s="1"/>
  <c r="U199" i="2" a="1"/>
  <c r="U199" i="2" s="1"/>
  <c r="T121" i="2" a="1"/>
  <c r="T121" i="2" s="1"/>
  <c r="U121" i="2" a="1"/>
  <c r="U121" i="2" s="1"/>
  <c r="T265" i="2" a="1"/>
  <c r="T265" i="2" s="1"/>
  <c r="U265" i="2" a="1"/>
  <c r="U265" i="2" s="1"/>
  <c r="T114" i="2" a="1"/>
  <c r="T114" i="2" s="1"/>
  <c r="U114" i="2" a="1"/>
  <c r="U114" i="2" s="1"/>
  <c r="T151" i="2" a="1"/>
  <c r="T151" i="2" s="1"/>
  <c r="U151" i="2" a="1"/>
  <c r="U151" i="2" s="1"/>
  <c r="T258" i="2" a="1"/>
  <c r="T258" i="2" s="1"/>
  <c r="U258" i="2" a="1"/>
  <c r="U258" i="2" s="1"/>
  <c r="T344" i="2" a="1"/>
  <c r="T344" i="2" s="1"/>
  <c r="U344" i="2" a="1"/>
  <c r="U344" i="2" s="1"/>
  <c r="T123" i="2" a="1"/>
  <c r="T123" i="2" s="1"/>
  <c r="U123" i="2" a="1"/>
  <c r="U123" i="2" s="1"/>
  <c r="T275" i="2" a="1"/>
  <c r="T275" i="2" s="1"/>
  <c r="U275" i="2" a="1"/>
  <c r="U275" i="2" s="1"/>
  <c r="T165" i="2" a="1"/>
  <c r="T165" i="2" s="1"/>
  <c r="U165" i="2" a="1"/>
  <c r="U165" i="2" s="1"/>
  <c r="T167" i="2" a="1"/>
  <c r="T167" i="2" s="1"/>
  <c r="U167" i="2" a="1"/>
  <c r="U167" i="2" s="1"/>
  <c r="T147" i="2" a="1"/>
  <c r="T147" i="2" s="1"/>
  <c r="U147" i="2" a="1"/>
  <c r="U147" i="2" s="1"/>
  <c r="T195" i="2" a="1"/>
  <c r="T195" i="2" s="1"/>
  <c r="U195" i="2" a="1"/>
  <c r="U195" i="2" s="1"/>
  <c r="S131" i="2"/>
  <c r="Q131" i="2" a="1"/>
  <c r="Q131" i="2" s="1"/>
  <c r="Q243" i="2" a="1"/>
  <c r="Q243" i="2" s="1"/>
  <c r="S243" i="2"/>
  <c r="R209" i="2" a="1"/>
  <c r="R209" i="2" s="1"/>
  <c r="S339" i="2"/>
  <c r="R131" i="2" a="1"/>
  <c r="R131" i="2" s="1"/>
  <c r="S291" i="2"/>
  <c r="S207" i="2"/>
  <c r="R243" i="2" a="1"/>
  <c r="R243" i="2" s="1"/>
  <c r="R291" i="2" a="1"/>
  <c r="R291" i="2" s="1"/>
  <c r="R339" i="2" a="1"/>
  <c r="R339" i="2" s="1"/>
  <c r="R315" i="2" a="1"/>
  <c r="R315" i="2" s="1"/>
  <c r="P10" i="2"/>
  <c r="S315" i="2"/>
  <c r="P66" i="2"/>
  <c r="R66" i="2" s="1" a="1"/>
  <c r="R66" i="2" s="1"/>
  <c r="P58" i="2"/>
  <c r="R58" i="2" s="1" a="1"/>
  <c r="R58" i="2" s="1"/>
  <c r="S314" i="2"/>
  <c r="P107" i="2"/>
  <c r="Q107" i="2" s="1" a="1"/>
  <c r="Q107" i="2" s="1"/>
  <c r="P16" i="2"/>
  <c r="Q16" i="2" s="1" a="1"/>
  <c r="Q16" i="2" s="1"/>
  <c r="Q105" i="2" a="1"/>
  <c r="Q105" i="2" s="1"/>
  <c r="P33" i="2"/>
  <c r="Q33" i="2" s="1" a="1"/>
  <c r="Q33" i="2" s="1"/>
  <c r="P89" i="2"/>
  <c r="R89" i="2" s="1" a="1"/>
  <c r="R89" i="2" s="1"/>
  <c r="S185" i="2"/>
  <c r="P97" i="2"/>
  <c r="Q97" i="2" s="1" a="1"/>
  <c r="Q97" i="2" s="1"/>
  <c r="P80" i="2"/>
  <c r="R80" i="2" s="1" a="1"/>
  <c r="R80" i="2" s="1"/>
  <c r="Q39" i="2" a="1"/>
  <c r="Q39" i="2" s="1"/>
  <c r="P99" i="2"/>
  <c r="Q99" i="2" s="1" a="1"/>
  <c r="Q99" i="2" s="1"/>
  <c r="R240" i="2" a="1"/>
  <c r="R240" i="2" s="1"/>
  <c r="P90" i="2"/>
  <c r="R90" i="2" s="1" a="1"/>
  <c r="R90" i="2" s="1"/>
  <c r="R207" i="2" a="1"/>
  <c r="R207" i="2" s="1"/>
  <c r="S110" i="2"/>
  <c r="R110" i="2" a="1"/>
  <c r="R110" i="2" s="1"/>
  <c r="R239" i="2" a="1"/>
  <c r="R239" i="2" s="1"/>
  <c r="R19" i="2" a="1"/>
  <c r="R19" i="2" s="1"/>
  <c r="P12" i="2"/>
  <c r="P6" i="2"/>
  <c r="P67" i="2"/>
  <c r="Q67" i="2" s="1" a="1"/>
  <c r="Q67" i="2" s="1"/>
  <c r="P36" i="2"/>
  <c r="Q36" i="2" s="1" a="1"/>
  <c r="Q36" i="2" s="1"/>
  <c r="S240" i="2"/>
  <c r="P32" i="2"/>
  <c r="Q32" i="2" s="1" a="1"/>
  <c r="Q32" i="2" s="1"/>
  <c r="Q73" i="2" a="1"/>
  <c r="Q73" i="2" s="1"/>
  <c r="J73" i="2" s="1" a="1"/>
  <c r="J73" i="2" s="1"/>
  <c r="P100" i="2"/>
  <c r="R100" i="2" s="1" a="1"/>
  <c r="R100" i="2" s="1"/>
  <c r="P48" i="2"/>
  <c r="R48" i="2" s="1" a="1"/>
  <c r="R48" i="2" s="1"/>
  <c r="P37" i="2"/>
  <c r="Q224" i="2" a="1"/>
  <c r="Q224" i="2" s="1"/>
  <c r="P81" i="2"/>
  <c r="Q81" i="2" s="1" a="1"/>
  <c r="Q81" i="2" s="1"/>
  <c r="S223" i="2"/>
  <c r="R223" i="2" a="1"/>
  <c r="R223" i="2" s="1"/>
  <c r="S288" i="2"/>
  <c r="Q288" i="2" a="1"/>
  <c r="Q288" i="2" s="1"/>
  <c r="R288" i="2" a="1"/>
  <c r="R288" i="2" s="1"/>
  <c r="S224" i="2"/>
  <c r="Q304" i="2" a="1"/>
  <c r="Q304" i="2" s="1"/>
  <c r="R304" i="2" a="1"/>
  <c r="R304" i="2" s="1"/>
  <c r="S304" i="2"/>
  <c r="Q320" i="2" a="1"/>
  <c r="Q320" i="2" s="1"/>
  <c r="S320" i="2"/>
  <c r="R320" i="2" a="1"/>
  <c r="R320" i="2" s="1"/>
  <c r="P42" i="2"/>
  <c r="Q42" i="2" s="1" a="1"/>
  <c r="Q42" i="2" s="1"/>
  <c r="P21" i="2"/>
  <c r="R21" i="2" s="1" a="1"/>
  <c r="R21" i="2" s="1"/>
  <c r="P68" i="2"/>
  <c r="Q193" i="2" a="1"/>
  <c r="Q193" i="2" s="1"/>
  <c r="R193" i="2" a="1"/>
  <c r="R193" i="2" s="1"/>
  <c r="S193" i="2"/>
  <c r="Q289" i="2" a="1"/>
  <c r="Q289" i="2" s="1"/>
  <c r="R289" i="2" a="1"/>
  <c r="R289" i="2" s="1"/>
  <c r="S289" i="2"/>
  <c r="P17" i="2"/>
  <c r="R17" i="2" s="1" a="1"/>
  <c r="R17" i="2" s="1"/>
  <c r="Q145" i="2" a="1"/>
  <c r="Q145" i="2" s="1"/>
  <c r="S145" i="2"/>
  <c r="R145" i="2" a="1"/>
  <c r="R145" i="2" s="1"/>
  <c r="S161" i="2"/>
  <c r="R161" i="2" a="1"/>
  <c r="R161" i="2" s="1"/>
  <c r="Q161" i="2" a="1"/>
  <c r="Q161" i="2" s="1"/>
  <c r="Q321" i="2" a="1"/>
  <c r="Q321" i="2" s="1"/>
  <c r="R321" i="2" a="1"/>
  <c r="R321" i="2" s="1"/>
  <c r="S321" i="2"/>
  <c r="Q273" i="2" a="1"/>
  <c r="Q273" i="2" s="1"/>
  <c r="R273" i="2" a="1"/>
  <c r="R273" i="2" s="1"/>
  <c r="S273" i="2"/>
  <c r="P9" i="2"/>
  <c r="P8" i="2"/>
  <c r="P7" i="2"/>
  <c r="P65" i="2"/>
  <c r="R65" i="2" s="1" a="1"/>
  <c r="R65" i="2" s="1"/>
  <c r="P11" i="2"/>
  <c r="P57" i="2"/>
  <c r="Q57" i="2" s="1" a="1"/>
  <c r="Q57" i="2" s="1"/>
  <c r="P35" i="2"/>
  <c r="Q35" i="2" s="1" a="1"/>
  <c r="Q35" i="2" s="1"/>
  <c r="R177" i="2" a="1"/>
  <c r="R177" i="2" s="1"/>
  <c r="Q177" i="2" a="1"/>
  <c r="Q177" i="2" s="1"/>
  <c r="S177" i="2"/>
  <c r="R225" i="2" a="1"/>
  <c r="R225" i="2" s="1"/>
  <c r="Q225" i="2" a="1"/>
  <c r="Q225" i="2" s="1"/>
  <c r="S225" i="2"/>
  <c r="R305" i="2" a="1"/>
  <c r="R305" i="2" s="1"/>
  <c r="S305" i="2"/>
  <c r="Q305" i="2" a="1"/>
  <c r="Q305" i="2" s="1"/>
  <c r="P101" i="2"/>
  <c r="P98" i="2"/>
  <c r="P95" i="2"/>
  <c r="P94" i="2"/>
  <c r="P93" i="2"/>
  <c r="P92" i="2"/>
  <c r="P13" i="2"/>
  <c r="Q13" i="2" s="1" a="1"/>
  <c r="Q13" i="2" s="1"/>
  <c r="P14" i="2"/>
  <c r="R14" i="2" s="1" a="1"/>
  <c r="R14" i="2" s="1"/>
  <c r="P15" i="2"/>
  <c r="R15" i="2" s="1" a="1"/>
  <c r="R15" i="2" s="1"/>
  <c r="P18" i="2"/>
  <c r="Q18" i="2" s="1" a="1"/>
  <c r="Q18" i="2" s="1"/>
  <c r="P20" i="2"/>
  <c r="R20" i="2" s="1" a="1"/>
  <c r="R20" i="2" s="1"/>
  <c r="P22" i="2"/>
  <c r="Q22" i="2" s="1" a="1"/>
  <c r="Q22" i="2" s="1"/>
  <c r="P25" i="2"/>
  <c r="R25" i="2" s="1" a="1"/>
  <c r="R25" i="2" s="1"/>
  <c r="P27" i="2"/>
  <c r="P28" i="2"/>
  <c r="P29" i="2"/>
  <c r="P30" i="2"/>
  <c r="P31" i="2"/>
  <c r="P34" i="2"/>
  <c r="P38" i="2"/>
  <c r="P43" i="2"/>
  <c r="P44" i="2"/>
  <c r="P45" i="2"/>
  <c r="P46" i="2"/>
  <c r="P47" i="2"/>
  <c r="P50" i="2"/>
  <c r="P51" i="2"/>
  <c r="P52" i="2"/>
  <c r="P53" i="2"/>
  <c r="P54" i="2"/>
  <c r="P60" i="2"/>
  <c r="P61" i="2"/>
  <c r="P62" i="2"/>
  <c r="P63" i="2"/>
  <c r="P69" i="2"/>
  <c r="P70" i="2"/>
  <c r="P75" i="2"/>
  <c r="P76" i="2"/>
  <c r="P77" i="2"/>
  <c r="P78" i="2"/>
  <c r="P79" i="2"/>
  <c r="P82" i="2"/>
  <c r="P83" i="2"/>
  <c r="P84" i="2"/>
  <c r="P86" i="2"/>
  <c r="P88" i="2"/>
  <c r="R106" i="2" l="1" a="1"/>
  <c r="R106" i="2" s="1"/>
  <c r="H19" i="10"/>
  <c r="H53" i="10"/>
  <c r="J53" i="10" s="1"/>
  <c r="H86" i="10"/>
  <c r="I86" i="10" s="1"/>
  <c r="H51" i="10"/>
  <c r="J51" i="10" s="1"/>
  <c r="H12" i="10"/>
  <c r="H28" i="10"/>
  <c r="I28" i="10" s="1"/>
  <c r="H60" i="10"/>
  <c r="I60" i="10" s="1"/>
  <c r="H76" i="10"/>
  <c r="I76" i="10" s="1"/>
  <c r="H69" i="10"/>
  <c r="H85" i="10"/>
  <c r="J85" i="10" s="1"/>
  <c r="H14" i="10"/>
  <c r="J14" i="10" s="1"/>
  <c r="H30" i="10"/>
  <c r="I30" i="10" s="1"/>
  <c r="H46" i="10"/>
  <c r="H62" i="10"/>
  <c r="J62" i="10" s="1"/>
  <c r="H67" i="10"/>
  <c r="I67" i="10" s="1"/>
  <c r="H83" i="10"/>
  <c r="I83" i="10" s="1"/>
  <c r="H23" i="10"/>
  <c r="H25" i="10"/>
  <c r="J25" i="10" s="1"/>
  <c r="H41" i="10"/>
  <c r="I41" i="10" s="1"/>
  <c r="H57" i="10"/>
  <c r="J57" i="10" s="1"/>
  <c r="H74" i="10"/>
  <c r="H39" i="10"/>
  <c r="I39" i="10" s="1"/>
  <c r="H55" i="10"/>
  <c r="J55" i="10" s="1"/>
  <c r="H16" i="10"/>
  <c r="I16" i="10" s="1"/>
  <c r="H32" i="10"/>
  <c r="H48" i="10"/>
  <c r="J48" i="10" s="1"/>
  <c r="H64" i="10"/>
  <c r="I64" i="10" s="1"/>
  <c r="H80" i="10"/>
  <c r="J80" i="10" s="1"/>
  <c r="H73" i="10"/>
  <c r="H89" i="10"/>
  <c r="J89" i="10" s="1"/>
  <c r="H18" i="10"/>
  <c r="J18" i="10" s="1"/>
  <c r="H34" i="10"/>
  <c r="J34" i="10" s="1"/>
  <c r="H50" i="10"/>
  <c r="H66" i="10"/>
  <c r="J66" i="10" s="1"/>
  <c r="H7" i="10"/>
  <c r="J7" i="10" s="1"/>
  <c r="H71" i="10"/>
  <c r="I71" i="10" s="1"/>
  <c r="H87" i="10"/>
  <c r="H37" i="10"/>
  <c r="I37" i="10" s="1"/>
  <c r="H13" i="10"/>
  <c r="J13" i="10" s="1"/>
  <c r="H61" i="10"/>
  <c r="J61" i="10" s="1"/>
  <c r="H59" i="10"/>
  <c r="H20" i="10"/>
  <c r="J20" i="10" s="1"/>
  <c r="H52" i="10"/>
  <c r="J52" i="10" s="1"/>
  <c r="H68" i="10"/>
  <c r="J68" i="10" s="1"/>
  <c r="H84" i="10"/>
  <c r="H77" i="10"/>
  <c r="J77" i="10" s="1"/>
  <c r="H22" i="10"/>
  <c r="J22" i="10" s="1"/>
  <c r="H38" i="10"/>
  <c r="I38" i="10" s="1"/>
  <c r="H54" i="10"/>
  <c r="H11" i="10"/>
  <c r="I11" i="10" s="1"/>
  <c r="H75" i="10"/>
  <c r="J75" i="10" s="1"/>
  <c r="H21" i="10"/>
  <c r="I21" i="10" s="1"/>
  <c r="H70" i="10"/>
  <c r="H35" i="10"/>
  <c r="J35" i="10" s="1"/>
  <c r="H44" i="10"/>
  <c r="I44" i="10" s="1"/>
  <c r="H29" i="10"/>
  <c r="J29" i="10" s="1"/>
  <c r="H45" i="10"/>
  <c r="H78" i="10"/>
  <c r="J78" i="10" s="1"/>
  <c r="H27" i="10"/>
  <c r="I27" i="10" s="1"/>
  <c r="H43" i="10"/>
  <c r="J43" i="10" s="1"/>
  <c r="H36" i="10"/>
  <c r="H10" i="10"/>
  <c r="I10" i="10" s="1"/>
  <c r="H17" i="10"/>
  <c r="J17" i="10" s="1"/>
  <c r="H33" i="10"/>
  <c r="I33" i="10" s="1"/>
  <c r="H49" i="10"/>
  <c r="H65" i="10"/>
  <c r="I65" i="10" s="1"/>
  <c r="H82" i="10"/>
  <c r="J82" i="10" s="1"/>
  <c r="H31" i="10"/>
  <c r="I31" i="10" s="1"/>
  <c r="H47" i="10"/>
  <c r="H63" i="10"/>
  <c r="I63" i="10" s="1"/>
  <c r="H8" i="10"/>
  <c r="J8" i="10" s="1"/>
  <c r="H24" i="10"/>
  <c r="I24" i="10" s="1"/>
  <c r="H40" i="10"/>
  <c r="H56" i="10"/>
  <c r="J56" i="10" s="1"/>
  <c r="H72" i="10"/>
  <c r="I72" i="10" s="1"/>
  <c r="H88" i="10"/>
  <c r="I88" i="10" s="1"/>
  <c r="H9" i="10"/>
  <c r="H81" i="10"/>
  <c r="I81" i="10" s="1"/>
  <c r="H26" i="10"/>
  <c r="J26" i="10" s="1"/>
  <c r="H42" i="10"/>
  <c r="I42" i="10" s="1"/>
  <c r="H58" i="10"/>
  <c r="H15" i="10"/>
  <c r="I15" i="10" s="1"/>
  <c r="H79" i="10"/>
  <c r="J79" i="10" s="1"/>
  <c r="I19" i="10"/>
  <c r="J19" i="10"/>
  <c r="I70" i="10"/>
  <c r="J70" i="10"/>
  <c r="I35" i="10"/>
  <c r="I46" i="10"/>
  <c r="J46" i="10"/>
  <c r="J67" i="10"/>
  <c r="I74" i="10"/>
  <c r="J74" i="10"/>
  <c r="I55" i="10"/>
  <c r="J32" i="10"/>
  <c r="I32" i="10"/>
  <c r="J73" i="10"/>
  <c r="I73" i="10"/>
  <c r="I50" i="10"/>
  <c r="J50" i="10"/>
  <c r="I87" i="10"/>
  <c r="J87" i="10"/>
  <c r="I62" i="10"/>
  <c r="I23" i="10"/>
  <c r="J23" i="10"/>
  <c r="J45" i="10"/>
  <c r="I45" i="10"/>
  <c r="I59" i="10"/>
  <c r="J59" i="10"/>
  <c r="I36" i="10"/>
  <c r="J36" i="10"/>
  <c r="I84" i="10"/>
  <c r="J84" i="10"/>
  <c r="I54" i="10"/>
  <c r="J54" i="10"/>
  <c r="I53" i="10"/>
  <c r="I12" i="10"/>
  <c r="J12" i="10"/>
  <c r="I69" i="10"/>
  <c r="J69" i="10"/>
  <c r="I49" i="10"/>
  <c r="J49" i="10"/>
  <c r="I47" i="10"/>
  <c r="J47" i="10"/>
  <c r="J40" i="10"/>
  <c r="I40" i="10"/>
  <c r="I9" i="10"/>
  <c r="J9" i="10"/>
  <c r="I58" i="10"/>
  <c r="J58" i="10"/>
  <c r="R87" i="2" a="1"/>
  <c r="R87" i="2" s="1"/>
  <c r="R74" i="2" a="1"/>
  <c r="R74" i="2" s="1"/>
  <c r="Q24" i="2" a="1"/>
  <c r="Q24" i="2" s="1"/>
  <c r="Q108" i="2" a="1"/>
  <c r="Q108" i="2" s="1"/>
  <c r="J108" i="2" s="1" a="1"/>
  <c r="J108" i="2" s="1"/>
  <c r="S109" i="2" s="1"/>
  <c r="Q103" i="2" a="1"/>
  <c r="Q103" i="2" s="1"/>
  <c r="J103" i="2" s="1" a="1"/>
  <c r="J103" i="2" s="1"/>
  <c r="R64" i="2" a="1"/>
  <c r="R64" i="2" s="1"/>
  <c r="U300" i="2" a="1"/>
  <c r="U300" i="2" s="1"/>
  <c r="Q49" i="2" a="1"/>
  <c r="Q49" i="2" s="1"/>
  <c r="R55" i="2" a="1"/>
  <c r="R55" i="2" s="1"/>
  <c r="R72" i="2" a="1"/>
  <c r="R72" i="2" s="1"/>
  <c r="J72" i="2" s="1" a="1"/>
  <c r="J72" i="2" s="1"/>
  <c r="S72" i="2" s="1"/>
  <c r="U72" i="2" s="1" a="1"/>
  <c r="U72" i="2" s="1"/>
  <c r="R23" i="2" a="1"/>
  <c r="R23" i="2" s="1"/>
  <c r="R16" i="2" a="1"/>
  <c r="R16" i="2" s="1"/>
  <c r="J16" i="2" s="1" a="1"/>
  <c r="J16" i="2" s="1"/>
  <c r="R71" i="2" a="1"/>
  <c r="R71" i="2" s="1"/>
  <c r="J71" i="2" s="1" a="1"/>
  <c r="J71" i="2" s="1"/>
  <c r="Q40" i="2" a="1"/>
  <c r="Q40" i="2" s="1"/>
  <c r="J40" i="2" s="1" a="1"/>
  <c r="J40" i="2" s="1"/>
  <c r="J23" i="2" a="1"/>
  <c r="J23" i="2" s="1"/>
  <c r="R41" i="2" a="1"/>
  <c r="R41" i="2" s="1"/>
  <c r="R96" i="2" a="1"/>
  <c r="R96" i="2" s="1"/>
  <c r="J96" i="2" s="1" a="1"/>
  <c r="J96" i="2" s="1"/>
  <c r="Q59" i="2" a="1"/>
  <c r="Q59" i="2" s="1"/>
  <c r="Q26" i="2" a="1"/>
  <c r="Q26" i="2" s="1"/>
  <c r="Q56" i="2" a="1"/>
  <c r="Q56" i="2" s="1"/>
  <c r="U209" i="2" a="1"/>
  <c r="U209" i="2" s="1"/>
  <c r="Q66" i="2" a="1"/>
  <c r="Q66" i="2" s="1"/>
  <c r="J66" i="2" s="1" a="1"/>
  <c r="J66" i="2" s="1"/>
  <c r="S66" i="2" s="1"/>
  <c r="R33" i="2" a="1"/>
  <c r="R33" i="2" s="1"/>
  <c r="R97" i="2" a="1"/>
  <c r="R97" i="2" s="1"/>
  <c r="Q58" i="2" a="1"/>
  <c r="Q58" i="2" s="1"/>
  <c r="J58" i="2" s="1" a="1"/>
  <c r="J58" i="2" s="1"/>
  <c r="S58" i="2" s="1"/>
  <c r="Q80" i="2" a="1"/>
  <c r="Q80" i="2" s="1"/>
  <c r="R67" i="2" a="1"/>
  <c r="R67" i="2" s="1"/>
  <c r="R13" i="2" a="1"/>
  <c r="R13" i="2" s="1"/>
  <c r="J13" i="2" s="1" a="1"/>
  <c r="J13" i="2" s="1"/>
  <c r="Q14" i="2" a="1"/>
  <c r="Q14" i="2" s="1"/>
  <c r="R107" i="2" a="1"/>
  <c r="R107" i="2" s="1"/>
  <c r="J39" i="2" a="1"/>
  <c r="J39" i="2" s="1"/>
  <c r="S73" i="2"/>
  <c r="U73" i="2" s="1" a="1"/>
  <c r="U73" i="2" s="1"/>
  <c r="J104" i="2" a="1"/>
  <c r="J104" i="2" s="1"/>
  <c r="J105" i="2" a="1"/>
  <c r="J105" i="2" s="1"/>
  <c r="R85" i="2" a="1"/>
  <c r="R85" i="2" s="1"/>
  <c r="Q85" i="2" a="1"/>
  <c r="Q85" i="2" s="1"/>
  <c r="Q4" i="12" a="1"/>
  <c r="Q4" i="12" s="1"/>
  <c r="P4" i="12" a="1"/>
  <c r="P4" i="12" s="1"/>
  <c r="H6" i="10"/>
  <c r="T305" i="2" a="1"/>
  <c r="T305" i="2" s="1"/>
  <c r="U305" i="2" a="1"/>
  <c r="U305" i="2" s="1"/>
  <c r="T225" i="2" a="1"/>
  <c r="T225" i="2" s="1"/>
  <c r="U225" i="2" a="1"/>
  <c r="U225" i="2" s="1"/>
  <c r="T177" i="2" a="1"/>
  <c r="T177" i="2" s="1"/>
  <c r="U177" i="2" a="1"/>
  <c r="U177" i="2" s="1"/>
  <c r="T273" i="2" a="1"/>
  <c r="T273" i="2" s="1"/>
  <c r="U273" i="2" a="1"/>
  <c r="U273" i="2" s="1"/>
  <c r="T321" i="2" a="1"/>
  <c r="T321" i="2" s="1"/>
  <c r="U321" i="2" a="1"/>
  <c r="U321" i="2" s="1"/>
  <c r="T161" i="2" a="1"/>
  <c r="T161" i="2" s="1"/>
  <c r="U161" i="2" a="1"/>
  <c r="U161" i="2" s="1"/>
  <c r="T145" i="2" a="1"/>
  <c r="T145" i="2" s="1"/>
  <c r="U145" i="2" a="1"/>
  <c r="U145" i="2" s="1"/>
  <c r="T289" i="2" a="1"/>
  <c r="T289" i="2" s="1"/>
  <c r="U289" i="2" a="1"/>
  <c r="U289" i="2" s="1"/>
  <c r="T193" i="2" a="1"/>
  <c r="T193" i="2" s="1"/>
  <c r="U193" i="2" a="1"/>
  <c r="U193" i="2" s="1"/>
  <c r="T320" i="2" a="1"/>
  <c r="T320" i="2" s="1"/>
  <c r="U320" i="2" a="1"/>
  <c r="U320" i="2" s="1"/>
  <c r="T304" i="2" a="1"/>
  <c r="T304" i="2" s="1"/>
  <c r="U304" i="2" a="1"/>
  <c r="U304" i="2" s="1"/>
  <c r="T224" i="2" a="1"/>
  <c r="T224" i="2" s="1"/>
  <c r="U224" i="2" a="1"/>
  <c r="U224" i="2" s="1"/>
  <c r="T288" i="2" a="1"/>
  <c r="T288" i="2" s="1"/>
  <c r="U288" i="2" a="1"/>
  <c r="U288" i="2" s="1"/>
  <c r="T223" i="2" a="1"/>
  <c r="T223" i="2" s="1"/>
  <c r="U223" i="2" a="1"/>
  <c r="U223" i="2" s="1"/>
  <c r="T240" i="2" a="1"/>
  <c r="T240" i="2" s="1"/>
  <c r="U240" i="2" a="1"/>
  <c r="U240" i="2" s="1"/>
  <c r="T110" i="2" a="1"/>
  <c r="T110" i="2" s="1"/>
  <c r="U110" i="2" a="1"/>
  <c r="U110" i="2" s="1"/>
  <c r="T185" i="2" a="1"/>
  <c r="T185" i="2" s="1"/>
  <c r="U185" i="2" a="1"/>
  <c r="U185" i="2" s="1"/>
  <c r="T314" i="2" a="1"/>
  <c r="T314" i="2" s="1"/>
  <c r="U314" i="2" a="1"/>
  <c r="U314" i="2" s="1"/>
  <c r="T315" i="2" a="1"/>
  <c r="T315" i="2" s="1"/>
  <c r="U315" i="2" a="1"/>
  <c r="U315" i="2" s="1"/>
  <c r="T207" i="2" a="1"/>
  <c r="T207" i="2" s="1"/>
  <c r="U207" i="2" a="1"/>
  <c r="U207" i="2" s="1"/>
  <c r="T291" i="2" a="1"/>
  <c r="T291" i="2" s="1"/>
  <c r="U291" i="2" a="1"/>
  <c r="U291" i="2" s="1"/>
  <c r="T339" i="2" a="1"/>
  <c r="T339" i="2" s="1"/>
  <c r="U339" i="2" a="1"/>
  <c r="U339" i="2" s="1"/>
  <c r="T243" i="2" a="1"/>
  <c r="T243" i="2" s="1"/>
  <c r="U243" i="2" a="1"/>
  <c r="U243" i="2" s="1"/>
  <c r="T131" i="2" a="1"/>
  <c r="T131" i="2" s="1"/>
  <c r="U131" i="2" a="1"/>
  <c r="U131" i="2" s="1"/>
  <c r="R36" i="2" a="1"/>
  <c r="R36" i="2" s="1"/>
  <c r="Q89" i="2" a="1"/>
  <c r="Q89" i="2" s="1"/>
  <c r="J89" i="2" s="1" a="1"/>
  <c r="J89" i="2" s="1"/>
  <c r="S89" i="2" s="1"/>
  <c r="R32" i="2" a="1"/>
  <c r="R32" i="2" s="1"/>
  <c r="J32" i="2" s="1" a="1"/>
  <c r="J32" i="2" s="1"/>
  <c r="S32" i="2" s="1"/>
  <c r="Q90" i="2" a="1"/>
  <c r="Q90" i="2" s="1"/>
  <c r="Q21" i="2" a="1"/>
  <c r="Q21" i="2" s="1"/>
  <c r="R42" i="2" a="1"/>
  <c r="R42" i="2" s="1"/>
  <c r="Q65" i="2" a="1"/>
  <c r="Q65" i="2" s="1"/>
  <c r="Q15" i="2" a="1"/>
  <c r="Q15" i="2" s="1"/>
  <c r="R99" i="2" a="1"/>
  <c r="R99" i="2" s="1"/>
  <c r="Q48" i="2" a="1"/>
  <c r="Q48" i="2" s="1"/>
  <c r="J48" i="2" s="1" a="1"/>
  <c r="J48" i="2" s="1"/>
  <c r="R57" i="2" a="1"/>
  <c r="R57" i="2" s="1"/>
  <c r="R18" i="2" a="1"/>
  <c r="R18" i="2" s="1"/>
  <c r="R81" i="2" a="1"/>
  <c r="R81" i="2" s="1"/>
  <c r="Q20" i="2" a="1"/>
  <c r="Q20" i="2" s="1"/>
  <c r="J20" i="2" s="1" a="1"/>
  <c r="J20" i="2" s="1"/>
  <c r="Q17" i="2" a="1"/>
  <c r="Q17" i="2" s="1"/>
  <c r="R37" i="2" a="1"/>
  <c r="R37" i="2" s="1"/>
  <c r="Q37" i="2" a="1"/>
  <c r="Q37" i="2" s="1"/>
  <c r="Q25" i="2" a="1"/>
  <c r="Q25" i="2" s="1"/>
  <c r="R22" i="2" a="1"/>
  <c r="R22" i="2" s="1"/>
  <c r="R35" i="2" a="1"/>
  <c r="R35" i="2" s="1"/>
  <c r="R68" i="2" a="1"/>
  <c r="R68" i="2" s="1"/>
  <c r="Q68" i="2" a="1"/>
  <c r="Q68" i="2" s="1"/>
  <c r="R101" i="2" a="1"/>
  <c r="R101" i="2" s="1"/>
  <c r="Q101" i="2" a="1"/>
  <c r="Q101" i="2" s="1"/>
  <c r="Q98" i="2" a="1"/>
  <c r="Q98" i="2" s="1"/>
  <c r="R98" i="2" a="1"/>
  <c r="R98" i="2" s="1"/>
  <c r="J19" i="2" a="1"/>
  <c r="J19" i="2" s="1"/>
  <c r="Q95" i="2" a="1"/>
  <c r="Q95" i="2" s="1"/>
  <c r="R95" i="2" a="1"/>
  <c r="R95" i="2" s="1"/>
  <c r="R94" i="2" a="1"/>
  <c r="R94" i="2" s="1"/>
  <c r="Q94" i="2" a="1"/>
  <c r="Q94" i="2" s="1"/>
  <c r="R93" i="2" a="1"/>
  <c r="R93" i="2" s="1"/>
  <c r="Q93" i="2" a="1"/>
  <c r="Q93" i="2" s="1"/>
  <c r="R92" i="2" a="1"/>
  <c r="R92" i="2" s="1"/>
  <c r="Q92" i="2" a="1"/>
  <c r="Q92" i="2" s="1"/>
  <c r="R84" i="2" a="1"/>
  <c r="R84" i="2" s="1"/>
  <c r="Q84" i="2" a="1"/>
  <c r="Q84" i="2" s="1"/>
  <c r="Q83" i="2" a="1"/>
  <c r="Q83" i="2" s="1"/>
  <c r="R83" i="2" a="1"/>
  <c r="R83" i="2" s="1"/>
  <c r="Q82" i="2" a="1"/>
  <c r="Q82" i="2" s="1"/>
  <c r="R82" i="2" a="1"/>
  <c r="R82" i="2" s="1"/>
  <c r="Q79" i="2" a="1"/>
  <c r="Q79" i="2" s="1"/>
  <c r="R79" i="2" a="1"/>
  <c r="R79" i="2" s="1"/>
  <c r="R78" i="2" a="1"/>
  <c r="R78" i="2" s="1"/>
  <c r="Q78" i="2" a="1"/>
  <c r="Q78" i="2" s="1"/>
  <c r="R77" i="2" a="1"/>
  <c r="R77" i="2" s="1"/>
  <c r="Q77" i="2" a="1"/>
  <c r="Q77" i="2" s="1"/>
  <c r="Q76" i="2" a="1"/>
  <c r="Q76" i="2" s="1"/>
  <c r="R76" i="2" a="1"/>
  <c r="R76" i="2" s="1"/>
  <c r="Q75" i="2" a="1"/>
  <c r="Q75" i="2" s="1"/>
  <c r="R75" i="2" a="1"/>
  <c r="R75" i="2" s="1"/>
  <c r="R70" i="2" a="1"/>
  <c r="R70" i="2" s="1"/>
  <c r="Q70" i="2" a="1"/>
  <c r="Q70" i="2" s="1"/>
  <c r="R69" i="2" a="1"/>
  <c r="R69" i="2" s="1"/>
  <c r="Q69" i="2" a="1"/>
  <c r="Q69" i="2" s="1"/>
  <c r="Q63" i="2" a="1"/>
  <c r="Q63" i="2" s="1"/>
  <c r="R63" i="2" a="1"/>
  <c r="R63" i="2" s="1"/>
  <c r="R62" i="2" a="1"/>
  <c r="R62" i="2" s="1"/>
  <c r="Q62" i="2" a="1"/>
  <c r="Q62" i="2" s="1"/>
  <c r="R61" i="2" a="1"/>
  <c r="R61" i="2" s="1"/>
  <c r="Q61" i="2" a="1"/>
  <c r="Q61" i="2" s="1"/>
  <c r="R60" i="2" a="1"/>
  <c r="R60" i="2" s="1"/>
  <c r="Q60" i="2" a="1"/>
  <c r="Q60" i="2" s="1"/>
  <c r="R54" i="2" a="1"/>
  <c r="R54" i="2" s="1"/>
  <c r="Q54" i="2" a="1"/>
  <c r="Q54" i="2" s="1"/>
  <c r="Q53" i="2" a="1"/>
  <c r="Q53" i="2" s="1"/>
  <c r="R53" i="2" a="1"/>
  <c r="R53" i="2" s="1"/>
  <c r="R52" i="2" a="1"/>
  <c r="R52" i="2" s="1"/>
  <c r="Q52" i="2" a="1"/>
  <c r="Q52" i="2" s="1"/>
  <c r="Q51" i="2" a="1"/>
  <c r="Q51" i="2" s="1"/>
  <c r="R51" i="2" a="1"/>
  <c r="R51" i="2" s="1"/>
  <c r="Q50" i="2" a="1"/>
  <c r="Q50" i="2" s="1"/>
  <c r="R50" i="2" a="1"/>
  <c r="R50" i="2" s="1"/>
  <c r="Q47" i="2" a="1"/>
  <c r="Q47" i="2" s="1"/>
  <c r="R47" i="2" a="1"/>
  <c r="R47" i="2" s="1"/>
  <c r="R46" i="2" a="1"/>
  <c r="R46" i="2" s="1"/>
  <c r="Q46" i="2" a="1"/>
  <c r="Q46" i="2" s="1"/>
  <c r="R45" i="2" a="1"/>
  <c r="R45" i="2" s="1"/>
  <c r="Q45" i="2" a="1"/>
  <c r="Q45" i="2" s="1"/>
  <c r="R44" i="2" a="1"/>
  <c r="R44" i="2" s="1"/>
  <c r="Q44" i="2" a="1"/>
  <c r="Q44" i="2" s="1"/>
  <c r="Q43" i="2" a="1"/>
  <c r="Q43" i="2" s="1"/>
  <c r="R43" i="2" a="1"/>
  <c r="R43" i="2" s="1"/>
  <c r="Q38" i="2" a="1"/>
  <c r="Q38" i="2" s="1"/>
  <c r="R38" i="2" a="1"/>
  <c r="R38" i="2" s="1"/>
  <c r="Q34" i="2" a="1"/>
  <c r="Q34" i="2" s="1"/>
  <c r="R34" i="2" a="1"/>
  <c r="R34" i="2" s="1"/>
  <c r="Q31" i="2" a="1"/>
  <c r="Q31" i="2" s="1"/>
  <c r="R31" i="2" a="1"/>
  <c r="R31" i="2" s="1"/>
  <c r="R30" i="2" a="1"/>
  <c r="R30" i="2" s="1"/>
  <c r="Q30" i="2" a="1"/>
  <c r="Q30" i="2" s="1"/>
  <c r="R29" i="2" a="1"/>
  <c r="R29" i="2" s="1"/>
  <c r="Q29" i="2" a="1"/>
  <c r="Q29" i="2" s="1"/>
  <c r="R28" i="2" a="1"/>
  <c r="R28" i="2" s="1"/>
  <c r="Q28" i="2" a="1"/>
  <c r="Q28" i="2" s="1"/>
  <c r="Q27" i="2" a="1"/>
  <c r="Q27" i="2" s="1"/>
  <c r="R27" i="2" a="1"/>
  <c r="R27" i="2" s="1"/>
  <c r="Q100" i="2" a="1"/>
  <c r="Q100" i="2" s="1"/>
  <c r="Q102" i="2" a="1"/>
  <c r="Q102" i="2" s="1"/>
  <c r="Q91" i="2" a="1"/>
  <c r="Q91" i="2" s="1"/>
  <c r="R91" i="2" a="1"/>
  <c r="R91" i="2" s="1"/>
  <c r="Q88" i="2" a="1"/>
  <c r="Q88" i="2" s="1"/>
  <c r="R88" i="2" a="1"/>
  <c r="R88" i="2" s="1"/>
  <c r="R86" i="2" a="1"/>
  <c r="R86" i="2" s="1"/>
  <c r="Q86" i="2" a="1"/>
  <c r="Q86" i="2" s="1"/>
  <c r="R10" i="2" a="1"/>
  <c r="R10" i="2" s="1"/>
  <c r="Q10" i="2" a="1"/>
  <c r="Q10" i="2" s="1"/>
  <c r="R8" i="2" a="1"/>
  <c r="R8" i="2" s="1"/>
  <c r="Q8" i="2" a="1"/>
  <c r="Q8" i="2" s="1"/>
  <c r="Q6" i="2" a="1"/>
  <c r="Q6" i="2" s="1"/>
  <c r="R6" i="2" a="1"/>
  <c r="R6" i="2" s="1"/>
  <c r="R12" i="2" a="1"/>
  <c r="R12" i="2" s="1"/>
  <c r="Q12" i="2" a="1"/>
  <c r="Q12" i="2" s="1"/>
  <c r="R11" i="2" a="1"/>
  <c r="R11" i="2" s="1"/>
  <c r="Q11" i="2" a="1"/>
  <c r="Q11" i="2" s="1"/>
  <c r="Q9" i="2" a="1"/>
  <c r="Q9" i="2" s="1"/>
  <c r="R9" i="2" a="1"/>
  <c r="R9" i="2" s="1"/>
  <c r="R7" i="2" a="1"/>
  <c r="R7" i="2" s="1"/>
  <c r="Q7" i="2" a="1"/>
  <c r="Q7" i="2" s="1"/>
  <c r="I85" i="10" l="1"/>
  <c r="J86" i="10"/>
  <c r="J106" i="2" a="1"/>
  <c r="J106" i="2" s="1"/>
  <c r="J72" i="10"/>
  <c r="J64" i="10"/>
  <c r="I52" i="10"/>
  <c r="I8" i="10"/>
  <c r="K8" i="10" s="1"/>
  <c r="P8" i="10" s="1" a="1"/>
  <c r="P8" i="10" s="1"/>
  <c r="Q8" i="10" s="1" a="1"/>
  <c r="Q8" i="10" s="1"/>
  <c r="I22" i="10"/>
  <c r="I75" i="10"/>
  <c r="I14" i="10"/>
  <c r="K14" i="10" s="1"/>
  <c r="P14" i="10" s="1" a="1"/>
  <c r="P14" i="10" s="1"/>
  <c r="Q14" i="10" s="1" a="1"/>
  <c r="Q14" i="10" s="1"/>
  <c r="I26" i="10"/>
  <c r="K26" i="10" s="1"/>
  <c r="P26" i="10" s="1" a="1"/>
  <c r="P26" i="10" s="1"/>
  <c r="Q26" i="10" s="1" a="1"/>
  <c r="Q26" i="10" s="1"/>
  <c r="I17" i="10"/>
  <c r="J44" i="10"/>
  <c r="K44" i="10" s="1"/>
  <c r="I79" i="10"/>
  <c r="K79" i="10" s="1"/>
  <c r="I82" i="10"/>
  <c r="K82" i="10" s="1"/>
  <c r="J10" i="10"/>
  <c r="I18" i="10"/>
  <c r="K18" i="10" s="1"/>
  <c r="P18" i="10" s="1" a="1"/>
  <c r="P18" i="10" s="1"/>
  <c r="Q18" i="10" s="1" a="1"/>
  <c r="Q18" i="10" s="1"/>
  <c r="I7" i="10"/>
  <c r="K7" i="10" s="1"/>
  <c r="P7" i="10" s="1" a="1"/>
  <c r="P7" i="10" s="1"/>
  <c r="Q7" i="10" s="1" a="1"/>
  <c r="Q7" i="10" s="1"/>
  <c r="J41" i="10"/>
  <c r="K41" i="10" s="1"/>
  <c r="P41" i="10" s="1" a="1"/>
  <c r="P41" i="10" s="1"/>
  <c r="Q41" i="10" s="1" a="1"/>
  <c r="Q41" i="10" s="1"/>
  <c r="J27" i="10"/>
  <c r="I13" i="10"/>
  <c r="K13" i="10" s="1"/>
  <c r="J60" i="10"/>
  <c r="K60" i="10" s="1"/>
  <c r="P60" i="10" s="1" a="1"/>
  <c r="P60" i="10" s="1"/>
  <c r="Q60" i="10" s="1" a="1"/>
  <c r="Q60" i="10" s="1"/>
  <c r="J81" i="10"/>
  <c r="K81" i="10" s="1"/>
  <c r="P81" i="10" s="1" a="1"/>
  <c r="P81" i="10" s="1"/>
  <c r="Q81" i="10" s="1" a="1"/>
  <c r="Q81" i="10" s="1"/>
  <c r="J63" i="10"/>
  <c r="J65" i="10"/>
  <c r="I56" i="10"/>
  <c r="K56" i="10" s="1"/>
  <c r="J15" i="10"/>
  <c r="K15" i="10" s="1"/>
  <c r="P15" i="10" s="1" a="1"/>
  <c r="P15" i="10" s="1"/>
  <c r="Q15" i="10" s="1" a="1"/>
  <c r="Q15" i="10" s="1"/>
  <c r="J16" i="10"/>
  <c r="K16" i="10" s="1"/>
  <c r="J83" i="10"/>
  <c r="K83" i="10" s="1"/>
  <c r="P83" i="10" s="1" a="1"/>
  <c r="P83" i="10" s="1"/>
  <c r="Q83" i="10" s="1" a="1"/>
  <c r="Q83" i="10" s="1"/>
  <c r="I43" i="10"/>
  <c r="K43" i="10" s="1"/>
  <c r="I51" i="10"/>
  <c r="K51" i="10" s="1"/>
  <c r="P51" i="10" s="1" a="1"/>
  <c r="P51" i="10" s="1"/>
  <c r="Q51" i="10" s="1" a="1"/>
  <c r="Q51" i="10" s="1"/>
  <c r="I68" i="10"/>
  <c r="K68" i="10" s="1"/>
  <c r="P68" i="10" s="1" a="1"/>
  <c r="P68" i="10" s="1"/>
  <c r="Q68" i="10" s="1" a="1"/>
  <c r="Q68" i="10" s="1"/>
  <c r="I34" i="10"/>
  <c r="I29" i="10"/>
  <c r="K29" i="10" s="1"/>
  <c r="I61" i="10"/>
  <c r="K61" i="10" s="1"/>
  <c r="P61" i="10" s="1" a="1"/>
  <c r="P61" i="10" s="1"/>
  <c r="Q61" i="10" s="1" a="1"/>
  <c r="Q61" i="10" s="1"/>
  <c r="J38" i="10"/>
  <c r="K38" i="10" s="1"/>
  <c r="I20" i="10"/>
  <c r="K20" i="10" s="1"/>
  <c r="J76" i="10"/>
  <c r="K76" i="10" s="1"/>
  <c r="J21" i="10"/>
  <c r="K21" i="10" s="1"/>
  <c r="P21" i="10" s="1" a="1"/>
  <c r="P21" i="10" s="1"/>
  <c r="Q21" i="10" s="1" a="1"/>
  <c r="Q21" i="10" s="1"/>
  <c r="J71" i="10"/>
  <c r="K71" i="10" s="1"/>
  <c r="I80" i="10"/>
  <c r="K80" i="10" s="1"/>
  <c r="I57" i="10"/>
  <c r="K57" i="10" s="1"/>
  <c r="P57" i="10" s="1" a="1"/>
  <c r="P57" i="10" s="1"/>
  <c r="Q57" i="10" s="1" a="1"/>
  <c r="Q57" i="10" s="1"/>
  <c r="J30" i="10"/>
  <c r="K30" i="10" s="1"/>
  <c r="I78" i="10"/>
  <c r="K78" i="10" s="1"/>
  <c r="J42" i="10"/>
  <c r="K42" i="10" s="1"/>
  <c r="P42" i="10" s="1" a="1"/>
  <c r="P42" i="10" s="1"/>
  <c r="Q42" i="10" s="1" a="1"/>
  <c r="Q42" i="10" s="1"/>
  <c r="J33" i="10"/>
  <c r="K33" i="10" s="1"/>
  <c r="J37" i="10"/>
  <c r="K37" i="10" s="1"/>
  <c r="P37" i="10" s="1" a="1"/>
  <c r="P37" i="10" s="1"/>
  <c r="Q37" i="10" s="1" a="1"/>
  <c r="Q37" i="10" s="1"/>
  <c r="J11" i="10"/>
  <c r="K11" i="10" s="1"/>
  <c r="I77" i="10"/>
  <c r="K77" i="10" s="1"/>
  <c r="P77" i="10" s="1" a="1"/>
  <c r="P77" i="10" s="1"/>
  <c r="Q77" i="10" s="1" a="1"/>
  <c r="Q77" i="10" s="1"/>
  <c r="J28" i="10"/>
  <c r="K28" i="10" s="1"/>
  <c r="P28" i="10" s="1" a="1"/>
  <c r="P28" i="10" s="1"/>
  <c r="Q28" i="10" s="1" a="1"/>
  <c r="Q28" i="10" s="1"/>
  <c r="I89" i="10"/>
  <c r="K89" i="10" s="1"/>
  <c r="I48" i="10"/>
  <c r="K48" i="10" s="1"/>
  <c r="I25" i="10"/>
  <c r="K25" i="10" s="1"/>
  <c r="P25" i="10" s="1" a="1"/>
  <c r="P25" i="10" s="1"/>
  <c r="Q25" i="10" s="1" a="1"/>
  <c r="Q25" i="10" s="1"/>
  <c r="J88" i="10"/>
  <c r="K88" i="10" s="1"/>
  <c r="J24" i="10"/>
  <c r="K24" i="10" s="1"/>
  <c r="P24" i="10" s="1" a="1"/>
  <c r="P24" i="10" s="1"/>
  <c r="Q24" i="10" s="1" a="1"/>
  <c r="Q24" i="10" s="1"/>
  <c r="I66" i="10"/>
  <c r="K66" i="10" s="1"/>
  <c r="J31" i="10"/>
  <c r="K31" i="10" s="1"/>
  <c r="P31" i="10" s="1" a="1"/>
  <c r="P31" i="10" s="1"/>
  <c r="Q31" i="10" s="1" a="1"/>
  <c r="Q31" i="10" s="1"/>
  <c r="J39" i="10"/>
  <c r="K39" i="10" s="1"/>
  <c r="P39" i="10" s="1" a="1"/>
  <c r="P39" i="10" s="1"/>
  <c r="Q39" i="10" s="1" a="1"/>
  <c r="Q39" i="10" s="1"/>
  <c r="I6" i="10"/>
  <c r="J6" i="10"/>
  <c r="U109" i="2" a="1"/>
  <c r="U109" i="2" s="1"/>
  <c r="T109" i="2" a="1"/>
  <c r="T109" i="2" s="1"/>
  <c r="J80" i="2" a="1"/>
  <c r="J80" i="2" s="1"/>
  <c r="S80" i="2" s="1"/>
  <c r="U80" i="2" s="1" a="1"/>
  <c r="U80" i="2" s="1"/>
  <c r="J41" i="2" a="1"/>
  <c r="J41" i="2" s="1"/>
  <c r="J55" i="2" a="1"/>
  <c r="J55" i="2" s="1"/>
  <c r="J14" i="2" a="1"/>
  <c r="J14" i="2" s="1"/>
  <c r="J15" i="2" a="1"/>
  <c r="J15" i="2" s="1"/>
  <c r="K86" i="10"/>
  <c r="K84" i="10"/>
  <c r="P84" i="10" s="1" a="1"/>
  <c r="P84" i="10" s="1"/>
  <c r="Q84" i="10" s="1" a="1"/>
  <c r="Q84" i="10" s="1"/>
  <c r="K70" i="10"/>
  <c r="P70" i="10" s="1" a="1"/>
  <c r="P70" i="10" s="1"/>
  <c r="Q70" i="10" s="1" a="1"/>
  <c r="Q70" i="10" s="1"/>
  <c r="K52" i="10"/>
  <c r="P52" i="10" s="1" a="1"/>
  <c r="P52" i="10" s="1"/>
  <c r="Q52" i="10" s="1" a="1"/>
  <c r="Q52" i="10" s="1"/>
  <c r="K36" i="10"/>
  <c r="P36" i="10" s="1" a="1"/>
  <c r="P36" i="10" s="1"/>
  <c r="Q36" i="10" s="1" a="1"/>
  <c r="Q36" i="10" s="1"/>
  <c r="K12" i="10"/>
  <c r="P12" i="10" s="1" a="1"/>
  <c r="P12" i="10" s="1"/>
  <c r="Q12" i="10" s="1" a="1"/>
  <c r="Q12" i="10" s="1"/>
  <c r="J99" i="2" a="1"/>
  <c r="J99" i="2" s="1"/>
  <c r="K75" i="10"/>
  <c r="P75" i="10" s="1" a="1"/>
  <c r="P75" i="10" s="1"/>
  <c r="Q75" i="10" s="1" a="1"/>
  <c r="Q75" i="10" s="1"/>
  <c r="K67" i="10"/>
  <c r="P67" i="10" s="1" a="1"/>
  <c r="P67" i="10" s="1"/>
  <c r="Q67" i="10" s="1" a="1"/>
  <c r="Q67" i="10" s="1"/>
  <c r="K59" i="10"/>
  <c r="P59" i="10" s="1" a="1"/>
  <c r="P59" i="10" s="1"/>
  <c r="Q59" i="10" s="1" a="1"/>
  <c r="Q59" i="10" s="1"/>
  <c r="T72" i="2" a="1"/>
  <c r="T72" i="2" s="1"/>
  <c r="D72" i="2" s="1"/>
  <c r="R4" i="12"/>
  <c r="W4" i="12" s="1" a="1"/>
  <c r="W4" i="12" s="1"/>
  <c r="X4" i="12" s="1" a="1"/>
  <c r="X4" i="12" s="1"/>
  <c r="Z4" i="12" s="1" a="1"/>
  <c r="Z4" i="12" s="1"/>
  <c r="D4" i="12" s="1"/>
  <c r="J107" i="2" a="1"/>
  <c r="J107" i="2" s="1"/>
  <c r="S106" i="2"/>
  <c r="U106" i="2" s="1" a="1"/>
  <c r="U106" i="2" s="1"/>
  <c r="K73" i="10"/>
  <c r="P73" i="10" s="1" a="1"/>
  <c r="P73" i="10" s="1"/>
  <c r="Q73" i="10" s="1" a="1"/>
  <c r="Q73" i="10" s="1"/>
  <c r="K65" i="10"/>
  <c r="K17" i="10"/>
  <c r="K9" i="10"/>
  <c r="K87" i="10"/>
  <c r="P87" i="10" s="1" a="1"/>
  <c r="P87" i="10" s="1"/>
  <c r="Q87" i="10" s="1" a="1"/>
  <c r="Q87" i="10" s="1"/>
  <c r="K63" i="10"/>
  <c r="P63" i="10" s="1" a="1"/>
  <c r="P63" i="10" s="1"/>
  <c r="Q63" i="10" s="1" a="1"/>
  <c r="Q63" i="10" s="1"/>
  <c r="K74" i="10"/>
  <c r="P74" i="10" s="1" a="1"/>
  <c r="P74" i="10" s="1"/>
  <c r="Q74" i="10" s="1" a="1"/>
  <c r="Q74" i="10" s="1"/>
  <c r="K55" i="10"/>
  <c r="P55" i="10" s="1" a="1"/>
  <c r="P55" i="10" s="1"/>
  <c r="Q55" i="10" s="1" a="1"/>
  <c r="Q55" i="10" s="1"/>
  <c r="K47" i="10"/>
  <c r="P47" i="10" s="1" a="1"/>
  <c r="P47" i="10" s="1"/>
  <c r="Q47" i="10" s="1" a="1"/>
  <c r="Q47" i="10" s="1"/>
  <c r="K23" i="10"/>
  <c r="P23" i="10" s="1" a="1"/>
  <c r="P23" i="10" s="1"/>
  <c r="Q23" i="10" s="1" a="1"/>
  <c r="Q23" i="10" s="1"/>
  <c r="I4" i="12" a="1"/>
  <c r="I4" i="12" s="1"/>
  <c r="J88" i="2" a="1"/>
  <c r="J88" i="2" s="1"/>
  <c r="T73" i="2" a="1"/>
  <c r="T73" i="2" s="1"/>
  <c r="J79" i="2" a="1"/>
  <c r="J79" i="2" s="1"/>
  <c r="J95" i="2" a="1"/>
  <c r="J95" i="2" s="1"/>
  <c r="S96" i="2" s="1"/>
  <c r="T96" i="2" s="1" a="1"/>
  <c r="T96" i="2" s="1"/>
  <c r="J63" i="2" a="1"/>
  <c r="J63" i="2" s="1"/>
  <c r="K62" i="10"/>
  <c r="K54" i="10"/>
  <c r="K46" i="10"/>
  <c r="P46" i="10" s="1" a="1"/>
  <c r="P46" i="10" s="1"/>
  <c r="Q46" i="10" s="1" a="1"/>
  <c r="Q46" i="10" s="1"/>
  <c r="K22" i="10"/>
  <c r="J38" i="2" a="1"/>
  <c r="J38" i="2" s="1"/>
  <c r="S39" i="2" s="1"/>
  <c r="U39" i="2" s="1" a="1"/>
  <c r="U39" i="2" s="1"/>
  <c r="S14" i="2"/>
  <c r="U14" i="2" s="1" a="1"/>
  <c r="U14" i="2" s="1"/>
  <c r="J42" i="2" a="1"/>
  <c r="J42" i="2" s="1"/>
  <c r="S20" i="2"/>
  <c r="U20" i="2" s="1" a="1"/>
  <c r="U20" i="2" s="1"/>
  <c r="K35" i="10"/>
  <c r="K27" i="10"/>
  <c r="P27" i="10" s="1" a="1"/>
  <c r="P27" i="10" s="1"/>
  <c r="Q27" i="10" s="1" a="1"/>
  <c r="Q27" i="10" s="1"/>
  <c r="K19" i="10"/>
  <c r="P19" i="10" s="1" a="1"/>
  <c r="P19" i="10" s="1"/>
  <c r="Q19" i="10" s="1" a="1"/>
  <c r="Q19" i="10" s="1"/>
  <c r="K58" i="10"/>
  <c r="P58" i="10" s="1" a="1"/>
  <c r="P58" i="10" s="1"/>
  <c r="Q58" i="10" s="1" a="1"/>
  <c r="Q58" i="10" s="1"/>
  <c r="K50" i="10"/>
  <c r="K34" i="10"/>
  <c r="K10" i="10"/>
  <c r="P10" i="10" s="1" a="1"/>
  <c r="P10" i="10" s="1"/>
  <c r="Q10" i="10" s="1" a="1"/>
  <c r="Q10" i="10" s="1"/>
  <c r="K49" i="10"/>
  <c r="P49" i="10" s="1" a="1"/>
  <c r="P49" i="10" s="1"/>
  <c r="Q49" i="10" s="1" a="1"/>
  <c r="Q49" i="10" s="1"/>
  <c r="K72" i="10"/>
  <c r="K64" i="10"/>
  <c r="P64" i="10" s="1" a="1"/>
  <c r="P64" i="10" s="1"/>
  <c r="Q64" i="10" s="1" a="1"/>
  <c r="Q64" i="10" s="1"/>
  <c r="K40" i="10"/>
  <c r="K32" i="10"/>
  <c r="P32" i="10" s="1" a="1"/>
  <c r="P32" i="10" s="1"/>
  <c r="Q32" i="10" s="1" a="1"/>
  <c r="Q32" i="10" s="1"/>
  <c r="K85" i="10"/>
  <c r="P85" i="10" s="1" a="1"/>
  <c r="P85" i="10" s="1"/>
  <c r="Q85" i="10" s="1" a="1"/>
  <c r="Q85" i="10" s="1"/>
  <c r="K69" i="10"/>
  <c r="P69" i="10" s="1" a="1"/>
  <c r="P69" i="10" s="1"/>
  <c r="Q69" i="10" s="1" a="1"/>
  <c r="Q69" i="10" s="1"/>
  <c r="K53" i="10"/>
  <c r="K45" i="10"/>
  <c r="J12" i="2" a="1"/>
  <c r="J12" i="2" s="1"/>
  <c r="S13" i="2" s="1"/>
  <c r="U13" i="2" s="1" a="1"/>
  <c r="U13" i="2" s="1"/>
  <c r="E13" i="2" s="1"/>
  <c r="J86" i="2" a="1"/>
  <c r="J86" i="2" s="1"/>
  <c r="J101" i="2" a="1"/>
  <c r="J101" i="2" s="1"/>
  <c r="J102" i="2" a="1"/>
  <c r="J102" i="2" s="1"/>
  <c r="S103" i="2" s="1"/>
  <c r="T103" i="2" s="1" a="1"/>
  <c r="T103" i="2" s="1"/>
  <c r="J52" i="2" a="1"/>
  <c r="J52" i="2" s="1"/>
  <c r="J54" i="2" a="1"/>
  <c r="J54" i="2" s="1"/>
  <c r="S55" i="2" s="1"/>
  <c r="J70" i="2" a="1"/>
  <c r="J70" i="2" s="1"/>
  <c r="S71" i="2" s="1"/>
  <c r="J84" i="2" a="1"/>
  <c r="J84" i="2" s="1"/>
  <c r="S16" i="2"/>
  <c r="U16" i="2" s="1" a="1"/>
  <c r="U16" i="2" s="1"/>
  <c r="J34" i="2" a="1"/>
  <c r="J34" i="2" s="1"/>
  <c r="S34" i="2" s="1"/>
  <c r="J21" i="2" a="1"/>
  <c r="J21" i="2" s="1"/>
  <c r="J22" i="2" a="1"/>
  <c r="J22" i="2" s="1"/>
  <c r="S23" i="2" s="1"/>
  <c r="J24" i="2" a="1"/>
  <c r="J24" i="2" s="1"/>
  <c r="J25" i="2" a="1"/>
  <c r="J25" i="2" s="1"/>
  <c r="J17" i="2" a="1"/>
  <c r="J17" i="2" s="1"/>
  <c r="J18" i="2" a="1"/>
  <c r="J18" i="2" s="1"/>
  <c r="S19" i="2" s="1"/>
  <c r="J56" i="2" a="1"/>
  <c r="J56" i="2" s="1"/>
  <c r="J57" i="2" a="1"/>
  <c r="J57" i="2" s="1"/>
  <c r="J47" i="2" a="1"/>
  <c r="J47" i="2" s="1"/>
  <c r="S48" i="2" s="1"/>
  <c r="T48" i="2" s="1" a="1"/>
  <c r="T48" i="2" s="1"/>
  <c r="J98" i="2" a="1"/>
  <c r="J98" i="2" s="1"/>
  <c r="S99" i="2" s="1"/>
  <c r="U99" i="2" s="1" a="1"/>
  <c r="U99" i="2" s="1"/>
  <c r="S15" i="2"/>
  <c r="U15" i="2" s="1" a="1"/>
  <c r="U15" i="2" s="1"/>
  <c r="J64" i="2" a="1"/>
  <c r="J64" i="2" s="1"/>
  <c r="J65" i="2" a="1"/>
  <c r="J65" i="2" s="1"/>
  <c r="S42" i="2"/>
  <c r="U42" i="2" s="1" a="1"/>
  <c r="U42" i="2" s="1"/>
  <c r="J31" i="2" a="1"/>
  <c r="J31" i="2" s="1"/>
  <c r="S31" i="2" s="1"/>
  <c r="J35" i="2" a="1"/>
  <c r="J35" i="2" s="1"/>
  <c r="S108" i="2"/>
  <c r="S107" i="2"/>
  <c r="S105" i="2"/>
  <c r="S104" i="2"/>
  <c r="E72" i="2"/>
  <c r="S41" i="2"/>
  <c r="S40" i="2"/>
  <c r="T58" i="2" a="1"/>
  <c r="T58" i="2" s="1"/>
  <c r="U58" i="2" a="1"/>
  <c r="U58" i="2" s="1"/>
  <c r="T89" i="2" a="1"/>
  <c r="T89" i="2" s="1"/>
  <c r="U89" i="2" a="1"/>
  <c r="U89" i="2" s="1"/>
  <c r="T66" i="2" a="1"/>
  <c r="T66" i="2" s="1"/>
  <c r="U66" i="2" a="1"/>
  <c r="U66" i="2" s="1"/>
  <c r="T32" i="2" a="1"/>
  <c r="T32" i="2" s="1"/>
  <c r="U32" i="2" a="1"/>
  <c r="U32" i="2" s="1"/>
  <c r="J67" i="2" a="1"/>
  <c r="J67" i="2" s="1"/>
  <c r="J36" i="2" a="1"/>
  <c r="J36" i="2" s="1"/>
  <c r="J97" i="2" a="1"/>
  <c r="J97" i="2" s="1"/>
  <c r="J5" i="2" a="1"/>
  <c r="J5" i="2" s="1"/>
  <c r="J94" i="2" a="1"/>
  <c r="J94" i="2" s="1"/>
  <c r="J90" i="2" a="1"/>
  <c r="J90" i="2" s="1"/>
  <c r="S90" i="2" s="1"/>
  <c r="J37" i="2" a="1"/>
  <c r="J37" i="2" s="1"/>
  <c r="J26" i="2" a="1"/>
  <c r="J26" i="2" s="1"/>
  <c r="J33" i="2" a="1"/>
  <c r="J33" i="2" s="1"/>
  <c r="S33" i="2" s="1"/>
  <c r="J50" i="2" a="1"/>
  <c r="J50" i="2" s="1"/>
  <c r="J75" i="2" a="1"/>
  <c r="J75" i="2" s="1"/>
  <c r="J30" i="2" a="1"/>
  <c r="J30" i="2" s="1"/>
  <c r="J49" i="2" a="1"/>
  <c r="J49" i="2" s="1"/>
  <c r="J62" i="2" a="1"/>
  <c r="J62" i="2" s="1"/>
  <c r="J81" i="2" a="1"/>
  <c r="J81" i="2" s="1"/>
  <c r="J87" i="2" a="1"/>
  <c r="J87" i="2" s="1"/>
  <c r="S88" i="2" s="1"/>
  <c r="J82" i="2" a="1"/>
  <c r="J82" i="2" s="1"/>
  <c r="J74" i="2" a="1"/>
  <c r="J74" i="2" s="1"/>
  <c r="J8" i="2" a="1"/>
  <c r="J8" i="2" s="1"/>
  <c r="S8" i="2" s="1"/>
  <c r="U8" i="2" s="1" a="1"/>
  <c r="U8" i="2" s="1"/>
  <c r="J46" i="2" a="1"/>
  <c r="J46" i="2" s="1"/>
  <c r="J78" i="2" a="1"/>
  <c r="J78" i="2" s="1"/>
  <c r="S79" i="2" s="1"/>
  <c r="J100" i="2" a="1"/>
  <c r="J100" i="2" s="1"/>
  <c r="J6" i="2" a="1"/>
  <c r="J6" i="2" s="1"/>
  <c r="S6" i="2" s="1"/>
  <c r="U6" i="2" s="1" a="1"/>
  <c r="U6" i="2" s="1"/>
  <c r="E5" i="2" s="1"/>
  <c r="J10" i="2" a="1"/>
  <c r="J10" i="2" s="1"/>
  <c r="J11" i="2" a="1"/>
  <c r="J11" i="2" s="1"/>
  <c r="S11" i="2" s="1"/>
  <c r="U11" i="2" s="1" a="1"/>
  <c r="U11" i="2" s="1"/>
  <c r="J7" i="2" a="1"/>
  <c r="J7" i="2" s="1"/>
  <c r="J9" i="2" a="1"/>
  <c r="J9" i="2" s="1"/>
  <c r="J85" i="2" a="1"/>
  <c r="J85" i="2" s="1"/>
  <c r="J27" i="2" a="1"/>
  <c r="J27" i="2" s="1"/>
  <c r="S27" i="2" s="1"/>
  <c r="J28" i="2" a="1"/>
  <c r="J28" i="2" s="1"/>
  <c r="J29" i="2" a="1"/>
  <c r="J29" i="2" s="1"/>
  <c r="J43" i="2" a="1"/>
  <c r="J43" i="2" s="1"/>
  <c r="S43" i="2" s="1"/>
  <c r="J44" i="2" a="1"/>
  <c r="J44" i="2" s="1"/>
  <c r="J45" i="2" a="1"/>
  <c r="J45" i="2" s="1"/>
  <c r="J51" i="2" a="1"/>
  <c r="J51" i="2" s="1"/>
  <c r="J53" i="2" a="1"/>
  <c r="J53" i="2" s="1"/>
  <c r="J59" i="2" a="1"/>
  <c r="J59" i="2" s="1"/>
  <c r="J60" i="2" a="1"/>
  <c r="J60" i="2" s="1"/>
  <c r="J61" i="2" a="1"/>
  <c r="J61" i="2" s="1"/>
  <c r="J68" i="2" a="1"/>
  <c r="J68" i="2" s="1"/>
  <c r="J69" i="2" a="1"/>
  <c r="J69" i="2" s="1"/>
  <c r="S69" i="2" s="1"/>
  <c r="U69" i="2" s="1" a="1"/>
  <c r="U69" i="2" s="1"/>
  <c r="J76" i="2" a="1"/>
  <c r="J76" i="2" s="1"/>
  <c r="J77" i="2" a="1"/>
  <c r="J77" i="2" s="1"/>
  <c r="J83" i="2" a="1"/>
  <c r="J83" i="2" s="1"/>
  <c r="J91" i="2" a="1"/>
  <c r="J91" i="2" s="1"/>
  <c r="S91" i="2" s="1"/>
  <c r="J92" i="2" a="1"/>
  <c r="J92" i="2" s="1"/>
  <c r="J93" i="2" a="1"/>
  <c r="J93" i="2" s="1"/>
  <c r="S95" i="2"/>
  <c r="AA28" i="10" l="1"/>
  <c r="P48" i="10" a="1"/>
  <c r="P48" i="10" s="1"/>
  <c r="Q48" i="10" s="1" a="1"/>
  <c r="Q48" i="10" s="1"/>
  <c r="R37" i="10"/>
  <c r="S37" i="10"/>
  <c r="P40" i="10" a="1"/>
  <c r="P40" i="10" s="1"/>
  <c r="Q40" i="10" s="1" a="1"/>
  <c r="Q40" i="10" s="1"/>
  <c r="R77" i="10"/>
  <c r="S77" i="10"/>
  <c r="P16" i="10" a="1"/>
  <c r="P16" i="10" s="1"/>
  <c r="Q16" i="10" s="1" a="1"/>
  <c r="Q16" i="10" s="1"/>
  <c r="P80" i="10" a="1"/>
  <c r="P80" i="10" s="1"/>
  <c r="Q80" i="10" s="1" a="1"/>
  <c r="Q80" i="10" s="1"/>
  <c r="S8" i="10"/>
  <c r="R8" i="10"/>
  <c r="P34" i="10" a="1"/>
  <c r="P34" i="10" s="1"/>
  <c r="Q34" i="10" s="1" a="1"/>
  <c r="Q34" i="10" s="1"/>
  <c r="S19" i="10"/>
  <c r="R19" i="10"/>
  <c r="P22" i="10" a="1"/>
  <c r="P22" i="10" s="1"/>
  <c r="Q22" i="10" s="1" a="1"/>
  <c r="Q22" i="10" s="1"/>
  <c r="P54" i="10" a="1"/>
  <c r="P54" i="10" s="1"/>
  <c r="Q54" i="10" s="1" a="1"/>
  <c r="Q54" i="10" s="1"/>
  <c r="S15" i="10"/>
  <c r="R15" i="10"/>
  <c r="S47" i="10"/>
  <c r="R47" i="10"/>
  <c r="S87" i="10"/>
  <c r="R87" i="10"/>
  <c r="P33" i="10" a="1"/>
  <c r="P33" i="10" s="1"/>
  <c r="Q33" i="10" s="1" a="1"/>
  <c r="Q33" i="10" s="1"/>
  <c r="S73" i="10"/>
  <c r="R73" i="10"/>
  <c r="S51" i="10"/>
  <c r="R51" i="10"/>
  <c r="S83" i="10"/>
  <c r="R83" i="10"/>
  <c r="R28" i="10"/>
  <c r="S28" i="10"/>
  <c r="R60" i="10"/>
  <c r="S60" i="10"/>
  <c r="P78" i="10" a="1"/>
  <c r="P78" i="10" s="1"/>
  <c r="Q78" i="10" s="1" a="1"/>
  <c r="Q78" i="10" s="1"/>
  <c r="S26" i="10"/>
  <c r="R26" i="10"/>
  <c r="P11" i="10" a="1"/>
  <c r="P11" i="10" s="1"/>
  <c r="Q11" i="10" s="1" a="1"/>
  <c r="Q11" i="10" s="1"/>
  <c r="S7" i="10"/>
  <c r="R7" i="10"/>
  <c r="S75" i="10"/>
  <c r="R75" i="10"/>
  <c r="P20" i="10" a="1"/>
  <c r="P20" i="10" s="1"/>
  <c r="Q20" i="10" s="1" a="1"/>
  <c r="Q20" i="10" s="1"/>
  <c r="P13" i="10" a="1"/>
  <c r="P13" i="10" s="1"/>
  <c r="Q13" i="10" s="1" a="1"/>
  <c r="Q13" i="10" s="1"/>
  <c r="R85" i="10"/>
  <c r="S85" i="10"/>
  <c r="S10" i="10"/>
  <c r="R10" i="10"/>
  <c r="S42" i="10"/>
  <c r="R42" i="10"/>
  <c r="S27" i="10"/>
  <c r="R27" i="10"/>
  <c r="P30" i="10" a="1"/>
  <c r="P30" i="10" s="1"/>
  <c r="Q30" i="10" s="1" a="1"/>
  <c r="Q30" i="10" s="1"/>
  <c r="P62" i="10" a="1"/>
  <c r="P62" i="10" s="1"/>
  <c r="Q62" i="10" s="1" a="1"/>
  <c r="Q62" i="10" s="1"/>
  <c r="S23" i="10"/>
  <c r="R23" i="10"/>
  <c r="S55" i="10"/>
  <c r="R55" i="10"/>
  <c r="P9" i="10" a="1"/>
  <c r="P9" i="10" s="1"/>
  <c r="Q9" i="10" s="1" a="1"/>
  <c r="Q9" i="10" s="1"/>
  <c r="S41" i="10"/>
  <c r="R41" i="10"/>
  <c r="S81" i="10"/>
  <c r="R81" i="10"/>
  <c r="S59" i="10"/>
  <c r="R59" i="10"/>
  <c r="R36" i="10"/>
  <c r="S36" i="10"/>
  <c r="R68" i="10"/>
  <c r="S68" i="10"/>
  <c r="R84" i="10"/>
  <c r="S84" i="10"/>
  <c r="R69" i="10"/>
  <c r="S69" i="10"/>
  <c r="P66" i="10" a="1"/>
  <c r="P66" i="10" s="1"/>
  <c r="Q66" i="10" s="1" a="1"/>
  <c r="Q66" i="10" s="1"/>
  <c r="P72" i="10" a="1"/>
  <c r="P72" i="10" s="1"/>
  <c r="Q72" i="10" s="1" a="1"/>
  <c r="Q72" i="10" s="1"/>
  <c r="P82" i="10" a="1"/>
  <c r="P82" i="10" s="1"/>
  <c r="Q82" i="10" s="1" a="1"/>
  <c r="Q82" i="10" s="1"/>
  <c r="S58" i="10"/>
  <c r="R58" i="10"/>
  <c r="S14" i="10"/>
  <c r="R14" i="10"/>
  <c r="S46" i="10"/>
  <c r="R46" i="10"/>
  <c r="S39" i="10"/>
  <c r="R39" i="10"/>
  <c r="P79" i="10" a="1"/>
  <c r="P79" i="10" s="1"/>
  <c r="Q79" i="10" s="1" a="1"/>
  <c r="Q79" i="10" s="1"/>
  <c r="S25" i="10"/>
  <c r="R25" i="10"/>
  <c r="P65" i="10" a="1"/>
  <c r="P65" i="10" s="1"/>
  <c r="Q65" i="10" s="1" a="1"/>
  <c r="Q65" i="10" s="1"/>
  <c r="P43" i="10" a="1"/>
  <c r="P43" i="10" s="1"/>
  <c r="Q43" i="10" s="1" a="1"/>
  <c r="Q43" i="10" s="1"/>
  <c r="R52" i="10"/>
  <c r="S52" i="10"/>
  <c r="P76" i="10" a="1"/>
  <c r="P76" i="10" s="1"/>
  <c r="Q76" i="10" s="1" a="1"/>
  <c r="Q76" i="10" s="1"/>
  <c r="P45" i="10" a="1"/>
  <c r="P45" i="10" s="1"/>
  <c r="Q45" i="10" s="1" a="1"/>
  <c r="Q45" i="10" s="1"/>
  <c r="R21" i="10"/>
  <c r="S21" i="10"/>
  <c r="P53" i="10" a="1"/>
  <c r="P53" i="10" s="1"/>
  <c r="Q53" i="10" s="1" a="1"/>
  <c r="Q53" i="10" s="1"/>
  <c r="S24" i="10"/>
  <c r="R24" i="10"/>
  <c r="P56" i="10" a="1"/>
  <c r="P56" i="10" s="1"/>
  <c r="Q56" i="10" s="1" a="1"/>
  <c r="Q56" i="10" s="1"/>
  <c r="P88" i="10" a="1"/>
  <c r="P88" i="10" s="1"/>
  <c r="Q88" i="10" s="1" a="1"/>
  <c r="Q88" i="10" s="1"/>
  <c r="P29" i="10" a="1"/>
  <c r="P29" i="10" s="1"/>
  <c r="Q29" i="10" s="1" a="1"/>
  <c r="Q29" i="10" s="1"/>
  <c r="R61" i="10"/>
  <c r="S61" i="10"/>
  <c r="P71" i="10" a="1"/>
  <c r="P71" i="10" s="1"/>
  <c r="Q71" i="10" s="1" a="1"/>
  <c r="Q71" i="10" s="1"/>
  <c r="S32" i="10"/>
  <c r="R32" i="10"/>
  <c r="S64" i="10"/>
  <c r="R64" i="10"/>
  <c r="S49" i="10"/>
  <c r="R49" i="10"/>
  <c r="S18" i="10"/>
  <c r="R18" i="10"/>
  <c r="P50" i="10" a="1"/>
  <c r="P50" i="10" s="1"/>
  <c r="Q50" i="10" s="1" a="1"/>
  <c r="Q50" i="10" s="1"/>
  <c r="P35" i="10" a="1"/>
  <c r="P35" i="10" s="1"/>
  <c r="Q35" i="10" s="1" a="1"/>
  <c r="Q35" i="10" s="1"/>
  <c r="P38" i="10" a="1"/>
  <c r="P38" i="10" s="1"/>
  <c r="Q38" i="10" s="1" a="1"/>
  <c r="Q38" i="10" s="1"/>
  <c r="S31" i="10"/>
  <c r="R31" i="10"/>
  <c r="S74" i="10"/>
  <c r="R74" i="10"/>
  <c r="S63" i="10"/>
  <c r="R63" i="10"/>
  <c r="P17" i="10" a="1"/>
  <c r="P17" i="10" s="1"/>
  <c r="Q17" i="10" s="1" a="1"/>
  <c r="Q17" i="10" s="1"/>
  <c r="S57" i="10"/>
  <c r="R57" i="10"/>
  <c r="P89" i="10" a="1"/>
  <c r="P89" i="10" s="1"/>
  <c r="Q89" i="10" s="1" a="1"/>
  <c r="Q89" i="10" s="1"/>
  <c r="S67" i="10"/>
  <c r="R67" i="10"/>
  <c r="R12" i="10"/>
  <c r="S12" i="10"/>
  <c r="P44" i="10" a="1"/>
  <c r="P44" i="10" s="1"/>
  <c r="Q44" i="10" s="1" a="1"/>
  <c r="Q44" i="10" s="1"/>
  <c r="S70" i="10"/>
  <c r="R70" i="10"/>
  <c r="P86" i="10" a="1"/>
  <c r="P86" i="10" s="1"/>
  <c r="Q86" i="10" s="1" a="1"/>
  <c r="Q86" i="10" s="1"/>
  <c r="AA59" i="10"/>
  <c r="AA68" i="10"/>
  <c r="Y4" i="12" a="1"/>
  <c r="Y4" i="12" s="1"/>
  <c r="C4" i="12" s="1"/>
  <c r="T80" i="2" a="1"/>
  <c r="T80" i="2" s="1"/>
  <c r="AA15" i="10"/>
  <c r="AA87" i="10"/>
  <c r="AA19" i="10"/>
  <c r="AA51" i="10"/>
  <c r="AA47" i="10"/>
  <c r="AA60" i="10"/>
  <c r="AA73" i="10"/>
  <c r="AA83" i="10"/>
  <c r="T106" i="2" a="1"/>
  <c r="T106" i="2" s="1"/>
  <c r="AA25" i="10"/>
  <c r="S70" i="2"/>
  <c r="U70" i="2" s="1" a="1"/>
  <c r="U70" i="2" s="1"/>
  <c r="S47" i="2"/>
  <c r="U47" i="2" s="1" a="1"/>
  <c r="U47" i="2" s="1"/>
  <c r="AA12" i="10"/>
  <c r="S12" i="2"/>
  <c r="U12" i="2" s="1" a="1"/>
  <c r="U12" i="2" s="1"/>
  <c r="E12" i="2" s="1"/>
  <c r="T13" i="2" a="1"/>
  <c r="T13" i="2" s="1"/>
  <c r="D13" i="2" s="1"/>
  <c r="S38" i="2"/>
  <c r="T38" i="2" s="1" a="1"/>
  <c r="T38" i="2" s="1"/>
  <c r="AA18" i="10"/>
  <c r="S63" i="2"/>
  <c r="T63" i="2" s="1" a="1"/>
  <c r="T63" i="2" s="1"/>
  <c r="T39" i="2" a="1"/>
  <c r="T39" i="2" s="1"/>
  <c r="AA27" i="10"/>
  <c r="AA36" i="10"/>
  <c r="AA42" i="10"/>
  <c r="AA55" i="10"/>
  <c r="AA10" i="10"/>
  <c r="AA31" i="10"/>
  <c r="AA57" i="10"/>
  <c r="AA67" i="10"/>
  <c r="AA70" i="10"/>
  <c r="AA74" i="10"/>
  <c r="AA84" i="10"/>
  <c r="AA23" i="10"/>
  <c r="AA81" i="10"/>
  <c r="S84" i="2"/>
  <c r="U84" i="2" s="1" a="1"/>
  <c r="U84" i="2" s="1"/>
  <c r="S54" i="2"/>
  <c r="U54" i="2" s="1" a="1"/>
  <c r="U54" i="2" s="1"/>
  <c r="S86" i="2"/>
  <c r="U86" i="2" s="1" a="1"/>
  <c r="U86" i="2" s="1"/>
  <c r="U96" i="2" a="1"/>
  <c r="U96" i="2" s="1"/>
  <c r="AA58" i="10"/>
  <c r="AA52" i="10"/>
  <c r="T16" i="2" a="1"/>
  <c r="T16" i="2" s="1"/>
  <c r="AA14" i="10"/>
  <c r="AA46" i="10"/>
  <c r="T42" i="2" a="1"/>
  <c r="T42" i="2" s="1"/>
  <c r="T99" i="2" a="1"/>
  <c r="T99" i="2" s="1"/>
  <c r="AA75" i="10"/>
  <c r="U103" i="2" a="1"/>
  <c r="U103" i="2" s="1"/>
  <c r="AA26" i="10"/>
  <c r="AA37" i="10"/>
  <c r="AA39" i="10"/>
  <c r="E14" i="2"/>
  <c r="AA49" i="10"/>
  <c r="AA64" i="10"/>
  <c r="AA41" i="10"/>
  <c r="AA61" i="10"/>
  <c r="T14" i="2" a="1"/>
  <c r="T14" i="2" s="1"/>
  <c r="D14" i="2" s="1"/>
  <c r="S94" i="2"/>
  <c r="U94" i="2" s="1" a="1"/>
  <c r="U94" i="2" s="1"/>
  <c r="E15" i="2"/>
  <c r="S52" i="2"/>
  <c r="U52" i="2" s="1" a="1"/>
  <c r="U52" i="2" s="1"/>
  <c r="T20" i="2" a="1"/>
  <c r="T20" i="2" s="1"/>
  <c r="T15" i="2" a="1"/>
  <c r="T15" i="2" s="1"/>
  <c r="D15" i="2" s="1"/>
  <c r="U48" i="2" a="1"/>
  <c r="U48" i="2" s="1"/>
  <c r="S78" i="2"/>
  <c r="U78" i="2" s="1" a="1"/>
  <c r="U78" i="2" s="1"/>
  <c r="S10" i="2"/>
  <c r="U10" i="2" s="1" a="1"/>
  <c r="U10" i="2" s="1"/>
  <c r="E10" i="2" s="1"/>
  <c r="AA63" i="10"/>
  <c r="AA8" i="10"/>
  <c r="S46" i="2"/>
  <c r="U46" i="2" s="1" a="1"/>
  <c r="U46" i="2" s="1"/>
  <c r="S53" i="2"/>
  <c r="U53" i="2" s="1" a="1"/>
  <c r="U53" i="2" s="1"/>
  <c r="S51" i="2"/>
  <c r="U51" i="2" s="1" a="1"/>
  <c r="U51" i="2" s="1"/>
  <c r="E51" i="2" s="1"/>
  <c r="S62" i="2"/>
  <c r="U62" i="2" s="1" a="1"/>
  <c r="U62" i="2" s="1"/>
  <c r="S30" i="2"/>
  <c r="U30" i="2" s="1" a="1"/>
  <c r="U30" i="2" s="1"/>
  <c r="E11" i="2"/>
  <c r="E69" i="2"/>
  <c r="S77" i="2"/>
  <c r="U77" i="2" s="1" a="1"/>
  <c r="U77" i="2" s="1"/>
  <c r="E77" i="2" s="1"/>
  <c r="AA21" i="10"/>
  <c r="AA69" i="10"/>
  <c r="AA77" i="10"/>
  <c r="AA85" i="10"/>
  <c r="AA24" i="10"/>
  <c r="AA32" i="10"/>
  <c r="S93" i="2"/>
  <c r="T93" i="2" s="1" a="1"/>
  <c r="T93" i="2" s="1"/>
  <c r="S92" i="2"/>
  <c r="T92" i="2" s="1" a="1"/>
  <c r="T92" i="2" s="1"/>
  <c r="S61" i="2"/>
  <c r="U61" i="2" s="1" a="1"/>
  <c r="U61" i="2" s="1"/>
  <c r="S60" i="2"/>
  <c r="U60" i="2" s="1" a="1"/>
  <c r="U60" i="2" s="1"/>
  <c r="S59" i="2"/>
  <c r="S45" i="2"/>
  <c r="U45" i="2" s="1" a="1"/>
  <c r="U45" i="2" s="1"/>
  <c r="S44" i="2"/>
  <c r="U44" i="2" s="1" a="1"/>
  <c r="U44" i="2" s="1"/>
  <c r="S29" i="2"/>
  <c r="U29" i="2" s="1" a="1"/>
  <c r="U29" i="2" s="1"/>
  <c r="S28" i="2"/>
  <c r="U28" i="2" s="1" a="1"/>
  <c r="U28" i="2" s="1"/>
  <c r="S7" i="2"/>
  <c r="U7" i="2" s="1" a="1"/>
  <c r="U7" i="2" s="1"/>
  <c r="S101" i="2"/>
  <c r="U101" i="2" s="1" a="1"/>
  <c r="U101" i="2" s="1"/>
  <c r="S100" i="2"/>
  <c r="S9" i="2"/>
  <c r="U9" i="2" s="1" a="1"/>
  <c r="U9" i="2" s="1"/>
  <c r="S75" i="2"/>
  <c r="T75" i="2" s="1" a="1"/>
  <c r="T75" i="2" s="1"/>
  <c r="S74" i="2"/>
  <c r="S83" i="2"/>
  <c r="T83" i="2" s="1" a="1"/>
  <c r="T83" i="2" s="1"/>
  <c r="S82" i="2"/>
  <c r="T82" i="2" s="1" a="1"/>
  <c r="T82" i="2" s="1"/>
  <c r="S81" i="2"/>
  <c r="S50" i="2"/>
  <c r="U50" i="2" s="1" a="1"/>
  <c r="U50" i="2" s="1"/>
  <c r="S49" i="2"/>
  <c r="S76" i="2"/>
  <c r="U76" i="2" s="1" a="1"/>
  <c r="U76" i="2" s="1"/>
  <c r="T33" i="2" a="1"/>
  <c r="T33" i="2" s="1"/>
  <c r="D32" i="2" s="1"/>
  <c r="U33" i="2" a="1"/>
  <c r="U33" i="2" s="1"/>
  <c r="E32" i="2" s="1"/>
  <c r="T90" i="2" a="1"/>
  <c r="T90" i="2" s="1"/>
  <c r="D89" i="2" s="1"/>
  <c r="U90" i="2" a="1"/>
  <c r="U90" i="2" s="1"/>
  <c r="E89" i="2" s="1"/>
  <c r="S98" i="2"/>
  <c r="T98" i="2" s="1" a="1"/>
  <c r="T98" i="2" s="1"/>
  <c r="S97" i="2"/>
  <c r="S37" i="2"/>
  <c r="T37" i="2" s="1" a="1"/>
  <c r="T37" i="2" s="1"/>
  <c r="S68" i="2"/>
  <c r="T68" i="2" s="1" a="1"/>
  <c r="T68" i="2" s="1"/>
  <c r="S67" i="2"/>
  <c r="U40" i="2" a="1"/>
  <c r="U40" i="2" s="1"/>
  <c r="E39" i="2" s="1"/>
  <c r="T40" i="2" a="1"/>
  <c r="T40" i="2" s="1"/>
  <c r="U41" i="2" a="1"/>
  <c r="U41" i="2" s="1"/>
  <c r="T41" i="2" a="1"/>
  <c r="T41" i="2" s="1"/>
  <c r="T104" i="2" a="1"/>
  <c r="T104" i="2" s="1"/>
  <c r="D103" i="2" s="1"/>
  <c r="U104" i="2" a="1"/>
  <c r="U104" i="2" s="1"/>
  <c r="T105" i="2" a="1"/>
  <c r="T105" i="2" s="1"/>
  <c r="D105" i="2" s="1"/>
  <c r="U105" i="2" a="1"/>
  <c r="U105" i="2" s="1"/>
  <c r="T107" i="2" a="1"/>
  <c r="T107" i="2" s="1"/>
  <c r="U107" i="2" a="1"/>
  <c r="U107" i="2" s="1"/>
  <c r="E106" i="2" s="1"/>
  <c r="T108" i="2" a="1"/>
  <c r="T108" i="2" s="1"/>
  <c r="U108" i="2" a="1"/>
  <c r="U108" i="2" s="1"/>
  <c r="S36" i="2"/>
  <c r="S65" i="2"/>
  <c r="S64" i="2"/>
  <c r="S57" i="2"/>
  <c r="S56" i="2"/>
  <c r="U19" i="2" a="1"/>
  <c r="U19" i="2" s="1"/>
  <c r="T19" i="2" a="1"/>
  <c r="T19" i="2" s="1"/>
  <c r="S18" i="2"/>
  <c r="S17" i="2"/>
  <c r="S26" i="2"/>
  <c r="S25" i="2"/>
  <c r="S24" i="2"/>
  <c r="T23" i="2" a="1"/>
  <c r="T23" i="2" s="1"/>
  <c r="U23" i="2" a="1"/>
  <c r="U23" i="2" s="1"/>
  <c r="S22" i="2"/>
  <c r="S21" i="2"/>
  <c r="S35" i="2"/>
  <c r="S85" i="2"/>
  <c r="U71" i="2" a="1"/>
  <c r="U71" i="2" s="1"/>
  <c r="T71" i="2" a="1"/>
  <c r="T71" i="2" s="1"/>
  <c r="U55" i="2" a="1"/>
  <c r="U55" i="2" s="1"/>
  <c r="T55" i="2" a="1"/>
  <c r="T55" i="2" s="1"/>
  <c r="S102" i="2"/>
  <c r="S87" i="2"/>
  <c r="K6" i="10"/>
  <c r="P6" i="10" s="1" a="1"/>
  <c r="P6" i="10" s="1"/>
  <c r="Q6" i="10" s="1" a="1"/>
  <c r="Q6" i="10" s="1"/>
  <c r="T91" i="2" a="1"/>
  <c r="T91" i="2" s="1"/>
  <c r="U91" i="2" a="1"/>
  <c r="U91" i="2" s="1"/>
  <c r="T95" i="2" a="1"/>
  <c r="T95" i="2" s="1"/>
  <c r="U95" i="2" a="1"/>
  <c r="U95" i="2" s="1"/>
  <c r="T43" i="2" a="1"/>
  <c r="T43" i="2" s="1"/>
  <c r="U43" i="2" a="1"/>
  <c r="U43" i="2" s="1"/>
  <c r="E42" i="2" s="1"/>
  <c r="T34" i="2" a="1"/>
  <c r="T34" i="2" s="1"/>
  <c r="U34" i="2" a="1"/>
  <c r="U34" i="2" s="1"/>
  <c r="T31" i="2" a="1"/>
  <c r="T31" i="2" s="1"/>
  <c r="U31" i="2" a="1"/>
  <c r="U31" i="2" s="1"/>
  <c r="T27" i="2" a="1"/>
  <c r="T27" i="2" s="1"/>
  <c r="U27" i="2" a="1"/>
  <c r="U27" i="2" s="1"/>
  <c r="T79" i="2" a="1"/>
  <c r="T79" i="2" s="1"/>
  <c r="U79" i="2" a="1"/>
  <c r="U79" i="2" s="1"/>
  <c r="T88" i="2" a="1"/>
  <c r="T88" i="2" s="1"/>
  <c r="U88" i="2" a="1"/>
  <c r="U88" i="2" s="1"/>
  <c r="T6" i="2" a="1"/>
  <c r="T6" i="2" s="1"/>
  <c r="D5" i="2" s="1"/>
  <c r="T8" i="2" a="1"/>
  <c r="T8" i="2" s="1"/>
  <c r="T11" i="2" a="1"/>
  <c r="T11" i="2" s="1"/>
  <c r="T69" i="2" a="1"/>
  <c r="T69" i="2" s="1"/>
  <c r="I5" i="2"/>
  <c r="I6" i="2"/>
  <c r="I7" i="2"/>
  <c r="I8" i="2"/>
  <c r="I9" i="2"/>
  <c r="I10" i="2"/>
  <c r="I11" i="2"/>
  <c r="E54" i="2" l="1"/>
  <c r="U38" i="2" a="1"/>
  <c r="U38" i="2" s="1"/>
  <c r="T54" i="2" a="1"/>
  <c r="T54" i="2" s="1"/>
  <c r="S22" i="10"/>
  <c r="R22" i="10"/>
  <c r="S34" i="10"/>
  <c r="R34" i="10"/>
  <c r="S80" i="10"/>
  <c r="R80" i="10"/>
  <c r="AA82" i="10"/>
  <c r="AA66" i="10"/>
  <c r="AA9" i="10"/>
  <c r="AA30" i="10"/>
  <c r="AA20" i="10"/>
  <c r="AA22" i="10"/>
  <c r="AA34" i="10"/>
  <c r="AA80" i="10"/>
  <c r="S17" i="10"/>
  <c r="R17" i="10"/>
  <c r="S38" i="10"/>
  <c r="R38" i="10"/>
  <c r="S43" i="10"/>
  <c r="R43" i="10"/>
  <c r="S82" i="10"/>
  <c r="R82" i="10"/>
  <c r="S9" i="10"/>
  <c r="R9" i="10"/>
  <c r="S65" i="10"/>
  <c r="R65" i="10"/>
  <c r="S79" i="10"/>
  <c r="R79" i="10"/>
  <c r="S72" i="10"/>
  <c r="R72" i="10"/>
  <c r="S62" i="10"/>
  <c r="R62" i="10"/>
  <c r="R13" i="10"/>
  <c r="S13" i="10"/>
  <c r="S11" i="10"/>
  <c r="R11" i="10"/>
  <c r="S78" i="10"/>
  <c r="R78" i="10"/>
  <c r="S33" i="10"/>
  <c r="R33" i="10"/>
  <c r="S54" i="10"/>
  <c r="R54" i="10"/>
  <c r="S16" i="10"/>
  <c r="R16" i="10"/>
  <c r="S40" i="10"/>
  <c r="R40" i="10"/>
  <c r="S48" i="10"/>
  <c r="R48" i="10"/>
  <c r="S89" i="10"/>
  <c r="R89" i="10"/>
  <c r="S50" i="10"/>
  <c r="R50" i="10"/>
  <c r="S88" i="10"/>
  <c r="R88" i="10"/>
  <c r="R76" i="10"/>
  <c r="S76" i="10"/>
  <c r="S66" i="10"/>
  <c r="R66" i="10"/>
  <c r="S30" i="10"/>
  <c r="R30" i="10"/>
  <c r="R20" i="10"/>
  <c r="S20" i="10"/>
  <c r="AA89" i="10"/>
  <c r="AA17" i="10"/>
  <c r="AA38" i="10"/>
  <c r="AA50" i="10"/>
  <c r="AA88" i="10"/>
  <c r="AA76" i="10"/>
  <c r="AA43" i="10"/>
  <c r="S6" i="10"/>
  <c r="R6" i="10"/>
  <c r="S86" i="10"/>
  <c r="R86" i="10"/>
  <c r="R44" i="10"/>
  <c r="S44" i="10"/>
  <c r="S35" i="10"/>
  <c r="R35" i="10"/>
  <c r="S71" i="10"/>
  <c r="R71" i="10"/>
  <c r="R29" i="10"/>
  <c r="S29" i="10"/>
  <c r="S56" i="10"/>
  <c r="R56" i="10"/>
  <c r="R53" i="10"/>
  <c r="S53" i="10"/>
  <c r="R45" i="10"/>
  <c r="S45" i="10"/>
  <c r="AA86" i="10"/>
  <c r="AA44" i="10"/>
  <c r="AA35" i="10"/>
  <c r="AA71" i="10"/>
  <c r="AA29" i="10"/>
  <c r="AA56" i="10"/>
  <c r="AA53" i="10"/>
  <c r="AA45" i="10"/>
  <c r="AA65" i="10"/>
  <c r="AA79" i="10"/>
  <c r="AA72" i="10"/>
  <c r="AA62" i="10"/>
  <c r="AA13" i="10"/>
  <c r="AA11" i="10"/>
  <c r="AA78" i="10"/>
  <c r="AA33" i="10"/>
  <c r="AA54" i="10"/>
  <c r="AA16" i="10"/>
  <c r="AA40" i="10"/>
  <c r="AA48" i="10"/>
  <c r="T84" i="2" a="1"/>
  <c r="T84" i="2" s="1"/>
  <c r="U63" i="2" a="1"/>
  <c r="U63" i="2" s="1"/>
  <c r="D42" i="2"/>
  <c r="T70" i="2" a="1"/>
  <c r="T70" i="2" s="1"/>
  <c r="D70" i="2" s="1"/>
  <c r="D39" i="2"/>
  <c r="T47" i="2" a="1"/>
  <c r="T47" i="2" s="1"/>
  <c r="D47" i="2" s="1"/>
  <c r="D106" i="2"/>
  <c r="T86" i="2" a="1"/>
  <c r="T86" i="2" s="1"/>
  <c r="T12" i="2" a="1"/>
  <c r="T12" i="2" s="1"/>
  <c r="D12" i="2" s="1"/>
  <c r="T30" i="2" a="1"/>
  <c r="T30" i="2" s="1"/>
  <c r="D30" i="2" s="1"/>
  <c r="T9" i="2" a="1"/>
  <c r="T9" i="2" s="1"/>
  <c r="D9" i="2" s="1"/>
  <c r="T10" i="2" a="1"/>
  <c r="T10" i="2" s="1"/>
  <c r="D10" i="2" s="1"/>
  <c r="T28" i="2" a="1"/>
  <c r="T28" i="2" s="1"/>
  <c r="D28" i="2" s="1"/>
  <c r="T52" i="2" a="1"/>
  <c r="T52" i="2" s="1"/>
  <c r="D52" i="2" s="1"/>
  <c r="T77" i="2" a="1"/>
  <c r="T77" i="2" s="1"/>
  <c r="D77" i="2" s="1"/>
  <c r="T76" i="2" a="1"/>
  <c r="T76" i="2" s="1"/>
  <c r="D76" i="2" s="1"/>
  <c r="T44" i="2" a="1"/>
  <c r="T44" i="2" s="1"/>
  <c r="D44" i="2" s="1"/>
  <c r="T53" i="2" a="1"/>
  <c r="T53" i="2" s="1"/>
  <c r="D53" i="2" s="1"/>
  <c r="E103" i="2"/>
  <c r="T60" i="2" a="1"/>
  <c r="T60" i="2" s="1"/>
  <c r="D60" i="2" s="1"/>
  <c r="T7" i="2" a="1"/>
  <c r="T7" i="2" s="1"/>
  <c r="D7" i="2" s="1"/>
  <c r="T45" i="2" a="1"/>
  <c r="T45" i="2" s="1"/>
  <c r="D45" i="2" s="1"/>
  <c r="D33" i="2"/>
  <c r="T50" i="2" a="1"/>
  <c r="T50" i="2" s="1"/>
  <c r="D50" i="2" s="1"/>
  <c r="E62" i="2"/>
  <c r="T46" i="2" a="1"/>
  <c r="T46" i="2" s="1"/>
  <c r="D46" i="2" s="1"/>
  <c r="T62" i="2" a="1"/>
  <c r="T62" i="2" s="1"/>
  <c r="D62" i="2" s="1"/>
  <c r="T78" i="2" a="1"/>
  <c r="T78" i="2" s="1"/>
  <c r="D78" i="2" s="1"/>
  <c r="T94" i="2" a="1"/>
  <c r="T94" i="2" s="1"/>
  <c r="D94" i="2" s="1"/>
  <c r="U75" i="2" a="1"/>
  <c r="U75" i="2" s="1"/>
  <c r="E75" i="2" s="1"/>
  <c r="U68" i="2" a="1"/>
  <c r="U68" i="2" s="1"/>
  <c r="E68" i="2" s="1"/>
  <c r="T51" i="2" a="1"/>
  <c r="T51" i="2" s="1"/>
  <c r="D51" i="2" s="1"/>
  <c r="D43" i="2"/>
  <c r="U93" i="2" a="1"/>
  <c r="U93" i="2" s="1"/>
  <c r="E93" i="2" s="1"/>
  <c r="E33" i="2"/>
  <c r="U83" i="2" a="1"/>
  <c r="U83" i="2" s="1"/>
  <c r="E83" i="2" s="1"/>
  <c r="D27" i="2"/>
  <c r="E40" i="2"/>
  <c r="U92" i="2" a="1"/>
  <c r="U92" i="2" s="1"/>
  <c r="E92" i="2" s="1"/>
  <c r="U82" i="2" a="1"/>
  <c r="U82" i="2" s="1"/>
  <c r="E82" i="2" s="1"/>
  <c r="E90" i="2"/>
  <c r="T61" i="2" a="1"/>
  <c r="T61" i="2" s="1"/>
  <c r="D61" i="2" s="1"/>
  <c r="D90" i="2"/>
  <c r="E104" i="2"/>
  <c r="E105" i="2"/>
  <c r="D104" i="2"/>
  <c r="U37" i="2" a="1"/>
  <c r="U37" i="2" s="1"/>
  <c r="E37" i="2" s="1"/>
  <c r="T101" i="2" a="1"/>
  <c r="T101" i="2" s="1"/>
  <c r="E41" i="2"/>
  <c r="T29" i="2" a="1"/>
  <c r="T29" i="2" s="1"/>
  <c r="D29" i="2" s="1"/>
  <c r="E91" i="2"/>
  <c r="D91" i="2"/>
  <c r="D68" i="2"/>
  <c r="U98" i="2" a="1"/>
  <c r="U98" i="2" s="1"/>
  <c r="E98" i="2" s="1"/>
  <c r="D75" i="2"/>
  <c r="D83" i="2"/>
  <c r="AA6" i="10"/>
  <c r="D69" i="2"/>
  <c r="D6" i="2"/>
  <c r="D8" i="2"/>
  <c r="D11" i="2"/>
  <c r="D98" i="2"/>
  <c r="E76" i="2"/>
  <c r="E50" i="2"/>
  <c r="E88" i="2"/>
  <c r="D88" i="2"/>
  <c r="D82" i="2"/>
  <c r="E46" i="2"/>
  <c r="E47" i="2"/>
  <c r="E78" i="2"/>
  <c r="E79" i="2"/>
  <c r="D79" i="2"/>
  <c r="D92" i="2"/>
  <c r="D93" i="2"/>
  <c r="E30" i="2"/>
  <c r="E31" i="2"/>
  <c r="D31" i="2"/>
  <c r="E38" i="2"/>
  <c r="D37" i="2"/>
  <c r="D38" i="2"/>
  <c r="E52" i="2"/>
  <c r="E53" i="2"/>
  <c r="E94" i="2"/>
  <c r="E95" i="2"/>
  <c r="D95" i="2"/>
  <c r="U87" i="2" a="1"/>
  <c r="U87" i="2" s="1"/>
  <c r="T87" i="2" a="1"/>
  <c r="T87" i="2" s="1"/>
  <c r="T102" i="2" a="1"/>
  <c r="T102" i="2" s="1"/>
  <c r="U102" i="2" a="1"/>
  <c r="U102" i="2" s="1"/>
  <c r="D54" i="2"/>
  <c r="D71" i="2"/>
  <c r="E70" i="2"/>
  <c r="E71" i="2"/>
  <c r="U85" i="2" a="1"/>
  <c r="U85" i="2" s="1"/>
  <c r="T85" i="2" a="1"/>
  <c r="T85" i="2" s="1"/>
  <c r="T35" i="2" a="1"/>
  <c r="T35" i="2" s="1"/>
  <c r="D34" i="2" s="1"/>
  <c r="U35" i="2" a="1"/>
  <c r="U35" i="2" s="1"/>
  <c r="E34" i="2" s="1"/>
  <c r="T21" i="2" a="1"/>
  <c r="T21" i="2" s="1"/>
  <c r="D20" i="2" s="1"/>
  <c r="U21" i="2" a="1"/>
  <c r="U21" i="2" s="1"/>
  <c r="E20" i="2" s="1"/>
  <c r="U22" i="2" a="1"/>
  <c r="U22" i="2" s="1"/>
  <c r="T22" i="2" a="1"/>
  <c r="T22" i="2" s="1"/>
  <c r="T24" i="2" a="1"/>
  <c r="T24" i="2" s="1"/>
  <c r="D23" i="2" s="1"/>
  <c r="U24" i="2" a="1"/>
  <c r="U24" i="2" s="1"/>
  <c r="E23" i="2" s="1"/>
  <c r="T25" i="2" a="1"/>
  <c r="T25" i="2" s="1"/>
  <c r="U25" i="2" a="1"/>
  <c r="U25" i="2" s="1"/>
  <c r="U26" i="2" a="1"/>
  <c r="U26" i="2" s="1"/>
  <c r="T26" i="2" a="1"/>
  <c r="T26" i="2" s="1"/>
  <c r="T17" i="2" a="1"/>
  <c r="T17" i="2" s="1"/>
  <c r="D16" i="2" s="1"/>
  <c r="U17" i="2" a="1"/>
  <c r="U17" i="2" s="1"/>
  <c r="E16" i="2" s="1"/>
  <c r="T18" i="2" a="1"/>
  <c r="T18" i="2" s="1"/>
  <c r="U18" i="2" a="1"/>
  <c r="U18" i="2" s="1"/>
  <c r="D19" i="2"/>
  <c r="E19" i="2"/>
  <c r="T56" i="2" a="1"/>
  <c r="T56" i="2" s="1"/>
  <c r="D55" i="2" s="1"/>
  <c r="U56" i="2" a="1"/>
  <c r="U56" i="2" s="1"/>
  <c r="E55" i="2" s="1"/>
  <c r="T57" i="2" a="1"/>
  <c r="T57" i="2" s="1"/>
  <c r="U57" i="2" a="1"/>
  <c r="U57" i="2" s="1"/>
  <c r="T64" i="2" a="1"/>
  <c r="T64" i="2" s="1"/>
  <c r="D63" i="2" s="1"/>
  <c r="U64" i="2" a="1"/>
  <c r="U64" i="2" s="1"/>
  <c r="T65" i="2" a="1"/>
  <c r="T65" i="2" s="1"/>
  <c r="U65" i="2" a="1"/>
  <c r="U65" i="2" s="1"/>
  <c r="U36" i="2" a="1"/>
  <c r="U36" i="2" s="1"/>
  <c r="T36" i="2" a="1"/>
  <c r="T36" i="2" s="1"/>
  <c r="E107" i="2"/>
  <c r="E108" i="2"/>
  <c r="D107" i="2"/>
  <c r="D108" i="2"/>
  <c r="D40" i="2"/>
  <c r="D41" i="2"/>
  <c r="T67" i="2" a="1"/>
  <c r="T67" i="2" s="1"/>
  <c r="U67" i="2" a="1"/>
  <c r="U67" i="2" s="1"/>
  <c r="T97" i="2" a="1"/>
  <c r="T97" i="2" s="1"/>
  <c r="U97" i="2" a="1"/>
  <c r="U97" i="2" s="1"/>
  <c r="T49" i="2" a="1"/>
  <c r="T49" i="2" s="1"/>
  <c r="U49" i="2" a="1"/>
  <c r="U49" i="2" s="1"/>
  <c r="T81" i="2" a="1"/>
  <c r="T81" i="2" s="1"/>
  <c r="U81" i="2" a="1"/>
  <c r="U81" i="2" s="1"/>
  <c r="U74" i="2" a="1"/>
  <c r="U74" i="2" s="1"/>
  <c r="T74" i="2" a="1"/>
  <c r="T74" i="2" s="1"/>
  <c r="E8" i="2"/>
  <c r="E9" i="2"/>
  <c r="T100" i="2" a="1"/>
  <c r="T100" i="2" s="1"/>
  <c r="U100" i="2" a="1"/>
  <c r="U100" i="2" s="1"/>
  <c r="E6" i="2"/>
  <c r="E7" i="2"/>
  <c r="E27" i="2"/>
  <c r="E28" i="2"/>
  <c r="E29" i="2"/>
  <c r="E43" i="2"/>
  <c r="E44" i="2"/>
  <c r="E45" i="2"/>
  <c r="U59" i="2" a="1"/>
  <c r="U59" i="2" s="1"/>
  <c r="E58" i="2" s="1"/>
  <c r="T59" i="2" a="1"/>
  <c r="T59" i="2" s="1"/>
  <c r="E60" i="2"/>
  <c r="E61" i="2"/>
  <c r="E63" i="2" l="1"/>
  <c r="D21" i="2"/>
  <c r="E21" i="2"/>
  <c r="E17" i="2"/>
  <c r="D17" i="2"/>
  <c r="E59" i="2"/>
  <c r="E24" i="2"/>
  <c r="D24" i="2"/>
  <c r="D22" i="2"/>
  <c r="E22" i="2"/>
  <c r="E18" i="2"/>
  <c r="D18" i="2"/>
  <c r="D58" i="2"/>
  <c r="D59" i="2"/>
  <c r="E99" i="2"/>
  <c r="E100" i="2"/>
  <c r="D99" i="2"/>
  <c r="D100" i="2"/>
  <c r="D73" i="2"/>
  <c r="D74" i="2"/>
  <c r="E73" i="2"/>
  <c r="E74" i="2"/>
  <c r="E80" i="2"/>
  <c r="E81" i="2"/>
  <c r="D80" i="2"/>
  <c r="D81" i="2"/>
  <c r="E48" i="2"/>
  <c r="E49" i="2"/>
  <c r="D48" i="2"/>
  <c r="D49" i="2"/>
  <c r="E96" i="2"/>
  <c r="E97" i="2"/>
  <c r="D96" i="2"/>
  <c r="D97" i="2"/>
  <c r="E66" i="2"/>
  <c r="E67" i="2"/>
  <c r="D66" i="2"/>
  <c r="D67" i="2"/>
  <c r="D35" i="2"/>
  <c r="D36" i="2"/>
  <c r="E35" i="2"/>
  <c r="E36" i="2"/>
  <c r="E64" i="2"/>
  <c r="E65" i="2"/>
  <c r="D64" i="2"/>
  <c r="D65" i="2"/>
  <c r="E56" i="2"/>
  <c r="E57" i="2"/>
  <c r="D56" i="2"/>
  <c r="D57" i="2"/>
  <c r="D25" i="2"/>
  <c r="D26" i="2"/>
  <c r="E25" i="2"/>
  <c r="E26" i="2"/>
  <c r="D84" i="2"/>
  <c r="D85" i="2"/>
  <c r="E84" i="2"/>
  <c r="E85" i="2"/>
  <c r="E101" i="2"/>
  <c r="E102" i="2"/>
  <c r="D101" i="2"/>
  <c r="D102" i="2"/>
  <c r="D86" i="2"/>
  <c r="D87" i="2"/>
  <c r="E86" i="2"/>
  <c r="E87" i="2"/>
  <c r="V13" i="10"/>
  <c r="U13" i="10"/>
  <c r="V46" i="10"/>
  <c r="U46" i="10"/>
  <c r="V47" i="10"/>
  <c r="U47" i="10"/>
  <c r="V52" i="10"/>
  <c r="U52" i="10"/>
  <c r="V58" i="10"/>
  <c r="U58" i="10"/>
  <c r="V67" i="10"/>
  <c r="U67" i="10"/>
  <c r="V87" i="10"/>
  <c r="U87" i="10"/>
  <c r="V88" i="10"/>
  <c r="U88" i="10"/>
  <c r="U43" i="10" l="1"/>
  <c r="V43" i="10"/>
  <c r="U89" i="10"/>
  <c r="V89" i="10"/>
  <c r="U86" i="10"/>
  <c r="V86" i="10"/>
  <c r="U85" i="10"/>
  <c r="V85" i="10"/>
  <c r="U84" i="10"/>
  <c r="V84" i="10"/>
  <c r="U83" i="10"/>
  <c r="V83" i="10"/>
  <c r="U82" i="10"/>
  <c r="V82" i="10"/>
  <c r="U81" i="10"/>
  <c r="V81" i="10"/>
  <c r="U80" i="10"/>
  <c r="V80" i="10"/>
  <c r="U79" i="10"/>
  <c r="V79" i="10"/>
  <c r="U78" i="10"/>
  <c r="V78" i="10"/>
  <c r="U76" i="10"/>
  <c r="V76" i="10"/>
  <c r="U75" i="10"/>
  <c r="V75" i="10"/>
  <c r="U74" i="10"/>
  <c r="V74" i="10"/>
  <c r="U73" i="10"/>
  <c r="V73" i="10"/>
  <c r="U72" i="10"/>
  <c r="V72" i="10"/>
  <c r="U71" i="10"/>
  <c r="V71" i="10"/>
  <c r="U69" i="10"/>
  <c r="V69" i="10"/>
  <c r="U68" i="10"/>
  <c r="V68" i="10"/>
  <c r="U66" i="10"/>
  <c r="V66" i="10"/>
  <c r="U65" i="10"/>
  <c r="V65" i="10"/>
  <c r="U64" i="10"/>
  <c r="V64" i="10"/>
  <c r="U62" i="10"/>
  <c r="V62" i="10"/>
  <c r="U60" i="10"/>
  <c r="V60" i="10"/>
  <c r="U59" i="10"/>
  <c r="V59" i="10"/>
  <c r="U57" i="10"/>
  <c r="V57" i="10"/>
  <c r="U56" i="10"/>
  <c r="V56" i="10"/>
  <c r="U55" i="10"/>
  <c r="V55" i="10"/>
  <c r="U54" i="10"/>
  <c r="V54" i="10"/>
  <c r="U53" i="10"/>
  <c r="V53" i="10"/>
  <c r="U51" i="10"/>
  <c r="V51" i="10"/>
  <c r="U49" i="10"/>
  <c r="V49" i="10"/>
  <c r="U45" i="10"/>
  <c r="V45" i="10"/>
  <c r="U42" i="10"/>
  <c r="V42" i="10"/>
  <c r="U41" i="10"/>
  <c r="V41" i="10"/>
  <c r="U40" i="10"/>
  <c r="V40" i="10"/>
  <c r="U39" i="10"/>
  <c r="V39" i="10"/>
  <c r="U38" i="10"/>
  <c r="V38" i="10"/>
  <c r="U36" i="10"/>
  <c r="V36" i="10"/>
  <c r="U35" i="10"/>
  <c r="V35" i="10"/>
  <c r="U34" i="10"/>
  <c r="V34" i="10"/>
  <c r="U30" i="10"/>
  <c r="V30" i="10"/>
  <c r="U27" i="10"/>
  <c r="V27" i="10"/>
  <c r="U26" i="10"/>
  <c r="V26" i="10"/>
  <c r="U25" i="10"/>
  <c r="V25" i="10"/>
  <c r="U24" i="10"/>
  <c r="V24" i="10"/>
  <c r="U23" i="10"/>
  <c r="V23" i="10"/>
  <c r="U22" i="10"/>
  <c r="V22" i="10"/>
  <c r="U21" i="10"/>
  <c r="V21" i="10"/>
  <c r="U20" i="10"/>
  <c r="V20" i="10"/>
  <c r="U19" i="10"/>
  <c r="V19" i="10"/>
  <c r="U18" i="10"/>
  <c r="V18" i="10"/>
  <c r="U17" i="10"/>
  <c r="V17" i="10"/>
  <c r="U15" i="10"/>
  <c r="V15" i="10"/>
  <c r="U14" i="10"/>
  <c r="V14" i="10"/>
  <c r="U11" i="10"/>
  <c r="V11" i="10"/>
  <c r="U10" i="10"/>
  <c r="V10" i="10"/>
  <c r="U9" i="10"/>
  <c r="V9" i="10"/>
  <c r="U8" i="10"/>
  <c r="V8" i="10"/>
  <c r="U6" i="10"/>
  <c r="V6" i="10"/>
  <c r="AA7" i="10"/>
  <c r="U70" i="10"/>
  <c r="V70" i="10"/>
  <c r="U63" i="10"/>
  <c r="V63" i="10"/>
  <c r="U48" i="10"/>
  <c r="V48" i="10"/>
  <c r="U33" i="10"/>
  <c r="V33" i="10"/>
  <c r="U29" i="10"/>
  <c r="V29" i="10"/>
  <c r="U28" i="10"/>
  <c r="V28" i="10"/>
  <c r="V16" i="10"/>
  <c r="U16" i="10"/>
  <c r="V12" i="10"/>
  <c r="U12" i="10"/>
  <c r="U7" i="10"/>
  <c r="V7" i="10"/>
  <c r="C35" i="1" l="1"/>
  <c r="C36" i="1" s="1"/>
  <c r="U31" i="10"/>
  <c r="V31" i="10"/>
  <c r="U44" i="10"/>
  <c r="V44" i="10"/>
  <c r="V77" i="10" l="1"/>
  <c r="U77" i="10"/>
  <c r="V61" i="10"/>
  <c r="U61" i="10"/>
  <c r="V50" i="10"/>
  <c r="U50" i="10"/>
  <c r="U37" i="10"/>
  <c r="V37" i="10"/>
  <c r="U32" i="10"/>
  <c r="V32" i="10"/>
  <c r="D35" i="1" l="1"/>
  <c r="D36" i="1" s="1"/>
  <c r="C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tc={A31D6296-7741-44BE-85E4-28B7A6E15E9D}</author>
    <author>tc={54F64837-D886-4ADD-B711-04424777F3E0}</author>
    <author>tc={4BF1539C-5269-4E81-B89F-E1B3BF43D81C}</author>
  </authors>
  <commentList>
    <comment ref="L7" authorId="0" shapeId="0" xr:uid="{A31D6296-7741-44BE-85E4-28B7A6E15E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Quando aparecer #N/D ou #VALOR (algo do tipo) na linha, não se preocupe, você pode continuar preenchendo manualmente, ou adicionar um (*) na primeira coluna pois isso aparece devido não existira a linha equivalente no autocompletar
(devido um erro meu, a planilha acabou que funciona dessa forma, mas acredito ser melhor para evitar erro por viés, e em certos casos estimula até corrigir a escala)
~ Gustavo</t>
      </text>
    </comment>
    <comment ref="K10" authorId="1" shapeId="0" xr:uid="{54F64837-D886-4ADD-B711-04424777F3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encontrei nenhum erro na operação com as planilhas de refeição. Mas erros são imprevisíveis</t>
      </text>
    </comment>
    <comment ref="E21" authorId="2" shapeId="0" xr:uid="{4BF1539C-5269-4E81-B89F-E1B3BF43D8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Estou de olho nesse erro, favor, relatar quando ocorrer.
~ Gustavo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<sst xmlns="http://schemas.openxmlformats.org/spreadsheetml/2006/main" count="12514" uniqueCount="1237">
  <si>
    <t>COMP.AT. MOT A</t>
  </si>
  <si>
    <t>COMP.AT. MOT B</t>
  </si>
  <si>
    <t>COMP. ESCALA MOT A</t>
  </si>
  <si>
    <t>COMP. ESCALA MOT B</t>
  </si>
  <si>
    <t>COMP. LINHA</t>
  </si>
  <si>
    <t>DATA</t>
  </si>
  <si>
    <t>GARAGEM</t>
  </si>
  <si>
    <t>CARRO</t>
  </si>
  <si>
    <t>HR ORG</t>
  </si>
  <si>
    <t>HORARIO</t>
  </si>
  <si>
    <t>ORIGEM</t>
  </si>
  <si>
    <t>DESTINO</t>
  </si>
  <si>
    <t>MOTORISTA + MATRÍCULA A</t>
  </si>
  <si>
    <t>MOTORISTA + MATRÍCULA B</t>
  </si>
  <si>
    <t>LINHA</t>
  </si>
  <si>
    <t>IMPERATRIZ</t>
  </si>
  <si>
    <t>IMPERATRIZ (MA)</t>
  </si>
  <si>
    <t>GOIANIA (GO)</t>
  </si>
  <si>
    <t>ANDRE LUIZ DA SILVA - 5188</t>
  </si>
  <si>
    <t>LUZIMAR SOARES ROCHA</t>
  </si>
  <si>
    <t>GOIANIA (GO) X BELEM (PA)</t>
  </si>
  <si>
    <t>GESMAR DE SOUZA - 574</t>
  </si>
  <si>
    <t>ADIR CASSIMIRO DA SILVA - 5672</t>
  </si>
  <si>
    <t>GOIANIA (GO) X SAO LUIS (MA)</t>
  </si>
  <si>
    <t>LUIZ CARLOS DE ARAUJO - 1960</t>
  </si>
  <si>
    <t>LUIZ CARLOS GOMES DA SILVA - 1961</t>
  </si>
  <si>
    <t>GOIANIA (GO) X TERESINA (PI) VIA STI</t>
  </si>
  <si>
    <t>CANCELADO</t>
  </si>
  <si>
    <t>VILA RICA (MT)</t>
  </si>
  <si>
    <t>TERESINA (PI)</t>
  </si>
  <si>
    <t>JEFFERSON CARDOSO DOS SANTOS - 5837</t>
  </si>
  <si>
    <t>FRANCISCO DAS CHAGAS SILVA - 5656</t>
  </si>
  <si>
    <t>FORTALEZA (CE) X SINOP (MT)</t>
  </si>
  <si>
    <t>BELEM (PA)</t>
  </si>
  <si>
    <t>VALDEY OLIVEIRA ARAUJO - 2790</t>
  </si>
  <si>
    <t>GILVAN DE SOUSA FRANCA - 5834</t>
  </si>
  <si>
    <t>ARAGUAINA (TO)</t>
  </si>
  <si>
    <t>JOSE ORLANDO RODRIGUES DE MIRANDA - 5838</t>
  </si>
  <si>
    <t>GENIVAN LEAL TEIXEIRA - 5302</t>
  </si>
  <si>
    <t>GOIANIA (GO) X TERESINA (PI) VIA BC</t>
  </si>
  <si>
    <t>ADEMILTON DE OLIVEIRA SILVA - 5559</t>
  </si>
  <si>
    <t>RONALDO ADRIANO COSTA SANTOS - 5637</t>
  </si>
  <si>
    <t>SAO LUIS (MA)</t>
  </si>
  <si>
    <t>PAULO ENEAS FARIAS ARAUJO - 6218</t>
  </si>
  <si>
    <t>MERVAL DE SOUSA - 2880</t>
  </si>
  <si>
    <t>RAIMUNDO COSTA SILVA - 6226</t>
  </si>
  <si>
    <t>ESIEL COSTA RODRIGUES - 1749</t>
  </si>
  <si>
    <t>IMPERATRIZ (MA) X SÃO LUIS (MA)</t>
  </si>
  <si>
    <t>CLAUDIO JOSE DO NASCIMENTO - 549</t>
  </si>
  <si>
    <t>COSME CAVALCANTE DA SILVA - 3002</t>
  </si>
  <si>
    <t>FABIO MOREIRA DOS SANTOS - 3073</t>
  </si>
  <si>
    <t>LUIZ CARLOS MARIANO SIQUEIRA - 5634</t>
  </si>
  <si>
    <t>ANTONIO JOSE PEREIRA SOARES - 1774</t>
  </si>
  <si>
    <t>ELIEZIO JOSE DOS SANTOS - 2645</t>
  </si>
  <si>
    <t>JOSE POLICARPO DE SOUSA NETO - 1472</t>
  </si>
  <si>
    <t>EDIVALDO DE ARAUJO - 6217</t>
  </si>
  <si>
    <t>RICHARD SOUSA DA SILVA - 1271</t>
  </si>
  <si>
    <t>ALTEMAR DO NASCIMENTO LIMA - 6225</t>
  </si>
  <si>
    <t>JOAO DE JESUS GOUVEIA - 6016</t>
  </si>
  <si>
    <t>JAKTAN DE OLIVEIRA RODRIGUES - 5836</t>
  </si>
  <si>
    <t>DANYLSON BATISTA SANTANA - 5829</t>
  </si>
  <si>
    <t>JOAO FERREIRA COSTA - 5545</t>
  </si>
  <si>
    <t>MARCIO DE SOUSA MATOS - 5264</t>
  </si>
  <si>
    <t>ANDRE SOUSA REIS - 2644</t>
  </si>
  <si>
    <t>LEANDRO DE OLIVEIRA MELO - 2151</t>
  </si>
  <si>
    <t>JOSE CARLOS FERREIRA - 1202</t>
  </si>
  <si>
    <t>JADILSON LIMA VIEIRA - 1108</t>
  </si>
  <si>
    <t>NELIO ALENCAR DOS SANTOS - 1759</t>
  </si>
  <si>
    <t>LOURIVAL FRANCISCO DA COSTA - 5826</t>
  </si>
  <si>
    <t>MARCOS BUENO DA SILVA - 5984</t>
  </si>
  <si>
    <t>AMIRO MARQUES RODRIGUES - 5955</t>
  </si>
  <si>
    <t>VALTERSON ANTONIO CORREIA - 3004</t>
  </si>
  <si>
    <t xml:space="preserve">  JOAO AMARAL DA SILVA JUNIOR- 5290</t>
  </si>
  <si>
    <t>ANTONIO MARQUES NETO DOS SANTOS - 1738</t>
  </si>
  <si>
    <t>ANTONIO  SOBRINHO DE OLIVEIRA - 5646</t>
  </si>
  <si>
    <t>NILSON CORTEZ MIRANDA - 5636</t>
  </si>
  <si>
    <t>JOSE CARLOS BEZERRA DA SILVA - 3034</t>
  </si>
  <si>
    <t>JWEBISON DE BRITO SOUZA - 2999</t>
  </si>
  <si>
    <t>FELIPE MORAIS MELO - 3077</t>
  </si>
  <si>
    <t>ANTONIO RAMIRO WEBER - 5452</t>
  </si>
  <si>
    <t>KAYLSON KLEYTON DA SILVA COSTA - 6224</t>
  </si>
  <si>
    <t>WILSON MARTINS ROCHA - 105</t>
  </si>
  <si>
    <t>WILSON FERREIRA DE JESUS - 1407</t>
  </si>
  <si>
    <t>IZALMIR RODRIGUES COELHO - 958</t>
  </si>
  <si>
    <t>REINAN JOSE BORGES SOUSA - 1075</t>
  </si>
  <si>
    <t>RONNE RODRIGUES DE SOUSA - 5025</t>
  </si>
  <si>
    <t>LAUCEANDO DA SILVA ROCHA - 6220</t>
  </si>
  <si>
    <t>FRANCISCO RAIMUNDO VIANA DE SOUSA - 5314</t>
  </si>
  <si>
    <t>AELSON PEREIRA DO NASCIMENTO - 5682</t>
  </si>
  <si>
    <t>EDIMILSON LUIS FRANÇA - 5442</t>
  </si>
  <si>
    <t>JOSE ALVES DE FREITAS NETO - 5027</t>
  </si>
  <si>
    <t>JOSE ALVES DA ROCHA - 5035</t>
  </si>
  <si>
    <t>ADAILTON DA SILVA RODRIGUES MENDONCA - 2662</t>
  </si>
  <si>
    <t>ENIO GOMES DE SOUZA - 5825</t>
  </si>
  <si>
    <t>WILMAR JOSE DE SOUZA - 1763</t>
  </si>
  <si>
    <t>VILMAR JOSE CAMILO - 948</t>
  </si>
  <si>
    <t>IRISVAN DE JESUS - 5708</t>
  </si>
  <si>
    <t>JOSE MARQUES DE SOUZA - 5771</t>
  </si>
  <si>
    <t>VALDELY RIBEIRO CAETANO - 5743</t>
  </si>
  <si>
    <t>CORESTINO RODRIGUES CALDEIRA FILHO - 6035</t>
  </si>
  <si>
    <t>IMPERATRIZ (MA) X VILA RICA (MT)</t>
  </si>
  <si>
    <t>RAIMUNDO NONATO MAGALHAES DO NASCIMENTO - 5662</t>
  </si>
  <si>
    <t>KLEBER OLIVEIRA LIMA - 5849</t>
  </si>
  <si>
    <t>JAME DOS SANTOS MOURA - 5332</t>
  </si>
  <si>
    <t>JACINTO BATISTA DE SOUSA - 5271</t>
  </si>
  <si>
    <t>CLEITON ALENCAR DA ROCHA - 1146</t>
  </si>
  <si>
    <t>JOSE PEDRO DA SILVA FREITAS - 1357</t>
  </si>
  <si>
    <t>MARCIO RODRIGUES DA COSTA - 5993</t>
  </si>
  <si>
    <t>RAINERIO COSTA MENDES - 5850</t>
  </si>
  <si>
    <t>CLODOALDO PEREIRA DE LIMA - 4067</t>
  </si>
  <si>
    <t>CARLOS ADRIANO DE SOUZA DO NASCIMENTO - 6222</t>
  </si>
  <si>
    <t>ANTONIO LEONESIO CAMPELO DA SILVA - 5303</t>
  </si>
  <si>
    <t>WESLEY SILVA PAIVA - 5638</t>
  </si>
  <si>
    <t>MARCOS ATAIDE SILVA - 1352</t>
  </si>
  <si>
    <t>AGNALDO ALVES DE CARVALHO - 5623</t>
  </si>
  <si>
    <t>JANIO CEZAR DOS SANTOS - 6021</t>
  </si>
  <si>
    <t>MARCUS AUGUSTO DE CARVALHO - 2398</t>
  </si>
  <si>
    <t>LUIS CARLOS VIEIRA DE MELO SOUZA - 5535</t>
  </si>
  <si>
    <t>VALDIR ALVES MIRANDA - 1364</t>
  </si>
  <si>
    <t>MANOEL SEVERINO DE SOUZA - 5200</t>
  </si>
  <si>
    <t>SANDRO CARLOS DE SOUSA - 5181</t>
  </si>
  <si>
    <t>EURIPEDES BORGES DOS SANTOS - 5017</t>
  </si>
  <si>
    <t>KEITH NOLAN CARNEIRO BARBOSA - 5653</t>
  </si>
  <si>
    <t>BERNARDO SOUZA LIMA - 1720</t>
  </si>
  <si>
    <t>LUIS ANTONIO FARIAS RIBEIRO - 2789</t>
  </si>
  <si>
    <t>ANTONIO DE PADUA DA  SILVA - 5645</t>
  </si>
  <si>
    <t>JOSE ANTONIO INACIO VIEIRA - 5279</t>
  </si>
  <si>
    <t>MARCELO RIZO SANTANA - 2048</t>
  </si>
  <si>
    <t>FRANCISCO BATISTA DE LIMA - 1827</t>
  </si>
  <si>
    <t>MARCIO DE SOUSA BRASILEIRO - 5828</t>
  </si>
  <si>
    <t>JERZUALDO DA SILVA GOMES - 4077</t>
  </si>
  <si>
    <t>FRANCISCO LINDONALDO DE SOUSA - 2971</t>
  </si>
  <si>
    <t>ADALTON ALMEIDA DE SOUZA - 1941</t>
  </si>
  <si>
    <t xml:space="preserve">  LAZARO VIEIRA DA SILVA- 5428</t>
  </si>
  <si>
    <t>VALDIR NUNES DA SILVA - 2989</t>
  </si>
  <si>
    <t>JOAO MONTEIRO DA COSTA - 5187</t>
  </si>
  <si>
    <t>AILTON LEITE ORTIZ DE CAMARGO - 1642</t>
  </si>
  <si>
    <t>ALCENILDE BARBOSA ARAUJO - 1745</t>
  </si>
  <si>
    <t>JUSCELINO PIRES GONCALVES - 1343</t>
  </si>
  <si>
    <t>OLISMAR BATISTA DE DEUS - 5293</t>
  </si>
  <si>
    <t>JOSE CLAUDIMAR  CUNHA - 5652</t>
  </si>
  <si>
    <t>JOSE HAILTON PEREIRA DOS SANTOS - 6018</t>
  </si>
  <si>
    <t>FRANCISCO CARLOS MELO - 5306</t>
  </si>
  <si>
    <t>RAIMUNDO FERNANDES RIBEIRO - 907</t>
  </si>
  <si>
    <t>FRANCISCO ALVES DA PAZ JUNIOR - 1247</t>
  </si>
  <si>
    <t>EMIVAL GOMES DE MELO - 5673</t>
  </si>
  <si>
    <t>ESLEI LOPES CHAVES - 2689</t>
  </si>
  <si>
    <t>BRUNO MATOS DA ROCHA - 6013</t>
  </si>
  <si>
    <t>EDUARDO SANTOS BEZERRA - 4066</t>
  </si>
  <si>
    <t>GILDEAN LEAL TEIXEIRA - 5649</t>
  </si>
  <si>
    <t>JARDEL DE SOUSA OLIVEIRA - 5992</t>
  </si>
  <si>
    <t>JOSE EVANGELISTA DA SILVA - 5199</t>
  </si>
  <si>
    <t xml:space="preserve">  IVANILSON BARBOSA PEREIRA- 5434</t>
  </si>
  <si>
    <t>PAULO TRINDADE DE ALMEIDA - 5742</t>
  </si>
  <si>
    <t>WALDIR DE ALMEIDA CORTE JUNIOR - 5960</t>
  </si>
  <si>
    <t>CLEYTON CEZAR DA SILVA - 5741</t>
  </si>
  <si>
    <t>JOAO ANIVAIR DE QUEIROZ - 5608</t>
  </si>
  <si>
    <t>OLIVEIRA DE MELO ARRUDA - 5251</t>
  </si>
  <si>
    <t>VANDERSON GURGEL DO AMARAL - 2734</t>
  </si>
  <si>
    <t>FRANCISCO WILSON SOARES - 1537</t>
  </si>
  <si>
    <t>FRANK HUDSON MACHADO DE BRITO - 5267</t>
  </si>
  <si>
    <t>KLEBSON ALVES FREIRES - 3060</t>
  </si>
  <si>
    <t>JOSE PINHEIRO DA SILVA - 5628</t>
  </si>
  <si>
    <t>SILVIO SILVA DE OLIVEIRA - 5793</t>
  </si>
  <si>
    <t>ROSEAN MOURA DOS SANTOS - 5659</t>
  </si>
  <si>
    <t>CARLOS ALBERTO DE LIMA - 2777</t>
  </si>
  <si>
    <t>NEURI BISPO DA SILVA - 2682</t>
  </si>
  <si>
    <t>DIVINO EURIPEDES RIBEIRO - 5191</t>
  </si>
  <si>
    <t>VALDIVINO GONCALVES DA SILVA - 5724</t>
  </si>
  <si>
    <t>ELISEU TORRES DE OLIVEIRA - 561</t>
  </si>
  <si>
    <t>JULIO EDER NERES DA SILVA - 1767</t>
  </si>
  <si>
    <t>JOSE SOARES DA SILVA FILHO - 3093</t>
  </si>
  <si>
    <t>ANTONIO DIAS DE OLIVEIRA - 5309</t>
  </si>
  <si>
    <t>MANOEL MESSIAS SILVA DOS SANTOS - 1833</t>
  </si>
  <si>
    <t>RICARDO AUGUSTO TEIXEIRA SANTOS - 5660</t>
  </si>
  <si>
    <t>PEDRO PAULO DO NASCIMENTO DO CARMO - 2559</t>
  </si>
  <si>
    <t>RAIMUNDO NONATO FRANCO NETO - 5658</t>
  </si>
  <si>
    <t>JOSENILTON FRANCISCO LIMA - 3037</t>
  </si>
  <si>
    <t>VALDINAR ALVES DE FRANÇA 5959</t>
  </si>
  <si>
    <t>TIAGO MARTINS BERNARDES - 5260</t>
  </si>
  <si>
    <t>ROBERTO PEREIRA DE MATOS - 5538</t>
  </si>
  <si>
    <t>RAFAEL JOSE TOME DE LIMA - 5537</t>
  </si>
  <si>
    <t>JOAO DA SILVA MORAIS - 2978</t>
  </si>
  <si>
    <t xml:space="preserve">  PAULO MORAES DOS SANTOS- 1534</t>
  </si>
  <si>
    <t>DANIEL PEREIRA DA ROCHA - 5298</t>
  </si>
  <si>
    <t>GENIVALDO ANTONIO DE SOUZA - 1082</t>
  </si>
  <si>
    <t>GISLE RODRIGUES DE SOUSA - 6047</t>
  </si>
  <si>
    <t>EDIVALDO DOS SANTOS SOUZA - 905</t>
  </si>
  <si>
    <t>FRANCISCO PESSOA DE CARVALHO - 5276</t>
  </si>
  <si>
    <t>ELIAS ALVES DE FRANCA - 6046</t>
  </si>
  <si>
    <t>RAFAEL DA SILVA LIMA - 6215</t>
  </si>
  <si>
    <t xml:space="preserve">  EURIPEDES BARSANULFO DIAS ROSA- 1951</t>
  </si>
  <si>
    <t xml:space="preserve">  NEIRIVAL MOREIRA PINTO- 5432</t>
  </si>
  <si>
    <t>GILMAR RODRIGUES DE LIMA - 5819</t>
  </si>
  <si>
    <t>CELSO VIEIRA DA SILVA - 5244</t>
  </si>
  <si>
    <t>EDINANDES LUIZ DA SILVA - 2651</t>
  </si>
  <si>
    <t>JEZANIAS GOIS DOS SANTOS - 5573</t>
  </si>
  <si>
    <t>DAVID ALVES PEREIRA - 5300</t>
  </si>
  <si>
    <t>FRANCISCO DAS CHAGAS DOS SANTOS ANGELO - 5299</t>
  </si>
  <si>
    <t>EDILTON MONTEIRO GUNDIM - 6023</t>
  </si>
  <si>
    <t>WOLNEY EDUARDO DE OLIVEIRA - 5607</t>
  </si>
  <si>
    <t>WASHINGTON ALVES BRITO - 1553</t>
  </si>
  <si>
    <t>JOSE ATAZ QUINTINO - 6048</t>
  </si>
  <si>
    <t>RICARDO VIEIRA GERVASIO - 5297</t>
  </si>
  <si>
    <t>LEON RODRIGUES LOPES - 5533</t>
  </si>
  <si>
    <t>ISMAEL ANTERO FARIAS - 6230</t>
  </si>
  <si>
    <t>REGISMAR ANTONIO TEODORO DA COSTA - 2966</t>
  </si>
  <si>
    <t>WENDER PEDRO DA SILVA - 1596</t>
  </si>
  <si>
    <t>VALTER PEREIRA MACIEL - 5630</t>
  </si>
  <si>
    <t>GERALDO MARTINS DOS SANTOS - 5610</t>
  </si>
  <si>
    <t>MARCOS ANTONIO ALVES DE SOUSA - 5278</t>
  </si>
  <si>
    <t>CLAUDIOMAR ALENCAR DO NASCIMENTO - 2970</t>
  </si>
  <si>
    <t>EDIMAR FRANCISCO ALEIXO - 5593</t>
  </si>
  <si>
    <t>LUCIANO CARNEIRO ALVES - 5757</t>
  </si>
  <si>
    <t>LUSIMAR SOARES ROCHA - 5987</t>
  </si>
  <si>
    <t>JOAO AMARAL DA SILVA JUNIOR - 5290</t>
  </si>
  <si>
    <t>GONCALO ALVES BEZERRA - 748</t>
  </si>
  <si>
    <t xml:space="preserve">  KLEBSON ALVES FREIRES- 3060</t>
  </si>
  <si>
    <t>JOAO BATISTA DA SILVA - 1410</t>
  </si>
  <si>
    <t>WILLIAN DE SOUZA BANDEIRA - 2025</t>
  </si>
  <si>
    <t>RONALDO MANOEL TEIXEIRA - 5308</t>
  </si>
  <si>
    <t>MARCOS AUGUSTO SILVA ROCHA - 5268</t>
  </si>
  <si>
    <t>JOAO FLAVIO DE SOUSA SILVA - 5270</t>
  </si>
  <si>
    <t xml:space="preserve">  FELIPE MORAIS MELO- 3077</t>
  </si>
  <si>
    <t>HERMENEGILDO JOSE LEITE DE BRITO NETO - 2653</t>
  </si>
  <si>
    <t>PAULO MORAES DOS SANTOS - 1534</t>
  </si>
  <si>
    <t>*</t>
  </si>
  <si>
    <t>EURIPEDES BARSANULFO DIAS ROSA - 1951</t>
  </si>
  <si>
    <t>JOSE CARLOS DA SILVA - 979</t>
  </si>
  <si>
    <t>LUIZMAR FERREIRA - 6011</t>
  </si>
  <si>
    <t>JAIRO VIEIRA FERREIRA - 5835</t>
  </si>
  <si>
    <t>RAIMUNDO GUIMARAES ARAUJO - 1920</t>
  </si>
  <si>
    <t>ANDSON WAGNER NASCIMENTO SOUZA - 2902</t>
  </si>
  <si>
    <t>ANTONIO FRANCINALDO DE OLIVEIRA MARQUES - 5018</t>
  </si>
  <si>
    <t>MARCOS ROBERTO DE SOUSA - 5236</t>
  </si>
  <si>
    <t>ANTONIO MARCIO DE SENA RIBEIRO CHAVES - 5061</t>
  </si>
  <si>
    <t>GILDEVAN DE ALMEIDA AGOSTINHO - 1924</t>
  </si>
  <si>
    <t>DJALMA SOARES GUIMARAES - 1948</t>
  </si>
  <si>
    <t>DIVINO FERREIRA DA SILVA - 1946</t>
  </si>
  <si>
    <t>REGINALDO DE SOUSA OLIVEIRA - 5412</t>
  </si>
  <si>
    <t>RONALDO MANOEL TEIXEIRA - 2983</t>
  </si>
  <si>
    <t>MAURICIO CARLOS BARROSO - 901</t>
  </si>
  <si>
    <t>ADRIASIO SOARES MENDES - 5440</t>
  </si>
  <si>
    <t>JOSIMAR CLAUDINO SILVA - 6019</t>
  </si>
  <si>
    <t>SAIU 6h ONTEM DE THE/ESCALADO 3h HOJE EM STI</t>
  </si>
  <si>
    <t>GERALDO DE OLIVEIRA GOMES - 1360</t>
  </si>
  <si>
    <t>JOVENIR SOARES DE MATOS - 5173</t>
  </si>
  <si>
    <t>DELEY CARVALHO DE SOUZA - 5624</t>
  </si>
  <si>
    <t>ALEF DA CRUZ VIEIRA - 5291</t>
  </si>
  <si>
    <t xml:space="preserve">  CLODOALDO PEREIRA DE LIMA- 4067</t>
  </si>
  <si>
    <t>CLEOMAR ANTONIO SIMOES - 2988</t>
  </si>
  <si>
    <t xml:space="preserve">  VALDEY OLIVEIRA ARAUJO- 2790</t>
  </si>
  <si>
    <t>GENIVAL MIRANDA LEITE - 1953</t>
  </si>
  <si>
    <t>JOAO BATISTA DA SILVA - 1823</t>
  </si>
  <si>
    <t xml:space="preserve">  WENDER PEDRO DA SILVA- 1596</t>
  </si>
  <si>
    <t>,</t>
  </si>
  <si>
    <t>HILTON RODRIGUES DA COSTA - 866</t>
  </si>
  <si>
    <t>LUIZ ANDRE GOMES DE SOUSA - 5654</t>
  </si>
  <si>
    <t>VALTERSON ANTÓNIO CORREIA - 3004</t>
  </si>
  <si>
    <t xml:space="preserve">  JUSCELINO PIRES GONCALVES- 1343</t>
  </si>
  <si>
    <t xml:space="preserve">  EURIPEDES BORGES DOS SANTOS- 5017</t>
  </si>
  <si>
    <t xml:space="preserve">  ANTONIO MARQUES NETO DOS SANTOS- 1738</t>
  </si>
  <si>
    <t xml:space="preserve">  GILDEVAN DE ALMEIDA AGOSTINHO- 1924</t>
  </si>
  <si>
    <t xml:space="preserve">  LEANDRO DE OLIVEIRA MELO- 2151</t>
  </si>
  <si>
    <t>EUGENIO PEREIRA DOS SANTOS - 1197</t>
  </si>
  <si>
    <t>WALDIR DE ALMEIDA CORTE JUNIOR  5960</t>
  </si>
  <si>
    <t xml:space="preserve">  TIAGO MARTINS BERNARDES- 5260</t>
  </si>
  <si>
    <t xml:space="preserve">GOIANIA (GO) X BELEM </t>
  </si>
  <si>
    <t xml:space="preserve">  EDUARDO SANTOS BEZERRA- 4066</t>
  </si>
  <si>
    <t>VALDINAR ALVES DE FRANÇA - 5959</t>
  </si>
  <si>
    <t xml:space="preserve">  JOSE ALVES DA ROCHA- 5035</t>
  </si>
  <si>
    <t xml:space="preserve">  DAVID ALVES PEREIRA- 5300</t>
  </si>
  <si>
    <t xml:space="preserve">  ELISEU TORRES DE OLIVEIRA- 561</t>
  </si>
  <si>
    <t>LINDOMAR GOMES CARVALHO - 1741</t>
  </si>
  <si>
    <t>DESENVOLVIDO POR: GUSTAVO</t>
  </si>
  <si>
    <t>CUSTO COM ALMOÇO (SANTA INÊS - MA)</t>
  </si>
  <si>
    <t>DIGITE UM ASTERISCO (*)</t>
  </si>
  <si>
    <t>COMP ESCALA ATUAL</t>
  </si>
  <si>
    <t>EXISTE MOT A AT</t>
  </si>
  <si>
    <t>EXISTE MOT B AT</t>
  </si>
  <si>
    <t>EXISTE ESCALA ATUAL</t>
  </si>
  <si>
    <t>COMP ESCALA ANTERIOR</t>
  </si>
  <si>
    <t>EXISTE MOT A ANT</t>
  </si>
  <si>
    <t>EXISTE MOT B ANT</t>
  </si>
  <si>
    <t>EXISTE ESCALA ANTERIOR</t>
  </si>
  <si>
    <t>COMP ESCALA POSTERIOR</t>
  </si>
  <si>
    <t>EXISTE MOT A POS</t>
  </si>
  <si>
    <t>EXISTE MOT B POS</t>
  </si>
  <si>
    <t>EXISTE ESCALA POSTERIOR</t>
  </si>
  <si>
    <t>CORRESP LINHA</t>
  </si>
  <si>
    <t>COMP ESCALA</t>
  </si>
  <si>
    <t>CORRESP. CARRO</t>
  </si>
  <si>
    <t>CORRESP HORARIO</t>
  </si>
  <si>
    <t>HORÁRIO</t>
  </si>
  <si>
    <t>MOTIVO</t>
  </si>
  <si>
    <t>MOTORISTA</t>
  </si>
  <si>
    <t>QUANT</t>
  </si>
  <si>
    <t>VALOR</t>
  </si>
  <si>
    <t>SE FICAR VERDE</t>
  </si>
  <si>
    <t>REGULAR</t>
  </si>
  <si>
    <t>O AUTOCOMPLETAR</t>
  </si>
  <si>
    <t>VAI BUSCAR AS</t>
  </si>
  <si>
    <t>INFORMAÇÕES NA</t>
  </si>
  <si>
    <t>ESCALA DO FLUXO</t>
  </si>
  <si>
    <t>E COMPLETAR A LINHA</t>
  </si>
  <si>
    <t>CORRESPONDENTE</t>
  </si>
  <si>
    <t>PASSE</t>
  </si>
  <si>
    <t xml:space="preserve">  FRANCISCO LINDONALDO DE SOUSA- 2971</t>
  </si>
  <si>
    <t xml:space="preserve">  JOAO FLAVIO DE SOUSA SILVA- 5270</t>
  </si>
  <si>
    <t>SINOP (MT) X FORTALEZA (CE)</t>
  </si>
  <si>
    <t xml:space="preserve">  BERNARDO SOUZA LIMA- 1720</t>
  </si>
  <si>
    <t xml:space="preserve">  FRANCISCO CARLOS MELO- 5306</t>
  </si>
  <si>
    <t xml:space="preserve">  FRANCISCO ALVES DA PAZ JUNIOR- 1247</t>
  </si>
  <si>
    <t xml:space="preserve">  ANTONIO LEONESIO CAMPELO DA SILVA- 5303</t>
  </si>
  <si>
    <t>AUTOCOMPLETAR</t>
  </si>
  <si>
    <t>CUSTO COM JANTA (SANTA INÊS - MA)</t>
  </si>
  <si>
    <t>SOS</t>
  </si>
  <si>
    <t>ADAIL DA SILVA DOS SANTOS - 1103</t>
  </si>
  <si>
    <t>FRANCISCO BRITO "NALDO"</t>
  </si>
  <si>
    <t xml:space="preserve">  GILSON MESQUITA LIMA- 5454</t>
  </si>
  <si>
    <t xml:space="preserve">  FRANCISCO DAS CHAGAS DOS SANTOS ANGELO- 5299</t>
  </si>
  <si>
    <t xml:space="preserve">  GENIVAN LEAL TEIXEIRA- 5302</t>
  </si>
  <si>
    <t xml:space="preserve">  FRANCISCO PESSOA DE CARVALHO- 5276</t>
  </si>
  <si>
    <t>ALMOÇO</t>
  </si>
  <si>
    <t>INFO. VIAGEM</t>
  </si>
  <si>
    <t>AUTO</t>
  </si>
  <si>
    <t>ID</t>
  </si>
  <si>
    <t>NOME</t>
  </si>
  <si>
    <t>45885+JAKTAN DE OLIVEIRA RODRIGUES - 5836</t>
  </si>
  <si>
    <t>NÃO</t>
  </si>
  <si>
    <t>NÃO2</t>
  </si>
  <si>
    <t>NÃO3</t>
  </si>
  <si>
    <t>45884+JAKTAN DE OLIVEIRA RODRIGUES - 5836</t>
  </si>
  <si>
    <t>NÃO4</t>
  </si>
  <si>
    <t>SIM</t>
  </si>
  <si>
    <t>45886+JAKTAN DE OLIVEIRA RODRIGUES - 5836</t>
  </si>
  <si>
    <t>JANTA</t>
  </si>
  <si>
    <t>TOTAIS</t>
  </si>
  <si>
    <t>VALOR DA MARMITA</t>
  </si>
  <si>
    <t>VALORES</t>
  </si>
  <si>
    <t>VALOR TOTAL</t>
  </si>
  <si>
    <t>MOTORISTA + MATRICULA</t>
  </si>
  <si>
    <t>LINHAS</t>
  </si>
  <si>
    <t>VEÍCULO</t>
  </si>
  <si>
    <t xml:space="preserve">  ABIMAEL FIRMINO DOS SANTOS - 5329</t>
  </si>
  <si>
    <t xml:space="preserve">  ADAIL DA SILVA DOS SANTOS- 1103</t>
  </si>
  <si>
    <t xml:space="preserve">  ADAILTON DA SILVA RODRIGUES MENDONCA- 2662</t>
  </si>
  <si>
    <t xml:space="preserve">  ADAIR VIEIRA DA SILVA- 2034</t>
  </si>
  <si>
    <t xml:space="preserve">  ADALTON ALMEIDA DE SOUZA- 1941</t>
  </si>
  <si>
    <t xml:space="preserve">  ADEILSON MEDEIROS DE SOUZA- 5448</t>
  </si>
  <si>
    <t xml:space="preserve">  ADMILSON BRAGA ALVES- 2656</t>
  </si>
  <si>
    <t xml:space="preserve">  ADRIANO CAMARGO CORDEIRO- 4001</t>
  </si>
  <si>
    <t xml:space="preserve">  ADRIASIO SOARES MENDES- 5440</t>
  </si>
  <si>
    <t xml:space="preserve">  AGEMIR CARLOS- 5360</t>
  </si>
  <si>
    <t xml:space="preserve">  AILTON BARRETO DE ARAUJO- 5357</t>
  </si>
  <si>
    <t xml:space="preserve">  AILTON LEITE ORTIZ DE CAMARGO- 1642</t>
  </si>
  <si>
    <t xml:space="preserve">  ALCENILDE BARBOSA ARAUJO- 1745</t>
  </si>
  <si>
    <t xml:space="preserve">  ALEF DA CRUZ VIEIRA- 5291</t>
  </si>
  <si>
    <t xml:space="preserve">  ALEX SANDRO DANCINI HOLOUKA- 5377</t>
  </si>
  <si>
    <t xml:space="preserve">  ALEXSANDRO CONSTANTINO- 3054</t>
  </si>
  <si>
    <t xml:space="preserve">  ALEXSANDRO PEREIRA DA SILVA- 5286</t>
  </si>
  <si>
    <t xml:space="preserve">  AMARAY DE SOUSA MORAIS- 5414</t>
  </si>
  <si>
    <t xml:space="preserve">  ANDRE LUIZ DA SILVA- 5188</t>
  </si>
  <si>
    <t xml:space="preserve">  ANDRE SOUSA REIS- 2644</t>
  </si>
  <si>
    <t xml:space="preserve">  ANDREILSON ALVES DE CARVALHO- 2795</t>
  </si>
  <si>
    <t xml:space="preserve">  ANDREZITO DE JESUS DOS SANTOS- 2041</t>
  </si>
  <si>
    <t xml:space="preserve">  ANDSON WAGNER NASCIMENTO SOUZA- 2902</t>
  </si>
  <si>
    <t xml:space="preserve">  ANTONIO CRUZ NETO- 4015</t>
  </si>
  <si>
    <t xml:space="preserve">  ANTONIO DIAS DE OLIVEIRA- 5309</t>
  </si>
  <si>
    <t xml:space="preserve">  ANTONIO DIVINO DOS SANTOS- 1637</t>
  </si>
  <si>
    <t xml:space="preserve">  ANTONIO DOS SANTOS ARAUJO- 4095</t>
  </si>
  <si>
    <t xml:space="preserve">  ANTONIO FRANCINALDO DE OLIVEIRA MARQUES- 5018</t>
  </si>
  <si>
    <t xml:space="preserve">  ANTONIO JACKS SILVA ARRAIZ- 3074</t>
  </si>
  <si>
    <t xml:space="preserve">  ANTONIO JOSE PEREIRA SOARES- 1774</t>
  </si>
  <si>
    <t xml:space="preserve">  ANTONIO LINDOMAR DAS CHAGAS- 5175</t>
  </si>
  <si>
    <t xml:space="preserve">  ANTONIO MARCIO DE SENA RIBEIRO CHAVES- 5061</t>
  </si>
  <si>
    <t xml:space="preserve">  ANTONIO NERIS DE JESUS- 5338</t>
  </si>
  <si>
    <t xml:space="preserve">  ANTONIO RAMIRO WEBER- 5452</t>
  </si>
  <si>
    <t xml:space="preserve">  ANTONIO SOUSA CORTE- 2652</t>
  </si>
  <si>
    <t xml:space="preserve">  APARECIDO ELEODORO- 4036</t>
  </si>
  <si>
    <t xml:space="preserve">  APARECIDO SERGIO DA CUNHA- 5423</t>
  </si>
  <si>
    <t xml:space="preserve">  ARIANO SILVA OLIVEIRA- 5410</t>
  </si>
  <si>
    <t xml:space="preserve">  ARY MORAIS COSTA- 3076</t>
  </si>
  <si>
    <t xml:space="preserve">  ASTIVO RAMOS NETO- 5339</t>
  </si>
  <si>
    <t xml:space="preserve">  AYALLA DA SILVA OLIVEIRA- 2721</t>
  </si>
  <si>
    <t xml:space="preserve">  BELMIRO DOS SANTOS- 5381</t>
  </si>
  <si>
    <t xml:space="preserve">  CARLOS ALBERTO DE LIMA- 2777</t>
  </si>
  <si>
    <t xml:space="preserve">  CARLOS DA SILVA PEREIRA- 5350</t>
  </si>
  <si>
    <t xml:space="preserve">  CARLOS SILVA GOMES- 2911</t>
  </si>
  <si>
    <t xml:space="preserve">  CARLOS SIMOES DE SOUZA- 5393</t>
  </si>
  <si>
    <t xml:space="preserve">  CELIO MARCOS RODRIGUES- 5196</t>
  </si>
  <si>
    <t xml:space="preserve">  CELIO MORAIS DE MENEZES- 5253</t>
  </si>
  <si>
    <t xml:space="preserve">  CELSO BARBOSA PINTO- 3088</t>
  </si>
  <si>
    <t xml:space="preserve">  CELSO VIEIRA DA SILVA- 5244</t>
  </si>
  <si>
    <t xml:space="preserve">  CHARLES AUGUSTO KUNTZE- 5382</t>
  </si>
  <si>
    <t xml:space="preserve">  CICERO DE OLIVEIRA- 5178</t>
  </si>
  <si>
    <t xml:space="preserve">  CLAUDEMIR DA FONSECA- 5376</t>
  </si>
  <si>
    <t xml:space="preserve">  CLAUDEMIR PRACHEDES DE CAMARGO- 5408</t>
  </si>
  <si>
    <t xml:space="preserve">  CLAUDIO JOSE DO NASCIMENTO- 549</t>
  </si>
  <si>
    <t xml:space="preserve">  CLAUDIOMAR ALENCAR DO NASCIMENTO - 2970</t>
  </si>
  <si>
    <t xml:space="preserve">  CLAYTON SANTOS AIRES PEREIRA- 5209</t>
  </si>
  <si>
    <t xml:space="preserve">  CLEIDEMARCIO CORDEIRO DA SILVA PINHEIRO- 2961</t>
  </si>
  <si>
    <t xml:space="preserve">  CLEITON ALENCAR DA ROCHA- 1146</t>
  </si>
  <si>
    <t xml:space="preserve">  CLEOMAR ALVES PEREIRA MEDEIROS- 5435</t>
  </si>
  <si>
    <t xml:space="preserve">  CLEOMAR ANTONIO SIMOES- 2988</t>
  </si>
  <si>
    <t xml:space="preserve">  COSME CAVALCANTE DA SILVA- 3002</t>
  </si>
  <si>
    <t xml:space="preserve">  CRISTIANO DA COSTA OLIVEIRA- 5436</t>
  </si>
  <si>
    <t xml:space="preserve">  DANIEL PEREIRA DA ROCHA- 5298</t>
  </si>
  <si>
    <t xml:space="preserve">  DARMITO MARINHO DE SOUSA- 3022</t>
  </si>
  <si>
    <t xml:space="preserve">  DAVI MOTA VILAS BOAS FILHO- 5232</t>
  </si>
  <si>
    <t xml:space="preserve">  DENIVAL MENDES SOUSA- 5014</t>
  </si>
  <si>
    <t xml:space="preserve">  DEVANIR TEODORO ALVES- 5430</t>
  </si>
  <si>
    <t xml:space="preserve">  DIONE HENRIQUE FRANCA QUIXABEIRA - 5065</t>
  </si>
  <si>
    <t xml:space="preserve">  DIRLEY CARDOSO DE MELO- 5296</t>
  </si>
  <si>
    <t xml:space="preserve">  DIVINO APARECIDO DE OLIVEIRA- 2998</t>
  </si>
  <si>
    <t xml:space="preserve">  DIVINO EURIPEDES RIBEIRO- 5191</t>
  </si>
  <si>
    <t xml:space="preserve">  DIVINO FERREIRA DA SILVA- 1946</t>
  </si>
  <si>
    <t xml:space="preserve">  DIVINO SILVA DO NASCIMENTO- 2544</t>
  </si>
  <si>
    <t xml:space="preserve">  DJALMA SOARES GUIMARAES- 1948</t>
  </si>
  <si>
    <t xml:space="preserve">  DOUGLAS LEME MARTINS- 4052</t>
  </si>
  <si>
    <t xml:space="preserve">  EDIMILSON PEREIRA DA COSTA- 4033</t>
  </si>
  <si>
    <t xml:space="preserve">  EDINANDES LUIZ DA SILVA- 2651</t>
  </si>
  <si>
    <t xml:space="preserve">  EDIVALDO DOS SANTOS DE LIMA- 1686</t>
  </si>
  <si>
    <t xml:space="preserve">  EDIVALDO DOS SANTOS SOUZA- 905</t>
  </si>
  <si>
    <t xml:space="preserve">  EDMILSON LUIS DE FRANCA- 5442</t>
  </si>
  <si>
    <t xml:space="preserve">  EDMILSON SOUSA LIMA- 3007</t>
  </si>
  <si>
    <t xml:space="preserve">  EDSON COSME DA SILVA- 4094</t>
  </si>
  <si>
    <t xml:space="preserve">  EDSON LUIZ SZUMOVSKI- 4000</t>
  </si>
  <si>
    <t xml:space="preserve">  EDSON MARCOS LIMA DA SILVA- 5334</t>
  </si>
  <si>
    <t xml:space="preserve">  EDUARDO ANTONIO DA SILVA- 2678</t>
  </si>
  <si>
    <t xml:space="preserve">  EDUARDO FERNANDES BARROS- 5262</t>
  </si>
  <si>
    <t xml:space="preserve">  EDVALDO NEVES DE ABREU- 3032</t>
  </si>
  <si>
    <t xml:space="preserve">  ELEANDRO DE SOUZA TEIXEIRA- 3087</t>
  </si>
  <si>
    <t xml:space="preserve">  ELIAS DOS SANTOS PINHEIRO- 5242</t>
  </si>
  <si>
    <t xml:space="preserve">  ELIAS JESUS DA COSTA- 5295</t>
  </si>
  <si>
    <t xml:space="preserve">  ELIEL SANTOS RODRIGUES- 2968</t>
  </si>
  <si>
    <t xml:space="preserve">  ELIEZIO JOSE DOS SANTOS- 2645</t>
  </si>
  <si>
    <t xml:space="preserve">  ELLISMARCLEY GUILHERME DA SILVA- 2058</t>
  </si>
  <si>
    <t xml:space="preserve">  EMANUEL GOMES LIMA- 5211</t>
  </si>
  <si>
    <t xml:space="preserve">  EMIDIO MILTON DE ASSIS- 5390</t>
  </si>
  <si>
    <t xml:space="preserve">  ENIXON KENEDYS DA SILVA- 3096</t>
  </si>
  <si>
    <t xml:space="preserve">  ENOQUE XAVIER- 2356</t>
  </si>
  <si>
    <t xml:space="preserve">  ERASMO CARLOS PEREIRA DA SILVA- 2881</t>
  </si>
  <si>
    <t xml:space="preserve">  ESIEL COSTA RODRIGUES- 1749</t>
  </si>
  <si>
    <t xml:space="preserve">  ESLEI LOPES CHAVES- 2689</t>
  </si>
  <si>
    <t xml:space="preserve">  ESMAILEI WILLIAM TEIXEIRA- 5328</t>
  </si>
  <si>
    <t xml:space="preserve">  EUGENIO PEREIRA DOS SANTOS- 1197</t>
  </si>
  <si>
    <t xml:space="preserve">  EVANDRO CARLOS ARAUJO LIMA- 569</t>
  </si>
  <si>
    <t xml:space="preserve">  EZEQUIAS PEREIRA FERNANDES- 4016</t>
  </si>
  <si>
    <t xml:space="preserve">  FABIO ALEXANDRE BARROS- 4054</t>
  </si>
  <si>
    <t xml:space="preserve">  FABIO AMORIM ROCHA- 2670</t>
  </si>
  <si>
    <t xml:space="preserve">  FABIO DA SILVA ANDRADE- 4075</t>
  </si>
  <si>
    <t xml:space="preserve">  FABIO DOS ANJOS SOBRINHO- 4079</t>
  </si>
  <si>
    <t xml:space="preserve">  FABIO ISSLER FERREIRA- 3067</t>
  </si>
  <si>
    <t xml:space="preserve">  FABIO MOREIRA DOS SANTOS- 3073</t>
  </si>
  <si>
    <t xml:space="preserve">  FERNANDO ALVES DE SOUZA- 2787</t>
  </si>
  <si>
    <t xml:space="preserve">  FERNANDO OLIVEIRA DE SOUZA- 5451</t>
  </si>
  <si>
    <t xml:space="preserve">  FERNANDO ROBERTO DA SILVA PIMENTEL- 5331</t>
  </si>
  <si>
    <t xml:space="preserve">  FLAVIO JUNIOR BONIFACIO DE CARVALHO- 5378</t>
  </si>
  <si>
    <t xml:space="preserve">  FLORIVAL FERREIRA DE SENA- 5185</t>
  </si>
  <si>
    <t xml:space="preserve">  FRANCISCO BATISTA DE LIMA- 1827</t>
  </si>
  <si>
    <t xml:space="preserve">  FRANCISCO CLEITON CARDOZO COSTA- 5246</t>
  </si>
  <si>
    <t xml:space="preserve">  FRANCISCO DAS CHAGAS DO NASCIMENTO- 5269</t>
  </si>
  <si>
    <t xml:space="preserve">  FRANCISCO DAS CHAGAS GOMES DE OLIVEIRA- 3058</t>
  </si>
  <si>
    <t xml:space="preserve">  FRANCISCO DE ASSIS LEAL- 5059</t>
  </si>
  <si>
    <t xml:space="preserve">  FRANCISCO ELIZALDO ALBUQUERQUE DA SILVA- 3070</t>
  </si>
  <si>
    <t xml:space="preserve">  FRANCISCO JOSE LIMA CHAGAS- 5337</t>
  </si>
  <si>
    <t xml:space="preserve">  FRANCISCO MARINHO PEREIRA- 1750</t>
  </si>
  <si>
    <t xml:space="preserve">  FRANCISCO MUNIZ DA SILVA NETO- 1667</t>
  </si>
  <si>
    <t xml:space="preserve">  FRANCISCO RAIMUNDO VIANA DE SOUSA- 5314</t>
  </si>
  <si>
    <t xml:space="preserve">  FRANCISCO RODRIGUES DE OLIVEIRA- 1505</t>
  </si>
  <si>
    <t xml:space="preserve">  FRANCISCO WASHINGTON ALVES DA COSTA- 5439</t>
  </si>
  <si>
    <t xml:space="preserve">  FRANCISCO WILSON SOARES- 1537</t>
  </si>
  <si>
    <t xml:space="preserve">  FRANCIVALDO MATIAS BIZERRA- 5238</t>
  </si>
  <si>
    <t xml:space="preserve">  FRANK HUDSON MACHADO DE BRITO- 5267</t>
  </si>
  <si>
    <t xml:space="preserve">  GENIVAL MIRANDA LEITE- 1953</t>
  </si>
  <si>
    <t xml:space="preserve">  GERALDO DE OLIVEIRA GOMES- 1360</t>
  </si>
  <si>
    <t xml:space="preserve">  GESMAR DE SOUZA- 574</t>
  </si>
  <si>
    <t xml:space="preserve">  GESSIEL DUARTE DE SOUZA- 5380</t>
  </si>
  <si>
    <t xml:space="preserve">  GIDEONY LOPES DA SILVA- 5022</t>
  </si>
  <si>
    <t xml:space="preserve">  GILMAR DOS SANTOS LUCENA- 3097</t>
  </si>
  <si>
    <t xml:space="preserve">  GILMAR MARTINS DA SILVA- 2784</t>
  </si>
  <si>
    <t xml:space="preserve">  GONCALO ALVES BEZERRA- 748</t>
  </si>
  <si>
    <t xml:space="preserve">  GUSTAVO RAPHAEL DA SILVA ALEXANDRE- 5422</t>
  </si>
  <si>
    <t xml:space="preserve">  HAROLDO REINALDO LIMA- 4014</t>
  </si>
  <si>
    <t xml:space="preserve">  HERBERT FABIANO PEREIRA DA SILVA- 5444</t>
  </si>
  <si>
    <t xml:space="preserve">  HERCULES CARVALHO SANTOS- 5261</t>
  </si>
  <si>
    <t xml:space="preserve">  HERMENEGILDO JOSE LEITE DE BRITO NETO- 2653</t>
  </si>
  <si>
    <t xml:space="preserve">  HILDEGARDES SOARES GOMES- 5272</t>
  </si>
  <si>
    <t xml:space="preserve">  HILTON RODRIGUES DA COSTA- 866</t>
  </si>
  <si>
    <t xml:space="preserve">  IBERIS AMANCIO DA SILVA- 5281</t>
  </si>
  <si>
    <t xml:space="preserve">  IDEIR BISPO DE SANTANA- 2543</t>
  </si>
  <si>
    <t xml:space="preserve">  ILMAR PEREIRA DA SILVA- 5447</t>
  </si>
  <si>
    <t xml:space="preserve">  IRAN PINHEIRO- 5234</t>
  </si>
  <si>
    <t xml:space="preserve">  IRISMAR JOSE DOS SANTOS- 5114</t>
  </si>
  <si>
    <t xml:space="preserve">  ISAAC LACERDA ALVES- 5122</t>
  </si>
  <si>
    <t xml:space="preserve">  ISNANDE JOSE DIAS GONCALVES- 5086</t>
  </si>
  <si>
    <t xml:space="preserve">  IVAN VIEIRA DO NASCIMENTO- 5304</t>
  </si>
  <si>
    <t xml:space="preserve">  IZALMIR RODRIGUES COELHO- 958</t>
  </si>
  <si>
    <t xml:space="preserve">  JACINTO BATISTA DE SOUSA- 5271</t>
  </si>
  <si>
    <t xml:space="preserve">  JADILSON LIMA VIEIRA- 1108</t>
  </si>
  <si>
    <t xml:space="preserve">  JAME DOS SANTOS MOURA- 5332</t>
  </si>
  <si>
    <t xml:space="preserve">  JAMES RIBEIRO TAVARES- 939</t>
  </si>
  <si>
    <t xml:space="preserve">  JARDIEL AGUIAR- 4009</t>
  </si>
  <si>
    <t xml:space="preserve">  JERZUALDO DA SILVA GOMES- 4077</t>
  </si>
  <si>
    <t xml:space="preserve">  JOAO BATISTA DA SILVA- 1410</t>
  </si>
  <si>
    <t xml:space="preserve">  JOAO BATISTA DA SILVA- 1823</t>
  </si>
  <si>
    <t xml:space="preserve">  JOAO BRANDAO DE BRITO- 5245</t>
  </si>
  <si>
    <t xml:space="preserve">  JOAO DA SILVA MORAIS- 2978</t>
  </si>
  <si>
    <t xml:space="preserve">  JOAO LENO TEIXEIRA DE SOUSA- 4093</t>
  </si>
  <si>
    <t xml:space="preserve">  JOAO MONTEIRO DA COSTA- 5187</t>
  </si>
  <si>
    <t xml:space="preserve">  JOAO SILVA SOUSA- 5330</t>
  </si>
  <si>
    <t xml:space="preserve">  JOCIVANE BARBOSA DE OLIVEIRA- 5207</t>
  </si>
  <si>
    <t xml:space="preserve">  JORDELIO DOS SANTOS PEREIRA- 5248</t>
  </si>
  <si>
    <t xml:space="preserve">  JOSE ADENIL DA SILVA SANTANA- 2996</t>
  </si>
  <si>
    <t xml:space="preserve">  JOSE ALVES DE FREITAS NETO- 5027</t>
  </si>
  <si>
    <t xml:space="preserve">  JOSE ANTONIO INACIO VIEIRA- 5279</t>
  </si>
  <si>
    <t xml:space="preserve">  JOSE CARLOS BEZERRA DA SILVA- 3034</t>
  </si>
  <si>
    <t xml:space="preserve">  JOSE CARLOS CAIXETA- 2673</t>
  </si>
  <si>
    <t xml:space="preserve">  JOSE CARLOS DA SILVA- 979</t>
  </si>
  <si>
    <t xml:space="preserve">  JOSE CARLOS DE ARAUJO- 5387</t>
  </si>
  <si>
    <t xml:space="preserve">  JOSE CARLOS FERREIRA- 1202</t>
  </si>
  <si>
    <t xml:space="preserve">  JOSE DA SILVA LIMA- 2985</t>
  </si>
  <si>
    <t xml:space="preserve">  JOSE ETERNO DAVID DOS SANTOS- 1930</t>
  </si>
  <si>
    <t xml:space="preserve">  JOSE EVANGELISTA DA SILVA- 5199</t>
  </si>
  <si>
    <t xml:space="preserve">  JOSE FRANCA DA SILVA- 5324</t>
  </si>
  <si>
    <t xml:space="preserve">  JOSE HAILTON PEREIRA DOS SANTOS- 2984</t>
  </si>
  <si>
    <t xml:space="preserve">  JOSE HELIO RANGEL BARBOSA- 5450</t>
  </si>
  <si>
    <t xml:space="preserve">  JOSE INACIO DE LISBOA SOBRINHO- 5411</t>
  </si>
  <si>
    <t xml:space="preserve">  JOSE MARIA DA SILVA- 2760</t>
  </si>
  <si>
    <t xml:space="preserve">  JOSE MARQUES FILHO- 4013</t>
  </si>
  <si>
    <t xml:space="preserve">  JOSE NILTON DA SILVA LIMA- 2627</t>
  </si>
  <si>
    <t xml:space="preserve">  JOSE NUNES DE PAULA- 1413</t>
  </si>
  <si>
    <t xml:space="preserve">  JOSE NUNES LIRA- 5023</t>
  </si>
  <si>
    <t xml:space="preserve">  JOSE PEDRO DA SILVA FREITAS- 1357</t>
  </si>
  <si>
    <t xml:space="preserve">  JOSE SOARES DA SILVA FILHO- 3093</t>
  </si>
  <si>
    <t xml:space="preserve">  JOSE SOLA MORENO- 4003</t>
  </si>
  <si>
    <t xml:space="preserve">  JOSENILTON FRANCISCO LIMA- 3037</t>
  </si>
  <si>
    <t xml:space="preserve">  JOVENIR SOARES DE MATOS- 5173</t>
  </si>
  <si>
    <t xml:space="preserve">  JULIO CESAR ALVES BRANDAO- 5445</t>
  </si>
  <si>
    <t xml:space="preserve">  JULIO EDER NERES DA SILVA- 1767</t>
  </si>
  <si>
    <t xml:space="preserve">  JUNIOR CARLOS DE OLIVEIRA- 1118</t>
  </si>
  <si>
    <t xml:space="preserve">  JUSSIMAR DE FARIAS CAMPOS- 2687</t>
  </si>
  <si>
    <t xml:space="preserve">  JWEBISON DE BRITO SOUZA- 2999</t>
  </si>
  <si>
    <t xml:space="preserve">  KLEZIA KRISTINA MARTINS FERREIRA- 5287</t>
  </si>
  <si>
    <t xml:space="preserve">  LAURIMAR ANTONIO DE OLIVEIRA- 5016</t>
  </si>
  <si>
    <t xml:space="preserve">  LAZARO DOS REIS SILVA- 1338</t>
  </si>
  <si>
    <t xml:space="preserve">  LAZARO GOMES DA SILVA- 5352</t>
  </si>
  <si>
    <t xml:space="preserve">  LEANDRO SOUSA BORGES- 5266</t>
  </si>
  <si>
    <t xml:space="preserve">  LEONARDO LIMA MONTELO- 5321</t>
  </si>
  <si>
    <t xml:space="preserve">  LEUNI ALVES DE NOVAES- 4062</t>
  </si>
  <si>
    <t xml:space="preserve">  LINDOMAR GOMES CARVALHO- 1741</t>
  </si>
  <si>
    <t xml:space="preserve">  LUCIANE EDUARDO DOS SANTOS- 5201</t>
  </si>
  <si>
    <t xml:space="preserve">  LUCIANO ALVES FERREIRA- 5193</t>
  </si>
  <si>
    <t xml:space="preserve">  LUCIANO ANTONIO RIBEIRO- 1797</t>
  </si>
  <si>
    <t xml:space="preserve">  LUCIANO DIVINO JORGE ANASTACIO- 5320</t>
  </si>
  <si>
    <t xml:space="preserve">  LUCIANO GOMES RIBEIRO- 5064</t>
  </si>
  <si>
    <t xml:space="preserve">  LUCINALDO JOSE DOS SANTOS- 2142</t>
  </si>
  <si>
    <t xml:space="preserve">  LUIS ANTONIO FARIAS RIBEIRO- 2789</t>
  </si>
  <si>
    <t xml:space="preserve">  LUIS ANTONIO MIRANDA ROSA- 4008</t>
  </si>
  <si>
    <t xml:space="preserve">  LUIZ AUGUSTO ROSA OLIVEIRA- 5456</t>
  </si>
  <si>
    <t xml:space="preserve">  LUIZ CARLOS DE ARAUJO- 1960</t>
  </si>
  <si>
    <t xml:space="preserve">  LUIZ CARLOS GOMES DA SILVA- 1961</t>
  </si>
  <si>
    <t xml:space="preserve">  LUIZ PAULO DE OLIVEIRA- 5403</t>
  </si>
  <si>
    <t xml:space="preserve">  MANOEL FERNANDO OLIVEIRA DIAS- 4022</t>
  </si>
  <si>
    <t xml:space="preserve">  MANOEL MESSIAS SILVA DOS SANTOS- 1833</t>
  </si>
  <si>
    <t xml:space="preserve">  MANOEL NARCISO SOARES MOURA- 5441</t>
  </si>
  <si>
    <t xml:space="preserve">  MANOEL SEVERINO DE SOUZA- 5200</t>
  </si>
  <si>
    <t xml:space="preserve">  MARCELO JOSE CORREIA- 5263</t>
  </si>
  <si>
    <t xml:space="preserve">  MARCELO RIZO SANTANA- 2048</t>
  </si>
  <si>
    <t xml:space="preserve">  MARCIO DE SOUSA MATOS- 5264</t>
  </si>
  <si>
    <t xml:space="preserve">  MARCOLINO FRANCISCO DA ASSUNCAO NETO- 5361</t>
  </si>
  <si>
    <t xml:space="preserve">  MARCOS ALEXANDRE SOUZA SILVA- 3075</t>
  </si>
  <si>
    <t xml:space="preserve">  MARCOS ANTONIO ALVES DE SOUSA- 5278</t>
  </si>
  <si>
    <t xml:space="preserve">  MARCOS ATAIDE SILVA- 1352</t>
  </si>
  <si>
    <t xml:space="preserve">  MARCOS AUGUSTO SILVA ROCHA- 5268</t>
  </si>
  <si>
    <t xml:space="preserve">  MARCOS DE MATOS ALVES- 4011</t>
  </si>
  <si>
    <t xml:space="preserve">  MARCOS ROBERTO DE SOUSA- 5236</t>
  </si>
  <si>
    <t xml:space="preserve">  MARCOS SUEL SALES PINTO- 5529</t>
  </si>
  <si>
    <t xml:space="preserve">  MARCUS AUGUSTO DE CARVALHO- 2398</t>
  </si>
  <si>
    <t xml:space="preserve">  MARTIN INOCENCIO ALVES- 5239</t>
  </si>
  <si>
    <t xml:space="preserve">  MAURICIO CARLOS BARROSO- 901</t>
  </si>
  <si>
    <t xml:space="preserve">  MAURICIO GOMES GUIMARAES- 5455</t>
  </si>
  <si>
    <t xml:space="preserve">  MERVAL DE SOUSA- 2880</t>
  </si>
  <si>
    <t xml:space="preserve">  NELIO ALENCAR DOS SANTOS- 1759</t>
  </si>
  <si>
    <t xml:space="preserve">  NEURI BISPO DA SILVA- 2682</t>
  </si>
  <si>
    <t xml:space="preserve">  NILTON PEREIRA DE SOUSA- 1508</t>
  </si>
  <si>
    <t xml:space="preserve">  OLISMAR BATISTA DE DEUS- 5293</t>
  </si>
  <si>
    <t xml:space="preserve">  OLIVEIRA DE MELO ARRUDA- 5251</t>
  </si>
  <si>
    <t xml:space="preserve">  ORLAN ALVES DA SILVA- 5420</t>
  </si>
  <si>
    <t xml:space="preserve">  OSEIAS MOREIRA FERNANDES- 3025</t>
  </si>
  <si>
    <t xml:space="preserve">  OSNEI CAMPANHARO- 4004</t>
  </si>
  <si>
    <t xml:space="preserve">  OVERTON RIBEIRO DA SILVA- 5289</t>
  </si>
  <si>
    <t xml:space="preserve">  OZIEL MAXIMO DOS SANTOS- 5184</t>
  </si>
  <si>
    <t xml:space="preserve">  PABLO RODRIGO BARBOSA RAMOS- 5389</t>
  </si>
  <si>
    <t xml:space="preserve">  PAULO ALVES CARNEIRO- 3026</t>
  </si>
  <si>
    <t xml:space="preserve">  PAULO BENEDITO DE OLIVEIRA- 3089</t>
  </si>
  <si>
    <t xml:space="preserve">  PAULO DINIZ OLIVEIRA DA SILVA- 5129</t>
  </si>
  <si>
    <t xml:space="preserve">  PAULO FERNANDES GUIMARAES- 2015</t>
  </si>
  <si>
    <t xml:space="preserve">  PAULO GARCIA- 4005</t>
  </si>
  <si>
    <t xml:space="preserve">  PEDRINHO MARCELINO BATISTA- 5013</t>
  </si>
  <si>
    <t xml:space="preserve">  PEDRO ALVES DE OLIVEIRA- 556</t>
  </si>
  <si>
    <t xml:space="preserve">  PEDRO DE CARVALHO SOUZA- 3001</t>
  </si>
  <si>
    <t xml:space="preserve">  PEDRO FRANCISCO DO CARMO- 1481</t>
  </si>
  <si>
    <t xml:space="preserve">  PEDRO PAULO DO NASCIMENTO DO CARMO- 2559</t>
  </si>
  <si>
    <t xml:space="preserve">  RAFAEL FERNANDES DOS SANTOS- 3081</t>
  </si>
  <si>
    <t xml:space="preserve">  RAFAEL LAGUNA FILHO- 4035</t>
  </si>
  <si>
    <t xml:space="preserve">  RAIMUNDO FERNANDES RIBEIRO- 907</t>
  </si>
  <si>
    <t xml:space="preserve">  RAIMUNDO GUIMARAES ARAUJO- 1920</t>
  </si>
  <si>
    <t xml:space="preserve">  RAIMUNDO MENDES DE SOUSA- 5315</t>
  </si>
  <si>
    <t xml:space="preserve">  REGINALDO ANTONIO CARDOSO- 1629</t>
  </si>
  <si>
    <t xml:space="preserve">  REGINALDO DE SOUSA OLIVEIRA- 5412</t>
  </si>
  <si>
    <t xml:space="preserve">  REGINALDO PEREIRA DA SILVA- 5203</t>
  </si>
  <si>
    <t xml:space="preserve">  REGIO ETERNO GONCALVES DA SILVA- 5425</t>
  </si>
  <si>
    <t xml:space="preserve">  REGISMAR ANTONIO TEODORO DA COSTA- 2966</t>
  </si>
  <si>
    <t xml:space="preserve">  REGIVALDO LUIZ PRADO- 2986</t>
  </si>
  <si>
    <t xml:space="preserve">  REINALDO PIRES GOMES- 5039</t>
  </si>
  <si>
    <t xml:space="preserve">  REINAN JOSE BORGES SOUSA- 1075</t>
  </si>
  <si>
    <t xml:space="preserve">  REMITON COELHO VIEIRA- 1721</t>
  </si>
  <si>
    <t xml:space="preserve">  RICARDO AUGUSTO TEIXEIRA SANTOS- 5449</t>
  </si>
  <si>
    <t xml:space="preserve">  RICARDO PONCE DE LEAO LIMA- 5192</t>
  </si>
  <si>
    <t xml:space="preserve">  RICARDO VIEIRA GERVASIO- 5297</t>
  </si>
  <si>
    <t xml:space="preserve">  RICHARD SOUSA DA SILVA- 1271</t>
  </si>
  <si>
    <t xml:space="preserve">  ROBERTO JOSE DE PAULA- 5433</t>
  </si>
  <si>
    <t xml:space="preserve">  ROBSON DOS SANTOS PONTES- 2763</t>
  </si>
  <si>
    <t xml:space="preserve">  RODRIGO RIBEIRO CASSIOLI- 5427</t>
  </si>
  <si>
    <t xml:space="preserve">  RONALDO BONIN- 3090</t>
  </si>
  <si>
    <t xml:space="preserve">  RONALDO CLEBIS SOUSA SANTOS- 2879</t>
  </si>
  <si>
    <t xml:space="preserve">  RONIVALDO RODRIGUES- 5327</t>
  </si>
  <si>
    <t xml:space="preserve">  RONNE RODRIGUES DE SOUSA- 5025</t>
  </si>
  <si>
    <t xml:space="preserve">  ROSEAN MOURA DOS SANTOS- 5443</t>
  </si>
  <si>
    <t xml:space="preserve">  ROSIVALDO FERREIRA DA SILVA- 5429</t>
  </si>
  <si>
    <t xml:space="preserve">  RUBENS UCELLO- 4055</t>
  </si>
  <si>
    <t xml:space="preserve">  RUBERVAL FERREIRA DOS SANTOS- 5354</t>
  </si>
  <si>
    <t xml:space="preserve">  SAMUEL PORTO MACEDO- 2030</t>
  </si>
  <si>
    <t xml:space="preserve">  SANDRO CARLOS DE SOUSA- 5181</t>
  </si>
  <si>
    <t xml:space="preserve">  SANDRO RODRIGUES BATISTA- 5319</t>
  </si>
  <si>
    <t xml:space="preserve">  SAULO VINICIUS DE OLIVEIRA SANTOS- 5426</t>
  </si>
  <si>
    <t xml:space="preserve">  SEBASTIAO ROSA DA SILVA- 1006</t>
  </si>
  <si>
    <t xml:space="preserve">  SEBASTIAO SERGIO DE OLIVEIRA- 3079</t>
  </si>
  <si>
    <t xml:space="preserve">  SERGIO EVANGELISTA SOARES- 5409</t>
  </si>
  <si>
    <t xml:space="preserve">  SERGIO LUIZ PEREIRA- 4025</t>
  </si>
  <si>
    <t xml:space="preserve">  SILVANIO ANTONIO RODRIGUES- 3006</t>
  </si>
  <si>
    <t xml:space="preserve">  SINVAL RODRIGUES CARVALHAES- 5273</t>
  </si>
  <si>
    <t xml:space="preserve">  THIAGO VIEIRA SANTANA- 5421</t>
  </si>
  <si>
    <t xml:space="preserve">  URBANO CARLOS DE ARRUDA- 4006</t>
  </si>
  <si>
    <t xml:space="preserve">  URCELY MARCAL ARAUJO- 2981</t>
  </si>
  <si>
    <t xml:space="preserve">  VAGUIMAR DE SOUSA MONTEIRO- 5237</t>
  </si>
  <si>
    <t xml:space="preserve">  VALDECI FERREIRA DA SILVA- 5437</t>
  </si>
  <si>
    <t xml:space="preserve">  VALDEIR DA COSTA- 5351</t>
  </si>
  <si>
    <t xml:space="preserve">  VALDENEI ALVES PEREIRA- 5353</t>
  </si>
  <si>
    <t xml:space="preserve">  VALDENILSON RODRIGUES DE OLIVEIRA- 5388</t>
  </si>
  <si>
    <t xml:space="preserve">  VALDINEIDE FERNANDES LEAL- 5383</t>
  </si>
  <si>
    <t xml:space="preserve">  VALDINEY DOS SANTOS XAVIER- 5323</t>
  </si>
  <si>
    <t xml:space="preserve">  VALDIR ALVES MIRANDA- 1364</t>
  </si>
  <si>
    <t xml:space="preserve">  VALDIR NUNES DA SILVA- 2989</t>
  </si>
  <si>
    <t xml:space="preserve">  VALDIR PEREIRA DE SOUZA- 85</t>
  </si>
  <si>
    <t xml:space="preserve">  VALDIVINO VIEIRA DE OLIVEIRA- 2446</t>
  </si>
  <si>
    <t xml:space="preserve">  VALDOMIRO PEREIRA DE MACEDO- 5379</t>
  </si>
  <si>
    <t xml:space="preserve">  VALMIR CARLOS DE ALMEIDA- 4056</t>
  </si>
  <si>
    <t xml:space="preserve">  VALTER RUARO- 4002</t>
  </si>
  <si>
    <t xml:space="preserve">  VALTERLINS ALEXANDRE COSTA- 5446</t>
  </si>
  <si>
    <t xml:space="preserve">  VALTERSON ANTONIO CORREIA- 3004</t>
  </si>
  <si>
    <t xml:space="preserve">  VANDERSON GURGEL DO AMARAL- 2734</t>
  </si>
  <si>
    <t xml:space="preserve">  VILMAR DOS SANTOS- 5438</t>
  </si>
  <si>
    <t xml:space="preserve">  VILMAR JOSE CAMILO- 948</t>
  </si>
  <si>
    <t xml:space="preserve">  WAGNER LINHARES DE MORAIS- 4074</t>
  </si>
  <si>
    <t xml:space="preserve">  WALACCY CORREIA PACHECO- 3008</t>
  </si>
  <si>
    <t xml:space="preserve">  WALDIR DE ALMEIDA CORTE JUNIOR- 5960</t>
  </si>
  <si>
    <t xml:space="preserve">  WANDERLEI JOSE MARQUES- 5336</t>
  </si>
  <si>
    <t xml:space="preserve">  WASHINGTON JOSE RODRIGUES- 5310</t>
  </si>
  <si>
    <t xml:space="preserve">  WEBER SOUSA DE OLIVEIRA- 1544</t>
  </si>
  <si>
    <t xml:space="preserve">  WEDISLEY MOREIRA DOS SANTOS- 2667</t>
  </si>
  <si>
    <t xml:space="preserve">  WELSON JESUS VARDASCA FERREIRA- 5186</t>
  </si>
  <si>
    <t xml:space="preserve">  WELTON SOARES DE ARRUDA- 3012</t>
  </si>
  <si>
    <t xml:space="preserve">  WESCLEY GUANABARA BATISTA DE ABREU- 5453</t>
  </si>
  <si>
    <t xml:space="preserve">  WILLIAN DE SOUZA BANDEIRA- 2025</t>
  </si>
  <si>
    <t xml:space="preserve">  WILMAR JOSE DE SOUZA- 1763</t>
  </si>
  <si>
    <t xml:space="preserve">  WILSON FERREIRA DE JESUS- 1407</t>
  </si>
  <si>
    <t xml:space="preserve">  WILSON MARTINS ROCHA- 105</t>
  </si>
  <si>
    <t xml:space="preserve">  WLADIMIR DE SA CARDOSO- 5457</t>
  </si>
  <si>
    <t xml:space="preserve">  WUDSON RODRIGUES DA COSTA- 5174</t>
  </si>
  <si>
    <t xml:space="preserve">  ZULMIRO GODINHO SERAFIM- 5431</t>
  </si>
  <si>
    <t xml:space="preserve"> CARLOS ALBERTO BEZERRA - 5876</t>
  </si>
  <si>
    <t xml:space="preserve"> MATHEUS GOMES DE MIRANDA - 5822</t>
  </si>
  <si>
    <t xml:space="preserve"> WENNER MEDEIROS DE SOUSA - 6258</t>
  </si>
  <si>
    <t>ABIAS ALVES DE OLIVEIRA - 5619</t>
  </si>
  <si>
    <t>ACELINO DE ABREU SILVA - 5661</t>
  </si>
  <si>
    <t>ADAIR VIEIRA DA SILVA - 2034</t>
  </si>
  <si>
    <t>ADAO VALADARES DE MATOS - 1942</t>
  </si>
  <si>
    <t>ADEILSON MEDEIROS DE SOUSA - 5448</t>
  </si>
  <si>
    <t>ADEMIR ANDRADE - EXCLUSIVE</t>
  </si>
  <si>
    <t>ADMILSON BRAGA ALVES - 2656</t>
  </si>
  <si>
    <t>ADRIANO CAMARGO CORDEIRO - 4001</t>
  </si>
  <si>
    <t>ADRIANO PEREIRA DA SILVA - 5241</t>
  </si>
  <si>
    <t>AGESANDRO  SILVA BARROS - 6210</t>
  </si>
  <si>
    <t>ALCIDES LEAO CAVALCANTE - 5802</t>
  </si>
  <si>
    <t>ALESON DOS SANTOS MOTA - 5818</t>
  </si>
  <si>
    <t>ALESSANDRO RODRIGUES BRAGA SILVA - 3066</t>
  </si>
  <si>
    <t>ALEXSANDRO CONSTANTINO - 3054</t>
  </si>
  <si>
    <t>ALEXSANDRO MOREIRA MODESTO - 6265</t>
  </si>
  <si>
    <t>ALEXSANDRO PEREIRA DA SILVA - 5286</t>
  </si>
  <si>
    <t>ALFREDO CUNHA SILVA - 2918</t>
  </si>
  <si>
    <t>ALLEF OLIVEIRA SILVA - EXCLUSIVE</t>
  </si>
  <si>
    <t>AMARAL E SILVA SOBRINHO - 5669</t>
  </si>
  <si>
    <t>AMARILDO DOMINGOS DA SILVA - 5815</t>
  </si>
  <si>
    <t>AMARILDO JOSE RIBEIRO - 5564</t>
  </si>
  <si>
    <t>AMARYLDO LUCCENA GUIMARAES - 5683</t>
  </si>
  <si>
    <t>ANAGILDO LOPES DE CAMPOS - 5824</t>
  </si>
  <si>
    <t>ANDREILSON ALVES DE CARVALHO - 2795</t>
  </si>
  <si>
    <t>ANDREZITO DE JESUS DOS SANTOS - 2041</t>
  </si>
  <si>
    <t>ANTONIO BARROS DO NASCIMENTO - 5116</t>
  </si>
  <si>
    <t>ANTONIO CRUZ NETO - 4015</t>
  </si>
  <si>
    <t>ANTONIO DIVINO DOS SANTOS - 1637</t>
  </si>
  <si>
    <t>ANTONIO DOS SANTOS ARAUJO - 4095</t>
  </si>
  <si>
    <t>ANTONIO FERNANDO DA SILVA - 5740</t>
  </si>
  <si>
    <t>ANTONIO FILHO DA ROCHA ARAUJO - 1703</t>
  </si>
  <si>
    <t>ANTONIO JACKS SILVA ARRAIZ - 3074</t>
  </si>
  <si>
    <t>ANTONIO JESUS DE CARMARGO - 6177</t>
  </si>
  <si>
    <t>ANTONIO LINDOMAR DAS CHAGAS - 5175</t>
  </si>
  <si>
    <t>ANTONIO MAGNO FERREIRA DA SILVA - 5789</t>
  </si>
  <si>
    <t>ANTONIO PAULO ALVES FERREIRA EXCLUSIVE</t>
  </si>
  <si>
    <t>ANTONIO SOUSA CORTE - 2652</t>
  </si>
  <si>
    <t>ANTONIO VALDIR DE OLIVEIRA - 2956</t>
  </si>
  <si>
    <t>ANTONIO WAGNER DEMETRIO PEREIRA - 3069</t>
  </si>
  <si>
    <t>APARECIDO DIAS - 4031</t>
  </si>
  <si>
    <t>APARECIDO ELEODORO - 4036</t>
  </si>
  <si>
    <t>ARIANO SILVA OLIVEIRA - 5410</t>
  </si>
  <si>
    <t>ARIMATEIA  DA  SILVA CAMPOS JUNIOR - 5647</t>
  </si>
  <si>
    <t>ARTMAN DA COSTA ROCHA - 920</t>
  </si>
  <si>
    <t>ARY MORAIS COSTA - 3076</t>
  </si>
  <si>
    <t>AURICELIO SILVA DO CARMO - 5755</t>
  </si>
  <si>
    <t>AYALLA DA SILVA OLIVEIRA - 2721</t>
  </si>
  <si>
    <t>BENITO FREIRE DE CARVALHO - 2652</t>
  </si>
  <si>
    <t>BRENO LACERDA SPERB - 5756</t>
  </si>
  <si>
    <t>BRUNNO WALLISON MARTINS - 5252</t>
  </si>
  <si>
    <t>CARDECIO SANTANA FERREIRA - 2253</t>
  </si>
  <si>
    <t xml:space="preserve">CARLITO  FERREIRA </t>
  </si>
  <si>
    <t>CARLOS ALBERTO AMARAL - 5816</t>
  </si>
  <si>
    <t>CARLOS ANDRE PORFIRIO DE PAIVA - 6209</t>
  </si>
  <si>
    <t>CARLOS DOS QUADROS - 5719</t>
  </si>
  <si>
    <t>CARLOS EDUARDO PEREIRA - 5864</t>
  </si>
  <si>
    <t>CARLOS PEREIRA DE ALVARENGA - 5596</t>
  </si>
  <si>
    <t>CARLOS SILVA GOMES - 2911</t>
  </si>
  <si>
    <t>CELIO MARCOS RODRIGUES - 5196</t>
  </si>
  <si>
    <t>CELIO MORAIS DE MENEZES - 5253</t>
  </si>
  <si>
    <t>CELSO BARBOSA PINTO - 3088</t>
  </si>
  <si>
    <t>CESAR AUGUSTO PEREIRA - 5197</t>
  </si>
  <si>
    <t>CICERO APARECIDO DE SOUZA - 5720</t>
  </si>
  <si>
    <t>CICERO DE OLIVEIRA - 5178</t>
  </si>
  <si>
    <t>CICERO FRANCINETE SILVA - 1625 / MONITOR</t>
  </si>
  <si>
    <t>CICERO JOSÉ FERREIRA E SILVA - 6262</t>
  </si>
  <si>
    <t xml:space="preserve">CIRO LUIZ DO NASCIMENTO - EXCLUSIVE </t>
  </si>
  <si>
    <t>CLAYTON SANTOS AIRES PEREIRA - 5209</t>
  </si>
  <si>
    <t>CLEIBE PEREIRA GONÇALVES - 6024</t>
  </si>
  <si>
    <t>CLEIDEMARCIO CORDEIRO DA SILVA PINHEIRO - 2961</t>
  </si>
  <si>
    <t>CLEMILTON NASCIMENTO - 6269</t>
  </si>
  <si>
    <t>CLENIVAN RODRIGUES DOS REIS - 5542</t>
  </si>
  <si>
    <t>CLEOMAR BATISTA NERIS - 6241</t>
  </si>
  <si>
    <t>CLEOMAR FERREIRA DA SILVA - 5609</t>
  </si>
  <si>
    <t>CLOVIS MARQUES - 1065</t>
  </si>
  <si>
    <t>CRISTIANO ALVES DE AVILA - 5847</t>
  </si>
  <si>
    <t>DALVAM PEREIRA DOS REIS - 5674</t>
  </si>
  <si>
    <t>DARMITO MARINHO DE SOUSA - 3022</t>
  </si>
  <si>
    <t>DAVI MOTA VILAS BOAS FILHO - 5232</t>
  </si>
  <si>
    <t>DENIVAL MENDES SOUSA - 5014</t>
  </si>
  <si>
    <t>DERIVAN OLIVEIRA SILVA - 5632</t>
  </si>
  <si>
    <t>DIEGO OLIVEIRA DA SILVA - 5284</t>
  </si>
  <si>
    <t>DIONE HENRIQUE FRANCA QUIXABEIRA - 5065</t>
  </si>
  <si>
    <t>DIRLEY CARDOSO DE MELO - 5296</t>
  </si>
  <si>
    <t>DIVINO APARECIDO DE OLIVEIRA - 2998</t>
  </si>
  <si>
    <t>DIVINO SILVA DO NASCIMENTO - 2544</t>
  </si>
  <si>
    <t>DJALMA NOGUEIRA DOS SANTOS - 5956</t>
  </si>
  <si>
    <t>DONISETE MENDES DE SOUZA - 4010</t>
  </si>
  <si>
    <t xml:space="preserve">DORIVAL FERREIRA DA SILVA </t>
  </si>
  <si>
    <t>DORIVAL FERREIRA DA SILVA  EXCLUSIVE</t>
  </si>
  <si>
    <t>DOUGLAS LEME MARTINS - 4052</t>
  </si>
  <si>
    <t>EB SILVERIO</t>
  </si>
  <si>
    <t>EDEVALDO</t>
  </si>
  <si>
    <t>EDIMAR DA SILVA RODRIGUES - 5526</t>
  </si>
  <si>
    <t>EDIMILSON PEREIRA DA COSTA - 4033</t>
  </si>
  <si>
    <t>EDIVALDO DOS SANTOS DE LIMA - 1686</t>
  </si>
  <si>
    <t>EDMILSON SOUSA LIMA - 3007</t>
  </si>
  <si>
    <t>EDMUNDO DOMINGO DOS SANTOS - 2428</t>
  </si>
  <si>
    <t>EDNALDO PEREIRA DA SILVA - 5769</t>
  </si>
  <si>
    <t>EDSON COSME DA SILVA - 4094</t>
  </si>
  <si>
    <t>EDSON DA SILVA RAMOS - 5305</t>
  </si>
  <si>
    <t>EDSON LUIZ SZUMOVSKI - 5581</t>
  </si>
  <si>
    <t>EDSON MARCOS LIMA DA SILVA - 5334</t>
  </si>
  <si>
    <t>EDSON MIRANDA - EXCLUSIVE</t>
  </si>
  <si>
    <t>EDSON RODRIGUES DA SILVA - 5716</t>
  </si>
  <si>
    <t>EDUARDO ANTONIO DA SILVA - 2678</t>
  </si>
  <si>
    <t>EDUARDO FERNANDES BARROS - 5262</t>
  </si>
  <si>
    <t>EDVALDO NEVES DE ABREU - 3032</t>
  </si>
  <si>
    <t>EGIDIO JOSE FERREIRA NETO - 2147</t>
  </si>
  <si>
    <t>ELEANDRO DE SOUZA TEIXEIRA - 3087</t>
  </si>
  <si>
    <t>ELIAS DOS SANTOS PINHEIRO - 5242</t>
  </si>
  <si>
    <t>ELIAS HEMIQUE</t>
  </si>
  <si>
    <t>ELIAS JESUS DA COSTA - 5295</t>
  </si>
  <si>
    <t>ELIAS SOARES PEREIRA - 6174</t>
  </si>
  <si>
    <t>ELIEL SANTOS RODRIGUES - 2968</t>
  </si>
  <si>
    <t>ELLISMARCLEY GUILHERME DA SILVA - 2058</t>
  </si>
  <si>
    <t>ELSON LIMA DE SOUSA - 5527</t>
  </si>
  <si>
    <t>ELTON LOPES DE ARAUJO - 5128</t>
  </si>
  <si>
    <t>ELZITO DAMACENO</t>
  </si>
  <si>
    <t>ELZITO NEDO</t>
  </si>
  <si>
    <t>EMANUEL GOMES LIMA - 5704</t>
  </si>
  <si>
    <t>EMIDIO MILTON DE ASSIS - 5717</t>
  </si>
  <si>
    <t>ENIXON KENEDYS DA SILVA - 3096</t>
  </si>
  <si>
    <t>ENOQUE XAVIER - 2356</t>
  </si>
  <si>
    <t>ERASMO CARLOS PEREIRA DA SILVA - 2881</t>
  </si>
  <si>
    <t>ERASMO CARLOS RABELO - 6261</t>
  </si>
  <si>
    <t>ERVALDO GERMANO - EXCLUSIVE</t>
  </si>
  <si>
    <t>ESMAILEI WILLIAM TEIXEIRA - 5328</t>
  </si>
  <si>
    <t>EURIDES ELIEZER CORREIA - 5553</t>
  </si>
  <si>
    <t xml:space="preserve">EVALDO GERMANO </t>
  </si>
  <si>
    <t>EVANDRO BEZERRA LOPES - 5588</t>
  </si>
  <si>
    <t>EVANDRO CARLOS ARAUJO LIMA - 569</t>
  </si>
  <si>
    <t>EZEQUIAS PEREIRA FERNANDES - 4016</t>
  </si>
  <si>
    <t>FABIO ALEXANDRE - EXCLUSIVE</t>
  </si>
  <si>
    <t>FABIO ALEXANDRE BARROS - 4054</t>
  </si>
  <si>
    <t>FABIO AMORIM ROCHA - 2670</t>
  </si>
  <si>
    <t>FABIO DA SILVA ANDRADE - 4075</t>
  </si>
  <si>
    <t>FABIO DA SILVA ANDRADE 5966</t>
  </si>
  <si>
    <t>FABIO DOS ANJOS SOBRINHO - 4079</t>
  </si>
  <si>
    <t>FABIO ISSLER FERREIRA - 3067</t>
  </si>
  <si>
    <t>FABIO ROGERIO PINTO - 1974</t>
  </si>
  <si>
    <t>FERNANDO ALVES DE SOUZA - 2787</t>
  </si>
  <si>
    <t>FERNANDO APARECIDO RIBEIRO - 5282</t>
  </si>
  <si>
    <t>FERNANDO DIAS DA CRUZ - 5625</t>
  </si>
  <si>
    <t>FERNANDO OLIVEIRA DE SOUZA - 5431</t>
  </si>
  <si>
    <t>FERNANDO ROBERTO DA SILVA PIMENTEL - 5331</t>
  </si>
  <si>
    <t>FLORIVAL FERREIRA DE SENA - 5185</t>
  </si>
  <si>
    <t>FRANCISCO CLEITON CARDOZO COSTA - 5246</t>
  </si>
  <si>
    <t>FRANCISCO COSTA E SILVA - 5990</t>
  </si>
  <si>
    <t>FRANCISCO DAS CHAGAS DO NASCIMENTO - 5269</t>
  </si>
  <si>
    <t>FRANCISCO DAS CHAGAS GOMES DE OLIVEIRA - 3058</t>
  </si>
  <si>
    <t>FRANCISCO DE ASSIS LEAL - 5059</t>
  </si>
  <si>
    <t>FRANCISCO EDIS SALES BEZERRA - 1939</t>
  </si>
  <si>
    <t>FRANCISCO ELIZALDO ALBUQUERQUE DA SILVA - 3070</t>
  </si>
  <si>
    <t>FRANCISCO JOSE LIMA CHAGAS - 5337</t>
  </si>
  <si>
    <t>FRANCISCO MARINHO PEREIRA - 1750</t>
  </si>
  <si>
    <t>FRANCISCO MUNIZ DA SILVA NETO - 1667</t>
  </si>
  <si>
    <t>FRANCISCO PEREIRA DA SILVA NETO - 5277</t>
  </si>
  <si>
    <t>FRANCISCO RODRIGUES DE OLIVEIRA - 1505</t>
  </si>
  <si>
    <t>FRANCISCO RODRIGUES DE SOUSA - 735</t>
  </si>
  <si>
    <t>FRANCISCO WASHINGTON ALVES COSTA - 5439</t>
  </si>
  <si>
    <t>FRANCIVALDO MATIAS BIZERRA - 5238</t>
  </si>
  <si>
    <t>GEAN FRANCK SANTANA DE OLIVEIRA  6132</t>
  </si>
  <si>
    <t>GENILDO REIS CORREIA DE SOUSA - 5667</t>
  </si>
  <si>
    <t>GENIVAL CAMPOS CASTELO - 6014</t>
  </si>
  <si>
    <t>GERALDO MAGELA DA COSTA - 906</t>
  </si>
  <si>
    <t>GERSON PEREIRA ALVES - 2837</t>
  </si>
  <si>
    <t>GERSON PEREIRA ALVES - 5558</t>
  </si>
  <si>
    <t>GEYSILOM CARDOSO FAGUNDES FURTADO - 5770</t>
  </si>
  <si>
    <t>GIDEONY LOPES DA SILVA - 5022</t>
  </si>
  <si>
    <t>GILBERTE WAGNER CALDEIRA - 5707</t>
  </si>
  <si>
    <t>GILMAR ALVES DE MARIA - 5627</t>
  </si>
  <si>
    <t>GILMAR DOS SANTOS LUCENA - 3097</t>
  </si>
  <si>
    <t>GILMAR MARTINS DA SILVA - 2784</t>
  </si>
  <si>
    <t>GILSON MESQUITA LIMA - 5454</t>
  </si>
  <si>
    <t>GILSON MESQUITA LIMA - 5544</t>
  </si>
  <si>
    <t>GLAYSSON RANGEL DE SOUSA LESSA - 1679</t>
  </si>
  <si>
    <t>GRACILIANO CARVALHO DA SILVA - 1603</t>
  </si>
  <si>
    <t>GRAKYO FERNANDO SOUSA SILVA - 5791</t>
  </si>
  <si>
    <t>HAILTON ALVES DA  SILVA - 5650</t>
  </si>
  <si>
    <t>HAROLDO REINALDO LIMA - 4014</t>
  </si>
  <si>
    <t>HELITON OLIVEIRA DE LIMA - 5651</t>
  </si>
  <si>
    <t>HELITON OLIVEIRA DE LIMA - 5830</t>
  </si>
  <si>
    <t>HERALDO VIEIRA DE SA - 5550</t>
  </si>
  <si>
    <t xml:space="preserve">HERBERT DA SILVA CUNHA </t>
  </si>
  <si>
    <t>HERBERT FABIANO PEREIRA DA SILVA - 5444</t>
  </si>
  <si>
    <t>HERCULES CARVALHO SANTOS</t>
  </si>
  <si>
    <t>HERCULES CARVALHO SANTOS - 5261</t>
  </si>
  <si>
    <t>HILDEGARDES SOARES GOMES - 5272</t>
  </si>
  <si>
    <t>HORTENCIO DE OLIVEIRA VAZ - 1087</t>
  </si>
  <si>
    <t>IBERIS AMANCIO DA SILVA - 5281</t>
  </si>
  <si>
    <t>IDEIR BISPO DE SANTANA - 2543</t>
  </si>
  <si>
    <t>IDINAUDO PAVEL SILVA SANTOS - 6260</t>
  </si>
  <si>
    <t>IEDO FERREIRA DE SOUSA - 1071</t>
  </si>
  <si>
    <t>ILDO BAUMCARTINER - 5803</t>
  </si>
  <si>
    <t>ILMAR PEREIRA DA SILVA - 5447</t>
  </si>
  <si>
    <t>IRAN PINHEIRO - 5234</t>
  </si>
  <si>
    <t>IRANILSON SILVA SOUSA - 6015</t>
  </si>
  <si>
    <t>IRISMAR JOSE DOS SANTOS - 5114</t>
  </si>
  <si>
    <t>ISAAC LACERDA ALVES - 5122</t>
  </si>
  <si>
    <t>ISAC DIAS DA COSTA - 5179</t>
  </si>
  <si>
    <t>ISAIAS TEODORO ALVES - 2019</t>
  </si>
  <si>
    <t>ISNANDE JOSE DIAS GONCALVES - 5086</t>
  </si>
  <si>
    <t>IVAN ANTONIO BOMBARDA - 2361</t>
  </si>
  <si>
    <t>IVAN CESAR VIDAL - 5137</t>
  </si>
  <si>
    <t>IVAN VIEIRA DO NASCIMENTO - 5304</t>
  </si>
  <si>
    <t>JADIANE RODRIGUES DA SILVA - 5218</t>
  </si>
  <si>
    <t>JAIRO RODRIGO DE LIMA - 6171</t>
  </si>
  <si>
    <t>JAMES RIBEIRO TAVARES - 939</t>
  </si>
  <si>
    <t>JARDIEL AGUIAR - 4009</t>
  </si>
  <si>
    <t>JEAN FREITAS MESSIAS - 2036 / MONITOR</t>
  </si>
  <si>
    <t>JEFERSON BATISTA KRAUSER - 5820</t>
  </si>
  <si>
    <t>JEFERSON NASCIMENTO MESQUITA - 1893</t>
  </si>
  <si>
    <t>JESUS JOSE RODRIGUES - 5821</t>
  </si>
  <si>
    <t>JHON NATANAEL NEUBERT MACIEL - 5721</t>
  </si>
  <si>
    <t>JHONATAN GLAUBER DA SILVA MIRANDA - 5024</t>
  </si>
  <si>
    <t>JOAO BATISTA OLIVEIRA SILVA - 5190</t>
  </si>
  <si>
    <t>JOAO BRANDAO DE BRITO - 5245</t>
  </si>
  <si>
    <t>JOÃO DA SILVA MORES 2938</t>
  </si>
  <si>
    <t>JOÃO DE ASSIS - 5957</t>
  </si>
  <si>
    <t>JOAO LENO TEIXEIRA - 4093</t>
  </si>
  <si>
    <t>JOAO LUCAS ALVES DE SILVA - 6203</t>
  </si>
  <si>
    <t>JOAO PAULINO DE  SILVA NETO - 5663</t>
  </si>
  <si>
    <t>JOAO ROQUELINO PERES JUNIOR - 5552</t>
  </si>
  <si>
    <t>JOAO SILVA SOUSA - 5330</t>
  </si>
  <si>
    <t>JOCIVANE BARBOSA DE OLIVEIRA - 5207</t>
  </si>
  <si>
    <t>JOEL LUIS SILVA - 6017</t>
  </si>
  <si>
    <t>JORBEN SILVA DE OLIVEIRA - 5551</t>
  </si>
  <si>
    <t>JORDELIO DOS SANTOS PEREIRA - 5248</t>
  </si>
  <si>
    <t>JOSE ADENIL DA SILVA SANTANA - 2996</t>
  </si>
  <si>
    <t>JOSE ALVES COELHO - 5722</t>
  </si>
  <si>
    <t>JOSE BRAZ FILHO - 2676</t>
  </si>
  <si>
    <t>JOSE CARLOS CAIXETA - 2673</t>
  </si>
  <si>
    <t>JOSE CARLOS FERREIRA VAZ - 2680</t>
  </si>
  <si>
    <t>JOSE CARLOS MILHOMEM DA SILVA - 1923</t>
  </si>
  <si>
    <t>JOSE DA SILVA LIMA - 2985</t>
  </si>
  <si>
    <t>JOSE DORIAN BOA VENTURA NASCIMENTO - 5316</t>
  </si>
  <si>
    <t>JOSE ETERNO DAVID DOS SANTOS - 1930</t>
  </si>
  <si>
    <t>JOSE FRANCA DA SILVA - 5324</t>
  </si>
  <si>
    <t>JOSE HELIO RANGEL BARBOSA - 5265</t>
  </si>
  <si>
    <t>JOSE INACIO DE LISBOA - 5411</t>
  </si>
  <si>
    <t>JOSE LUIZ DOS SANTOS FILHO - 5219</t>
  </si>
  <si>
    <t>JOSE MANOEL DE MEDEIROS - 2629</t>
  </si>
  <si>
    <t>JOSE MARIA DA SILVA - 2760</t>
  </si>
  <si>
    <t xml:space="preserve">JOSE MARQUES </t>
  </si>
  <si>
    <t>JOSE MARQUES FILHO - 4013</t>
  </si>
  <si>
    <t>JOSE MAURICIO - 5718</t>
  </si>
  <si>
    <t>JOSE NILTON DA SILVA LIMA - 2627</t>
  </si>
  <si>
    <t>JOSE NUNES DE PAULA - 1413</t>
  </si>
  <si>
    <t>JOSE NUNES LIRA - 5023</t>
  </si>
  <si>
    <t>JOSE PEDRO OLIVEIRA GOMES - 5804</t>
  </si>
  <si>
    <t>JOSE ROBERTO ROSA - 1156</t>
  </si>
  <si>
    <t>JOSE SOLA MORENO - 4003</t>
  </si>
  <si>
    <t>JOSE TANASSOF - EXCLUSIVE</t>
  </si>
  <si>
    <t>JOSIMO RODRIGUES DE SOUZA - 5202</t>
  </si>
  <si>
    <t>JOVAN ALVES CHAVES - 5684</t>
  </si>
  <si>
    <t>JUAREZ PEREIRA ARAUJO - 5180</t>
  </si>
  <si>
    <t>JULIADSON PEREIRA DOS SANTOS - 5958</t>
  </si>
  <si>
    <t>JULIO CESAR ALVES BRANDÃO - 5445</t>
  </si>
  <si>
    <t>JUNIOR CARLOS DE OLIVEIRA - 1118</t>
  </si>
  <si>
    <t>JUSSIMAR DE FARIAS CAMPOS - 2687</t>
  </si>
  <si>
    <t>KEMMUEL KESSLER PASSOS OLIVEIRA - 5557</t>
  </si>
  <si>
    <t>KLEBERT XAVIER DA MAIA - 5827</t>
  </si>
  <si>
    <t>KLEITON CAETANO DOS PASSOS - 2035</t>
  </si>
  <si>
    <t>KLESLEI TIAGO DA SILVA RODRIGUES  - 5986</t>
  </si>
  <si>
    <t>KLEZIA KRISTINA MARTINS FERREIRA - 5287</t>
  </si>
  <si>
    <t xml:space="preserve">LAERCIO MATOS </t>
  </si>
  <si>
    <t>LANDRA BATISTA DOS SANTOS - 5210</t>
  </si>
  <si>
    <t>LAURIMAR ANTONIO DE OLIVEIRA - 5016</t>
  </si>
  <si>
    <t>LAZARO DOS REIS SILVA - 1338</t>
  </si>
  <si>
    <t>LEANDRO DE CARVALHO PEREIRA - 5118</t>
  </si>
  <si>
    <t>LEANDRO DOS SANTOS ARAUJO -5995</t>
  </si>
  <si>
    <t>LEANDRO SOUSA BORGES - 5266</t>
  </si>
  <si>
    <t>LEDIO FRANCISCO CORREIA - 5666</t>
  </si>
  <si>
    <t>LEIDIOMAR CAETANO DA SILVA - 5594</t>
  </si>
  <si>
    <t>LEONARDO LIMA MONTELO - 5321</t>
  </si>
  <si>
    <t>LEUNI ALVES DE NOVAES - 4062</t>
  </si>
  <si>
    <t>LUCIANE EDUARDO DOS SANTOS - 5201</t>
  </si>
  <si>
    <t>LUCIANO ALVES FERREIRA - 5193</t>
  </si>
  <si>
    <t>LUCIANO ANTONIO RIBEIRO - 1797</t>
  </si>
  <si>
    <t>LUCIANO DIVINO JORGE ANASTACIO - 5320</t>
  </si>
  <si>
    <t>LUCIANO FERREIRA DE OLIVEIRA - 5534</t>
  </si>
  <si>
    <t>LUCIANO GOMES RIBEIRO - 5064</t>
  </si>
  <si>
    <t>LUCIANO MARCELO LIMA SILVA - 5117</t>
  </si>
  <si>
    <t>LUCILIO GONCALVES ALMEIDA PRADO - EXCLUSIVE</t>
  </si>
  <si>
    <t>LUCILIO MOISES - 5871</t>
  </si>
  <si>
    <t>LUCINALDO JOSE DOS SANTOS - 2142</t>
  </si>
  <si>
    <t>LUIS ANDRE ALMEIDA RIBEIRO - 5839 - 5839</t>
  </si>
  <si>
    <t>LUIS ANDRE ALMEIDA RIBEIRO - 5889</t>
  </si>
  <si>
    <t>LUIS ANDRE GOMES DE SOUSA - 5301</t>
  </si>
  <si>
    <t>LUIS ANTONIO MIRANDA ROSA - 4008</t>
  </si>
  <si>
    <t xml:space="preserve">LUIS CARLOS </t>
  </si>
  <si>
    <t>LUIZ ANTONIO</t>
  </si>
  <si>
    <t>LUIZ CARLOS ALVES - 6040</t>
  </si>
  <si>
    <t>LUIZ CARLOS MORAES CAMPOS - 6049</t>
  </si>
  <si>
    <t>LUIZ CARLOS SILVA - EXCLUSIVE</t>
  </si>
  <si>
    <t>LUIZ CLOVANDIR MAGALHAES SAMPAIO - 5294</t>
  </si>
  <si>
    <t>LUIZ ODETE BATISTA FLOZ - 2511</t>
  </si>
  <si>
    <t>LUZIMAR SOARES ROCHA - 5987</t>
  </si>
  <si>
    <t>MANOEL FERNANDO OLIVEIRA DIAS - 4022</t>
  </si>
  <si>
    <t>MANOEL NARCISO SOARES MOURA - 5441</t>
  </si>
  <si>
    <t>MARCELLO DE AGUIAR RAMOS - 1597</t>
  </si>
  <si>
    <t>MARCELO ALVES DE SOUSA - 5655</t>
  </si>
  <si>
    <t>MARCELO DOS REIS ALVES - 5220</t>
  </si>
  <si>
    <t>MARCELO DOS REIS ALVES 5220</t>
  </si>
  <si>
    <t>MARCELO JOSE CORREIA - 5263</t>
  </si>
  <si>
    <t>MARCELO VITO FAUSTINO DOS SANTOS - 5250</t>
  </si>
  <si>
    <t>MARCIO - EXCLUSIVE</t>
  </si>
  <si>
    <t>MARCIO DE SOUSA BRASILEIRO - 5657</t>
  </si>
  <si>
    <t>MARCIO DE SOUSA MATOS</t>
  </si>
  <si>
    <t>MARCIO DUARTE CARNEIRO - 6263</t>
  </si>
  <si>
    <t>MARCIO JOSE DA CRUZ - 5530</t>
  </si>
  <si>
    <t>MARCONE SOUSA NASCIMENTO - 5288</t>
  </si>
  <si>
    <t>MARCONES GRANDE DE SOUSA - 5635</t>
  </si>
  <si>
    <t>MARCOS ALEXANDRE SOUZA SILVA - 3075</t>
  </si>
  <si>
    <t>MARCOS ANTONIO  5949</t>
  </si>
  <si>
    <t>MARCOS ANTONIO FERREIRA DIAS 5949</t>
  </si>
  <si>
    <t>MARCOS ANTONIO ROCHA NEVES - 5165</t>
  </si>
  <si>
    <t>MARCOS AURELHO MAGALHAES - 6022</t>
  </si>
  <si>
    <t>MARCOS AURELIO DOS SANTOS - 6205</t>
  </si>
  <si>
    <t>MARCOS BORGES DE CARVALHO - 5592</t>
  </si>
  <si>
    <t>MARCOS DE MATOS ALVES - 4011</t>
  </si>
  <si>
    <t>MARCOS NERDE SOUSA - PERVIDOR</t>
  </si>
  <si>
    <t xml:space="preserve">MARCOS SIMÕES </t>
  </si>
  <si>
    <t>MARCOS SUEL SALES PINTO - 5529</t>
  </si>
  <si>
    <t>MARCOS SUEL VICENTE DE SOUZA - 5536</t>
  </si>
  <si>
    <t>MARCUS VINICIUS SARAIVA DE SOUSA - 5499</t>
  </si>
  <si>
    <t xml:space="preserve">MARIO CESAR </t>
  </si>
  <si>
    <t>MARTIN INOCENCIO ALVES - 5239</t>
  </si>
  <si>
    <t>MAYCON MENDES ALVES - 5019</t>
  </si>
  <si>
    <t>MILTON AFONSO DE ARAUJO - 5570</t>
  </si>
  <si>
    <t xml:space="preserve">MOTORISTA LOCADO </t>
  </si>
  <si>
    <t>NELCI BORGES CAETANO - 2975</t>
  </si>
  <si>
    <t>NERDE PEREIRA - PERVIDOR</t>
  </si>
  <si>
    <t>NILSON SIQUEIRA CRUZ - 6243</t>
  </si>
  <si>
    <t>NILTON DA SILVA CONCEICAO - 5991</t>
  </si>
  <si>
    <t>NILTON PEREIRA DE SOUSA - 1508</t>
  </si>
  <si>
    <t>NILVAN BRANDO TENORIO - 5335</t>
  </si>
  <si>
    <t>ORLANDO DA COSTA SILVA - 5668</t>
  </si>
  <si>
    <t>OSEIAS MOREIRA FERNANDES - 3025</t>
  </si>
  <si>
    <t>OSNEI CAMPANHARO - 4004</t>
  </si>
  <si>
    <t>OVERTON RIBEIRO DA SILVA - 5289</t>
  </si>
  <si>
    <t>OZIEL MAXIMO DOS SANTOS - 5184</t>
  </si>
  <si>
    <t>PAULO ALVES CARNEIRO - 3026</t>
  </si>
  <si>
    <t>PAULO BENEDITO DE OLIVEIRA - 3089</t>
  </si>
  <si>
    <t>PAULO DINIZ OLIVEIRA DA SILVA - 5129</t>
  </si>
  <si>
    <t>PAULO EXCLUSIVE TUR</t>
  </si>
  <si>
    <t>PAULO FERNANDES GUIMARAES - 2015</t>
  </si>
  <si>
    <t>PAULO GARCIA - 4005</t>
  </si>
  <si>
    <t>PAULO ROBERTO  CARVALHO - 6173</t>
  </si>
  <si>
    <t>PEDRINHO MARCELINO BATISTA - 5629</t>
  </si>
  <si>
    <t>PEDRO ALVES DE OLIVEIRA - 556</t>
  </si>
  <si>
    <t>PEDRO COSTA JUNIOR EXCLUSIVE</t>
  </si>
  <si>
    <t>PEDRO DE CARVALHO SOUZA - 3001</t>
  </si>
  <si>
    <t>PEDRO FRANCISCO DO CARMO - 1481</t>
  </si>
  <si>
    <t>PEDRO JUNIO BRASIL BARBOSA - 5166</t>
  </si>
  <si>
    <t>PEDRO NUNES DOS SANTOS - 5243</t>
  </si>
  <si>
    <t xml:space="preserve">PERVIDOR </t>
  </si>
  <si>
    <t>RAFAEL FERNANDES DOS SANTOS - 3081</t>
  </si>
  <si>
    <t>RAFAEL LAGUNA FILHO - 4035</t>
  </si>
  <si>
    <t>RAFAEL LARA CARDOSO - 5247</t>
  </si>
  <si>
    <t>RAIMUNDO IRENIO DE AGUIAR - 6264</t>
  </si>
  <si>
    <t>RAIMUNDO MENDES DE SOUSA - 5315</t>
  </si>
  <si>
    <t>RAIMUNDO SOUZA - 1926</t>
  </si>
  <si>
    <t>RAMILTON SILVA OLIVEIRA - 5313</t>
  </si>
  <si>
    <t>RAMON NONATO SILVA JUSTINO - 5560</t>
  </si>
  <si>
    <t>REGINALDO ANTONIO CARDOSO - 1629</t>
  </si>
  <si>
    <t>REGINALDO PEREIRA DA SILVA - 5203</t>
  </si>
  <si>
    <t>REGIVALDO LUIZ PRADO - 2986</t>
  </si>
  <si>
    <t xml:space="preserve">REINALDO </t>
  </si>
  <si>
    <t>REINALDO PIRES GOMES - 5039</t>
  </si>
  <si>
    <t>REINALDO VALENTIM ALVES - 5133</t>
  </si>
  <si>
    <t>REMITON COELHO VIEIRA - 1721</t>
  </si>
  <si>
    <t>RICARDO AUGUSTO TEIXEIRA - 5449</t>
  </si>
  <si>
    <t>RICARDO CESAR PEREIRA DA SILVA - 2410</t>
  </si>
  <si>
    <t>RICARDO GONCALVES GRACIANO - 5012</t>
  </si>
  <si>
    <t>RICARDO GONÇALVES GRACIANO - 5012</t>
  </si>
  <si>
    <t>RICARDO PONCE DE LEAO LIMA - 5192</t>
  </si>
  <si>
    <t>RICARDO PONCE DE LEÃO LIMA - 5192</t>
  </si>
  <si>
    <t>RINALDO GARCIA DE JESUS - 2964</t>
  </si>
  <si>
    <t>ROBERTO ALVES DE SOUSA - 6266</t>
  </si>
  <si>
    <t>ROBERTO RIOS MARTINS - 5556</t>
  </si>
  <si>
    <t>ROBERTO SILVA SANTOS - 1480</t>
  </si>
  <si>
    <t>ROBERTO SOARES RUFINO - 5539</t>
  </si>
  <si>
    <t>ROBSON DOS SANTOS PONTES - 2763</t>
  </si>
  <si>
    <t>ROBSON REIS DA SILVA - 5543</t>
  </si>
  <si>
    <t>RODRIGO MANOEL CANDIDO SILVA - 2744</t>
  </si>
  <si>
    <t>ROGER FREITAS - 5665</t>
  </si>
  <si>
    <t>ROGERIO PEREIRA DE CASTRO - 1803</t>
  </si>
  <si>
    <t>ROGERIO TEODORO DE OLIVEIRA - 5994</t>
  </si>
  <si>
    <t>ROMILDO ALVES DE CARVALHO - 568</t>
  </si>
  <si>
    <t>RONALDO ALVES DE AZEVEDO - 5037</t>
  </si>
  <si>
    <t>RONALDO ANDRÉ XAVIER - 3031</t>
  </si>
  <si>
    <t>RONALDO ANTONIO DE SOUZA SANTOS - 1719</t>
  </si>
  <si>
    <t>RONALDO BONIN - 3090</t>
  </si>
  <si>
    <t>RONALDO CLEBIS SOUSA SANTOS - 2879</t>
  </si>
  <si>
    <t>RONALDO JUVENAL DA SILVA - 6182</t>
  </si>
  <si>
    <t>RONALDO MANOEL TEIXEIRA - 2541</t>
  </si>
  <si>
    <t>RONALDO PEREIRA DOS SANTOS - 1935</t>
  </si>
  <si>
    <t>RONALDO PEREIRA DOS SANTOS - 5275</t>
  </si>
  <si>
    <t>RONILDO SCHAEFER - 5710</t>
  </si>
  <si>
    <t>RONILDO TEICEIRA DE ARAUJO - 2995</t>
  </si>
  <si>
    <t>RONIVALDO RODRIGUES - 5327</t>
  </si>
  <si>
    <t>ROSEAN MOURA DOS SANTOS - 5443</t>
  </si>
  <si>
    <t xml:space="preserve">ROSIMAR ALVES DA SILVA </t>
  </si>
  <si>
    <t>ROSIMAR ALVES DA SILVA - EXCLUSIVE</t>
  </si>
  <si>
    <t>ROSIVALDO FERREIRA DA SILVA - 5429</t>
  </si>
  <si>
    <t>RUBENS CARLOS VIEIRA - 5063</t>
  </si>
  <si>
    <t>RUBENS UCELLO - 4055</t>
  </si>
  <si>
    <t>SAMUEL MORAIS SOUSA - 6252</t>
  </si>
  <si>
    <t>SAMUEL PORTO MACEDO - 2030</t>
  </si>
  <si>
    <t>SANDRO DE OLIVEIRA LIMA - 2431</t>
  </si>
  <si>
    <t>SANDRO RODRIGUES BATISTA - 5319</t>
  </si>
  <si>
    <t>SEBASTIAO ALVES MOURA - 5546</t>
  </si>
  <si>
    <t>SEBASTIAO APARECIDO  MARINHO - 6270</t>
  </si>
  <si>
    <t>SEBASTIAO APARECIDO MARINHO - 2992</t>
  </si>
  <si>
    <t>SEBASTIAO JAELSON LIMA MENDES - 2735</t>
  </si>
  <si>
    <t>SEBASTIAO JOSE XAVIER - 2433</t>
  </si>
  <si>
    <t>SEBASTIAO REINALDO RODRIGUES MATOS  - 5772</t>
  </si>
  <si>
    <t>SEBASTIAO ROSA DA SILVA - 1006</t>
  </si>
  <si>
    <t>SEBASTIAO SERGIO DE OLIVEIRA - 2776</t>
  </si>
  <si>
    <t>SEBASTIAO SERGIO DE OLIVEIRA - 3079</t>
  </si>
  <si>
    <t>SEBASTIÃO SERGIO DE OLIVEIRA - 3079</t>
  </si>
  <si>
    <t>SEBASTIAO SILVA DO NASCIMENTO - 2438</t>
  </si>
  <si>
    <t>SELVENIR PAULO COELHO - 5058</t>
  </si>
  <si>
    <t>SERGIO FERNANDO DE MOURA - 2455</t>
  </si>
  <si>
    <t>SERGIO LUIZ PEREIRA - 4025</t>
  </si>
  <si>
    <t>SIDINEY MONTEIRO DE ARAUJO - 5840</t>
  </si>
  <si>
    <t>SIDNEI RIBEIRO - 5115</t>
  </si>
  <si>
    <t>SILVAN DE JESUS SIQUEIRA - 5060</t>
  </si>
  <si>
    <t>SILVANDRO COSTA DE ALENCAR - 5194</t>
  </si>
  <si>
    <t>SILVANIO ANTONIO RODRIGUES - 2695</t>
  </si>
  <si>
    <t>SILVANIO ANTONIO RODRIGUES - 3006</t>
  </si>
  <si>
    <t>SILVANIO NOGUEIRA DE SOUSA - 2493</t>
  </si>
  <si>
    <t>SILVANIO PEREIRA DOS SANTOS - 2055</t>
  </si>
  <si>
    <t>SILVIO LUCAS MAGALHAES LEVY - 6104</t>
  </si>
  <si>
    <t>SINVAL RODRIGUES CARVALHAES - 5273</t>
  </si>
  <si>
    <t>SINVALDO RAMOS DE FREITAS - 1697</t>
  </si>
  <si>
    <t>SIRLON DE OLIVEIRA BRITO - 2497</t>
  </si>
  <si>
    <t>SOLANO DIAS FONSECA - 2551</t>
  </si>
  <si>
    <t>SOLENI APARECIDO - 2747</t>
  </si>
  <si>
    <t>SUEMAR BRITO - EXCLUSIVE</t>
  </si>
  <si>
    <t>SUEMAR DE JESUS BRITO - INSTRUTOR</t>
  </si>
  <si>
    <t>TARCIZIO CRISOSTOMO FORTALEZA - 6267</t>
  </si>
  <si>
    <t>THIAGO JOSE TEIXEIRA - 2502</t>
  </si>
  <si>
    <t>THIAGO VIEIRA SANTANA - 2758</t>
  </si>
  <si>
    <t>URBANO CARLOS DE ARRUDA - 4006</t>
  </si>
  <si>
    <t>URCELY MARCAL ARAUJO - 2450</t>
  </si>
  <si>
    <t>URCELY MARCAL ARAUJO - 2981</t>
  </si>
  <si>
    <t>VAGUIMAR DE SOUSA MONTEIRO - 5237</t>
  </si>
  <si>
    <t>VALDECI FERREIRA DA SILVA - 5437</t>
  </si>
  <si>
    <t>VALDECY ALVES SARAIVA - 1831</t>
  </si>
  <si>
    <t>VALDEMIR BATISTA PEREIRA - EXCLUSIVE</t>
  </si>
  <si>
    <t>VALDEONE CLEMENTE DOS SANTOS - 2513</t>
  </si>
  <si>
    <t>VALDEVANDE BENTO DE OLIVEIRA - 728</t>
  </si>
  <si>
    <t>VALDEY OLIVEIRA ARAUJO - 2587</t>
  </si>
  <si>
    <t>VALDINEY DA SILVA SANTOS - 2530</t>
  </si>
  <si>
    <t>VALDINEY DOS SANTOS XAVIER - 5323</t>
  </si>
  <si>
    <t>VALDINILSON CAVALCANTE NASCIMENTO - 2268</t>
  </si>
  <si>
    <t>VALDINILSON CAVALCANTE NASCIMENTO - 2793</t>
  </si>
  <si>
    <t>VALDIR NUNES DA SILVA - 2841</t>
  </si>
  <si>
    <t>VALDIR PEREIRA DE SOUZA - 85</t>
  </si>
  <si>
    <t>VALDIVINO VIEIRA DE OLIVEIRA - 2446</t>
  </si>
  <si>
    <t>VALDO ANTONIO ALVES - 1157</t>
  </si>
  <si>
    <t>VALDO FERNANDES DA SILVA - 6175</t>
  </si>
  <si>
    <t>VALDOMIRO DE ABREU LUZ - 3033</t>
  </si>
  <si>
    <t>VALDOMIRO DOS SANTOS BARBOSA - 2602</t>
  </si>
  <si>
    <t>VALDUIR DE OLIVEIRA DE CARVALHO</t>
  </si>
  <si>
    <t>VALMIR CARLOS ALMEIDA - 4056</t>
  </si>
  <si>
    <t>VALMIR CARLOS DE ALMEIDA - 4056</t>
  </si>
  <si>
    <t>VALTAIR PEREIRA TAVARES - 2510</t>
  </si>
  <si>
    <t>VALTER ALVES BORBA - 1971</t>
  </si>
  <si>
    <t>VALTER MARCIEL BARROS BRITO - 2360</t>
  </si>
  <si>
    <t>VALTER MORAIS 5948</t>
  </si>
  <si>
    <t xml:space="preserve">VALTER PINTO MONTE </t>
  </si>
  <si>
    <t>VALTER RUARO - 4002</t>
  </si>
  <si>
    <t>VALTERLINS ALEXANDRE COSTA - 5446</t>
  </si>
  <si>
    <t>VICENTE ALVES DOS SANTOS - 2908</t>
  </si>
  <si>
    <t>VILMAR BATISTA - 5438</t>
  </si>
  <si>
    <t>VILMAR BATISTA DE SOUZA - 2050</t>
  </si>
  <si>
    <t>VILMAR ROQUE DE SOUZA - 2243</t>
  </si>
  <si>
    <t>VIRGILIO DE ARAUJO GUIMARAES JUNIOIR - 1073</t>
  </si>
  <si>
    <t>WAGNER CAMARGO DE OLIVEIRA - 3083</t>
  </si>
  <si>
    <t>WAGNER LINHARES DE MORAIS - 4074</t>
  </si>
  <si>
    <t>WALABY DE SOUSA BATISTA - 2584</t>
  </si>
  <si>
    <t>WALACCY CORREIA PACHECO - 3008</t>
  </si>
  <si>
    <t>WALDEMAR PEREIRA DE SOUSA FILHO - 1278</t>
  </si>
  <si>
    <t>WALDERNI SEBASTIAO - 5582</t>
  </si>
  <si>
    <t>WALTER PEREIRA - 5033</t>
  </si>
  <si>
    <t>WALTER PINTO</t>
  </si>
  <si>
    <t>WANDERLEI JOSE MARQUES - 5336</t>
  </si>
  <si>
    <t>WARLEY DA SILVA NOGUEIRA - 5823</t>
  </si>
  <si>
    <t>WASHINGTON JOSE RODRIGUES - 5310</t>
  </si>
  <si>
    <t>WEBER SOUSA DE OLIVEIRA - 1544</t>
  </si>
  <si>
    <t>WEDISLEY MOREIRA DOS SANTOS - 2059</t>
  </si>
  <si>
    <t>WEDISLEY MOREIRA DOS SANTOS - 2667</t>
  </si>
  <si>
    <t>WEDISON DIAS DA SILVA - 5498</t>
  </si>
  <si>
    <t>WELINGTON SILVA RODRIGUES - 2274</t>
  </si>
  <si>
    <t>WELLINGTON GOMES MENDONCA - 4046</t>
  </si>
  <si>
    <t>WELSON JESUS VARDASCA FERREIRA - 5186</t>
  </si>
  <si>
    <t>WELTON SOARES DE ARRUDA - 3012</t>
  </si>
  <si>
    <t>WENDEL VIEIRA DE SOUZA - 3000</t>
  </si>
  <si>
    <t>WESCLEY GUANABARA BATISTA DE ABREU - 2216</t>
  </si>
  <si>
    <t>WESLEI PEREIRA DE MOURA - 2449</t>
  </si>
  <si>
    <t>WESLEY DE PAULA ALBERNAZ - 2504</t>
  </si>
  <si>
    <t>WESLEY DE PAULA ALBERNAZ - 4045</t>
  </si>
  <si>
    <t>WESLEY RODRIGUES DE OLIVEIRA - 5540</t>
  </si>
  <si>
    <t>WILLAMS  ALVES DE SOUZA  5951</t>
  </si>
  <si>
    <t>WILLIAM ANTONIO DE CAMPOS SILVA - 6178</t>
  </si>
  <si>
    <t>WILMAR FELIPE DE SOUSA - 1695</t>
  </si>
  <si>
    <t>WUDSON RODRIGUES DA COSTA - 5174</t>
  </si>
  <si>
    <t>YAGO ALVES MARTINS - 5525</t>
  </si>
  <si>
    <t>YAGO ALVES MARTINS DOS SANTOS - 5631</t>
  </si>
  <si>
    <t>YATA ANDERSON COSTA NASCIMENTO - 5989</t>
  </si>
  <si>
    <t>ZAILON DANTAS DA SILVA - 2459</t>
  </si>
  <si>
    <t>ZELIO ALVES DUARTE - 990</t>
  </si>
  <si>
    <t>PLANILHAS DE REFEIÇÃO</t>
  </si>
  <si>
    <t>Nesta planilha, a escala do fluxo serve de fonte de dados para a função de autocompletar</t>
  </si>
  <si>
    <t>Nesta planilha há dois modos de trabalho</t>
  </si>
  <si>
    <t>Cada tabela de refeição está acompanhada a direita de uma coluna por tabela responsável pelos cálculos e comparações</t>
  </si>
  <si>
    <t>SEM AUTOCOMPLETAR</t>
  </si>
  <si>
    <t>COM AUTOCOMPLETAR</t>
  </si>
  <si>
    <t>Você pode, nas planilhas de refeições, informar apenas a data e o nome do motorista, que serão o suficientes para fazer um cruzamento de dados e encontrar a escala recente do motorista informado, pela data informada</t>
  </si>
  <si>
    <t>Digite tudo manualmente na tabela de refeições, pode ser mais eficiente em casos de "alucinação" da programação do Excel, onde o resultado esperado é um erro.</t>
  </si>
  <si>
    <t>Digite apenas a data e o nome do motorista na tabela de refeições, e na coluna exclusiva da ESQUERDA (em verde) digite um asterisco (*) para gerar uma linha na tabela de cálculos. Quando isso acontecer, a as informações restantes na linha em que estará trabalhando serão autocompletadas</t>
  </si>
  <si>
    <t>EM CASO DE ERRO</t>
  </si>
  <si>
    <t>A ESQUERDA fica propriamente a escala, e A DIREITA fica os indices gerados, que são informações úteis para o Excel realizar as comparações</t>
  </si>
  <si>
    <t>Faça manualmente. Tome cuidado apenas para não apagar as fórmulas já funcionais se elas não tiverem sido afetadas</t>
  </si>
  <si>
    <t>PASSO A PASSO</t>
  </si>
  <si>
    <t>Observe "em que ponto o erro começa", e relate para eu posteriormente corrigir</t>
  </si>
  <si>
    <t>1. Copie e escala do fluxo, na competencia da qual quer trabalhar</t>
  </si>
  <si>
    <r>
      <rPr>
        <sz val="11"/>
        <color rgb="FF000000"/>
        <rFont val="Calibri"/>
        <family val="2"/>
        <scheme val="minor"/>
      </rPr>
      <t xml:space="preserve">2. Cole a escala nesta planilha, na aba </t>
    </r>
    <r>
      <rPr>
        <b/>
        <sz val="11"/>
        <color rgb="FF0070C0"/>
        <rFont val="Calibri"/>
        <family val="2"/>
        <scheme val="minor"/>
      </rPr>
      <t>e.FLUXO</t>
    </r>
  </si>
  <si>
    <t>3. Observe se os indices ao lado serão automaticamente gerados após isso</t>
  </si>
  <si>
    <t>SE SIM:</t>
  </si>
  <si>
    <t>SE NÃO:</t>
  </si>
  <si>
    <t>Ótimo, agora o autocompletar tem as informações necessárias para funcionar na competencia que irá trabalhar</t>
  </si>
  <si>
    <t>Pode ser que tenha colado errado, desfaça a alteração (CTRL + Z) e tente novamente</t>
  </si>
  <si>
    <t>SE NÃO RESOLVER:</t>
  </si>
  <si>
    <t>Verique se sua colagem não está muito distante da escala já disponível, a cópia precisa ser colada logo abaixo da escala existente</t>
  </si>
  <si>
    <t>VOCE PODE TENTAR:</t>
  </si>
  <si>
    <t>DIGITAR (*) NAS COLUNAS EM VERDE PRO EXCEL ENTENDER ATÉ ONDE GERAR OS ÍNDICES</t>
  </si>
  <si>
    <t>SE O PROBLEMA PERSISTIR</t>
  </si>
  <si>
    <t>Entre em contato comigo, provavelmente será um erro da autoconfiguração de geração de tabelas do Excel</t>
  </si>
  <si>
    <t>EM CASO DE PERDA TOTAL (documento não abre, ou alterações não são mais reversíveis)</t>
  </si>
  <si>
    <t>entre em contato comigo, ou acesse a pasta de Backup do OneDrive</t>
  </si>
  <si>
    <t>siga as instruções para cópia do backup</t>
  </si>
  <si>
    <t>jamais tente consertar um erro sozinho sem conhecimento</t>
  </si>
  <si>
    <t>TESTE DO AUTOCOMPLETAR</t>
  </si>
  <si>
    <t>EXTRA</t>
  </si>
  <si>
    <t>TERESINA (PI) X GOIANIA (GO)</t>
  </si>
  <si>
    <t>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</si>
</sst>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h:mm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2"/>
      <color rgb="FFC00000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b/>
      <sz val="14"/>
      <color theme="9" tint="0.79998168889431442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0"/>
      <color theme="9" tint="0.79998168889431442"/>
      <name val="Calibri"/>
      <family val="2"/>
      <scheme val="minor"/>
    </font>
    <font>
      <b/>
      <sz val="9"/>
      <color theme="9" tint="0.7999816888943144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/>
    <xf numFmtId="0" fontId="3" fillId="3" borderId="1" xfId="0" applyFont="1" applyFill="1" applyBorder="1"/>
    <xf numFmtId="0" fontId="9" fillId="0" borderId="2" xfId="0" applyFont="1" applyBorder="1"/>
    <xf numFmtId="0" fontId="9" fillId="0" borderId="12" xfId="0" applyFont="1" applyBorder="1"/>
    <xf numFmtId="0" fontId="9" fillId="0" borderId="6" xfId="0" applyFont="1" applyBorder="1"/>
    <xf numFmtId="0" fontId="9" fillId="0" borderId="0" xfId="0" applyFont="1"/>
    <xf numFmtId="0" fontId="0" fillId="3" borderId="1" xfId="0" applyFill="1" applyBorder="1"/>
    <xf numFmtId="0" fontId="0" fillId="3" borderId="0" xfId="0" applyFill="1"/>
    <xf numFmtId="0" fontId="3" fillId="3" borderId="0" xfId="0" applyFont="1" applyFill="1"/>
    <xf numFmtId="0" fontId="0" fillId="3" borderId="2" xfId="0" applyFill="1" applyBorder="1"/>
    <xf numFmtId="0" fontId="3" fillId="3" borderId="2" xfId="0" applyFont="1" applyFill="1" applyBorder="1"/>
    <xf numFmtId="0" fontId="0" fillId="0" borderId="0" xfId="0" applyProtection="1">
      <protection locked="0"/>
    </xf>
    <xf numFmtId="0" fontId="6" fillId="3" borderId="0" xfId="0" applyFont="1" applyFill="1" applyAlignment="1" applyProtection="1">
      <alignment horizontal="center"/>
      <protection locked="0"/>
    </xf>
    <xf numFmtId="0" fontId="5" fillId="3" borderId="0" xfId="0" applyFont="1" applyFill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20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0" fontId="9" fillId="0" borderId="0" xfId="0" applyFont="1" applyProtection="1">
      <protection locked="0"/>
    </xf>
    <xf numFmtId="14" fontId="0" fillId="0" borderId="0" xfId="0" applyNumberFormat="1" applyAlignment="1" applyProtection="1">
      <alignment horizontal="center"/>
      <protection locked="0"/>
    </xf>
    <xf numFmtId="164" fontId="0" fillId="0" borderId="1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" fontId="0" fillId="0" borderId="1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0" fillId="0" borderId="8" xfId="0" applyBorder="1"/>
    <xf numFmtId="0" fontId="0" fillId="0" borderId="1" xfId="0" applyBorder="1"/>
    <xf numFmtId="0" fontId="0" fillId="0" borderId="3" xfId="0" applyBorder="1"/>
    <xf numFmtId="0" fontId="9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0" fillId="0" borderId="4" xfId="0" applyBorder="1"/>
    <xf numFmtId="0" fontId="9" fillId="8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4" fillId="11" borderId="4" xfId="0" applyFont="1" applyFill="1" applyBorder="1"/>
    <xf numFmtId="0" fontId="15" fillId="12" borderId="4" xfId="0" applyFont="1" applyFill="1" applyBorder="1" applyProtection="1">
      <protection locked="0"/>
    </xf>
    <xf numFmtId="0" fontId="12" fillId="10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165" fontId="15" fillId="12" borderId="4" xfId="0" applyNumberFormat="1" applyFont="1" applyFill="1" applyBorder="1" applyAlignment="1" applyProtection="1">
      <alignment horizontal="center" vertical="center"/>
      <protection locked="0"/>
    </xf>
    <xf numFmtId="0" fontId="9" fillId="8" borderId="12" xfId="0" applyFont="1" applyFill="1" applyBorder="1" applyAlignment="1">
      <alignment horizontal="center" vertical="center"/>
    </xf>
    <xf numFmtId="0" fontId="0" fillId="0" borderId="7" xfId="0" applyBorder="1"/>
    <xf numFmtId="0" fontId="11" fillId="9" borderId="13" xfId="0" applyFont="1" applyFill="1" applyBorder="1" applyAlignment="1">
      <alignment horizontal="center" vertical="center"/>
    </xf>
    <xf numFmtId="0" fontId="0" fillId="0" borderId="9" xfId="0" applyBorder="1"/>
    <xf numFmtId="0" fontId="12" fillId="10" borderId="11" xfId="0" applyFont="1" applyFill="1" applyBorder="1" applyAlignment="1">
      <alignment horizontal="center" vertical="center"/>
    </xf>
    <xf numFmtId="0" fontId="9" fillId="6" borderId="4" xfId="0" applyFont="1" applyFill="1" applyBorder="1"/>
    <xf numFmtId="0" fontId="9" fillId="6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27" fillId="7" borderId="0" xfId="0" applyFont="1" applyFill="1" applyAlignment="1">
      <alignment vertical="center"/>
    </xf>
    <xf numFmtId="0" fontId="27" fillId="7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32" fillId="18" borderId="0" xfId="0" applyFont="1" applyFill="1" applyAlignment="1">
      <alignment horizontal="center" vertical="center" wrapText="1"/>
    </xf>
    <xf numFmtId="0" fontId="27" fillId="19" borderId="7" xfId="0" applyFont="1" applyFill="1" applyBorder="1" applyAlignment="1">
      <alignment horizontal="center" vertical="center"/>
    </xf>
    <xf numFmtId="0" fontId="27" fillId="19" borderId="3" xfId="0" applyFont="1" applyFill="1" applyBorder="1" applyAlignment="1">
      <alignment horizontal="center" vertical="center"/>
    </xf>
    <xf numFmtId="0" fontId="27" fillId="19" borderId="8" xfId="0" applyFont="1" applyFill="1" applyBorder="1" applyAlignment="1">
      <alignment horizontal="center" vertical="center"/>
    </xf>
    <xf numFmtId="0" fontId="0" fillId="2" borderId="0" xfId="0" applyFill="1"/>
    <xf numFmtId="0" fontId="33" fillId="19" borderId="3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0" fontId="12" fillId="10" borderId="12" xfId="0" applyFont="1" applyFill="1" applyBorder="1" applyAlignment="1">
      <alignment horizontal="right"/>
    </xf>
    <xf numFmtId="0" fontId="12" fillId="10" borderId="4" xfId="0" applyFont="1" applyFill="1" applyBorder="1" applyAlignment="1">
      <alignment horizontal="right"/>
    </xf>
    <xf numFmtId="0" fontId="13" fillId="0" borderId="4" xfId="0" applyFont="1" applyBorder="1" applyAlignment="1">
      <alignment horizontal="right"/>
    </xf>
    <xf numFmtId="0" fontId="9" fillId="6" borderId="4" xfId="0" applyFont="1" applyFill="1" applyBorder="1" applyAlignment="1">
      <alignment horizontal="right"/>
    </xf>
    <xf numFmtId="0" fontId="14" fillId="11" borderId="4" xfId="0" applyFont="1" applyFill="1" applyBorder="1" applyAlignment="1">
      <alignment horizontal="right"/>
    </xf>
    <xf numFmtId="0" fontId="9" fillId="8" borderId="4" xfId="0" applyFont="1" applyFill="1" applyBorder="1" applyAlignment="1">
      <alignment horizontal="right"/>
    </xf>
    <xf numFmtId="0" fontId="11" fillId="9" borderId="13" xfId="0" applyFont="1" applyFill="1" applyBorder="1" applyAlignment="1">
      <alignment horizontal="right"/>
    </xf>
    <xf numFmtId="0" fontId="11" fillId="9" borderId="1" xfId="0" applyFont="1" applyFill="1" applyBorder="1" applyAlignment="1">
      <alignment horizontal="right"/>
    </xf>
    <xf numFmtId="0" fontId="11" fillId="9" borderId="12" xfId="0" applyFont="1" applyFill="1" applyBorder="1" applyAlignment="1">
      <alignment horizontal="right"/>
    </xf>
    <xf numFmtId="0" fontId="11" fillId="9" borderId="4" xfId="0" applyFont="1" applyFill="1" applyBorder="1" applyAlignment="1">
      <alignment horizontal="right"/>
    </xf>
    <xf numFmtId="0" fontId="12" fillId="10" borderId="11" xfId="0" applyFont="1" applyFill="1" applyBorder="1" applyAlignment="1">
      <alignment horizontal="right"/>
    </xf>
    <xf numFmtId="0" fontId="34" fillId="19" borderId="3" xfId="0" applyFont="1" applyFill="1" applyBorder="1" applyAlignment="1">
      <alignment horizontal="right" vertical="center"/>
    </xf>
    <xf numFmtId="0" fontId="33" fillId="19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13" borderId="3" xfId="0" applyFont="1" applyFill="1" applyBorder="1" applyAlignment="1">
      <alignment horizontal="right" vertical="center"/>
    </xf>
    <xf numFmtId="0" fontId="15" fillId="12" borderId="4" xfId="0" applyFont="1" applyFill="1" applyBorder="1"/>
    <xf numFmtId="0" fontId="4" fillId="2" borderId="1" xfId="0" applyFont="1" applyFill="1" applyBorder="1" applyAlignment="1">
      <alignment horizontal="center"/>
    </xf>
    <xf numFmtId="0" fontId="9" fillId="13" borderId="0" xfId="0" applyFont="1" applyFill="1" applyAlignment="1">
      <alignment horizontal="right"/>
    </xf>
    <xf numFmtId="165" fontId="15" fillId="12" borderId="4" xfId="0" applyNumberFormat="1" applyFont="1" applyFill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9" fillId="13" borderId="0" xfId="0" applyFont="1" applyFill="1" applyAlignment="1">
      <alignment horizontal="center" vertical="center"/>
    </xf>
    <xf numFmtId="165" fontId="15" fillId="12" borderId="4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right"/>
    </xf>
    <xf numFmtId="0" fontId="9" fillId="1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9" fillId="8" borderId="2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2" fillId="20" borderId="16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/>
    </xf>
    <xf numFmtId="165" fontId="15" fillId="12" borderId="16" xfId="0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12" borderId="0" xfId="0" applyFill="1" applyAlignment="1">
      <alignment horizontal="center" vertical="center" wrapText="1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17" fillId="1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2" borderId="1" xfId="1" applyFont="1" applyFill="1" applyBorder="1" applyAlignment="1" applyProtection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25" fillId="14" borderId="0" xfId="0" applyFont="1" applyFill="1" applyAlignment="1">
      <alignment horizontal="center"/>
    </xf>
    <xf numFmtId="0" fontId="20" fillId="11" borderId="0" xfId="0" applyFont="1" applyFill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30" fillId="16" borderId="0" xfId="0" applyFont="1" applyFill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17" borderId="0" xfId="0" applyFill="1" applyAlignment="1">
      <alignment horizontal="center" vertical="center"/>
    </xf>
    <xf numFmtId="0" fontId="6" fillId="14" borderId="0" xfId="0" applyFont="1" applyFill="1" applyAlignment="1">
      <alignment horizontal="center" vertical="center" wrapText="1"/>
    </xf>
    <xf numFmtId="0" fontId="28" fillId="14" borderId="0" xfId="1" applyFont="1" applyFill="1" applyAlignment="1">
      <alignment horizontal="center" vertical="center" wrapText="1"/>
    </xf>
    <xf numFmtId="0" fontId="18" fillId="12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/>
    </xf>
    <xf numFmtId="0" fontId="29" fillId="8" borderId="0" xfId="0" applyFont="1" applyFill="1" applyAlignment="1" applyProtection="1">
      <alignment horizontal="center"/>
      <protection locked="0"/>
    </xf>
  </cellXfs>
  <cellStyles count="2">
    <cellStyle name="Hyperlink" xfId="1" xr:uid="{00000000-000B-0000-0000-000008000000}"/>
    <cellStyle name="Normal" xfId="0" builtinId="0"/>
  </cellStyles>
  <dxfs count="202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numFmt numFmtId="165" formatCode="h:mm;@"/>
      <fill>
        <patternFill patternType="solid">
          <fgColor indexed="64"/>
          <bgColor theme="7" tint="0.79998168889431442"/>
        </patternFill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wrapText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wrapText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wrapText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wrapText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wrapText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wrapText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color theme="9" tint="-0.499984740745262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0"/>
    </dxf>
    <dxf>
      <border>
        <bottom style="thin">
          <color indexed="64"/>
        </bottom>
      </border>
    </dxf>
    <dxf>
      <alignment wrapText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numFmt numFmtId="164" formatCode="&quot;R$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1" formatCode="dd/mmm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protection locked="0" hidden="0"/>
    </dxf>
    <dxf>
      <border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numFmt numFmtId="164" formatCode="&quot;R$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numFmt numFmtId="165" formatCode="h:mm;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wrapText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wrapText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wrapText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wrapText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color theme="9" tint="-0.499984740745262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wrapTex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color theme="8" tint="-0.499984740745262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0"/>
      <protection locked="1" hidden="0"/>
    </dxf>
    <dxf>
      <border>
        <bottom style="thin">
          <color indexed="64"/>
        </bottom>
      </border>
    </dxf>
    <dxf>
      <alignment wrapText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0"/>
    </dxf>
    <dxf>
      <numFmt numFmtId="164" formatCode="&quot;R$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4" formatCode="&quot;R$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numFmt numFmtId="165" formatCode="h:mm;@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color theme="9" tint="-0.499984740745262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color theme="8" tint="-0.499984740745262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wrapText="0"/>
      <protection locked="1" hidden="0"/>
    </dxf>
    <dxf>
      <border>
        <bottom style="thin">
          <color rgb="FF000000"/>
        </bottom>
      </border>
    </dxf>
    <dxf>
      <alignment wrapText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9" tint="0.79998168889431442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áfego IMP 02" id="{81C10DFB-0C2A-4D37-9580-B667C218B1BC}" userId="1763797ba848d3b0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1DA0043-1BF9-45E7-A6A5-E6303BE0F6A0}" name="tabE.Flux" displayName="tabE.Flux" ref="C1:Q1608" headerRowDxfId="201" dataDxfId="199" headerRowBorderDxfId="200" tableBorderDxfId="198" totalsRowBorderDxfId="197">
  <autoFilter ref="C1:Q1608" xr:uid="{E1DA0043-1BF9-45E7-A6A5-E6303BE0F6A0}"/>
  <tableColumns count="15">
    <tableColumn id="1" xr3:uid="{B8AF1746-ADCD-4AB8-B2BF-4456D8BB8C05}" name="COMP.AT. MOT A" dataDxfId="196" totalsRowDxfId="195">
      <calculatedColumnFormula>_xlfn.CONCAT(tabE.Flux[[#This Row],[DATA]],"+",tabE.Flux[[#This Row],[MOTORISTA + MATRÍCULA A]])</calculatedColumnFormula>
    </tableColumn>
    <tableColumn id="2" xr3:uid="{2658DD78-9B5C-4D8D-B2B9-6CBE2B2411F8}" name="COMP.AT. MOT B" dataDxfId="194" totalsRowDxfId="193">
      <calculatedColumnFormula>_xlfn.CONCAT(tabE.Flux[[#This Row],[DATA]],"+",tabE.Flux[[#This Row],[MOTORISTA + MATRÍCULA B]])</calculatedColumnFormula>
    </tableColumn>
    <tableColumn id="4" xr3:uid="{9CF19D1F-B6CF-46CB-B357-9D589A1C6951}" name="COMP. ESCALA MOT A" dataDxfId="192" totalsRowDxfId="191">
      <calculatedColumnFormula>_xlfn.CONCAT(tabE.Flux[[#This Row],[DATA]],"+",tabE.Flux[[#This Row],[MOTORISTA + MATRÍCULA A]],"+",tabE.Flux[[#This Row],[LINHA]])</calculatedColumnFormula>
    </tableColumn>
    <tableColumn id="5" xr3:uid="{65808024-1624-4E6D-82AF-AD984AACDF8C}" name="COMP. ESCALA MOT B" dataDxfId="190" totalsRowDxfId="189">
      <calculatedColumnFormula>_xlfn.CONCAT(tabE.Flux[[#This Row],[DATA]],"+",tabE.Flux[[#This Row],[MOTORISTA + MATRÍCULA B]],"+",tabE.Flux[[#This Row],[LINHA]])</calculatedColumnFormula>
    </tableColumn>
    <tableColumn id="3" xr3:uid="{D3EDCA6E-4BCA-4BE7-85E9-8FCCAFE57FB4}" name="COMP. LINHA" dataDxfId="188" totalsRowDxfId="187">
      <calculatedColumnFormula>_xlfn.CONCAT(tabE.Flux[[#This Row],[DATA]],"+",tabE.Flux[[#This Row],[LINHA]])</calculatedColumnFormula>
    </tableColumn>
    <tableColumn id="8" xr3:uid="{DAC7F203-975C-4C28-A5EC-C853D9C0D070}" name="DATA" totalsRowFunction="custom" dataDxfId="186" totalsRowDxfId="185">
      <totalsRowFormula>#REF!</totalsRowFormula>
    </tableColumn>
    <tableColumn id="9" xr3:uid="{3A13A602-B240-4DB3-BFE4-D42F72CCB781}" name="GARAGEM" dataDxfId="184" totalsRowDxfId="183"/>
    <tableColumn id="10" xr3:uid="{303FB350-6B12-4151-A413-AFADDBFFBC54}" name="CARRO" dataDxfId="182" totalsRowDxfId="181"/>
    <tableColumn id="11" xr3:uid="{3F8E2F47-2571-4E8A-8315-753E3AD10344}" name="HR ORG" dataDxfId="180" totalsRowDxfId="179"/>
    <tableColumn id="12" xr3:uid="{5C17E0A3-8B7B-415A-8417-DA7159CED88D}" name="HORARIO" dataDxfId="178" totalsRowDxfId="177"/>
    <tableColumn id="13" xr3:uid="{C58DFF45-8533-47E8-A572-CBE1E9DBC7D0}" name="ORIGEM" dataDxfId="176" totalsRowDxfId="175"/>
    <tableColumn id="14" xr3:uid="{6B498DCE-B37D-48CE-80AE-FAF009CAFBB7}" name="DESTINO" dataDxfId="174" totalsRowDxfId="173"/>
    <tableColumn id="15" xr3:uid="{54CCA026-AAAC-4B12-96F5-6029528AB29B}" name="MOTORISTA + MATRÍCULA A" dataDxfId="172" totalsRowDxfId="171"/>
    <tableColumn id="16" xr3:uid="{23AB9D4F-4177-46A1-B976-528EB02828D7}" name="MOTORISTA + MATRÍCULA B" dataDxfId="170" totalsRowDxfId="169"/>
    <tableColumn id="17" xr3:uid="{44B840F2-7B11-47A6-A23E-1A21B63A0847}" name="LINHA" dataDxfId="168" totalsRowDxfId="16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C64F461-3E22-4BD8-B5B0-2F08302D0A18}" name="autocompAlmoco" displayName="autocompAlmoco" ref="C5:S284" totalsRowShown="0" headerRowDxfId="166" dataDxfId="164" headerRowBorderDxfId="165" tableBorderDxfId="163" totalsRowBorderDxfId="162">
  <autoFilter ref="C5:S284" xr:uid="{A0933A75-B17D-44C5-B61B-E2516FF489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7" xr3:uid="{1B48780E-40BF-4745-9C23-582D70679CFD}" name="DIGITE UM ASTERISCO (*)" dataDxfId="161"/>
    <tableColumn id="1" xr3:uid="{87641C56-7D47-470D-A027-7EB4F9371607}" name="COMP ESCALA ATUAL" dataDxfId="160">
      <calculatedColumnFormula>IF(#REF!="","",_xlfn.CONCAT(#REF!,"+",#REF!))</calculatedColumnFormula>
    </tableColumn>
    <tableColumn id="2" xr3:uid="{9BC06990-91AE-4EDA-8058-E23E3B4A0329}" name="EXISTE MOT A AT" dataDxfId="159">
      <calculatedColumnFormula>_xlfn.XLOOKUP(autocompAlmoco[[#This Row],[COMP ESCALA ATUAL]],tabE.Flux[COMP.AT. MOT A],tabE.Flux[LINHA],"NÃO",0,1)</calculatedColumnFormula>
    </tableColumn>
    <tableColumn id="3" xr3:uid="{FF2C2835-E386-429A-84C7-74C35583FE6D}" name="EXISTE MOT B AT" dataDxfId="158">
      <calculatedColumnFormula>_xlfn.XLOOKUP(autocompAlmoco[[#This Row],[COMP ESCALA ATUAL]],tabE.Flux[COMP.AT. MOT B],tabE.Flux[LINHA],"NÃO",0,1)</calculatedColumnFormula>
    </tableColumn>
    <tableColumn id="9" xr3:uid="{6FE2ACEE-3801-405E-BA2B-F01DA0AE9BE9}" name="EXISTE ESCALA ATUAL" dataDxfId="157">
      <calculatedColumnFormula>IF(AND(autocompAlmoco[[#This Row],[EXISTE MOT A AT]]="NÃO", autocompAlmoco[[#This Row],[EXISTE MOT B AT]]="NÃO"),"NÃO","SIM")</calculatedColumnFormula>
    </tableColumn>
    <tableColumn id="4" xr3:uid="{BF0FD9B3-48EB-451C-9418-01F726B1C960}" name="COMP ESCALA ANTERIOR" dataDxfId="156">
      <calculatedColumnFormula>IF(autocompAlmoco[[#This Row],[EXISTE ESCALA ATUAL]]="NÃO",_xlfn.CONCAT(#REF!-1,"+",#REF!),"NÃO")</calculatedColumnFormula>
    </tableColumn>
    <tableColumn id="5" xr3:uid="{8E5BF50A-3509-48DF-AF0C-A329D24E15D7}" name="EXISTE MOT A ANT" dataDxfId="155">
      <calculatedColumnFormula>IF(autocompAlmoco[[#This Row],[COMP ESCALA ANTERIOR]]="NÃO","NÃO",_xlfn.XLOOKUP(autocompAlmoco[[#This Row],[COMP ESCALA ANTERIOR]],tabE.Flux[COMP.AT. MOT A],tabE.Flux[LINHA],"NÃO",0,1))</calculatedColumnFormula>
    </tableColumn>
    <tableColumn id="6" xr3:uid="{0EA0C8E1-81BD-46B4-BF6E-479BBA578C44}" name="EXISTE MOT B ANT" dataDxfId="154">
      <calculatedColumnFormula>IF(autocompAlmoco[[#This Row],[COMP ESCALA ANTERIOR]]="NÃO","NÃO",_xlfn.XLOOKUP(autocompAlmoco[[#This Row],[COMP ESCALA ANTERIOR]],tabE.Flux[COMP.AT. MOT B],tabE.Flux[LINHA],"NÃO",0,1))</calculatedColumnFormula>
    </tableColumn>
    <tableColumn id="12" xr3:uid="{35D7B936-1368-4941-B615-4584E77B76F5}" name="EXISTE ESCALA ANTERIOR" dataDxfId="153">
      <calculatedColumnFormula>IF(AND(autocompAlmoco[[#This Row],[EXISTE MOT A ANT]]="NÃO",autocompAlmoco[[#This Row],[EXISTE MOT B ANT]]="NÃO"),"NÃO","SIM")</calculatedColumnFormula>
    </tableColumn>
    <tableColumn id="11" xr3:uid="{12289113-959B-4156-BA9E-2D953F81A5FC}" name="COMP ESCALA POSTERIOR" dataDxfId="152">
      <calculatedColumnFormula>_xlfn.CONCAT(T6+1,"+",X6)</calculatedColumnFormula>
    </tableColumn>
    <tableColumn id="13" xr3:uid="{33BE3FDF-BE41-4F3C-9B84-6C39A3906067}" name="EXISTE MOT A POS" dataDxfId="151">
      <calculatedColumnFormula>IF(autocompAlmoco[[#This Row],[COMP ESCALA POSTERIOR]]="NÃO","NÃO",_xlfn.XLOOKUP(autocompAlmoco[[#This Row],[COMP ESCALA POSTERIOR]],tabE.Flux[COMP.AT. MOT A],tabE.Flux[LINHA],"NÃO",0,1))</calculatedColumnFormula>
    </tableColumn>
    <tableColumn id="14" xr3:uid="{A8703EBF-7AE0-462C-A9DE-7B7FFFC581AB}" name="EXISTE MOT B POS" dataDxfId="150">
      <calculatedColumnFormula>IF(autocompAlmoco[[#This Row],[COMP ESCALA POSTERIOR]]="NÃO","NÃO",_xlfn.XLOOKUP(autocompAlmoco[[#This Row],[COMP ESCALA POSTERIOR]],tabE.Flux[COMP.AT. MOT B],tabE.Flux[LINHA],"NÃO",0,1))</calculatedColumnFormula>
    </tableColumn>
    <tableColumn id="16" xr3:uid="{DE76631D-AD5F-4240-9E4A-B5FB3C15288D}" name="EXISTE ESCALA POSTERIOR" dataDxfId="149">
      <calculatedColumnFormula>IF(AND(autocompAlmoco[[#This Row],[EXISTE MOT A POS]]="NÃO",autocompAlmoco[[#This Row],[EXISTE MOT B POS]]="NÃO"),"NÃO","SIM")</calculatedColumnFormula>
    </tableColumn>
    <tableColumn id="7" xr3:uid="{E8466BDC-0E8E-4A14-9FC4-BA190C478AC1}" name="CORRESP LINHA" dataDxfId="148">
      <calculatedColumnFormula array="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calculatedColumnFormula>
    </tableColumn>
    <tableColumn id="15" xr3:uid="{12C10B6E-D484-458E-B908-AE7410DD89DA}" name="COMP ESCALA" dataDxfId="147">
      <calculatedColumnFormula array="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calculatedColumnFormula>
    </tableColumn>
    <tableColumn id="10" xr3:uid="{7AA01E19-08F8-48BC-8E60-16299E82133B}" name="CORRESP. CARRO" dataDxfId="146">
      <calculatedColumnFormula>_xlfn.XLOOKUP(autocompAlmoco[[#This Row],[COMP ESCALA]],tabE.Flux[COMP. ESCALA MOT B],tabE.Flux[CARRO],
(_xlfn.XLOOKUP(autocompAlmoco[[#This Row],[COMP ESCALA]],tabE.Flux[COMP. ESCALA MOT A],tabE.Flux[CARRO],"N/E",0,1)),0,1)</calculatedColumnFormula>
    </tableColumn>
    <tableColumn id="8" xr3:uid="{38186AFF-EEEA-44B2-BE9D-8ABDFA5A5F96}" name="CORRESP HORARIO" dataDxfId="145">
      <calculatedColumnFormula>_xlfn.XLOOKUP(autocompAlmoco[[#This Row],[COMP ESCALA]],tabE.Flux[COMP. ESCALA MOT A],tabE.Flux[HORARIO],(_xlfn.XLOOKUP(autocompAlmoco[[#This Row],[COMP ESCALA]],tabE.Flux[COMP. ESCALA MOT B],tabE.Flux[HORARIO],"N/E",0,1)),0,1)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F969883-D3A2-49A9-A1CD-EB74341DED52}" name="tabAlmoco" displayName="tabAlmoco" ref="T5:AA284" totalsRowShown="0" headerRowDxfId="144" dataDxfId="142" headerRowBorderDxfId="143" tableBorderDxfId="141" totalsRowBorderDxfId="140">
  <autoFilter ref="T5:AA284" xr:uid="{C713410F-543D-4E6C-94F3-E93FB66A56CB}">
    <filterColumn colId="0">
      <filters>
        <dateGroupItem year="2025" month="10" dateTimeGrouping="month"/>
      </filters>
    </filterColumn>
  </autoFilter>
  <sortState xmlns:xlrd2="http://schemas.microsoft.com/office/spreadsheetml/2017/richdata2" ref="T194:AA284">
    <sortCondition ref="T5:T284"/>
  </sortState>
  <tableColumns count="8">
    <tableColumn id="12" xr3:uid="{653BFEEB-FE66-4480-98CC-BE791232A42D}" name="DATA" dataDxfId="139"/>
    <tableColumn id="13" xr3:uid="{4DA1E4C4-ED0B-4073-9738-9EB051D2CAC8}" name="CARRO" dataDxfId="138">
      <calculatedColumnFormula>IF(IFERROR(autocompAlmoco[[#This Row],[CORRESP. CARRO]],"")="NÃO",(IF(tabAlmoco[[#This Row],[MOTORISTA]]=0,"","PASSE?")),autocompAlmoco[[#This Row],[CORRESP. CARRO]])</calculatedColumnFormula>
    </tableColumn>
    <tableColumn id="15" xr3:uid="{81F712ED-8F59-4695-814C-C40D795D579F}" name="HORÁRIO" dataDxfId="137">
      <calculatedColumnFormula>IF(OR(ISERR(autocompAlmoco[[#This Row],[CORRESP HORARIO]]), autocompAlmoco[[#This Row],[CORRESP HORARIO]]&lt;&gt;"NÃO"),autocompAlmoco[[#This Row],[CORRESP HORARIO]],"")</calculatedColumnFormula>
    </tableColumn>
    <tableColumn id="18" xr3:uid="{C18E9F27-71B8-4B48-ADA2-5FA2065E62E0}" name="MOTIVO" dataDxfId="136"/>
    <tableColumn id="17" xr3:uid="{5C56D326-B6DE-4DFD-A3DE-23012A507E63}" name="MOTORISTA" dataDxfId="135"/>
    <tableColumn id="23" xr3:uid="{215A69A4-E1F8-4A65-B22A-97F34D2D61F0}" name="QUANT" dataDxfId="134">
      <calculatedColumnFormula>IF(tabAlmoco[[#This Row],[MOTORISTA]]="","",COUNTIF(autocompAlmoco[COMP ESCALA ATUAL],autocompAlmoco[[#This Row],[COMP ESCALA ATUAL]]))</calculatedColumnFormula>
    </tableColumn>
    <tableColumn id="22" xr3:uid="{5949EA79-5CF3-43B5-B1D3-EA0D08FE25A5}" name="VALOR" dataDxfId="133">
      <calculatedColumnFormula>IF(tabAlmoco[[#This Row],[MOTORISTA]]&lt;&gt;0,15,"")</calculatedColumnFormula>
    </tableColumn>
    <tableColumn id="14" xr3:uid="{89E9C2AD-DE85-43E4-B381-34A9AB9DDC9E}" name="LINHA" dataDxfId="132">
      <calculatedColumnFormula>autocompAlmoco[[#This Row],[CORRESP LINHA]]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0D1166-6638-4334-BEFE-1C4BC8638971}" name="tabJanta" displayName="tabJanta" ref="T5:AA253" totalsRowShown="0" headerRowDxfId="131" dataDxfId="129" headerRowBorderDxfId="130" tableBorderDxfId="128" totalsRowBorderDxfId="127">
  <autoFilter ref="T5:AA253" xr:uid="{C713410F-543D-4E6C-94F3-E93FB66A56CB}">
    <filterColumn colId="0">
      <filters>
        <dateGroupItem year="2025" month="9" day="15" dateTimeGrouping="day"/>
      </filters>
    </filterColumn>
  </autoFilter>
  <sortState xmlns:xlrd2="http://schemas.microsoft.com/office/spreadsheetml/2017/richdata2" ref="T163:AA253">
    <sortCondition ref="T5:T253"/>
  </sortState>
  <tableColumns count="8">
    <tableColumn id="12" xr3:uid="{09A9EAD4-A297-4553-A7A3-BB6B940D5F08}" name="DATA" dataDxfId="126"/>
    <tableColumn id="13" xr3:uid="{91082B5B-69EF-4830-B3B0-3DD20F1F9A40}" name="CARRO" dataDxfId="125">
      <calculatedColumnFormula>IF(IFERROR(autocompJanta[[#This Row],[CORRESP. CARRO]],"")="NÃO",(IF(tabJanta[[#This Row],[MOTORISTA]]=0,"","PASSE?")),autocompJanta[[#This Row],[CORRESP. CARRO]])</calculatedColumnFormula>
    </tableColumn>
    <tableColumn id="15" xr3:uid="{241D9E0F-04F4-4451-A842-A78D8E624CB6}" name="HORÁRIO" dataDxfId="124">
      <calculatedColumnFormula>IF(OR(ISERR(autocompJanta[[#This Row],[CORRESP HORARIO]]), autocompJanta[[#This Row],[CORRESP HORARIO]]&lt;&gt;"NÃO"),autocompJanta[[#This Row],[CORRESP HORARIO]],"")</calculatedColumnFormula>
    </tableColumn>
    <tableColumn id="18" xr3:uid="{9CD34956-248A-48DC-952D-3590428977B1}" name="MOTIVO" dataDxfId="123"/>
    <tableColumn id="17" xr3:uid="{709BD478-06EA-4243-85C2-4E783224C4C1}" name="MOTORISTA" dataDxfId="122"/>
    <tableColumn id="23" xr3:uid="{A71D8BE3-3201-4DB0-8BD3-B4EBD10F10BF}" name="QUANT" dataDxfId="121">
      <calculatedColumnFormula>IF(tabJanta[[#This Row],[MOTORISTA]]="","",COUNTIF(autocompJanta[COMP ESCALA ATUAL],autocompJanta[[#This Row],[COMP ESCALA ATUAL]]))</calculatedColumnFormula>
    </tableColumn>
    <tableColumn id="22" xr3:uid="{D3FE84D5-5AEA-4333-8AD8-38AAD5355975}" name="VALOR" dataDxfId="120">
      <calculatedColumnFormula>IF(tabJanta[[#This Row],[MOTORISTA]]&lt;&gt;0,15,"")</calculatedColumnFormula>
    </tableColumn>
    <tableColumn id="14" xr3:uid="{196C024A-1825-4113-BC4A-C40B827022C2}" name="LINHA" dataDxfId="119">
      <calculatedColumnFormula>autocompJanta[[#This Row],[CORRESP LINHA]]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637A5D-9357-4AD0-B3BC-5C13826F388C}" name="autocompJanta" displayName="autocompJanta" ref="C5:S253" totalsRowShown="0" headerRowDxfId="118" dataDxfId="116" headerRowBorderDxfId="117" tableBorderDxfId="115" totalsRowBorderDxfId="114">
  <autoFilter ref="C5:S253" xr:uid="{A0933A75-B17D-44C5-B61B-E2516FF489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7" xr3:uid="{F603EAE4-45AC-4B60-B22D-ADFBFA66CA80}" name="DIGITE UM ASTERISCO (*)" dataDxfId="113"/>
    <tableColumn id="1" xr3:uid="{2A460570-C6FF-4A80-9095-E8E58739F704}" name="COMP ESCALA ATUAL" dataDxfId="112">
      <calculatedColumnFormula>IF(tabJanta[[#This Row],[MOTORISTA]]="","",_xlfn.CONCAT(tabJanta[[#This Row],[DATA]],"+",tabJanta[[#This Row],[MOTORISTA]]))</calculatedColumnFormula>
    </tableColumn>
    <tableColumn id="2" xr3:uid="{F285C6CC-2CBE-4C23-853E-80C6F907479C}" name="EXISTE MOT A AT" dataDxfId="111">
      <calculatedColumnFormula>_xlfn.XLOOKUP(autocompJanta[[#This Row],[COMP ESCALA ATUAL]],tabE.Flux[COMP.AT. MOT A],tabE.Flux[LINHA],"NÃO",0,1)</calculatedColumnFormula>
    </tableColumn>
    <tableColumn id="3" xr3:uid="{365D1D0F-E296-4D65-AFD5-E27C040F0ECF}" name="EXISTE MOT B AT" dataDxfId="110">
      <calculatedColumnFormula>_xlfn.XLOOKUP(autocompJanta[[#This Row],[COMP ESCALA ATUAL]],tabE.Flux[COMP.AT. MOT B],tabE.Flux[LINHA],"NÃO",0,1)</calculatedColumnFormula>
    </tableColumn>
    <tableColumn id="9" xr3:uid="{720030DB-CAC0-4FAB-8AF1-14DDEEDCE5BB}" name="EXISTE ESCALA ATUAL" dataDxfId="109">
      <calculatedColumnFormula>IF(AND(autocompJanta[[#This Row],[EXISTE MOT A AT]]="NÃO", autocompJanta[[#This Row],[EXISTE MOT B AT]]="NÃO"),"NÃO","SIM")</calculatedColumnFormula>
    </tableColumn>
    <tableColumn id="4" xr3:uid="{4F109B9D-126D-49EC-A1FF-7F1202F22F47}" name="COMP ESCALA ANTERIOR" dataDxfId="108">
      <calculatedColumnFormula>IF(autocompJanta[[#This Row],[EXISTE ESCALA ATUAL]]="NÃO",_xlfn.CONCAT(tabJanta[[#This Row],[DATA]]-1,"+",tabJanta[[#This Row],[MOTORISTA]]),"NÃO")</calculatedColumnFormula>
    </tableColumn>
    <tableColumn id="5" xr3:uid="{69B10C39-98BE-4F4F-B1E1-EF61526ACB1E}" name="EXISTE MOT A ANT" dataDxfId="107">
      <calculatedColumnFormula>IF(autocompJanta[[#This Row],[COMP ESCALA ANTERIOR]]="NÃO","NÃO",_xlfn.XLOOKUP(autocompJanta[[#This Row],[COMP ESCALA ANTERIOR]],tabE.Flux[COMP.AT. MOT A],tabE.Flux[LINHA],"NÃO",0,1))</calculatedColumnFormula>
    </tableColumn>
    <tableColumn id="6" xr3:uid="{8CC6D5F0-EB7C-4AA1-8DF1-5B3D0F1EA86A}" name="EXISTE MOT B ANT" dataDxfId="106">
      <calculatedColumnFormula>IF(autocompJanta[[#This Row],[COMP ESCALA ANTERIOR]]="NÃO","NÃO",_xlfn.XLOOKUP(autocompJanta[[#This Row],[COMP ESCALA ANTERIOR]],tabE.Flux[COMP.AT. MOT B],tabE.Flux[LINHA],"NÃO",0,1))</calculatedColumnFormula>
    </tableColumn>
    <tableColumn id="12" xr3:uid="{3290FB91-9BD7-4076-8E7B-52D22CC11B6C}" name="EXISTE ESCALA ANTERIOR" dataDxfId="105">
      <calculatedColumnFormula>IF(AND(autocompJanta[[#This Row],[EXISTE MOT A ANT]]="NÃO",autocompJanta[[#This Row],[EXISTE MOT B ANT]]="NÃO"),"NÃO","SIM")</calculatedColumnFormula>
    </tableColumn>
    <tableColumn id="11" xr3:uid="{C691C6B4-09B7-45E6-87D0-C78BB37AAC48}" name="COMP ESCALA POSTERIOR" dataDxfId="104">
      <calculatedColumnFormula>_xlfn.CONCAT(T6+1,"+",X6)</calculatedColumnFormula>
    </tableColumn>
    <tableColumn id="13" xr3:uid="{5AFCF902-2966-4398-8578-F6DF758A695B}" name="EXISTE MOT A POS" dataDxfId="103">
      <calculatedColumnFormula>IF(autocompJanta[[#This Row],[COMP ESCALA POSTERIOR]]="NÃO","NÃO",_xlfn.XLOOKUP(autocompJanta[[#This Row],[COMP ESCALA POSTERIOR]],tabE.Flux[COMP.AT. MOT A],tabE.Flux[LINHA],"NÃO",0,1))</calculatedColumnFormula>
    </tableColumn>
    <tableColumn id="14" xr3:uid="{F5F101B5-3028-4BBC-BA42-42C9BC70C72C}" name="EXISTE MOT B POS" dataDxfId="102">
      <calculatedColumnFormula>IF(autocompJanta[[#This Row],[COMP ESCALA POSTERIOR]]="NÃO","NÃO",_xlfn.XLOOKUP(autocompJanta[[#This Row],[COMP ESCALA POSTERIOR]],tabE.Flux[COMP.AT. MOT B],tabE.Flux[LINHA],"NÃO",0,1))</calculatedColumnFormula>
    </tableColumn>
    <tableColumn id="16" xr3:uid="{47932068-96B4-4DDE-A139-6BE5497CE08D}" name="EXISTE ESCALA POSTERIOR" dataDxfId="101">
      <calculatedColumnFormula>IF(AND(autocompJanta[[#This Row],[EXISTE MOT A POS]]="NÃO",autocompJanta[[#This Row],[EXISTE MOT B POS]]="NÃO"),"NÃO","SIM")</calculatedColumnFormula>
    </tableColumn>
    <tableColumn id="7" xr3:uid="{7DFCE7F5-EBAD-41B6-B86A-B4964B94F511}" name="CORRESP LINHA" dataDxfId="100">
      <calculatedColumnFormula array="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calculatedColumnFormula>
    </tableColumn>
    <tableColumn id="15" xr3:uid="{196149C3-4CC4-4AC4-B105-AEB21F3F4164}" name="COMP ESCALA" dataDxfId="99">
      <calculatedColumnFormula array="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calculatedColumnFormula>
    </tableColumn>
    <tableColumn id="10" xr3:uid="{0767FA8B-6BC6-4BFE-BF8D-12E38B9629B4}" name="CORRESP. CARRO" dataDxfId="98">
      <calculatedColumnFormula>_xlfn.XLOOKUP(autocompJanta[[#This Row],[COMP ESCALA]],tabE.Flux[COMP. ESCALA MOT B],tabE.Flux[CARRO],
(_xlfn.XLOOKUP(autocompJanta[[#This Row],[COMP ESCALA]],tabE.Flux[COMP. ESCALA MOT A],tabE.Flux[CARRO],"N/E",0,1)),0,1)</calculatedColumnFormula>
    </tableColumn>
    <tableColumn id="8" xr3:uid="{33D7A726-D387-43BE-9141-0691144FF063}" name="CORRESP HORARIO" dataDxfId="97">
      <calculatedColumnFormula>_xlfn.XLOOKUP(autocompJanta[[#This Row],[COMP ESCALA]],tabE.Flux[COMP. ESCALA MOT A],tabE.Flux[HORARIO],(_xlfn.XLOOKUP(autocompJanta[[#This Row],[COMP ESCALA]],tabE.Flux[COMP. ESCALA MOT B],tabE.Flux[HORARIO],"N/E",0,1)),0,1)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13410F-543D-4E6C-94F3-E93FB66A56CB}" name="Tabela7" displayName="Tabela7" ref="B4:J108" totalsRowShown="0" headerRowDxfId="96" dataDxfId="94" headerRowBorderDxfId="95" tableBorderDxfId="93" totalsRowBorderDxfId="92">
  <autoFilter ref="B4:J108" xr:uid="{C713410F-543D-4E6C-94F3-E93FB66A56CB}"/>
  <tableColumns count="9">
    <tableColumn id="1" xr3:uid="{8B720679-20CD-4663-9D65-50412B11F1B5}" name="ID" dataDxfId="91"/>
    <tableColumn id="12" xr3:uid="{EAAD9528-DDBD-4140-9DB0-9655B6515CE4}" name="DATA" dataDxfId="90"/>
    <tableColumn id="13" xr3:uid="{9D0627F7-07E8-40B8-82A9-3D62FC5145C5}" name="CARRO" dataDxfId="89">
      <calculatedColumnFormula>IF(IFERROR(Tabela10[[#This Row],[SIM]],"")="NÃO",(IF(Tabela7[[#This Row],[NOME]]=0,"","PASSE?")),Tabela10[[#This Row],[SIM]])</calculatedColumnFormula>
    </tableColumn>
    <tableColumn id="15" xr3:uid="{BDA8BD1F-19F2-4ECD-91C4-47E43ADB7568}" name="HORÁRIO" dataDxfId="88">
      <calculatedColumnFormula>Tabela10[[#This Row],[45886+JAKTAN DE OLIVEIRA RODRIGUES - 5836]]</calculatedColumnFormula>
    </tableColumn>
    <tableColumn id="18" xr3:uid="{BE60F3CB-1DE5-40AE-8805-AC5B9F4239B5}" name="MOTIVO" dataDxfId="87"/>
    <tableColumn id="17" xr3:uid="{09536845-B6FE-42CE-958C-CB69A553838F}" name="NOME" dataDxfId="86"/>
    <tableColumn id="23" xr3:uid="{50C77AC3-D04F-4044-BF84-ECD940B46F55}" name="QUANT" dataDxfId="85">
      <calculatedColumnFormula>COUNTIF(Tabela10[45885+JAKTAN DE OLIVEIRA RODRIGUES - 5836],Tabela10[[#This Row],[45885+JAKTAN DE OLIVEIRA RODRIGUES - 5836]])</calculatedColumnFormula>
    </tableColumn>
    <tableColumn id="22" xr3:uid="{26BA98D0-F6D7-4305-8804-11EFB014AA5A}" name="VALOR" dataDxfId="84">
      <calculatedColumnFormula>IF(Tabela7[[#This Row],[NOME]]&lt;&gt;0,15,"")</calculatedColumnFormula>
    </tableColumn>
    <tableColumn id="14" xr3:uid="{1D7CBE3A-7709-441D-A64E-1554A577ED6E}" name="LINHA" dataDxfId="83">
      <calculatedColumnFormula array="1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933A75-B17D-44C5-B61B-E2516FF4897D}" name="Tabela10" displayName="Tabela10" ref="M5:U408" totalsRowShown="0" dataDxfId="81" headerRowBorderDxfId="82" tableBorderDxfId="80" totalsRowBorderDxfId="79">
  <autoFilter ref="M5:U408" xr:uid="{A0933A75-B17D-44C5-B61B-E2516FF4897D}"/>
  <tableColumns count="9">
    <tableColumn id="1" xr3:uid="{3B361347-4CE1-4DC5-B2E6-054DAA793917}" name="45885+JAKTAN DE OLIVEIRA RODRIGUES - 5836" dataDxfId="78">
      <calculatedColumnFormula>_xlfn.CONCAT(Tabela7[[#This Row],[DATA]],"+",Tabela7[[#This Row],[NOME]])</calculatedColumnFormula>
    </tableColumn>
    <tableColumn id="2" xr3:uid="{19EB732B-29F6-4481-98FD-F8059FC03757}" name="NÃO" dataDxfId="77"/>
    <tableColumn id="3" xr3:uid="{1F94D269-6E6D-4E38-9900-5F4DF83050B1}" name="NÃO2" dataDxfId="76"/>
    <tableColumn id="4" xr3:uid="{657F1FCC-BE91-4379-B655-E98F03EB134F}" name="NÃO3" dataDxfId="75">
      <calculatedColumnFormula>IF(N6="NÃO",(IF(O6="NÃO",(_xlfn.CONCAT(Tabela7[[#This Row],[DATA]]-1,"+",Tabela7[[#This Row],[NOME]])),"NÃO")),"NÃO")</calculatedColumnFormula>
    </tableColumn>
    <tableColumn id="5" xr3:uid="{0369F23A-CFDD-4A55-9A56-37A634BECEEE}" name="45884+JAKTAN DE OLIVEIRA RODRIGUES - 5836" dataDxfId="74"/>
    <tableColumn id="6" xr3:uid="{2821FB2A-194A-4D86-A5D4-5CDAAC77C081}" name="GOIANIA (GO) X TERESINA (PI) VIA STI" dataDxfId="73"/>
    <tableColumn id="7" xr3:uid="{5DAD87C9-F222-460B-8693-980FE40F3BE7}" name="NÃO4" dataDxfId="72">
      <calculatedColumnFormula>IF(Tabela10[[#This Row],[NÃO3]]="NÃO",_xlfn.CONCAT(Tabela10[[#This Row],[45885+JAKTAN DE OLIVEIRA RODRIGUES - 5836]],"+",Tabela7[[#This Row],[LINHA]]),_xlfn.CONCAT(Tabela10[[#This Row],[NÃO3]],"+",Tabela7[[#This Row],[LINHA]]))</calculatedColumnFormula>
    </tableColumn>
    <tableColumn id="10" xr3:uid="{7BEDB45E-C265-4AF8-8A43-71F450ECFEE0}" name="SIM" dataDxfId="71"/>
    <tableColumn id="8" xr3:uid="{319061BB-B7BE-413B-8AE3-6ACDB46B73C8}" name="45886+JAKTAN DE OLIVEIRA RODRIGUES - 5836" dataDxfId="70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3C12862-51B5-486B-B731-5E0A786A6C33}" name="Totais" displayName="Totais" ref="B3:D34" totalsRowShown="0" headerRowDxfId="69" headerRowBorderDxfId="68" tableBorderDxfId="67" totalsRowBorderDxfId="66">
  <autoFilter ref="B3:D34" xr:uid="{A3C12862-51B5-486B-B731-5E0A786A6C33}">
    <filterColumn colId="0">
      <customFilters and="1">
        <customFilter operator="greaterThanOrEqual" val="45885"/>
        <customFilter operator="lessThanOrEqual" val="45900"/>
      </customFilters>
    </filterColumn>
  </autoFilter>
  <tableColumns count="3">
    <tableColumn id="1" xr3:uid="{453DC438-AB09-4A4C-8E15-70FD114BA02D}" name="DATA" dataDxfId="65"/>
    <tableColumn id="2" xr3:uid="{91986BB7-D410-4D0F-9DEA-33A03EDBB426}" name="ALMOÇO" dataDxfId="64">
      <calculatedColumnFormula>COUNTIF(tabAlmoco[DATA],Totais[[#This Row],[DATA]])</calculatedColumnFormula>
    </tableColumn>
    <tableColumn id="3" xr3:uid="{BAD211A9-9A00-4D2A-9552-EF4AEE7B21FB}" name="JANTA" dataDxfId="63">
      <calculatedColumnFormula>COUNTIF(tabJanta[DATA],Totais[[#This Row],[DATA]])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DDDF85-17B0-418E-B199-867BDE5AC3B6}" name="tabMotoristas" displayName="tabMotoristas" ref="B1:B1175" totalsRowShown="0" headerRowDxfId="62" dataDxfId="60" headerRowBorderDxfId="61" tableBorderDxfId="59" totalsRowBorderDxfId="58">
  <autoFilter ref="B1:B1175" xr:uid="{18DDDF85-17B0-418E-B199-867BDE5AC3B6}">
    <filterColumn colId="0">
      <filters>
        <filter val="DANYLSON BATISTA  SANTANA - 5648"/>
        <filter val="DANYLSON BATISTA SANTANA - 5829"/>
      </filters>
    </filterColumn>
  </autoFilter>
  <sortState xmlns:xlrd2="http://schemas.microsoft.com/office/spreadsheetml/2017/richdata2" ref="B2:B1171">
    <sortCondition ref="B1:B1171"/>
  </sortState>
  <tableColumns count="1">
    <tableColumn id="1" xr3:uid="{271B2161-4045-475A-B448-B28F01474F79}" name="MOTORISTA + MATRICULA" dataDxfId="57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D2DB8A-4277-47E3-AB78-0D7BF3B4D055}" name="Tabela3" displayName="Tabela3" ref="D1:D7" totalsRowShown="0" headerRowDxfId="56" dataDxfId="55">
  <autoFilter ref="D1:D7" xr:uid="{DCD2DB8A-4277-47E3-AB78-0D7BF3B4D055}"/>
  <sortState xmlns:xlrd2="http://schemas.microsoft.com/office/spreadsheetml/2017/richdata2" ref="D2:D7">
    <sortCondition ref="D1:D7"/>
  </sortState>
  <tableColumns count="1">
    <tableColumn id="1" xr3:uid="{E3722EAA-94EB-4A86-93CA-4E9DB63D3773}" name="LINHAS" dataDxfId="54"/>
  </tableColumns>
  <tableStyleInfo name="TableStyleDark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73799C-CF25-473F-B929-AE297C4B441B}" name="Tabela5" displayName="Tabela5" ref="F1:F103" totalsRowShown="0" headerRowDxfId="53" dataDxfId="52">
  <autoFilter ref="F1:F103" xr:uid="{3973799C-CF25-473F-B929-AE297C4B441B}"/>
  <sortState xmlns:xlrd2="http://schemas.microsoft.com/office/spreadsheetml/2017/richdata2" ref="F2:F103">
    <sortCondition ref="F3:F1648"/>
  </sortState>
  <tableColumns count="1">
    <tableColumn id="1" xr3:uid="{1A8918AF-8568-4368-AEBB-CA2EF1B75AC3}" name="VEÍCULO" dataDxfId="51"/>
  </tableColumns>
  <tableStyleInfo name="TableStyleDark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AAEC90-8530-4B73-A348-20536B23A5C4}" name="Tabela739" displayName="Tabela739" ref="B3:I4" totalsRowShown="0" headerRowDxfId="50" dataDxfId="48" headerRowBorderDxfId="49" tableBorderDxfId="47" totalsRowBorderDxfId="46">
  <autoFilter ref="B3:I4" xr:uid="{C713410F-543D-4E6C-94F3-E93FB66A56CB}"/>
  <tableColumns count="8">
    <tableColumn id="12" xr3:uid="{26F7DC5F-9DDC-4D46-9868-480C2829B8E1}" name="DATA" dataDxfId="45"/>
    <tableColumn id="13" xr3:uid="{4F7EEDA1-A72A-4F42-A768-521CCADDE80E}" name="CARRO" dataDxfId="44">
      <calculatedColumnFormula>IFERROR(IF(IFERROR(Tabela10412[[#This Row],[CORRESP. CARRO]],"")="NÃO","",(IF(Tabela739[[#This Row],[NOME]]=0,"",Tabela10412[[#This Row],[CORRESP. CARRO]]))),"")</calculatedColumnFormula>
    </tableColumn>
    <tableColumn id="15" xr3:uid="{6DC6574F-D2BA-433E-BE9F-187105FC4C07}" name="HORÁRIO" dataDxfId="43">
      <calculatedColumnFormula>IFERROR(IF(Tabela739[[#This Row],[NOME]]="","",Tabela10412[[#This Row],[CORRESP HORARIO]]),"")</calculatedColumnFormula>
    </tableColumn>
    <tableColumn id="18" xr3:uid="{7E1B8B9E-EA86-4656-8A7E-313CA0920E80}" name="MOTIVO" dataDxfId="42"/>
    <tableColumn id="17" xr3:uid="{EA5A8EB2-80F9-4B4E-A2E7-91F01E4A34EF}" name="NOME" dataDxfId="41"/>
    <tableColumn id="23" xr3:uid="{625539C3-535F-47B5-B21C-C83AB6A33928}" name="QUANT" dataDxfId="40">
      <calculatedColumnFormula>IF(Tabela739[[#This Row],[NOME]]="","",COUNTIF(Tabela10412[COMP ESCALA ATUAL],Tabela10412[[#This Row],[COMP ESCALA ATUAL]]))</calculatedColumnFormula>
    </tableColumn>
    <tableColumn id="22" xr3:uid="{6535D7D5-E7FA-4A33-B00A-0413142CDA36}" name="VALOR" dataDxfId="39">
      <calculatedColumnFormula>IF(Tabela739[[#This Row],[NOME]]&lt;&gt;0,15,"")</calculatedColumnFormula>
    </tableColumn>
    <tableColumn id="14" xr3:uid="{2935F760-3370-4F0C-ACBA-4B2691C15322}" name="LINHA" dataDxfId="38">
      <calculatedColumnFormula array="1">_xlfn.IFS(AND(Tabela10412[[#This Row],[COMP ESCALA ANTERIOR]]="NÃO", Tabela10412[[#This Row],[EXISTE MOT B AT]]="NÃO"),Tabela10412[[#This Row],[EXISTE MOT A AT]],AND(Tabela10412[[#This Row],[COMP ESCALA ANTERIOR]]="NÃO", Tabela10412[[#This Row],[EXISTE MOT A AT]]="NÃO"),Tabela10412[[#This Row],[EXISTE MOT B AT]],AND(Tabela10412[[#This Row],[COMP ESCALA ANTERIOR]]="NÃO", Tabela10412[[#This Row],[EXISTE MOT A AT]]&lt;&gt;"NÃO"),Tabela10412[[#This Row],[EXISTE MOT A AT]],AND(Tabela10412[[#This Row],[COMP ESCALA ANTERIOR]]&lt;&gt;"NÃO",Tabela10412[[#This Row],[EXISTE MOT B ANT]]="NÃO"),Tabela10412[[#This Row],[EXISTE MOT A ANT]],AND(Tabela10412[[#This Row],[COMP ESCALA ANTERIOR]]&lt;&gt;"NÃO", Tabela10412[[#This Row],[EXISTE MOT A ANT]]="NÃO"),Tabela10412[[#This Row],[EXISTE MOT B ANT]],AND(Tabela10412[[#This Row],[COMP ESCALA ANTERIOR]]&lt;&gt;"NÃO",Tabela10412[[#This Row],[EXISTE MOT A ANT]]&lt;&gt;"NÃO"),Tabela10412[[#This Row],[EXISTE MOT A ANT]])</calculatedColumnFormula>
    </tableColumn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E7BD3B2-CC30-4CE0-9CF8-7D8C781F1E7B}" name="Tabela10412" displayName="Tabela10412" ref="K3:Z4" totalsRowShown="0" headerRowDxfId="37" dataDxfId="35" headerRowBorderDxfId="36" tableBorderDxfId="34" totalsRowBorderDxfId="33">
  <autoFilter ref="K3:Z4" xr:uid="{A0933A75-B17D-44C5-B61B-E2516FF489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577C013-B1F0-43C0-ACC4-9605BC051B55}" name="COMP ESCALA ATUAL" dataDxfId="32">
      <calculatedColumnFormula>IF(Tabela739[[#This Row],[NOME]]="","",_xlfn.CONCAT(Tabela739[[#This Row],[DATA]],"+",Tabela739[[#This Row],[NOME]]))</calculatedColumnFormula>
    </tableColumn>
    <tableColumn id="2" xr3:uid="{9BB9118D-674A-4111-B108-D320236E1B7A}" name="EXISTE MOT A AT" dataDxfId="31"/>
    <tableColumn id="3" xr3:uid="{977A79E4-1465-49A2-8F6C-EE2B82AB8C24}" name="EXISTE MOT B AT" dataDxfId="30"/>
    <tableColumn id="9" xr3:uid="{B6CE11B5-5F52-4CFA-8D3A-EDC63309C0DF}" name="EXISTE ESCALA ATUAL" dataDxfId="29">
      <calculatedColumnFormula>IF(AND(Tabela10412[[#This Row],[EXISTE MOT A AT]]="NÃO", Tabela10412[[#This Row],[EXISTE MOT B AT]]="NÃO"),"NÃO","SIM")</calculatedColumnFormula>
    </tableColumn>
    <tableColumn id="4" xr3:uid="{766BD9FD-B011-43B7-B9E3-58AF784BA955}" name="COMP ESCALA ANTERIOR" dataDxfId="28">
      <calculatedColumnFormula>IF(Tabela10412[[#This Row],[EXISTE ESCALA ATUAL]]="NÃO",_xlfn.CONCAT(Tabela739[[#This Row],[DATA]]-1,"+",Tabela739[[#This Row],[NOME]]),"NÃO")</calculatedColumnFormula>
    </tableColumn>
    <tableColumn id="5" xr3:uid="{D4967CCE-651B-41E4-980A-DC871C9816DF}" name="EXISTE MOT A ANT" dataDxfId="27"/>
    <tableColumn id="6" xr3:uid="{57BC40AE-5FC7-4A29-8078-C1C3805FD909}" name="EXISTE MOT B ANT" dataDxfId="26"/>
    <tableColumn id="12" xr3:uid="{3EC0501F-B627-4404-AD94-9A65C6CFF49B}" name="EXISTE ESCALA ANTERIOR" dataDxfId="25">
      <calculatedColumnFormula>IF(AND(Tabela10412[[#This Row],[EXISTE MOT A ANT]]="NÃO",Tabela10412[[#This Row],[EXISTE MOT B ANT]]="NÃO"),"NÃO","SIM")</calculatedColumnFormula>
    </tableColumn>
    <tableColumn id="11" xr3:uid="{238237A1-B8ED-42C5-9ABA-D18FE11AE2E2}" name="COMP ESCALA POSTERIOR" dataDxfId="24">
      <calculatedColumnFormula>_xlfn.CONCAT(B4+1,"+",F4)</calculatedColumnFormula>
    </tableColumn>
    <tableColumn id="13" xr3:uid="{2C67F44C-0B27-4822-A46E-C4B688B96514}" name="EXISTE MOT A POS" dataDxfId="23"/>
    <tableColumn id="14" xr3:uid="{20AA6E68-A44F-45F3-9EDA-F306753253D9}" name="EXISTE MOT B POS" dataDxfId="22"/>
    <tableColumn id="16" xr3:uid="{277ACE79-192D-4108-B94E-AC9D76DADDB0}" name="EXISTE ESCALA POSTERIOR" dataDxfId="21">
      <calculatedColumnFormula>IF(AND(Tabela10412[[#This Row],[EXISTE MOT A POS]]="NÃO",Tabela10412[[#This Row],[EXISTE MOT B POS]]="NÃO"),"NÃO","SIM")</calculatedColumnFormula>
    </tableColumn>
    <tableColumn id="7" xr3:uid="{D9C92589-8286-4643-B75F-2CB639046BB6}" name="CORRESP LINHA" dataDxfId="20">
      <calculatedColumnFormula array="1">_xlfn.IFS(Tabela10412[[#This Row],[EXISTE ESCALA ATUAL]]="SIM",(IF(Tabela10412[[#This Row],[EXISTE MOT A AT]]="NÃO",Tabela10412[[#This Row],[EXISTE MOT B AT]],Tabela10412[[#This Row],[EXISTE MOT A AT]])),Tabela10412[[#This Row],[EXISTE ESCALA ANTERIOR]]="SIM",(IF(Tabela10412[[#This Row],[EXISTE MOT A ANT]]="NÃO",Tabela10412[[#This Row],[EXISTE MOT B ANT]],Tabela10412[[#This Row],[EXISTE MOT A ANT]])),Tabela10412[[#This Row],[EXISTE ESCALA POSTERIOR]]="SIM",(IF(Tabela10412[[#This Row],[EXISTE MOT A POS]]="NÃO",Tabela10412[[#This Row],[EXISTE MOT B POS]],Tabela10412[[#This Row],[EXISTE MOT A POS]])))</calculatedColumnFormula>
    </tableColumn>
    <tableColumn id="15" xr3:uid="{56BA3E30-1FDC-44DA-92B6-DFF88EBC70F3}" name="COMP ESCALA" dataDxfId="19">
      <calculatedColumnFormula array="1">_xlfn.IFS(Tabela10412[[#This Row],[EXISTE ESCALA ATUAL]]="SIM",(_xlfn.CONCAT(Tabela10412[[#This Row],[COMP ESCALA ATUAL]],"+",Tabela10412[[#This Row],[CORRESP LINHA]])),Tabela10412[[#This Row],[EXISTE ESCALA ANTERIOR]]="SIM",(_xlfn.CONCAT(Tabela10412[[#This Row],[COMP ESCALA ANTERIOR]],"+",Tabela10412[[#This Row],[CORRESP LINHA]])),Tabela10412[[#This Row],[EXISTE ESCALA POSTERIOR]]="SIM",(_xlfn.CONCAT(Tabela10412[[#This Row],[COMP ESCALA POSTERIOR]],"+",Tabela10412[[#This Row],[CORRESP LINHA]])))</calculatedColumnFormula>
    </tableColumn>
    <tableColumn id="10" xr3:uid="{696AF2B1-2C51-4A4E-9314-FA98D99FB4F1}" name="CORRESP. CARRO" dataDxfId="18"/>
    <tableColumn id="8" xr3:uid="{93D82141-CD58-47FE-8DDD-3BA2E391B015}" name="CORRESP HORARIO" dataDxfId="1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7" dT="2025-09-09T17:54:07.31" personId="{81C10DFB-0C2A-4D37-9580-B667C218B1BC}" id="{A31D6296-7741-44BE-85E4-28B7A6E15E9D}">
    <text>Quando aparecer #N/D ou #VALOR (algo do tipo) na linha, não se preocupe, você pode continuar preenchendo manualmente, ou adicionar um (*) na primeira coluna pois isso aparece devido não existira a linha equivalente no autocompletar
(devido um erro meu, a planilha acabou que funciona dessa forma, mas acredito ser melhor para evitar erro por viés, e em certos casos estimula até corrigir a escala)
~ Gustavo</text>
  </threadedComment>
  <threadedComment ref="K10" dT="2025-09-07T21:01:18.53" personId="{00000000-0000-0000-0000-000000000000}" id="{54F64837-D886-4ADD-B711-04424777F3E0}">
    <text>Não encontrei nenhum erro na operação com as planilhas de refeição. Mas erros são imprevisíveis</text>
  </threadedComment>
  <threadedComment ref="E21" dT="2025-09-07T20:48:10.65" personId="{00000000-0000-0000-0000-000000000000}" id="{4BF1539C-5269-4E81-B89F-E1B3BF43D81C}">
    <text>Estou de olho nesse erro, favor, relatar quando ocorrer.
~ Gustavo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google.com/search?q=o+que+%C3%A9+e+onde+fica+uma+f%C3%B3rmula+no+excel&amp;sca_esv=efb3ab264f9589fa&amp;rlz=1C1YTUH_pt-PTBR1100BR1104&amp;sxsrf=AE3TifP5IGj1AqTSQAktRPH2n1CdKNNLLA%3A1757279100965&amp;ei=fPO9aKu9OvjX1sQPksOqkQw&amp;ved=0ahUKEwir69XkxsePAxX4q5UCHZKhKsIQ4dUDCBI&amp;uact=5&amp;oq=o+que+%C3%A9+e+onde+fica+uma+f%C3%B3rmula+no+excel&amp;gs_lp=Egxnd3Mtd2l6LXNlcnAiKm8gcXVlIMOpIGUgb25kZSBmaWNhIHVtYSBmw7NybXVsYSBubyBleGNlbDIIEAAYgAQYogQyBRAAGO8FMggQABiABBiiBDIIEAAYgAQYogQyCBAAGIAEGKIESMAWUJwHWOgTcAJ4AZABAJgBsAGgAewOqgEEMC4xMrgBA8gBAPgBAZgCBKACzwLCAgoQABiwAxjWBBhHwgINEAAYgAQYsAMYQxiKBcICCBAhGKABGMMEmAMAiAYBkAYKkgcDMi4yoAe7O7IHAzAuMrgHvQLCBwUyLTIuMsgHHw&amp;sclient=gws-wiz-serp" TargetMode="Externa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F74B-C045-4736-A120-4F12E95DD803}">
  <sheetPr>
    <tabColor rgb="FF0070C0"/>
  </sheetPr>
  <dimension ref="A1:Y1608"/>
  <sheetViews>
    <sheetView zoomScale="85" zoomScaleNormal="85" workbookViewId="0">
      <pane ySplit="1" topLeftCell="A492" activePane="bottomLeft" state="frozen"/>
      <selection pane="bottomLeft" activeCell="O522" sqref="O522"/>
    </sheetView>
  </sheetViews>
  <sheetFormatPr defaultRowHeight="15" x14ac:dyDescent="0.25"/>
  <cols>
    <col min="1" max="2" width="2" style="101" customWidth="1"/>
    <col min="3" max="3" width="64.42578125" style="6" hidden="1" customWidth="1"/>
    <col min="4" max="4" width="68.140625" style="6" hidden="1" customWidth="1"/>
    <col min="5" max="5" width="100.140625" style="6" hidden="1" customWidth="1"/>
    <col min="6" max="6" width="106.42578125" style="6" hidden="1" customWidth="1"/>
    <col min="7" max="7" width="45.85546875" style="6" hidden="1" customWidth="1"/>
    <col min="8" max="8" width="14.5703125" bestFit="1" customWidth="1"/>
    <col min="9" max="9" width="20" style="6" bestFit="1" customWidth="1"/>
    <col min="10" max="10" width="16.42578125" style="6" bestFit="1" customWidth="1"/>
    <col min="11" max="11" width="9.28515625" style="6" bestFit="1" customWidth="1"/>
    <col min="12" max="12" width="10.7109375" style="6" bestFit="1" customWidth="1"/>
    <col min="13" max="14" width="18.140625" style="6" bestFit="1" customWidth="1"/>
    <col min="15" max="15" width="56.7109375" style="6" bestFit="1" customWidth="1"/>
    <col min="16" max="16" width="60.28515625" style="6" bestFit="1" customWidth="1"/>
    <col min="17" max="17" width="38.28515625" style="6" bestFit="1" customWidth="1"/>
    <col min="18" max="18" width="9.140625" style="101"/>
    <col min="19" max="16384" width="9.140625" style="76"/>
  </cols>
  <sheetData>
    <row r="1" spans="1:25" s="6" customFormat="1" x14ac:dyDescent="0.25">
      <c r="A1" s="101"/>
      <c r="B1" s="101"/>
      <c r="C1" s="98" t="s">
        <v>0</v>
      </c>
      <c r="D1" s="99" t="s">
        <v>1</v>
      </c>
      <c r="E1" s="100" t="s">
        <v>2</v>
      </c>
      <c r="F1" s="100" t="s">
        <v>3</v>
      </c>
      <c r="G1" s="100" t="s">
        <v>4</v>
      </c>
      <c r="H1" s="102" t="s">
        <v>5</v>
      </c>
      <c r="I1" s="102" t="s">
        <v>6</v>
      </c>
      <c r="J1" s="102" t="s">
        <v>7</v>
      </c>
      <c r="K1" s="117" t="s">
        <v>8</v>
      </c>
      <c r="L1" s="117" t="s">
        <v>9</v>
      </c>
      <c r="M1" s="102" t="s">
        <v>10</v>
      </c>
      <c r="N1" s="102" t="s">
        <v>11</v>
      </c>
      <c r="O1" s="118" t="s">
        <v>12</v>
      </c>
      <c r="P1" s="118" t="s">
        <v>13</v>
      </c>
      <c r="Q1" s="102" t="s">
        <v>14</v>
      </c>
      <c r="R1" s="76"/>
      <c r="S1" s="76"/>
      <c r="T1" s="76"/>
      <c r="U1" s="76"/>
      <c r="V1" s="76"/>
      <c r="W1" s="76"/>
      <c r="X1" s="76"/>
      <c r="Y1" s="76"/>
    </row>
    <row r="2" spans="1:25" s="6" customFormat="1" ht="15" customHeight="1" x14ac:dyDescent="0.25">
      <c r="A2" s="101"/>
      <c r="B2" s="101"/>
      <c r="C2" s="1" t="str">
        <f>_xlfn.CONCAT(tabE.Flux[[#This Row],[DATA]],"+",tabE.Flux[[#This Row],[MOTORISTA + MATRÍCULA A]])</f>
        <v>45884+ANDRE LUIZ DA SILVA - 5188</v>
      </c>
      <c r="D2" s="1" t="str">
        <f>_xlfn.CONCAT(tabE.Flux[[#This Row],[DATA]],"+",tabE.Flux[[#This Row],[MOTORISTA + MATRÍCULA B]])</f>
        <v>45884+LUZIMAR SOARES ROCHA</v>
      </c>
      <c r="E2" s="1" t="str">
        <f>_xlfn.CONCAT(tabE.Flux[[#This Row],[DATA]],"+",tabE.Flux[[#This Row],[MOTORISTA + MATRÍCULA A]],"+",tabE.Flux[[#This Row],[LINHA]])</f>
        <v>45884+ANDRE LUIZ DA SILVA - 5188+GOIANIA (GO) X BELEM (PA)</v>
      </c>
      <c r="F2" s="1" t="str">
        <f>_xlfn.CONCAT(tabE.Flux[[#This Row],[DATA]],"+",tabE.Flux[[#This Row],[MOTORISTA + MATRÍCULA B]],"+",tabE.Flux[[#This Row],[LINHA]])</f>
        <v>45884+LUZIMAR SOARES ROCHA+GOIANIA (GO) X BELEM (PA)</v>
      </c>
      <c r="G2" s="1" t="str">
        <f>_xlfn.CONCAT(tabE.Flux[[#This Row],[DATA]],"+",tabE.Flux[[#This Row],[LINHA]])</f>
        <v>45884+GOIANIA (GO) X BELEM (PA)</v>
      </c>
      <c r="H2" s="141">
        <v>45884</v>
      </c>
      <c r="I2" s="142" t="s">
        <v>15</v>
      </c>
      <c r="J2" s="142">
        <v>24012</v>
      </c>
      <c r="K2" s="143">
        <v>0.25486111111111109</v>
      </c>
      <c r="L2" s="143">
        <v>0.3</v>
      </c>
      <c r="M2" s="142" t="s">
        <v>16</v>
      </c>
      <c r="N2" s="142" t="s">
        <v>17</v>
      </c>
      <c r="O2" s="142" t="s">
        <v>18</v>
      </c>
      <c r="P2" s="142" t="s">
        <v>19</v>
      </c>
      <c r="Q2" s="142" t="s">
        <v>20</v>
      </c>
      <c r="R2" s="76"/>
      <c r="S2" s="76"/>
      <c r="T2" s="76"/>
      <c r="U2" s="76"/>
      <c r="V2" s="76"/>
      <c r="W2" s="76"/>
      <c r="X2" s="76"/>
      <c r="Y2" s="76"/>
    </row>
    <row r="3" spans="1:25" s="6" customFormat="1" x14ac:dyDescent="0.25">
      <c r="A3" s="101"/>
      <c r="B3" s="101"/>
      <c r="C3" s="1" t="str">
        <f>_xlfn.CONCAT(tabE.Flux[[#This Row],[DATA]],"+",tabE.Flux[[#This Row],[MOTORISTA + MATRÍCULA A]])</f>
        <v>45884+GESMAR DE SOUZA - 574</v>
      </c>
      <c r="D3" s="1" t="str">
        <f>_xlfn.CONCAT(tabE.Flux[[#This Row],[DATA]],"+",tabE.Flux[[#This Row],[MOTORISTA + MATRÍCULA B]])</f>
        <v>45884+ADIR CASSIMIRO DA SILVA - 5672</v>
      </c>
      <c r="E3" s="1" t="str">
        <f>_xlfn.CONCAT(tabE.Flux[[#This Row],[DATA]],"+",tabE.Flux[[#This Row],[MOTORISTA + MATRÍCULA A]],"+",tabE.Flux[[#This Row],[LINHA]])</f>
        <v>45884+GESMAR DE SOUZA - 574+GOIANIA (GO) X SAO LUIS (MA)</v>
      </c>
      <c r="F3" s="1" t="str">
        <f>_xlfn.CONCAT(tabE.Flux[[#This Row],[DATA]],"+",tabE.Flux[[#This Row],[MOTORISTA + MATRÍCULA B]],"+",tabE.Flux[[#This Row],[LINHA]])</f>
        <v>45884+ADIR CASSIMIRO DA SILVA - 5672+GOIANIA (GO) X SAO LUIS (MA)</v>
      </c>
      <c r="G3" s="1" t="str">
        <f>_xlfn.CONCAT(tabE.Flux[[#This Row],[DATA]],"+",tabE.Flux[[#This Row],[LINHA]])</f>
        <v>45884+GOIANIA (GO) X SAO LUIS (MA)</v>
      </c>
      <c r="H3" s="141">
        <v>45884</v>
      </c>
      <c r="I3" s="142" t="s">
        <v>15</v>
      </c>
      <c r="J3" s="142">
        <v>24004</v>
      </c>
      <c r="K3" s="143">
        <v>0.32291666666666669</v>
      </c>
      <c r="L3" s="143">
        <v>0.33333333333333331</v>
      </c>
      <c r="M3" s="142" t="s">
        <v>16</v>
      </c>
      <c r="N3" s="142" t="s">
        <v>17</v>
      </c>
      <c r="O3" s="142" t="s">
        <v>21</v>
      </c>
      <c r="P3" s="142" t="s">
        <v>22</v>
      </c>
      <c r="Q3" s="142" t="s">
        <v>23</v>
      </c>
      <c r="R3" s="76"/>
      <c r="S3" s="76"/>
      <c r="T3" s="76"/>
      <c r="U3" s="76"/>
      <c r="V3" s="76"/>
      <c r="W3" s="76"/>
      <c r="X3" s="76"/>
      <c r="Y3" s="76"/>
    </row>
    <row r="4" spans="1:25" s="6" customFormat="1" x14ac:dyDescent="0.25">
      <c r="A4" s="101"/>
      <c r="B4" s="101"/>
      <c r="C4" s="1" t="str">
        <f>_xlfn.CONCAT(tabE.Flux[[#This Row],[DATA]],"+",tabE.Flux[[#This Row],[MOTORISTA + MATRÍCULA A]])</f>
        <v>45884+LUIZ CARLOS DE ARAUJO - 1960</v>
      </c>
      <c r="D4" s="1" t="str">
        <f>_xlfn.CONCAT(tabE.Flux[[#This Row],[DATA]],"+",tabE.Flux[[#This Row],[MOTORISTA + MATRÍCULA B]])</f>
        <v>45884+LUIZ CARLOS GOMES DA SILVA - 1961</v>
      </c>
      <c r="E4" s="1" t="str">
        <f>_xlfn.CONCAT(tabE.Flux[[#This Row],[DATA]],"+",tabE.Flux[[#This Row],[MOTORISTA + MATRÍCULA A]],"+",tabE.Flux[[#This Row],[LINHA]])</f>
        <v>45884+LUIZ CARLOS DE ARAUJO - 1960+GOIANIA (GO) X TERESINA (PI) VIA STI</v>
      </c>
      <c r="F4" s="1" t="str">
        <f>_xlfn.CONCAT(tabE.Flux[[#This Row],[DATA]],"+",tabE.Flux[[#This Row],[MOTORISTA + MATRÍCULA B]],"+",tabE.Flux[[#This Row],[LINHA]])</f>
        <v>45884+LUIZ CARLOS GOMES DA SILVA - 1961+GOIANIA (GO) X TERESINA (PI) VIA STI</v>
      </c>
      <c r="G4" s="1" t="str">
        <f>_xlfn.CONCAT(tabE.Flux[[#This Row],[DATA]],"+",tabE.Flux[[#This Row],[LINHA]])</f>
        <v>45884+GOIANIA (GO) X TERESINA (PI) VIA STI</v>
      </c>
      <c r="H4" s="141">
        <v>45884</v>
      </c>
      <c r="I4" s="142" t="s">
        <v>15</v>
      </c>
      <c r="J4" s="142">
        <v>19002</v>
      </c>
      <c r="K4" s="143">
        <v>0.3888888888888889</v>
      </c>
      <c r="L4" s="143">
        <v>0.39583333333333331</v>
      </c>
      <c r="M4" s="142" t="s">
        <v>16</v>
      </c>
      <c r="N4" s="142" t="s">
        <v>17</v>
      </c>
      <c r="O4" s="142" t="s">
        <v>24</v>
      </c>
      <c r="P4" s="142" t="s">
        <v>25</v>
      </c>
      <c r="Q4" s="142" t="s">
        <v>26</v>
      </c>
      <c r="R4" s="76"/>
      <c r="S4" s="76"/>
      <c r="T4" s="76"/>
      <c r="U4" s="76"/>
      <c r="V4" s="76"/>
      <c r="W4" s="76"/>
      <c r="X4" s="76"/>
      <c r="Y4" s="76"/>
    </row>
    <row r="5" spans="1:25" s="6" customFormat="1" x14ac:dyDescent="0.25">
      <c r="A5" s="101"/>
      <c r="B5" s="101"/>
      <c r="C5" s="1" t="str">
        <f>_xlfn.CONCAT(tabE.Flux[[#This Row],[DATA]],"+",tabE.Flux[[#This Row],[MOTORISTA + MATRÍCULA A]])</f>
        <v>45884+CANCELADO</v>
      </c>
      <c r="D5" s="1" t="str">
        <f>_xlfn.CONCAT(tabE.Flux[[#This Row],[DATA]],"+",tabE.Flux[[#This Row],[MOTORISTA + MATRÍCULA B]])</f>
        <v>45884+CANCELADO</v>
      </c>
      <c r="E5" s="1" t="str">
        <f>_xlfn.CONCAT(tabE.Flux[[#This Row],[DATA]],"+",tabE.Flux[[#This Row],[MOTORISTA + MATRÍCULA A]],"+",tabE.Flux[[#This Row],[LINHA]])</f>
        <v>45884+CANCELADO+</v>
      </c>
      <c r="F5" s="1" t="str">
        <f>_xlfn.CONCAT(tabE.Flux[[#This Row],[DATA]],"+",tabE.Flux[[#This Row],[MOTORISTA + MATRÍCULA B]],"+",tabE.Flux[[#This Row],[LINHA]])</f>
        <v>45884+CANCELADO+</v>
      </c>
      <c r="G5" s="1" t="str">
        <f>_xlfn.CONCAT(tabE.Flux[[#This Row],[DATA]],"+",tabE.Flux[[#This Row],[LINHA]])</f>
        <v>45884+</v>
      </c>
      <c r="H5" s="141">
        <v>45884</v>
      </c>
      <c r="I5" s="142" t="s">
        <v>15</v>
      </c>
      <c r="J5" s="144" t="s">
        <v>27</v>
      </c>
      <c r="K5" s="143">
        <v>0.375</v>
      </c>
      <c r="L5" s="143">
        <v>0.41666666666666669</v>
      </c>
      <c r="M5" s="142" t="s">
        <v>16</v>
      </c>
      <c r="N5" s="142" t="s">
        <v>28</v>
      </c>
      <c r="O5" s="144" t="s">
        <v>27</v>
      </c>
      <c r="P5" s="144" t="s">
        <v>27</v>
      </c>
      <c r="Q5" s="142"/>
      <c r="R5" s="76"/>
      <c r="S5" s="76"/>
      <c r="T5" s="76"/>
      <c r="U5" s="76"/>
      <c r="V5" s="76"/>
      <c r="W5" s="76"/>
      <c r="X5" s="76"/>
      <c r="Y5" s="76"/>
    </row>
    <row r="6" spans="1:25" s="6" customFormat="1" x14ac:dyDescent="0.25">
      <c r="A6" s="101"/>
      <c r="B6" s="101"/>
      <c r="C6" s="1" t="str">
        <f>_xlfn.CONCAT(tabE.Flux[[#This Row],[DATA]],"+",tabE.Flux[[#This Row],[MOTORISTA + MATRÍCULA A]])</f>
        <v>45884+JEFFERSON CARDOSO DOS SANTOS - 5837</v>
      </c>
      <c r="D6" s="1" t="str">
        <f>_xlfn.CONCAT(tabE.Flux[[#This Row],[DATA]],"+",tabE.Flux[[#This Row],[MOTORISTA + MATRÍCULA B]])</f>
        <v>45884+FRANCISCO DAS CHAGAS SILVA - 5656</v>
      </c>
      <c r="E6" s="1" t="str">
        <f>_xlfn.CONCAT(tabE.Flux[[#This Row],[DATA]],"+",tabE.Flux[[#This Row],[MOTORISTA + MATRÍCULA A]],"+",tabE.Flux[[#This Row],[LINHA]])</f>
        <v>45884+JEFFERSON CARDOSO DOS SANTOS - 5837+FORTALEZA (CE) X SINOP (MT)</v>
      </c>
      <c r="F6" s="1" t="str">
        <f>_xlfn.CONCAT(tabE.Flux[[#This Row],[DATA]],"+",tabE.Flux[[#This Row],[MOTORISTA + MATRÍCULA B]],"+",tabE.Flux[[#This Row],[LINHA]])</f>
        <v>45884+FRANCISCO DAS CHAGAS SILVA - 5656+FORTALEZA (CE) X SINOP (MT)</v>
      </c>
      <c r="G6" s="1" t="str">
        <f>_xlfn.CONCAT(tabE.Flux[[#This Row],[DATA]],"+",tabE.Flux[[#This Row],[LINHA]])</f>
        <v>45884+FORTALEZA (CE) X SINOP (MT)</v>
      </c>
      <c r="H6" s="141">
        <v>45884</v>
      </c>
      <c r="I6" s="142" t="s">
        <v>15</v>
      </c>
      <c r="J6" s="142">
        <v>19019</v>
      </c>
      <c r="K6" s="143">
        <v>0.3888888888888889</v>
      </c>
      <c r="L6" s="143">
        <v>0.37708333333333333</v>
      </c>
      <c r="M6" s="142" t="s">
        <v>16</v>
      </c>
      <c r="N6" s="142" t="s">
        <v>29</v>
      </c>
      <c r="O6" s="142" t="s">
        <v>30</v>
      </c>
      <c r="P6" s="142" t="s">
        <v>31</v>
      </c>
      <c r="Q6" s="142" t="s">
        <v>32</v>
      </c>
      <c r="R6" s="76"/>
      <c r="S6" s="76"/>
      <c r="T6" s="76"/>
      <c r="U6" s="76"/>
      <c r="V6" s="76"/>
      <c r="W6" s="76"/>
      <c r="X6" s="76"/>
      <c r="Y6" s="76"/>
    </row>
    <row r="7" spans="1:25" s="6" customFormat="1" x14ac:dyDescent="0.25">
      <c r="A7" s="101"/>
      <c r="B7" s="101"/>
      <c r="C7" s="1" t="str">
        <f>_xlfn.CONCAT(tabE.Flux[[#This Row],[DATA]],"+",tabE.Flux[[#This Row],[MOTORISTA + MATRÍCULA A]])</f>
        <v>45884+VALDEY OLIVEIRA ARAUJO - 2790</v>
      </c>
      <c r="D7" s="1" t="str">
        <f>_xlfn.CONCAT(tabE.Flux[[#This Row],[DATA]],"+",tabE.Flux[[#This Row],[MOTORISTA + MATRÍCULA B]])</f>
        <v>45884+GILVAN DE SOUSA FRANCA - 5834</v>
      </c>
      <c r="E7" s="1" t="str">
        <f>_xlfn.CONCAT(tabE.Flux[[#This Row],[DATA]],"+",tabE.Flux[[#This Row],[MOTORISTA + MATRÍCULA A]],"+",tabE.Flux[[#This Row],[LINHA]])</f>
        <v>45884+VALDEY OLIVEIRA ARAUJO - 2790+GOIANIA (GO) X BELEM (PA)</v>
      </c>
      <c r="F7" s="1" t="str">
        <f>_xlfn.CONCAT(tabE.Flux[[#This Row],[DATA]],"+",tabE.Flux[[#This Row],[MOTORISTA + MATRÍCULA B]],"+",tabE.Flux[[#This Row],[LINHA]])</f>
        <v>45884+GILVAN DE SOUSA FRANCA - 5834+GOIANIA (GO) X BELEM (PA)</v>
      </c>
      <c r="G7" s="1" t="str">
        <f>_xlfn.CONCAT(tabE.Flux[[#This Row],[DATA]],"+",tabE.Flux[[#This Row],[LINHA]])</f>
        <v>45884+GOIANIA (GO) X BELEM (PA)</v>
      </c>
      <c r="H7" s="141">
        <v>45884</v>
      </c>
      <c r="I7" s="142" t="s">
        <v>15</v>
      </c>
      <c r="J7" s="142">
        <v>19020</v>
      </c>
      <c r="K7" s="143">
        <v>0.38958333333333334</v>
      </c>
      <c r="L7" s="143">
        <v>0.38541666666666669</v>
      </c>
      <c r="M7" s="142" t="s">
        <v>16</v>
      </c>
      <c r="N7" s="142" t="s">
        <v>33</v>
      </c>
      <c r="O7" s="142" t="s">
        <v>34</v>
      </c>
      <c r="P7" s="142" t="s">
        <v>35</v>
      </c>
      <c r="Q7" s="142" t="s">
        <v>20</v>
      </c>
      <c r="R7" s="76"/>
      <c r="S7" s="76"/>
      <c r="T7" s="76"/>
      <c r="U7" s="76"/>
      <c r="V7" s="76"/>
      <c r="W7" s="76"/>
      <c r="X7" s="76"/>
      <c r="Y7" s="76"/>
    </row>
    <row r="8" spans="1:25" s="6" customFormat="1" x14ac:dyDescent="0.25">
      <c r="A8" s="101"/>
      <c r="B8" s="101"/>
      <c r="C8" s="1" t="str">
        <f>_xlfn.CONCAT(tabE.Flux[[#This Row],[DATA]],"+",tabE.Flux[[#This Row],[MOTORISTA + MATRÍCULA A]])</f>
        <v>45884+JOSE ORLANDO RODRIGUES DE MIRANDA - 5838</v>
      </c>
      <c r="D8" s="1" t="str">
        <f>_xlfn.CONCAT(tabE.Flux[[#This Row],[DATA]],"+",tabE.Flux[[#This Row],[MOTORISTA + MATRÍCULA B]])</f>
        <v>45884+GENIVAN LEAL TEIXEIRA - 5302</v>
      </c>
      <c r="E8" s="1" t="str">
        <f>_xlfn.CONCAT(tabE.Flux[[#This Row],[DATA]],"+",tabE.Flux[[#This Row],[MOTORISTA + MATRÍCULA A]],"+",tabE.Flux[[#This Row],[LINHA]])</f>
        <v>45884+JOSE ORLANDO RODRIGUES DE MIRANDA - 5838+GOIANIA (GO) X TERESINA (PI) VIA BC</v>
      </c>
      <c r="F8" s="1" t="str">
        <f>_xlfn.CONCAT(tabE.Flux[[#This Row],[DATA]],"+",tabE.Flux[[#This Row],[MOTORISTA + MATRÍCULA B]],"+",tabE.Flux[[#This Row],[LINHA]])</f>
        <v>45884+GENIVAN LEAL TEIXEIRA - 5302+GOIANIA (GO) X TERESINA (PI) VIA BC</v>
      </c>
      <c r="G8" s="1" t="str">
        <f>_xlfn.CONCAT(tabE.Flux[[#This Row],[DATA]],"+",tabE.Flux[[#This Row],[LINHA]])</f>
        <v>45884+GOIANIA (GO) X TERESINA (PI) VIA BC</v>
      </c>
      <c r="H8" s="141">
        <v>45884</v>
      </c>
      <c r="I8" s="142" t="s">
        <v>15</v>
      </c>
      <c r="J8" s="142">
        <v>24011</v>
      </c>
      <c r="K8" s="143">
        <v>0.375</v>
      </c>
      <c r="L8" s="143">
        <v>0.39930555555555558</v>
      </c>
      <c r="M8" s="142" t="s">
        <v>36</v>
      </c>
      <c r="N8" s="142" t="s">
        <v>29</v>
      </c>
      <c r="O8" s="142" t="s">
        <v>37</v>
      </c>
      <c r="P8" s="142" t="s">
        <v>38</v>
      </c>
      <c r="Q8" s="142" t="s">
        <v>39</v>
      </c>
      <c r="R8" s="76"/>
      <c r="S8" s="76"/>
      <c r="T8" s="76"/>
      <c r="U8" s="76"/>
      <c r="V8" s="76"/>
      <c r="W8" s="76"/>
      <c r="X8" s="76"/>
      <c r="Y8" s="76"/>
    </row>
    <row r="9" spans="1:25" s="6" customFormat="1" x14ac:dyDescent="0.25">
      <c r="A9" s="101"/>
      <c r="B9" s="101"/>
      <c r="C9" s="1" t="str">
        <f>_xlfn.CONCAT(tabE.Flux[[#This Row],[DATA]],"+",tabE.Flux[[#This Row],[MOTORISTA + MATRÍCULA A]])</f>
        <v>45884+ADEMILTON DE OLIVEIRA SILVA - 5559</v>
      </c>
      <c r="D9" s="1" t="str">
        <f>_xlfn.CONCAT(tabE.Flux[[#This Row],[DATA]],"+",tabE.Flux[[#This Row],[MOTORISTA + MATRÍCULA B]])</f>
        <v>45884+RONALDO ADRIANO COSTA SANTOS - 5637</v>
      </c>
      <c r="E9" s="1" t="str">
        <f>_xlfn.CONCAT(tabE.Flux[[#This Row],[DATA]],"+",tabE.Flux[[#This Row],[MOTORISTA + MATRÍCULA A]],"+",tabE.Flux[[#This Row],[LINHA]])</f>
        <v>45884+ADEMILTON DE OLIVEIRA SILVA - 5559+GOIANIA (GO) X BELEM (PA)</v>
      </c>
      <c r="F9" s="1" t="str">
        <f>_xlfn.CONCAT(tabE.Flux[[#This Row],[DATA]],"+",tabE.Flux[[#This Row],[MOTORISTA + MATRÍCULA B]],"+",tabE.Flux[[#This Row],[LINHA]])</f>
        <v>45884+RONALDO ADRIANO COSTA SANTOS - 5637+GOIANIA (GO) X BELEM (PA)</v>
      </c>
      <c r="G9" s="1" t="str">
        <f>_xlfn.CONCAT(tabE.Flux[[#This Row],[DATA]],"+",tabE.Flux[[#This Row],[LINHA]])</f>
        <v>45884+GOIANIA (GO) X BELEM (PA)</v>
      </c>
      <c r="H9" s="141">
        <v>45884</v>
      </c>
      <c r="I9" s="142" t="s">
        <v>15</v>
      </c>
      <c r="J9" s="142">
        <v>19017</v>
      </c>
      <c r="K9" s="143">
        <v>0.375</v>
      </c>
      <c r="L9" s="143">
        <v>0.41666666666666669</v>
      </c>
      <c r="M9" s="142" t="s">
        <v>33</v>
      </c>
      <c r="N9" s="142" t="s">
        <v>16</v>
      </c>
      <c r="O9" s="142" t="s">
        <v>40</v>
      </c>
      <c r="P9" s="142" t="s">
        <v>41</v>
      </c>
      <c r="Q9" s="142" t="s">
        <v>20</v>
      </c>
      <c r="R9" s="76"/>
      <c r="S9" s="76"/>
      <c r="T9" s="76"/>
      <c r="U9" s="76"/>
      <c r="V9" s="76"/>
      <c r="W9" s="76"/>
      <c r="X9" s="76"/>
      <c r="Y9" s="76"/>
    </row>
    <row r="10" spans="1:25" s="6" customFormat="1" x14ac:dyDescent="0.25">
      <c r="A10" s="101"/>
      <c r="B10" s="101"/>
      <c r="C10" s="1" t="str">
        <f>_xlfn.CONCAT(tabE.Flux[[#This Row],[DATA]],"+",tabE.Flux[[#This Row],[MOTORISTA + MATRÍCULA A]])</f>
        <v>45884+PAULO ENEAS FARIAS ARAUJO - 6218</v>
      </c>
      <c r="D10" s="1" t="str">
        <f>_xlfn.CONCAT(tabE.Flux[[#This Row],[DATA]],"+",tabE.Flux[[#This Row],[MOTORISTA + MATRÍCULA B]])</f>
        <v>45884+MERVAL DE SOUSA - 2880</v>
      </c>
      <c r="E10" s="1" t="str">
        <f>_xlfn.CONCAT(tabE.Flux[[#This Row],[DATA]],"+",tabE.Flux[[#This Row],[MOTORISTA + MATRÍCULA A]],"+",tabE.Flux[[#This Row],[LINHA]])</f>
        <v>45884+PAULO ENEAS FARIAS ARAUJO - 6218+GOIANIA (GO) X SAO LUIS (MA)</v>
      </c>
      <c r="F10" s="1" t="str">
        <f>_xlfn.CONCAT(tabE.Flux[[#This Row],[DATA]],"+",tabE.Flux[[#This Row],[MOTORISTA + MATRÍCULA B]],"+",tabE.Flux[[#This Row],[LINHA]])</f>
        <v>45884+MERVAL DE SOUSA - 2880+GOIANIA (GO) X SAO LUIS (MA)</v>
      </c>
      <c r="G10" s="1" t="str">
        <f>_xlfn.CONCAT(tabE.Flux[[#This Row],[DATA]],"+",tabE.Flux[[#This Row],[LINHA]])</f>
        <v>45884+GOIANIA (GO) X SAO LUIS (MA)</v>
      </c>
      <c r="H10" s="141">
        <v>45884</v>
      </c>
      <c r="I10" s="142" t="s">
        <v>15</v>
      </c>
      <c r="J10" s="142">
        <v>19014</v>
      </c>
      <c r="K10" s="143">
        <v>0.25</v>
      </c>
      <c r="L10" s="143">
        <v>0.29166666666666669</v>
      </c>
      <c r="M10" s="142" t="s">
        <v>42</v>
      </c>
      <c r="N10" s="142" t="s">
        <v>16</v>
      </c>
      <c r="O10" s="142" t="s">
        <v>43</v>
      </c>
      <c r="P10" s="142" t="s">
        <v>44</v>
      </c>
      <c r="Q10" s="142" t="s">
        <v>23</v>
      </c>
      <c r="R10" s="76"/>
      <c r="S10" s="76"/>
      <c r="T10" s="76"/>
      <c r="U10" s="76"/>
      <c r="V10" s="76"/>
      <c r="W10" s="76"/>
      <c r="X10" s="76"/>
      <c r="Y10" s="76"/>
    </row>
    <row r="11" spans="1:25" s="6" customFormat="1" x14ac:dyDescent="0.25">
      <c r="A11" s="101"/>
      <c r="B11" s="101"/>
      <c r="C11" s="1" t="str">
        <f>_xlfn.CONCAT(tabE.Flux[[#This Row],[DATA]],"+",tabE.Flux[[#This Row],[MOTORISTA + MATRÍCULA A]])</f>
        <v>45884+RAIMUNDO COSTA SILVA - 6226</v>
      </c>
      <c r="D11" s="1" t="str">
        <f>_xlfn.CONCAT(tabE.Flux[[#This Row],[DATA]],"+",tabE.Flux[[#This Row],[MOTORISTA + MATRÍCULA B]])</f>
        <v>45884+ESIEL COSTA RODRIGUES - 1749</v>
      </c>
      <c r="E11" s="1" t="str">
        <f>_xlfn.CONCAT(tabE.Flux[[#This Row],[DATA]],"+",tabE.Flux[[#This Row],[MOTORISTA + MATRÍCULA A]],"+",tabE.Flux[[#This Row],[LINHA]])</f>
        <v>45884+RAIMUNDO COSTA SILVA - 6226+GOIANIA (GO) X SAO LUIS (MA)</v>
      </c>
      <c r="F11" s="1" t="str">
        <f>_xlfn.CONCAT(tabE.Flux[[#This Row],[DATA]],"+",tabE.Flux[[#This Row],[MOTORISTA + MATRÍCULA B]],"+",tabE.Flux[[#This Row],[LINHA]])</f>
        <v>45884+ESIEL COSTA RODRIGUES - 1749+GOIANIA (GO) X SAO LUIS (MA)</v>
      </c>
      <c r="G11" s="1" t="str">
        <f>_xlfn.CONCAT(tabE.Flux[[#This Row],[DATA]],"+",tabE.Flux[[#This Row],[LINHA]])</f>
        <v>45884+GOIANIA (GO) X SAO LUIS (MA)</v>
      </c>
      <c r="H11" s="141">
        <v>45884</v>
      </c>
      <c r="I11" s="142" t="s">
        <v>15</v>
      </c>
      <c r="J11" s="142">
        <v>25011</v>
      </c>
      <c r="K11" s="143">
        <v>0.75</v>
      </c>
      <c r="L11" s="143">
        <v>0.79166666666666663</v>
      </c>
      <c r="M11" s="142" t="s">
        <v>42</v>
      </c>
      <c r="N11" s="142" t="s">
        <v>16</v>
      </c>
      <c r="O11" s="142" t="s">
        <v>45</v>
      </c>
      <c r="P11" s="142" t="s">
        <v>46</v>
      </c>
      <c r="Q11" s="142" t="s">
        <v>23</v>
      </c>
      <c r="R11" s="76"/>
      <c r="S11" s="76"/>
      <c r="T11" s="76"/>
      <c r="U11" s="76"/>
      <c r="V11" s="76"/>
      <c r="W11" s="76"/>
      <c r="X11" s="76"/>
      <c r="Y11" s="76"/>
    </row>
    <row r="12" spans="1:25" s="6" customFormat="1" x14ac:dyDescent="0.25">
      <c r="A12" s="101"/>
      <c r="B12" s="101"/>
      <c r="C12" s="1" t="str">
        <f>_xlfn.CONCAT(tabE.Flux[[#This Row],[DATA]],"+",tabE.Flux[[#This Row],[MOTORISTA + MATRÍCULA A]])</f>
        <v>45884+CANCELADO</v>
      </c>
      <c r="D12" s="1" t="str">
        <f>_xlfn.CONCAT(tabE.Flux[[#This Row],[DATA]],"+",tabE.Flux[[#This Row],[MOTORISTA + MATRÍCULA B]])</f>
        <v>45884+CANCELADO</v>
      </c>
      <c r="E12" s="1" t="str">
        <f>_xlfn.CONCAT(tabE.Flux[[#This Row],[DATA]],"+",tabE.Flux[[#This Row],[MOTORISTA + MATRÍCULA A]],"+",tabE.Flux[[#This Row],[LINHA]])</f>
        <v>45884+CANCELADO+IMPERATRIZ (MA) X SÃO LUIS (MA)</v>
      </c>
      <c r="F12" s="1" t="str">
        <f>_xlfn.CONCAT(tabE.Flux[[#This Row],[DATA]],"+",tabE.Flux[[#This Row],[MOTORISTA + MATRÍCULA B]],"+",tabE.Flux[[#This Row],[LINHA]])</f>
        <v>45884+CANCELADO+IMPERATRIZ (MA) X SÃO LUIS (MA)</v>
      </c>
      <c r="G12" s="1" t="str">
        <f>_xlfn.CONCAT(tabE.Flux[[#This Row],[DATA]],"+",tabE.Flux[[#This Row],[LINHA]])</f>
        <v>45884+IMPERATRIZ (MA) X SÃO LUIS (MA)</v>
      </c>
      <c r="H12" s="141">
        <v>45884</v>
      </c>
      <c r="I12" s="142" t="s">
        <v>15</v>
      </c>
      <c r="J12" s="144" t="s">
        <v>27</v>
      </c>
      <c r="K12" s="143">
        <v>0.77083333333333337</v>
      </c>
      <c r="L12" s="143">
        <v>0.79513888888888884</v>
      </c>
      <c r="M12" s="142" t="s">
        <v>42</v>
      </c>
      <c r="N12" s="142" t="s">
        <v>16</v>
      </c>
      <c r="O12" s="144" t="s">
        <v>27</v>
      </c>
      <c r="P12" s="144" t="s">
        <v>27</v>
      </c>
      <c r="Q12" s="142" t="s">
        <v>47</v>
      </c>
      <c r="R12" s="76"/>
      <c r="S12" s="76"/>
      <c r="T12" s="76"/>
      <c r="U12" s="76"/>
      <c r="V12" s="76"/>
      <c r="W12" s="76"/>
      <c r="X12" s="76"/>
      <c r="Y12" s="76"/>
    </row>
    <row r="13" spans="1:25" s="6" customFormat="1" x14ac:dyDescent="0.25">
      <c r="A13" s="101"/>
      <c r="B13" s="101"/>
      <c r="C13" s="1" t="str">
        <f>_xlfn.CONCAT(tabE.Flux[[#This Row],[DATA]],"+",tabE.Flux[[#This Row],[MOTORISTA + MATRÍCULA A]])</f>
        <v>45884+CLAUDIO JOSE DO NASCIMENTO - 549</v>
      </c>
      <c r="D13" s="1" t="str">
        <f>_xlfn.CONCAT(tabE.Flux[[#This Row],[DATA]],"+",tabE.Flux[[#This Row],[MOTORISTA + MATRÍCULA B]])</f>
        <v>45884+COSME CAVALCANTE DA SILVA - 3002</v>
      </c>
      <c r="E13" s="1" t="str">
        <f>_xlfn.CONCAT(tabE.Flux[[#This Row],[DATA]],"+",tabE.Flux[[#This Row],[MOTORISTA + MATRÍCULA A]],"+",tabE.Flux[[#This Row],[LINHA]])</f>
        <v>45884+CLAUDIO JOSE DO NASCIMENTO - 549+GOIANIA (GO) X TERESINA (PI) VIA BC</v>
      </c>
      <c r="F13" s="1" t="str">
        <f>_xlfn.CONCAT(tabE.Flux[[#This Row],[DATA]],"+",tabE.Flux[[#This Row],[MOTORISTA + MATRÍCULA B]],"+",tabE.Flux[[#This Row],[LINHA]])</f>
        <v>45884+COSME CAVALCANTE DA SILVA - 3002+GOIANIA (GO) X TERESINA (PI) VIA BC</v>
      </c>
      <c r="G13" s="1" t="str">
        <f>_xlfn.CONCAT(tabE.Flux[[#This Row],[DATA]],"+",tabE.Flux[[#This Row],[LINHA]])</f>
        <v>45884+GOIANIA (GO) X TERESINA (PI) VIA BC</v>
      </c>
      <c r="H13" s="141">
        <v>45884</v>
      </c>
      <c r="I13" s="142" t="s">
        <v>15</v>
      </c>
      <c r="J13" s="142">
        <v>25006</v>
      </c>
      <c r="K13" s="143">
        <v>0.89583333333333337</v>
      </c>
      <c r="L13" s="143">
        <v>0.91666666666666663</v>
      </c>
      <c r="M13" s="142" t="s">
        <v>36</v>
      </c>
      <c r="N13" s="142" t="s">
        <v>17</v>
      </c>
      <c r="O13" s="142" t="s">
        <v>48</v>
      </c>
      <c r="P13" s="142" t="s">
        <v>49</v>
      </c>
      <c r="Q13" s="142" t="s">
        <v>39</v>
      </c>
      <c r="R13" s="76"/>
      <c r="S13" s="76"/>
      <c r="T13" s="76"/>
      <c r="U13" s="76"/>
      <c r="V13" s="76"/>
      <c r="W13" s="76"/>
      <c r="X13" s="76"/>
      <c r="Y13" s="76"/>
    </row>
    <row r="14" spans="1:25" s="6" customFormat="1" x14ac:dyDescent="0.25">
      <c r="A14" s="101"/>
      <c r="B14" s="101"/>
      <c r="C14" s="1" t="str">
        <f>_xlfn.CONCAT(tabE.Flux[[#This Row],[DATA]],"+",tabE.Flux[[#This Row],[MOTORISTA + MATRÍCULA A]])</f>
        <v>45884+FABIO MOREIRA DOS SANTOS - 3073</v>
      </c>
      <c r="D14" s="1" t="str">
        <f>_xlfn.CONCAT(tabE.Flux[[#This Row],[DATA]],"+",tabE.Flux[[#This Row],[MOTORISTA + MATRÍCULA B]])</f>
        <v>45884+LUIZ CARLOS MARIANO SIQUEIRA - 5634</v>
      </c>
      <c r="E14" s="1" t="str">
        <f>_xlfn.CONCAT(tabE.Flux[[#This Row],[DATA]],"+",tabE.Flux[[#This Row],[MOTORISTA + MATRÍCULA A]],"+",tabE.Flux[[#This Row],[LINHA]])</f>
        <v>45884+FABIO MOREIRA DOS SANTOS - 3073+GOIANIA (GO) X BELEM (PA)</v>
      </c>
      <c r="F14" s="1" t="str">
        <f>_xlfn.CONCAT(tabE.Flux[[#This Row],[DATA]],"+",tabE.Flux[[#This Row],[MOTORISTA + MATRÍCULA B]],"+",tabE.Flux[[#This Row],[LINHA]])</f>
        <v>45884+LUIZ CARLOS MARIANO SIQUEIRA - 5634+GOIANIA (GO) X BELEM (PA)</v>
      </c>
      <c r="G14" s="1" t="str">
        <f>_xlfn.CONCAT(tabE.Flux[[#This Row],[DATA]],"+",tabE.Flux[[#This Row],[LINHA]])</f>
        <v>45884+GOIANIA (GO) X BELEM (PA)</v>
      </c>
      <c r="H14" s="141">
        <v>45884</v>
      </c>
      <c r="I14" s="142" t="s">
        <v>15</v>
      </c>
      <c r="J14" s="142">
        <v>25012</v>
      </c>
      <c r="K14" s="143">
        <v>0.76041666666666663</v>
      </c>
      <c r="L14" s="143">
        <v>0.77083333333333337</v>
      </c>
      <c r="M14" s="142" t="s">
        <v>33</v>
      </c>
      <c r="N14" s="142" t="s">
        <v>16</v>
      </c>
      <c r="O14" s="142" t="s">
        <v>50</v>
      </c>
      <c r="P14" s="142" t="s">
        <v>51</v>
      </c>
      <c r="Q14" s="142" t="s">
        <v>20</v>
      </c>
      <c r="R14" s="76"/>
      <c r="S14" s="76"/>
      <c r="T14" s="76"/>
      <c r="U14" s="76"/>
      <c r="V14" s="76"/>
      <c r="W14" s="76"/>
      <c r="X14" s="76"/>
      <c r="Y14" s="76"/>
    </row>
    <row r="15" spans="1:25" s="6" customFormat="1" x14ac:dyDescent="0.25">
      <c r="A15" s="101"/>
      <c r="B15" s="101"/>
      <c r="C15" s="1" t="str">
        <f>_xlfn.CONCAT(tabE.Flux[[#This Row],[DATA]],"+",tabE.Flux[[#This Row],[MOTORISTA + MATRÍCULA A]])</f>
        <v>45884+ANTONIO JOSE PEREIRA SOARES - 1774</v>
      </c>
      <c r="D15" s="1" t="str">
        <f>_xlfn.CONCAT(tabE.Flux[[#This Row],[DATA]],"+",tabE.Flux[[#This Row],[MOTORISTA + MATRÍCULA B]])</f>
        <v>45884+ELIEZIO JOSE DOS SANTOS - 2645</v>
      </c>
      <c r="E15" s="1" t="str">
        <f>_xlfn.CONCAT(tabE.Flux[[#This Row],[DATA]],"+",tabE.Flux[[#This Row],[MOTORISTA + MATRÍCULA A]],"+",tabE.Flux[[#This Row],[LINHA]])</f>
        <v>45884+ANTONIO JOSE PEREIRA SOARES - 1774+GOIANIA (GO) X BELEM (PA)</v>
      </c>
      <c r="F15" s="1" t="str">
        <f>_xlfn.CONCAT(tabE.Flux[[#This Row],[DATA]],"+",tabE.Flux[[#This Row],[MOTORISTA + MATRÍCULA B]],"+",tabE.Flux[[#This Row],[LINHA]])</f>
        <v>45884+ELIEZIO JOSE DOS SANTOS - 2645+GOIANIA (GO) X BELEM (PA)</v>
      </c>
      <c r="G15" s="1" t="str">
        <f>_xlfn.CONCAT(tabE.Flux[[#This Row],[DATA]],"+",tabE.Flux[[#This Row],[LINHA]])</f>
        <v>45884+GOIANIA (GO) X BELEM (PA)</v>
      </c>
      <c r="H15" s="141">
        <v>45884</v>
      </c>
      <c r="I15" s="142" t="s">
        <v>15</v>
      </c>
      <c r="J15" s="142">
        <v>24009</v>
      </c>
      <c r="K15" s="143">
        <v>0.76041666666666663</v>
      </c>
      <c r="L15" s="143">
        <v>0.82777777777777772</v>
      </c>
      <c r="M15" s="142" t="s">
        <v>16</v>
      </c>
      <c r="N15" s="142" t="s">
        <v>33</v>
      </c>
      <c r="O15" s="142" t="s">
        <v>52</v>
      </c>
      <c r="P15" s="142" t="s">
        <v>53</v>
      </c>
      <c r="Q15" s="142" t="s">
        <v>20</v>
      </c>
      <c r="R15" s="76"/>
      <c r="S15" s="76"/>
      <c r="T15" s="76"/>
      <c r="U15" s="76"/>
      <c r="V15" s="76"/>
      <c r="W15" s="76"/>
      <c r="X15" s="76"/>
      <c r="Y15" s="76"/>
    </row>
    <row r="16" spans="1:25" s="6" customFormat="1" x14ac:dyDescent="0.25">
      <c r="A16" s="101"/>
      <c r="B16" s="101"/>
      <c r="C16" s="1" t="str">
        <f>_xlfn.CONCAT(tabE.Flux[[#This Row],[DATA]],"+",tabE.Flux[[#This Row],[MOTORISTA + MATRÍCULA A]])</f>
        <v>45884+JOSE POLICARPO DE SOUSA NETO - 1472</v>
      </c>
      <c r="D16" s="1" t="str">
        <f>_xlfn.CONCAT(tabE.Flux[[#This Row],[DATA]],"+",tabE.Flux[[#This Row],[MOTORISTA + MATRÍCULA B]])</f>
        <v>45884+EDIVALDO DE ARAUJO - 6217</v>
      </c>
      <c r="E16" s="1" t="str">
        <f>_xlfn.CONCAT(tabE.Flux[[#This Row],[DATA]],"+",tabE.Flux[[#This Row],[MOTORISTA + MATRÍCULA A]],"+",tabE.Flux[[#This Row],[LINHA]])</f>
        <v>45884+JOSE POLICARPO DE SOUSA NETO - 1472+GOIANIA (GO) X SAO LUIS (MA)</v>
      </c>
      <c r="F16" s="1" t="str">
        <f>_xlfn.CONCAT(tabE.Flux[[#This Row],[DATA]],"+",tabE.Flux[[#This Row],[MOTORISTA + MATRÍCULA B]],"+",tabE.Flux[[#This Row],[LINHA]])</f>
        <v>45884+EDIVALDO DE ARAUJO - 6217+GOIANIA (GO) X SAO LUIS (MA)</v>
      </c>
      <c r="G16" s="1" t="str">
        <f>_xlfn.CONCAT(tabE.Flux[[#This Row],[DATA]],"+",tabE.Flux[[#This Row],[LINHA]])</f>
        <v>45884+GOIANIA (GO) X SAO LUIS (MA)</v>
      </c>
      <c r="H16" s="141">
        <v>45884</v>
      </c>
      <c r="I16" s="142" t="s">
        <v>15</v>
      </c>
      <c r="J16" s="142">
        <v>19001</v>
      </c>
      <c r="K16" s="143">
        <v>0.40763888888888888</v>
      </c>
      <c r="L16" s="143">
        <v>0.47013888888888888</v>
      </c>
      <c r="M16" s="142" t="s">
        <v>16</v>
      </c>
      <c r="N16" s="142" t="s">
        <v>42</v>
      </c>
      <c r="O16" s="142" t="s">
        <v>54</v>
      </c>
      <c r="P16" s="142" t="s">
        <v>55</v>
      </c>
      <c r="Q16" s="142" t="s">
        <v>23</v>
      </c>
      <c r="R16" s="76"/>
      <c r="S16" s="76"/>
      <c r="T16" s="76"/>
      <c r="U16" s="76"/>
      <c r="V16" s="76"/>
      <c r="W16" s="76"/>
      <c r="X16" s="76"/>
      <c r="Y16" s="76"/>
    </row>
    <row r="17" spans="1:25" s="6" customFormat="1" x14ac:dyDescent="0.25">
      <c r="A17" s="101"/>
      <c r="B17" s="101"/>
      <c r="C17" s="1" t="str">
        <f>_xlfn.CONCAT(tabE.Flux[[#This Row],[DATA]],"+",tabE.Flux[[#This Row],[MOTORISTA + MATRÍCULA A]])</f>
        <v>45884+RICHARD SOUSA DA SILVA - 1271</v>
      </c>
      <c r="D17" s="1" t="str">
        <f>_xlfn.CONCAT(tabE.Flux[[#This Row],[DATA]],"+",tabE.Flux[[#This Row],[MOTORISTA + MATRÍCULA B]])</f>
        <v>45884+ALTEMAR DO NASCIMENTO LIMA - 6225</v>
      </c>
      <c r="E17" s="1" t="str">
        <f>_xlfn.CONCAT(tabE.Flux[[#This Row],[DATA]],"+",tabE.Flux[[#This Row],[MOTORISTA + MATRÍCULA A]],"+",tabE.Flux[[#This Row],[LINHA]])</f>
        <v>45884+RICHARD SOUSA DA SILVA - 1271+IMPERATRIZ (MA) X SÃO LUIS (MA)</v>
      </c>
      <c r="F17" s="1" t="str">
        <f>_xlfn.CONCAT(tabE.Flux[[#This Row],[DATA]],"+",tabE.Flux[[#This Row],[MOTORISTA + MATRÍCULA B]],"+",tabE.Flux[[#This Row],[LINHA]])</f>
        <v>45884+ALTEMAR DO NASCIMENTO LIMA - 6225+IMPERATRIZ (MA) X SÃO LUIS (MA)</v>
      </c>
      <c r="G17" s="1" t="str">
        <f>_xlfn.CONCAT(tabE.Flux[[#This Row],[DATA]],"+",tabE.Flux[[#This Row],[LINHA]])</f>
        <v>45884+IMPERATRIZ (MA) X SÃO LUIS (MA)</v>
      </c>
      <c r="H17" s="141">
        <v>45884</v>
      </c>
      <c r="I17" s="142" t="s">
        <v>15</v>
      </c>
      <c r="J17" s="142">
        <v>18008</v>
      </c>
      <c r="K17" s="143">
        <v>0.77083333333333337</v>
      </c>
      <c r="L17" s="143">
        <v>0.8125</v>
      </c>
      <c r="M17" s="142" t="s">
        <v>16</v>
      </c>
      <c r="N17" s="142" t="s">
        <v>42</v>
      </c>
      <c r="O17" s="142" t="s">
        <v>56</v>
      </c>
      <c r="P17" s="142" t="s">
        <v>57</v>
      </c>
      <c r="Q17" s="142" t="s">
        <v>47</v>
      </c>
      <c r="R17" s="76"/>
      <c r="S17" s="76"/>
      <c r="T17" s="76"/>
      <c r="U17" s="76"/>
      <c r="V17" s="76"/>
      <c r="W17" s="76"/>
      <c r="X17" s="76"/>
      <c r="Y17" s="76"/>
    </row>
    <row r="18" spans="1:25" s="6" customFormat="1" x14ac:dyDescent="0.25">
      <c r="A18" s="101"/>
      <c r="B18" s="101"/>
      <c r="C18" s="1" t="str">
        <f>_xlfn.CONCAT(tabE.Flux[[#This Row],[DATA]],"+",tabE.Flux[[#This Row],[MOTORISTA + MATRÍCULA A]])</f>
        <v>45884+JOAO DE JESUS GOUVEIA - 6016</v>
      </c>
      <c r="D18" s="1" t="str">
        <f>_xlfn.CONCAT(tabE.Flux[[#This Row],[DATA]],"+",tabE.Flux[[#This Row],[MOTORISTA + MATRÍCULA B]])</f>
        <v>45884+PAULO ENEAS FARIAS ARAUJO - 6218</v>
      </c>
      <c r="E18" s="1" t="str">
        <f>_xlfn.CONCAT(tabE.Flux[[#This Row],[DATA]],"+",tabE.Flux[[#This Row],[MOTORISTA + MATRÍCULA A]],"+",tabE.Flux[[#This Row],[LINHA]])</f>
        <v>45884+JOAO DE JESUS GOUVEIA - 6016+GOIANIA (GO) X SAO LUIS (MA)</v>
      </c>
      <c r="F18" s="1" t="str">
        <f>_xlfn.CONCAT(tabE.Flux[[#This Row],[DATA]],"+",tabE.Flux[[#This Row],[MOTORISTA + MATRÍCULA B]],"+",tabE.Flux[[#This Row],[LINHA]])</f>
        <v>45884+PAULO ENEAS FARIAS ARAUJO - 6218+GOIANIA (GO) X SAO LUIS (MA)</v>
      </c>
      <c r="G18" s="1" t="str">
        <f>_xlfn.CONCAT(tabE.Flux[[#This Row],[DATA]],"+",tabE.Flux[[#This Row],[LINHA]])</f>
        <v>45884+GOIANIA (GO) X SAO LUIS (MA)</v>
      </c>
      <c r="H18" s="141">
        <v>45884</v>
      </c>
      <c r="I18" s="142" t="s">
        <v>15</v>
      </c>
      <c r="J18" s="142">
        <v>24016</v>
      </c>
      <c r="K18" s="143">
        <v>0.8125</v>
      </c>
      <c r="L18" s="143">
        <v>0.84375</v>
      </c>
      <c r="M18" s="142" t="s">
        <v>16</v>
      </c>
      <c r="N18" s="142" t="s">
        <v>42</v>
      </c>
      <c r="O18" s="142" t="s">
        <v>58</v>
      </c>
      <c r="P18" s="142" t="s">
        <v>43</v>
      </c>
      <c r="Q18" s="142" t="s">
        <v>23</v>
      </c>
      <c r="R18" s="76"/>
      <c r="S18" s="76"/>
      <c r="T18" s="76"/>
      <c r="U18" s="76"/>
      <c r="V18" s="76"/>
      <c r="W18" s="76"/>
      <c r="X18" s="76"/>
      <c r="Y18" s="76"/>
    </row>
    <row r="19" spans="1:25" s="6" customFormat="1" x14ac:dyDescent="0.25">
      <c r="A19" s="101"/>
      <c r="B19" s="101"/>
      <c r="C19" s="1" t="str">
        <f>_xlfn.CONCAT(tabE.Flux[[#This Row],[DATA]],"+",tabE.Flux[[#This Row],[MOTORISTA + MATRÍCULA A]])</f>
        <v>45884+JAKTAN DE OLIVEIRA RODRIGUES - 5836</v>
      </c>
      <c r="D19" s="1" t="str">
        <f>_xlfn.CONCAT(tabE.Flux[[#This Row],[DATA]],"+",tabE.Flux[[#This Row],[MOTORISTA + MATRÍCULA B]])</f>
        <v>45884+DANYLSON BATISTA SANTANA - 5829</v>
      </c>
      <c r="E19" s="1" t="str">
        <f>_xlfn.CONCAT(tabE.Flux[[#This Row],[DATA]],"+",tabE.Flux[[#This Row],[MOTORISTA + MATRÍCULA A]],"+",tabE.Flux[[#This Row],[LINHA]])</f>
        <v>45884+JAKTAN DE OLIVEIRA RODRIGUES - 5836+GOIANIA (GO) X TERESINA (PI) VIA STI</v>
      </c>
      <c r="F19" s="1" t="str">
        <f>_xlfn.CONCAT(tabE.Flux[[#This Row],[DATA]],"+",tabE.Flux[[#This Row],[MOTORISTA + MATRÍCULA B]],"+",tabE.Flux[[#This Row],[LINHA]])</f>
        <v>45884+DANYLSON BATISTA SANTANA - 5829+GOIANIA (GO) X TERESINA (PI) VIA STI</v>
      </c>
      <c r="G19" s="1" t="str">
        <f>_xlfn.CONCAT(tabE.Flux[[#This Row],[DATA]],"+",tabE.Flux[[#This Row],[LINHA]])</f>
        <v>45884+GOIANIA (GO) X TERESINA (PI) VIA STI</v>
      </c>
      <c r="H19" s="141">
        <v>45884</v>
      </c>
      <c r="I19" s="142" t="s">
        <v>15</v>
      </c>
      <c r="J19" s="142">
        <v>19022</v>
      </c>
      <c r="K19" s="143">
        <v>0.77083333333333337</v>
      </c>
      <c r="L19" s="143">
        <v>0.79861111111111116</v>
      </c>
      <c r="M19" s="142" t="s">
        <v>16</v>
      </c>
      <c r="N19" s="142" t="s">
        <v>29</v>
      </c>
      <c r="O19" s="142" t="s">
        <v>59</v>
      </c>
      <c r="P19" s="142" t="s">
        <v>60</v>
      </c>
      <c r="Q19" s="142" t="s">
        <v>26</v>
      </c>
      <c r="R19" s="76"/>
      <c r="S19" s="76"/>
      <c r="T19" s="76"/>
      <c r="U19" s="76"/>
      <c r="V19" s="76"/>
      <c r="W19" s="76"/>
      <c r="X19" s="76"/>
      <c r="Y19" s="76"/>
    </row>
    <row r="20" spans="1:25" s="6" customFormat="1" x14ac:dyDescent="0.25">
      <c r="A20" s="101"/>
      <c r="B20" s="101"/>
      <c r="C20" s="1" t="str">
        <f>_xlfn.CONCAT(tabE.Flux[[#This Row],[DATA]],"+",tabE.Flux[[#This Row],[MOTORISTA + MATRÍCULA A]])</f>
        <v>45884+JOAO FERREIRA COSTA - 5545</v>
      </c>
      <c r="D20" s="1" t="str">
        <f>_xlfn.CONCAT(tabE.Flux[[#This Row],[DATA]],"+",tabE.Flux[[#This Row],[MOTORISTA + MATRÍCULA B]])</f>
        <v>45884+MARCIO DE SOUSA MATOS - 5264</v>
      </c>
      <c r="E20" s="1" t="str">
        <f>_xlfn.CONCAT(tabE.Flux[[#This Row],[DATA]],"+",tabE.Flux[[#This Row],[MOTORISTA + MATRÍCULA A]],"+",tabE.Flux[[#This Row],[LINHA]])</f>
        <v>45884+JOAO FERREIRA COSTA - 5545+GOIANIA (GO) X SAO LUIS (MA)</v>
      </c>
      <c r="F20" s="1" t="str">
        <f>_xlfn.CONCAT(tabE.Flux[[#This Row],[DATA]],"+",tabE.Flux[[#This Row],[MOTORISTA + MATRÍCULA B]],"+",tabE.Flux[[#This Row],[LINHA]])</f>
        <v>45884+MARCIO DE SOUSA MATOS - 5264+GOIANIA (GO) X SAO LUIS (MA)</v>
      </c>
      <c r="G20" s="1" t="str">
        <f>_xlfn.CONCAT(tabE.Flux[[#This Row],[DATA]],"+",tabE.Flux[[#This Row],[LINHA]])</f>
        <v>45884+GOIANIA (GO) X SAO LUIS (MA)</v>
      </c>
      <c r="H20" s="141">
        <v>45884</v>
      </c>
      <c r="I20" s="142" t="s">
        <v>15</v>
      </c>
      <c r="J20" s="142">
        <v>19014</v>
      </c>
      <c r="K20" s="143">
        <v>0.8125</v>
      </c>
      <c r="L20" s="143">
        <v>0.84166666666666667</v>
      </c>
      <c r="M20" s="142" t="s">
        <v>16</v>
      </c>
      <c r="N20" s="142" t="s">
        <v>17</v>
      </c>
      <c r="O20" s="142" t="s">
        <v>61</v>
      </c>
      <c r="P20" s="142" t="s">
        <v>62</v>
      </c>
      <c r="Q20" s="142" t="s">
        <v>23</v>
      </c>
      <c r="R20" s="76"/>
      <c r="S20" s="76"/>
      <c r="T20" s="76"/>
      <c r="U20" s="76"/>
      <c r="V20" s="76"/>
      <c r="W20" s="76"/>
      <c r="X20" s="76"/>
      <c r="Y20" s="76"/>
    </row>
    <row r="21" spans="1:25" s="6" customFormat="1" x14ac:dyDescent="0.25">
      <c r="A21" s="101"/>
      <c r="B21" s="101"/>
      <c r="C21" s="1" t="str">
        <f>_xlfn.CONCAT(tabE.Flux[[#This Row],[DATA]],"+",tabE.Flux[[#This Row],[MOTORISTA + MATRÍCULA A]])</f>
        <v>45884+ANDRE SOUSA REIS - 2644</v>
      </c>
      <c r="D21" s="1" t="str">
        <f>_xlfn.CONCAT(tabE.Flux[[#This Row],[DATA]],"+",tabE.Flux[[#This Row],[MOTORISTA + MATRÍCULA B]])</f>
        <v>45884+LEANDRO DE OLIVEIRA MELO - 2151</v>
      </c>
      <c r="E21" s="1" t="str">
        <f>_xlfn.CONCAT(tabE.Flux[[#This Row],[DATA]],"+",tabE.Flux[[#This Row],[MOTORISTA + MATRÍCULA A]],"+",tabE.Flux[[#This Row],[LINHA]])</f>
        <v>45884+ANDRE SOUSA REIS - 2644+FORTALEZA (CE) X SINOP (MT)</v>
      </c>
      <c r="F21" s="1" t="str">
        <f>_xlfn.CONCAT(tabE.Flux[[#This Row],[DATA]],"+",tabE.Flux[[#This Row],[MOTORISTA + MATRÍCULA B]],"+",tabE.Flux[[#This Row],[LINHA]])</f>
        <v>45884+LEANDRO DE OLIVEIRA MELO - 2151+FORTALEZA (CE) X SINOP (MT)</v>
      </c>
      <c r="G21" s="1" t="str">
        <f>_xlfn.CONCAT(tabE.Flux[[#This Row],[DATA]],"+",tabE.Flux[[#This Row],[LINHA]])</f>
        <v>45884+FORTALEZA (CE) X SINOP (MT)</v>
      </c>
      <c r="H21" s="141">
        <v>45884</v>
      </c>
      <c r="I21" s="142" t="s">
        <v>15</v>
      </c>
      <c r="J21" s="142">
        <v>20017</v>
      </c>
      <c r="K21" s="143">
        <v>0.8125</v>
      </c>
      <c r="L21" s="143">
        <v>0.85416666666666663</v>
      </c>
      <c r="M21" s="142" t="s">
        <v>16</v>
      </c>
      <c r="N21" s="142" t="s">
        <v>17</v>
      </c>
      <c r="O21" s="142" t="s">
        <v>63</v>
      </c>
      <c r="P21" s="142" t="s">
        <v>64</v>
      </c>
      <c r="Q21" s="142" t="s">
        <v>32</v>
      </c>
      <c r="R21" s="76"/>
      <c r="S21" s="76"/>
      <c r="T21" s="76"/>
      <c r="U21" s="76"/>
      <c r="V21" s="76"/>
      <c r="W21" s="76"/>
      <c r="X21" s="76"/>
      <c r="Y21" s="76"/>
    </row>
    <row r="22" spans="1:25" s="6" customFormat="1" x14ac:dyDescent="0.25">
      <c r="A22" s="101"/>
      <c r="B22" s="101"/>
      <c r="C22" s="1" t="str">
        <f>_xlfn.CONCAT(tabE.Flux[[#This Row],[DATA]],"+",tabE.Flux[[#This Row],[MOTORISTA + MATRÍCULA A]])</f>
        <v>45884+JOSE CARLOS FERREIRA - 1202</v>
      </c>
      <c r="D22" s="1" t="str">
        <f>_xlfn.CONCAT(tabE.Flux[[#This Row],[DATA]],"+",tabE.Flux[[#This Row],[MOTORISTA + MATRÍCULA B]])</f>
        <v>45884+JADILSON LIMA VIEIRA - 1108</v>
      </c>
      <c r="E22" s="1" t="str">
        <f>_xlfn.CONCAT(tabE.Flux[[#This Row],[DATA]],"+",tabE.Flux[[#This Row],[MOTORISTA + MATRÍCULA A]],"+",tabE.Flux[[#This Row],[LINHA]])</f>
        <v>45884+JOSE CARLOS FERREIRA - 1202+GOIANIA (GO) X BELEM (PA)</v>
      </c>
      <c r="F22" s="1" t="str">
        <f>_xlfn.CONCAT(tabE.Flux[[#This Row],[DATA]],"+",tabE.Flux[[#This Row],[MOTORISTA + MATRÍCULA B]],"+",tabE.Flux[[#This Row],[LINHA]])</f>
        <v>45884+JADILSON LIMA VIEIRA - 1108+GOIANIA (GO) X BELEM (PA)</v>
      </c>
      <c r="G22" s="1" t="str">
        <f>_xlfn.CONCAT(tabE.Flux[[#This Row],[DATA]],"+",tabE.Flux[[#This Row],[LINHA]])</f>
        <v>45884+GOIANIA (GO) X BELEM (PA)</v>
      </c>
      <c r="H22" s="141">
        <v>45884</v>
      </c>
      <c r="I22" s="142" t="s">
        <v>15</v>
      </c>
      <c r="J22" s="142">
        <v>19017</v>
      </c>
      <c r="K22" s="143">
        <v>0.84722222222222221</v>
      </c>
      <c r="L22" s="143">
        <v>0.87847222222222221</v>
      </c>
      <c r="M22" s="142" t="s">
        <v>16</v>
      </c>
      <c r="N22" s="142" t="s">
        <v>17</v>
      </c>
      <c r="O22" s="142" t="s">
        <v>65</v>
      </c>
      <c r="P22" s="142" t="s">
        <v>66</v>
      </c>
      <c r="Q22" s="142" t="s">
        <v>20</v>
      </c>
      <c r="R22" s="76"/>
      <c r="S22" s="76"/>
      <c r="T22" s="76"/>
      <c r="U22" s="76"/>
      <c r="V22" s="76"/>
      <c r="W22" s="76"/>
      <c r="X22" s="76"/>
      <c r="Y22" s="76"/>
    </row>
    <row r="23" spans="1:25" s="6" customFormat="1" x14ac:dyDescent="0.25">
      <c r="A23" s="101"/>
      <c r="B23" s="101"/>
      <c r="C23" s="1" t="str">
        <f>_xlfn.CONCAT(tabE.Flux[[#This Row],[DATA]],"+",tabE.Flux[[#This Row],[MOTORISTA + MATRÍCULA A]])</f>
        <v>+</v>
      </c>
      <c r="D23" s="1" t="str">
        <f>_xlfn.CONCAT(tabE.Flux[[#This Row],[DATA]],"+",tabE.Flux[[#This Row],[MOTORISTA + MATRÍCULA B]])</f>
        <v>+</v>
      </c>
      <c r="E23" s="1" t="str">
        <f>_xlfn.CONCAT(tabE.Flux[[#This Row],[DATA]],"+",tabE.Flux[[#This Row],[MOTORISTA + MATRÍCULA A]],"+",tabE.Flux[[#This Row],[LINHA]])</f>
        <v>++</v>
      </c>
      <c r="F23" s="1" t="str">
        <f>_xlfn.CONCAT(tabE.Flux[[#This Row],[DATA]],"+",tabE.Flux[[#This Row],[MOTORISTA + MATRÍCULA B]],"+",tabE.Flux[[#This Row],[LINHA]])</f>
        <v>++</v>
      </c>
      <c r="G23" s="1" t="str">
        <f>_xlfn.CONCAT(tabE.Flux[[#This Row],[DATA]],"+",tabE.Flux[[#This Row],[LINHA]])</f>
        <v>+</v>
      </c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76"/>
      <c r="S23" s="76"/>
      <c r="T23" s="76"/>
      <c r="U23" s="76"/>
      <c r="V23" s="76"/>
      <c r="W23" s="76"/>
      <c r="X23" s="76"/>
      <c r="Y23" s="76"/>
    </row>
    <row r="24" spans="1:25" s="6" customFormat="1" ht="15" customHeight="1" x14ac:dyDescent="0.25">
      <c r="A24" s="101"/>
      <c r="B24" s="101"/>
      <c r="C24" s="1" t="str">
        <f>_xlfn.CONCAT(tabE.Flux[[#This Row],[DATA]],"+",tabE.Flux[[#This Row],[MOTORISTA + MATRÍCULA A]])</f>
        <v>45885+NELIO ALENCAR DOS SANTOS - 1759</v>
      </c>
      <c r="D24" s="1" t="str">
        <f>_xlfn.CONCAT(tabE.Flux[[#This Row],[DATA]],"+",tabE.Flux[[#This Row],[MOTORISTA + MATRÍCULA B]])</f>
        <v>45885+LOURIVAL FRANCISCO DA COSTA - 5826</v>
      </c>
      <c r="E24" s="1" t="str">
        <f>_xlfn.CONCAT(tabE.Flux[[#This Row],[DATA]],"+",tabE.Flux[[#This Row],[MOTORISTA + MATRÍCULA A]],"+",tabE.Flux[[#This Row],[LINHA]])</f>
        <v>45885+NELIO ALENCAR DOS SANTOS - 1759+GOIANIA (GO) X BELEM (PA)</v>
      </c>
      <c r="F24" s="1" t="str">
        <f>_xlfn.CONCAT(tabE.Flux[[#This Row],[DATA]],"+",tabE.Flux[[#This Row],[MOTORISTA + MATRÍCULA B]],"+",tabE.Flux[[#This Row],[LINHA]])</f>
        <v>45885+LOURIVAL FRANCISCO DA COSTA - 5826+GOIANIA (GO) X BELEM (PA)</v>
      </c>
      <c r="G24" s="1" t="str">
        <f>_xlfn.CONCAT(tabE.Flux[[#This Row],[DATA]],"+",tabE.Flux[[#This Row],[LINHA]])</f>
        <v>45885+GOIANIA (GO) X BELEM (PA)</v>
      </c>
      <c r="H24" s="141">
        <v>45885</v>
      </c>
      <c r="I24" s="142" t="s">
        <v>15</v>
      </c>
      <c r="J24" s="142">
        <v>25012</v>
      </c>
      <c r="K24" s="143">
        <v>0.25486111111111109</v>
      </c>
      <c r="L24" s="143">
        <v>0.3</v>
      </c>
      <c r="M24" s="142" t="s">
        <v>16</v>
      </c>
      <c r="N24" s="142" t="s">
        <v>17</v>
      </c>
      <c r="O24" s="142" t="s">
        <v>67</v>
      </c>
      <c r="P24" s="142" t="s">
        <v>68</v>
      </c>
      <c r="Q24" s="142" t="s">
        <v>20</v>
      </c>
      <c r="R24" s="76"/>
      <c r="S24" s="76"/>
      <c r="T24" s="76"/>
      <c r="U24" s="76"/>
      <c r="V24" s="76"/>
      <c r="W24" s="76"/>
      <c r="X24" s="76"/>
      <c r="Y24" s="76"/>
    </row>
    <row r="25" spans="1:25" s="6" customFormat="1" x14ac:dyDescent="0.25">
      <c r="A25" s="101"/>
      <c r="B25" s="101"/>
      <c r="C25" s="1" t="str">
        <f>_xlfn.CONCAT(tabE.Flux[[#This Row],[DATA]],"+",tabE.Flux[[#This Row],[MOTORISTA + MATRÍCULA A]])</f>
        <v>45885+MARCOS BUENO DA SILVA - 5984</v>
      </c>
      <c r="D25" s="1" t="str">
        <f>_xlfn.CONCAT(tabE.Flux[[#This Row],[DATA]],"+",tabE.Flux[[#This Row],[MOTORISTA + MATRÍCULA B]])</f>
        <v>45885+AMIRO MARQUES RODRIGUES - 5955</v>
      </c>
      <c r="E25" s="1" t="str">
        <f>_xlfn.CONCAT(tabE.Flux[[#This Row],[DATA]],"+",tabE.Flux[[#This Row],[MOTORISTA + MATRÍCULA A]],"+",tabE.Flux[[#This Row],[LINHA]])</f>
        <v>45885+MARCOS BUENO DA SILVA - 5984+GOIANIA (GO) X SAO LUIS (MA)</v>
      </c>
      <c r="F25" s="1" t="str">
        <f>_xlfn.CONCAT(tabE.Flux[[#This Row],[DATA]],"+",tabE.Flux[[#This Row],[MOTORISTA + MATRÍCULA B]],"+",tabE.Flux[[#This Row],[LINHA]])</f>
        <v>45885+AMIRO MARQUES RODRIGUES - 5955+GOIANIA (GO) X SAO LUIS (MA)</v>
      </c>
      <c r="G25" s="1" t="str">
        <f>_xlfn.CONCAT(tabE.Flux[[#This Row],[DATA]],"+",tabE.Flux[[#This Row],[LINHA]])</f>
        <v>45885+GOIANIA (GO) X SAO LUIS (MA)</v>
      </c>
      <c r="H25" s="141">
        <v>45885</v>
      </c>
      <c r="I25" s="142" t="s">
        <v>15</v>
      </c>
      <c r="J25" s="142">
        <v>25011</v>
      </c>
      <c r="K25" s="143">
        <v>0.32291666666666669</v>
      </c>
      <c r="L25" s="143">
        <v>0.33333333333333331</v>
      </c>
      <c r="M25" s="142" t="s">
        <v>16</v>
      </c>
      <c r="N25" s="142" t="s">
        <v>17</v>
      </c>
      <c r="O25" s="142" t="s">
        <v>69</v>
      </c>
      <c r="P25" s="142" t="s">
        <v>70</v>
      </c>
      <c r="Q25" s="142" t="s">
        <v>23</v>
      </c>
      <c r="R25" s="76"/>
      <c r="S25" s="76"/>
      <c r="T25" s="76"/>
      <c r="U25" s="76"/>
      <c r="V25" s="76"/>
      <c r="W25" s="76"/>
      <c r="X25" s="76"/>
      <c r="Y25" s="76"/>
    </row>
    <row r="26" spans="1:25" s="6" customFormat="1" x14ac:dyDescent="0.25">
      <c r="A26" s="101"/>
      <c r="B26" s="101"/>
      <c r="C26" s="1" t="str">
        <f>_xlfn.CONCAT(tabE.Flux[[#This Row],[DATA]],"+",tabE.Flux[[#This Row],[MOTORISTA + MATRÍCULA A]])</f>
        <v>45885+VALTERSON ANTONIO CORREIA - 3004</v>
      </c>
      <c r="D26" s="1" t="str">
        <f>_xlfn.CONCAT(tabE.Flux[[#This Row],[DATA]],"+",tabE.Flux[[#This Row],[MOTORISTA + MATRÍCULA B]])</f>
        <v>45885+  JOAO AMARAL DA SILVA JUNIOR- 5290</v>
      </c>
      <c r="E26" s="1" t="str">
        <f>_xlfn.CONCAT(tabE.Flux[[#This Row],[DATA]],"+",tabE.Flux[[#This Row],[MOTORISTA + MATRÍCULA A]],"+",tabE.Flux[[#This Row],[LINHA]])</f>
        <v>45885+VALTERSON ANTONIO CORREIA - 3004+GOIANIA (GO) X TERESINA (PI) VIA STI</v>
      </c>
      <c r="F26" s="1" t="str">
        <f>_xlfn.CONCAT(tabE.Flux[[#This Row],[DATA]],"+",tabE.Flux[[#This Row],[MOTORISTA + MATRÍCULA B]],"+",tabE.Flux[[#This Row],[LINHA]])</f>
        <v>45885+  JOAO AMARAL DA SILVA JUNIOR- 5290+GOIANIA (GO) X TERESINA (PI) VIA STI</v>
      </c>
      <c r="G26" s="1" t="str">
        <f>_xlfn.CONCAT(tabE.Flux[[#This Row],[DATA]],"+",tabE.Flux[[#This Row],[LINHA]])</f>
        <v>45885+GOIANIA (GO) X TERESINA (PI) VIA STI</v>
      </c>
      <c r="H26" s="141">
        <v>45885</v>
      </c>
      <c r="I26" s="142" t="s">
        <v>15</v>
      </c>
      <c r="J26" s="142">
        <v>19008</v>
      </c>
      <c r="K26" s="143">
        <v>0.3888888888888889</v>
      </c>
      <c r="L26" s="143">
        <v>0.39583333333333331</v>
      </c>
      <c r="M26" s="142" t="s">
        <v>16</v>
      </c>
      <c r="N26" s="142" t="s">
        <v>17</v>
      </c>
      <c r="O26" s="142" t="s">
        <v>71</v>
      </c>
      <c r="P26" s="142" t="s">
        <v>72</v>
      </c>
      <c r="Q26" s="142" t="s">
        <v>26</v>
      </c>
      <c r="R26" s="76"/>
      <c r="S26" s="76"/>
      <c r="T26" s="76"/>
      <c r="U26" s="76"/>
      <c r="V26" s="76"/>
      <c r="W26" s="76"/>
      <c r="X26" s="76"/>
      <c r="Y26" s="76"/>
    </row>
    <row r="27" spans="1:25" s="6" customFormat="1" x14ac:dyDescent="0.25">
      <c r="A27" s="101"/>
      <c r="B27" s="101"/>
      <c r="C27" s="1" t="str">
        <f>_xlfn.CONCAT(tabE.Flux[[#This Row],[DATA]],"+",tabE.Flux[[#This Row],[MOTORISTA + MATRÍCULA A]])</f>
        <v>45885+CANCELADO</v>
      </c>
      <c r="D27" s="1" t="str">
        <f>_xlfn.CONCAT(tabE.Flux[[#This Row],[DATA]],"+",tabE.Flux[[#This Row],[MOTORISTA + MATRÍCULA B]])</f>
        <v>45885+CANCELADO</v>
      </c>
      <c r="E27" s="1" t="str">
        <f>_xlfn.CONCAT(tabE.Flux[[#This Row],[DATA]],"+",tabE.Flux[[#This Row],[MOTORISTA + MATRÍCULA A]],"+",tabE.Flux[[#This Row],[LINHA]])</f>
        <v>45885+CANCELADO+</v>
      </c>
      <c r="F27" s="1" t="str">
        <f>_xlfn.CONCAT(tabE.Flux[[#This Row],[DATA]],"+",tabE.Flux[[#This Row],[MOTORISTA + MATRÍCULA B]],"+",tabE.Flux[[#This Row],[LINHA]])</f>
        <v>45885+CANCELADO+</v>
      </c>
      <c r="G27" s="1" t="str">
        <f>_xlfn.CONCAT(tabE.Flux[[#This Row],[DATA]],"+",tabE.Flux[[#This Row],[LINHA]])</f>
        <v>45885+</v>
      </c>
      <c r="H27" s="141">
        <v>45885</v>
      </c>
      <c r="I27" s="142" t="s">
        <v>15</v>
      </c>
      <c r="J27" s="144" t="s">
        <v>27</v>
      </c>
      <c r="K27" s="143">
        <v>0.375</v>
      </c>
      <c r="L27" s="143">
        <v>0.41666666666666669</v>
      </c>
      <c r="M27" s="142" t="s">
        <v>16</v>
      </c>
      <c r="N27" s="142" t="s">
        <v>28</v>
      </c>
      <c r="O27" s="144" t="s">
        <v>27</v>
      </c>
      <c r="P27" s="144" t="s">
        <v>27</v>
      </c>
      <c r="Q27" s="142"/>
      <c r="R27" s="76"/>
      <c r="S27" s="76"/>
      <c r="T27" s="76"/>
      <c r="U27" s="76"/>
      <c r="V27" s="76"/>
      <c r="W27" s="76"/>
      <c r="X27" s="76"/>
      <c r="Y27" s="76"/>
    </row>
    <row r="28" spans="1:25" s="6" customFormat="1" x14ac:dyDescent="0.25">
      <c r="A28" s="101"/>
      <c r="B28" s="101"/>
      <c r="C28" s="1" t="str">
        <f>_xlfn.CONCAT(tabE.Flux[[#This Row],[DATA]],"+",tabE.Flux[[#This Row],[MOTORISTA + MATRÍCULA A]])</f>
        <v>45885+ANTONIO MARQUES NETO DOS SANTOS - 1738</v>
      </c>
      <c r="D28" s="1" t="str">
        <f>_xlfn.CONCAT(tabE.Flux[[#This Row],[DATA]],"+",tabE.Flux[[#This Row],[MOTORISTA + MATRÍCULA B]])</f>
        <v>45885+ANTONIO  SOBRINHO DE OLIVEIRA - 5646</v>
      </c>
      <c r="E28" s="1" t="str">
        <f>_xlfn.CONCAT(tabE.Flux[[#This Row],[DATA]],"+",tabE.Flux[[#This Row],[MOTORISTA + MATRÍCULA A]],"+",tabE.Flux[[#This Row],[LINHA]])</f>
        <v>45885+ANTONIO MARQUES NETO DOS SANTOS - 1738+FORTALEZA (CE) X SINOP (MT)</v>
      </c>
      <c r="F28" s="1" t="str">
        <f>_xlfn.CONCAT(tabE.Flux[[#This Row],[DATA]],"+",tabE.Flux[[#This Row],[MOTORISTA + MATRÍCULA B]],"+",tabE.Flux[[#This Row],[LINHA]])</f>
        <v>45885+ANTONIO  SOBRINHO DE OLIVEIRA - 5646+FORTALEZA (CE) X SINOP (MT)</v>
      </c>
      <c r="G28" s="1" t="str">
        <f>_xlfn.CONCAT(tabE.Flux[[#This Row],[DATA]],"+",tabE.Flux[[#This Row],[LINHA]])</f>
        <v>45885+FORTALEZA (CE) X SINOP (MT)</v>
      </c>
      <c r="H28" s="141">
        <v>45885</v>
      </c>
      <c r="I28" s="142" t="s">
        <v>15</v>
      </c>
      <c r="J28" s="142">
        <v>19011</v>
      </c>
      <c r="K28" s="143">
        <v>0.3888888888888889</v>
      </c>
      <c r="L28" s="143">
        <v>0.37708333333333333</v>
      </c>
      <c r="M28" s="142" t="s">
        <v>16</v>
      </c>
      <c r="N28" s="142" t="s">
        <v>29</v>
      </c>
      <c r="O28" s="142" t="s">
        <v>73</v>
      </c>
      <c r="P28" s="142" t="s">
        <v>74</v>
      </c>
      <c r="Q28" s="142" t="s">
        <v>32</v>
      </c>
      <c r="R28" s="76"/>
      <c r="S28" s="76"/>
      <c r="T28" s="76"/>
      <c r="U28" s="76"/>
      <c r="V28" s="76"/>
      <c r="W28" s="76"/>
      <c r="X28" s="76"/>
      <c r="Y28" s="76"/>
    </row>
    <row r="29" spans="1:25" s="6" customFormat="1" x14ac:dyDescent="0.25">
      <c r="A29" s="101"/>
      <c r="B29" s="101"/>
      <c r="C29" s="1" t="str">
        <f>_xlfn.CONCAT(tabE.Flux[[#This Row],[DATA]],"+",tabE.Flux[[#This Row],[MOTORISTA + MATRÍCULA A]])</f>
        <v>45885+NILSON CORTEZ MIRANDA - 5636</v>
      </c>
      <c r="D29" s="1" t="str">
        <f>_xlfn.CONCAT(tabE.Flux[[#This Row],[DATA]],"+",tabE.Flux[[#This Row],[MOTORISTA + MATRÍCULA B]])</f>
        <v>45885+JOSE CARLOS BEZERRA DA SILVA - 3034</v>
      </c>
      <c r="E29" s="1" t="str">
        <f>_xlfn.CONCAT(tabE.Flux[[#This Row],[DATA]],"+",tabE.Flux[[#This Row],[MOTORISTA + MATRÍCULA A]],"+",tabE.Flux[[#This Row],[LINHA]])</f>
        <v>45885+NILSON CORTEZ MIRANDA - 5636+GOIANIA (GO) X BELEM (PA)</v>
      </c>
      <c r="F29" s="1" t="str">
        <f>_xlfn.CONCAT(tabE.Flux[[#This Row],[DATA]],"+",tabE.Flux[[#This Row],[MOTORISTA + MATRÍCULA B]],"+",tabE.Flux[[#This Row],[LINHA]])</f>
        <v>45885+JOSE CARLOS BEZERRA DA SILVA - 3034+GOIANIA (GO) X BELEM (PA)</v>
      </c>
      <c r="G29" s="1" t="str">
        <f>_xlfn.CONCAT(tabE.Flux[[#This Row],[DATA]],"+",tabE.Flux[[#This Row],[LINHA]])</f>
        <v>45885+GOIANIA (GO) X BELEM (PA)</v>
      </c>
      <c r="H29" s="141">
        <v>45885</v>
      </c>
      <c r="I29" s="142" t="s">
        <v>15</v>
      </c>
      <c r="J29" s="142">
        <v>19004</v>
      </c>
      <c r="K29" s="143">
        <v>0.38958333333333334</v>
      </c>
      <c r="L29" s="143">
        <v>0.38541666666666669</v>
      </c>
      <c r="M29" s="142" t="s">
        <v>16</v>
      </c>
      <c r="N29" s="142" t="s">
        <v>33</v>
      </c>
      <c r="O29" s="142" t="s">
        <v>75</v>
      </c>
      <c r="P29" s="142" t="s">
        <v>76</v>
      </c>
      <c r="Q29" s="142" t="s">
        <v>20</v>
      </c>
      <c r="R29" s="76"/>
      <c r="S29" s="76"/>
      <c r="T29" s="76"/>
      <c r="U29" s="76"/>
      <c r="V29" s="76"/>
      <c r="W29" s="76"/>
      <c r="X29" s="76"/>
      <c r="Y29" s="76"/>
    </row>
    <row r="30" spans="1:25" s="6" customFormat="1" x14ac:dyDescent="0.25">
      <c r="A30" s="101"/>
      <c r="B30" s="101"/>
      <c r="C30" s="1" t="str">
        <f>_xlfn.CONCAT(tabE.Flux[[#This Row],[DATA]],"+",tabE.Flux[[#This Row],[MOTORISTA + MATRÍCULA A]])</f>
        <v>45885+JWEBISON DE BRITO SOUZA - 2999</v>
      </c>
      <c r="D30" s="1" t="str">
        <f>_xlfn.CONCAT(tabE.Flux[[#This Row],[DATA]],"+",tabE.Flux[[#This Row],[MOTORISTA + MATRÍCULA B]])</f>
        <v>45885+GENIVAN LEAL TEIXEIRA - 5302</v>
      </c>
      <c r="E30" s="1" t="str">
        <f>_xlfn.CONCAT(tabE.Flux[[#This Row],[DATA]],"+",tabE.Flux[[#This Row],[MOTORISTA + MATRÍCULA A]],"+",tabE.Flux[[#This Row],[LINHA]])</f>
        <v>45885+JWEBISON DE BRITO SOUZA - 2999+GOIANIA (GO) X TERESINA (PI) VIA BC</v>
      </c>
      <c r="F30" s="1" t="str">
        <f>_xlfn.CONCAT(tabE.Flux[[#This Row],[DATA]],"+",tabE.Flux[[#This Row],[MOTORISTA + MATRÍCULA B]],"+",tabE.Flux[[#This Row],[LINHA]])</f>
        <v>45885+GENIVAN LEAL TEIXEIRA - 5302+GOIANIA (GO) X TERESINA (PI) VIA BC</v>
      </c>
      <c r="G30" s="1" t="str">
        <f>_xlfn.CONCAT(tabE.Flux[[#This Row],[DATA]],"+",tabE.Flux[[#This Row],[LINHA]])</f>
        <v>45885+GOIANIA (GO) X TERESINA (PI) VIA BC</v>
      </c>
      <c r="H30" s="141">
        <v>45885</v>
      </c>
      <c r="I30" s="142" t="s">
        <v>15</v>
      </c>
      <c r="J30" s="142">
        <v>25005</v>
      </c>
      <c r="K30" s="143">
        <v>0.375</v>
      </c>
      <c r="L30" s="143">
        <v>0.39930555555555558</v>
      </c>
      <c r="M30" s="142" t="s">
        <v>36</v>
      </c>
      <c r="N30" s="142" t="s">
        <v>29</v>
      </c>
      <c r="O30" s="142" t="s">
        <v>77</v>
      </c>
      <c r="P30" s="142" t="s">
        <v>38</v>
      </c>
      <c r="Q30" s="142" t="s">
        <v>39</v>
      </c>
      <c r="R30" s="76"/>
      <c r="S30" s="76"/>
      <c r="T30" s="76"/>
      <c r="U30" s="76"/>
      <c r="V30" s="76"/>
      <c r="W30" s="76"/>
      <c r="X30" s="76"/>
      <c r="Y30" s="76"/>
    </row>
    <row r="31" spans="1:25" s="6" customFormat="1" x14ac:dyDescent="0.25">
      <c r="A31" s="101"/>
      <c r="B31" s="101"/>
      <c r="C31" s="1" t="str">
        <f>_xlfn.CONCAT(tabE.Flux[[#This Row],[DATA]],"+",tabE.Flux[[#This Row],[MOTORISTA + MATRÍCULA A]])</f>
        <v>45885+FELIPE MORAIS MELO - 3077</v>
      </c>
      <c r="D31" s="1" t="str">
        <f>_xlfn.CONCAT(tabE.Flux[[#This Row],[DATA]],"+",tabE.Flux[[#This Row],[MOTORISTA + MATRÍCULA B]])</f>
        <v>45885+ANTONIO RAMIRO WEBER - 5452</v>
      </c>
      <c r="E31" s="1" t="str">
        <f>_xlfn.CONCAT(tabE.Flux[[#This Row],[DATA]],"+",tabE.Flux[[#This Row],[MOTORISTA + MATRÍCULA A]],"+",tabE.Flux[[#This Row],[LINHA]])</f>
        <v>45885+FELIPE MORAIS MELO - 3077+GOIANIA (GO) X BELEM (PA)</v>
      </c>
      <c r="F31" s="1" t="str">
        <f>_xlfn.CONCAT(tabE.Flux[[#This Row],[DATA]],"+",tabE.Flux[[#This Row],[MOTORISTA + MATRÍCULA B]],"+",tabE.Flux[[#This Row],[LINHA]])</f>
        <v>45885+ANTONIO RAMIRO WEBER - 5452+GOIANIA (GO) X BELEM (PA)</v>
      </c>
      <c r="G31" s="1" t="str">
        <f>_xlfn.CONCAT(tabE.Flux[[#This Row],[DATA]],"+",tabE.Flux[[#This Row],[LINHA]])</f>
        <v>45885+GOIANIA (GO) X BELEM (PA)</v>
      </c>
      <c r="H31" s="141">
        <v>45885</v>
      </c>
      <c r="I31" s="142" t="s">
        <v>15</v>
      </c>
      <c r="J31" s="142">
        <v>19013</v>
      </c>
      <c r="K31" s="143">
        <v>0.375</v>
      </c>
      <c r="L31" s="143">
        <v>0.41666666666666669</v>
      </c>
      <c r="M31" s="142" t="s">
        <v>33</v>
      </c>
      <c r="N31" s="142" t="s">
        <v>16</v>
      </c>
      <c r="O31" s="142" t="s">
        <v>78</v>
      </c>
      <c r="P31" s="142" t="s">
        <v>79</v>
      </c>
      <c r="Q31" s="142" t="s">
        <v>20</v>
      </c>
      <c r="R31" s="76"/>
      <c r="S31" s="76"/>
      <c r="T31" s="76"/>
      <c r="U31" s="76"/>
      <c r="V31" s="76"/>
      <c r="W31" s="76"/>
      <c r="X31" s="76"/>
      <c r="Y31" s="76"/>
    </row>
    <row r="32" spans="1:25" s="6" customFormat="1" x14ac:dyDescent="0.25">
      <c r="A32" s="101"/>
      <c r="B32" s="101"/>
      <c r="C32" s="1" t="str">
        <f>_xlfn.CONCAT(tabE.Flux[[#This Row],[DATA]],"+",tabE.Flux[[#This Row],[MOTORISTA + MATRÍCULA A]])</f>
        <v>45885+CANCELADO</v>
      </c>
      <c r="D32" s="1" t="str">
        <f>_xlfn.CONCAT(tabE.Flux[[#This Row],[DATA]],"+",tabE.Flux[[#This Row],[MOTORISTA + MATRÍCULA B]])</f>
        <v>45885+CANCELADO</v>
      </c>
      <c r="E32" s="1" t="str">
        <f>_xlfn.CONCAT(tabE.Flux[[#This Row],[DATA]],"+",tabE.Flux[[#This Row],[MOTORISTA + MATRÍCULA A]],"+",tabE.Flux[[#This Row],[LINHA]])</f>
        <v>45885+CANCELADO+GOIANIA (GO) X SAO LUIS (MA)</v>
      </c>
      <c r="F32" s="1" t="str">
        <f>_xlfn.CONCAT(tabE.Flux[[#This Row],[DATA]],"+",tabE.Flux[[#This Row],[MOTORISTA + MATRÍCULA B]],"+",tabE.Flux[[#This Row],[LINHA]])</f>
        <v>45885+CANCELADO+GOIANIA (GO) X SAO LUIS (MA)</v>
      </c>
      <c r="G32" s="1" t="str">
        <f>_xlfn.CONCAT(tabE.Flux[[#This Row],[DATA]],"+",tabE.Flux[[#This Row],[LINHA]])</f>
        <v>45885+GOIANIA (GO) X SAO LUIS (MA)</v>
      </c>
      <c r="H32" s="141">
        <v>45885</v>
      </c>
      <c r="I32" s="142" t="s">
        <v>15</v>
      </c>
      <c r="J32" s="144" t="s">
        <v>27</v>
      </c>
      <c r="K32" s="143">
        <v>0.25</v>
      </c>
      <c r="L32" s="143">
        <v>0.29166666666666669</v>
      </c>
      <c r="M32" s="142" t="s">
        <v>42</v>
      </c>
      <c r="N32" s="142" t="s">
        <v>16</v>
      </c>
      <c r="O32" s="144" t="s">
        <v>27</v>
      </c>
      <c r="P32" s="144" t="s">
        <v>27</v>
      </c>
      <c r="Q32" s="142" t="s">
        <v>23</v>
      </c>
      <c r="R32" s="76"/>
      <c r="S32" s="76"/>
      <c r="T32" s="76"/>
      <c r="U32" s="76"/>
      <c r="V32" s="76"/>
      <c r="W32" s="76"/>
      <c r="X32" s="76"/>
      <c r="Y32" s="76"/>
    </row>
    <row r="33" spans="1:25" s="6" customFormat="1" x14ac:dyDescent="0.25">
      <c r="A33" s="101"/>
      <c r="B33" s="101"/>
      <c r="C33" s="1" t="str">
        <f>_xlfn.CONCAT(tabE.Flux[[#This Row],[DATA]],"+",tabE.Flux[[#This Row],[MOTORISTA + MATRÍCULA A]])</f>
        <v>45885+KAYLSON KLEYTON DA SILVA COSTA - 6224</v>
      </c>
      <c r="D33" s="1" t="str">
        <f>_xlfn.CONCAT(tabE.Flux[[#This Row],[DATA]],"+",tabE.Flux[[#This Row],[MOTORISTA + MATRÍCULA B]])</f>
        <v>45885+JOAO DE JESUS GOUVEIA - 6016</v>
      </c>
      <c r="E33" s="1" t="str">
        <f>_xlfn.CONCAT(tabE.Flux[[#This Row],[DATA]],"+",tabE.Flux[[#This Row],[MOTORISTA + MATRÍCULA A]],"+",tabE.Flux[[#This Row],[LINHA]])</f>
        <v>45885+KAYLSON KLEYTON DA SILVA COSTA - 6224+GOIANIA (GO) X SAO LUIS (MA)</v>
      </c>
      <c r="F33" s="1" t="str">
        <f>_xlfn.CONCAT(tabE.Flux[[#This Row],[DATA]],"+",tabE.Flux[[#This Row],[MOTORISTA + MATRÍCULA B]],"+",tabE.Flux[[#This Row],[LINHA]])</f>
        <v>45885+JOAO DE JESUS GOUVEIA - 6016+GOIANIA (GO) X SAO LUIS (MA)</v>
      </c>
      <c r="G33" s="1" t="str">
        <f>_xlfn.CONCAT(tabE.Flux[[#This Row],[DATA]],"+",tabE.Flux[[#This Row],[LINHA]])</f>
        <v>45885+GOIANIA (GO) X SAO LUIS (MA)</v>
      </c>
      <c r="H33" s="141">
        <v>45885</v>
      </c>
      <c r="I33" s="142" t="s">
        <v>15</v>
      </c>
      <c r="J33" s="142">
        <v>24016</v>
      </c>
      <c r="K33" s="143">
        <v>0.75</v>
      </c>
      <c r="L33" s="143">
        <v>0.79166666666666663</v>
      </c>
      <c r="M33" s="142" t="s">
        <v>42</v>
      </c>
      <c r="N33" s="142" t="s">
        <v>16</v>
      </c>
      <c r="O33" s="142" t="s">
        <v>80</v>
      </c>
      <c r="P33" s="142" t="s">
        <v>58</v>
      </c>
      <c r="Q33" s="142" t="s">
        <v>23</v>
      </c>
      <c r="R33" s="76"/>
      <c r="S33" s="76"/>
      <c r="T33" s="76"/>
      <c r="U33" s="76"/>
      <c r="V33" s="76"/>
      <c r="W33" s="76"/>
      <c r="X33" s="76"/>
      <c r="Y33" s="76"/>
    </row>
    <row r="34" spans="1:25" s="6" customFormat="1" x14ac:dyDescent="0.25">
      <c r="A34" s="101"/>
      <c r="B34" s="101"/>
      <c r="C34" s="1" t="str">
        <f>_xlfn.CONCAT(tabE.Flux[[#This Row],[DATA]],"+",tabE.Flux[[#This Row],[MOTORISTA + MATRÍCULA A]])</f>
        <v>45885+CANCELADO</v>
      </c>
      <c r="D34" s="1" t="str">
        <f>_xlfn.CONCAT(tabE.Flux[[#This Row],[DATA]],"+",tabE.Flux[[#This Row],[MOTORISTA + MATRÍCULA B]])</f>
        <v>45885+CANCELADO</v>
      </c>
      <c r="E34" s="1" t="str">
        <f>_xlfn.CONCAT(tabE.Flux[[#This Row],[DATA]],"+",tabE.Flux[[#This Row],[MOTORISTA + MATRÍCULA A]],"+",tabE.Flux[[#This Row],[LINHA]])</f>
        <v>45885+CANCELADO+IMPERATRIZ (MA) X SÃO LUIS (MA)</v>
      </c>
      <c r="F34" s="1" t="str">
        <f>_xlfn.CONCAT(tabE.Flux[[#This Row],[DATA]],"+",tabE.Flux[[#This Row],[MOTORISTA + MATRÍCULA B]],"+",tabE.Flux[[#This Row],[LINHA]])</f>
        <v>45885+CANCELADO+IMPERATRIZ (MA) X SÃO LUIS (MA)</v>
      </c>
      <c r="G34" s="1" t="str">
        <f>_xlfn.CONCAT(tabE.Flux[[#This Row],[DATA]],"+",tabE.Flux[[#This Row],[LINHA]])</f>
        <v>45885+IMPERATRIZ (MA) X SÃO LUIS (MA)</v>
      </c>
      <c r="H34" s="141">
        <v>45885</v>
      </c>
      <c r="I34" s="142" t="s">
        <v>15</v>
      </c>
      <c r="J34" s="144" t="s">
        <v>27</v>
      </c>
      <c r="K34" s="143">
        <v>0.77083333333333337</v>
      </c>
      <c r="L34" s="143">
        <v>0.79513888888888884</v>
      </c>
      <c r="M34" s="142" t="s">
        <v>42</v>
      </c>
      <c r="N34" s="142" t="s">
        <v>16</v>
      </c>
      <c r="O34" s="144" t="s">
        <v>27</v>
      </c>
      <c r="P34" s="144" t="s">
        <v>27</v>
      </c>
      <c r="Q34" s="142" t="s">
        <v>47</v>
      </c>
      <c r="R34" s="76"/>
      <c r="S34" s="76"/>
      <c r="T34" s="76"/>
      <c r="U34" s="76"/>
      <c r="V34" s="76"/>
      <c r="W34" s="76"/>
      <c r="X34" s="76"/>
      <c r="Y34" s="76"/>
    </row>
    <row r="35" spans="1:25" s="6" customFormat="1" x14ac:dyDescent="0.25">
      <c r="A35" s="101"/>
      <c r="B35" s="101"/>
      <c r="C35" s="1" t="str">
        <f>_xlfn.CONCAT(tabE.Flux[[#This Row],[DATA]],"+",tabE.Flux[[#This Row],[MOTORISTA + MATRÍCULA A]])</f>
        <v>45885+WILSON MARTINS ROCHA - 105</v>
      </c>
      <c r="D35" s="1" t="str">
        <f>_xlfn.CONCAT(tabE.Flux[[#This Row],[DATA]],"+",tabE.Flux[[#This Row],[MOTORISTA + MATRÍCULA B]])</f>
        <v>45885+WILSON FERREIRA DE JESUS - 1407</v>
      </c>
      <c r="E35" s="1" t="str">
        <f>_xlfn.CONCAT(tabE.Flux[[#This Row],[DATA]],"+",tabE.Flux[[#This Row],[MOTORISTA + MATRÍCULA A]],"+",tabE.Flux[[#This Row],[LINHA]])</f>
        <v>45885+WILSON MARTINS ROCHA - 105+GOIANIA (GO) X TERESINA (PI) VIA BC</v>
      </c>
      <c r="F35" s="1" t="str">
        <f>_xlfn.CONCAT(tabE.Flux[[#This Row],[DATA]],"+",tabE.Flux[[#This Row],[MOTORISTA + MATRÍCULA B]],"+",tabE.Flux[[#This Row],[LINHA]])</f>
        <v>45885+WILSON FERREIRA DE JESUS - 1407+GOIANIA (GO) X TERESINA (PI) VIA BC</v>
      </c>
      <c r="G35" s="1" t="str">
        <f>_xlfn.CONCAT(tabE.Flux[[#This Row],[DATA]],"+",tabE.Flux[[#This Row],[LINHA]])</f>
        <v>45885+GOIANIA (GO) X TERESINA (PI) VIA BC</v>
      </c>
      <c r="H35" s="141">
        <v>45885</v>
      </c>
      <c r="I35" s="142" t="s">
        <v>15</v>
      </c>
      <c r="J35" s="142">
        <v>25010</v>
      </c>
      <c r="K35" s="143">
        <v>0.89583333333333337</v>
      </c>
      <c r="L35" s="143">
        <v>0.91666666666666663</v>
      </c>
      <c r="M35" s="142" t="s">
        <v>36</v>
      </c>
      <c r="N35" s="142" t="s">
        <v>17</v>
      </c>
      <c r="O35" s="142" t="s">
        <v>81</v>
      </c>
      <c r="P35" s="142" t="s">
        <v>82</v>
      </c>
      <c r="Q35" s="142" t="s">
        <v>39</v>
      </c>
      <c r="R35" s="76"/>
      <c r="S35" s="76"/>
      <c r="T35" s="76"/>
      <c r="U35" s="76"/>
      <c r="V35" s="76"/>
      <c r="W35" s="76"/>
      <c r="X35" s="76"/>
      <c r="Y35" s="76"/>
    </row>
    <row r="36" spans="1:25" s="6" customFormat="1" x14ac:dyDescent="0.25">
      <c r="A36" s="101"/>
      <c r="B36" s="101"/>
      <c r="C36" s="1" t="str">
        <f>_xlfn.CONCAT(tabE.Flux[[#This Row],[DATA]],"+",tabE.Flux[[#This Row],[MOTORISTA + MATRÍCULA A]])</f>
        <v>45885+VALDEY OLIVEIRA ARAUJO - 2790</v>
      </c>
      <c r="D36" s="1" t="str">
        <f>_xlfn.CONCAT(tabE.Flux[[#This Row],[DATA]],"+",tabE.Flux[[#This Row],[MOTORISTA + MATRÍCULA B]])</f>
        <v>45885+GILVAN DE SOUSA FRANCA - 5834</v>
      </c>
      <c r="E36" s="1" t="str">
        <f>_xlfn.CONCAT(tabE.Flux[[#This Row],[DATA]],"+",tabE.Flux[[#This Row],[MOTORISTA + MATRÍCULA A]],"+",tabE.Flux[[#This Row],[LINHA]])</f>
        <v>45885+VALDEY OLIVEIRA ARAUJO - 2790+GOIANIA (GO) X BELEM (PA)</v>
      </c>
      <c r="F36" s="1" t="str">
        <f>_xlfn.CONCAT(tabE.Flux[[#This Row],[DATA]],"+",tabE.Flux[[#This Row],[MOTORISTA + MATRÍCULA B]],"+",tabE.Flux[[#This Row],[LINHA]])</f>
        <v>45885+GILVAN DE SOUSA FRANCA - 5834+GOIANIA (GO) X BELEM (PA)</v>
      </c>
      <c r="G36" s="1" t="str">
        <f>_xlfn.CONCAT(tabE.Flux[[#This Row],[DATA]],"+",tabE.Flux[[#This Row],[LINHA]])</f>
        <v>45885+GOIANIA (GO) X BELEM (PA)</v>
      </c>
      <c r="H36" s="141">
        <v>45885</v>
      </c>
      <c r="I36" s="142" t="s">
        <v>15</v>
      </c>
      <c r="J36" s="142">
        <v>24009</v>
      </c>
      <c r="K36" s="143">
        <v>0.76041666666666663</v>
      </c>
      <c r="L36" s="143">
        <v>0.77083333333333337</v>
      </c>
      <c r="M36" s="142" t="s">
        <v>33</v>
      </c>
      <c r="N36" s="142" t="s">
        <v>16</v>
      </c>
      <c r="O36" s="142" t="s">
        <v>34</v>
      </c>
      <c r="P36" s="142" t="s">
        <v>35</v>
      </c>
      <c r="Q36" s="142" t="s">
        <v>20</v>
      </c>
      <c r="R36" s="76"/>
      <c r="S36" s="76"/>
      <c r="T36" s="76"/>
      <c r="U36" s="76"/>
      <c r="V36" s="76"/>
      <c r="W36" s="76"/>
      <c r="X36" s="76"/>
      <c r="Y36" s="76"/>
    </row>
    <row r="37" spans="1:25" s="6" customFormat="1" x14ac:dyDescent="0.25">
      <c r="A37" s="101"/>
      <c r="B37" s="101"/>
      <c r="C37" s="1" t="str">
        <f>_xlfn.CONCAT(tabE.Flux[[#This Row],[DATA]],"+",tabE.Flux[[#This Row],[MOTORISTA + MATRÍCULA A]])</f>
        <v>45885+IZALMIR RODRIGUES COELHO - 958</v>
      </c>
      <c r="D37" s="1" t="str">
        <f>_xlfn.CONCAT(tabE.Flux[[#This Row],[DATA]],"+",tabE.Flux[[#This Row],[MOTORISTA + MATRÍCULA B]])</f>
        <v>45885+REINAN JOSE BORGES SOUSA - 1075</v>
      </c>
      <c r="E37" s="1" t="str">
        <f>_xlfn.CONCAT(tabE.Flux[[#This Row],[DATA]],"+",tabE.Flux[[#This Row],[MOTORISTA + MATRÍCULA A]],"+",tabE.Flux[[#This Row],[LINHA]])</f>
        <v>45885+IZALMIR RODRIGUES COELHO - 958+GOIANIA (GO) X BELEM (PA)</v>
      </c>
      <c r="F37" s="1" t="str">
        <f>_xlfn.CONCAT(tabE.Flux[[#This Row],[DATA]],"+",tabE.Flux[[#This Row],[MOTORISTA + MATRÍCULA B]],"+",tabE.Flux[[#This Row],[LINHA]])</f>
        <v>45885+REINAN JOSE BORGES SOUSA - 1075+GOIANIA (GO) X BELEM (PA)</v>
      </c>
      <c r="G37" s="1" t="str">
        <f>_xlfn.CONCAT(tabE.Flux[[#This Row],[DATA]],"+",tabE.Flux[[#This Row],[LINHA]])</f>
        <v>45885+GOIANIA (GO) X BELEM (PA)</v>
      </c>
      <c r="H37" s="141">
        <v>45885</v>
      </c>
      <c r="I37" s="142" t="s">
        <v>15</v>
      </c>
      <c r="J37" s="142">
        <v>24013</v>
      </c>
      <c r="K37" s="143">
        <v>0.76041666666666663</v>
      </c>
      <c r="L37" s="143">
        <v>0.82777777777777772</v>
      </c>
      <c r="M37" s="142" t="s">
        <v>16</v>
      </c>
      <c r="N37" s="142" t="s">
        <v>33</v>
      </c>
      <c r="O37" s="142" t="s">
        <v>83</v>
      </c>
      <c r="P37" s="142" t="s">
        <v>84</v>
      </c>
      <c r="Q37" s="142" t="s">
        <v>20</v>
      </c>
      <c r="R37" s="76"/>
      <c r="S37" s="76"/>
      <c r="T37" s="76"/>
      <c r="U37" s="76"/>
      <c r="V37" s="76"/>
      <c r="W37" s="76"/>
      <c r="X37" s="76"/>
      <c r="Y37" s="76"/>
    </row>
    <row r="38" spans="1:25" s="6" customFormat="1" x14ac:dyDescent="0.25">
      <c r="A38" s="101"/>
      <c r="B38" s="101"/>
      <c r="C38" s="1" t="str">
        <f>_xlfn.CONCAT(tabE.Flux[[#This Row],[DATA]],"+",tabE.Flux[[#This Row],[MOTORISTA + MATRÍCULA A]])</f>
        <v>45885+RONNE RODRIGUES DE SOUSA - 5025</v>
      </c>
      <c r="D38" s="1" t="str">
        <f>_xlfn.CONCAT(tabE.Flux[[#This Row],[DATA]],"+",tabE.Flux[[#This Row],[MOTORISTA + MATRÍCULA B]])</f>
        <v>45885+LAUCEANDO DA SILVA ROCHA - 6220</v>
      </c>
      <c r="E38" s="1" t="str">
        <f>_xlfn.CONCAT(tabE.Flux[[#This Row],[DATA]],"+",tabE.Flux[[#This Row],[MOTORISTA + MATRÍCULA A]],"+",tabE.Flux[[#This Row],[LINHA]])</f>
        <v>45885+RONNE RODRIGUES DE SOUSA - 5025+GOIANIA (GO) X SAO LUIS (MA)</v>
      </c>
      <c r="F38" s="1" t="str">
        <f>_xlfn.CONCAT(tabE.Flux[[#This Row],[DATA]],"+",tabE.Flux[[#This Row],[MOTORISTA + MATRÍCULA B]],"+",tabE.Flux[[#This Row],[LINHA]])</f>
        <v>45885+LAUCEANDO DA SILVA ROCHA - 6220+GOIANIA (GO) X SAO LUIS (MA)</v>
      </c>
      <c r="G38" s="1" t="str">
        <f>_xlfn.CONCAT(tabE.Flux[[#This Row],[DATA]],"+",tabE.Flux[[#This Row],[LINHA]])</f>
        <v>45885+GOIANIA (GO) X SAO LUIS (MA)</v>
      </c>
      <c r="H38" s="141">
        <v>45885</v>
      </c>
      <c r="I38" s="142" t="s">
        <v>15</v>
      </c>
      <c r="J38" s="142">
        <v>20013</v>
      </c>
      <c r="K38" s="143">
        <v>0.40763888888888888</v>
      </c>
      <c r="L38" s="143">
        <v>0.47013888888888888</v>
      </c>
      <c r="M38" s="142" t="s">
        <v>16</v>
      </c>
      <c r="N38" s="142" t="s">
        <v>42</v>
      </c>
      <c r="O38" s="142" t="s">
        <v>85</v>
      </c>
      <c r="P38" s="142" t="s">
        <v>86</v>
      </c>
      <c r="Q38" s="142" t="s">
        <v>23</v>
      </c>
      <c r="R38" s="76"/>
      <c r="S38" s="76"/>
      <c r="T38" s="76"/>
      <c r="U38" s="76"/>
      <c r="V38" s="76"/>
      <c r="W38" s="76"/>
      <c r="X38" s="76"/>
      <c r="Y38" s="76"/>
    </row>
    <row r="39" spans="1:25" s="6" customFormat="1" x14ac:dyDescent="0.25">
      <c r="A39" s="101"/>
      <c r="B39" s="101"/>
      <c r="C39" s="1" t="str">
        <f>_xlfn.CONCAT(tabE.Flux[[#This Row],[DATA]],"+",tabE.Flux[[#This Row],[MOTORISTA + MATRÍCULA A]])</f>
        <v>45885+CANCELADO</v>
      </c>
      <c r="D39" s="1" t="str">
        <f>_xlfn.CONCAT(tabE.Flux[[#This Row],[DATA]],"+",tabE.Flux[[#This Row],[MOTORISTA + MATRÍCULA B]])</f>
        <v>45885+CANCELADO</v>
      </c>
      <c r="E39" s="1" t="str">
        <f>_xlfn.CONCAT(tabE.Flux[[#This Row],[DATA]],"+",tabE.Flux[[#This Row],[MOTORISTA + MATRÍCULA A]],"+",tabE.Flux[[#This Row],[LINHA]])</f>
        <v>45885+CANCELADO+IMPERATRIZ (MA) X SÃO LUIS (MA)</v>
      </c>
      <c r="F39" s="1" t="str">
        <f>_xlfn.CONCAT(tabE.Flux[[#This Row],[DATA]],"+",tabE.Flux[[#This Row],[MOTORISTA + MATRÍCULA B]],"+",tabE.Flux[[#This Row],[LINHA]])</f>
        <v>45885+CANCELADO+IMPERATRIZ (MA) X SÃO LUIS (MA)</v>
      </c>
      <c r="G39" s="1" t="str">
        <f>_xlfn.CONCAT(tabE.Flux[[#This Row],[DATA]],"+",tabE.Flux[[#This Row],[LINHA]])</f>
        <v>45885+IMPERATRIZ (MA) X SÃO LUIS (MA)</v>
      </c>
      <c r="H39" s="141">
        <v>45885</v>
      </c>
      <c r="I39" s="142" t="s">
        <v>15</v>
      </c>
      <c r="J39" s="144" t="s">
        <v>27</v>
      </c>
      <c r="K39" s="143">
        <v>0.77083333333333337</v>
      </c>
      <c r="L39" s="143">
        <v>0.8125</v>
      </c>
      <c r="M39" s="142" t="s">
        <v>16</v>
      </c>
      <c r="N39" s="142" t="s">
        <v>42</v>
      </c>
      <c r="O39" s="144" t="s">
        <v>27</v>
      </c>
      <c r="P39" s="144" t="s">
        <v>27</v>
      </c>
      <c r="Q39" s="142" t="s">
        <v>47</v>
      </c>
      <c r="R39" s="76"/>
      <c r="S39" s="76"/>
      <c r="T39" s="76"/>
      <c r="U39" s="76"/>
      <c r="V39" s="76"/>
      <c r="W39" s="76"/>
      <c r="X39" s="76"/>
      <c r="Y39" s="76"/>
    </row>
    <row r="40" spans="1:25" s="6" customFormat="1" x14ac:dyDescent="0.25">
      <c r="A40" s="101"/>
      <c r="B40" s="101"/>
      <c r="C40" s="1" t="str">
        <f>_xlfn.CONCAT(tabE.Flux[[#This Row],[DATA]],"+",tabE.Flux[[#This Row],[MOTORISTA + MATRÍCULA A]])</f>
        <v>45885+FRANCISCO RAIMUNDO VIANA DE SOUSA - 5314</v>
      </c>
      <c r="D40" s="1" t="str">
        <f>_xlfn.CONCAT(tabE.Flux[[#This Row],[DATA]],"+",tabE.Flux[[#This Row],[MOTORISTA + MATRÍCULA B]])</f>
        <v>45885+RAIMUNDO COSTA SILVA - 6226</v>
      </c>
      <c r="E40" s="1" t="str">
        <f>_xlfn.CONCAT(tabE.Flux[[#This Row],[DATA]],"+",tabE.Flux[[#This Row],[MOTORISTA + MATRÍCULA A]],"+",tabE.Flux[[#This Row],[LINHA]])</f>
        <v>45885+FRANCISCO RAIMUNDO VIANA DE SOUSA - 5314+GOIANIA (GO) X SAO LUIS (MA)</v>
      </c>
      <c r="F40" s="1" t="str">
        <f>_xlfn.CONCAT(tabE.Flux[[#This Row],[DATA]],"+",tabE.Flux[[#This Row],[MOTORISTA + MATRÍCULA B]],"+",tabE.Flux[[#This Row],[LINHA]])</f>
        <v>45885+RAIMUNDO COSTA SILVA - 6226+GOIANIA (GO) X SAO LUIS (MA)</v>
      </c>
      <c r="G40" s="1" t="str">
        <f>_xlfn.CONCAT(tabE.Flux[[#This Row],[DATA]],"+",tabE.Flux[[#This Row],[LINHA]])</f>
        <v>45885+GOIANIA (GO) X SAO LUIS (MA)</v>
      </c>
      <c r="H40" s="141">
        <v>45885</v>
      </c>
      <c r="I40" s="142" t="s">
        <v>15</v>
      </c>
      <c r="J40" s="142">
        <v>24015</v>
      </c>
      <c r="K40" s="143">
        <v>0.8125</v>
      </c>
      <c r="L40" s="143">
        <v>0.84375</v>
      </c>
      <c r="M40" s="142" t="s">
        <v>16</v>
      </c>
      <c r="N40" s="142" t="s">
        <v>42</v>
      </c>
      <c r="O40" s="142" t="s">
        <v>87</v>
      </c>
      <c r="P40" s="142" t="s">
        <v>45</v>
      </c>
      <c r="Q40" s="142" t="s">
        <v>23</v>
      </c>
      <c r="R40" s="76"/>
      <c r="S40" s="76"/>
      <c r="T40" s="76"/>
      <c r="U40" s="76"/>
      <c r="V40" s="76"/>
      <c r="W40" s="76"/>
      <c r="X40" s="76"/>
      <c r="Y40" s="76"/>
    </row>
    <row r="41" spans="1:25" s="6" customFormat="1" x14ac:dyDescent="0.25">
      <c r="A41" s="101"/>
      <c r="B41" s="101"/>
      <c r="C41" s="1" t="str">
        <f>_xlfn.CONCAT(tabE.Flux[[#This Row],[DATA]],"+",tabE.Flux[[#This Row],[MOTORISTA + MATRÍCULA A]])</f>
        <v>45885+AELSON PEREIRA DO NASCIMENTO - 5682</v>
      </c>
      <c r="D41" s="1" t="str">
        <f>_xlfn.CONCAT(tabE.Flux[[#This Row],[DATA]],"+",tabE.Flux[[#This Row],[MOTORISTA + MATRÍCULA B]])</f>
        <v>45885+EDIMILSON LUIS FRANÇA - 5442</v>
      </c>
      <c r="E41" s="1" t="str">
        <f>_xlfn.CONCAT(tabE.Flux[[#This Row],[DATA]],"+",tabE.Flux[[#This Row],[MOTORISTA + MATRÍCULA A]],"+",tabE.Flux[[#This Row],[LINHA]])</f>
        <v>45885+AELSON PEREIRA DO NASCIMENTO - 5682+GOIANIA (GO) X TERESINA (PI) VIA STI</v>
      </c>
      <c r="F41" s="1" t="str">
        <f>_xlfn.CONCAT(tabE.Flux[[#This Row],[DATA]],"+",tabE.Flux[[#This Row],[MOTORISTA + MATRÍCULA B]],"+",tabE.Flux[[#This Row],[LINHA]])</f>
        <v>45885+EDIMILSON LUIS FRANÇA - 5442+GOIANIA (GO) X TERESINA (PI) VIA STI</v>
      </c>
      <c r="G41" s="1" t="str">
        <f>_xlfn.CONCAT(tabE.Flux[[#This Row],[DATA]],"+",tabE.Flux[[#This Row],[LINHA]])</f>
        <v>45885+GOIANIA (GO) X TERESINA (PI) VIA STI</v>
      </c>
      <c r="H41" s="141">
        <v>45885</v>
      </c>
      <c r="I41" s="142" t="s">
        <v>15</v>
      </c>
      <c r="J41" s="142">
        <v>20018</v>
      </c>
      <c r="K41" s="143">
        <v>0.77083333333333337</v>
      </c>
      <c r="L41" s="143">
        <v>0.79861111111111116</v>
      </c>
      <c r="M41" s="142" t="s">
        <v>16</v>
      </c>
      <c r="N41" s="142" t="s">
        <v>29</v>
      </c>
      <c r="O41" s="142" t="s">
        <v>88</v>
      </c>
      <c r="P41" s="142" t="s">
        <v>89</v>
      </c>
      <c r="Q41" s="142" t="s">
        <v>26</v>
      </c>
      <c r="R41" s="76"/>
      <c r="S41" s="76"/>
      <c r="T41" s="76"/>
      <c r="U41" s="76"/>
      <c r="V41" s="76"/>
      <c r="W41" s="76"/>
      <c r="X41" s="76"/>
      <c r="Y41" s="76"/>
    </row>
    <row r="42" spans="1:25" s="6" customFormat="1" x14ac:dyDescent="0.25">
      <c r="A42" s="101"/>
      <c r="B42" s="101"/>
      <c r="C42" s="1" t="str">
        <f>_xlfn.CONCAT(tabE.Flux[[#This Row],[DATA]],"+",tabE.Flux[[#This Row],[MOTORISTA + MATRÍCULA A]])</f>
        <v>45885+CANCELADO</v>
      </c>
      <c r="D42" s="1" t="str">
        <f>_xlfn.CONCAT(tabE.Flux[[#This Row],[DATA]],"+",tabE.Flux[[#This Row],[MOTORISTA + MATRÍCULA B]])</f>
        <v>45885+CANCELADO</v>
      </c>
      <c r="E42" s="1" t="str">
        <f>_xlfn.CONCAT(tabE.Flux[[#This Row],[DATA]],"+",tabE.Flux[[#This Row],[MOTORISTA + MATRÍCULA A]],"+",tabE.Flux[[#This Row],[LINHA]])</f>
        <v>45885+CANCELADO+GOIANIA (GO) X SAO LUIS (MA)</v>
      </c>
      <c r="F42" s="1" t="str">
        <f>_xlfn.CONCAT(tabE.Flux[[#This Row],[DATA]],"+",tabE.Flux[[#This Row],[MOTORISTA + MATRÍCULA B]],"+",tabE.Flux[[#This Row],[LINHA]])</f>
        <v>45885+CANCELADO+GOIANIA (GO) X SAO LUIS (MA)</v>
      </c>
      <c r="G42" s="1" t="str">
        <f>_xlfn.CONCAT(tabE.Flux[[#This Row],[DATA]],"+",tabE.Flux[[#This Row],[LINHA]])</f>
        <v>45885+GOIANIA (GO) X SAO LUIS (MA)</v>
      </c>
      <c r="H42" s="141">
        <v>45885</v>
      </c>
      <c r="I42" s="142" t="s">
        <v>15</v>
      </c>
      <c r="J42" s="144" t="s">
        <v>27</v>
      </c>
      <c r="K42" s="143">
        <v>0.8125</v>
      </c>
      <c r="L42" s="143">
        <v>0.84166666666666667</v>
      </c>
      <c r="M42" s="142" t="s">
        <v>16</v>
      </c>
      <c r="N42" s="142" t="s">
        <v>17</v>
      </c>
      <c r="O42" s="144" t="s">
        <v>27</v>
      </c>
      <c r="P42" s="144" t="s">
        <v>27</v>
      </c>
      <c r="Q42" s="142" t="s">
        <v>23</v>
      </c>
      <c r="R42" s="76"/>
      <c r="S42" s="76"/>
      <c r="T42" s="76"/>
      <c r="U42" s="76"/>
      <c r="V42" s="76"/>
      <c r="W42" s="76"/>
      <c r="X42" s="76"/>
      <c r="Y42" s="76"/>
    </row>
    <row r="43" spans="1:25" s="6" customFormat="1" x14ac:dyDescent="0.25">
      <c r="A43" s="101"/>
      <c r="B43" s="101"/>
      <c r="C43" s="1" t="str">
        <f>_xlfn.CONCAT(tabE.Flux[[#This Row],[DATA]],"+",tabE.Flux[[#This Row],[MOTORISTA + MATRÍCULA A]])</f>
        <v>45885+JOSE ALVES DE FREITAS NETO - 5027</v>
      </c>
      <c r="D43" s="1" t="str">
        <f>_xlfn.CONCAT(tabE.Flux[[#This Row],[DATA]],"+",tabE.Flux[[#This Row],[MOTORISTA + MATRÍCULA B]])</f>
        <v>45885+JOSE ALVES DA ROCHA - 5035</v>
      </c>
      <c r="E43" s="1" t="str">
        <f>_xlfn.CONCAT(tabE.Flux[[#This Row],[DATA]],"+",tabE.Flux[[#This Row],[MOTORISTA + MATRÍCULA A]],"+",tabE.Flux[[#This Row],[LINHA]])</f>
        <v>45885+JOSE ALVES DE FREITAS NETO - 5027+FORTALEZA (CE) X SINOP (MT)</v>
      </c>
      <c r="F43" s="1" t="str">
        <f>_xlfn.CONCAT(tabE.Flux[[#This Row],[DATA]],"+",tabE.Flux[[#This Row],[MOTORISTA + MATRÍCULA B]],"+",tabE.Flux[[#This Row],[LINHA]])</f>
        <v>45885+JOSE ALVES DA ROCHA - 5035+FORTALEZA (CE) X SINOP (MT)</v>
      </c>
      <c r="G43" s="1" t="str">
        <f>_xlfn.CONCAT(tabE.Flux[[#This Row],[DATA]],"+",tabE.Flux[[#This Row],[LINHA]])</f>
        <v>45885+FORTALEZA (CE) X SINOP (MT)</v>
      </c>
      <c r="H43" s="141">
        <v>45885</v>
      </c>
      <c r="I43" s="142" t="s">
        <v>15</v>
      </c>
      <c r="J43" s="142">
        <v>20022</v>
      </c>
      <c r="K43" s="143">
        <v>0.8125</v>
      </c>
      <c r="L43" s="143">
        <v>0.85416666666666663</v>
      </c>
      <c r="M43" s="142" t="s">
        <v>16</v>
      </c>
      <c r="N43" s="142" t="s">
        <v>17</v>
      </c>
      <c r="O43" s="142" t="s">
        <v>90</v>
      </c>
      <c r="P43" s="142" t="s">
        <v>91</v>
      </c>
      <c r="Q43" s="142" t="s">
        <v>32</v>
      </c>
      <c r="R43" s="76"/>
      <c r="S43" s="76"/>
      <c r="T43" s="76"/>
      <c r="U43" s="76"/>
      <c r="V43" s="76"/>
      <c r="W43" s="76"/>
      <c r="X43" s="76"/>
      <c r="Y43" s="76"/>
    </row>
    <row r="44" spans="1:25" s="6" customFormat="1" x14ac:dyDescent="0.25">
      <c r="A44" s="101"/>
      <c r="B44" s="101"/>
      <c r="C44" s="1" t="str">
        <f>_xlfn.CONCAT(tabE.Flux[[#This Row],[DATA]],"+",tabE.Flux[[#This Row],[MOTORISTA + MATRÍCULA A]])</f>
        <v>45885+ADAILTON DA SILVA RODRIGUES MENDONCA - 2662</v>
      </c>
      <c r="D44" s="1" t="str">
        <f>_xlfn.CONCAT(tabE.Flux[[#This Row],[DATA]],"+",tabE.Flux[[#This Row],[MOTORISTA + MATRÍCULA B]])</f>
        <v>45885+ENIO GOMES DE SOUZA - 5825</v>
      </c>
      <c r="E44" s="1" t="str">
        <f>_xlfn.CONCAT(tabE.Flux[[#This Row],[DATA]],"+",tabE.Flux[[#This Row],[MOTORISTA + MATRÍCULA A]],"+",tabE.Flux[[#This Row],[LINHA]])</f>
        <v>45885+ADAILTON DA SILVA RODRIGUES MENDONCA - 2662+GOIANIA (GO) X BELEM (PA)</v>
      </c>
      <c r="F44" s="1" t="str">
        <f>_xlfn.CONCAT(tabE.Flux[[#This Row],[DATA]],"+",tabE.Flux[[#This Row],[MOTORISTA + MATRÍCULA B]],"+",tabE.Flux[[#This Row],[LINHA]])</f>
        <v>45885+ENIO GOMES DE SOUZA - 5825+GOIANIA (GO) X BELEM (PA)</v>
      </c>
      <c r="G44" s="1" t="str">
        <f>_xlfn.CONCAT(tabE.Flux[[#This Row],[DATA]],"+",tabE.Flux[[#This Row],[LINHA]])</f>
        <v>45885+GOIANIA (GO) X BELEM (PA)</v>
      </c>
      <c r="H44" s="141">
        <v>45885</v>
      </c>
      <c r="I44" s="142" t="s">
        <v>15</v>
      </c>
      <c r="J44" s="142">
        <v>19013</v>
      </c>
      <c r="K44" s="143">
        <v>0.84722222222222221</v>
      </c>
      <c r="L44" s="143">
        <v>0.87847222222222221</v>
      </c>
      <c r="M44" s="142" t="s">
        <v>16</v>
      </c>
      <c r="N44" s="142" t="s">
        <v>17</v>
      </c>
      <c r="O44" s="142" t="s">
        <v>92</v>
      </c>
      <c r="P44" s="142" t="s">
        <v>93</v>
      </c>
      <c r="Q44" s="142" t="s">
        <v>20</v>
      </c>
      <c r="R44" s="76"/>
      <c r="S44" s="76"/>
      <c r="T44" s="76"/>
      <c r="U44" s="76"/>
      <c r="V44" s="76"/>
      <c r="W44" s="76"/>
      <c r="X44" s="76"/>
      <c r="Y44" s="76"/>
    </row>
    <row r="45" spans="1:25" s="6" customFormat="1" x14ac:dyDescent="0.25">
      <c r="A45" s="101"/>
      <c r="B45" s="101"/>
      <c r="C45" s="1" t="str">
        <f>_xlfn.CONCAT(tabE.Flux[[#This Row],[DATA]],"+",tabE.Flux[[#This Row],[MOTORISTA + MATRÍCULA A]])</f>
        <v>+</v>
      </c>
      <c r="D45" s="1" t="str">
        <f>_xlfn.CONCAT(tabE.Flux[[#This Row],[DATA]],"+",tabE.Flux[[#This Row],[MOTORISTA + MATRÍCULA B]])</f>
        <v>+</v>
      </c>
      <c r="E45" s="1" t="str">
        <f>_xlfn.CONCAT(tabE.Flux[[#This Row],[DATA]],"+",tabE.Flux[[#This Row],[MOTORISTA + MATRÍCULA A]],"+",tabE.Flux[[#This Row],[LINHA]])</f>
        <v>++</v>
      </c>
      <c r="F45" s="1" t="str">
        <f>_xlfn.CONCAT(tabE.Flux[[#This Row],[DATA]],"+",tabE.Flux[[#This Row],[MOTORISTA + MATRÍCULA B]],"+",tabE.Flux[[#This Row],[LINHA]])</f>
        <v>++</v>
      </c>
      <c r="G45" s="1" t="str">
        <f>_xlfn.CONCAT(tabE.Flux[[#This Row],[DATA]],"+",tabE.Flux[[#This Row],[LINHA]])</f>
        <v>+</v>
      </c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76"/>
      <c r="S45" s="76"/>
      <c r="T45" s="76"/>
      <c r="U45" s="76"/>
      <c r="V45" s="76"/>
      <c r="W45" s="76"/>
      <c r="X45" s="76"/>
      <c r="Y45" s="76"/>
    </row>
    <row r="46" spans="1:25" s="6" customFormat="1" ht="15" customHeight="1" x14ac:dyDescent="0.25">
      <c r="A46" s="101"/>
      <c r="B46" s="101"/>
      <c r="C46" s="1" t="str">
        <f>_xlfn.CONCAT(tabE.Flux[[#This Row],[DATA]],"+",tabE.Flux[[#This Row],[MOTORISTA + MATRÍCULA A]])</f>
        <v>45886+WILMAR JOSE DE SOUZA - 1763</v>
      </c>
      <c r="D46" s="1" t="str">
        <f>_xlfn.CONCAT(tabE.Flux[[#This Row],[DATA]],"+",tabE.Flux[[#This Row],[MOTORISTA + MATRÍCULA B]])</f>
        <v>45886+VILMAR JOSE CAMILO - 948</v>
      </c>
      <c r="E46" s="1" t="str">
        <f>_xlfn.CONCAT(tabE.Flux[[#This Row],[DATA]],"+",tabE.Flux[[#This Row],[MOTORISTA + MATRÍCULA A]],"+",tabE.Flux[[#This Row],[LINHA]])</f>
        <v>45886+WILMAR JOSE DE SOUZA - 1763+GOIANIA (GO) X BELEM (PA)</v>
      </c>
      <c r="F46" s="1" t="str">
        <f>_xlfn.CONCAT(tabE.Flux[[#This Row],[DATA]],"+",tabE.Flux[[#This Row],[MOTORISTA + MATRÍCULA B]],"+",tabE.Flux[[#This Row],[LINHA]])</f>
        <v>45886+VILMAR JOSE CAMILO - 948+GOIANIA (GO) X BELEM (PA)</v>
      </c>
      <c r="G46" s="1" t="str">
        <f>_xlfn.CONCAT(tabE.Flux[[#This Row],[DATA]],"+",tabE.Flux[[#This Row],[LINHA]])</f>
        <v>45886+GOIANIA (GO) X BELEM (PA)</v>
      </c>
      <c r="H46" s="141">
        <v>45886</v>
      </c>
      <c r="I46" s="142" t="s">
        <v>15</v>
      </c>
      <c r="J46" s="142">
        <v>24009</v>
      </c>
      <c r="K46" s="143">
        <v>0.25486111111111109</v>
      </c>
      <c r="L46" s="143">
        <v>0.3</v>
      </c>
      <c r="M46" s="142" t="s">
        <v>16</v>
      </c>
      <c r="N46" s="142" t="s">
        <v>17</v>
      </c>
      <c r="O46" s="142" t="s">
        <v>94</v>
      </c>
      <c r="P46" s="142" t="s">
        <v>95</v>
      </c>
      <c r="Q46" s="142" t="s">
        <v>20</v>
      </c>
      <c r="R46" s="76"/>
      <c r="S46" s="76"/>
      <c r="T46" s="76"/>
      <c r="U46" s="76"/>
      <c r="V46" s="76"/>
      <c r="W46" s="76"/>
      <c r="X46" s="76"/>
      <c r="Y46" s="76"/>
    </row>
    <row r="47" spans="1:25" s="6" customFormat="1" x14ac:dyDescent="0.25">
      <c r="A47" s="101"/>
      <c r="B47" s="101"/>
      <c r="C47" s="1" t="str">
        <f>_xlfn.CONCAT(tabE.Flux[[#This Row],[DATA]],"+",tabE.Flux[[#This Row],[MOTORISTA + MATRÍCULA A]])</f>
        <v>45886+IRISVAN DE JESUS - 5708</v>
      </c>
      <c r="D47" s="1" t="str">
        <f>_xlfn.CONCAT(tabE.Flux[[#This Row],[DATA]],"+",tabE.Flux[[#This Row],[MOTORISTA + MATRÍCULA B]])</f>
        <v>45886+JOSE MARQUES DE SOUZA - 5771</v>
      </c>
      <c r="E47" s="1" t="str">
        <f>_xlfn.CONCAT(tabE.Flux[[#This Row],[DATA]],"+",tabE.Flux[[#This Row],[MOTORISTA + MATRÍCULA A]],"+",tabE.Flux[[#This Row],[LINHA]])</f>
        <v>45886+IRISVAN DE JESUS - 5708+GOIANIA (GO) X SAO LUIS (MA)</v>
      </c>
      <c r="F47" s="1" t="str">
        <f>_xlfn.CONCAT(tabE.Flux[[#This Row],[DATA]],"+",tabE.Flux[[#This Row],[MOTORISTA + MATRÍCULA B]],"+",tabE.Flux[[#This Row],[LINHA]])</f>
        <v>45886+JOSE MARQUES DE SOUZA - 5771+GOIANIA (GO) X SAO LUIS (MA)</v>
      </c>
      <c r="G47" s="1" t="str">
        <f>_xlfn.CONCAT(tabE.Flux[[#This Row],[DATA]],"+",tabE.Flux[[#This Row],[LINHA]])</f>
        <v>45886+GOIANIA (GO) X SAO LUIS (MA)</v>
      </c>
      <c r="H47" s="141">
        <v>45886</v>
      </c>
      <c r="I47" s="142" t="s">
        <v>15</v>
      </c>
      <c r="J47" s="142">
        <v>24016</v>
      </c>
      <c r="K47" s="143">
        <v>0.32291666666666669</v>
      </c>
      <c r="L47" s="143">
        <v>0.33333333333333331</v>
      </c>
      <c r="M47" s="142" t="s">
        <v>16</v>
      </c>
      <c r="N47" s="142" t="s">
        <v>17</v>
      </c>
      <c r="O47" s="142" t="s">
        <v>96</v>
      </c>
      <c r="P47" s="142" t="s">
        <v>97</v>
      </c>
      <c r="Q47" s="142" t="s">
        <v>23</v>
      </c>
      <c r="R47" s="76"/>
      <c r="S47" s="76"/>
      <c r="T47" s="76"/>
      <c r="U47" s="76"/>
      <c r="V47" s="76"/>
      <c r="W47" s="76"/>
      <c r="X47" s="76"/>
      <c r="Y47" s="76"/>
    </row>
    <row r="48" spans="1:25" s="6" customFormat="1" x14ac:dyDescent="0.25">
      <c r="A48" s="101"/>
      <c r="B48" s="101"/>
      <c r="C48" s="1" t="str">
        <f>_xlfn.CONCAT(tabE.Flux[[#This Row],[DATA]],"+",tabE.Flux[[#This Row],[MOTORISTA + MATRÍCULA A]])</f>
        <v>45886+VALDELY RIBEIRO CAETANO - 5743</v>
      </c>
      <c r="D48" s="1" t="str">
        <f>_xlfn.CONCAT(tabE.Flux[[#This Row],[DATA]],"+",tabE.Flux[[#This Row],[MOTORISTA + MATRÍCULA B]])</f>
        <v>45886+CORESTINO RODRIGUES CALDEIRA FILHO - 6035</v>
      </c>
      <c r="E48" s="1" t="str">
        <f>_xlfn.CONCAT(tabE.Flux[[#This Row],[DATA]],"+",tabE.Flux[[#This Row],[MOTORISTA + MATRÍCULA A]],"+",tabE.Flux[[#This Row],[LINHA]])</f>
        <v>45886+VALDELY RIBEIRO CAETANO - 5743+GOIANIA (GO) X TERESINA (PI) VIA STI</v>
      </c>
      <c r="F48" s="1" t="str">
        <f>_xlfn.CONCAT(tabE.Flux[[#This Row],[DATA]],"+",tabE.Flux[[#This Row],[MOTORISTA + MATRÍCULA B]],"+",tabE.Flux[[#This Row],[LINHA]])</f>
        <v>45886+CORESTINO RODRIGUES CALDEIRA FILHO - 6035+GOIANIA (GO) X TERESINA (PI) VIA STI</v>
      </c>
      <c r="G48" s="1" t="str">
        <f>_xlfn.CONCAT(tabE.Flux[[#This Row],[DATA]],"+",tabE.Flux[[#This Row],[LINHA]])</f>
        <v>45886+GOIANIA (GO) X TERESINA (PI) VIA STI</v>
      </c>
      <c r="H48" s="141">
        <v>45886</v>
      </c>
      <c r="I48" s="142" t="s">
        <v>15</v>
      </c>
      <c r="J48" s="142">
        <v>19008</v>
      </c>
      <c r="K48" s="143">
        <v>0.3888888888888889</v>
      </c>
      <c r="L48" s="143">
        <v>0.39583333333333331</v>
      </c>
      <c r="M48" s="142" t="s">
        <v>16</v>
      </c>
      <c r="N48" s="142" t="s">
        <v>17</v>
      </c>
      <c r="O48" s="142" t="s">
        <v>98</v>
      </c>
      <c r="P48" s="142" t="s">
        <v>99</v>
      </c>
      <c r="Q48" s="142" t="s">
        <v>26</v>
      </c>
      <c r="R48" s="76"/>
      <c r="S48" s="76"/>
      <c r="T48" s="76"/>
      <c r="U48" s="76"/>
      <c r="V48" s="76"/>
      <c r="W48" s="76"/>
      <c r="X48" s="76"/>
      <c r="Y48" s="76"/>
    </row>
    <row r="49" spans="1:25" s="6" customFormat="1" x14ac:dyDescent="0.25">
      <c r="A49" s="101"/>
      <c r="B49" s="101"/>
      <c r="C49" s="1" t="str">
        <f>_xlfn.CONCAT(tabE.Flux[[#This Row],[DATA]],"+",tabE.Flux[[#This Row],[MOTORISTA + MATRÍCULA A]])</f>
        <v>45886+CANCELADO</v>
      </c>
      <c r="D49" s="1" t="str">
        <f>_xlfn.CONCAT(tabE.Flux[[#This Row],[DATA]],"+",tabE.Flux[[#This Row],[MOTORISTA + MATRÍCULA B]])</f>
        <v>45886+CANCELADO</v>
      </c>
      <c r="E49" s="1" t="str">
        <f>_xlfn.CONCAT(tabE.Flux[[#This Row],[DATA]],"+",tabE.Flux[[#This Row],[MOTORISTA + MATRÍCULA A]],"+",tabE.Flux[[#This Row],[LINHA]])</f>
        <v>45886+CANCELADO+IMPERATRIZ (MA) X VILA RICA (MT)</v>
      </c>
      <c r="F49" s="1" t="str">
        <f>_xlfn.CONCAT(tabE.Flux[[#This Row],[DATA]],"+",tabE.Flux[[#This Row],[MOTORISTA + MATRÍCULA B]],"+",tabE.Flux[[#This Row],[LINHA]])</f>
        <v>45886+CANCELADO+IMPERATRIZ (MA) X VILA RICA (MT)</v>
      </c>
      <c r="G49" s="1" t="str">
        <f>_xlfn.CONCAT(tabE.Flux[[#This Row],[DATA]],"+",tabE.Flux[[#This Row],[LINHA]])</f>
        <v>45886+IMPERATRIZ (MA) X VILA RICA (MT)</v>
      </c>
      <c r="H49" s="141">
        <v>45886</v>
      </c>
      <c r="I49" s="142" t="s">
        <v>15</v>
      </c>
      <c r="J49" s="144" t="s">
        <v>27</v>
      </c>
      <c r="K49" s="143">
        <v>0.375</v>
      </c>
      <c r="L49" s="143">
        <v>0.41666666666666669</v>
      </c>
      <c r="M49" s="142" t="s">
        <v>16</v>
      </c>
      <c r="N49" s="142" t="s">
        <v>28</v>
      </c>
      <c r="O49" s="144" t="s">
        <v>27</v>
      </c>
      <c r="P49" s="144" t="s">
        <v>27</v>
      </c>
      <c r="Q49" s="142" t="s">
        <v>100</v>
      </c>
      <c r="R49" s="76"/>
      <c r="S49" s="76"/>
      <c r="T49" s="76"/>
      <c r="U49" s="76"/>
      <c r="V49" s="76"/>
      <c r="W49" s="76"/>
      <c r="X49" s="76"/>
      <c r="Y49" s="76"/>
    </row>
    <row r="50" spans="1:25" s="6" customFormat="1" x14ac:dyDescent="0.25">
      <c r="A50" s="101"/>
      <c r="B50" s="101"/>
      <c r="C50" s="1" t="str">
        <f>_xlfn.CONCAT(tabE.Flux[[#This Row],[DATA]],"+",tabE.Flux[[#This Row],[MOTORISTA + MATRÍCULA A]])</f>
        <v>45886+LUIZ CARLOS MARIANO SIQUEIRA - 5634</v>
      </c>
      <c r="D50" s="1" t="str">
        <f>_xlfn.CONCAT(tabE.Flux[[#This Row],[DATA]],"+",tabE.Flux[[#This Row],[MOTORISTA + MATRÍCULA B]])</f>
        <v>45886+RAIMUNDO NONATO MAGALHAES DO NASCIMENTO - 5662</v>
      </c>
      <c r="E50" s="1" t="str">
        <f>_xlfn.CONCAT(tabE.Flux[[#This Row],[DATA]],"+",tabE.Flux[[#This Row],[MOTORISTA + MATRÍCULA A]],"+",tabE.Flux[[#This Row],[LINHA]])</f>
        <v>45886+LUIZ CARLOS MARIANO SIQUEIRA - 5634+FORTALEZA (CE) X SINOP (MT)</v>
      </c>
      <c r="F50" s="1" t="str">
        <f>_xlfn.CONCAT(tabE.Flux[[#This Row],[DATA]],"+",tabE.Flux[[#This Row],[MOTORISTA + MATRÍCULA B]],"+",tabE.Flux[[#This Row],[LINHA]])</f>
        <v>45886+RAIMUNDO NONATO MAGALHAES DO NASCIMENTO - 5662+FORTALEZA (CE) X SINOP (MT)</v>
      </c>
      <c r="G50" s="1" t="str">
        <f>_xlfn.CONCAT(tabE.Flux[[#This Row],[DATA]],"+",tabE.Flux[[#This Row],[LINHA]])</f>
        <v>45886+FORTALEZA (CE) X SINOP (MT)</v>
      </c>
      <c r="H50" s="141">
        <v>45886</v>
      </c>
      <c r="I50" s="142" t="s">
        <v>15</v>
      </c>
      <c r="J50" s="142">
        <v>19006</v>
      </c>
      <c r="K50" s="143">
        <v>0.3888888888888889</v>
      </c>
      <c r="L50" s="143">
        <v>0.37708333333333333</v>
      </c>
      <c r="M50" s="142" t="s">
        <v>16</v>
      </c>
      <c r="N50" s="142" t="s">
        <v>29</v>
      </c>
      <c r="O50" s="142" t="s">
        <v>51</v>
      </c>
      <c r="P50" s="142" t="s">
        <v>101</v>
      </c>
      <c r="Q50" s="142" t="s">
        <v>32</v>
      </c>
      <c r="R50" s="76"/>
      <c r="S50" s="76"/>
      <c r="T50" s="76"/>
      <c r="U50" s="76"/>
      <c r="V50" s="76"/>
      <c r="W50" s="76"/>
      <c r="X50" s="76"/>
      <c r="Y50" s="76"/>
    </row>
    <row r="51" spans="1:25" s="6" customFormat="1" x14ac:dyDescent="0.25">
      <c r="A51" s="101"/>
      <c r="B51" s="101"/>
      <c r="C51" s="1" t="str">
        <f>_xlfn.CONCAT(tabE.Flux[[#This Row],[DATA]],"+",tabE.Flux[[#This Row],[MOTORISTA + MATRÍCULA A]])</f>
        <v>45886+KLEBER OLIVEIRA LIMA - 5849</v>
      </c>
      <c r="D51" s="1" t="str">
        <f>_xlfn.CONCAT(tabE.Flux[[#This Row],[DATA]],"+",tabE.Flux[[#This Row],[MOTORISTA + MATRÍCULA B]])</f>
        <v>45886+JAME DOS SANTOS MOURA - 5332</v>
      </c>
      <c r="E51" s="1" t="str">
        <f>_xlfn.CONCAT(tabE.Flux[[#This Row],[DATA]],"+",tabE.Flux[[#This Row],[MOTORISTA + MATRÍCULA A]],"+",tabE.Flux[[#This Row],[LINHA]])</f>
        <v>45886+KLEBER OLIVEIRA LIMA - 5849+GOIANIA (GO) X BELEM (PA)</v>
      </c>
      <c r="F51" s="1" t="str">
        <f>_xlfn.CONCAT(tabE.Flux[[#This Row],[DATA]],"+",tabE.Flux[[#This Row],[MOTORISTA + MATRÍCULA B]],"+",tabE.Flux[[#This Row],[LINHA]])</f>
        <v>45886+JAME DOS SANTOS MOURA - 5332+GOIANIA (GO) X BELEM (PA)</v>
      </c>
      <c r="G51" s="1" t="str">
        <f>_xlfn.CONCAT(tabE.Flux[[#This Row],[DATA]],"+",tabE.Flux[[#This Row],[LINHA]])</f>
        <v>45886+GOIANIA (GO) X BELEM (PA)</v>
      </c>
      <c r="H51" s="141">
        <v>45886</v>
      </c>
      <c r="I51" s="142" t="s">
        <v>15</v>
      </c>
      <c r="J51" s="142">
        <v>19024</v>
      </c>
      <c r="K51" s="143">
        <v>0.38958333333333334</v>
      </c>
      <c r="L51" s="143">
        <v>0.38541666666666669</v>
      </c>
      <c r="M51" s="142" t="s">
        <v>16</v>
      </c>
      <c r="N51" s="142" t="s">
        <v>33</v>
      </c>
      <c r="O51" s="142" t="s">
        <v>102</v>
      </c>
      <c r="P51" s="142" t="s">
        <v>103</v>
      </c>
      <c r="Q51" s="142" t="s">
        <v>20</v>
      </c>
      <c r="R51" s="76"/>
      <c r="S51" s="76"/>
      <c r="T51" s="76"/>
      <c r="U51" s="76"/>
      <c r="V51" s="76"/>
      <c r="W51" s="76"/>
      <c r="X51" s="76"/>
      <c r="Y51" s="76"/>
    </row>
    <row r="52" spans="1:25" s="6" customFormat="1" x14ac:dyDescent="0.25">
      <c r="A52" s="101"/>
      <c r="B52" s="101"/>
      <c r="C52" s="1" t="str">
        <f>_xlfn.CONCAT(tabE.Flux[[#This Row],[DATA]],"+",tabE.Flux[[#This Row],[MOTORISTA + MATRÍCULA A]])</f>
        <v>45886+JOSE ORLANDO RODRIGUES DE MIRANDA - 5838</v>
      </c>
      <c r="D52" s="1" t="str">
        <f>_xlfn.CONCAT(tabE.Flux[[#This Row],[DATA]],"+",tabE.Flux[[#This Row],[MOTORISTA + MATRÍCULA B]])</f>
        <v>45886+JACINTO BATISTA DE SOUSA - 5271</v>
      </c>
      <c r="E52" s="1" t="str">
        <f>_xlfn.CONCAT(tabE.Flux[[#This Row],[DATA]],"+",tabE.Flux[[#This Row],[MOTORISTA + MATRÍCULA A]],"+",tabE.Flux[[#This Row],[LINHA]])</f>
        <v>45886+JOSE ORLANDO RODRIGUES DE MIRANDA - 5838+GOIANIA (GO) X TERESINA (PI) VIA BC</v>
      </c>
      <c r="F52" s="1" t="str">
        <f>_xlfn.CONCAT(tabE.Flux[[#This Row],[DATA]],"+",tabE.Flux[[#This Row],[MOTORISTA + MATRÍCULA B]],"+",tabE.Flux[[#This Row],[LINHA]])</f>
        <v>45886+JACINTO BATISTA DE SOUSA - 5271+GOIANIA (GO) X TERESINA (PI) VIA BC</v>
      </c>
      <c r="G52" s="1" t="str">
        <f>_xlfn.CONCAT(tabE.Flux[[#This Row],[DATA]],"+",tabE.Flux[[#This Row],[LINHA]])</f>
        <v>45886+GOIANIA (GO) X TERESINA (PI) VIA BC</v>
      </c>
      <c r="H52" s="141">
        <v>45886</v>
      </c>
      <c r="I52" s="142" t="s">
        <v>15</v>
      </c>
      <c r="J52" s="142">
        <v>24003</v>
      </c>
      <c r="K52" s="143">
        <v>0.375</v>
      </c>
      <c r="L52" s="143">
        <v>0.39930555555555558</v>
      </c>
      <c r="M52" s="142" t="s">
        <v>36</v>
      </c>
      <c r="N52" s="142" t="s">
        <v>29</v>
      </c>
      <c r="O52" s="142" t="s">
        <v>37</v>
      </c>
      <c r="P52" s="142" t="s">
        <v>104</v>
      </c>
      <c r="Q52" s="142" t="s">
        <v>39</v>
      </c>
      <c r="R52" s="76"/>
      <c r="S52" s="76"/>
      <c r="T52" s="76"/>
      <c r="U52" s="76"/>
      <c r="V52" s="76"/>
      <c r="W52" s="76"/>
      <c r="X52" s="76"/>
      <c r="Y52" s="76"/>
    </row>
    <row r="53" spans="1:25" s="6" customFormat="1" x14ac:dyDescent="0.25">
      <c r="A53" s="101"/>
      <c r="B53" s="101"/>
      <c r="C53" s="1" t="str">
        <f>_xlfn.CONCAT(tabE.Flux[[#This Row],[DATA]],"+",tabE.Flux[[#This Row],[MOTORISTA + MATRÍCULA A]])</f>
        <v>45886+ANTONIO JOSE PEREIRA SOARES - 1774</v>
      </c>
      <c r="D53" s="1" t="str">
        <f>_xlfn.CONCAT(tabE.Flux[[#This Row],[DATA]],"+",tabE.Flux[[#This Row],[MOTORISTA + MATRÍCULA B]])</f>
        <v>45886+ELIEZIO JOSE DOS SANTOS - 2645</v>
      </c>
      <c r="E53" s="1" t="str">
        <f>_xlfn.CONCAT(tabE.Flux[[#This Row],[DATA]],"+",tabE.Flux[[#This Row],[MOTORISTA + MATRÍCULA A]],"+",tabE.Flux[[#This Row],[LINHA]])</f>
        <v>45886+ANTONIO JOSE PEREIRA SOARES - 1774+GOIANIA (GO) X BELEM (PA)</v>
      </c>
      <c r="F53" s="1" t="str">
        <f>_xlfn.CONCAT(tabE.Flux[[#This Row],[DATA]],"+",tabE.Flux[[#This Row],[MOTORISTA + MATRÍCULA B]],"+",tabE.Flux[[#This Row],[LINHA]])</f>
        <v>45886+ELIEZIO JOSE DOS SANTOS - 2645+GOIANIA (GO) X BELEM (PA)</v>
      </c>
      <c r="G53" s="1" t="str">
        <f>_xlfn.CONCAT(tabE.Flux[[#This Row],[DATA]],"+",tabE.Flux[[#This Row],[LINHA]])</f>
        <v>45886+GOIANIA (GO) X BELEM (PA)</v>
      </c>
      <c r="H53" s="141">
        <v>45886</v>
      </c>
      <c r="I53" s="142" t="s">
        <v>15</v>
      </c>
      <c r="J53" s="142">
        <v>19004</v>
      </c>
      <c r="K53" s="143">
        <v>0.375</v>
      </c>
      <c r="L53" s="143">
        <v>0.41666666666666669</v>
      </c>
      <c r="M53" s="142" t="s">
        <v>33</v>
      </c>
      <c r="N53" s="142" t="s">
        <v>16</v>
      </c>
      <c r="O53" s="142" t="s">
        <v>52</v>
      </c>
      <c r="P53" s="142" t="s">
        <v>53</v>
      </c>
      <c r="Q53" s="142" t="s">
        <v>20</v>
      </c>
      <c r="R53" s="76"/>
      <c r="S53" s="76"/>
      <c r="T53" s="76"/>
      <c r="U53" s="76"/>
      <c r="V53" s="76"/>
      <c r="W53" s="76"/>
      <c r="X53" s="76"/>
      <c r="Y53" s="76"/>
    </row>
    <row r="54" spans="1:25" s="6" customFormat="1" x14ac:dyDescent="0.25">
      <c r="A54" s="101"/>
      <c r="B54" s="101"/>
      <c r="C54" s="1" t="str">
        <f>_xlfn.CONCAT(tabE.Flux[[#This Row],[DATA]],"+",tabE.Flux[[#This Row],[MOTORISTA + MATRÍCULA A]])</f>
        <v>45886+CANCELADO</v>
      </c>
      <c r="D54" s="1" t="str">
        <f>_xlfn.CONCAT(tabE.Flux[[#This Row],[DATA]],"+",tabE.Flux[[#This Row],[MOTORISTA + MATRÍCULA B]])</f>
        <v>45886+CANCELADO</v>
      </c>
      <c r="E54" s="1" t="str">
        <f>_xlfn.CONCAT(tabE.Flux[[#This Row],[DATA]],"+",tabE.Flux[[#This Row],[MOTORISTA + MATRÍCULA A]],"+",tabE.Flux[[#This Row],[LINHA]])</f>
        <v>45886+CANCELADO+GOIANIA (GO) X SAO LUIS (MA)</v>
      </c>
      <c r="F54" s="1" t="str">
        <f>_xlfn.CONCAT(tabE.Flux[[#This Row],[DATA]],"+",tabE.Flux[[#This Row],[MOTORISTA + MATRÍCULA B]],"+",tabE.Flux[[#This Row],[LINHA]])</f>
        <v>45886+CANCELADO+GOIANIA (GO) X SAO LUIS (MA)</v>
      </c>
      <c r="G54" s="1" t="str">
        <f>_xlfn.CONCAT(tabE.Flux[[#This Row],[DATA]],"+",tabE.Flux[[#This Row],[LINHA]])</f>
        <v>45886+GOIANIA (GO) X SAO LUIS (MA)</v>
      </c>
      <c r="H54" s="141">
        <v>45886</v>
      </c>
      <c r="I54" s="142" t="s">
        <v>15</v>
      </c>
      <c r="J54" s="144" t="s">
        <v>27</v>
      </c>
      <c r="K54" s="143">
        <v>0.25</v>
      </c>
      <c r="L54" s="143">
        <v>0.29166666666666669</v>
      </c>
      <c r="M54" s="142" t="s">
        <v>42</v>
      </c>
      <c r="N54" s="142" t="s">
        <v>16</v>
      </c>
      <c r="O54" s="144" t="s">
        <v>27</v>
      </c>
      <c r="P54" s="144" t="s">
        <v>27</v>
      </c>
      <c r="Q54" s="142" t="s">
        <v>23</v>
      </c>
      <c r="R54" s="76"/>
      <c r="S54" s="76"/>
      <c r="T54" s="76"/>
      <c r="U54" s="76"/>
      <c r="V54" s="76"/>
      <c r="W54" s="76"/>
      <c r="X54" s="76"/>
      <c r="Y54" s="76"/>
    </row>
    <row r="55" spans="1:25" s="6" customFormat="1" x14ac:dyDescent="0.25">
      <c r="A55" s="101"/>
      <c r="B55" s="101"/>
      <c r="C55" s="1" t="str">
        <f>_xlfn.CONCAT(tabE.Flux[[#This Row],[DATA]],"+",tabE.Flux[[#This Row],[MOTORISTA + MATRÍCULA A]])</f>
        <v>45886+PAULO ENEAS FARIAS ARAUJO - 6218</v>
      </c>
      <c r="D55" s="1" t="str">
        <f>_xlfn.CONCAT(tabE.Flux[[#This Row],[DATA]],"+",tabE.Flux[[#This Row],[MOTORISTA + MATRÍCULA B]])</f>
        <v>45886+FRANCISCO RAIMUNDO VIANA DE SOUSA - 5314</v>
      </c>
      <c r="E55" s="1" t="str">
        <f>_xlfn.CONCAT(tabE.Flux[[#This Row],[DATA]],"+",tabE.Flux[[#This Row],[MOTORISTA + MATRÍCULA A]],"+",tabE.Flux[[#This Row],[LINHA]])</f>
        <v>45886+PAULO ENEAS FARIAS ARAUJO - 6218+GOIANIA (GO) X SAO LUIS (MA)</v>
      </c>
      <c r="F55" s="1" t="str">
        <f>_xlfn.CONCAT(tabE.Flux[[#This Row],[DATA]],"+",tabE.Flux[[#This Row],[MOTORISTA + MATRÍCULA B]],"+",tabE.Flux[[#This Row],[LINHA]])</f>
        <v>45886+FRANCISCO RAIMUNDO VIANA DE SOUSA - 5314+GOIANIA (GO) X SAO LUIS (MA)</v>
      </c>
      <c r="G55" s="1" t="str">
        <f>_xlfn.CONCAT(tabE.Flux[[#This Row],[DATA]],"+",tabE.Flux[[#This Row],[LINHA]])</f>
        <v>45886+GOIANIA (GO) X SAO LUIS (MA)</v>
      </c>
      <c r="H55" s="141">
        <v>45886</v>
      </c>
      <c r="I55" s="142" t="s">
        <v>15</v>
      </c>
      <c r="J55" s="142">
        <v>24015</v>
      </c>
      <c r="K55" s="143">
        <v>0.75</v>
      </c>
      <c r="L55" s="143">
        <v>0.79166666666666663</v>
      </c>
      <c r="M55" s="142" t="s">
        <v>42</v>
      </c>
      <c r="N55" s="142" t="s">
        <v>16</v>
      </c>
      <c r="O55" s="142" t="s">
        <v>43</v>
      </c>
      <c r="P55" s="142" t="s">
        <v>87</v>
      </c>
      <c r="Q55" s="142" t="s">
        <v>23</v>
      </c>
      <c r="R55" s="76"/>
      <c r="S55" s="76"/>
      <c r="T55" s="76"/>
      <c r="U55" s="76"/>
      <c r="V55" s="76"/>
      <c r="W55" s="76"/>
      <c r="X55" s="76"/>
      <c r="Y55" s="76"/>
    </row>
    <row r="56" spans="1:25" s="6" customFormat="1" x14ac:dyDescent="0.25">
      <c r="A56" s="101"/>
      <c r="B56" s="101"/>
      <c r="C56" s="1" t="str">
        <f>_xlfn.CONCAT(tabE.Flux[[#This Row],[DATA]],"+",tabE.Flux[[#This Row],[MOTORISTA + MATRÍCULA A]])</f>
        <v>45886+EDIVALDO DE ARAUJO - 6217</v>
      </c>
      <c r="D56" s="1" t="str">
        <f>_xlfn.CONCAT(tabE.Flux[[#This Row],[DATA]],"+",tabE.Flux[[#This Row],[MOTORISTA + MATRÍCULA B]])</f>
        <v>45886+RONNE RODRIGUES DE SOUSA - 5025</v>
      </c>
      <c r="E56" s="1" t="str">
        <f>_xlfn.CONCAT(tabE.Flux[[#This Row],[DATA]],"+",tabE.Flux[[#This Row],[MOTORISTA + MATRÍCULA A]],"+",tabE.Flux[[#This Row],[LINHA]])</f>
        <v>45886+EDIVALDO DE ARAUJO - 6217+IMPERATRIZ (MA) X SÃO LUIS (MA)</v>
      </c>
      <c r="F56" s="1" t="str">
        <f>_xlfn.CONCAT(tabE.Flux[[#This Row],[DATA]],"+",tabE.Flux[[#This Row],[MOTORISTA + MATRÍCULA B]],"+",tabE.Flux[[#This Row],[LINHA]])</f>
        <v>45886+RONNE RODRIGUES DE SOUSA - 5025+IMPERATRIZ (MA) X SÃO LUIS (MA)</v>
      </c>
      <c r="G56" s="1" t="str">
        <f>_xlfn.CONCAT(tabE.Flux[[#This Row],[DATA]],"+",tabE.Flux[[#This Row],[LINHA]])</f>
        <v>45886+IMPERATRIZ (MA) X SÃO LUIS (MA)</v>
      </c>
      <c r="H56" s="141">
        <v>45886</v>
      </c>
      <c r="I56" s="142" t="s">
        <v>15</v>
      </c>
      <c r="J56" s="142">
        <v>18008</v>
      </c>
      <c r="K56" s="143">
        <v>0.77083333333333337</v>
      </c>
      <c r="L56" s="143">
        <v>0.79513888888888884</v>
      </c>
      <c r="M56" s="142" t="s">
        <v>42</v>
      </c>
      <c r="N56" s="142" t="s">
        <v>16</v>
      </c>
      <c r="O56" s="142" t="s">
        <v>55</v>
      </c>
      <c r="P56" s="142" t="s">
        <v>85</v>
      </c>
      <c r="Q56" s="142" t="s">
        <v>47</v>
      </c>
      <c r="R56" s="76"/>
      <c r="S56" s="76"/>
      <c r="T56" s="76"/>
      <c r="U56" s="76"/>
      <c r="V56" s="76"/>
      <c r="W56" s="76"/>
      <c r="X56" s="76"/>
      <c r="Y56" s="76"/>
    </row>
    <row r="57" spans="1:25" s="6" customFormat="1" x14ac:dyDescent="0.25">
      <c r="A57" s="101"/>
      <c r="B57" s="101"/>
      <c r="C57" s="1" t="str">
        <f>_xlfn.CONCAT(tabE.Flux[[#This Row],[DATA]],"+",tabE.Flux[[#This Row],[MOTORISTA + MATRÍCULA A]])</f>
        <v>45886+CLEITON ALENCAR DA ROCHA - 1146</v>
      </c>
      <c r="D57" s="1" t="str">
        <f>_xlfn.CONCAT(tabE.Flux[[#This Row],[DATA]],"+",tabE.Flux[[#This Row],[MOTORISTA + MATRÍCULA B]])</f>
        <v>45886+JOSE PEDRO DA SILVA FREITAS - 1357</v>
      </c>
      <c r="E57" s="1" t="str">
        <f>_xlfn.CONCAT(tabE.Flux[[#This Row],[DATA]],"+",tabE.Flux[[#This Row],[MOTORISTA + MATRÍCULA A]],"+",tabE.Flux[[#This Row],[LINHA]])</f>
        <v>45886+CLEITON ALENCAR DA ROCHA - 1146+GOIANIA (GO) X TERESINA (PI) VIA BC</v>
      </c>
      <c r="F57" s="1" t="str">
        <f>_xlfn.CONCAT(tabE.Flux[[#This Row],[DATA]],"+",tabE.Flux[[#This Row],[MOTORISTA + MATRÍCULA B]],"+",tabE.Flux[[#This Row],[LINHA]])</f>
        <v>45886+JOSE PEDRO DA SILVA FREITAS - 1357+GOIANIA (GO) X TERESINA (PI) VIA BC</v>
      </c>
      <c r="G57" s="1" t="str">
        <f>_xlfn.CONCAT(tabE.Flux[[#This Row],[DATA]],"+",tabE.Flux[[#This Row],[LINHA]])</f>
        <v>45886+GOIANIA (GO) X TERESINA (PI) VIA BC</v>
      </c>
      <c r="H57" s="141">
        <v>45886</v>
      </c>
      <c r="I57" s="142" t="s">
        <v>15</v>
      </c>
      <c r="J57" s="142">
        <v>24011</v>
      </c>
      <c r="K57" s="143">
        <v>0.89583333333333337</v>
      </c>
      <c r="L57" s="143">
        <v>0.91666666666666663</v>
      </c>
      <c r="M57" s="142" t="s">
        <v>36</v>
      </c>
      <c r="N57" s="142" t="s">
        <v>17</v>
      </c>
      <c r="O57" s="142" t="s">
        <v>105</v>
      </c>
      <c r="P57" s="142" t="s">
        <v>106</v>
      </c>
      <c r="Q57" s="142" t="s">
        <v>39</v>
      </c>
      <c r="R57" s="76"/>
      <c r="S57" s="76"/>
      <c r="T57" s="76"/>
      <c r="U57" s="76"/>
      <c r="V57" s="76"/>
      <c r="W57" s="76"/>
      <c r="X57" s="76"/>
      <c r="Y57" s="76"/>
    </row>
    <row r="58" spans="1:25" s="6" customFormat="1" x14ac:dyDescent="0.25">
      <c r="A58" s="101"/>
      <c r="B58" s="101"/>
      <c r="C58" s="1" t="str">
        <f>_xlfn.CONCAT(tabE.Flux[[#This Row],[DATA]],"+",tabE.Flux[[#This Row],[MOTORISTA + MATRÍCULA A]])</f>
        <v>45886+NILSON CORTEZ MIRANDA - 5636</v>
      </c>
      <c r="D58" s="1" t="str">
        <f>_xlfn.CONCAT(tabE.Flux[[#This Row],[DATA]],"+",tabE.Flux[[#This Row],[MOTORISTA + MATRÍCULA B]])</f>
        <v>45886+JOSE CARLOS BEZERRA DA SILVA - 3034</v>
      </c>
      <c r="E58" s="1" t="str">
        <f>_xlfn.CONCAT(tabE.Flux[[#This Row],[DATA]],"+",tabE.Flux[[#This Row],[MOTORISTA + MATRÍCULA A]],"+",tabE.Flux[[#This Row],[LINHA]])</f>
        <v>45886+NILSON CORTEZ MIRANDA - 5636+GOIANIA (GO) X BELEM (PA)</v>
      </c>
      <c r="F58" s="1" t="str">
        <f>_xlfn.CONCAT(tabE.Flux[[#This Row],[DATA]],"+",tabE.Flux[[#This Row],[MOTORISTA + MATRÍCULA B]],"+",tabE.Flux[[#This Row],[LINHA]])</f>
        <v>45886+JOSE CARLOS BEZERRA DA SILVA - 3034+GOIANIA (GO) X BELEM (PA)</v>
      </c>
      <c r="G58" s="1" t="str">
        <f>_xlfn.CONCAT(tabE.Flux[[#This Row],[DATA]],"+",tabE.Flux[[#This Row],[LINHA]])</f>
        <v>45886+GOIANIA (GO) X BELEM (PA)</v>
      </c>
      <c r="H58" s="141">
        <v>45886</v>
      </c>
      <c r="I58" s="142" t="s">
        <v>15</v>
      </c>
      <c r="J58" s="142">
        <v>24013</v>
      </c>
      <c r="K58" s="143">
        <v>0.76041666666666663</v>
      </c>
      <c r="L58" s="143">
        <v>0.77083333333333337</v>
      </c>
      <c r="M58" s="142" t="s">
        <v>33</v>
      </c>
      <c r="N58" s="142" t="s">
        <v>16</v>
      </c>
      <c r="O58" s="142" t="s">
        <v>75</v>
      </c>
      <c r="P58" s="142" t="s">
        <v>76</v>
      </c>
      <c r="Q58" s="142" t="s">
        <v>20</v>
      </c>
      <c r="R58" s="76"/>
      <c r="S58" s="76"/>
      <c r="T58" s="76"/>
      <c r="U58" s="76"/>
      <c r="V58" s="76"/>
      <c r="W58" s="76"/>
      <c r="X58" s="76"/>
      <c r="Y58" s="76"/>
    </row>
    <row r="59" spans="1:25" s="6" customFormat="1" x14ac:dyDescent="0.25">
      <c r="A59" s="101"/>
      <c r="B59" s="101"/>
      <c r="C59" s="1" t="str">
        <f>_xlfn.CONCAT(tabE.Flux[[#This Row],[DATA]],"+",tabE.Flux[[#This Row],[MOTORISTA + MATRÍCULA A]])</f>
        <v>45886+MARCIO RODRIGUES DA COSTA - 5993</v>
      </c>
      <c r="D59" s="1" t="str">
        <f>_xlfn.CONCAT(tabE.Flux[[#This Row],[DATA]],"+",tabE.Flux[[#This Row],[MOTORISTA + MATRÍCULA B]])</f>
        <v>45886+RAINERIO COSTA MENDES - 5850</v>
      </c>
      <c r="E59" s="1" t="str">
        <f>_xlfn.CONCAT(tabE.Flux[[#This Row],[DATA]],"+",tabE.Flux[[#This Row],[MOTORISTA + MATRÍCULA A]],"+",tabE.Flux[[#This Row],[LINHA]])</f>
        <v>45886+MARCIO RODRIGUES DA COSTA - 5993+GOIANIA (GO) X BELEM (PA)</v>
      </c>
      <c r="F59" s="1" t="str">
        <f>_xlfn.CONCAT(tabE.Flux[[#This Row],[DATA]],"+",tabE.Flux[[#This Row],[MOTORISTA + MATRÍCULA B]],"+",tabE.Flux[[#This Row],[LINHA]])</f>
        <v>45886+RAINERIO COSTA MENDES - 5850+GOIANIA (GO) X BELEM (PA)</v>
      </c>
      <c r="G59" s="1" t="str">
        <f>_xlfn.CONCAT(tabE.Flux[[#This Row],[DATA]],"+",tabE.Flux[[#This Row],[LINHA]])</f>
        <v>45886+GOIANIA (GO) X BELEM (PA)</v>
      </c>
      <c r="H59" s="141">
        <v>45886</v>
      </c>
      <c r="I59" s="142" t="s">
        <v>15</v>
      </c>
      <c r="J59" s="142">
        <v>24014</v>
      </c>
      <c r="K59" s="143">
        <v>0.76041666666666663</v>
      </c>
      <c r="L59" s="143">
        <v>0.82777777777777772</v>
      </c>
      <c r="M59" s="142" t="s">
        <v>16</v>
      </c>
      <c r="N59" s="142" t="s">
        <v>33</v>
      </c>
      <c r="O59" s="142" t="s">
        <v>107</v>
      </c>
      <c r="P59" s="142" t="s">
        <v>108</v>
      </c>
      <c r="Q59" s="142" t="s">
        <v>20</v>
      </c>
      <c r="R59" s="76"/>
      <c r="S59" s="76"/>
      <c r="T59" s="76"/>
      <c r="U59" s="76"/>
      <c r="V59" s="76"/>
      <c r="W59" s="76"/>
      <c r="X59" s="76"/>
      <c r="Y59" s="76"/>
    </row>
    <row r="60" spans="1:25" s="6" customFormat="1" x14ac:dyDescent="0.25">
      <c r="A60" s="101"/>
      <c r="B60" s="101"/>
      <c r="C60" s="1" t="str">
        <f>_xlfn.CONCAT(tabE.Flux[[#This Row],[DATA]],"+",tabE.Flux[[#This Row],[MOTORISTA + MATRÍCULA A]])</f>
        <v>45886+CLODOALDO PEREIRA DE LIMA - 4067</v>
      </c>
      <c r="D60" s="1" t="str">
        <f>_xlfn.CONCAT(tabE.Flux[[#This Row],[DATA]],"+",tabE.Flux[[#This Row],[MOTORISTA + MATRÍCULA B]])</f>
        <v>45886+CARLOS ADRIANO DE SOUZA DO NASCIMENTO - 6222</v>
      </c>
      <c r="E60" s="1" t="str">
        <f>_xlfn.CONCAT(tabE.Flux[[#This Row],[DATA]],"+",tabE.Flux[[#This Row],[MOTORISTA + MATRÍCULA A]],"+",tabE.Flux[[#This Row],[LINHA]])</f>
        <v>45886+CLODOALDO PEREIRA DE LIMA - 4067+GOIANIA (GO) X SAO LUIS (MA)</v>
      </c>
      <c r="F60" s="1" t="str">
        <f>_xlfn.CONCAT(tabE.Flux[[#This Row],[DATA]],"+",tabE.Flux[[#This Row],[MOTORISTA + MATRÍCULA B]],"+",tabE.Flux[[#This Row],[LINHA]])</f>
        <v>45886+CARLOS ADRIANO DE SOUZA DO NASCIMENTO - 6222+GOIANIA (GO) X SAO LUIS (MA)</v>
      </c>
      <c r="G60" s="1" t="str">
        <f>_xlfn.CONCAT(tabE.Flux[[#This Row],[DATA]],"+",tabE.Flux[[#This Row],[LINHA]])</f>
        <v>45886+GOIANIA (GO) X SAO LUIS (MA)</v>
      </c>
      <c r="H60" s="141">
        <v>45886</v>
      </c>
      <c r="I60" s="142" t="s">
        <v>15</v>
      </c>
      <c r="J60" s="142">
        <v>19015</v>
      </c>
      <c r="K60" s="143">
        <v>0.40763888888888888</v>
      </c>
      <c r="L60" s="143">
        <v>0.47013888888888888</v>
      </c>
      <c r="M60" s="142" t="s">
        <v>16</v>
      </c>
      <c r="N60" s="142" t="s">
        <v>42</v>
      </c>
      <c r="O60" s="142" t="s">
        <v>109</v>
      </c>
      <c r="P60" s="142" t="s">
        <v>110</v>
      </c>
      <c r="Q60" s="142" t="s">
        <v>23</v>
      </c>
      <c r="R60" s="76"/>
      <c r="S60" s="76"/>
      <c r="T60" s="76"/>
      <c r="U60" s="76"/>
      <c r="V60" s="76"/>
      <c r="W60" s="76"/>
      <c r="X60" s="76"/>
      <c r="Y60" s="76"/>
    </row>
    <row r="61" spans="1:25" s="6" customFormat="1" x14ac:dyDescent="0.25">
      <c r="A61" s="101"/>
      <c r="B61" s="101"/>
      <c r="C61" s="1" t="str">
        <f>_xlfn.CONCAT(tabE.Flux[[#This Row],[DATA]],"+",tabE.Flux[[#This Row],[MOTORISTA + MATRÍCULA A]])</f>
        <v>45886+CANCELADO</v>
      </c>
      <c r="D61" s="1" t="str">
        <f>_xlfn.CONCAT(tabE.Flux[[#This Row],[DATA]],"+",tabE.Flux[[#This Row],[MOTORISTA + MATRÍCULA B]])</f>
        <v>45886+CANCELADO</v>
      </c>
      <c r="E61" s="1" t="str">
        <f>_xlfn.CONCAT(tabE.Flux[[#This Row],[DATA]],"+",tabE.Flux[[#This Row],[MOTORISTA + MATRÍCULA A]],"+",tabE.Flux[[#This Row],[LINHA]])</f>
        <v>45886+CANCELADO+IMPERATRIZ (MA) X SÃO LUIS (MA)</v>
      </c>
      <c r="F61" s="1" t="str">
        <f>_xlfn.CONCAT(tabE.Flux[[#This Row],[DATA]],"+",tabE.Flux[[#This Row],[MOTORISTA + MATRÍCULA B]],"+",tabE.Flux[[#This Row],[LINHA]])</f>
        <v>45886+CANCELADO+IMPERATRIZ (MA) X SÃO LUIS (MA)</v>
      </c>
      <c r="G61" s="1" t="str">
        <f>_xlfn.CONCAT(tabE.Flux[[#This Row],[DATA]],"+",tabE.Flux[[#This Row],[LINHA]])</f>
        <v>45886+IMPERATRIZ (MA) X SÃO LUIS (MA)</v>
      </c>
      <c r="H61" s="141">
        <v>45886</v>
      </c>
      <c r="I61" s="142" t="s">
        <v>15</v>
      </c>
      <c r="J61" s="144" t="s">
        <v>27</v>
      </c>
      <c r="K61" s="143">
        <v>0.77083333333333337</v>
      </c>
      <c r="L61" s="143">
        <v>0.8125</v>
      </c>
      <c r="M61" s="142" t="s">
        <v>16</v>
      </c>
      <c r="N61" s="142" t="s">
        <v>42</v>
      </c>
      <c r="O61" s="144" t="s">
        <v>27</v>
      </c>
      <c r="P61" s="144" t="s">
        <v>27</v>
      </c>
      <c r="Q61" s="142" t="s">
        <v>47</v>
      </c>
      <c r="R61" s="76"/>
      <c r="S61" s="76"/>
      <c r="T61" s="76"/>
      <c r="U61" s="76"/>
      <c r="V61" s="76"/>
      <c r="W61" s="76"/>
      <c r="X61" s="76"/>
      <c r="Y61" s="76"/>
    </row>
    <row r="62" spans="1:25" s="6" customFormat="1" x14ac:dyDescent="0.25">
      <c r="A62" s="101"/>
      <c r="B62" s="101"/>
      <c r="C62" s="1" t="str">
        <f>_xlfn.CONCAT(tabE.Flux[[#This Row],[DATA]],"+",tabE.Flux[[#This Row],[MOTORISTA + MATRÍCULA A]])</f>
        <v>45886+RONALDO ADRIANO COSTA SANTOS - 5637</v>
      </c>
      <c r="D62" s="1" t="str">
        <f>_xlfn.CONCAT(tabE.Flux[[#This Row],[DATA]],"+",tabE.Flux[[#This Row],[MOTORISTA + MATRÍCULA B]])</f>
        <v>45886+KAYLSON KLEYTON DA SILVA COSTA - 6224</v>
      </c>
      <c r="E62" s="1" t="str">
        <f>_xlfn.CONCAT(tabE.Flux[[#This Row],[DATA]],"+",tabE.Flux[[#This Row],[MOTORISTA + MATRÍCULA A]],"+",tabE.Flux[[#This Row],[LINHA]])</f>
        <v>45886+RONALDO ADRIANO COSTA SANTOS - 5637+GOIANIA (GO) X SAO LUIS (MA)</v>
      </c>
      <c r="F62" s="1" t="str">
        <f>_xlfn.CONCAT(tabE.Flux[[#This Row],[DATA]],"+",tabE.Flux[[#This Row],[MOTORISTA + MATRÍCULA B]],"+",tabE.Flux[[#This Row],[LINHA]])</f>
        <v>45886+KAYLSON KLEYTON DA SILVA COSTA - 6224+GOIANIA (GO) X SAO LUIS (MA)</v>
      </c>
      <c r="G62" s="1" t="str">
        <f>_xlfn.CONCAT(tabE.Flux[[#This Row],[DATA]],"+",tabE.Flux[[#This Row],[LINHA]])</f>
        <v>45886+GOIANIA (GO) X SAO LUIS (MA)</v>
      </c>
      <c r="H62" s="141">
        <v>45886</v>
      </c>
      <c r="I62" s="142" t="s">
        <v>15</v>
      </c>
      <c r="J62" s="142">
        <v>24004</v>
      </c>
      <c r="K62" s="143">
        <v>0.8125</v>
      </c>
      <c r="L62" s="143">
        <v>0.84375</v>
      </c>
      <c r="M62" s="142" t="s">
        <v>16</v>
      </c>
      <c r="N62" s="142" t="s">
        <v>42</v>
      </c>
      <c r="O62" s="142" t="s">
        <v>41</v>
      </c>
      <c r="P62" s="142" t="s">
        <v>80</v>
      </c>
      <c r="Q62" s="142" t="s">
        <v>23</v>
      </c>
      <c r="R62" s="76"/>
      <c r="S62" s="76"/>
      <c r="T62" s="76"/>
      <c r="U62" s="76"/>
      <c r="V62" s="76"/>
      <c r="W62" s="76"/>
      <c r="X62" s="76"/>
      <c r="Y62" s="76"/>
    </row>
    <row r="63" spans="1:25" s="6" customFormat="1" x14ac:dyDescent="0.25">
      <c r="A63" s="101"/>
      <c r="B63" s="101"/>
      <c r="C63" s="1" t="str">
        <f>_xlfn.CONCAT(tabE.Flux[[#This Row],[DATA]],"+",tabE.Flux[[#This Row],[MOTORISTA + MATRÍCULA A]])</f>
        <v>45886+ADEMILTON DE OLIVEIRA SILVA - 5559</v>
      </c>
      <c r="D63" s="1" t="str">
        <f>_xlfn.CONCAT(tabE.Flux[[#This Row],[DATA]],"+",tabE.Flux[[#This Row],[MOTORISTA + MATRÍCULA B]])</f>
        <v>45886+ANTONIO LEONESIO CAMPELO DA SILVA - 5303</v>
      </c>
      <c r="E63" s="1" t="str">
        <f>_xlfn.CONCAT(tabE.Flux[[#This Row],[DATA]],"+",tabE.Flux[[#This Row],[MOTORISTA + MATRÍCULA A]],"+",tabE.Flux[[#This Row],[LINHA]])</f>
        <v>45886+ADEMILTON DE OLIVEIRA SILVA - 5559+GOIANIA (GO) X TERESINA (PI) VIA STI</v>
      </c>
      <c r="F63" s="1" t="str">
        <f>_xlfn.CONCAT(tabE.Flux[[#This Row],[DATA]],"+",tabE.Flux[[#This Row],[MOTORISTA + MATRÍCULA B]],"+",tabE.Flux[[#This Row],[LINHA]])</f>
        <v>45886+ANTONIO LEONESIO CAMPELO DA SILVA - 5303+GOIANIA (GO) X TERESINA (PI) VIA STI</v>
      </c>
      <c r="G63" s="1" t="str">
        <f>_xlfn.CONCAT(tabE.Flux[[#This Row],[DATA]],"+",tabE.Flux[[#This Row],[LINHA]])</f>
        <v>45886+GOIANIA (GO) X TERESINA (PI) VIA STI</v>
      </c>
      <c r="H63" s="141">
        <v>45886</v>
      </c>
      <c r="I63" s="142" t="s">
        <v>15</v>
      </c>
      <c r="J63" s="142">
        <v>19005</v>
      </c>
      <c r="K63" s="143">
        <v>0.77083333333333337</v>
      </c>
      <c r="L63" s="143">
        <v>0.79861111111111116</v>
      </c>
      <c r="M63" s="142" t="s">
        <v>16</v>
      </c>
      <c r="N63" s="142" t="s">
        <v>29</v>
      </c>
      <c r="O63" s="142" t="s">
        <v>40</v>
      </c>
      <c r="P63" s="142" t="s">
        <v>111</v>
      </c>
      <c r="Q63" s="142" t="s">
        <v>26</v>
      </c>
      <c r="R63" s="76"/>
      <c r="S63" s="76"/>
      <c r="T63" s="76"/>
      <c r="U63" s="76"/>
      <c r="V63" s="76"/>
      <c r="W63" s="76"/>
      <c r="X63" s="76"/>
      <c r="Y63" s="76"/>
    </row>
    <row r="64" spans="1:25" s="6" customFormat="1" x14ac:dyDescent="0.25">
      <c r="A64" s="101"/>
      <c r="B64" s="101"/>
      <c r="C64" s="1" t="str">
        <f>_xlfn.CONCAT(tabE.Flux[[#This Row],[DATA]],"+",tabE.Flux[[#This Row],[MOTORISTA + MATRÍCULA A]])</f>
        <v>45886+CANCELADO</v>
      </c>
      <c r="D64" s="1" t="str">
        <f>_xlfn.CONCAT(tabE.Flux[[#This Row],[DATA]],"+",tabE.Flux[[#This Row],[MOTORISTA + MATRÍCULA B]])</f>
        <v>45886+CANCELADO</v>
      </c>
      <c r="E64" s="1" t="str">
        <f>_xlfn.CONCAT(tabE.Flux[[#This Row],[DATA]],"+",tabE.Flux[[#This Row],[MOTORISTA + MATRÍCULA A]],"+",tabE.Flux[[#This Row],[LINHA]])</f>
        <v>45886+CANCELADO+GOIANIA (GO) X SAO LUIS (MA)</v>
      </c>
      <c r="F64" s="1" t="str">
        <f>_xlfn.CONCAT(tabE.Flux[[#This Row],[DATA]],"+",tabE.Flux[[#This Row],[MOTORISTA + MATRÍCULA B]],"+",tabE.Flux[[#This Row],[LINHA]])</f>
        <v>45886+CANCELADO+GOIANIA (GO) X SAO LUIS (MA)</v>
      </c>
      <c r="G64" s="1" t="str">
        <f>_xlfn.CONCAT(tabE.Flux[[#This Row],[DATA]],"+",tabE.Flux[[#This Row],[LINHA]])</f>
        <v>45886+GOIANIA (GO) X SAO LUIS (MA)</v>
      </c>
      <c r="H64" s="141">
        <v>45886</v>
      </c>
      <c r="I64" s="142" t="s">
        <v>15</v>
      </c>
      <c r="J64" s="144" t="s">
        <v>27</v>
      </c>
      <c r="K64" s="143">
        <v>0.8125</v>
      </c>
      <c r="L64" s="143">
        <v>0.84166666666666667</v>
      </c>
      <c r="M64" s="142" t="s">
        <v>16</v>
      </c>
      <c r="N64" s="142" t="s">
        <v>17</v>
      </c>
      <c r="O64" s="144" t="s">
        <v>27</v>
      </c>
      <c r="P64" s="144" t="s">
        <v>27</v>
      </c>
      <c r="Q64" s="142" t="s">
        <v>23</v>
      </c>
      <c r="R64" s="76"/>
      <c r="S64" s="76"/>
      <c r="T64" s="76"/>
      <c r="U64" s="76"/>
      <c r="V64" s="76"/>
      <c r="W64" s="76"/>
      <c r="X64" s="76"/>
      <c r="Y64" s="76"/>
    </row>
    <row r="65" spans="1:25" s="6" customFormat="1" x14ac:dyDescent="0.25">
      <c r="A65" s="101"/>
      <c r="B65" s="101"/>
      <c r="C65" s="1" t="str">
        <f>_xlfn.CONCAT(tabE.Flux[[#This Row],[DATA]],"+",tabE.Flux[[#This Row],[MOTORISTA + MATRÍCULA A]])</f>
        <v>45886+WESLEY SILVA PAIVA - 5638</v>
      </c>
      <c r="D65" s="1" t="str">
        <f>_xlfn.CONCAT(tabE.Flux[[#This Row],[DATA]],"+",tabE.Flux[[#This Row],[MOTORISTA + MATRÍCULA B]])</f>
        <v>45886+MARCOS ATAIDE SILVA - 1352</v>
      </c>
      <c r="E65" s="1" t="str">
        <f>_xlfn.CONCAT(tabE.Flux[[#This Row],[DATA]],"+",tabE.Flux[[#This Row],[MOTORISTA + MATRÍCULA A]],"+",tabE.Flux[[#This Row],[LINHA]])</f>
        <v>45886+WESLEY SILVA PAIVA - 5638+FORTALEZA (CE) X SINOP (MT)</v>
      </c>
      <c r="F65" s="1" t="str">
        <f>_xlfn.CONCAT(tabE.Flux[[#This Row],[DATA]],"+",tabE.Flux[[#This Row],[MOTORISTA + MATRÍCULA B]],"+",tabE.Flux[[#This Row],[LINHA]])</f>
        <v>45886+MARCOS ATAIDE SILVA - 1352+FORTALEZA (CE) X SINOP (MT)</v>
      </c>
      <c r="G65" s="1" t="str">
        <f>_xlfn.CONCAT(tabE.Flux[[#This Row],[DATA]],"+",tabE.Flux[[#This Row],[LINHA]])</f>
        <v>45886+FORTALEZA (CE) X SINOP (MT)</v>
      </c>
      <c r="H65" s="141">
        <v>45886</v>
      </c>
      <c r="I65" s="142" t="s">
        <v>15</v>
      </c>
      <c r="J65" s="142">
        <v>19018</v>
      </c>
      <c r="K65" s="143">
        <v>0.8125</v>
      </c>
      <c r="L65" s="143">
        <v>0.85416666666666663</v>
      </c>
      <c r="M65" s="142" t="s">
        <v>16</v>
      </c>
      <c r="N65" s="142" t="s">
        <v>17</v>
      </c>
      <c r="O65" s="142" t="s">
        <v>112</v>
      </c>
      <c r="P65" s="142" t="s">
        <v>113</v>
      </c>
      <c r="Q65" s="142" t="s">
        <v>32</v>
      </c>
      <c r="R65" s="76"/>
      <c r="S65" s="76"/>
      <c r="T65" s="76"/>
      <c r="U65" s="76"/>
      <c r="V65" s="76"/>
      <c r="W65" s="76"/>
      <c r="X65" s="76"/>
      <c r="Y65" s="76"/>
    </row>
    <row r="66" spans="1:25" s="6" customFormat="1" x14ac:dyDescent="0.25">
      <c r="A66" s="101"/>
      <c r="B66" s="101"/>
      <c r="C66" s="1" t="str">
        <f>_xlfn.CONCAT(tabE.Flux[[#This Row],[DATA]],"+",tabE.Flux[[#This Row],[MOTORISTA + MATRÍCULA A]])</f>
        <v>45886+AGNALDO ALVES DE CARVALHO - 5623</v>
      </c>
      <c r="D66" s="1" t="str">
        <f>_xlfn.CONCAT(tabE.Flux[[#This Row],[DATA]],"+",tabE.Flux[[#This Row],[MOTORISTA + MATRÍCULA B]])</f>
        <v>45886+JANIO CEZAR DOS SANTOS - 6021</v>
      </c>
      <c r="E66" s="1" t="str">
        <f>_xlfn.CONCAT(tabE.Flux[[#This Row],[DATA]],"+",tabE.Flux[[#This Row],[MOTORISTA + MATRÍCULA A]],"+",tabE.Flux[[#This Row],[LINHA]])</f>
        <v>45886+AGNALDO ALVES DE CARVALHO - 5623+GOIANIA (GO) X BELEM (PA)</v>
      </c>
      <c r="F66" s="1" t="str">
        <f>_xlfn.CONCAT(tabE.Flux[[#This Row],[DATA]],"+",tabE.Flux[[#This Row],[MOTORISTA + MATRÍCULA B]],"+",tabE.Flux[[#This Row],[LINHA]])</f>
        <v>45886+JANIO CEZAR DOS SANTOS - 6021+GOIANIA (GO) X BELEM (PA)</v>
      </c>
      <c r="G66" s="1" t="str">
        <f>_xlfn.CONCAT(tabE.Flux[[#This Row],[DATA]],"+",tabE.Flux[[#This Row],[LINHA]])</f>
        <v>45886+GOIANIA (GO) X BELEM (PA)</v>
      </c>
      <c r="H66" s="141">
        <v>45886</v>
      </c>
      <c r="I66" s="142" t="s">
        <v>15</v>
      </c>
      <c r="J66" s="142">
        <v>19004</v>
      </c>
      <c r="K66" s="143">
        <v>0.84722222222222221</v>
      </c>
      <c r="L66" s="143">
        <v>0.87847222222222221</v>
      </c>
      <c r="M66" s="142" t="s">
        <v>16</v>
      </c>
      <c r="N66" s="142" t="s">
        <v>17</v>
      </c>
      <c r="O66" s="142" t="s">
        <v>114</v>
      </c>
      <c r="P66" s="142" t="s">
        <v>115</v>
      </c>
      <c r="Q66" s="142" t="s">
        <v>20</v>
      </c>
      <c r="R66" s="76"/>
      <c r="S66" s="76"/>
      <c r="T66" s="76"/>
      <c r="U66" s="76"/>
      <c r="V66" s="76"/>
      <c r="W66" s="76"/>
      <c r="X66" s="76"/>
      <c r="Y66" s="76"/>
    </row>
    <row r="67" spans="1:25" s="6" customFormat="1" x14ac:dyDescent="0.25">
      <c r="A67" s="101"/>
      <c r="B67" s="101"/>
      <c r="C67" s="1" t="str">
        <f>_xlfn.CONCAT(tabE.Flux[[#This Row],[DATA]],"+",tabE.Flux[[#This Row],[MOTORISTA + MATRÍCULA A]])</f>
        <v>+</v>
      </c>
      <c r="D67" s="1" t="str">
        <f>_xlfn.CONCAT(tabE.Flux[[#This Row],[DATA]],"+",tabE.Flux[[#This Row],[MOTORISTA + MATRÍCULA B]])</f>
        <v>+</v>
      </c>
      <c r="E67" s="1" t="str">
        <f>_xlfn.CONCAT(tabE.Flux[[#This Row],[DATA]],"+",tabE.Flux[[#This Row],[MOTORISTA + MATRÍCULA A]],"+",tabE.Flux[[#This Row],[LINHA]])</f>
        <v>++</v>
      </c>
      <c r="F67" s="1" t="str">
        <f>_xlfn.CONCAT(tabE.Flux[[#This Row],[DATA]],"+",tabE.Flux[[#This Row],[MOTORISTA + MATRÍCULA B]],"+",tabE.Flux[[#This Row],[LINHA]])</f>
        <v>++</v>
      </c>
      <c r="G67" s="1" t="str">
        <f>_xlfn.CONCAT(tabE.Flux[[#This Row],[DATA]],"+",tabE.Flux[[#This Row],[LINHA]])</f>
        <v>+</v>
      </c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76"/>
      <c r="S67" s="76"/>
      <c r="T67" s="76"/>
      <c r="U67" s="76"/>
      <c r="V67" s="76"/>
      <c r="W67" s="76"/>
      <c r="X67" s="76"/>
      <c r="Y67" s="76"/>
    </row>
    <row r="68" spans="1:25" s="6" customFormat="1" ht="15" customHeight="1" x14ac:dyDescent="0.25">
      <c r="A68" s="101"/>
      <c r="B68" s="101"/>
      <c r="C68" s="1" t="str">
        <f>_xlfn.CONCAT(tabE.Flux[[#This Row],[DATA]],"+",tabE.Flux[[#This Row],[MOTORISTA + MATRÍCULA A]])</f>
        <v>45887+MARCUS AUGUSTO DE CARVALHO - 2398</v>
      </c>
      <c r="D68" s="1" t="str">
        <f>_xlfn.CONCAT(tabE.Flux[[#This Row],[DATA]],"+",tabE.Flux[[#This Row],[MOTORISTA + MATRÍCULA B]])</f>
        <v>45887+LUIS CARLOS VIEIRA DE MELO SOUZA - 5535</v>
      </c>
      <c r="E68" s="1" t="str">
        <f>_xlfn.CONCAT(tabE.Flux[[#This Row],[DATA]],"+",tabE.Flux[[#This Row],[MOTORISTA + MATRÍCULA A]],"+",tabE.Flux[[#This Row],[LINHA]])</f>
        <v>45887+MARCUS AUGUSTO DE CARVALHO - 2398+GOIANIA (GO) X BELEM (PA)</v>
      </c>
      <c r="F68" s="1" t="str">
        <f>_xlfn.CONCAT(tabE.Flux[[#This Row],[DATA]],"+",tabE.Flux[[#This Row],[MOTORISTA + MATRÍCULA B]],"+",tabE.Flux[[#This Row],[LINHA]])</f>
        <v>45887+LUIS CARLOS VIEIRA DE MELO SOUZA - 5535+GOIANIA (GO) X BELEM (PA)</v>
      </c>
      <c r="G68" s="1" t="str">
        <f>_xlfn.CONCAT(tabE.Flux[[#This Row],[DATA]],"+",tabE.Flux[[#This Row],[LINHA]])</f>
        <v>45887+GOIANIA (GO) X BELEM (PA)</v>
      </c>
      <c r="H68" s="141">
        <v>45887</v>
      </c>
      <c r="I68" s="142" t="s">
        <v>15</v>
      </c>
      <c r="J68" s="142">
        <v>24013</v>
      </c>
      <c r="K68" s="143">
        <v>0.25486111111111109</v>
      </c>
      <c r="L68" s="143">
        <v>0.3</v>
      </c>
      <c r="M68" s="142" t="s">
        <v>16</v>
      </c>
      <c r="N68" s="142" t="s">
        <v>17</v>
      </c>
      <c r="O68" s="142" t="s">
        <v>116</v>
      </c>
      <c r="P68" s="142" t="s">
        <v>117</v>
      </c>
      <c r="Q68" s="142" t="s">
        <v>20</v>
      </c>
      <c r="R68" s="76"/>
      <c r="S68" s="76"/>
      <c r="T68" s="76"/>
      <c r="U68" s="76"/>
      <c r="V68" s="76"/>
      <c r="W68" s="76"/>
      <c r="X68" s="76"/>
      <c r="Y68" s="76"/>
    </row>
    <row r="69" spans="1:25" s="6" customFormat="1" x14ac:dyDescent="0.25">
      <c r="A69" s="101"/>
      <c r="B69" s="101"/>
      <c r="C69" s="1" t="str">
        <f>_xlfn.CONCAT(tabE.Flux[[#This Row],[DATA]],"+",tabE.Flux[[#This Row],[MOTORISTA + MATRÍCULA A]])</f>
        <v>45887+VALDIR ALVES MIRANDA - 1364</v>
      </c>
      <c r="D69" s="1" t="str">
        <f>_xlfn.CONCAT(tabE.Flux[[#This Row],[DATA]],"+",tabE.Flux[[#This Row],[MOTORISTA + MATRÍCULA B]])</f>
        <v>45887+MANOEL SEVERINO DE SOUZA - 5200</v>
      </c>
      <c r="E69" s="1" t="str">
        <f>_xlfn.CONCAT(tabE.Flux[[#This Row],[DATA]],"+",tabE.Flux[[#This Row],[MOTORISTA + MATRÍCULA A]],"+",tabE.Flux[[#This Row],[LINHA]])</f>
        <v>45887+VALDIR ALVES MIRANDA - 1364+GOIANIA (GO) X SAO LUIS (MA)</v>
      </c>
      <c r="F69" s="1" t="str">
        <f>_xlfn.CONCAT(tabE.Flux[[#This Row],[DATA]],"+",tabE.Flux[[#This Row],[MOTORISTA + MATRÍCULA B]],"+",tabE.Flux[[#This Row],[LINHA]])</f>
        <v>45887+MANOEL SEVERINO DE SOUZA - 5200+GOIANIA (GO) X SAO LUIS (MA)</v>
      </c>
      <c r="G69" s="1" t="str">
        <f>_xlfn.CONCAT(tabE.Flux[[#This Row],[DATA]],"+",tabE.Flux[[#This Row],[LINHA]])</f>
        <v>45887+GOIANIA (GO) X SAO LUIS (MA)</v>
      </c>
      <c r="H69" s="141">
        <v>45887</v>
      </c>
      <c r="I69" s="142" t="s">
        <v>15</v>
      </c>
      <c r="J69" s="142">
        <v>24015</v>
      </c>
      <c r="K69" s="143">
        <v>0.32291666666666669</v>
      </c>
      <c r="L69" s="143">
        <v>0.33333333333333331</v>
      </c>
      <c r="M69" s="142" t="s">
        <v>16</v>
      </c>
      <c r="N69" s="142" t="s">
        <v>17</v>
      </c>
      <c r="O69" s="142" t="s">
        <v>118</v>
      </c>
      <c r="P69" s="142" t="s">
        <v>119</v>
      </c>
      <c r="Q69" s="142" t="s">
        <v>23</v>
      </c>
      <c r="R69" s="76"/>
      <c r="S69" s="76"/>
      <c r="T69" s="76"/>
      <c r="U69" s="76"/>
      <c r="V69" s="76"/>
      <c r="W69" s="76"/>
      <c r="X69" s="76"/>
      <c r="Y69" s="76"/>
    </row>
    <row r="70" spans="1:25" s="6" customFormat="1" x14ac:dyDescent="0.25">
      <c r="A70" s="101"/>
      <c r="B70" s="101"/>
      <c r="C70" s="1" t="str">
        <f>_xlfn.CONCAT(tabE.Flux[[#This Row],[DATA]],"+",tabE.Flux[[#This Row],[MOTORISTA + MATRÍCULA A]])</f>
        <v>45887+SANDRO CARLOS DE SOUSA - 5181</v>
      </c>
      <c r="D70" s="1" t="str">
        <f>_xlfn.CONCAT(tabE.Flux[[#This Row],[DATA]],"+",tabE.Flux[[#This Row],[MOTORISTA + MATRÍCULA B]])</f>
        <v>45887+EURIPEDES BORGES DOS SANTOS - 5017</v>
      </c>
      <c r="E70" s="1" t="str">
        <f>_xlfn.CONCAT(tabE.Flux[[#This Row],[DATA]],"+",tabE.Flux[[#This Row],[MOTORISTA + MATRÍCULA A]],"+",tabE.Flux[[#This Row],[LINHA]])</f>
        <v>45887+SANDRO CARLOS DE SOUSA - 5181+GOIANIA (GO) X TERESINA (PI) VIA STI</v>
      </c>
      <c r="F70" s="1" t="str">
        <f>_xlfn.CONCAT(tabE.Flux[[#This Row],[DATA]],"+",tabE.Flux[[#This Row],[MOTORISTA + MATRÍCULA B]],"+",tabE.Flux[[#This Row],[LINHA]])</f>
        <v>45887+EURIPEDES BORGES DOS SANTOS - 5017+GOIANIA (GO) X TERESINA (PI) VIA STI</v>
      </c>
      <c r="G70" s="1" t="str">
        <f>_xlfn.CONCAT(tabE.Flux[[#This Row],[DATA]],"+",tabE.Flux[[#This Row],[LINHA]])</f>
        <v>45887+GOIANIA (GO) X TERESINA (PI) VIA STI</v>
      </c>
      <c r="H70" s="141">
        <v>45887</v>
      </c>
      <c r="I70" s="142" t="s">
        <v>15</v>
      </c>
      <c r="J70" s="142">
        <v>19011</v>
      </c>
      <c r="K70" s="143">
        <v>0.3888888888888889</v>
      </c>
      <c r="L70" s="143">
        <v>0.39583333333333331</v>
      </c>
      <c r="M70" s="142" t="s">
        <v>16</v>
      </c>
      <c r="N70" s="142" t="s">
        <v>17</v>
      </c>
      <c r="O70" s="142" t="s">
        <v>120</v>
      </c>
      <c r="P70" s="142" t="s">
        <v>121</v>
      </c>
      <c r="Q70" s="142" t="s">
        <v>26</v>
      </c>
      <c r="R70" s="76"/>
      <c r="S70" s="76"/>
      <c r="T70" s="76"/>
      <c r="U70" s="76"/>
      <c r="V70" s="76"/>
      <c r="W70" s="76"/>
      <c r="X70" s="76"/>
      <c r="Y70" s="76"/>
    </row>
    <row r="71" spans="1:25" s="6" customFormat="1" x14ac:dyDescent="0.25">
      <c r="A71" s="101"/>
      <c r="B71" s="101"/>
      <c r="C71" s="1" t="str">
        <f>_xlfn.CONCAT(tabE.Flux[[#This Row],[DATA]],"+",tabE.Flux[[#This Row],[MOTORISTA + MATRÍCULA A]])</f>
        <v>45887+CANCELADO</v>
      </c>
      <c r="D71" s="1" t="str">
        <f>_xlfn.CONCAT(tabE.Flux[[#This Row],[DATA]],"+",tabE.Flux[[#This Row],[MOTORISTA + MATRÍCULA B]])</f>
        <v>45887+CANCELADO</v>
      </c>
      <c r="E71" s="1" t="str">
        <f>_xlfn.CONCAT(tabE.Flux[[#This Row],[DATA]],"+",tabE.Flux[[#This Row],[MOTORISTA + MATRÍCULA A]],"+",tabE.Flux[[#This Row],[LINHA]])</f>
        <v>45887+CANCELADO+</v>
      </c>
      <c r="F71" s="1" t="str">
        <f>_xlfn.CONCAT(tabE.Flux[[#This Row],[DATA]],"+",tabE.Flux[[#This Row],[MOTORISTA + MATRÍCULA B]],"+",tabE.Flux[[#This Row],[LINHA]])</f>
        <v>45887+CANCELADO+</v>
      </c>
      <c r="G71" s="1" t="str">
        <f>_xlfn.CONCAT(tabE.Flux[[#This Row],[DATA]],"+",tabE.Flux[[#This Row],[LINHA]])</f>
        <v>45887+</v>
      </c>
      <c r="H71" s="141">
        <v>45887</v>
      </c>
      <c r="I71" s="142" t="s">
        <v>15</v>
      </c>
      <c r="J71" s="144" t="s">
        <v>27</v>
      </c>
      <c r="K71" s="143">
        <v>0.375</v>
      </c>
      <c r="L71" s="143">
        <v>0.41666666666666669</v>
      </c>
      <c r="M71" s="142" t="s">
        <v>16</v>
      </c>
      <c r="N71" s="142" t="s">
        <v>28</v>
      </c>
      <c r="O71" s="144" t="s">
        <v>27</v>
      </c>
      <c r="P71" s="144" t="s">
        <v>27</v>
      </c>
      <c r="Q71" s="142"/>
      <c r="R71" s="76"/>
      <c r="S71" s="76"/>
      <c r="T71" s="76"/>
      <c r="U71" s="76"/>
      <c r="V71" s="76"/>
      <c r="W71" s="76"/>
      <c r="X71" s="76"/>
      <c r="Y71" s="76"/>
    </row>
    <row r="72" spans="1:25" s="6" customFormat="1" x14ac:dyDescent="0.25">
      <c r="A72" s="101"/>
      <c r="B72" s="101"/>
      <c r="C72" s="1" t="str">
        <f>_xlfn.CONCAT(tabE.Flux[[#This Row],[DATA]],"+",tabE.Flux[[#This Row],[MOTORISTA + MATRÍCULA A]])</f>
        <v>45887+FABIO MOREIRA DOS SANTOS - 3073</v>
      </c>
      <c r="D72" s="1" t="str">
        <f>_xlfn.CONCAT(tabE.Flux[[#This Row],[DATA]],"+",tabE.Flux[[#This Row],[MOTORISTA + MATRÍCULA B]])</f>
        <v>45887+KEITH NOLAN CARNEIRO BARBOSA - 5653</v>
      </c>
      <c r="E72" s="1" t="str">
        <f>_xlfn.CONCAT(tabE.Flux[[#This Row],[DATA]],"+",tabE.Flux[[#This Row],[MOTORISTA + MATRÍCULA A]],"+",tabE.Flux[[#This Row],[LINHA]])</f>
        <v>45887+FABIO MOREIRA DOS SANTOS - 3073+FORTALEZA (CE) X SINOP (MT)</v>
      </c>
      <c r="F72" s="1" t="str">
        <f>_xlfn.CONCAT(tabE.Flux[[#This Row],[DATA]],"+",tabE.Flux[[#This Row],[MOTORISTA + MATRÍCULA B]],"+",tabE.Flux[[#This Row],[LINHA]])</f>
        <v>45887+KEITH NOLAN CARNEIRO BARBOSA - 5653+FORTALEZA (CE) X SINOP (MT)</v>
      </c>
      <c r="G72" s="1" t="str">
        <f>_xlfn.CONCAT(tabE.Flux[[#This Row],[DATA]],"+",tabE.Flux[[#This Row],[LINHA]])</f>
        <v>45887+FORTALEZA (CE) X SINOP (MT)</v>
      </c>
      <c r="H72" s="141">
        <v>45887</v>
      </c>
      <c r="I72" s="142" t="s">
        <v>15</v>
      </c>
      <c r="J72" s="142">
        <v>19009</v>
      </c>
      <c r="K72" s="143">
        <v>0.3888888888888889</v>
      </c>
      <c r="L72" s="143">
        <v>0.37708333333333333</v>
      </c>
      <c r="M72" s="142" t="s">
        <v>16</v>
      </c>
      <c r="N72" s="142" t="s">
        <v>29</v>
      </c>
      <c r="O72" s="142" t="s">
        <v>50</v>
      </c>
      <c r="P72" s="142" t="s">
        <v>122</v>
      </c>
      <c r="Q72" s="142" t="s">
        <v>32</v>
      </c>
      <c r="R72" s="76"/>
      <c r="S72" s="76"/>
      <c r="T72" s="76"/>
      <c r="U72" s="76"/>
      <c r="V72" s="76"/>
      <c r="W72" s="76"/>
      <c r="X72" s="76"/>
      <c r="Y72" s="76"/>
    </row>
    <row r="73" spans="1:25" s="6" customFormat="1" x14ac:dyDescent="0.25">
      <c r="A73" s="101"/>
      <c r="B73" s="101"/>
      <c r="C73" s="1" t="str">
        <f>_xlfn.CONCAT(tabE.Flux[[#This Row],[DATA]],"+",tabE.Flux[[#This Row],[MOTORISTA + MATRÍCULA A]])</f>
        <v>45887+BERNARDO SOUZA LIMA - 1720</v>
      </c>
      <c r="D73" s="1" t="str">
        <f>_xlfn.CONCAT(tabE.Flux[[#This Row],[DATA]],"+",tabE.Flux[[#This Row],[MOTORISTA + MATRÍCULA B]])</f>
        <v>45887+LUIS ANTONIO FARIAS RIBEIRO - 2789</v>
      </c>
      <c r="E73" s="1" t="str">
        <f>_xlfn.CONCAT(tabE.Flux[[#This Row],[DATA]],"+",tabE.Flux[[#This Row],[MOTORISTA + MATRÍCULA A]],"+",tabE.Flux[[#This Row],[LINHA]])</f>
        <v>45887+BERNARDO SOUZA LIMA - 1720+GOIANIA (GO) X BELEM (PA)</v>
      </c>
      <c r="F73" s="1" t="str">
        <f>_xlfn.CONCAT(tabE.Flux[[#This Row],[DATA]],"+",tabE.Flux[[#This Row],[MOTORISTA + MATRÍCULA B]],"+",tabE.Flux[[#This Row],[LINHA]])</f>
        <v>45887+LUIS ANTONIO FARIAS RIBEIRO - 2789+GOIANIA (GO) X BELEM (PA)</v>
      </c>
      <c r="G73" s="1" t="str">
        <f>_xlfn.CONCAT(tabE.Flux[[#This Row],[DATA]],"+",tabE.Flux[[#This Row],[LINHA]])</f>
        <v>45887+GOIANIA (GO) X BELEM (PA)</v>
      </c>
      <c r="H73" s="141">
        <v>45887</v>
      </c>
      <c r="I73" s="142" t="s">
        <v>15</v>
      </c>
      <c r="J73" s="142">
        <v>20014</v>
      </c>
      <c r="K73" s="143">
        <v>0.38958333333333334</v>
      </c>
      <c r="L73" s="143">
        <v>0.38541666666666669</v>
      </c>
      <c r="M73" s="142" t="s">
        <v>16</v>
      </c>
      <c r="N73" s="142" t="s">
        <v>33</v>
      </c>
      <c r="O73" s="142" t="s">
        <v>123</v>
      </c>
      <c r="P73" s="142" t="s">
        <v>124</v>
      </c>
      <c r="Q73" s="142" t="s">
        <v>20</v>
      </c>
      <c r="R73" s="76"/>
      <c r="S73" s="76"/>
      <c r="T73" s="76"/>
      <c r="U73" s="76"/>
      <c r="V73" s="76"/>
      <c r="W73" s="76"/>
      <c r="X73" s="76"/>
      <c r="Y73" s="76"/>
    </row>
    <row r="74" spans="1:25" s="6" customFormat="1" x14ac:dyDescent="0.25">
      <c r="A74" s="101"/>
      <c r="B74" s="101"/>
      <c r="C74" s="1" t="str">
        <f>_xlfn.CONCAT(tabE.Flux[[#This Row],[DATA]],"+",tabE.Flux[[#This Row],[MOTORISTA + MATRÍCULA A]])</f>
        <v>45887+JWEBISON DE BRITO SOUZA - 2999</v>
      </c>
      <c r="D74" s="1" t="str">
        <f>_xlfn.CONCAT(tabE.Flux[[#This Row],[DATA]],"+",tabE.Flux[[#This Row],[MOTORISTA + MATRÍCULA B]])</f>
        <v>45887+ANTONIO DE PADUA DA  SILVA - 5645</v>
      </c>
      <c r="E74" s="1" t="str">
        <f>_xlfn.CONCAT(tabE.Flux[[#This Row],[DATA]],"+",tabE.Flux[[#This Row],[MOTORISTA + MATRÍCULA A]],"+",tabE.Flux[[#This Row],[LINHA]])</f>
        <v>45887+JWEBISON DE BRITO SOUZA - 2999+GOIANIA (GO) X TERESINA (PI) VIA BC</v>
      </c>
      <c r="F74" s="1" t="str">
        <f>_xlfn.CONCAT(tabE.Flux[[#This Row],[DATA]],"+",tabE.Flux[[#This Row],[MOTORISTA + MATRÍCULA B]],"+",tabE.Flux[[#This Row],[LINHA]])</f>
        <v>45887+ANTONIO DE PADUA DA  SILVA - 5645+GOIANIA (GO) X TERESINA (PI) VIA BC</v>
      </c>
      <c r="G74" s="1" t="str">
        <f>_xlfn.CONCAT(tabE.Flux[[#This Row],[DATA]],"+",tabE.Flux[[#This Row],[LINHA]])</f>
        <v>45887+GOIANIA (GO) X TERESINA (PI) VIA BC</v>
      </c>
      <c r="H74" s="141">
        <v>45887</v>
      </c>
      <c r="I74" s="142" t="s">
        <v>15</v>
      </c>
      <c r="J74" s="142">
        <v>25007</v>
      </c>
      <c r="K74" s="143">
        <v>0.375</v>
      </c>
      <c r="L74" s="143">
        <v>0.39930555555555558</v>
      </c>
      <c r="M74" s="142" t="s">
        <v>36</v>
      </c>
      <c r="N74" s="142" t="s">
        <v>29</v>
      </c>
      <c r="O74" s="142" t="s">
        <v>77</v>
      </c>
      <c r="P74" s="142" t="s">
        <v>125</v>
      </c>
      <c r="Q74" s="142" t="s">
        <v>39</v>
      </c>
      <c r="R74" s="76"/>
      <c r="S74" s="76"/>
      <c r="T74" s="76"/>
      <c r="U74" s="76"/>
      <c r="V74" s="76"/>
      <c r="W74" s="76"/>
      <c r="X74" s="76"/>
      <c r="Y74" s="76"/>
    </row>
    <row r="75" spans="1:25" s="6" customFormat="1" x14ac:dyDescent="0.25">
      <c r="A75" s="101"/>
      <c r="B75" s="101"/>
      <c r="C75" s="1" t="str">
        <f>_xlfn.CONCAT(tabE.Flux[[#This Row],[DATA]],"+",tabE.Flux[[#This Row],[MOTORISTA + MATRÍCULA A]])</f>
        <v>45887+IZALMIR RODRIGUES COELHO - 958</v>
      </c>
      <c r="D75" s="1" t="str">
        <f>_xlfn.CONCAT(tabE.Flux[[#This Row],[DATA]],"+",tabE.Flux[[#This Row],[MOTORISTA + MATRÍCULA B]])</f>
        <v>45887+REINAN JOSE BORGES SOUSA - 1075</v>
      </c>
      <c r="E75" s="1" t="str">
        <f>_xlfn.CONCAT(tabE.Flux[[#This Row],[DATA]],"+",tabE.Flux[[#This Row],[MOTORISTA + MATRÍCULA A]],"+",tabE.Flux[[#This Row],[LINHA]])</f>
        <v>45887+IZALMIR RODRIGUES COELHO - 958+GOIANIA (GO) X BELEM (PA)</v>
      </c>
      <c r="F75" s="1" t="str">
        <f>_xlfn.CONCAT(tabE.Flux[[#This Row],[DATA]],"+",tabE.Flux[[#This Row],[MOTORISTA + MATRÍCULA B]],"+",tabE.Flux[[#This Row],[LINHA]])</f>
        <v>45887+REINAN JOSE BORGES SOUSA - 1075+GOIANIA (GO) X BELEM (PA)</v>
      </c>
      <c r="G75" s="1" t="str">
        <f>_xlfn.CONCAT(tabE.Flux[[#This Row],[DATA]],"+",tabE.Flux[[#This Row],[LINHA]])</f>
        <v>45887+GOIANIA (GO) X BELEM (PA)</v>
      </c>
      <c r="H75" s="141">
        <v>45887</v>
      </c>
      <c r="I75" s="142" t="s">
        <v>15</v>
      </c>
      <c r="J75" s="142">
        <v>19020</v>
      </c>
      <c r="K75" s="143">
        <v>0.375</v>
      </c>
      <c r="L75" s="143">
        <v>0.41666666666666669</v>
      </c>
      <c r="M75" s="142" t="s">
        <v>33</v>
      </c>
      <c r="N75" s="142" t="s">
        <v>16</v>
      </c>
      <c r="O75" s="142" t="s">
        <v>83</v>
      </c>
      <c r="P75" s="142" t="s">
        <v>84</v>
      </c>
      <c r="Q75" s="142" t="s">
        <v>20</v>
      </c>
      <c r="R75" s="76"/>
      <c r="S75" s="76"/>
      <c r="T75" s="76"/>
      <c r="U75" s="76"/>
      <c r="V75" s="76"/>
      <c r="W75" s="76"/>
      <c r="X75" s="76"/>
      <c r="Y75" s="76"/>
    </row>
    <row r="76" spans="1:25" s="6" customFormat="1" x14ac:dyDescent="0.25">
      <c r="A76" s="101"/>
      <c r="B76" s="101"/>
      <c r="C76" s="1" t="str">
        <f>_xlfn.CONCAT(tabE.Flux[[#This Row],[DATA]],"+",tabE.Flux[[#This Row],[MOTORISTA + MATRÍCULA A]])</f>
        <v>45887+ALTEMAR DO NASCIMENTO LIMA - 6225</v>
      </c>
      <c r="D76" s="1" t="str">
        <f>_xlfn.CONCAT(tabE.Flux[[#This Row],[DATA]],"+",tabE.Flux[[#This Row],[MOTORISTA + MATRÍCULA B]])</f>
        <v>45887+CLODOALDO PEREIRA DE LIMA - 4067</v>
      </c>
      <c r="E76" s="1" t="str">
        <f>_xlfn.CONCAT(tabE.Flux[[#This Row],[DATA]],"+",tabE.Flux[[#This Row],[MOTORISTA + MATRÍCULA A]],"+",tabE.Flux[[#This Row],[LINHA]])</f>
        <v>45887+ALTEMAR DO NASCIMENTO LIMA - 6225+GOIANIA (GO) X SAO LUIS (MA)</v>
      </c>
      <c r="F76" s="1" t="str">
        <f>_xlfn.CONCAT(tabE.Flux[[#This Row],[DATA]],"+",tabE.Flux[[#This Row],[MOTORISTA + MATRÍCULA B]],"+",tabE.Flux[[#This Row],[LINHA]])</f>
        <v>45887+CLODOALDO PEREIRA DE LIMA - 4067+GOIANIA (GO) X SAO LUIS (MA)</v>
      </c>
      <c r="G76" s="1" t="str">
        <f>_xlfn.CONCAT(tabE.Flux[[#This Row],[DATA]],"+",tabE.Flux[[#This Row],[LINHA]])</f>
        <v>45887+GOIANIA (GO) X SAO LUIS (MA)</v>
      </c>
      <c r="H76" s="141">
        <v>45887</v>
      </c>
      <c r="I76" s="142" t="s">
        <v>15</v>
      </c>
      <c r="J76" s="142">
        <v>19001</v>
      </c>
      <c r="K76" s="143">
        <v>0.25</v>
      </c>
      <c r="L76" s="143">
        <v>0.29166666666666669</v>
      </c>
      <c r="M76" s="142" t="s">
        <v>42</v>
      </c>
      <c r="N76" s="142" t="s">
        <v>16</v>
      </c>
      <c r="O76" s="142" t="s">
        <v>57</v>
      </c>
      <c r="P76" s="142" t="s">
        <v>109</v>
      </c>
      <c r="Q76" s="142" t="s">
        <v>23</v>
      </c>
      <c r="R76" s="76"/>
      <c r="S76" s="76"/>
      <c r="T76" s="76"/>
      <c r="U76" s="76"/>
      <c r="V76" s="76"/>
      <c r="W76" s="76"/>
      <c r="X76" s="76"/>
      <c r="Y76" s="76"/>
    </row>
    <row r="77" spans="1:25" s="6" customFormat="1" x14ac:dyDescent="0.25">
      <c r="A77" s="101"/>
      <c r="B77" s="101"/>
      <c r="C77" s="1" t="str">
        <f>_xlfn.CONCAT(tabE.Flux[[#This Row],[DATA]],"+",tabE.Flux[[#This Row],[MOTORISTA + MATRÍCULA A]])</f>
        <v>45887+LAUCEANDO DA SILVA ROCHA - 6220</v>
      </c>
      <c r="D77" s="1" t="str">
        <f>_xlfn.CONCAT(tabE.Flux[[#This Row],[DATA]],"+",tabE.Flux[[#This Row],[MOTORISTA + MATRÍCULA B]])</f>
        <v>45887+RONALDO ADRIANO COSTA SANTOS - 5637</v>
      </c>
      <c r="E77" s="1" t="str">
        <f>_xlfn.CONCAT(tabE.Flux[[#This Row],[DATA]],"+",tabE.Flux[[#This Row],[MOTORISTA + MATRÍCULA A]],"+",tabE.Flux[[#This Row],[LINHA]])</f>
        <v>45887+LAUCEANDO DA SILVA ROCHA - 6220+GOIANIA (GO) X SAO LUIS (MA)</v>
      </c>
      <c r="F77" s="1" t="str">
        <f>_xlfn.CONCAT(tabE.Flux[[#This Row],[DATA]],"+",tabE.Flux[[#This Row],[MOTORISTA + MATRÍCULA B]],"+",tabE.Flux[[#This Row],[LINHA]])</f>
        <v>45887+RONALDO ADRIANO COSTA SANTOS - 5637+GOIANIA (GO) X SAO LUIS (MA)</v>
      </c>
      <c r="G77" s="1" t="str">
        <f>_xlfn.CONCAT(tabE.Flux[[#This Row],[DATA]],"+",tabE.Flux[[#This Row],[LINHA]])</f>
        <v>45887+GOIANIA (GO) X SAO LUIS (MA)</v>
      </c>
      <c r="H77" s="141">
        <v>45887</v>
      </c>
      <c r="I77" s="142" t="s">
        <v>15</v>
      </c>
      <c r="J77" s="142">
        <v>24004</v>
      </c>
      <c r="K77" s="143">
        <v>0.75</v>
      </c>
      <c r="L77" s="143">
        <v>0.79166666666666663</v>
      </c>
      <c r="M77" s="142" t="s">
        <v>42</v>
      </c>
      <c r="N77" s="142" t="s">
        <v>16</v>
      </c>
      <c r="O77" s="142" t="s">
        <v>86</v>
      </c>
      <c r="P77" s="142" t="s">
        <v>41</v>
      </c>
      <c r="Q77" s="142" t="s">
        <v>23</v>
      </c>
      <c r="R77" s="76"/>
      <c r="S77" s="76"/>
      <c r="T77" s="76"/>
      <c r="U77" s="76"/>
      <c r="V77" s="76"/>
      <c r="W77" s="76"/>
      <c r="X77" s="76"/>
      <c r="Y77" s="76"/>
    </row>
    <row r="78" spans="1:25" s="6" customFormat="1" x14ac:dyDescent="0.25">
      <c r="A78" s="101"/>
      <c r="B78" s="101"/>
      <c r="C78" s="1" t="str">
        <f>_xlfn.CONCAT(tabE.Flux[[#This Row],[DATA]],"+",tabE.Flux[[#This Row],[MOTORISTA + MATRÍCULA A]])</f>
        <v>45887+CANCELADO</v>
      </c>
      <c r="D78" s="1" t="str">
        <f>_xlfn.CONCAT(tabE.Flux[[#This Row],[DATA]],"+",tabE.Flux[[#This Row],[MOTORISTA + MATRÍCULA B]])</f>
        <v>45887+CANCELADO</v>
      </c>
      <c r="E78" s="1" t="str">
        <f>_xlfn.CONCAT(tabE.Flux[[#This Row],[DATA]],"+",tabE.Flux[[#This Row],[MOTORISTA + MATRÍCULA A]],"+",tabE.Flux[[#This Row],[LINHA]])</f>
        <v>45887+CANCELADO+IMPERATRIZ (MA) X SÃO LUIS (MA)</v>
      </c>
      <c r="F78" s="1" t="str">
        <f>_xlfn.CONCAT(tabE.Flux[[#This Row],[DATA]],"+",tabE.Flux[[#This Row],[MOTORISTA + MATRÍCULA B]],"+",tabE.Flux[[#This Row],[LINHA]])</f>
        <v>45887+CANCELADO+IMPERATRIZ (MA) X SÃO LUIS (MA)</v>
      </c>
      <c r="G78" s="1" t="str">
        <f>_xlfn.CONCAT(tabE.Flux[[#This Row],[DATA]],"+",tabE.Flux[[#This Row],[LINHA]])</f>
        <v>45887+IMPERATRIZ (MA) X SÃO LUIS (MA)</v>
      </c>
      <c r="H78" s="141">
        <v>45887</v>
      </c>
      <c r="I78" s="142" t="s">
        <v>15</v>
      </c>
      <c r="J78" s="144" t="s">
        <v>27</v>
      </c>
      <c r="K78" s="143">
        <v>0.77083333333333337</v>
      </c>
      <c r="L78" s="143">
        <v>0.79513888888888884</v>
      </c>
      <c r="M78" s="142" t="s">
        <v>42</v>
      </c>
      <c r="N78" s="142" t="s">
        <v>16</v>
      </c>
      <c r="O78" s="144" t="s">
        <v>27</v>
      </c>
      <c r="P78" s="144" t="s">
        <v>27</v>
      </c>
      <c r="Q78" s="142" t="s">
        <v>47</v>
      </c>
      <c r="R78" s="76"/>
      <c r="S78" s="76"/>
      <c r="T78" s="76"/>
      <c r="U78" s="76"/>
      <c r="V78" s="76"/>
      <c r="W78" s="76"/>
      <c r="X78" s="76"/>
      <c r="Y78" s="76"/>
    </row>
    <row r="79" spans="1:25" s="6" customFormat="1" x14ac:dyDescent="0.25">
      <c r="A79" s="101"/>
      <c r="B79" s="101"/>
      <c r="C79" s="1" t="str">
        <f>_xlfn.CONCAT(tabE.Flux[[#This Row],[DATA]],"+",tabE.Flux[[#This Row],[MOTORISTA + MATRÍCULA A]])</f>
        <v>45887+JOSE ANTONIO INACIO VIEIRA - 5279</v>
      </c>
      <c r="D79" s="1" t="str">
        <f>_xlfn.CONCAT(tabE.Flux[[#This Row],[DATA]],"+",tabE.Flux[[#This Row],[MOTORISTA + MATRÍCULA B]])</f>
        <v>45887+MARCELO RIZO SANTANA - 2048</v>
      </c>
      <c r="E79" s="1" t="str">
        <f>_xlfn.CONCAT(tabE.Flux[[#This Row],[DATA]],"+",tabE.Flux[[#This Row],[MOTORISTA + MATRÍCULA A]],"+",tabE.Flux[[#This Row],[LINHA]])</f>
        <v>45887+JOSE ANTONIO INACIO VIEIRA - 5279+GOIANIA (GO) X TERESINA (PI) VIA BC</v>
      </c>
      <c r="F79" s="1" t="str">
        <f>_xlfn.CONCAT(tabE.Flux[[#This Row],[DATA]],"+",tabE.Flux[[#This Row],[MOTORISTA + MATRÍCULA B]],"+",tabE.Flux[[#This Row],[LINHA]])</f>
        <v>45887+MARCELO RIZO SANTANA - 2048+GOIANIA (GO) X TERESINA (PI) VIA BC</v>
      </c>
      <c r="G79" s="1" t="str">
        <f>_xlfn.CONCAT(tabE.Flux[[#This Row],[DATA]],"+",tabE.Flux[[#This Row],[LINHA]])</f>
        <v>45887+GOIANIA (GO) X TERESINA (PI) VIA BC</v>
      </c>
      <c r="H79" s="141">
        <v>45887</v>
      </c>
      <c r="I79" s="142" t="s">
        <v>15</v>
      </c>
      <c r="J79" s="142">
        <v>25005</v>
      </c>
      <c r="K79" s="143">
        <v>0.89583333333333337</v>
      </c>
      <c r="L79" s="143">
        <v>0.91666666666666663</v>
      </c>
      <c r="M79" s="142" t="s">
        <v>36</v>
      </c>
      <c r="N79" s="142" t="s">
        <v>17</v>
      </c>
      <c r="O79" s="142" t="s">
        <v>126</v>
      </c>
      <c r="P79" s="142" t="s">
        <v>127</v>
      </c>
      <c r="Q79" s="142" t="s">
        <v>39</v>
      </c>
      <c r="R79" s="76"/>
      <c r="S79" s="76"/>
      <c r="T79" s="76"/>
      <c r="U79" s="76"/>
      <c r="V79" s="76"/>
      <c r="W79" s="76"/>
      <c r="X79" s="76"/>
      <c r="Y79" s="76"/>
    </row>
    <row r="80" spans="1:25" s="6" customFormat="1" x14ac:dyDescent="0.25">
      <c r="A80" s="101"/>
      <c r="B80" s="101"/>
      <c r="C80" s="1" t="str">
        <f>_xlfn.CONCAT(tabE.Flux[[#This Row],[DATA]],"+",tabE.Flux[[#This Row],[MOTORISTA + MATRÍCULA A]])</f>
        <v>45887+KLEBER OLIVEIRA LIMA - 5849</v>
      </c>
      <c r="D80" s="1" t="str">
        <f>_xlfn.CONCAT(tabE.Flux[[#This Row],[DATA]],"+",tabE.Flux[[#This Row],[MOTORISTA + MATRÍCULA B]])</f>
        <v>45887+JAME DOS SANTOS MOURA - 5332</v>
      </c>
      <c r="E80" s="1" t="str">
        <f>_xlfn.CONCAT(tabE.Flux[[#This Row],[DATA]],"+",tabE.Flux[[#This Row],[MOTORISTA + MATRÍCULA A]],"+",tabE.Flux[[#This Row],[LINHA]])</f>
        <v>45887+KLEBER OLIVEIRA LIMA - 5849+GOIANIA (GO) X BELEM (PA)</v>
      </c>
      <c r="F80" s="1" t="str">
        <f>_xlfn.CONCAT(tabE.Flux[[#This Row],[DATA]],"+",tabE.Flux[[#This Row],[MOTORISTA + MATRÍCULA B]],"+",tabE.Flux[[#This Row],[LINHA]])</f>
        <v>45887+JAME DOS SANTOS MOURA - 5332+GOIANIA (GO) X BELEM (PA)</v>
      </c>
      <c r="G80" s="1" t="str">
        <f>_xlfn.CONCAT(tabE.Flux[[#This Row],[DATA]],"+",tabE.Flux[[#This Row],[LINHA]])</f>
        <v>45887+GOIANIA (GO) X BELEM (PA)</v>
      </c>
      <c r="H80" s="141">
        <v>45887</v>
      </c>
      <c r="I80" s="142" t="s">
        <v>15</v>
      </c>
      <c r="J80" s="142">
        <v>24014</v>
      </c>
      <c r="K80" s="143">
        <v>0.76041666666666663</v>
      </c>
      <c r="L80" s="143">
        <v>0.77083333333333337</v>
      </c>
      <c r="M80" s="142" t="s">
        <v>33</v>
      </c>
      <c r="N80" s="142" t="s">
        <v>16</v>
      </c>
      <c r="O80" s="142" t="s">
        <v>102</v>
      </c>
      <c r="P80" s="142" t="s">
        <v>103</v>
      </c>
      <c r="Q80" s="142" t="s">
        <v>20</v>
      </c>
      <c r="R80" s="76"/>
      <c r="S80" s="76"/>
      <c r="T80" s="76"/>
      <c r="U80" s="76"/>
      <c r="V80" s="76"/>
      <c r="W80" s="76"/>
      <c r="X80" s="76"/>
      <c r="Y80" s="76"/>
    </row>
    <row r="81" spans="1:25" s="6" customFormat="1" x14ac:dyDescent="0.25">
      <c r="A81" s="101"/>
      <c r="B81" s="101"/>
      <c r="C81" s="1" t="str">
        <f>_xlfn.CONCAT(tabE.Flux[[#This Row],[DATA]],"+",tabE.Flux[[#This Row],[MOTORISTA + MATRÍCULA A]])</f>
        <v>45887+JEFFERSON CARDOSO DOS SANTOS - 5837</v>
      </c>
      <c r="D81" s="1" t="str">
        <f>_xlfn.CONCAT(tabE.Flux[[#This Row],[DATA]],"+",tabE.Flux[[#This Row],[MOTORISTA + MATRÍCULA B]])</f>
        <v>45887+RICHARD SOUSA DA SILVA - 1271</v>
      </c>
      <c r="E81" s="1" t="str">
        <f>_xlfn.CONCAT(tabE.Flux[[#This Row],[DATA]],"+",tabE.Flux[[#This Row],[MOTORISTA + MATRÍCULA A]],"+",tabE.Flux[[#This Row],[LINHA]])</f>
        <v>45887+JEFFERSON CARDOSO DOS SANTOS - 5837+GOIANIA (GO) X BELEM (PA)</v>
      </c>
      <c r="F81" s="1" t="str">
        <f>_xlfn.CONCAT(tabE.Flux[[#This Row],[DATA]],"+",tabE.Flux[[#This Row],[MOTORISTA + MATRÍCULA B]],"+",tabE.Flux[[#This Row],[LINHA]])</f>
        <v>45887+RICHARD SOUSA DA SILVA - 1271+GOIANIA (GO) X BELEM (PA)</v>
      </c>
      <c r="G81" s="1" t="str">
        <f>_xlfn.CONCAT(tabE.Flux[[#This Row],[DATA]],"+",tabE.Flux[[#This Row],[LINHA]])</f>
        <v>45887+GOIANIA (GO) X BELEM (PA)</v>
      </c>
      <c r="H81" s="141">
        <v>45887</v>
      </c>
      <c r="I81" s="142" t="s">
        <v>15</v>
      </c>
      <c r="J81" s="142">
        <v>25011</v>
      </c>
      <c r="K81" s="143">
        <v>0.76041666666666663</v>
      </c>
      <c r="L81" s="143">
        <v>0.82777777777777772</v>
      </c>
      <c r="M81" s="142" t="s">
        <v>16</v>
      </c>
      <c r="N81" s="142" t="s">
        <v>33</v>
      </c>
      <c r="O81" s="142" t="s">
        <v>30</v>
      </c>
      <c r="P81" s="142" t="s">
        <v>56</v>
      </c>
      <c r="Q81" s="142" t="s">
        <v>20</v>
      </c>
      <c r="R81" s="76"/>
      <c r="S81" s="76"/>
      <c r="T81" s="76"/>
      <c r="U81" s="76"/>
      <c r="V81" s="76"/>
      <c r="W81" s="76"/>
      <c r="X81" s="76"/>
      <c r="Y81" s="76"/>
    </row>
    <row r="82" spans="1:25" s="6" customFormat="1" x14ac:dyDescent="0.25">
      <c r="A82" s="101"/>
      <c r="B82" s="101"/>
      <c r="C82" s="1" t="str">
        <f>_xlfn.CONCAT(tabE.Flux[[#This Row],[DATA]],"+",tabE.Flux[[#This Row],[MOTORISTA + MATRÍCULA A]])</f>
        <v>45887+JOSE POLICARPO DE SOUSA NETO - 1472</v>
      </c>
      <c r="D82" s="1" t="str">
        <f>_xlfn.CONCAT(tabE.Flux[[#This Row],[DATA]],"+",tabE.Flux[[#This Row],[MOTORISTA + MATRÍCULA B]])</f>
        <v>45887+PAULO ENEAS FARIAS ARAUJO - 6218</v>
      </c>
      <c r="E82" s="1" t="str">
        <f>_xlfn.CONCAT(tabE.Flux[[#This Row],[DATA]],"+",tabE.Flux[[#This Row],[MOTORISTA + MATRÍCULA A]],"+",tabE.Flux[[#This Row],[LINHA]])</f>
        <v>45887+JOSE POLICARPO DE SOUSA NETO - 1472+GOIANIA (GO) X SAO LUIS (MA)</v>
      </c>
      <c r="F82" s="1" t="str">
        <f>_xlfn.CONCAT(tabE.Flux[[#This Row],[DATA]],"+",tabE.Flux[[#This Row],[MOTORISTA + MATRÍCULA B]],"+",tabE.Flux[[#This Row],[LINHA]])</f>
        <v>45887+PAULO ENEAS FARIAS ARAUJO - 6218+GOIANIA (GO) X SAO LUIS (MA)</v>
      </c>
      <c r="G82" s="1" t="str">
        <f>_xlfn.CONCAT(tabE.Flux[[#This Row],[DATA]],"+",tabE.Flux[[#This Row],[LINHA]])</f>
        <v>45887+GOIANIA (GO) X SAO LUIS (MA)</v>
      </c>
      <c r="H82" s="141">
        <v>45887</v>
      </c>
      <c r="I82" s="142" t="s">
        <v>15</v>
      </c>
      <c r="J82" s="142">
        <v>19002</v>
      </c>
      <c r="K82" s="143">
        <v>0.40763888888888888</v>
      </c>
      <c r="L82" s="143">
        <v>0.47013888888888888</v>
      </c>
      <c r="M82" s="142" t="s">
        <v>16</v>
      </c>
      <c r="N82" s="142" t="s">
        <v>42</v>
      </c>
      <c r="O82" s="142" t="s">
        <v>54</v>
      </c>
      <c r="P82" s="142" t="s">
        <v>43</v>
      </c>
      <c r="Q82" s="142" t="s">
        <v>23</v>
      </c>
      <c r="R82" s="76"/>
      <c r="S82" s="76"/>
      <c r="T82" s="76"/>
      <c r="U82" s="76"/>
      <c r="V82" s="76"/>
      <c r="W82" s="76"/>
      <c r="X82" s="76"/>
      <c r="Y82" s="76"/>
    </row>
    <row r="83" spans="1:25" s="6" customFormat="1" x14ac:dyDescent="0.25">
      <c r="A83" s="101"/>
      <c r="B83" s="101"/>
      <c r="C83" s="1" t="str">
        <f>_xlfn.CONCAT(tabE.Flux[[#This Row],[DATA]],"+",tabE.Flux[[#This Row],[MOTORISTA + MATRÍCULA A]])</f>
        <v>45887+CANCELADO</v>
      </c>
      <c r="D83" s="1" t="str">
        <f>_xlfn.CONCAT(tabE.Flux[[#This Row],[DATA]],"+",tabE.Flux[[#This Row],[MOTORISTA + MATRÍCULA B]])</f>
        <v>45887+CANCELADO</v>
      </c>
      <c r="E83" s="1" t="str">
        <f>_xlfn.CONCAT(tabE.Flux[[#This Row],[DATA]],"+",tabE.Flux[[#This Row],[MOTORISTA + MATRÍCULA A]],"+",tabE.Flux[[#This Row],[LINHA]])</f>
        <v>45887+CANCELADO+IMPERATRIZ (MA) X SÃO LUIS (MA)</v>
      </c>
      <c r="F83" s="1" t="str">
        <f>_xlfn.CONCAT(tabE.Flux[[#This Row],[DATA]],"+",tabE.Flux[[#This Row],[MOTORISTA + MATRÍCULA B]],"+",tabE.Flux[[#This Row],[LINHA]])</f>
        <v>45887+CANCELADO+IMPERATRIZ (MA) X SÃO LUIS (MA)</v>
      </c>
      <c r="G83" s="1" t="str">
        <f>_xlfn.CONCAT(tabE.Flux[[#This Row],[DATA]],"+",tabE.Flux[[#This Row],[LINHA]])</f>
        <v>45887+IMPERATRIZ (MA) X SÃO LUIS (MA)</v>
      </c>
      <c r="H83" s="141">
        <v>45887</v>
      </c>
      <c r="I83" s="142" t="s">
        <v>15</v>
      </c>
      <c r="J83" s="144" t="s">
        <v>27</v>
      </c>
      <c r="K83" s="143">
        <v>0.77083333333333337</v>
      </c>
      <c r="L83" s="143">
        <v>0.8125</v>
      </c>
      <c r="M83" s="142" t="s">
        <v>16</v>
      </c>
      <c r="N83" s="142" t="s">
        <v>42</v>
      </c>
      <c r="O83" s="144" t="s">
        <v>27</v>
      </c>
      <c r="P83" s="144" t="s">
        <v>27</v>
      </c>
      <c r="Q83" s="142" t="s">
        <v>47</v>
      </c>
      <c r="R83" s="76"/>
      <c r="S83" s="76"/>
      <c r="T83" s="76"/>
      <c r="U83" s="76"/>
      <c r="V83" s="76"/>
      <c r="W83" s="76"/>
      <c r="X83" s="76"/>
      <c r="Y83" s="76"/>
    </row>
    <row r="84" spans="1:25" s="6" customFormat="1" x14ac:dyDescent="0.25">
      <c r="A84" s="101"/>
      <c r="B84" s="101"/>
      <c r="C84" s="1" t="str">
        <f>_xlfn.CONCAT(tabE.Flux[[#This Row],[DATA]],"+",tabE.Flux[[#This Row],[MOTORISTA + MATRÍCULA A]])</f>
        <v>45887+FRANCISCO BATISTA DE LIMA - 1827</v>
      </c>
      <c r="D84" s="1" t="str">
        <f>_xlfn.CONCAT(tabE.Flux[[#This Row],[DATA]],"+",tabE.Flux[[#This Row],[MOTORISTA + MATRÍCULA B]])</f>
        <v>45887+ALTEMAR DO NASCIMENTO LIMA - 6225</v>
      </c>
      <c r="E84" s="1" t="str">
        <f>_xlfn.CONCAT(tabE.Flux[[#This Row],[DATA]],"+",tabE.Flux[[#This Row],[MOTORISTA + MATRÍCULA A]],"+",tabE.Flux[[#This Row],[LINHA]])</f>
        <v>45887+FRANCISCO BATISTA DE LIMA - 1827+GOIANIA (GO) X SAO LUIS (MA)</v>
      </c>
      <c r="F84" s="1" t="str">
        <f>_xlfn.CONCAT(tabE.Flux[[#This Row],[DATA]],"+",tabE.Flux[[#This Row],[MOTORISTA + MATRÍCULA B]],"+",tabE.Flux[[#This Row],[LINHA]])</f>
        <v>45887+ALTEMAR DO NASCIMENTO LIMA - 6225+GOIANIA (GO) X SAO LUIS (MA)</v>
      </c>
      <c r="G84" s="1" t="str">
        <f>_xlfn.CONCAT(tabE.Flux[[#This Row],[DATA]],"+",tabE.Flux[[#This Row],[LINHA]])</f>
        <v>45887+GOIANIA (GO) X SAO LUIS (MA)</v>
      </c>
      <c r="H84" s="141">
        <v>45887</v>
      </c>
      <c r="I84" s="142" t="s">
        <v>15</v>
      </c>
      <c r="J84" s="142">
        <v>25012</v>
      </c>
      <c r="K84" s="143">
        <v>0.8125</v>
      </c>
      <c r="L84" s="143">
        <v>0.84375</v>
      </c>
      <c r="M84" s="142" t="s">
        <v>16</v>
      </c>
      <c r="N84" s="142" t="s">
        <v>42</v>
      </c>
      <c r="O84" s="142" t="s">
        <v>128</v>
      </c>
      <c r="P84" s="142" t="s">
        <v>57</v>
      </c>
      <c r="Q84" s="142" t="s">
        <v>23</v>
      </c>
      <c r="R84" s="76"/>
      <c r="S84" s="76"/>
      <c r="T84" s="76"/>
      <c r="U84" s="76"/>
      <c r="V84" s="76"/>
      <c r="W84" s="76"/>
      <c r="X84" s="76"/>
      <c r="Y84" s="76"/>
    </row>
    <row r="85" spans="1:25" s="6" customFormat="1" x14ac:dyDescent="0.25">
      <c r="A85" s="101"/>
      <c r="B85" s="101"/>
      <c r="C85" s="1" t="str">
        <f>_xlfn.CONCAT(tabE.Flux[[#This Row],[DATA]],"+",tabE.Flux[[#This Row],[MOTORISTA + MATRÍCULA A]])</f>
        <v>45887+GILVAN DE SOUSA FRANCA - 5834</v>
      </c>
      <c r="D85" s="1" t="str">
        <f>_xlfn.CONCAT(tabE.Flux[[#This Row],[DATA]],"+",tabE.Flux[[#This Row],[MOTORISTA + MATRÍCULA B]])</f>
        <v>45887+MARCIO DE SOUSA BRASILEIRO - 5828</v>
      </c>
      <c r="E85" s="1" t="str">
        <f>_xlfn.CONCAT(tabE.Flux[[#This Row],[DATA]],"+",tabE.Flux[[#This Row],[MOTORISTA + MATRÍCULA A]],"+",tabE.Flux[[#This Row],[LINHA]])</f>
        <v>45887+GILVAN DE SOUSA FRANCA - 5834+GOIANIA (GO) X TERESINA (PI) VIA STI</v>
      </c>
      <c r="F85" s="1" t="str">
        <f>_xlfn.CONCAT(tabE.Flux[[#This Row],[DATA]],"+",tabE.Flux[[#This Row],[MOTORISTA + MATRÍCULA B]],"+",tabE.Flux[[#This Row],[LINHA]])</f>
        <v>45887+MARCIO DE SOUSA BRASILEIRO - 5828+GOIANIA (GO) X TERESINA (PI) VIA STI</v>
      </c>
      <c r="G85" s="1" t="str">
        <f>_xlfn.CONCAT(tabE.Flux[[#This Row],[DATA]],"+",tabE.Flux[[#This Row],[LINHA]])</f>
        <v>45887+GOIANIA (GO) X TERESINA (PI) VIA STI</v>
      </c>
      <c r="H85" s="141">
        <v>45887</v>
      </c>
      <c r="I85" s="142" t="s">
        <v>15</v>
      </c>
      <c r="J85" s="142">
        <v>19017</v>
      </c>
      <c r="K85" s="143">
        <v>0.77083333333333337</v>
      </c>
      <c r="L85" s="143">
        <v>0.79861111111111116</v>
      </c>
      <c r="M85" s="142" t="s">
        <v>16</v>
      </c>
      <c r="N85" s="142" t="s">
        <v>29</v>
      </c>
      <c r="O85" s="142" t="s">
        <v>35</v>
      </c>
      <c r="P85" s="142" t="s">
        <v>129</v>
      </c>
      <c r="Q85" s="142" t="s">
        <v>26</v>
      </c>
      <c r="R85" s="76"/>
      <c r="S85" s="76"/>
      <c r="T85" s="76"/>
      <c r="U85" s="76"/>
      <c r="V85" s="76"/>
      <c r="W85" s="76"/>
      <c r="X85" s="76"/>
      <c r="Y85" s="76"/>
    </row>
    <row r="86" spans="1:25" s="6" customFormat="1" x14ac:dyDescent="0.25">
      <c r="A86" s="101"/>
      <c r="B86" s="101"/>
      <c r="C86" s="1" t="str">
        <f>_xlfn.CONCAT(tabE.Flux[[#This Row],[DATA]],"+",tabE.Flux[[#This Row],[MOTORISTA + MATRÍCULA A]])</f>
        <v>45887+JERZUALDO DA SILVA GOMES - 4077</v>
      </c>
      <c r="D86" s="1" t="str">
        <f>_xlfn.CONCAT(tabE.Flux[[#This Row],[DATA]],"+",tabE.Flux[[#This Row],[MOTORISTA + MATRÍCULA B]])</f>
        <v>45887+ESIEL COSTA RODRIGUES - 1749</v>
      </c>
      <c r="E86" s="1" t="str">
        <f>_xlfn.CONCAT(tabE.Flux[[#This Row],[DATA]],"+",tabE.Flux[[#This Row],[MOTORISTA + MATRÍCULA A]],"+",tabE.Flux[[#This Row],[LINHA]])</f>
        <v>45887+JERZUALDO DA SILVA GOMES - 4077+GOIANIA (GO) X SAO LUIS (MA)</v>
      </c>
      <c r="F86" s="1" t="str">
        <f>_xlfn.CONCAT(tabE.Flux[[#This Row],[DATA]],"+",tabE.Flux[[#This Row],[MOTORISTA + MATRÍCULA B]],"+",tabE.Flux[[#This Row],[LINHA]])</f>
        <v>45887+ESIEL COSTA RODRIGUES - 1749+GOIANIA (GO) X SAO LUIS (MA)</v>
      </c>
      <c r="G86" s="1" t="str">
        <f>_xlfn.CONCAT(tabE.Flux[[#This Row],[DATA]],"+",tabE.Flux[[#This Row],[LINHA]])</f>
        <v>45887+GOIANIA (GO) X SAO LUIS (MA)</v>
      </c>
      <c r="H86" s="141">
        <v>45887</v>
      </c>
      <c r="I86" s="142" t="s">
        <v>15</v>
      </c>
      <c r="J86" s="142">
        <v>19001</v>
      </c>
      <c r="K86" s="143">
        <v>0.8125</v>
      </c>
      <c r="L86" s="143">
        <v>0.84166666666666667</v>
      </c>
      <c r="M86" s="142" t="s">
        <v>16</v>
      </c>
      <c r="N86" s="142" t="s">
        <v>17</v>
      </c>
      <c r="O86" s="142" t="s">
        <v>130</v>
      </c>
      <c r="P86" s="142" t="s">
        <v>46</v>
      </c>
      <c r="Q86" s="142" t="s">
        <v>23</v>
      </c>
      <c r="R86" s="76"/>
      <c r="S86" s="76"/>
      <c r="T86" s="76"/>
      <c r="U86" s="76"/>
      <c r="V86" s="76"/>
      <c r="W86" s="76"/>
      <c r="X86" s="76"/>
      <c r="Y86" s="76"/>
    </row>
    <row r="87" spans="1:25" s="6" customFormat="1" x14ac:dyDescent="0.25">
      <c r="A87" s="101"/>
      <c r="B87" s="101"/>
      <c r="C87" s="1" t="str">
        <f>_xlfn.CONCAT(tabE.Flux[[#This Row],[DATA]],"+",tabE.Flux[[#This Row],[MOTORISTA + MATRÍCULA A]])</f>
        <v>45887+FRANCISCO LINDONALDO DE SOUSA - 2971</v>
      </c>
      <c r="D87" s="1" t="str">
        <f>_xlfn.CONCAT(tabE.Flux[[#This Row],[DATA]],"+",tabE.Flux[[#This Row],[MOTORISTA + MATRÍCULA B]])</f>
        <v>45887+ANTONIO RAMIRO WEBER - 5452</v>
      </c>
      <c r="E87" s="1" t="str">
        <f>_xlfn.CONCAT(tabE.Flux[[#This Row],[DATA]],"+",tabE.Flux[[#This Row],[MOTORISTA + MATRÍCULA A]],"+",tabE.Flux[[#This Row],[LINHA]])</f>
        <v>45887+FRANCISCO LINDONALDO DE SOUSA - 2971+FORTALEZA (CE) X SINOP (MT)</v>
      </c>
      <c r="F87" s="1" t="str">
        <f>_xlfn.CONCAT(tabE.Flux[[#This Row],[DATA]],"+",tabE.Flux[[#This Row],[MOTORISTA + MATRÍCULA B]],"+",tabE.Flux[[#This Row],[LINHA]])</f>
        <v>45887+ANTONIO RAMIRO WEBER - 5452+FORTALEZA (CE) X SINOP (MT)</v>
      </c>
      <c r="G87" s="1" t="str">
        <f>_xlfn.CONCAT(tabE.Flux[[#This Row],[DATA]],"+",tabE.Flux[[#This Row],[LINHA]])</f>
        <v>45887+FORTALEZA (CE) X SINOP (MT)</v>
      </c>
      <c r="H87" s="141">
        <v>45887</v>
      </c>
      <c r="I87" s="142" t="s">
        <v>15</v>
      </c>
      <c r="J87" s="142">
        <v>19024</v>
      </c>
      <c r="K87" s="143">
        <v>0.8125</v>
      </c>
      <c r="L87" s="143">
        <v>0.85416666666666663</v>
      </c>
      <c r="M87" s="142" t="s">
        <v>16</v>
      </c>
      <c r="N87" s="142" t="s">
        <v>17</v>
      </c>
      <c r="O87" s="142" t="s">
        <v>131</v>
      </c>
      <c r="P87" s="142" t="s">
        <v>79</v>
      </c>
      <c r="Q87" s="142" t="s">
        <v>32</v>
      </c>
      <c r="R87" s="76"/>
      <c r="S87" s="76"/>
      <c r="T87" s="76"/>
      <c r="U87" s="76"/>
      <c r="V87" s="76"/>
      <c r="W87" s="76"/>
      <c r="X87" s="76"/>
      <c r="Y87" s="76"/>
    </row>
    <row r="88" spans="1:25" s="6" customFormat="1" x14ac:dyDescent="0.25">
      <c r="A88" s="101"/>
      <c r="B88" s="101"/>
      <c r="C88" s="1" t="str">
        <f>_xlfn.CONCAT(tabE.Flux[[#This Row],[DATA]],"+",tabE.Flux[[#This Row],[MOTORISTA + MATRÍCULA A]])</f>
        <v>45887+ADALTON ALMEIDA DE SOUZA - 1941</v>
      </c>
      <c r="D88" s="1" t="str">
        <f>_xlfn.CONCAT(tabE.Flux[[#This Row],[DATA]],"+",tabE.Flux[[#This Row],[MOTORISTA + MATRÍCULA B]])</f>
        <v>45887+  LAZARO VIEIRA DA SILVA- 5428</v>
      </c>
      <c r="E88" s="1" t="str">
        <f>_xlfn.CONCAT(tabE.Flux[[#This Row],[DATA]],"+",tabE.Flux[[#This Row],[MOTORISTA + MATRÍCULA A]],"+",tabE.Flux[[#This Row],[LINHA]])</f>
        <v>45887+ADALTON ALMEIDA DE SOUZA - 1941+GOIANIA (GO) X BELEM (PA)</v>
      </c>
      <c r="F88" s="1" t="str">
        <f>_xlfn.CONCAT(tabE.Flux[[#This Row],[DATA]],"+",tabE.Flux[[#This Row],[MOTORISTA + MATRÍCULA B]],"+",tabE.Flux[[#This Row],[LINHA]])</f>
        <v>45887+  LAZARO VIEIRA DA SILVA- 5428+GOIANIA (GO) X BELEM (PA)</v>
      </c>
      <c r="G88" s="1" t="str">
        <f>_xlfn.CONCAT(tabE.Flux[[#This Row],[DATA]],"+",tabE.Flux[[#This Row],[LINHA]])</f>
        <v>45887+GOIANIA (GO) X BELEM (PA)</v>
      </c>
      <c r="H88" s="141">
        <v>45887</v>
      </c>
      <c r="I88" s="142" t="s">
        <v>15</v>
      </c>
      <c r="J88" s="142">
        <v>19020</v>
      </c>
      <c r="K88" s="143">
        <v>0.84722222222222221</v>
      </c>
      <c r="L88" s="143">
        <v>0.87847222222222221</v>
      </c>
      <c r="M88" s="142" t="s">
        <v>16</v>
      </c>
      <c r="N88" s="142" t="s">
        <v>17</v>
      </c>
      <c r="O88" s="142" t="s">
        <v>132</v>
      </c>
      <c r="P88" s="142" t="s">
        <v>133</v>
      </c>
      <c r="Q88" s="142" t="s">
        <v>20</v>
      </c>
      <c r="R88" s="76"/>
      <c r="S88" s="76"/>
      <c r="T88" s="76"/>
      <c r="U88" s="76"/>
      <c r="V88" s="76"/>
      <c r="W88" s="76"/>
      <c r="X88" s="76"/>
      <c r="Y88" s="76"/>
    </row>
    <row r="89" spans="1:25" s="6" customFormat="1" x14ac:dyDescent="0.25">
      <c r="A89" s="101"/>
      <c r="B89" s="101"/>
      <c r="C89" s="1" t="str">
        <f>_xlfn.CONCAT(tabE.Flux[[#This Row],[DATA]],"+",tabE.Flux[[#This Row],[MOTORISTA + MATRÍCULA A]])</f>
        <v>+</v>
      </c>
      <c r="D89" s="1" t="str">
        <f>_xlfn.CONCAT(tabE.Flux[[#This Row],[DATA]],"+",tabE.Flux[[#This Row],[MOTORISTA + MATRÍCULA B]])</f>
        <v>+</v>
      </c>
      <c r="E89" s="1" t="str">
        <f>_xlfn.CONCAT(tabE.Flux[[#This Row],[DATA]],"+",tabE.Flux[[#This Row],[MOTORISTA + MATRÍCULA A]],"+",tabE.Flux[[#This Row],[LINHA]])</f>
        <v>++</v>
      </c>
      <c r="F89" s="1" t="str">
        <f>_xlfn.CONCAT(tabE.Flux[[#This Row],[DATA]],"+",tabE.Flux[[#This Row],[MOTORISTA + MATRÍCULA B]],"+",tabE.Flux[[#This Row],[LINHA]])</f>
        <v>++</v>
      </c>
      <c r="G89" s="1" t="str">
        <f>_xlfn.CONCAT(tabE.Flux[[#This Row],[DATA]],"+",tabE.Flux[[#This Row],[LINHA]])</f>
        <v>+</v>
      </c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76"/>
      <c r="S89" s="76"/>
      <c r="T89" s="76"/>
      <c r="U89" s="76"/>
      <c r="V89" s="76"/>
      <c r="W89" s="76"/>
      <c r="X89" s="76"/>
      <c r="Y89" s="76"/>
    </row>
    <row r="90" spans="1:25" s="6" customFormat="1" ht="15" customHeight="1" x14ac:dyDescent="0.25">
      <c r="A90" s="101"/>
      <c r="B90" s="101"/>
      <c r="C90" s="1" t="str">
        <f>_xlfn.CONCAT(tabE.Flux[[#This Row],[DATA]],"+",tabE.Flux[[#This Row],[MOTORISTA + MATRÍCULA A]])</f>
        <v>45888+VALDIR NUNES DA SILVA - 2989</v>
      </c>
      <c r="D90" s="1" t="str">
        <f>_xlfn.CONCAT(tabE.Flux[[#This Row],[DATA]],"+",tabE.Flux[[#This Row],[MOTORISTA + MATRÍCULA B]])</f>
        <v>45888+JOAO MONTEIRO DA COSTA - 5187</v>
      </c>
      <c r="E90" s="1" t="str">
        <f>_xlfn.CONCAT(tabE.Flux[[#This Row],[DATA]],"+",tabE.Flux[[#This Row],[MOTORISTA + MATRÍCULA A]],"+",tabE.Flux[[#This Row],[LINHA]])</f>
        <v>45888+VALDIR NUNES DA SILVA - 2989+GOIANIA (GO) X BELEM (PA)</v>
      </c>
      <c r="F90" s="1" t="str">
        <f>_xlfn.CONCAT(tabE.Flux[[#This Row],[DATA]],"+",tabE.Flux[[#This Row],[MOTORISTA + MATRÍCULA B]],"+",tabE.Flux[[#This Row],[LINHA]])</f>
        <v>45888+JOAO MONTEIRO DA COSTA - 5187+GOIANIA (GO) X BELEM (PA)</v>
      </c>
      <c r="G90" s="1" t="str">
        <f>_xlfn.CONCAT(tabE.Flux[[#This Row],[DATA]],"+",tabE.Flux[[#This Row],[LINHA]])</f>
        <v>45888+GOIANIA (GO) X BELEM (PA)</v>
      </c>
      <c r="H90" s="141">
        <v>45888</v>
      </c>
      <c r="I90" s="142" t="s">
        <v>15</v>
      </c>
      <c r="J90" s="142">
        <v>24014</v>
      </c>
      <c r="K90" s="143">
        <v>0.25486111111111109</v>
      </c>
      <c r="L90" s="143">
        <v>0.3</v>
      </c>
      <c r="M90" s="142" t="s">
        <v>16</v>
      </c>
      <c r="N90" s="142" t="s">
        <v>17</v>
      </c>
      <c r="O90" s="142" t="s">
        <v>134</v>
      </c>
      <c r="P90" s="142" t="s">
        <v>135</v>
      </c>
      <c r="Q90" s="142" t="s">
        <v>20</v>
      </c>
      <c r="R90" s="76"/>
      <c r="S90" s="76"/>
      <c r="T90" s="76"/>
      <c r="U90" s="76"/>
      <c r="V90" s="76"/>
      <c r="W90" s="76"/>
      <c r="X90" s="76"/>
      <c r="Y90" s="76"/>
    </row>
    <row r="91" spans="1:25" s="6" customFormat="1" x14ac:dyDescent="0.25">
      <c r="A91" s="101"/>
      <c r="B91" s="101"/>
      <c r="C91" s="1" t="str">
        <f>_xlfn.CONCAT(tabE.Flux[[#This Row],[DATA]],"+",tabE.Flux[[#This Row],[MOTORISTA + MATRÍCULA A]])</f>
        <v>45888+AILTON LEITE ORTIZ DE CAMARGO - 1642</v>
      </c>
      <c r="D91" s="1" t="str">
        <f>_xlfn.CONCAT(tabE.Flux[[#This Row],[DATA]],"+",tabE.Flux[[#This Row],[MOTORISTA + MATRÍCULA B]])</f>
        <v>45888+ALCENILDE BARBOSA ARAUJO - 1745</v>
      </c>
      <c r="E91" s="1" t="str">
        <f>_xlfn.CONCAT(tabE.Flux[[#This Row],[DATA]],"+",tabE.Flux[[#This Row],[MOTORISTA + MATRÍCULA A]],"+",tabE.Flux[[#This Row],[LINHA]])</f>
        <v>45888+AILTON LEITE ORTIZ DE CAMARGO - 1642+GOIANIA (GO) X SAO LUIS (MA)</v>
      </c>
      <c r="F91" s="1" t="str">
        <f>_xlfn.CONCAT(tabE.Flux[[#This Row],[DATA]],"+",tabE.Flux[[#This Row],[MOTORISTA + MATRÍCULA B]],"+",tabE.Flux[[#This Row],[LINHA]])</f>
        <v>45888+ALCENILDE BARBOSA ARAUJO - 1745+GOIANIA (GO) X SAO LUIS (MA)</v>
      </c>
      <c r="G91" s="1" t="str">
        <f>_xlfn.CONCAT(tabE.Flux[[#This Row],[DATA]],"+",tabE.Flux[[#This Row],[LINHA]])</f>
        <v>45888+GOIANIA (GO) X SAO LUIS (MA)</v>
      </c>
      <c r="H91" s="141">
        <v>45888</v>
      </c>
      <c r="I91" s="142" t="s">
        <v>15</v>
      </c>
      <c r="J91" s="142">
        <v>24004</v>
      </c>
      <c r="K91" s="143">
        <v>0.32291666666666669</v>
      </c>
      <c r="L91" s="143">
        <v>0.33333333333333331</v>
      </c>
      <c r="M91" s="142" t="s">
        <v>16</v>
      </c>
      <c r="N91" s="142" t="s">
        <v>17</v>
      </c>
      <c r="O91" s="142" t="s">
        <v>136</v>
      </c>
      <c r="P91" s="142" t="s">
        <v>137</v>
      </c>
      <c r="Q91" s="142" t="s">
        <v>23</v>
      </c>
      <c r="R91" s="76"/>
      <c r="S91" s="76"/>
      <c r="T91" s="76"/>
      <c r="U91" s="76"/>
      <c r="V91" s="76"/>
      <c r="W91" s="76"/>
      <c r="X91" s="76"/>
      <c r="Y91" s="76"/>
    </row>
    <row r="92" spans="1:25" s="6" customFormat="1" x14ac:dyDescent="0.25">
      <c r="A92" s="101"/>
      <c r="B92" s="101"/>
      <c r="C92" s="1" t="str">
        <f>_xlfn.CONCAT(tabE.Flux[[#This Row],[DATA]],"+",tabE.Flux[[#This Row],[MOTORISTA + MATRÍCULA A]])</f>
        <v>45888+JUSCELINO PIRES GONCALVES - 1343</v>
      </c>
      <c r="D92" s="1" t="str">
        <f>_xlfn.CONCAT(tabE.Flux[[#This Row],[DATA]],"+",tabE.Flux[[#This Row],[MOTORISTA + MATRÍCULA B]])</f>
        <v>45888+OLISMAR BATISTA DE DEUS - 5293</v>
      </c>
      <c r="E92" s="1" t="str">
        <f>_xlfn.CONCAT(tabE.Flux[[#This Row],[DATA]],"+",tabE.Flux[[#This Row],[MOTORISTA + MATRÍCULA A]],"+",tabE.Flux[[#This Row],[LINHA]])</f>
        <v>45888+JUSCELINO PIRES GONCALVES - 1343+GOIANIA (GO) X TERESINA (PI) VIA STI</v>
      </c>
      <c r="F92" s="1" t="str">
        <f>_xlfn.CONCAT(tabE.Flux[[#This Row],[DATA]],"+",tabE.Flux[[#This Row],[MOTORISTA + MATRÍCULA B]],"+",tabE.Flux[[#This Row],[LINHA]])</f>
        <v>45888+OLISMAR BATISTA DE DEUS - 5293+GOIANIA (GO) X TERESINA (PI) VIA STI</v>
      </c>
      <c r="G92" s="1" t="str">
        <f>_xlfn.CONCAT(tabE.Flux[[#This Row],[DATA]],"+",tabE.Flux[[#This Row],[LINHA]])</f>
        <v>45888+GOIANIA (GO) X TERESINA (PI) VIA STI</v>
      </c>
      <c r="H92" s="141">
        <v>45888</v>
      </c>
      <c r="I92" s="142" t="s">
        <v>15</v>
      </c>
      <c r="J92" s="142">
        <v>20018</v>
      </c>
      <c r="K92" s="143">
        <v>0.3888888888888889</v>
      </c>
      <c r="L92" s="143">
        <v>0.39583333333333331</v>
      </c>
      <c r="M92" s="142" t="s">
        <v>16</v>
      </c>
      <c r="N92" s="142" t="s">
        <v>17</v>
      </c>
      <c r="O92" s="142" t="s">
        <v>138</v>
      </c>
      <c r="P92" s="142" t="s">
        <v>139</v>
      </c>
      <c r="Q92" s="142" t="s">
        <v>26</v>
      </c>
      <c r="R92" s="76"/>
      <c r="S92" s="76"/>
      <c r="T92" s="76"/>
      <c r="U92" s="76"/>
      <c r="V92" s="76"/>
      <c r="W92" s="76"/>
      <c r="X92" s="76"/>
      <c r="Y92" s="76"/>
    </row>
    <row r="93" spans="1:25" s="6" customFormat="1" x14ac:dyDescent="0.25">
      <c r="A93" s="101"/>
      <c r="B93" s="101"/>
      <c r="C93" s="1" t="str">
        <f>_xlfn.CONCAT(tabE.Flux[[#This Row],[DATA]],"+",tabE.Flux[[#This Row],[MOTORISTA + MATRÍCULA A]])</f>
        <v>45888+CANCELADO</v>
      </c>
      <c r="D93" s="1" t="str">
        <f>_xlfn.CONCAT(tabE.Flux[[#This Row],[DATA]],"+",tabE.Flux[[#This Row],[MOTORISTA + MATRÍCULA B]])</f>
        <v>45888+CANCELADO</v>
      </c>
      <c r="E93" s="1" t="str">
        <f>_xlfn.CONCAT(tabE.Flux[[#This Row],[DATA]],"+",tabE.Flux[[#This Row],[MOTORISTA + MATRÍCULA A]],"+",tabE.Flux[[#This Row],[LINHA]])</f>
        <v>45888+CANCELADO+</v>
      </c>
      <c r="F93" s="1" t="str">
        <f>_xlfn.CONCAT(tabE.Flux[[#This Row],[DATA]],"+",tabE.Flux[[#This Row],[MOTORISTA + MATRÍCULA B]],"+",tabE.Flux[[#This Row],[LINHA]])</f>
        <v>45888+CANCELADO+</v>
      </c>
      <c r="G93" s="1" t="str">
        <f>_xlfn.CONCAT(tabE.Flux[[#This Row],[DATA]],"+",tabE.Flux[[#This Row],[LINHA]])</f>
        <v>45888+</v>
      </c>
      <c r="H93" s="141">
        <v>45888</v>
      </c>
      <c r="I93" s="142" t="s">
        <v>15</v>
      </c>
      <c r="J93" s="144" t="s">
        <v>27</v>
      </c>
      <c r="K93" s="143">
        <v>0.375</v>
      </c>
      <c r="L93" s="143">
        <v>0.41666666666666669</v>
      </c>
      <c r="M93" s="142" t="s">
        <v>16</v>
      </c>
      <c r="N93" s="142" t="s">
        <v>28</v>
      </c>
      <c r="O93" s="144" t="s">
        <v>27</v>
      </c>
      <c r="P93" s="144" t="s">
        <v>27</v>
      </c>
      <c r="Q93" s="142"/>
      <c r="R93" s="76"/>
      <c r="S93" s="76"/>
      <c r="T93" s="76"/>
      <c r="U93" s="76"/>
      <c r="V93" s="76"/>
      <c r="W93" s="76"/>
      <c r="X93" s="76"/>
      <c r="Y93" s="76"/>
    </row>
    <row r="94" spans="1:25" s="6" customFormat="1" x14ac:dyDescent="0.25">
      <c r="A94" s="101"/>
      <c r="B94" s="101"/>
      <c r="C94" s="1" t="str">
        <f>_xlfn.CONCAT(tabE.Flux[[#This Row],[DATA]],"+",tabE.Flux[[#This Row],[MOTORISTA + MATRÍCULA A]])</f>
        <v>45888+JOAO FERREIRA COSTA - 5545</v>
      </c>
      <c r="D94" s="1" t="str">
        <f>_xlfn.CONCAT(tabE.Flux[[#This Row],[DATA]],"+",tabE.Flux[[#This Row],[MOTORISTA + MATRÍCULA B]])</f>
        <v>45888+JOSE CLAUDIMAR  CUNHA - 5652</v>
      </c>
      <c r="E94" s="1" t="str">
        <f>_xlfn.CONCAT(tabE.Flux[[#This Row],[DATA]],"+",tabE.Flux[[#This Row],[MOTORISTA + MATRÍCULA A]],"+",tabE.Flux[[#This Row],[LINHA]])</f>
        <v>45888+JOAO FERREIRA COSTA - 5545+FORTALEZA (CE) X SINOP (MT)</v>
      </c>
      <c r="F94" s="1" t="str">
        <f>_xlfn.CONCAT(tabE.Flux[[#This Row],[DATA]],"+",tabE.Flux[[#This Row],[MOTORISTA + MATRÍCULA B]],"+",tabE.Flux[[#This Row],[LINHA]])</f>
        <v>45888+JOSE CLAUDIMAR  CUNHA - 5652+FORTALEZA (CE) X SINOP (MT)</v>
      </c>
      <c r="G94" s="1" t="str">
        <f>_xlfn.CONCAT(tabE.Flux[[#This Row],[DATA]],"+",tabE.Flux[[#This Row],[LINHA]])</f>
        <v>45888+FORTALEZA (CE) X SINOP (MT)</v>
      </c>
      <c r="H94" s="141">
        <v>45888</v>
      </c>
      <c r="I94" s="142" t="s">
        <v>15</v>
      </c>
      <c r="J94" s="142">
        <v>19014</v>
      </c>
      <c r="K94" s="143">
        <v>0.3888888888888889</v>
      </c>
      <c r="L94" s="143">
        <v>0.37708333333333333</v>
      </c>
      <c r="M94" s="142" t="s">
        <v>16</v>
      </c>
      <c r="N94" s="142" t="s">
        <v>29</v>
      </c>
      <c r="O94" s="142" t="s">
        <v>61</v>
      </c>
      <c r="P94" s="142" t="s">
        <v>140</v>
      </c>
      <c r="Q94" s="142" t="s">
        <v>32</v>
      </c>
      <c r="R94" s="76"/>
      <c r="S94" s="76"/>
      <c r="T94" s="76"/>
      <c r="U94" s="76"/>
      <c r="V94" s="76"/>
      <c r="W94" s="76"/>
      <c r="X94" s="76"/>
      <c r="Y94" s="76"/>
    </row>
    <row r="95" spans="1:25" s="6" customFormat="1" x14ac:dyDescent="0.25">
      <c r="A95" s="101"/>
      <c r="B95" s="101"/>
      <c r="C95" s="1" t="str">
        <f>_xlfn.CONCAT(tabE.Flux[[#This Row],[DATA]],"+",tabE.Flux[[#This Row],[MOTORISTA + MATRÍCULA A]])</f>
        <v>45888+JOSE HAILTON PEREIRA DOS SANTOS - 6018</v>
      </c>
      <c r="D95" s="1" t="str">
        <f>_xlfn.CONCAT(tabE.Flux[[#This Row],[DATA]],"+",tabE.Flux[[#This Row],[MOTORISTA + MATRÍCULA B]])</f>
        <v>45888+AELSON PEREIRA DO NASCIMENTO - 5682</v>
      </c>
      <c r="E95" s="1" t="str">
        <f>_xlfn.CONCAT(tabE.Flux[[#This Row],[DATA]],"+",tabE.Flux[[#This Row],[MOTORISTA + MATRÍCULA A]],"+",tabE.Flux[[#This Row],[LINHA]])</f>
        <v>45888+JOSE HAILTON PEREIRA DOS SANTOS - 6018+GOIANIA (GO) X BELEM (PA)</v>
      </c>
      <c r="F95" s="1" t="str">
        <f>_xlfn.CONCAT(tabE.Flux[[#This Row],[DATA]],"+",tabE.Flux[[#This Row],[MOTORISTA + MATRÍCULA B]],"+",tabE.Flux[[#This Row],[LINHA]])</f>
        <v>45888+AELSON PEREIRA DO NASCIMENTO - 5682+GOIANIA (GO) X BELEM (PA)</v>
      </c>
      <c r="G95" s="1" t="str">
        <f>_xlfn.CONCAT(tabE.Flux[[#This Row],[DATA]],"+",tabE.Flux[[#This Row],[LINHA]])</f>
        <v>45888+GOIANIA (GO) X BELEM (PA)</v>
      </c>
      <c r="H95" s="141">
        <v>45888</v>
      </c>
      <c r="I95" s="142" t="s">
        <v>15</v>
      </c>
      <c r="J95" s="142">
        <v>20017</v>
      </c>
      <c r="K95" s="143">
        <v>0.38958333333333334</v>
      </c>
      <c r="L95" s="143">
        <v>0.38541666666666669</v>
      </c>
      <c r="M95" s="142" t="s">
        <v>16</v>
      </c>
      <c r="N95" s="142" t="s">
        <v>33</v>
      </c>
      <c r="O95" s="142" t="s">
        <v>141</v>
      </c>
      <c r="P95" s="142" t="s">
        <v>88</v>
      </c>
      <c r="Q95" s="142" t="s">
        <v>20</v>
      </c>
      <c r="R95" s="76"/>
      <c r="S95" s="76"/>
      <c r="T95" s="76"/>
      <c r="U95" s="76"/>
      <c r="V95" s="76"/>
      <c r="W95" s="76"/>
      <c r="X95" s="76"/>
      <c r="Y95" s="76"/>
    </row>
    <row r="96" spans="1:25" s="6" customFormat="1" x14ac:dyDescent="0.25">
      <c r="A96" s="101"/>
      <c r="B96" s="101"/>
      <c r="C96" s="1" t="str">
        <f>_xlfn.CONCAT(tabE.Flux[[#This Row],[DATA]],"+",tabE.Flux[[#This Row],[MOTORISTA + MATRÍCULA A]])</f>
        <v>45888+ANTONIO JOSE PEREIRA SOARES - 1774</v>
      </c>
      <c r="D96" s="1" t="str">
        <f>_xlfn.CONCAT(tabE.Flux[[#This Row],[DATA]],"+",tabE.Flux[[#This Row],[MOTORISTA + MATRÍCULA B]])</f>
        <v>45888+FRANCISCO CARLOS MELO - 5306</v>
      </c>
      <c r="E96" s="1" t="str">
        <f>_xlfn.CONCAT(tabE.Flux[[#This Row],[DATA]],"+",tabE.Flux[[#This Row],[MOTORISTA + MATRÍCULA A]],"+",tabE.Flux[[#This Row],[LINHA]])</f>
        <v>45888+ANTONIO JOSE PEREIRA SOARES - 1774+GOIANIA (GO) X TERESINA (PI) VIA BC</v>
      </c>
      <c r="F96" s="1" t="str">
        <f>_xlfn.CONCAT(tabE.Flux[[#This Row],[DATA]],"+",tabE.Flux[[#This Row],[MOTORISTA + MATRÍCULA B]],"+",tabE.Flux[[#This Row],[LINHA]])</f>
        <v>45888+FRANCISCO CARLOS MELO - 5306+GOIANIA (GO) X TERESINA (PI) VIA BC</v>
      </c>
      <c r="G96" s="1" t="str">
        <f>_xlfn.CONCAT(tabE.Flux[[#This Row],[DATA]],"+",tabE.Flux[[#This Row],[LINHA]])</f>
        <v>45888+GOIANIA (GO) X TERESINA (PI) VIA BC</v>
      </c>
      <c r="H96" s="141">
        <v>45888</v>
      </c>
      <c r="I96" s="142" t="s">
        <v>15</v>
      </c>
      <c r="J96" s="142">
        <v>25010</v>
      </c>
      <c r="K96" s="143">
        <v>0.375</v>
      </c>
      <c r="L96" s="143">
        <v>0.39930555555555558</v>
      </c>
      <c r="M96" s="142" t="s">
        <v>36</v>
      </c>
      <c r="N96" s="142" t="s">
        <v>29</v>
      </c>
      <c r="O96" s="142" t="s">
        <v>52</v>
      </c>
      <c r="P96" s="142" t="s">
        <v>142</v>
      </c>
      <c r="Q96" s="142" t="s">
        <v>39</v>
      </c>
      <c r="R96" s="76"/>
      <c r="S96" s="76"/>
      <c r="T96" s="76"/>
      <c r="U96" s="76"/>
      <c r="V96" s="76"/>
      <c r="W96" s="76"/>
      <c r="X96" s="76"/>
      <c r="Y96" s="76"/>
    </row>
    <row r="97" spans="1:25" s="6" customFormat="1" x14ac:dyDescent="0.25">
      <c r="A97" s="101"/>
      <c r="B97" s="101"/>
      <c r="C97" s="1" t="str">
        <f>_xlfn.CONCAT(tabE.Flux[[#This Row],[DATA]],"+",tabE.Flux[[#This Row],[MOTORISTA + MATRÍCULA A]])</f>
        <v>45888+RAINERIO COSTA MENDES - 5850</v>
      </c>
      <c r="D97" s="1" t="str">
        <f>_xlfn.CONCAT(tabE.Flux[[#This Row],[DATA]],"+",tabE.Flux[[#This Row],[MOTORISTA + MATRÍCULA B]])</f>
        <v>45888+MARCIO RODRIGUES DA COSTA - 5993</v>
      </c>
      <c r="E97" s="1" t="str">
        <f>_xlfn.CONCAT(tabE.Flux[[#This Row],[DATA]],"+",tabE.Flux[[#This Row],[MOTORISTA + MATRÍCULA A]],"+",tabE.Flux[[#This Row],[LINHA]])</f>
        <v>45888+RAINERIO COSTA MENDES - 5850+GOIANIA (GO) X BELEM (PA)</v>
      </c>
      <c r="F97" s="1" t="str">
        <f>_xlfn.CONCAT(tabE.Flux[[#This Row],[DATA]],"+",tabE.Flux[[#This Row],[MOTORISTA + MATRÍCULA B]],"+",tabE.Flux[[#This Row],[LINHA]])</f>
        <v>45888+MARCIO RODRIGUES DA COSTA - 5993+GOIANIA (GO) X BELEM (PA)</v>
      </c>
      <c r="G97" s="1" t="str">
        <f>_xlfn.CONCAT(tabE.Flux[[#This Row],[DATA]],"+",tabE.Flux[[#This Row],[LINHA]])</f>
        <v>45888+GOIANIA (GO) X BELEM (PA)</v>
      </c>
      <c r="H97" s="141">
        <v>45888</v>
      </c>
      <c r="I97" s="142" t="s">
        <v>15</v>
      </c>
      <c r="J97" s="142">
        <v>19007</v>
      </c>
      <c r="K97" s="143">
        <v>0.375</v>
      </c>
      <c r="L97" s="143">
        <v>0.41666666666666669</v>
      </c>
      <c r="M97" s="142" t="s">
        <v>33</v>
      </c>
      <c r="N97" s="142" t="s">
        <v>16</v>
      </c>
      <c r="O97" s="142" t="s">
        <v>108</v>
      </c>
      <c r="P97" s="142" t="s">
        <v>107</v>
      </c>
      <c r="Q97" s="142" t="s">
        <v>20</v>
      </c>
      <c r="R97" s="76"/>
      <c r="S97" s="76"/>
      <c r="T97" s="76"/>
      <c r="U97" s="76"/>
      <c r="V97" s="76"/>
      <c r="W97" s="76"/>
      <c r="X97" s="76"/>
      <c r="Y97" s="76"/>
    </row>
    <row r="98" spans="1:25" s="6" customFormat="1" x14ac:dyDescent="0.25">
      <c r="A98" s="101"/>
      <c r="B98" s="101"/>
      <c r="C98" s="1" t="str">
        <f>_xlfn.CONCAT(tabE.Flux[[#This Row],[DATA]],"+",tabE.Flux[[#This Row],[MOTORISTA + MATRÍCULA A]])</f>
        <v>45888+RAIMUNDO FERNANDES RIBEIRO - 907</v>
      </c>
      <c r="D98" s="1" t="str">
        <f>_xlfn.CONCAT(tabE.Flux[[#This Row],[DATA]],"+",tabE.Flux[[#This Row],[MOTORISTA + MATRÍCULA B]])</f>
        <v>45888+JOSE POLICARPO DE SOUSA NETO - 1472</v>
      </c>
      <c r="E98" s="1" t="str">
        <f>_xlfn.CONCAT(tabE.Flux[[#This Row],[DATA]],"+",tabE.Flux[[#This Row],[MOTORISTA + MATRÍCULA A]],"+",tabE.Flux[[#This Row],[LINHA]])</f>
        <v>45888+RAIMUNDO FERNANDES RIBEIRO - 907+GOIANIA (GO) X SAO LUIS (MA)</v>
      </c>
      <c r="F98" s="1" t="str">
        <f>_xlfn.CONCAT(tabE.Flux[[#This Row],[DATA]],"+",tabE.Flux[[#This Row],[MOTORISTA + MATRÍCULA B]],"+",tabE.Flux[[#This Row],[LINHA]])</f>
        <v>45888+JOSE POLICARPO DE SOUSA NETO - 1472+GOIANIA (GO) X SAO LUIS (MA)</v>
      </c>
      <c r="G98" s="1" t="str">
        <f>_xlfn.CONCAT(tabE.Flux[[#This Row],[DATA]],"+",tabE.Flux[[#This Row],[LINHA]])</f>
        <v>45888+GOIANIA (GO) X SAO LUIS (MA)</v>
      </c>
      <c r="H98" s="141">
        <v>45888</v>
      </c>
      <c r="I98" s="142" t="s">
        <v>15</v>
      </c>
      <c r="J98" s="142">
        <v>19003</v>
      </c>
      <c r="K98" s="143">
        <v>0.25</v>
      </c>
      <c r="L98" s="143">
        <v>0.29166666666666669</v>
      </c>
      <c r="M98" s="142" t="s">
        <v>42</v>
      </c>
      <c r="N98" s="142" t="s">
        <v>16</v>
      </c>
      <c r="O98" s="142" t="s">
        <v>143</v>
      </c>
      <c r="P98" s="142" t="s">
        <v>54</v>
      </c>
      <c r="Q98" s="142" t="s">
        <v>23</v>
      </c>
      <c r="R98" s="76"/>
      <c r="S98" s="76"/>
      <c r="T98" s="76"/>
      <c r="U98" s="76"/>
      <c r="V98" s="76"/>
      <c r="W98" s="76"/>
      <c r="X98" s="76"/>
      <c r="Y98" s="76"/>
    </row>
    <row r="99" spans="1:25" s="6" customFormat="1" x14ac:dyDescent="0.25">
      <c r="A99" s="101"/>
      <c r="B99" s="101"/>
      <c r="C99" s="1" t="str">
        <f>_xlfn.CONCAT(tabE.Flux[[#This Row],[DATA]],"+",tabE.Flux[[#This Row],[MOTORISTA + MATRÍCULA A]])</f>
        <v>45888+FRANCISCO ALVES DA PAZ JUNIOR - 1247</v>
      </c>
      <c r="D99" s="1" t="str">
        <f>_xlfn.CONCAT(tabE.Flux[[#This Row],[DATA]],"+",tabE.Flux[[#This Row],[MOTORISTA + MATRÍCULA B]])</f>
        <v>45888+FRANCISCO BATISTA DE LIMA - 1827</v>
      </c>
      <c r="E99" s="1" t="str">
        <f>_xlfn.CONCAT(tabE.Flux[[#This Row],[DATA]],"+",tabE.Flux[[#This Row],[MOTORISTA + MATRÍCULA A]],"+",tabE.Flux[[#This Row],[LINHA]])</f>
        <v>45888+FRANCISCO ALVES DA PAZ JUNIOR - 1247+GOIANIA (GO) X SAO LUIS (MA)</v>
      </c>
      <c r="F99" s="1" t="str">
        <f>_xlfn.CONCAT(tabE.Flux[[#This Row],[DATA]],"+",tabE.Flux[[#This Row],[MOTORISTA + MATRÍCULA B]],"+",tabE.Flux[[#This Row],[LINHA]])</f>
        <v>45888+FRANCISCO BATISTA DE LIMA - 1827+GOIANIA (GO) X SAO LUIS (MA)</v>
      </c>
      <c r="G99" s="1" t="str">
        <f>_xlfn.CONCAT(tabE.Flux[[#This Row],[DATA]],"+",tabE.Flux[[#This Row],[LINHA]])</f>
        <v>45888+GOIANIA (GO) X SAO LUIS (MA)</v>
      </c>
      <c r="H99" s="141">
        <v>45888</v>
      </c>
      <c r="I99" s="142" t="s">
        <v>15</v>
      </c>
      <c r="J99" s="142">
        <v>25012</v>
      </c>
      <c r="K99" s="143">
        <v>0.75</v>
      </c>
      <c r="L99" s="143">
        <v>0.79166666666666663</v>
      </c>
      <c r="M99" s="142" t="s">
        <v>42</v>
      </c>
      <c r="N99" s="142" t="s">
        <v>16</v>
      </c>
      <c r="O99" s="142" t="s">
        <v>144</v>
      </c>
      <c r="P99" s="142" t="s">
        <v>128</v>
      </c>
      <c r="Q99" s="142" t="s">
        <v>23</v>
      </c>
      <c r="R99" s="76"/>
      <c r="S99" s="76"/>
      <c r="T99" s="76"/>
      <c r="U99" s="76"/>
      <c r="V99" s="76"/>
      <c r="W99" s="76"/>
      <c r="X99" s="76"/>
      <c r="Y99" s="76"/>
    </row>
    <row r="100" spans="1:25" s="6" customFormat="1" x14ac:dyDescent="0.25">
      <c r="A100" s="101"/>
      <c r="B100" s="101"/>
      <c r="C100" s="1" t="str">
        <f>_xlfn.CONCAT(tabE.Flux[[#This Row],[DATA]],"+",tabE.Flux[[#This Row],[MOTORISTA + MATRÍCULA A]])</f>
        <v>45888+CANCELADO</v>
      </c>
      <c r="D100" s="1" t="str">
        <f>_xlfn.CONCAT(tabE.Flux[[#This Row],[DATA]],"+",tabE.Flux[[#This Row],[MOTORISTA + MATRÍCULA B]])</f>
        <v>45888+CANCELADO</v>
      </c>
      <c r="E100" s="1" t="str">
        <f>_xlfn.CONCAT(tabE.Flux[[#This Row],[DATA]],"+",tabE.Flux[[#This Row],[MOTORISTA + MATRÍCULA A]],"+",tabE.Flux[[#This Row],[LINHA]])</f>
        <v>45888+CANCELADO+IMPERATRIZ (MA) X SÃO LUIS (MA)</v>
      </c>
      <c r="F100" s="1" t="str">
        <f>_xlfn.CONCAT(tabE.Flux[[#This Row],[DATA]],"+",tabE.Flux[[#This Row],[MOTORISTA + MATRÍCULA B]],"+",tabE.Flux[[#This Row],[LINHA]])</f>
        <v>45888+CANCELADO+IMPERATRIZ (MA) X SÃO LUIS (MA)</v>
      </c>
      <c r="G100" s="1" t="str">
        <f>_xlfn.CONCAT(tabE.Flux[[#This Row],[DATA]],"+",tabE.Flux[[#This Row],[LINHA]])</f>
        <v>45888+IMPERATRIZ (MA) X SÃO LUIS (MA)</v>
      </c>
      <c r="H100" s="141">
        <v>45888</v>
      </c>
      <c r="I100" s="142" t="s">
        <v>15</v>
      </c>
      <c r="J100" s="144" t="s">
        <v>27</v>
      </c>
      <c r="K100" s="143">
        <v>0.77083333333333337</v>
      </c>
      <c r="L100" s="143">
        <v>0.79513888888888884</v>
      </c>
      <c r="M100" s="142" t="s">
        <v>42</v>
      </c>
      <c r="N100" s="142" t="s">
        <v>16</v>
      </c>
      <c r="O100" s="144" t="s">
        <v>27</v>
      </c>
      <c r="P100" s="144" t="s">
        <v>27</v>
      </c>
      <c r="Q100" s="142" t="s">
        <v>47</v>
      </c>
      <c r="R100" s="76"/>
      <c r="S100" s="76"/>
      <c r="T100" s="76"/>
      <c r="U100" s="76"/>
      <c r="V100" s="76"/>
      <c r="W100" s="76"/>
      <c r="X100" s="76"/>
      <c r="Y100" s="76"/>
    </row>
    <row r="101" spans="1:25" s="6" customFormat="1" x14ac:dyDescent="0.25">
      <c r="A101" s="101"/>
      <c r="B101" s="101"/>
      <c r="C101" s="1" t="str">
        <f>_xlfn.CONCAT(tabE.Flux[[#This Row],[DATA]],"+",tabE.Flux[[#This Row],[MOTORISTA + MATRÍCULA A]])</f>
        <v>45888+EMIVAL GOMES DE MELO - 5673</v>
      </c>
      <c r="D101" s="1" t="str">
        <f>_xlfn.CONCAT(tabE.Flux[[#This Row],[DATA]],"+",tabE.Flux[[#This Row],[MOTORISTA + MATRÍCULA B]])</f>
        <v>45888+ESLEI LOPES CHAVES - 2689</v>
      </c>
      <c r="E101" s="1" t="str">
        <f>_xlfn.CONCAT(tabE.Flux[[#This Row],[DATA]],"+",tabE.Flux[[#This Row],[MOTORISTA + MATRÍCULA A]],"+",tabE.Flux[[#This Row],[LINHA]])</f>
        <v>45888+EMIVAL GOMES DE MELO - 5673+GOIANIA (GO) X TERESINA (PI) VIA BC</v>
      </c>
      <c r="F101" s="1" t="str">
        <f>_xlfn.CONCAT(tabE.Flux[[#This Row],[DATA]],"+",tabE.Flux[[#This Row],[MOTORISTA + MATRÍCULA B]],"+",tabE.Flux[[#This Row],[LINHA]])</f>
        <v>45888+ESLEI LOPES CHAVES - 2689+GOIANIA (GO) X TERESINA (PI) VIA BC</v>
      </c>
      <c r="G101" s="1" t="str">
        <f>_xlfn.CONCAT(tabE.Flux[[#This Row],[DATA]],"+",tabE.Flux[[#This Row],[LINHA]])</f>
        <v>45888+GOIANIA (GO) X TERESINA (PI) VIA BC</v>
      </c>
      <c r="H101" s="141">
        <v>45888</v>
      </c>
      <c r="I101" s="142" t="s">
        <v>15</v>
      </c>
      <c r="J101" s="142">
        <v>24003</v>
      </c>
      <c r="K101" s="143">
        <v>0.89583333333333337</v>
      </c>
      <c r="L101" s="143">
        <v>0.91666666666666663</v>
      </c>
      <c r="M101" s="142" t="s">
        <v>36</v>
      </c>
      <c r="N101" s="142" t="s">
        <v>17</v>
      </c>
      <c r="O101" s="142" t="s">
        <v>145</v>
      </c>
      <c r="P101" s="142" t="s">
        <v>146</v>
      </c>
      <c r="Q101" s="142" t="s">
        <v>39</v>
      </c>
      <c r="R101" s="76"/>
      <c r="S101" s="76"/>
      <c r="T101" s="76"/>
      <c r="U101" s="76"/>
      <c r="V101" s="76"/>
      <c r="W101" s="76"/>
      <c r="X101" s="76"/>
      <c r="Y101" s="76"/>
    </row>
    <row r="102" spans="1:25" s="6" customFormat="1" x14ac:dyDescent="0.25">
      <c r="A102" s="101"/>
      <c r="B102" s="101"/>
      <c r="C102" s="1" t="str">
        <f>_xlfn.CONCAT(tabE.Flux[[#This Row],[DATA]],"+",tabE.Flux[[#This Row],[MOTORISTA + MATRÍCULA A]])</f>
        <v>45888+BERNARDO SOUZA LIMA - 1720</v>
      </c>
      <c r="D102" s="1" t="str">
        <f>_xlfn.CONCAT(tabE.Flux[[#This Row],[DATA]],"+",tabE.Flux[[#This Row],[MOTORISTA + MATRÍCULA B]])</f>
        <v>45888+LUIS ANTONIO FARIAS RIBEIRO - 2789</v>
      </c>
      <c r="E102" s="1" t="str">
        <f>_xlfn.CONCAT(tabE.Flux[[#This Row],[DATA]],"+",tabE.Flux[[#This Row],[MOTORISTA + MATRÍCULA A]],"+",tabE.Flux[[#This Row],[LINHA]])</f>
        <v>45888+BERNARDO SOUZA LIMA - 1720+GOIANIA (GO) X BELEM (PA)</v>
      </c>
      <c r="F102" s="1" t="str">
        <f>_xlfn.CONCAT(tabE.Flux[[#This Row],[DATA]],"+",tabE.Flux[[#This Row],[MOTORISTA + MATRÍCULA B]],"+",tabE.Flux[[#This Row],[LINHA]])</f>
        <v>45888+LUIS ANTONIO FARIAS RIBEIRO - 2789+GOIANIA (GO) X BELEM (PA)</v>
      </c>
      <c r="G102" s="1" t="str">
        <f>_xlfn.CONCAT(tabE.Flux[[#This Row],[DATA]],"+",tabE.Flux[[#This Row],[LINHA]])</f>
        <v>45888+GOIANIA (GO) X BELEM (PA)</v>
      </c>
      <c r="H102" s="141">
        <v>45888</v>
      </c>
      <c r="I102" s="142" t="s">
        <v>15</v>
      </c>
      <c r="J102" s="142">
        <v>25011</v>
      </c>
      <c r="K102" s="143">
        <v>0.76041666666666663</v>
      </c>
      <c r="L102" s="143">
        <v>0.77083333333333337</v>
      </c>
      <c r="M102" s="142" t="s">
        <v>33</v>
      </c>
      <c r="N102" s="142" t="s">
        <v>16</v>
      </c>
      <c r="O102" s="142" t="s">
        <v>123</v>
      </c>
      <c r="P102" s="142" t="s">
        <v>124</v>
      </c>
      <c r="Q102" s="142" t="s">
        <v>20</v>
      </c>
      <c r="R102" s="76"/>
      <c r="S102" s="76"/>
      <c r="T102" s="76"/>
      <c r="U102" s="76"/>
      <c r="V102" s="76"/>
      <c r="W102" s="76"/>
      <c r="X102" s="76"/>
      <c r="Y102" s="76"/>
    </row>
    <row r="103" spans="1:25" s="6" customFormat="1" x14ac:dyDescent="0.25">
      <c r="A103" s="101"/>
      <c r="B103" s="101"/>
      <c r="C103" s="1" t="str">
        <f>_xlfn.CONCAT(tabE.Flux[[#This Row],[DATA]],"+",tabE.Flux[[#This Row],[MOTORISTA + MATRÍCULA A]])</f>
        <v>45888+BRUNO MATOS DA ROCHA - 6013</v>
      </c>
      <c r="D103" s="1" t="str">
        <f>_xlfn.CONCAT(tabE.Flux[[#This Row],[DATA]],"+",tabE.Flux[[#This Row],[MOTORISTA + MATRÍCULA B]])</f>
        <v>45888+EDUARDO SANTOS BEZERRA - 4066</v>
      </c>
      <c r="E103" s="1" t="str">
        <f>_xlfn.CONCAT(tabE.Flux[[#This Row],[DATA]],"+",tabE.Flux[[#This Row],[MOTORISTA + MATRÍCULA A]],"+",tabE.Flux[[#This Row],[LINHA]])</f>
        <v>45888+BRUNO MATOS DA ROCHA - 6013+GOIANIA (GO) X BELEM (PA)</v>
      </c>
      <c r="F103" s="1" t="str">
        <f>_xlfn.CONCAT(tabE.Flux[[#This Row],[DATA]],"+",tabE.Flux[[#This Row],[MOTORISTA + MATRÍCULA B]],"+",tabE.Flux[[#This Row],[LINHA]])</f>
        <v>45888+EDUARDO SANTOS BEZERRA - 4066+GOIANIA (GO) X BELEM (PA)</v>
      </c>
      <c r="G103" s="1" t="str">
        <f>_xlfn.CONCAT(tabE.Flux[[#This Row],[DATA]],"+",tabE.Flux[[#This Row],[LINHA]])</f>
        <v>45888+GOIANIA (GO) X BELEM (PA)</v>
      </c>
      <c r="H103" s="141">
        <v>45888</v>
      </c>
      <c r="I103" s="142" t="s">
        <v>15</v>
      </c>
      <c r="J103" s="142">
        <v>24016</v>
      </c>
      <c r="K103" s="143">
        <v>0.76041666666666663</v>
      </c>
      <c r="L103" s="143">
        <v>0.82777777777777772</v>
      </c>
      <c r="M103" s="142" t="s">
        <v>16</v>
      </c>
      <c r="N103" s="142" t="s">
        <v>33</v>
      </c>
      <c r="O103" s="142" t="s">
        <v>147</v>
      </c>
      <c r="P103" s="142" t="s">
        <v>148</v>
      </c>
      <c r="Q103" s="142" t="s">
        <v>20</v>
      </c>
      <c r="R103" s="76"/>
      <c r="S103" s="76"/>
      <c r="T103" s="76"/>
      <c r="U103" s="76"/>
      <c r="V103" s="76"/>
      <c r="W103" s="76"/>
      <c r="X103" s="76"/>
      <c r="Y103" s="76"/>
    </row>
    <row r="104" spans="1:25" s="6" customFormat="1" x14ac:dyDescent="0.25">
      <c r="A104" s="101"/>
      <c r="B104" s="101"/>
      <c r="C104" s="1" t="str">
        <f>_xlfn.CONCAT(tabE.Flux[[#This Row],[DATA]],"+",tabE.Flux[[#This Row],[MOTORISTA + MATRÍCULA A]])</f>
        <v>45888+CANCELADO</v>
      </c>
      <c r="D104" s="1" t="str">
        <f>_xlfn.CONCAT(tabE.Flux[[#This Row],[DATA]],"+",tabE.Flux[[#This Row],[MOTORISTA + MATRÍCULA B]])</f>
        <v>45888+CANCELADO</v>
      </c>
      <c r="E104" s="1" t="str">
        <f>_xlfn.CONCAT(tabE.Flux[[#This Row],[DATA]],"+",tabE.Flux[[#This Row],[MOTORISTA + MATRÍCULA A]],"+",tabE.Flux[[#This Row],[LINHA]])</f>
        <v>45888+CANCELADO+GOIANIA (GO) X SAO LUIS (MA)</v>
      </c>
      <c r="F104" s="1" t="str">
        <f>_xlfn.CONCAT(tabE.Flux[[#This Row],[DATA]],"+",tabE.Flux[[#This Row],[MOTORISTA + MATRÍCULA B]],"+",tabE.Flux[[#This Row],[LINHA]])</f>
        <v>45888+CANCELADO+GOIANIA (GO) X SAO LUIS (MA)</v>
      </c>
      <c r="G104" s="1" t="str">
        <f>_xlfn.CONCAT(tabE.Flux[[#This Row],[DATA]],"+",tabE.Flux[[#This Row],[LINHA]])</f>
        <v>45888+GOIANIA (GO) X SAO LUIS (MA)</v>
      </c>
      <c r="H104" s="141">
        <v>45888</v>
      </c>
      <c r="I104" s="142" t="s">
        <v>15</v>
      </c>
      <c r="J104" s="144" t="s">
        <v>27</v>
      </c>
      <c r="K104" s="143">
        <v>0.40763888888888888</v>
      </c>
      <c r="L104" s="143">
        <v>0.47013888888888888</v>
      </c>
      <c r="M104" s="142" t="s">
        <v>16</v>
      </c>
      <c r="N104" s="142" t="s">
        <v>42</v>
      </c>
      <c r="O104" s="144" t="s">
        <v>27</v>
      </c>
      <c r="P104" s="144" t="s">
        <v>27</v>
      </c>
      <c r="Q104" s="142" t="s">
        <v>23</v>
      </c>
      <c r="R104" s="76"/>
      <c r="S104" s="76"/>
      <c r="T104" s="76"/>
      <c r="U104" s="76"/>
      <c r="V104" s="76"/>
      <c r="W104" s="76"/>
      <c r="X104" s="76"/>
      <c r="Y104" s="76"/>
    </row>
    <row r="105" spans="1:25" s="6" customFormat="1" x14ac:dyDescent="0.25">
      <c r="A105" s="101"/>
      <c r="B105" s="101"/>
      <c r="C105" s="1" t="str">
        <f>_xlfn.CONCAT(tabE.Flux[[#This Row],[DATA]],"+",tabE.Flux[[#This Row],[MOTORISTA + MATRÍCULA A]])</f>
        <v>45888+CANCELADO</v>
      </c>
      <c r="D105" s="1" t="str">
        <f>_xlfn.CONCAT(tabE.Flux[[#This Row],[DATA]],"+",tabE.Flux[[#This Row],[MOTORISTA + MATRÍCULA B]])</f>
        <v>45888+CANCELADO</v>
      </c>
      <c r="E105" s="1" t="str">
        <f>_xlfn.CONCAT(tabE.Flux[[#This Row],[DATA]],"+",tabE.Flux[[#This Row],[MOTORISTA + MATRÍCULA A]],"+",tabE.Flux[[#This Row],[LINHA]])</f>
        <v>45888+CANCELADO+IMPERATRIZ (MA) X SÃO LUIS (MA)</v>
      </c>
      <c r="F105" s="1" t="str">
        <f>_xlfn.CONCAT(tabE.Flux[[#This Row],[DATA]],"+",tabE.Flux[[#This Row],[MOTORISTA + MATRÍCULA B]],"+",tabE.Flux[[#This Row],[LINHA]])</f>
        <v>45888+CANCELADO+IMPERATRIZ (MA) X SÃO LUIS (MA)</v>
      </c>
      <c r="G105" s="1" t="str">
        <f>_xlfn.CONCAT(tabE.Flux[[#This Row],[DATA]],"+",tabE.Flux[[#This Row],[LINHA]])</f>
        <v>45888+IMPERATRIZ (MA) X SÃO LUIS (MA)</v>
      </c>
      <c r="H105" s="141">
        <v>45888</v>
      </c>
      <c r="I105" s="142" t="s">
        <v>15</v>
      </c>
      <c r="J105" s="144" t="s">
        <v>27</v>
      </c>
      <c r="K105" s="143">
        <v>0.77083333333333337</v>
      </c>
      <c r="L105" s="143">
        <v>0.8125</v>
      </c>
      <c r="M105" s="142" t="s">
        <v>16</v>
      </c>
      <c r="N105" s="142" t="s">
        <v>42</v>
      </c>
      <c r="O105" s="144" t="s">
        <v>27</v>
      </c>
      <c r="P105" s="144" t="s">
        <v>27</v>
      </c>
      <c r="Q105" s="142" t="s">
        <v>47</v>
      </c>
      <c r="R105" s="76"/>
      <c r="S105" s="76"/>
      <c r="T105" s="76"/>
      <c r="U105" s="76"/>
      <c r="V105" s="76"/>
      <c r="W105" s="76"/>
      <c r="X105" s="76"/>
      <c r="Y105" s="76"/>
    </row>
    <row r="106" spans="1:25" s="6" customFormat="1" x14ac:dyDescent="0.25">
      <c r="A106" s="101"/>
      <c r="B106" s="101"/>
      <c r="C106" s="1" t="str">
        <f>_xlfn.CONCAT(tabE.Flux[[#This Row],[DATA]],"+",tabE.Flux[[#This Row],[MOTORISTA + MATRÍCULA A]])</f>
        <v>45888+JOSE CARLOS BEZERRA DA SILVA - 3034</v>
      </c>
      <c r="D106" s="1" t="str">
        <f>_xlfn.CONCAT(tabE.Flux[[#This Row],[DATA]],"+",tabE.Flux[[#This Row],[MOTORISTA + MATRÍCULA B]])</f>
        <v>45888+RAIMUNDO FERNANDES RIBEIRO - 907</v>
      </c>
      <c r="E106" s="1" t="str">
        <f>_xlfn.CONCAT(tabE.Flux[[#This Row],[DATA]],"+",tabE.Flux[[#This Row],[MOTORISTA + MATRÍCULA A]],"+",tabE.Flux[[#This Row],[LINHA]])</f>
        <v>45888+JOSE CARLOS BEZERRA DA SILVA - 3034+GOIANIA (GO) X SAO LUIS (MA)</v>
      </c>
      <c r="F106" s="1" t="str">
        <f>_xlfn.CONCAT(tabE.Flux[[#This Row],[DATA]],"+",tabE.Flux[[#This Row],[MOTORISTA + MATRÍCULA B]],"+",tabE.Flux[[#This Row],[LINHA]])</f>
        <v>45888+RAIMUNDO FERNANDES RIBEIRO - 907+GOIANIA (GO) X SAO LUIS (MA)</v>
      </c>
      <c r="G106" s="1" t="str">
        <f>_xlfn.CONCAT(tabE.Flux[[#This Row],[DATA]],"+",tabE.Flux[[#This Row],[LINHA]])</f>
        <v>45888+GOIANIA (GO) X SAO LUIS (MA)</v>
      </c>
      <c r="H106" s="141">
        <v>45888</v>
      </c>
      <c r="I106" s="142" t="s">
        <v>15</v>
      </c>
      <c r="J106" s="142">
        <v>24009</v>
      </c>
      <c r="K106" s="143">
        <v>0.8125</v>
      </c>
      <c r="L106" s="143">
        <v>0.84375</v>
      </c>
      <c r="M106" s="142" t="s">
        <v>16</v>
      </c>
      <c r="N106" s="142" t="s">
        <v>42</v>
      </c>
      <c r="O106" s="142" t="s">
        <v>76</v>
      </c>
      <c r="P106" s="142" t="s">
        <v>143</v>
      </c>
      <c r="Q106" s="142" t="s">
        <v>23</v>
      </c>
      <c r="R106" s="76"/>
      <c r="S106" s="76"/>
      <c r="T106" s="76"/>
      <c r="U106" s="76"/>
      <c r="V106" s="76"/>
      <c r="W106" s="76"/>
      <c r="X106" s="76"/>
      <c r="Y106" s="76"/>
    </row>
    <row r="107" spans="1:25" s="6" customFormat="1" x14ac:dyDescent="0.25">
      <c r="A107" s="101"/>
      <c r="B107" s="101"/>
      <c r="C107" s="1" t="str">
        <f>_xlfn.CONCAT(tabE.Flux[[#This Row],[DATA]],"+",tabE.Flux[[#This Row],[MOTORISTA + MATRÍCULA A]])</f>
        <v>45888+CLODOALDO PEREIRA DE LIMA - 4067</v>
      </c>
      <c r="D107" s="1" t="str">
        <f>_xlfn.CONCAT(tabE.Flux[[#This Row],[DATA]],"+",tabE.Flux[[#This Row],[MOTORISTA + MATRÍCULA B]])</f>
        <v>45888+GILDEAN LEAL TEIXEIRA - 5649</v>
      </c>
      <c r="E107" s="1" t="str">
        <f>_xlfn.CONCAT(tabE.Flux[[#This Row],[DATA]],"+",tabE.Flux[[#This Row],[MOTORISTA + MATRÍCULA A]],"+",tabE.Flux[[#This Row],[LINHA]])</f>
        <v>45888+CLODOALDO PEREIRA DE LIMA - 4067+GOIANIA (GO) X TERESINA (PI) VIA STI</v>
      </c>
      <c r="F107" s="1" t="str">
        <f>_xlfn.CONCAT(tabE.Flux[[#This Row],[DATA]],"+",tabE.Flux[[#This Row],[MOTORISTA + MATRÍCULA B]],"+",tabE.Flux[[#This Row],[LINHA]])</f>
        <v>45888+GILDEAN LEAL TEIXEIRA - 5649+GOIANIA (GO) X TERESINA (PI) VIA STI</v>
      </c>
      <c r="G107" s="1" t="str">
        <f>_xlfn.CONCAT(tabE.Flux[[#This Row],[DATA]],"+",tabE.Flux[[#This Row],[LINHA]])</f>
        <v>45888+GOIANIA (GO) X TERESINA (PI) VIA STI</v>
      </c>
      <c r="H107" s="141">
        <v>45888</v>
      </c>
      <c r="I107" s="142" t="s">
        <v>15</v>
      </c>
      <c r="J107" s="142">
        <v>15800</v>
      </c>
      <c r="K107" s="143">
        <v>0.77083333333333337</v>
      </c>
      <c r="L107" s="143">
        <v>0.79861111111111116</v>
      </c>
      <c r="M107" s="142" t="s">
        <v>16</v>
      </c>
      <c r="N107" s="142" t="s">
        <v>29</v>
      </c>
      <c r="O107" s="142" t="s">
        <v>109</v>
      </c>
      <c r="P107" s="142" t="s">
        <v>149</v>
      </c>
      <c r="Q107" s="142" t="s">
        <v>26</v>
      </c>
      <c r="R107" s="76"/>
      <c r="S107" s="76"/>
      <c r="T107" s="76"/>
      <c r="U107" s="76"/>
      <c r="V107" s="76"/>
      <c r="W107" s="76"/>
      <c r="X107" s="76"/>
      <c r="Y107" s="76"/>
    </row>
    <row r="108" spans="1:25" s="6" customFormat="1" x14ac:dyDescent="0.25">
      <c r="A108" s="101"/>
      <c r="B108" s="101"/>
      <c r="C108" s="1" t="str">
        <f>_xlfn.CONCAT(tabE.Flux[[#This Row],[DATA]],"+",tabE.Flux[[#This Row],[MOTORISTA + MATRÍCULA A]])</f>
        <v>45888+JARDEL DE SOUSA OLIVEIRA - 5992</v>
      </c>
      <c r="D108" s="1" t="str">
        <f>_xlfn.CONCAT(tabE.Flux[[#This Row],[DATA]],"+",tabE.Flux[[#This Row],[MOTORISTA + MATRÍCULA B]])</f>
        <v>45888+VALDEY OLIVEIRA ARAUJO - 2790</v>
      </c>
      <c r="E108" s="1" t="str">
        <f>_xlfn.CONCAT(tabE.Flux[[#This Row],[DATA]],"+",tabE.Flux[[#This Row],[MOTORISTA + MATRÍCULA A]],"+",tabE.Flux[[#This Row],[LINHA]])</f>
        <v>45888+JARDEL DE SOUSA OLIVEIRA - 5992+GOIANIA (GO) X SAO LUIS (MA)</v>
      </c>
      <c r="F108" s="1" t="str">
        <f>_xlfn.CONCAT(tabE.Flux[[#This Row],[DATA]],"+",tabE.Flux[[#This Row],[MOTORISTA + MATRÍCULA B]],"+",tabE.Flux[[#This Row],[LINHA]])</f>
        <v>45888+VALDEY OLIVEIRA ARAUJO - 2790+GOIANIA (GO) X SAO LUIS (MA)</v>
      </c>
      <c r="G108" s="1" t="str">
        <f>_xlfn.CONCAT(tabE.Flux[[#This Row],[DATA]],"+",tabE.Flux[[#This Row],[LINHA]])</f>
        <v>45888+GOIANIA (GO) X SAO LUIS (MA)</v>
      </c>
      <c r="H108" s="141">
        <v>45888</v>
      </c>
      <c r="I108" s="142" t="s">
        <v>15</v>
      </c>
      <c r="J108" s="142">
        <v>19003</v>
      </c>
      <c r="K108" s="143">
        <v>0.8125</v>
      </c>
      <c r="L108" s="143">
        <v>0.84166666666666667</v>
      </c>
      <c r="M108" s="142" t="s">
        <v>16</v>
      </c>
      <c r="N108" s="142" t="s">
        <v>17</v>
      </c>
      <c r="O108" s="142" t="s">
        <v>150</v>
      </c>
      <c r="P108" s="142" t="s">
        <v>34</v>
      </c>
      <c r="Q108" s="142" t="s">
        <v>23</v>
      </c>
      <c r="R108" s="76"/>
      <c r="S108" s="76"/>
      <c r="T108" s="76"/>
      <c r="U108" s="76"/>
      <c r="V108" s="76"/>
      <c r="W108" s="76"/>
      <c r="X108" s="76"/>
      <c r="Y108" s="76"/>
    </row>
    <row r="109" spans="1:25" s="6" customFormat="1" x14ac:dyDescent="0.25">
      <c r="A109" s="101"/>
      <c r="B109" s="101"/>
      <c r="C109" s="1" t="str">
        <f>_xlfn.CONCAT(tabE.Flux[[#This Row],[DATA]],"+",tabE.Flux[[#This Row],[MOTORISTA + MATRÍCULA A]])</f>
        <v>45888+REINAN JOSE BORGES SOUSA - 1075</v>
      </c>
      <c r="D109" s="1" t="str">
        <f>_xlfn.CONCAT(tabE.Flux[[#This Row],[DATA]],"+",tabE.Flux[[#This Row],[MOTORISTA + MATRÍCULA B]])</f>
        <v>45888+FELIPE MORAIS MELO - 3077</v>
      </c>
      <c r="E109" s="1" t="str">
        <f>_xlfn.CONCAT(tabE.Flux[[#This Row],[DATA]],"+",tabE.Flux[[#This Row],[MOTORISTA + MATRÍCULA A]],"+",tabE.Flux[[#This Row],[LINHA]])</f>
        <v>45888+REINAN JOSE BORGES SOUSA - 1075+FORTALEZA (CE) X SINOP (MT)</v>
      </c>
      <c r="F109" s="1" t="str">
        <f>_xlfn.CONCAT(tabE.Flux[[#This Row],[DATA]],"+",tabE.Flux[[#This Row],[MOTORISTA + MATRÍCULA B]],"+",tabE.Flux[[#This Row],[LINHA]])</f>
        <v>45888+FELIPE MORAIS MELO - 3077+FORTALEZA (CE) X SINOP (MT)</v>
      </c>
      <c r="G109" s="1" t="str">
        <f>_xlfn.CONCAT(tabE.Flux[[#This Row],[DATA]],"+",tabE.Flux[[#This Row],[LINHA]])</f>
        <v>45888+FORTALEZA (CE) X SINOP (MT)</v>
      </c>
      <c r="H109" s="141">
        <v>45888</v>
      </c>
      <c r="I109" s="142" t="s">
        <v>15</v>
      </c>
      <c r="J109" s="142">
        <v>19021</v>
      </c>
      <c r="K109" s="143">
        <v>0.8125</v>
      </c>
      <c r="L109" s="143">
        <v>0.85416666666666663</v>
      </c>
      <c r="M109" s="142" t="s">
        <v>16</v>
      </c>
      <c r="N109" s="142" t="s">
        <v>17</v>
      </c>
      <c r="O109" s="142" t="s">
        <v>84</v>
      </c>
      <c r="P109" s="142" t="s">
        <v>78</v>
      </c>
      <c r="Q109" s="142" t="s">
        <v>32</v>
      </c>
      <c r="R109" s="76"/>
      <c r="S109" s="76"/>
      <c r="T109" s="76"/>
      <c r="U109" s="76"/>
      <c r="V109" s="76"/>
      <c r="W109" s="76"/>
      <c r="X109" s="76"/>
      <c r="Y109" s="76"/>
    </row>
    <row r="110" spans="1:25" s="6" customFormat="1" x14ac:dyDescent="0.25">
      <c r="A110" s="101"/>
      <c r="B110" s="101"/>
      <c r="C110" s="1" t="str">
        <f>_xlfn.CONCAT(tabE.Flux[[#This Row],[DATA]],"+",tabE.Flux[[#This Row],[MOTORISTA + MATRÍCULA A]])</f>
        <v>45888+JOSE EVANGELISTA DA SILVA - 5199</v>
      </c>
      <c r="D110" s="1" t="str">
        <f>_xlfn.CONCAT(tabE.Flux[[#This Row],[DATA]],"+",tabE.Flux[[#This Row],[MOTORISTA + MATRÍCULA B]])</f>
        <v>45888+  IVANILSON BARBOSA PEREIRA- 5434</v>
      </c>
      <c r="E110" s="1" t="str">
        <f>_xlfn.CONCAT(tabE.Flux[[#This Row],[DATA]],"+",tabE.Flux[[#This Row],[MOTORISTA + MATRÍCULA A]],"+",tabE.Flux[[#This Row],[LINHA]])</f>
        <v>45888+JOSE EVANGELISTA DA SILVA - 5199+GOIANIA (GO) X BELEM (PA)</v>
      </c>
      <c r="F110" s="1" t="str">
        <f>_xlfn.CONCAT(tabE.Flux[[#This Row],[DATA]],"+",tabE.Flux[[#This Row],[MOTORISTA + MATRÍCULA B]],"+",tabE.Flux[[#This Row],[LINHA]])</f>
        <v>45888+  IVANILSON BARBOSA PEREIRA- 5434+GOIANIA (GO) X BELEM (PA)</v>
      </c>
      <c r="G110" s="1" t="str">
        <f>_xlfn.CONCAT(tabE.Flux[[#This Row],[DATA]],"+",tabE.Flux[[#This Row],[LINHA]])</f>
        <v>45888+GOIANIA (GO) X BELEM (PA)</v>
      </c>
      <c r="H110" s="141">
        <v>45888</v>
      </c>
      <c r="I110" s="142" t="s">
        <v>15</v>
      </c>
      <c r="J110" s="142">
        <v>19007</v>
      </c>
      <c r="K110" s="143">
        <v>0.84722222222222221</v>
      </c>
      <c r="L110" s="143">
        <v>0.87847222222222221</v>
      </c>
      <c r="M110" s="142" t="s">
        <v>16</v>
      </c>
      <c r="N110" s="142" t="s">
        <v>17</v>
      </c>
      <c r="O110" s="142" t="s">
        <v>151</v>
      </c>
      <c r="P110" s="142" t="s">
        <v>152</v>
      </c>
      <c r="Q110" s="142" t="s">
        <v>20</v>
      </c>
      <c r="R110" s="76"/>
      <c r="S110" s="76"/>
      <c r="T110" s="76"/>
      <c r="U110" s="76"/>
      <c r="V110" s="76"/>
      <c r="W110" s="76"/>
      <c r="X110" s="76"/>
      <c r="Y110" s="76"/>
    </row>
    <row r="111" spans="1:25" s="6" customFormat="1" x14ac:dyDescent="0.25">
      <c r="A111" s="101"/>
      <c r="B111" s="101"/>
      <c r="C111" s="1" t="str">
        <f>_xlfn.CONCAT(tabE.Flux[[#This Row],[DATA]],"+",tabE.Flux[[#This Row],[MOTORISTA + MATRÍCULA A]])</f>
        <v>+</v>
      </c>
      <c r="D111" s="1" t="str">
        <f>_xlfn.CONCAT(tabE.Flux[[#This Row],[DATA]],"+",tabE.Flux[[#This Row],[MOTORISTA + MATRÍCULA B]])</f>
        <v>+</v>
      </c>
      <c r="E111" s="1" t="str">
        <f>_xlfn.CONCAT(tabE.Flux[[#This Row],[DATA]],"+",tabE.Flux[[#This Row],[MOTORISTA + MATRÍCULA A]],"+",tabE.Flux[[#This Row],[LINHA]])</f>
        <v>++</v>
      </c>
      <c r="F111" s="1" t="str">
        <f>_xlfn.CONCAT(tabE.Flux[[#This Row],[DATA]],"+",tabE.Flux[[#This Row],[MOTORISTA + MATRÍCULA B]],"+",tabE.Flux[[#This Row],[LINHA]])</f>
        <v>++</v>
      </c>
      <c r="G111" s="1" t="str">
        <f>_xlfn.CONCAT(tabE.Flux[[#This Row],[DATA]],"+",tabE.Flux[[#This Row],[LINHA]])</f>
        <v>+</v>
      </c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76"/>
      <c r="S111" s="76"/>
      <c r="T111" s="76"/>
      <c r="U111" s="76"/>
      <c r="V111" s="76"/>
      <c r="W111" s="76"/>
      <c r="X111" s="76"/>
      <c r="Y111" s="76"/>
    </row>
    <row r="112" spans="1:25" s="6" customFormat="1" ht="15" customHeight="1" x14ac:dyDescent="0.25">
      <c r="A112" s="101"/>
      <c r="B112" s="101"/>
      <c r="C112" s="1" t="str">
        <f>_xlfn.CONCAT(tabE.Flux[[#This Row],[DATA]],"+",tabE.Flux[[#This Row],[MOTORISTA + MATRÍCULA A]])</f>
        <v>45889+PAULO TRINDADE DE ALMEIDA - 5742</v>
      </c>
      <c r="D112" s="1" t="str">
        <f>_xlfn.CONCAT(tabE.Flux[[#This Row],[DATA]],"+",tabE.Flux[[#This Row],[MOTORISTA + MATRÍCULA B]])</f>
        <v>45889+WALDIR DE ALMEIDA CORTE JUNIOR - 5960</v>
      </c>
      <c r="E112" s="1" t="str">
        <f>_xlfn.CONCAT(tabE.Flux[[#This Row],[DATA]],"+",tabE.Flux[[#This Row],[MOTORISTA + MATRÍCULA A]],"+",tabE.Flux[[#This Row],[LINHA]])</f>
        <v>45889+PAULO TRINDADE DE ALMEIDA - 5742+GOIANIA (GO) X BELEM (PA)</v>
      </c>
      <c r="F112" s="1" t="str">
        <f>_xlfn.CONCAT(tabE.Flux[[#This Row],[DATA]],"+",tabE.Flux[[#This Row],[MOTORISTA + MATRÍCULA B]],"+",tabE.Flux[[#This Row],[LINHA]])</f>
        <v>45889+WALDIR DE ALMEIDA CORTE JUNIOR - 5960+GOIANIA (GO) X BELEM (PA)</v>
      </c>
      <c r="G112" s="1" t="str">
        <f>_xlfn.CONCAT(tabE.Flux[[#This Row],[DATA]],"+",tabE.Flux[[#This Row],[LINHA]])</f>
        <v>45889+GOIANIA (GO) X BELEM (PA)</v>
      </c>
      <c r="H112" s="141">
        <v>45889</v>
      </c>
      <c r="I112" s="142" t="s">
        <v>15</v>
      </c>
      <c r="J112" s="142">
        <v>25011</v>
      </c>
      <c r="K112" s="143">
        <v>0.25486111111111109</v>
      </c>
      <c r="L112" s="143">
        <v>0.3</v>
      </c>
      <c r="M112" s="142" t="s">
        <v>16</v>
      </c>
      <c r="N112" s="142" t="s">
        <v>17</v>
      </c>
      <c r="O112" s="142" t="s">
        <v>153</v>
      </c>
      <c r="P112" s="142" t="s">
        <v>154</v>
      </c>
      <c r="Q112" s="142" t="s">
        <v>20</v>
      </c>
      <c r="R112" s="76"/>
      <c r="S112" s="76"/>
      <c r="T112" s="76"/>
      <c r="U112" s="76"/>
      <c r="V112" s="76"/>
      <c r="W112" s="76"/>
      <c r="X112" s="76"/>
      <c r="Y112" s="76"/>
    </row>
    <row r="113" spans="1:25" s="6" customFormat="1" x14ac:dyDescent="0.25">
      <c r="A113" s="101"/>
      <c r="B113" s="101"/>
      <c r="C113" s="1" t="str">
        <f>_xlfn.CONCAT(tabE.Flux[[#This Row],[DATA]],"+",tabE.Flux[[#This Row],[MOTORISTA + MATRÍCULA A]])</f>
        <v>45889+CLEYTON CEZAR DA SILVA - 5741</v>
      </c>
      <c r="D113" s="1" t="str">
        <f>_xlfn.CONCAT(tabE.Flux[[#This Row],[DATA]],"+",tabE.Flux[[#This Row],[MOTORISTA + MATRÍCULA B]])</f>
        <v>45889+JOAO ANIVAIR DE QUEIROZ - 5608</v>
      </c>
      <c r="E113" s="1" t="str">
        <f>_xlfn.CONCAT(tabE.Flux[[#This Row],[DATA]],"+",tabE.Flux[[#This Row],[MOTORISTA + MATRÍCULA A]],"+",tabE.Flux[[#This Row],[LINHA]])</f>
        <v>45889+CLEYTON CEZAR DA SILVA - 5741+GOIANIA (GO) X SAO LUIS (MA)</v>
      </c>
      <c r="F113" s="1" t="str">
        <f>_xlfn.CONCAT(tabE.Flux[[#This Row],[DATA]],"+",tabE.Flux[[#This Row],[MOTORISTA + MATRÍCULA B]],"+",tabE.Flux[[#This Row],[LINHA]])</f>
        <v>45889+JOAO ANIVAIR DE QUEIROZ - 5608+GOIANIA (GO) X SAO LUIS (MA)</v>
      </c>
      <c r="G113" s="1" t="str">
        <f>_xlfn.CONCAT(tabE.Flux[[#This Row],[DATA]],"+",tabE.Flux[[#This Row],[LINHA]])</f>
        <v>45889+GOIANIA (GO) X SAO LUIS (MA)</v>
      </c>
      <c r="H113" s="141">
        <v>45889</v>
      </c>
      <c r="I113" s="142" t="s">
        <v>15</v>
      </c>
      <c r="J113" s="142">
        <v>25012</v>
      </c>
      <c r="K113" s="143">
        <v>0.32291666666666669</v>
      </c>
      <c r="L113" s="143">
        <v>0.33333333333333331</v>
      </c>
      <c r="M113" s="142" t="s">
        <v>16</v>
      </c>
      <c r="N113" s="142" t="s">
        <v>17</v>
      </c>
      <c r="O113" s="142" t="s">
        <v>155</v>
      </c>
      <c r="P113" s="142" t="s">
        <v>156</v>
      </c>
      <c r="Q113" s="142" t="s">
        <v>23</v>
      </c>
      <c r="R113" s="76"/>
      <c r="S113" s="76"/>
      <c r="T113" s="76"/>
      <c r="U113" s="76"/>
      <c r="V113" s="76"/>
      <c r="W113" s="76"/>
      <c r="X113" s="76"/>
      <c r="Y113" s="76"/>
    </row>
    <row r="114" spans="1:25" s="6" customFormat="1" x14ac:dyDescent="0.25">
      <c r="A114" s="101"/>
      <c r="B114" s="101"/>
      <c r="C114" s="1" t="str">
        <f>_xlfn.CONCAT(tabE.Flux[[#This Row],[DATA]],"+",tabE.Flux[[#This Row],[MOTORISTA + MATRÍCULA A]])</f>
        <v>45889+OLIVEIRA DE MELO ARRUDA - 5251</v>
      </c>
      <c r="D114" s="1" t="str">
        <f>_xlfn.CONCAT(tabE.Flux[[#This Row],[DATA]],"+",tabE.Flux[[#This Row],[MOTORISTA + MATRÍCULA B]])</f>
        <v>45889+VANDERSON GURGEL DO AMARAL - 2734</v>
      </c>
      <c r="E114" s="1" t="str">
        <f>_xlfn.CONCAT(tabE.Flux[[#This Row],[DATA]],"+",tabE.Flux[[#This Row],[MOTORISTA + MATRÍCULA A]],"+",tabE.Flux[[#This Row],[LINHA]])</f>
        <v>45889+OLIVEIRA DE MELO ARRUDA - 5251+GOIANIA (GO) X TERESINA (PI) VIA STI</v>
      </c>
      <c r="F114" s="1" t="str">
        <f>_xlfn.CONCAT(tabE.Flux[[#This Row],[DATA]],"+",tabE.Flux[[#This Row],[MOTORISTA + MATRÍCULA B]],"+",tabE.Flux[[#This Row],[LINHA]])</f>
        <v>45889+VANDERSON GURGEL DO AMARAL - 2734+GOIANIA (GO) X TERESINA (PI) VIA STI</v>
      </c>
      <c r="G114" s="1" t="str">
        <f>_xlfn.CONCAT(tabE.Flux[[#This Row],[DATA]],"+",tabE.Flux[[#This Row],[LINHA]])</f>
        <v>45889+GOIANIA (GO) X TERESINA (PI) VIA STI</v>
      </c>
      <c r="H114" s="141">
        <v>45889</v>
      </c>
      <c r="I114" s="142" t="s">
        <v>15</v>
      </c>
      <c r="J114" s="142">
        <v>19020</v>
      </c>
      <c r="K114" s="143">
        <v>0.3888888888888889</v>
      </c>
      <c r="L114" s="143">
        <v>0.39583333333333331</v>
      </c>
      <c r="M114" s="142" t="s">
        <v>16</v>
      </c>
      <c r="N114" s="142" t="s">
        <v>17</v>
      </c>
      <c r="O114" s="142" t="s">
        <v>157</v>
      </c>
      <c r="P114" s="142" t="s">
        <v>158</v>
      </c>
      <c r="Q114" s="142" t="s">
        <v>26</v>
      </c>
      <c r="R114" s="76"/>
      <c r="S114" s="76"/>
      <c r="T114" s="76"/>
      <c r="U114" s="76"/>
      <c r="V114" s="76"/>
      <c r="W114" s="76"/>
      <c r="X114" s="76"/>
      <c r="Y114" s="76"/>
    </row>
    <row r="115" spans="1:25" s="6" customFormat="1" x14ac:dyDescent="0.25">
      <c r="A115" s="101"/>
      <c r="B115" s="101"/>
      <c r="C115" s="1" t="str">
        <f>_xlfn.CONCAT(tabE.Flux[[#This Row],[DATA]],"+",tabE.Flux[[#This Row],[MOTORISTA + MATRÍCULA A]])</f>
        <v>45889+CANCELADO</v>
      </c>
      <c r="D115" s="1" t="str">
        <f>_xlfn.CONCAT(tabE.Flux[[#This Row],[DATA]],"+",tabE.Flux[[#This Row],[MOTORISTA + MATRÍCULA B]])</f>
        <v>45889+CANCELADO</v>
      </c>
      <c r="E115" s="1" t="str">
        <f>_xlfn.CONCAT(tabE.Flux[[#This Row],[DATA]],"+",tabE.Flux[[#This Row],[MOTORISTA + MATRÍCULA A]],"+",tabE.Flux[[#This Row],[LINHA]])</f>
        <v>45889+CANCELADO+</v>
      </c>
      <c r="F115" s="1" t="str">
        <f>_xlfn.CONCAT(tabE.Flux[[#This Row],[DATA]],"+",tabE.Flux[[#This Row],[MOTORISTA + MATRÍCULA B]],"+",tabE.Flux[[#This Row],[LINHA]])</f>
        <v>45889+CANCELADO+</v>
      </c>
      <c r="G115" s="1" t="str">
        <f>_xlfn.CONCAT(tabE.Flux[[#This Row],[DATA]],"+",tabE.Flux[[#This Row],[LINHA]])</f>
        <v>45889+</v>
      </c>
      <c r="H115" s="141">
        <v>45889</v>
      </c>
      <c r="I115" s="142" t="s">
        <v>15</v>
      </c>
      <c r="J115" s="144" t="s">
        <v>27</v>
      </c>
      <c r="K115" s="143">
        <v>0.375</v>
      </c>
      <c r="L115" s="143">
        <v>0.41666666666666669</v>
      </c>
      <c r="M115" s="142" t="s">
        <v>16</v>
      </c>
      <c r="N115" s="142" t="s">
        <v>28</v>
      </c>
      <c r="O115" s="144" t="s">
        <v>27</v>
      </c>
      <c r="P115" s="144" t="s">
        <v>27</v>
      </c>
      <c r="Q115" s="142"/>
      <c r="R115" s="76"/>
      <c r="S115" s="76"/>
      <c r="T115" s="76"/>
      <c r="U115" s="76"/>
      <c r="V115" s="76"/>
      <c r="W115" s="76"/>
      <c r="X115" s="76"/>
      <c r="Y115" s="76"/>
    </row>
    <row r="116" spans="1:25" s="6" customFormat="1" x14ac:dyDescent="0.25">
      <c r="A116" s="101"/>
      <c r="B116" s="101"/>
      <c r="C116" s="1" t="str">
        <f>_xlfn.CONCAT(tabE.Flux[[#This Row],[DATA]],"+",tabE.Flux[[#This Row],[MOTORISTA + MATRÍCULA A]])</f>
        <v>45889+RONALDO ADRIANO COSTA SANTOS - 5637</v>
      </c>
      <c r="D116" s="1" t="str">
        <f>_xlfn.CONCAT(tabE.Flux[[#This Row],[DATA]],"+",tabE.Flux[[#This Row],[MOTORISTA + MATRÍCULA B]])</f>
        <v>45889+FRANCISCO WILSON SOARES - 1537</v>
      </c>
      <c r="E116" s="1" t="str">
        <f>_xlfn.CONCAT(tabE.Flux[[#This Row],[DATA]],"+",tabE.Flux[[#This Row],[MOTORISTA + MATRÍCULA A]],"+",tabE.Flux[[#This Row],[LINHA]])</f>
        <v>45889+RONALDO ADRIANO COSTA SANTOS - 5637+FORTALEZA (CE) X SINOP (MT)</v>
      </c>
      <c r="F116" s="1" t="str">
        <f>_xlfn.CONCAT(tabE.Flux[[#This Row],[DATA]],"+",tabE.Flux[[#This Row],[MOTORISTA + MATRÍCULA B]],"+",tabE.Flux[[#This Row],[LINHA]])</f>
        <v>45889+FRANCISCO WILSON SOARES - 1537+FORTALEZA (CE) X SINOP (MT)</v>
      </c>
      <c r="G116" s="1" t="str">
        <f>_xlfn.CONCAT(tabE.Flux[[#This Row],[DATA]],"+",tabE.Flux[[#This Row],[LINHA]])</f>
        <v>45889+FORTALEZA (CE) X SINOP (MT)</v>
      </c>
      <c r="H116" s="141">
        <v>45889</v>
      </c>
      <c r="I116" s="142" t="s">
        <v>15</v>
      </c>
      <c r="J116" s="142">
        <v>19013</v>
      </c>
      <c r="K116" s="143">
        <v>0.3888888888888889</v>
      </c>
      <c r="L116" s="143">
        <v>0.37708333333333333</v>
      </c>
      <c r="M116" s="142" t="s">
        <v>16</v>
      </c>
      <c r="N116" s="142" t="s">
        <v>29</v>
      </c>
      <c r="O116" s="142" t="s">
        <v>41</v>
      </c>
      <c r="P116" s="142" t="s">
        <v>159</v>
      </c>
      <c r="Q116" s="142" t="s">
        <v>32</v>
      </c>
      <c r="R116" s="76"/>
      <c r="S116" s="76"/>
      <c r="T116" s="76"/>
      <c r="U116" s="76"/>
      <c r="V116" s="76"/>
      <c r="W116" s="76"/>
      <c r="X116" s="76"/>
      <c r="Y116" s="76"/>
    </row>
    <row r="117" spans="1:25" s="6" customFormat="1" x14ac:dyDescent="0.25">
      <c r="A117" s="101"/>
      <c r="B117" s="101"/>
      <c r="C117" s="1" t="str">
        <f>_xlfn.CONCAT(tabE.Flux[[#This Row],[DATA]],"+",tabE.Flux[[#This Row],[MOTORISTA + MATRÍCULA A]])</f>
        <v>45889+ANDRE SOUSA REIS - 2644</v>
      </c>
      <c r="D117" s="1" t="str">
        <f>_xlfn.CONCAT(tabE.Flux[[#This Row],[DATA]],"+",tabE.Flux[[#This Row],[MOTORISTA + MATRÍCULA B]])</f>
        <v>45889+LEANDRO DE OLIVEIRA MELO - 2151</v>
      </c>
      <c r="E117" s="1" t="str">
        <f>_xlfn.CONCAT(tabE.Flux[[#This Row],[DATA]],"+",tabE.Flux[[#This Row],[MOTORISTA + MATRÍCULA A]],"+",tabE.Flux[[#This Row],[LINHA]])</f>
        <v>45889+ANDRE SOUSA REIS - 2644+GOIANIA (GO) X BELEM (PA)</v>
      </c>
      <c r="F117" s="1" t="str">
        <f>_xlfn.CONCAT(tabE.Flux[[#This Row],[DATA]],"+",tabE.Flux[[#This Row],[MOTORISTA + MATRÍCULA B]],"+",tabE.Flux[[#This Row],[LINHA]])</f>
        <v>45889+LEANDRO DE OLIVEIRA MELO - 2151+GOIANIA (GO) X BELEM (PA)</v>
      </c>
      <c r="G117" s="1" t="str">
        <f>_xlfn.CONCAT(tabE.Flux[[#This Row],[DATA]],"+",tabE.Flux[[#This Row],[LINHA]])</f>
        <v>45889+GOIANIA (GO) X BELEM (PA)</v>
      </c>
      <c r="H117" s="141">
        <v>45889</v>
      </c>
      <c r="I117" s="142" t="s">
        <v>15</v>
      </c>
      <c r="J117" s="142">
        <v>20022</v>
      </c>
      <c r="K117" s="143">
        <v>0.38958333333333334</v>
      </c>
      <c r="L117" s="143">
        <v>0.38541666666666669</v>
      </c>
      <c r="M117" s="142" t="s">
        <v>16</v>
      </c>
      <c r="N117" s="142" t="s">
        <v>33</v>
      </c>
      <c r="O117" s="142" t="s">
        <v>63</v>
      </c>
      <c r="P117" s="142" t="s">
        <v>64</v>
      </c>
      <c r="Q117" s="142" t="s">
        <v>20</v>
      </c>
      <c r="R117" s="76"/>
      <c r="S117" s="76"/>
      <c r="T117" s="76"/>
      <c r="U117" s="76"/>
      <c r="V117" s="76"/>
      <c r="W117" s="76"/>
      <c r="X117" s="76"/>
      <c r="Y117" s="76"/>
    </row>
    <row r="118" spans="1:25" s="6" customFormat="1" x14ac:dyDescent="0.25">
      <c r="A118" s="101"/>
      <c r="B118" s="101"/>
      <c r="C118" s="1" t="str">
        <f>_xlfn.CONCAT(tabE.Flux[[#This Row],[DATA]],"+",tabE.Flux[[#This Row],[MOTORISTA + MATRÍCULA A]])</f>
        <v>45889+JOSE ORLANDO RODRIGUES DE MIRANDA - 5838</v>
      </c>
      <c r="D118" s="1" t="str">
        <f>_xlfn.CONCAT(tabE.Flux[[#This Row],[DATA]],"+",tabE.Flux[[#This Row],[MOTORISTA + MATRÍCULA B]])</f>
        <v>45889+FRANK HUDSON MACHADO DE BRITO - 5267</v>
      </c>
      <c r="E118" s="1" t="str">
        <f>_xlfn.CONCAT(tabE.Flux[[#This Row],[DATA]],"+",tabE.Flux[[#This Row],[MOTORISTA + MATRÍCULA A]],"+",tabE.Flux[[#This Row],[LINHA]])</f>
        <v>45889+JOSE ORLANDO RODRIGUES DE MIRANDA - 5838+GOIANIA (GO) X TERESINA (PI) VIA BC</v>
      </c>
      <c r="F118" s="1" t="str">
        <f>_xlfn.CONCAT(tabE.Flux[[#This Row],[DATA]],"+",tabE.Flux[[#This Row],[MOTORISTA + MATRÍCULA B]],"+",tabE.Flux[[#This Row],[LINHA]])</f>
        <v>45889+FRANK HUDSON MACHADO DE BRITO - 5267+GOIANIA (GO) X TERESINA (PI) VIA BC</v>
      </c>
      <c r="G118" s="1" t="str">
        <f>_xlfn.CONCAT(tabE.Flux[[#This Row],[DATA]],"+",tabE.Flux[[#This Row],[LINHA]])</f>
        <v>45889+GOIANIA (GO) X TERESINA (PI) VIA BC</v>
      </c>
      <c r="H118" s="141">
        <v>45889</v>
      </c>
      <c r="I118" s="142" t="s">
        <v>15</v>
      </c>
      <c r="J118" s="142">
        <v>24011</v>
      </c>
      <c r="K118" s="143">
        <v>0.375</v>
      </c>
      <c r="L118" s="143">
        <v>0.39930555555555558</v>
      </c>
      <c r="M118" s="142" t="s">
        <v>36</v>
      </c>
      <c r="N118" s="142" t="s">
        <v>29</v>
      </c>
      <c r="O118" s="142" t="s">
        <v>37</v>
      </c>
      <c r="P118" s="142" t="s">
        <v>160</v>
      </c>
      <c r="Q118" s="142" t="s">
        <v>39</v>
      </c>
      <c r="R118" s="76"/>
      <c r="S118" s="76"/>
      <c r="T118" s="76"/>
      <c r="U118" s="76"/>
      <c r="V118" s="76"/>
      <c r="W118" s="76"/>
      <c r="X118" s="76"/>
      <c r="Y118" s="76"/>
    </row>
    <row r="119" spans="1:25" s="6" customFormat="1" x14ac:dyDescent="0.25">
      <c r="A119" s="101"/>
      <c r="B119" s="101"/>
      <c r="C119" s="1" t="str">
        <f>_xlfn.CONCAT(tabE.Flux[[#This Row],[DATA]],"+",tabE.Flux[[#This Row],[MOTORISTA + MATRÍCULA A]])</f>
        <v>45889+RICHARD SOUSA DA SILVA - 1271</v>
      </c>
      <c r="D119" s="1" t="str">
        <f>_xlfn.CONCAT(tabE.Flux[[#This Row],[DATA]],"+",tabE.Flux[[#This Row],[MOTORISTA + MATRÍCULA B]])</f>
        <v>45889+JEFFERSON CARDOSO DOS SANTOS - 5837</v>
      </c>
      <c r="E119" s="1" t="str">
        <f>_xlfn.CONCAT(tabE.Flux[[#This Row],[DATA]],"+",tabE.Flux[[#This Row],[MOTORISTA + MATRÍCULA A]],"+",tabE.Flux[[#This Row],[LINHA]])</f>
        <v>45889+RICHARD SOUSA DA SILVA - 1271+GOIANIA (GO) X BELEM (PA)</v>
      </c>
      <c r="F119" s="1" t="str">
        <f>_xlfn.CONCAT(tabE.Flux[[#This Row],[DATA]],"+",tabE.Flux[[#This Row],[MOTORISTA + MATRÍCULA B]],"+",tabE.Flux[[#This Row],[LINHA]])</f>
        <v>45889+JEFFERSON CARDOSO DOS SANTOS - 5837+GOIANIA (GO) X BELEM (PA)</v>
      </c>
      <c r="G119" s="1" t="str">
        <f>_xlfn.CONCAT(tabE.Flux[[#This Row],[DATA]],"+",tabE.Flux[[#This Row],[LINHA]])</f>
        <v>45889+GOIANIA (GO) X BELEM (PA)</v>
      </c>
      <c r="H119" s="141">
        <v>45889</v>
      </c>
      <c r="I119" s="142" t="s">
        <v>15</v>
      </c>
      <c r="J119" s="142">
        <v>20014</v>
      </c>
      <c r="K119" s="143">
        <v>0.375</v>
      </c>
      <c r="L119" s="143">
        <v>0.41666666666666669</v>
      </c>
      <c r="M119" s="142" t="s">
        <v>33</v>
      </c>
      <c r="N119" s="142" t="s">
        <v>16</v>
      </c>
      <c r="O119" s="142" t="s">
        <v>56</v>
      </c>
      <c r="P119" s="142" t="s">
        <v>30</v>
      </c>
      <c r="Q119" s="142" t="s">
        <v>20</v>
      </c>
      <c r="R119" s="76"/>
      <c r="S119" s="76"/>
      <c r="T119" s="76"/>
      <c r="U119" s="76"/>
      <c r="V119" s="76"/>
      <c r="W119" s="76"/>
      <c r="X119" s="76"/>
      <c r="Y119" s="76"/>
    </row>
    <row r="120" spans="1:25" s="6" customFormat="1" x14ac:dyDescent="0.25">
      <c r="A120" s="101"/>
      <c r="B120" s="101"/>
      <c r="C120" s="1" t="str">
        <f>_xlfn.CONCAT(tabE.Flux[[#This Row],[DATA]],"+",tabE.Flux[[#This Row],[MOTORISTA + MATRÍCULA A]])</f>
        <v>45889+KLEBSON ALVES FREIRES - 3060</v>
      </c>
      <c r="D120" s="1" t="str">
        <f>_xlfn.CONCAT(tabE.Flux[[#This Row],[DATA]],"+",tabE.Flux[[#This Row],[MOTORISTA + MATRÍCULA B]])</f>
        <v>45889+ANTONIO MARQUES NETO DOS SANTOS - 1738</v>
      </c>
      <c r="E120" s="1" t="str">
        <f>_xlfn.CONCAT(tabE.Flux[[#This Row],[DATA]],"+",tabE.Flux[[#This Row],[MOTORISTA + MATRÍCULA A]],"+",tabE.Flux[[#This Row],[LINHA]])</f>
        <v>45889+KLEBSON ALVES FREIRES - 3060+GOIANIA (GO) X SAO LUIS (MA)</v>
      </c>
      <c r="F120" s="1" t="str">
        <f>_xlfn.CONCAT(tabE.Flux[[#This Row],[DATA]],"+",tabE.Flux[[#This Row],[MOTORISTA + MATRÍCULA B]],"+",tabE.Flux[[#This Row],[LINHA]])</f>
        <v>45889+ANTONIO MARQUES NETO DOS SANTOS - 1738+GOIANIA (GO) X SAO LUIS (MA)</v>
      </c>
      <c r="G120" s="1" t="str">
        <f>_xlfn.CONCAT(tabE.Flux[[#This Row],[DATA]],"+",tabE.Flux[[#This Row],[LINHA]])</f>
        <v>45889+GOIANIA (GO) X SAO LUIS (MA)</v>
      </c>
      <c r="H120" s="141">
        <v>45889</v>
      </c>
      <c r="I120" s="142" t="s">
        <v>15</v>
      </c>
      <c r="J120" s="142">
        <v>20013</v>
      </c>
      <c r="K120" s="143">
        <v>0.25</v>
      </c>
      <c r="L120" s="143">
        <v>0.29166666666666669</v>
      </c>
      <c r="M120" s="142" t="s">
        <v>42</v>
      </c>
      <c r="N120" s="142" t="s">
        <v>16</v>
      </c>
      <c r="O120" s="142" t="s">
        <v>161</v>
      </c>
      <c r="P120" s="142" t="s">
        <v>73</v>
      </c>
      <c r="Q120" s="142" t="s">
        <v>23</v>
      </c>
      <c r="R120" s="76"/>
      <c r="S120" s="76"/>
      <c r="T120" s="76"/>
      <c r="U120" s="76"/>
      <c r="V120" s="76"/>
      <c r="W120" s="76"/>
      <c r="X120" s="76"/>
      <c r="Y120" s="76"/>
    </row>
    <row r="121" spans="1:25" s="6" customFormat="1" x14ac:dyDescent="0.25">
      <c r="A121" s="101"/>
      <c r="B121" s="101"/>
      <c r="C121" s="1" t="str">
        <f>_xlfn.CONCAT(tabE.Flux[[#This Row],[DATA]],"+",tabE.Flux[[#This Row],[MOTORISTA + MATRÍCULA A]])</f>
        <v>45889+ALTEMAR DO NASCIMENTO LIMA - 6225</v>
      </c>
      <c r="D121" s="1" t="str">
        <f>_xlfn.CONCAT(tabE.Flux[[#This Row],[DATA]],"+",tabE.Flux[[#This Row],[MOTORISTA + MATRÍCULA B]])</f>
        <v>45889+JOSE CARLOS BEZERRA DA SILVA - 3034</v>
      </c>
      <c r="E121" s="1" t="str">
        <f>_xlfn.CONCAT(tabE.Flux[[#This Row],[DATA]],"+",tabE.Flux[[#This Row],[MOTORISTA + MATRÍCULA A]],"+",tabE.Flux[[#This Row],[LINHA]])</f>
        <v>45889+ALTEMAR DO NASCIMENTO LIMA - 6225+GOIANIA (GO) X SAO LUIS (MA)</v>
      </c>
      <c r="F121" s="1" t="str">
        <f>_xlfn.CONCAT(tabE.Flux[[#This Row],[DATA]],"+",tabE.Flux[[#This Row],[MOTORISTA + MATRÍCULA B]],"+",tabE.Flux[[#This Row],[LINHA]])</f>
        <v>45889+JOSE CARLOS BEZERRA DA SILVA - 3034+GOIANIA (GO) X SAO LUIS (MA)</v>
      </c>
      <c r="G121" s="1" t="str">
        <f>_xlfn.CONCAT(tabE.Flux[[#This Row],[DATA]],"+",tabE.Flux[[#This Row],[LINHA]])</f>
        <v>45889+GOIANIA (GO) X SAO LUIS (MA)</v>
      </c>
      <c r="H121" s="141">
        <v>45889</v>
      </c>
      <c r="I121" s="142" t="s">
        <v>15</v>
      </c>
      <c r="J121" s="142">
        <v>24009</v>
      </c>
      <c r="K121" s="143">
        <v>0.75</v>
      </c>
      <c r="L121" s="143">
        <v>0.79166666666666663</v>
      </c>
      <c r="M121" s="142" t="s">
        <v>42</v>
      </c>
      <c r="N121" s="142" t="s">
        <v>16</v>
      </c>
      <c r="O121" s="142" t="s">
        <v>57</v>
      </c>
      <c r="P121" s="142" t="s">
        <v>76</v>
      </c>
      <c r="Q121" s="142" t="s">
        <v>23</v>
      </c>
      <c r="R121" s="76"/>
      <c r="S121" s="76"/>
      <c r="T121" s="76"/>
      <c r="U121" s="76"/>
      <c r="V121" s="76"/>
      <c r="W121" s="76"/>
      <c r="X121" s="76"/>
      <c r="Y121" s="76"/>
    </row>
    <row r="122" spans="1:25" s="6" customFormat="1" x14ac:dyDescent="0.25">
      <c r="A122" s="101"/>
      <c r="B122" s="101"/>
      <c r="C122" s="1" t="str">
        <f>_xlfn.CONCAT(tabE.Flux[[#This Row],[DATA]],"+",tabE.Flux[[#This Row],[MOTORISTA + MATRÍCULA A]])</f>
        <v>45889+CANCELADO</v>
      </c>
      <c r="D122" s="1" t="str">
        <f>_xlfn.CONCAT(tabE.Flux[[#This Row],[DATA]],"+",tabE.Flux[[#This Row],[MOTORISTA + MATRÍCULA B]])</f>
        <v>45889+CANCELADO</v>
      </c>
      <c r="E122" s="1" t="str">
        <f>_xlfn.CONCAT(tabE.Flux[[#This Row],[DATA]],"+",tabE.Flux[[#This Row],[MOTORISTA + MATRÍCULA A]],"+",tabE.Flux[[#This Row],[LINHA]])</f>
        <v>45889+CANCELADO+IMPERATRIZ (MA) X SÃO LUIS (MA)</v>
      </c>
      <c r="F122" s="1" t="str">
        <f>_xlfn.CONCAT(tabE.Flux[[#This Row],[DATA]],"+",tabE.Flux[[#This Row],[MOTORISTA + MATRÍCULA B]],"+",tabE.Flux[[#This Row],[LINHA]])</f>
        <v>45889+CANCELADO+IMPERATRIZ (MA) X SÃO LUIS (MA)</v>
      </c>
      <c r="G122" s="1" t="str">
        <f>_xlfn.CONCAT(tabE.Flux[[#This Row],[DATA]],"+",tabE.Flux[[#This Row],[LINHA]])</f>
        <v>45889+IMPERATRIZ (MA) X SÃO LUIS (MA)</v>
      </c>
      <c r="H122" s="141">
        <v>45889</v>
      </c>
      <c r="I122" s="142" t="s">
        <v>15</v>
      </c>
      <c r="J122" s="144" t="s">
        <v>27</v>
      </c>
      <c r="K122" s="143">
        <v>0.77083333333333337</v>
      </c>
      <c r="L122" s="143">
        <v>0.79513888888888884</v>
      </c>
      <c r="M122" s="142" t="s">
        <v>42</v>
      </c>
      <c r="N122" s="142" t="s">
        <v>16</v>
      </c>
      <c r="O122" s="144" t="s">
        <v>27</v>
      </c>
      <c r="P122" s="144" t="s">
        <v>27</v>
      </c>
      <c r="Q122" s="142" t="s">
        <v>47</v>
      </c>
      <c r="R122" s="76"/>
      <c r="S122" s="76"/>
      <c r="T122" s="76"/>
      <c r="U122" s="76"/>
      <c r="V122" s="76"/>
      <c r="W122" s="76"/>
      <c r="X122" s="76"/>
      <c r="Y122" s="76"/>
    </row>
    <row r="123" spans="1:25" s="6" customFormat="1" x14ac:dyDescent="0.25">
      <c r="A123" s="101"/>
      <c r="B123" s="101"/>
      <c r="C123" s="1" t="str">
        <f>_xlfn.CONCAT(tabE.Flux[[#This Row],[DATA]],"+",tabE.Flux[[#This Row],[MOTORISTA + MATRÍCULA A]])</f>
        <v>45889+JOSE PINHEIRO DA SILVA - 5628</v>
      </c>
      <c r="D123" s="1" t="str">
        <f>_xlfn.CONCAT(tabE.Flux[[#This Row],[DATA]],"+",tabE.Flux[[#This Row],[MOTORISTA + MATRÍCULA B]])</f>
        <v>45889+SILVIO SILVA DE OLIVEIRA - 5793</v>
      </c>
      <c r="E123" s="1" t="str">
        <f>_xlfn.CONCAT(tabE.Flux[[#This Row],[DATA]],"+",tabE.Flux[[#This Row],[MOTORISTA + MATRÍCULA A]],"+",tabE.Flux[[#This Row],[LINHA]])</f>
        <v>45889+JOSE PINHEIRO DA SILVA - 5628+GOIANIA (GO) X TERESINA (PI) VIA BC</v>
      </c>
      <c r="F123" s="1" t="str">
        <f>_xlfn.CONCAT(tabE.Flux[[#This Row],[DATA]],"+",tabE.Flux[[#This Row],[MOTORISTA + MATRÍCULA B]],"+",tabE.Flux[[#This Row],[LINHA]])</f>
        <v>45889+SILVIO SILVA DE OLIVEIRA - 5793+GOIANIA (GO) X TERESINA (PI) VIA BC</v>
      </c>
      <c r="G123" s="1" t="str">
        <f>_xlfn.CONCAT(tabE.Flux[[#This Row],[DATA]],"+",tabE.Flux[[#This Row],[LINHA]])</f>
        <v>45889+GOIANIA (GO) X TERESINA (PI) VIA BC</v>
      </c>
      <c r="H123" s="141">
        <v>45889</v>
      </c>
      <c r="I123" s="142" t="s">
        <v>15</v>
      </c>
      <c r="J123" s="142">
        <v>25010</v>
      </c>
      <c r="K123" s="143">
        <v>0.89583333333333337</v>
      </c>
      <c r="L123" s="143">
        <v>0.91666666666666663</v>
      </c>
      <c r="M123" s="142" t="s">
        <v>36</v>
      </c>
      <c r="N123" s="142" t="s">
        <v>17</v>
      </c>
      <c r="O123" s="142" t="s">
        <v>162</v>
      </c>
      <c r="P123" s="142" t="s">
        <v>163</v>
      </c>
      <c r="Q123" s="142" t="s">
        <v>39</v>
      </c>
      <c r="R123" s="76"/>
      <c r="S123" s="76"/>
      <c r="T123" s="76"/>
      <c r="U123" s="76"/>
      <c r="V123" s="76"/>
      <c r="W123" s="76"/>
      <c r="X123" s="76"/>
      <c r="Y123" s="76"/>
    </row>
    <row r="124" spans="1:25" s="6" customFormat="1" x14ac:dyDescent="0.25">
      <c r="A124" s="101"/>
      <c r="B124" s="101"/>
      <c r="C124" s="1" t="str">
        <f>_xlfn.CONCAT(tabE.Flux[[#This Row],[DATA]],"+",tabE.Flux[[#This Row],[MOTORISTA + MATRÍCULA A]])</f>
        <v>45889+JOSE HAILTON PEREIRA DOS SANTOS - 6018</v>
      </c>
      <c r="D124" s="1" t="str">
        <f>_xlfn.CONCAT(tabE.Flux[[#This Row],[DATA]],"+",tabE.Flux[[#This Row],[MOTORISTA + MATRÍCULA B]])</f>
        <v>45889+AELSON PEREIRA DO NASCIMENTO - 5682</v>
      </c>
      <c r="E124" s="1" t="str">
        <f>_xlfn.CONCAT(tabE.Flux[[#This Row],[DATA]],"+",tabE.Flux[[#This Row],[MOTORISTA + MATRÍCULA A]],"+",tabE.Flux[[#This Row],[LINHA]])</f>
        <v>45889+JOSE HAILTON PEREIRA DOS SANTOS - 6018+GOIANIA (GO) X BELEM (PA)</v>
      </c>
      <c r="F124" s="1" t="str">
        <f>_xlfn.CONCAT(tabE.Flux[[#This Row],[DATA]],"+",tabE.Flux[[#This Row],[MOTORISTA + MATRÍCULA B]],"+",tabE.Flux[[#This Row],[LINHA]])</f>
        <v>45889+AELSON PEREIRA DO NASCIMENTO - 5682+GOIANIA (GO) X BELEM (PA)</v>
      </c>
      <c r="G124" s="1" t="str">
        <f>_xlfn.CONCAT(tabE.Flux[[#This Row],[DATA]],"+",tabE.Flux[[#This Row],[LINHA]])</f>
        <v>45889+GOIANIA (GO) X BELEM (PA)</v>
      </c>
      <c r="H124" s="141">
        <v>45889</v>
      </c>
      <c r="I124" s="142" t="s">
        <v>15</v>
      </c>
      <c r="J124" s="142">
        <v>24016</v>
      </c>
      <c r="K124" s="143">
        <v>0.76041666666666663</v>
      </c>
      <c r="L124" s="143">
        <v>0.77083333333333337</v>
      </c>
      <c r="M124" s="142" t="s">
        <v>33</v>
      </c>
      <c r="N124" s="142" t="s">
        <v>16</v>
      </c>
      <c r="O124" s="142" t="s">
        <v>141</v>
      </c>
      <c r="P124" s="142" t="s">
        <v>88</v>
      </c>
      <c r="Q124" s="142" t="s">
        <v>20</v>
      </c>
      <c r="R124" s="76"/>
      <c r="S124" s="76"/>
      <c r="T124" s="76"/>
      <c r="U124" s="76"/>
      <c r="V124" s="76"/>
      <c r="W124" s="76"/>
      <c r="X124" s="76"/>
      <c r="Y124" s="76"/>
    </row>
    <row r="125" spans="1:25" s="6" customFormat="1" x14ac:dyDescent="0.25">
      <c r="A125" s="101"/>
      <c r="B125" s="101"/>
      <c r="C125" s="1" t="str">
        <f>_xlfn.CONCAT(tabE.Flux[[#This Row],[DATA]],"+",tabE.Flux[[#This Row],[MOTORISTA + MATRÍCULA A]])</f>
        <v>45889+LUIZ CARLOS MARIANO SIQUEIRA - 5634</v>
      </c>
      <c r="D125" s="1" t="str">
        <f>_xlfn.CONCAT(tabE.Flux[[#This Row],[DATA]],"+",tabE.Flux[[#This Row],[MOTORISTA + MATRÍCULA B]])</f>
        <v>45889+JOAO DE JESUS GOUVEIA - 6016</v>
      </c>
      <c r="E125" s="1" t="str">
        <f>_xlfn.CONCAT(tabE.Flux[[#This Row],[DATA]],"+",tabE.Flux[[#This Row],[MOTORISTA + MATRÍCULA A]],"+",tabE.Flux[[#This Row],[LINHA]])</f>
        <v>45889+LUIZ CARLOS MARIANO SIQUEIRA - 5634+GOIANIA (GO) X BELEM (PA)</v>
      </c>
      <c r="F125" s="1" t="str">
        <f>_xlfn.CONCAT(tabE.Flux[[#This Row],[DATA]],"+",tabE.Flux[[#This Row],[MOTORISTA + MATRÍCULA B]],"+",tabE.Flux[[#This Row],[LINHA]])</f>
        <v>45889+JOAO DE JESUS GOUVEIA - 6016+GOIANIA (GO) X BELEM (PA)</v>
      </c>
      <c r="G125" s="1" t="str">
        <f>_xlfn.CONCAT(tabE.Flux[[#This Row],[DATA]],"+",tabE.Flux[[#This Row],[LINHA]])</f>
        <v>45889+GOIANIA (GO) X BELEM (PA)</v>
      </c>
      <c r="H125" s="141">
        <v>45889</v>
      </c>
      <c r="I125" s="142" t="s">
        <v>15</v>
      </c>
      <c r="J125" s="142">
        <v>24013</v>
      </c>
      <c r="K125" s="143">
        <v>0.76041666666666663</v>
      </c>
      <c r="L125" s="143">
        <v>0.82777777777777772</v>
      </c>
      <c r="M125" s="142" t="s">
        <v>16</v>
      </c>
      <c r="N125" s="142" t="s">
        <v>33</v>
      </c>
      <c r="O125" s="142" t="s">
        <v>51</v>
      </c>
      <c r="P125" s="142" t="s">
        <v>58</v>
      </c>
      <c r="Q125" s="142" t="s">
        <v>20</v>
      </c>
      <c r="R125" s="76"/>
      <c r="S125" s="76"/>
      <c r="T125" s="76"/>
      <c r="U125" s="76"/>
      <c r="V125" s="76"/>
      <c r="W125" s="76"/>
      <c r="X125" s="76"/>
      <c r="Y125" s="76"/>
    </row>
    <row r="126" spans="1:25" s="6" customFormat="1" x14ac:dyDescent="0.25">
      <c r="A126" s="101"/>
      <c r="B126" s="101"/>
      <c r="C126" s="1" t="str">
        <f>_xlfn.CONCAT(tabE.Flux[[#This Row],[DATA]],"+",tabE.Flux[[#This Row],[MOTORISTA + MATRÍCULA A]])</f>
        <v>45889+JAME DOS SANTOS MOURA - 5332</v>
      </c>
      <c r="D126" s="1" t="str">
        <f>_xlfn.CONCAT(tabE.Flux[[#This Row],[DATA]],"+",tabE.Flux[[#This Row],[MOTORISTA + MATRÍCULA B]])</f>
        <v>45889+CARLOS ADRIANO DE SOUZA DO NASCIMENTO - 6222</v>
      </c>
      <c r="E126" s="1" t="str">
        <f>_xlfn.CONCAT(tabE.Flux[[#This Row],[DATA]],"+",tabE.Flux[[#This Row],[MOTORISTA + MATRÍCULA A]],"+",tabE.Flux[[#This Row],[LINHA]])</f>
        <v>45889+JAME DOS SANTOS MOURA - 5332+GOIANIA (GO) X SAO LUIS (MA)</v>
      </c>
      <c r="F126" s="1" t="str">
        <f>_xlfn.CONCAT(tabE.Flux[[#This Row],[DATA]],"+",tabE.Flux[[#This Row],[MOTORISTA + MATRÍCULA B]],"+",tabE.Flux[[#This Row],[LINHA]])</f>
        <v>45889+CARLOS ADRIANO DE SOUZA DO NASCIMENTO - 6222+GOIANIA (GO) X SAO LUIS (MA)</v>
      </c>
      <c r="G126" s="1" t="str">
        <f>_xlfn.CONCAT(tabE.Flux[[#This Row],[DATA]],"+",tabE.Flux[[#This Row],[LINHA]])</f>
        <v>45889+GOIANIA (GO) X SAO LUIS (MA)</v>
      </c>
      <c r="H126" s="141">
        <v>45889</v>
      </c>
      <c r="I126" s="142" t="s">
        <v>15</v>
      </c>
      <c r="J126" s="142">
        <v>19018</v>
      </c>
      <c r="K126" s="143">
        <v>0.40763888888888888</v>
      </c>
      <c r="L126" s="143">
        <v>0.47013888888888888</v>
      </c>
      <c r="M126" s="142" t="s">
        <v>16</v>
      </c>
      <c r="N126" s="142" t="s">
        <v>42</v>
      </c>
      <c r="O126" s="142" t="s">
        <v>103</v>
      </c>
      <c r="P126" s="142" t="s">
        <v>110</v>
      </c>
      <c r="Q126" s="142" t="s">
        <v>23</v>
      </c>
      <c r="R126" s="76"/>
      <c r="S126" s="76"/>
      <c r="T126" s="76"/>
      <c r="U126" s="76"/>
      <c r="V126" s="76"/>
      <c r="W126" s="76"/>
      <c r="X126" s="76"/>
      <c r="Y126" s="76"/>
    </row>
    <row r="127" spans="1:25" s="6" customFormat="1" x14ac:dyDescent="0.25">
      <c r="A127" s="101"/>
      <c r="B127" s="101"/>
      <c r="C127" s="1" t="str">
        <f>_xlfn.CONCAT(tabE.Flux[[#This Row],[DATA]],"+",tabE.Flux[[#This Row],[MOTORISTA + MATRÍCULA A]])</f>
        <v>45889+CANCELADO</v>
      </c>
      <c r="D127" s="1" t="str">
        <f>_xlfn.CONCAT(tabE.Flux[[#This Row],[DATA]],"+",tabE.Flux[[#This Row],[MOTORISTA + MATRÍCULA B]])</f>
        <v>45889+CANCELADO</v>
      </c>
      <c r="E127" s="1" t="str">
        <f>_xlfn.CONCAT(tabE.Flux[[#This Row],[DATA]],"+",tabE.Flux[[#This Row],[MOTORISTA + MATRÍCULA A]],"+",tabE.Flux[[#This Row],[LINHA]])</f>
        <v>45889+CANCELADO+IMPERATRIZ (MA) X SÃO LUIS (MA)</v>
      </c>
      <c r="F127" s="1" t="str">
        <f>_xlfn.CONCAT(tabE.Flux[[#This Row],[DATA]],"+",tabE.Flux[[#This Row],[MOTORISTA + MATRÍCULA B]],"+",tabE.Flux[[#This Row],[LINHA]])</f>
        <v>45889+CANCELADO+IMPERATRIZ (MA) X SÃO LUIS (MA)</v>
      </c>
      <c r="G127" s="1" t="str">
        <f>_xlfn.CONCAT(tabE.Flux[[#This Row],[DATA]],"+",tabE.Flux[[#This Row],[LINHA]])</f>
        <v>45889+IMPERATRIZ (MA) X SÃO LUIS (MA)</v>
      </c>
      <c r="H127" s="141">
        <v>45889</v>
      </c>
      <c r="I127" s="142" t="s">
        <v>15</v>
      </c>
      <c r="J127" s="144" t="s">
        <v>27</v>
      </c>
      <c r="K127" s="143">
        <v>0.77083333333333337</v>
      </c>
      <c r="L127" s="143">
        <v>0.8125</v>
      </c>
      <c r="M127" s="142" t="s">
        <v>16</v>
      </c>
      <c r="N127" s="142" t="s">
        <v>42</v>
      </c>
      <c r="O127" s="144" t="s">
        <v>27</v>
      </c>
      <c r="P127" s="144" t="s">
        <v>27</v>
      </c>
      <c r="Q127" s="142" t="s">
        <v>47</v>
      </c>
      <c r="R127" s="76"/>
      <c r="S127" s="76"/>
      <c r="T127" s="76"/>
      <c r="U127" s="76"/>
      <c r="V127" s="76"/>
      <c r="W127" s="76"/>
      <c r="X127" s="76"/>
      <c r="Y127" s="76"/>
    </row>
    <row r="128" spans="1:25" s="6" customFormat="1" x14ac:dyDescent="0.25">
      <c r="A128" s="101"/>
      <c r="B128" s="101"/>
      <c r="C128" s="1" t="str">
        <f>_xlfn.CONCAT(tabE.Flux[[#This Row],[DATA]],"+",tabE.Flux[[#This Row],[MOTORISTA + MATRÍCULA A]])</f>
        <v>45889+NILSON CORTEZ MIRANDA - 5636</v>
      </c>
      <c r="D128" s="1" t="str">
        <f>_xlfn.CONCAT(tabE.Flux[[#This Row],[DATA]],"+",tabE.Flux[[#This Row],[MOTORISTA + MATRÍCULA B]])</f>
        <v>45889+RAIMUNDO COSTA SILVA - 6226</v>
      </c>
      <c r="E128" s="1" t="str">
        <f>_xlfn.CONCAT(tabE.Flux[[#This Row],[DATA]],"+",tabE.Flux[[#This Row],[MOTORISTA + MATRÍCULA A]],"+",tabE.Flux[[#This Row],[LINHA]])</f>
        <v>45889+NILSON CORTEZ MIRANDA - 5636+GOIANIA (GO) X SAO LUIS (MA)</v>
      </c>
      <c r="F128" s="1" t="str">
        <f>_xlfn.CONCAT(tabE.Flux[[#This Row],[DATA]],"+",tabE.Flux[[#This Row],[MOTORISTA + MATRÍCULA B]],"+",tabE.Flux[[#This Row],[LINHA]])</f>
        <v>45889+RAIMUNDO COSTA SILVA - 6226+GOIANIA (GO) X SAO LUIS (MA)</v>
      </c>
      <c r="G128" s="1" t="str">
        <f>_xlfn.CONCAT(tabE.Flux[[#This Row],[DATA]],"+",tabE.Flux[[#This Row],[LINHA]])</f>
        <v>45889+GOIANIA (GO) X SAO LUIS (MA)</v>
      </c>
      <c r="H128" s="141">
        <v>45889</v>
      </c>
      <c r="I128" s="142" t="s">
        <v>15</v>
      </c>
      <c r="J128" s="142">
        <v>24015</v>
      </c>
      <c r="K128" s="143">
        <v>0.8125</v>
      </c>
      <c r="L128" s="143">
        <v>0.84375</v>
      </c>
      <c r="M128" s="142" t="s">
        <v>16</v>
      </c>
      <c r="N128" s="142" t="s">
        <v>42</v>
      </c>
      <c r="O128" s="142" t="s">
        <v>75</v>
      </c>
      <c r="P128" s="142" t="s">
        <v>45</v>
      </c>
      <c r="Q128" s="142" t="s">
        <v>23</v>
      </c>
      <c r="R128" s="76"/>
      <c r="S128" s="76"/>
      <c r="T128" s="76"/>
      <c r="U128" s="76"/>
      <c r="V128" s="76"/>
      <c r="W128" s="76"/>
      <c r="X128" s="76"/>
      <c r="Y128" s="76"/>
    </row>
    <row r="129" spans="1:25" s="6" customFormat="1" x14ac:dyDescent="0.25">
      <c r="A129" s="101"/>
      <c r="B129" s="101"/>
      <c r="C129" s="1" t="str">
        <f>_xlfn.CONCAT(tabE.Flux[[#This Row],[DATA]],"+",tabE.Flux[[#This Row],[MOTORISTA + MATRÍCULA A]])</f>
        <v>45889+JAKTAN DE OLIVEIRA RODRIGUES - 5836</v>
      </c>
      <c r="D129" s="1" t="str">
        <f>_xlfn.CONCAT(tabE.Flux[[#This Row],[DATA]],"+",tabE.Flux[[#This Row],[MOTORISTA + MATRÍCULA B]])</f>
        <v>45889+ROSEAN MOURA DOS SANTOS - 5659</v>
      </c>
      <c r="E129" s="1" t="str">
        <f>_xlfn.CONCAT(tabE.Flux[[#This Row],[DATA]],"+",tabE.Flux[[#This Row],[MOTORISTA + MATRÍCULA A]],"+",tabE.Flux[[#This Row],[LINHA]])</f>
        <v>45889+JAKTAN DE OLIVEIRA RODRIGUES - 5836+GOIANIA (GO) X TERESINA (PI) VIA STI</v>
      </c>
      <c r="F129" s="1" t="str">
        <f>_xlfn.CONCAT(tabE.Flux[[#This Row],[DATA]],"+",tabE.Flux[[#This Row],[MOTORISTA + MATRÍCULA B]],"+",tabE.Flux[[#This Row],[LINHA]])</f>
        <v>45889+ROSEAN MOURA DOS SANTOS - 5659+GOIANIA (GO) X TERESINA (PI) VIA STI</v>
      </c>
      <c r="G129" s="1" t="str">
        <f>_xlfn.CONCAT(tabE.Flux[[#This Row],[DATA]],"+",tabE.Flux[[#This Row],[LINHA]])</f>
        <v>45889+GOIANIA (GO) X TERESINA (PI) VIA STI</v>
      </c>
      <c r="H129" s="141">
        <v>45889</v>
      </c>
      <c r="I129" s="142" t="s">
        <v>15</v>
      </c>
      <c r="J129" s="142">
        <v>16800</v>
      </c>
      <c r="K129" s="143">
        <v>0.77083333333333337</v>
      </c>
      <c r="L129" s="143">
        <v>0.79861111111111116</v>
      </c>
      <c r="M129" s="142" t="s">
        <v>16</v>
      </c>
      <c r="N129" s="142" t="s">
        <v>29</v>
      </c>
      <c r="O129" s="142" t="s">
        <v>59</v>
      </c>
      <c r="P129" s="142" t="s">
        <v>164</v>
      </c>
      <c r="Q129" s="142" t="s">
        <v>26</v>
      </c>
      <c r="R129" s="76"/>
      <c r="S129" s="76"/>
      <c r="T129" s="76"/>
      <c r="U129" s="76"/>
      <c r="V129" s="76"/>
      <c r="W129" s="76"/>
      <c r="X129" s="76"/>
      <c r="Y129" s="76"/>
    </row>
    <row r="130" spans="1:25" s="6" customFormat="1" x14ac:dyDescent="0.25">
      <c r="A130" s="101"/>
      <c r="B130" s="101"/>
      <c r="C130" s="1" t="str">
        <f>_xlfn.CONCAT(tabE.Flux[[#This Row],[DATA]],"+",tabE.Flux[[#This Row],[MOTORISTA + MATRÍCULA A]])</f>
        <v>45889+KLEBER OLIVEIRA LIMA - 5849</v>
      </c>
      <c r="D130" s="1" t="str">
        <f>_xlfn.CONCAT(tabE.Flux[[#This Row],[DATA]],"+",tabE.Flux[[#This Row],[MOTORISTA + MATRÍCULA B]])</f>
        <v>45889+RONNE RODRIGUES DE SOUSA - 5025</v>
      </c>
      <c r="E130" s="1" t="str">
        <f>_xlfn.CONCAT(tabE.Flux[[#This Row],[DATA]],"+",tabE.Flux[[#This Row],[MOTORISTA + MATRÍCULA A]],"+",tabE.Flux[[#This Row],[LINHA]])</f>
        <v>45889+KLEBER OLIVEIRA LIMA - 5849+GOIANIA (GO) X SAO LUIS (MA)</v>
      </c>
      <c r="F130" s="1" t="str">
        <f>_xlfn.CONCAT(tabE.Flux[[#This Row],[DATA]],"+",tabE.Flux[[#This Row],[MOTORISTA + MATRÍCULA B]],"+",tabE.Flux[[#This Row],[LINHA]])</f>
        <v>45889+RONNE RODRIGUES DE SOUSA - 5025+GOIANIA (GO) X SAO LUIS (MA)</v>
      </c>
      <c r="G130" s="1" t="str">
        <f>_xlfn.CONCAT(tabE.Flux[[#This Row],[DATA]],"+",tabE.Flux[[#This Row],[LINHA]])</f>
        <v>45889+GOIANIA (GO) X SAO LUIS (MA)</v>
      </c>
      <c r="H130" s="141">
        <v>45889</v>
      </c>
      <c r="I130" s="142" t="s">
        <v>15</v>
      </c>
      <c r="J130" s="142">
        <v>20013</v>
      </c>
      <c r="K130" s="143">
        <v>0.8125</v>
      </c>
      <c r="L130" s="143">
        <v>0.84166666666666667</v>
      </c>
      <c r="M130" s="142" t="s">
        <v>16</v>
      </c>
      <c r="N130" s="142" t="s">
        <v>17</v>
      </c>
      <c r="O130" s="142" t="s">
        <v>102</v>
      </c>
      <c r="P130" s="142" t="s">
        <v>85</v>
      </c>
      <c r="Q130" s="142" t="s">
        <v>23</v>
      </c>
      <c r="R130" s="76"/>
      <c r="S130" s="76"/>
      <c r="T130" s="76"/>
      <c r="U130" s="76"/>
      <c r="V130" s="76"/>
      <c r="W130" s="76"/>
      <c r="X130" s="76"/>
      <c r="Y130" s="76"/>
    </row>
    <row r="131" spans="1:25" s="6" customFormat="1" x14ac:dyDescent="0.25">
      <c r="A131" s="101"/>
      <c r="B131" s="101"/>
      <c r="C131" s="1" t="str">
        <f>_xlfn.CONCAT(tabE.Flux[[#This Row],[DATA]],"+",tabE.Flux[[#This Row],[MOTORISTA + MATRÍCULA A]])</f>
        <v>45889+FRANCISCO RAIMUNDO VIANA DE SOUSA - 5314</v>
      </c>
      <c r="D131" s="1" t="str">
        <f>_xlfn.CONCAT(tabE.Flux[[#This Row],[DATA]],"+",tabE.Flux[[#This Row],[MOTORISTA + MATRÍCULA B]])</f>
        <v>45889+ELIEZIO JOSE DOS SANTOS - 2645</v>
      </c>
      <c r="E131" s="1" t="str">
        <f>_xlfn.CONCAT(tabE.Flux[[#This Row],[DATA]],"+",tabE.Flux[[#This Row],[MOTORISTA + MATRÍCULA A]],"+",tabE.Flux[[#This Row],[LINHA]])</f>
        <v>45889+FRANCISCO RAIMUNDO VIANA DE SOUSA - 5314+FORTALEZA (CE) X SINOP (MT)</v>
      </c>
      <c r="F131" s="1" t="str">
        <f>_xlfn.CONCAT(tabE.Flux[[#This Row],[DATA]],"+",tabE.Flux[[#This Row],[MOTORISTA + MATRÍCULA B]],"+",tabE.Flux[[#This Row],[LINHA]])</f>
        <v>45889+ELIEZIO JOSE DOS SANTOS - 2645+FORTALEZA (CE) X SINOP (MT)</v>
      </c>
      <c r="G131" s="1" t="str">
        <f>_xlfn.CONCAT(tabE.Flux[[#This Row],[DATA]],"+",tabE.Flux[[#This Row],[LINHA]])</f>
        <v>45889+FORTALEZA (CE) X SINOP (MT)</v>
      </c>
      <c r="H131" s="141">
        <v>45889</v>
      </c>
      <c r="I131" s="142" t="s">
        <v>15</v>
      </c>
      <c r="J131" s="142">
        <v>19022</v>
      </c>
      <c r="K131" s="143">
        <v>0.8125</v>
      </c>
      <c r="L131" s="143">
        <v>0.85416666666666663</v>
      </c>
      <c r="M131" s="142" t="s">
        <v>16</v>
      </c>
      <c r="N131" s="142" t="s">
        <v>17</v>
      </c>
      <c r="O131" s="142" t="s">
        <v>87</v>
      </c>
      <c r="P131" s="142" t="s">
        <v>53</v>
      </c>
      <c r="Q131" s="142" t="s">
        <v>32</v>
      </c>
      <c r="R131" s="76"/>
      <c r="S131" s="76"/>
      <c r="T131" s="76"/>
      <c r="U131" s="76"/>
      <c r="V131" s="76"/>
      <c r="W131" s="76"/>
      <c r="X131" s="76"/>
      <c r="Y131" s="76"/>
    </row>
    <row r="132" spans="1:25" s="6" customFormat="1" x14ac:dyDescent="0.25">
      <c r="A132" s="101"/>
      <c r="B132" s="101"/>
      <c r="C132" s="1" t="str">
        <f>_xlfn.CONCAT(tabE.Flux[[#This Row],[DATA]],"+",tabE.Flux[[#This Row],[MOTORISTA + MATRÍCULA A]])</f>
        <v>45889+CARLOS ALBERTO DE LIMA - 2777</v>
      </c>
      <c r="D132" s="1" t="str">
        <f>_xlfn.CONCAT(tabE.Flux[[#This Row],[DATA]],"+",tabE.Flux[[#This Row],[MOTORISTA + MATRÍCULA B]])</f>
        <v>45889+NEURI BISPO DA SILVA - 2682</v>
      </c>
      <c r="E132" s="1" t="str">
        <f>_xlfn.CONCAT(tabE.Flux[[#This Row],[DATA]],"+",tabE.Flux[[#This Row],[MOTORISTA + MATRÍCULA A]],"+",tabE.Flux[[#This Row],[LINHA]])</f>
        <v>45889+CARLOS ALBERTO DE LIMA - 2777+GOIANIA (GO) X BELEM (PA)</v>
      </c>
      <c r="F132" s="1" t="str">
        <f>_xlfn.CONCAT(tabE.Flux[[#This Row],[DATA]],"+",tabE.Flux[[#This Row],[MOTORISTA + MATRÍCULA B]],"+",tabE.Flux[[#This Row],[LINHA]])</f>
        <v>45889+NEURI BISPO DA SILVA - 2682+GOIANIA (GO) X BELEM (PA)</v>
      </c>
      <c r="G132" s="1" t="str">
        <f>_xlfn.CONCAT(tabE.Flux[[#This Row],[DATA]],"+",tabE.Flux[[#This Row],[LINHA]])</f>
        <v>45889+GOIANIA (GO) X BELEM (PA)</v>
      </c>
      <c r="H132" s="141">
        <v>45889</v>
      </c>
      <c r="I132" s="142" t="s">
        <v>15</v>
      </c>
      <c r="J132" s="142">
        <v>20014</v>
      </c>
      <c r="K132" s="143">
        <v>0.84722222222222221</v>
      </c>
      <c r="L132" s="143">
        <v>0.87847222222222221</v>
      </c>
      <c r="M132" s="142" t="s">
        <v>16</v>
      </c>
      <c r="N132" s="142" t="s">
        <v>17</v>
      </c>
      <c r="O132" s="142" t="s">
        <v>165</v>
      </c>
      <c r="P132" s="142" t="s">
        <v>166</v>
      </c>
      <c r="Q132" s="142" t="s">
        <v>20</v>
      </c>
      <c r="R132" s="76"/>
      <c r="S132" s="76"/>
      <c r="T132" s="76"/>
      <c r="U132" s="76"/>
      <c r="V132" s="76"/>
      <c r="W132" s="76"/>
      <c r="X132" s="76"/>
      <c r="Y132" s="76"/>
    </row>
    <row r="133" spans="1:25" s="6" customFormat="1" x14ac:dyDescent="0.25">
      <c r="A133" s="101"/>
      <c r="B133" s="101"/>
      <c r="C133" s="1" t="str">
        <f>_xlfn.CONCAT(tabE.Flux[[#This Row],[DATA]],"+",tabE.Flux[[#This Row],[MOTORISTA + MATRÍCULA A]])</f>
        <v>+</v>
      </c>
      <c r="D133" s="1" t="str">
        <f>_xlfn.CONCAT(tabE.Flux[[#This Row],[DATA]],"+",tabE.Flux[[#This Row],[MOTORISTA + MATRÍCULA B]])</f>
        <v>+</v>
      </c>
      <c r="E133" s="1" t="str">
        <f>_xlfn.CONCAT(tabE.Flux[[#This Row],[DATA]],"+",tabE.Flux[[#This Row],[MOTORISTA + MATRÍCULA A]],"+",tabE.Flux[[#This Row],[LINHA]])</f>
        <v>++</v>
      </c>
      <c r="F133" s="1" t="str">
        <f>_xlfn.CONCAT(tabE.Flux[[#This Row],[DATA]],"+",tabE.Flux[[#This Row],[MOTORISTA + MATRÍCULA B]],"+",tabE.Flux[[#This Row],[LINHA]])</f>
        <v>++</v>
      </c>
      <c r="G133" s="1" t="str">
        <f>_xlfn.CONCAT(tabE.Flux[[#This Row],[DATA]],"+",tabE.Flux[[#This Row],[LINHA]])</f>
        <v>+</v>
      </c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76"/>
      <c r="S133" s="76"/>
      <c r="T133" s="76"/>
      <c r="U133" s="76"/>
      <c r="V133" s="76"/>
      <c r="W133" s="76"/>
      <c r="X133" s="76"/>
      <c r="Y133" s="76"/>
    </row>
    <row r="134" spans="1:25" s="6" customFormat="1" ht="15" customHeight="1" x14ac:dyDescent="0.25">
      <c r="A134" s="101"/>
      <c r="B134" s="101"/>
      <c r="C134" s="1" t="str">
        <f>_xlfn.CONCAT(tabE.Flux[[#This Row],[DATA]],"+",tabE.Flux[[#This Row],[MOTORISTA + MATRÍCULA A]])</f>
        <v>45890+DIVINO EURIPEDES RIBEIRO - 5191</v>
      </c>
      <c r="D134" s="1" t="str">
        <f>_xlfn.CONCAT(tabE.Flux[[#This Row],[DATA]],"+",tabE.Flux[[#This Row],[MOTORISTA + MATRÍCULA B]])</f>
        <v>45890+VALDIVINO GONCALVES DA SILVA - 5724</v>
      </c>
      <c r="E134" s="1" t="str">
        <f>_xlfn.CONCAT(tabE.Flux[[#This Row],[DATA]],"+",tabE.Flux[[#This Row],[MOTORISTA + MATRÍCULA A]],"+",tabE.Flux[[#This Row],[LINHA]])</f>
        <v>45890+DIVINO EURIPEDES RIBEIRO - 5191+GOIANIA (GO) X BELEM (PA)</v>
      </c>
      <c r="F134" s="1" t="str">
        <f>_xlfn.CONCAT(tabE.Flux[[#This Row],[DATA]],"+",tabE.Flux[[#This Row],[MOTORISTA + MATRÍCULA B]],"+",tabE.Flux[[#This Row],[LINHA]])</f>
        <v>45890+VALDIVINO GONCALVES DA SILVA - 5724+GOIANIA (GO) X BELEM (PA)</v>
      </c>
      <c r="G134" s="1" t="str">
        <f>_xlfn.CONCAT(tabE.Flux[[#This Row],[DATA]],"+",tabE.Flux[[#This Row],[LINHA]])</f>
        <v>45890+GOIANIA (GO) X BELEM (PA)</v>
      </c>
      <c r="H134" s="141">
        <v>45890</v>
      </c>
      <c r="I134" s="142" t="s">
        <v>15</v>
      </c>
      <c r="J134" s="142">
        <v>24016</v>
      </c>
      <c r="K134" s="143">
        <v>0.25486111111111109</v>
      </c>
      <c r="L134" s="143">
        <v>0.3</v>
      </c>
      <c r="M134" s="142" t="s">
        <v>16</v>
      </c>
      <c r="N134" s="142" t="s">
        <v>17</v>
      </c>
      <c r="O134" s="142" t="s">
        <v>167</v>
      </c>
      <c r="P134" s="142" t="s">
        <v>168</v>
      </c>
      <c r="Q134" s="142" t="s">
        <v>20</v>
      </c>
      <c r="R134" s="76"/>
      <c r="S134" s="76"/>
      <c r="T134" s="76"/>
      <c r="U134" s="76"/>
      <c r="V134" s="76"/>
      <c r="W134" s="76"/>
      <c r="X134" s="76"/>
      <c r="Y134" s="76"/>
    </row>
    <row r="135" spans="1:25" s="6" customFormat="1" x14ac:dyDescent="0.25">
      <c r="A135" s="101"/>
      <c r="B135" s="101"/>
      <c r="C135" s="1" t="str">
        <f>_xlfn.CONCAT(tabE.Flux[[#This Row],[DATA]],"+",tabE.Flux[[#This Row],[MOTORISTA + MATRÍCULA A]])</f>
        <v>45890+ELISEU TORRES DE OLIVEIRA - 561</v>
      </c>
      <c r="D135" s="1" t="str">
        <f>_xlfn.CONCAT(tabE.Flux[[#This Row],[DATA]],"+",tabE.Flux[[#This Row],[MOTORISTA + MATRÍCULA B]])</f>
        <v>45890+JULIO EDER NERES DA SILVA - 1767</v>
      </c>
      <c r="E135" s="1" t="str">
        <f>_xlfn.CONCAT(tabE.Flux[[#This Row],[DATA]],"+",tabE.Flux[[#This Row],[MOTORISTA + MATRÍCULA A]],"+",tabE.Flux[[#This Row],[LINHA]])</f>
        <v>45890+ELISEU TORRES DE OLIVEIRA - 561+GOIANIA (GO) X SAO LUIS (MA)</v>
      </c>
      <c r="F135" s="1" t="str">
        <f>_xlfn.CONCAT(tabE.Flux[[#This Row],[DATA]],"+",tabE.Flux[[#This Row],[MOTORISTA + MATRÍCULA B]],"+",tabE.Flux[[#This Row],[LINHA]])</f>
        <v>45890+JULIO EDER NERES DA SILVA - 1767+GOIANIA (GO) X SAO LUIS (MA)</v>
      </c>
      <c r="G135" s="1" t="str">
        <f>_xlfn.CONCAT(tabE.Flux[[#This Row],[DATA]],"+",tabE.Flux[[#This Row],[LINHA]])</f>
        <v>45890+GOIANIA (GO) X SAO LUIS (MA)</v>
      </c>
      <c r="H135" s="141">
        <v>45890</v>
      </c>
      <c r="I135" s="142" t="s">
        <v>15</v>
      </c>
      <c r="J135" s="142">
        <v>24009</v>
      </c>
      <c r="K135" s="143">
        <v>0.32291666666666669</v>
      </c>
      <c r="L135" s="143">
        <v>0.33333333333333331</v>
      </c>
      <c r="M135" s="142" t="s">
        <v>16</v>
      </c>
      <c r="N135" s="142" t="s">
        <v>17</v>
      </c>
      <c r="O135" s="142" t="s">
        <v>169</v>
      </c>
      <c r="P135" s="142" t="s">
        <v>170</v>
      </c>
      <c r="Q135" s="142" t="s">
        <v>23</v>
      </c>
      <c r="R135" s="76"/>
      <c r="S135" s="76"/>
      <c r="T135" s="76"/>
      <c r="U135" s="76"/>
      <c r="V135" s="76"/>
      <c r="W135" s="76"/>
      <c r="X135" s="76"/>
      <c r="Y135" s="76"/>
    </row>
    <row r="136" spans="1:25" s="6" customFormat="1" x14ac:dyDescent="0.25">
      <c r="A136" s="101"/>
      <c r="B136" s="101"/>
      <c r="C136" s="1" t="str">
        <f>_xlfn.CONCAT(tabE.Flux[[#This Row],[DATA]],"+",tabE.Flux[[#This Row],[MOTORISTA + MATRÍCULA A]])</f>
        <v>45890+JOSE SOARES DA SILVA FILHO - 3093</v>
      </c>
      <c r="D136" s="1" t="str">
        <f>_xlfn.CONCAT(tabE.Flux[[#This Row],[DATA]],"+",tabE.Flux[[#This Row],[MOTORISTA + MATRÍCULA B]])</f>
        <v>45890+ANTONIO DIAS DE OLIVEIRA - 5309</v>
      </c>
      <c r="E136" s="1" t="str">
        <f>_xlfn.CONCAT(tabE.Flux[[#This Row],[DATA]],"+",tabE.Flux[[#This Row],[MOTORISTA + MATRÍCULA A]],"+",tabE.Flux[[#This Row],[LINHA]])</f>
        <v>45890+JOSE SOARES DA SILVA FILHO - 3093+GOIANIA (GO) X TERESINA (PI) VIA STI</v>
      </c>
      <c r="F136" s="1" t="str">
        <f>_xlfn.CONCAT(tabE.Flux[[#This Row],[DATA]],"+",tabE.Flux[[#This Row],[MOTORISTA + MATRÍCULA B]],"+",tabE.Flux[[#This Row],[LINHA]])</f>
        <v>45890+ANTONIO DIAS DE OLIVEIRA - 5309+GOIANIA (GO) X TERESINA (PI) VIA STI</v>
      </c>
      <c r="G136" s="1" t="str">
        <f>_xlfn.CONCAT(tabE.Flux[[#This Row],[DATA]],"+",tabE.Flux[[#This Row],[LINHA]])</f>
        <v>45890+GOIANIA (GO) X TERESINA (PI) VIA STI</v>
      </c>
      <c r="H136" s="141">
        <v>45890</v>
      </c>
      <c r="I136" s="142" t="s">
        <v>15</v>
      </c>
      <c r="J136" s="142">
        <v>19009</v>
      </c>
      <c r="K136" s="143">
        <v>0.3888888888888889</v>
      </c>
      <c r="L136" s="143">
        <v>0.39583333333333331</v>
      </c>
      <c r="M136" s="142" t="s">
        <v>16</v>
      </c>
      <c r="N136" s="142" t="s">
        <v>17</v>
      </c>
      <c r="O136" s="142" t="s">
        <v>171</v>
      </c>
      <c r="P136" s="142" t="s">
        <v>172</v>
      </c>
      <c r="Q136" s="142" t="s">
        <v>26</v>
      </c>
      <c r="R136" s="76"/>
      <c r="S136" s="76"/>
      <c r="T136" s="76"/>
      <c r="U136" s="76"/>
      <c r="V136" s="76"/>
      <c r="W136" s="76"/>
      <c r="X136" s="76"/>
      <c r="Y136" s="76"/>
    </row>
    <row r="137" spans="1:25" s="6" customFormat="1" x14ac:dyDescent="0.25">
      <c r="A137" s="101"/>
      <c r="B137" s="101"/>
      <c r="C137" s="1" t="str">
        <f>_xlfn.CONCAT(tabE.Flux[[#This Row],[DATA]],"+",tabE.Flux[[#This Row],[MOTORISTA + MATRÍCULA A]])</f>
        <v>45890+CANCELADO</v>
      </c>
      <c r="D137" s="1" t="str">
        <f>_xlfn.CONCAT(tabE.Flux[[#This Row],[DATA]],"+",tabE.Flux[[#This Row],[MOTORISTA + MATRÍCULA B]])</f>
        <v>45890+CANCELADO</v>
      </c>
      <c r="E137" s="1" t="str">
        <f>_xlfn.CONCAT(tabE.Flux[[#This Row],[DATA]],"+",tabE.Flux[[#This Row],[MOTORISTA + MATRÍCULA A]],"+",tabE.Flux[[#This Row],[LINHA]])</f>
        <v>45890+CANCELADO+</v>
      </c>
      <c r="F137" s="1" t="str">
        <f>_xlfn.CONCAT(tabE.Flux[[#This Row],[DATA]],"+",tabE.Flux[[#This Row],[MOTORISTA + MATRÍCULA B]],"+",tabE.Flux[[#This Row],[LINHA]])</f>
        <v>45890+CANCELADO+</v>
      </c>
      <c r="G137" s="1" t="str">
        <f>_xlfn.CONCAT(tabE.Flux[[#This Row],[DATA]],"+",tabE.Flux[[#This Row],[LINHA]])</f>
        <v>45890+</v>
      </c>
      <c r="H137" s="141">
        <v>45890</v>
      </c>
      <c r="I137" s="142" t="s">
        <v>15</v>
      </c>
      <c r="J137" s="144" t="s">
        <v>27</v>
      </c>
      <c r="K137" s="143">
        <v>0.375</v>
      </c>
      <c r="L137" s="143">
        <v>0.41666666666666669</v>
      </c>
      <c r="M137" s="142" t="s">
        <v>16</v>
      </c>
      <c r="N137" s="142" t="s">
        <v>28</v>
      </c>
      <c r="O137" s="144" t="s">
        <v>27</v>
      </c>
      <c r="P137" s="144" t="s">
        <v>27</v>
      </c>
      <c r="Q137" s="142"/>
      <c r="R137" s="76"/>
      <c r="S137" s="76"/>
      <c r="T137" s="76"/>
      <c r="U137" s="76"/>
      <c r="V137" s="76"/>
      <c r="W137" s="76"/>
      <c r="X137" s="76"/>
      <c r="Y137" s="76"/>
    </row>
    <row r="138" spans="1:25" s="6" customFormat="1" x14ac:dyDescent="0.25">
      <c r="A138" s="101"/>
      <c r="B138" s="101"/>
      <c r="C138" s="1" t="str">
        <f>_xlfn.CONCAT(tabE.Flux[[#This Row],[DATA]],"+",tabE.Flux[[#This Row],[MOTORISTA + MATRÍCULA A]])</f>
        <v>45890+MANOEL MESSIAS SILVA DOS SANTOS - 1833</v>
      </c>
      <c r="D138" s="1" t="str">
        <f>_xlfn.CONCAT(tabE.Flux[[#This Row],[DATA]],"+",tabE.Flux[[#This Row],[MOTORISTA + MATRÍCULA B]])</f>
        <v>45890+RICARDO AUGUSTO TEIXEIRA SANTOS - 5660</v>
      </c>
      <c r="E138" s="1" t="str">
        <f>_xlfn.CONCAT(tabE.Flux[[#This Row],[DATA]],"+",tabE.Flux[[#This Row],[MOTORISTA + MATRÍCULA A]],"+",tabE.Flux[[#This Row],[LINHA]])</f>
        <v>45890+MANOEL MESSIAS SILVA DOS SANTOS - 1833+FORTALEZA (CE) X SINOP (MT)</v>
      </c>
      <c r="F138" s="1" t="str">
        <f>_xlfn.CONCAT(tabE.Flux[[#This Row],[DATA]],"+",tabE.Flux[[#This Row],[MOTORISTA + MATRÍCULA B]],"+",tabE.Flux[[#This Row],[LINHA]])</f>
        <v>45890+RICARDO AUGUSTO TEIXEIRA SANTOS - 5660+FORTALEZA (CE) X SINOP (MT)</v>
      </c>
      <c r="G138" s="1" t="str">
        <f>_xlfn.CONCAT(tabE.Flux[[#This Row],[DATA]],"+",tabE.Flux[[#This Row],[LINHA]])</f>
        <v>45890+FORTALEZA (CE) X SINOP (MT)</v>
      </c>
      <c r="H138" s="141">
        <v>45890</v>
      </c>
      <c r="I138" s="142" t="s">
        <v>15</v>
      </c>
      <c r="J138" s="142">
        <v>17600</v>
      </c>
      <c r="K138" s="143">
        <v>0.3888888888888889</v>
      </c>
      <c r="L138" s="143">
        <v>0.37708333333333333</v>
      </c>
      <c r="M138" s="142" t="s">
        <v>16</v>
      </c>
      <c r="N138" s="142" t="s">
        <v>29</v>
      </c>
      <c r="O138" s="142" t="s">
        <v>173</v>
      </c>
      <c r="P138" s="142" t="s">
        <v>174</v>
      </c>
      <c r="Q138" s="142" t="s">
        <v>32</v>
      </c>
      <c r="R138" s="76"/>
      <c r="S138" s="76"/>
      <c r="T138" s="76"/>
      <c r="U138" s="76"/>
      <c r="V138" s="76"/>
      <c r="W138" s="76"/>
      <c r="X138" s="76"/>
      <c r="Y138" s="76"/>
    </row>
    <row r="139" spans="1:25" s="6" customFormat="1" x14ac:dyDescent="0.25">
      <c r="A139" s="101"/>
      <c r="B139" s="101"/>
      <c r="C139" s="1" t="str">
        <f>_xlfn.CONCAT(tabE.Flux[[#This Row],[DATA]],"+",tabE.Flux[[#This Row],[MOTORISTA + MATRÍCULA A]])</f>
        <v>45890+IZALMIR RODRIGUES COELHO - 958</v>
      </c>
      <c r="D139" s="1" t="str">
        <f>_xlfn.CONCAT(tabE.Flux[[#This Row],[DATA]],"+",tabE.Flux[[#This Row],[MOTORISTA + MATRÍCULA B]])</f>
        <v>45890+FRANCISCO ALVES DA PAZ JUNIOR - 1247</v>
      </c>
      <c r="E139" s="1" t="str">
        <f>_xlfn.CONCAT(tabE.Flux[[#This Row],[DATA]],"+",tabE.Flux[[#This Row],[MOTORISTA + MATRÍCULA A]],"+",tabE.Flux[[#This Row],[LINHA]])</f>
        <v>45890+IZALMIR RODRIGUES COELHO - 958+GOIANIA (GO) X BELEM (PA)</v>
      </c>
      <c r="F139" s="1" t="str">
        <f>_xlfn.CONCAT(tabE.Flux[[#This Row],[DATA]],"+",tabE.Flux[[#This Row],[MOTORISTA + MATRÍCULA B]],"+",tabE.Flux[[#This Row],[LINHA]])</f>
        <v>45890+FRANCISCO ALVES DA PAZ JUNIOR - 1247+GOIANIA (GO) X BELEM (PA)</v>
      </c>
      <c r="G139" s="1" t="str">
        <f>_xlfn.CONCAT(tabE.Flux[[#This Row],[DATA]],"+",tabE.Flux[[#This Row],[LINHA]])</f>
        <v>45890+GOIANIA (GO) X BELEM (PA)</v>
      </c>
      <c r="H139" s="141">
        <v>45890</v>
      </c>
      <c r="I139" s="142" t="s">
        <v>15</v>
      </c>
      <c r="J139" s="142">
        <v>19011</v>
      </c>
      <c r="K139" s="143">
        <v>0.38958333333333334</v>
      </c>
      <c r="L139" s="143">
        <v>0.38541666666666669</v>
      </c>
      <c r="M139" s="142" t="s">
        <v>16</v>
      </c>
      <c r="N139" s="142" t="s">
        <v>33</v>
      </c>
      <c r="O139" s="142" t="s">
        <v>83</v>
      </c>
      <c r="P139" s="142" t="s">
        <v>144</v>
      </c>
      <c r="Q139" s="142" t="s">
        <v>20</v>
      </c>
      <c r="R139" s="76"/>
      <c r="S139" s="76"/>
      <c r="T139" s="76"/>
      <c r="U139" s="76"/>
      <c r="V139" s="76"/>
      <c r="W139" s="76"/>
      <c r="X139" s="76"/>
      <c r="Y139" s="76"/>
    </row>
    <row r="140" spans="1:25" s="6" customFormat="1" x14ac:dyDescent="0.25">
      <c r="A140" s="101"/>
      <c r="B140" s="101"/>
      <c r="C140" s="1" t="str">
        <f>_xlfn.CONCAT(tabE.Flux[[#This Row],[DATA]],"+",tabE.Flux[[#This Row],[MOTORISTA + MATRÍCULA A]])</f>
        <v>45890+JWEBISON DE BRITO SOUZA - 2999</v>
      </c>
      <c r="D140" s="1" t="str">
        <f>_xlfn.CONCAT(tabE.Flux[[#This Row],[DATA]],"+",tabE.Flux[[#This Row],[MOTORISTA + MATRÍCULA B]])</f>
        <v>45890+PEDRO PAULO DO NASCIMENTO DO CARMO - 2559</v>
      </c>
      <c r="E140" s="1" t="str">
        <f>_xlfn.CONCAT(tabE.Flux[[#This Row],[DATA]],"+",tabE.Flux[[#This Row],[MOTORISTA + MATRÍCULA A]],"+",tabE.Flux[[#This Row],[LINHA]])</f>
        <v>45890+JWEBISON DE BRITO SOUZA - 2999+GOIANIA (GO) X TERESINA (PI) VIA BC</v>
      </c>
      <c r="F140" s="1" t="str">
        <f>_xlfn.CONCAT(tabE.Flux[[#This Row],[DATA]],"+",tabE.Flux[[#This Row],[MOTORISTA + MATRÍCULA B]],"+",tabE.Flux[[#This Row],[LINHA]])</f>
        <v>45890+PEDRO PAULO DO NASCIMENTO DO CARMO - 2559+GOIANIA (GO) X TERESINA (PI) VIA BC</v>
      </c>
      <c r="G140" s="1" t="str">
        <f>_xlfn.CONCAT(tabE.Flux[[#This Row],[DATA]],"+",tabE.Flux[[#This Row],[LINHA]])</f>
        <v>45890+GOIANIA (GO) X TERESINA (PI) VIA BC</v>
      </c>
      <c r="H140" s="141">
        <v>45890</v>
      </c>
      <c r="I140" s="142" t="s">
        <v>15</v>
      </c>
      <c r="J140" s="142">
        <v>25005</v>
      </c>
      <c r="K140" s="143">
        <v>0.375</v>
      </c>
      <c r="L140" s="143">
        <v>0.39930555555555558</v>
      </c>
      <c r="M140" s="142" t="s">
        <v>36</v>
      </c>
      <c r="N140" s="142" t="s">
        <v>29</v>
      </c>
      <c r="O140" s="142" t="s">
        <v>77</v>
      </c>
      <c r="P140" s="142" t="s">
        <v>175</v>
      </c>
      <c r="Q140" s="142" t="s">
        <v>39</v>
      </c>
      <c r="R140" s="76"/>
      <c r="S140" s="76"/>
      <c r="T140" s="76"/>
      <c r="U140" s="76"/>
      <c r="V140" s="76"/>
      <c r="W140" s="76"/>
      <c r="X140" s="76"/>
      <c r="Y140" s="76"/>
    </row>
    <row r="141" spans="1:25" s="6" customFormat="1" x14ac:dyDescent="0.25">
      <c r="A141" s="101"/>
      <c r="B141" s="101"/>
      <c r="C141" s="1" t="str">
        <f>_xlfn.CONCAT(tabE.Flux[[#This Row],[DATA]],"+",tabE.Flux[[#This Row],[MOTORISTA + MATRÍCULA A]])</f>
        <v>45890+BRUNO MATOS DA ROCHA - 6013</v>
      </c>
      <c r="D141" s="1" t="str">
        <f>_xlfn.CONCAT(tabE.Flux[[#This Row],[DATA]],"+",tabE.Flux[[#This Row],[MOTORISTA + MATRÍCULA B]])</f>
        <v>45890+EDUARDO SANTOS BEZERRA - 4066</v>
      </c>
      <c r="E141" s="1" t="str">
        <f>_xlfn.CONCAT(tabE.Flux[[#This Row],[DATA]],"+",tabE.Flux[[#This Row],[MOTORISTA + MATRÍCULA A]],"+",tabE.Flux[[#This Row],[LINHA]])</f>
        <v>45890+BRUNO MATOS DA ROCHA - 6013+GOIANIA (GO) X BELEM (PA)</v>
      </c>
      <c r="F141" s="1" t="str">
        <f>_xlfn.CONCAT(tabE.Flux[[#This Row],[DATA]],"+",tabE.Flux[[#This Row],[MOTORISTA + MATRÍCULA B]],"+",tabE.Flux[[#This Row],[LINHA]])</f>
        <v>45890+EDUARDO SANTOS BEZERRA - 4066+GOIANIA (GO) X BELEM (PA)</v>
      </c>
      <c r="G141" s="1" t="str">
        <f>_xlfn.CONCAT(tabE.Flux[[#This Row],[DATA]],"+",tabE.Flux[[#This Row],[LINHA]])</f>
        <v>45890+GOIANIA (GO) X BELEM (PA)</v>
      </c>
      <c r="H141" s="141">
        <v>45890</v>
      </c>
      <c r="I141" s="142" t="s">
        <v>15</v>
      </c>
      <c r="J141" s="142">
        <v>20017</v>
      </c>
      <c r="K141" s="143">
        <v>0.375</v>
      </c>
      <c r="L141" s="143">
        <v>0.41666666666666669</v>
      </c>
      <c r="M141" s="142" t="s">
        <v>33</v>
      </c>
      <c r="N141" s="142" t="s">
        <v>16</v>
      </c>
      <c r="O141" s="142" t="s">
        <v>147</v>
      </c>
      <c r="P141" s="142" t="s">
        <v>148</v>
      </c>
      <c r="Q141" s="142" t="s">
        <v>20</v>
      </c>
      <c r="R141" s="76"/>
      <c r="S141" s="76"/>
      <c r="T141" s="76"/>
      <c r="U141" s="76"/>
      <c r="V141" s="76"/>
      <c r="W141" s="76"/>
      <c r="X141" s="76"/>
      <c r="Y141" s="76"/>
    </row>
    <row r="142" spans="1:25" s="6" customFormat="1" x14ac:dyDescent="0.25">
      <c r="A142" s="101"/>
      <c r="B142" s="101"/>
      <c r="C142" s="1" t="str">
        <f>_xlfn.CONCAT(tabE.Flux[[#This Row],[DATA]],"+",tabE.Flux[[#This Row],[MOTORISTA + MATRÍCULA A]])</f>
        <v>45890+LAUCEANDO DA SILVA ROCHA - 6220</v>
      </c>
      <c r="D142" s="1" t="str">
        <f>_xlfn.CONCAT(tabE.Flux[[#This Row],[DATA]],"+",tabE.Flux[[#This Row],[MOTORISTA + MATRÍCULA B]])</f>
        <v>45890+JAME DOS SANTOS MOURA - 5332</v>
      </c>
      <c r="E142" s="1" t="str">
        <f>_xlfn.CONCAT(tabE.Flux[[#This Row],[DATA]],"+",tabE.Flux[[#This Row],[MOTORISTA + MATRÍCULA A]],"+",tabE.Flux[[#This Row],[LINHA]])</f>
        <v>45890+LAUCEANDO DA SILVA ROCHA - 6220+GOIANIA (GO) X SAO LUIS (MA)</v>
      </c>
      <c r="F142" s="1" t="str">
        <f>_xlfn.CONCAT(tabE.Flux[[#This Row],[DATA]],"+",tabE.Flux[[#This Row],[MOTORISTA + MATRÍCULA B]],"+",tabE.Flux[[#This Row],[LINHA]])</f>
        <v>45890+JAME DOS SANTOS MOURA - 5332+GOIANIA (GO) X SAO LUIS (MA)</v>
      </c>
      <c r="G142" s="1" t="str">
        <f>_xlfn.CONCAT(tabE.Flux[[#This Row],[DATA]],"+",tabE.Flux[[#This Row],[LINHA]])</f>
        <v>45890+GOIANIA (GO) X SAO LUIS (MA)</v>
      </c>
      <c r="H142" s="141">
        <v>45890</v>
      </c>
      <c r="I142" s="142" t="s">
        <v>15</v>
      </c>
      <c r="J142" s="142">
        <v>19015</v>
      </c>
      <c r="K142" s="143">
        <v>0.25</v>
      </c>
      <c r="L142" s="143">
        <v>0.29166666666666669</v>
      </c>
      <c r="M142" s="142" t="s">
        <v>42</v>
      </c>
      <c r="N142" s="142" t="s">
        <v>16</v>
      </c>
      <c r="O142" s="142" t="s">
        <v>86</v>
      </c>
      <c r="P142" s="142" t="s">
        <v>103</v>
      </c>
      <c r="Q142" s="142" t="s">
        <v>23</v>
      </c>
      <c r="R142" s="76"/>
      <c r="S142" s="76"/>
      <c r="T142" s="76"/>
      <c r="U142" s="76"/>
      <c r="V142" s="76"/>
      <c r="W142" s="76"/>
      <c r="X142" s="76"/>
      <c r="Y142" s="76"/>
    </row>
    <row r="143" spans="1:25" s="6" customFormat="1" x14ac:dyDescent="0.25">
      <c r="A143" s="101"/>
      <c r="B143" s="101"/>
      <c r="C143" s="1" t="str">
        <f>_xlfn.CONCAT(tabE.Flux[[#This Row],[DATA]],"+",tabE.Flux[[#This Row],[MOTORISTA + MATRÍCULA A]])</f>
        <v>45890+EDIVALDO DE ARAUJO - 6217</v>
      </c>
      <c r="D143" s="1" t="str">
        <f>_xlfn.CONCAT(tabE.Flux[[#This Row],[DATA]],"+",tabE.Flux[[#This Row],[MOTORISTA + MATRÍCULA B]])</f>
        <v>45890+NILSON CORTEZ MIRANDA - 5636</v>
      </c>
      <c r="E143" s="1" t="str">
        <f>_xlfn.CONCAT(tabE.Flux[[#This Row],[DATA]],"+",tabE.Flux[[#This Row],[MOTORISTA + MATRÍCULA A]],"+",tabE.Flux[[#This Row],[LINHA]])</f>
        <v>45890+EDIVALDO DE ARAUJO - 6217+GOIANIA (GO) X SAO LUIS (MA)</v>
      </c>
      <c r="F143" s="1" t="str">
        <f>_xlfn.CONCAT(tabE.Flux[[#This Row],[DATA]],"+",tabE.Flux[[#This Row],[MOTORISTA + MATRÍCULA B]],"+",tabE.Flux[[#This Row],[LINHA]])</f>
        <v>45890+NILSON CORTEZ MIRANDA - 5636+GOIANIA (GO) X SAO LUIS (MA)</v>
      </c>
      <c r="G143" s="1" t="str">
        <f>_xlfn.CONCAT(tabE.Flux[[#This Row],[DATA]],"+",tabE.Flux[[#This Row],[LINHA]])</f>
        <v>45890+GOIANIA (GO) X SAO LUIS (MA)</v>
      </c>
      <c r="H143" s="141">
        <v>45890</v>
      </c>
      <c r="I143" s="142" t="s">
        <v>15</v>
      </c>
      <c r="J143" s="142">
        <v>24015</v>
      </c>
      <c r="K143" s="143">
        <v>0.75</v>
      </c>
      <c r="L143" s="143">
        <v>0.79166666666666663</v>
      </c>
      <c r="M143" s="142" t="s">
        <v>42</v>
      </c>
      <c r="N143" s="142" t="s">
        <v>16</v>
      </c>
      <c r="O143" s="142" t="s">
        <v>55</v>
      </c>
      <c r="P143" s="142" t="s">
        <v>75</v>
      </c>
      <c r="Q143" s="142" t="s">
        <v>23</v>
      </c>
      <c r="R143" s="76"/>
      <c r="S143" s="76"/>
      <c r="T143" s="76"/>
      <c r="U143" s="76"/>
      <c r="V143" s="76"/>
      <c r="W143" s="76"/>
      <c r="X143" s="76"/>
      <c r="Y143" s="76"/>
    </row>
    <row r="144" spans="1:25" s="6" customFormat="1" x14ac:dyDescent="0.25">
      <c r="A144" s="101"/>
      <c r="B144" s="101"/>
      <c r="C144" s="1" t="str">
        <f>_xlfn.CONCAT(tabE.Flux[[#This Row],[DATA]],"+",tabE.Flux[[#This Row],[MOTORISTA + MATRÍCULA A]])</f>
        <v>45890+CANCELADO</v>
      </c>
      <c r="D144" s="1" t="str">
        <f>_xlfn.CONCAT(tabE.Flux[[#This Row],[DATA]],"+",tabE.Flux[[#This Row],[MOTORISTA + MATRÍCULA B]])</f>
        <v>45890+CANCELADO</v>
      </c>
      <c r="E144" s="1" t="str">
        <f>_xlfn.CONCAT(tabE.Flux[[#This Row],[DATA]],"+",tabE.Flux[[#This Row],[MOTORISTA + MATRÍCULA A]],"+",tabE.Flux[[#This Row],[LINHA]])</f>
        <v>45890+CANCELADO+IMPERATRIZ (MA) X SÃO LUIS (MA)</v>
      </c>
      <c r="F144" s="1" t="str">
        <f>_xlfn.CONCAT(tabE.Flux[[#This Row],[DATA]],"+",tabE.Flux[[#This Row],[MOTORISTA + MATRÍCULA B]],"+",tabE.Flux[[#This Row],[LINHA]])</f>
        <v>45890+CANCELADO+IMPERATRIZ (MA) X SÃO LUIS (MA)</v>
      </c>
      <c r="G144" s="1" t="str">
        <f>_xlfn.CONCAT(tabE.Flux[[#This Row],[DATA]],"+",tabE.Flux[[#This Row],[LINHA]])</f>
        <v>45890+IMPERATRIZ (MA) X SÃO LUIS (MA)</v>
      </c>
      <c r="H144" s="141">
        <v>45890</v>
      </c>
      <c r="I144" s="142" t="s">
        <v>15</v>
      </c>
      <c r="J144" s="144" t="s">
        <v>27</v>
      </c>
      <c r="K144" s="143">
        <v>0.77083333333333337</v>
      </c>
      <c r="L144" s="143">
        <v>0.79513888888888884</v>
      </c>
      <c r="M144" s="142" t="s">
        <v>42</v>
      </c>
      <c r="N144" s="142" t="s">
        <v>16</v>
      </c>
      <c r="O144" s="144" t="s">
        <v>27</v>
      </c>
      <c r="P144" s="144" t="s">
        <v>27</v>
      </c>
      <c r="Q144" s="142" t="s">
        <v>47</v>
      </c>
      <c r="R144" s="76"/>
      <c r="S144" s="76"/>
      <c r="T144" s="76"/>
      <c r="U144" s="76"/>
      <c r="V144" s="76"/>
      <c r="W144" s="76"/>
      <c r="X144" s="76"/>
      <c r="Y144" s="76"/>
    </row>
    <row r="145" spans="1:25" s="6" customFormat="1" x14ac:dyDescent="0.25">
      <c r="A145" s="101"/>
      <c r="B145" s="101"/>
      <c r="C145" s="1" t="str">
        <f>_xlfn.CONCAT(tabE.Flux[[#This Row],[DATA]],"+",tabE.Flux[[#This Row],[MOTORISTA + MATRÍCULA A]])</f>
        <v>45890+ADAILTON DA SILVA RODRIGUES MENDONCA - 2662</v>
      </c>
      <c r="D145" s="1" t="str">
        <f>_xlfn.CONCAT(tabE.Flux[[#This Row],[DATA]],"+",tabE.Flux[[#This Row],[MOTORISTA + MATRÍCULA B]])</f>
        <v>45890+ENIO GOMES DE SOUZA - 5825</v>
      </c>
      <c r="E145" s="1" t="str">
        <f>_xlfn.CONCAT(tabE.Flux[[#This Row],[DATA]],"+",tabE.Flux[[#This Row],[MOTORISTA + MATRÍCULA A]],"+",tabE.Flux[[#This Row],[LINHA]])</f>
        <v>45890+ADAILTON DA SILVA RODRIGUES MENDONCA - 2662+GOIANIA (GO) X TERESINA (PI) VIA BC</v>
      </c>
      <c r="F145" s="1" t="str">
        <f>_xlfn.CONCAT(tabE.Flux[[#This Row],[DATA]],"+",tabE.Flux[[#This Row],[MOTORISTA + MATRÍCULA B]],"+",tabE.Flux[[#This Row],[LINHA]])</f>
        <v>45890+ENIO GOMES DE SOUZA - 5825+GOIANIA (GO) X TERESINA (PI) VIA BC</v>
      </c>
      <c r="G145" s="1" t="str">
        <f>_xlfn.CONCAT(tabE.Flux[[#This Row],[DATA]],"+",tabE.Flux[[#This Row],[LINHA]])</f>
        <v>45890+GOIANIA (GO) X TERESINA (PI) VIA BC</v>
      </c>
      <c r="H145" s="141">
        <v>45890</v>
      </c>
      <c r="I145" s="142" t="s">
        <v>15</v>
      </c>
      <c r="J145" s="142">
        <v>25007</v>
      </c>
      <c r="K145" s="143">
        <v>0.89583333333333337</v>
      </c>
      <c r="L145" s="143">
        <v>0.91666666666666663</v>
      </c>
      <c r="M145" s="142" t="s">
        <v>36</v>
      </c>
      <c r="N145" s="142" t="s">
        <v>17</v>
      </c>
      <c r="O145" s="142" t="s">
        <v>92</v>
      </c>
      <c r="P145" s="142" t="s">
        <v>93</v>
      </c>
      <c r="Q145" s="142" t="s">
        <v>39</v>
      </c>
      <c r="R145" s="76"/>
      <c r="S145" s="76"/>
      <c r="T145" s="76"/>
      <c r="U145" s="76"/>
      <c r="V145" s="76"/>
      <c r="W145" s="76"/>
      <c r="X145" s="76"/>
      <c r="Y145" s="76"/>
    </row>
    <row r="146" spans="1:25" s="6" customFormat="1" x14ac:dyDescent="0.25">
      <c r="A146" s="101"/>
      <c r="B146" s="101"/>
      <c r="C146" s="1" t="str">
        <f>_xlfn.CONCAT(tabE.Flux[[#This Row],[DATA]],"+",tabE.Flux[[#This Row],[MOTORISTA + MATRÍCULA A]])</f>
        <v>45890+ANDRE SOUSA REIS - 2644</v>
      </c>
      <c r="D146" s="1" t="str">
        <f>_xlfn.CONCAT(tabE.Flux[[#This Row],[DATA]],"+",tabE.Flux[[#This Row],[MOTORISTA + MATRÍCULA B]])</f>
        <v>45890+LEANDRO DE OLIVEIRA MELO - 2151</v>
      </c>
      <c r="E146" s="1" t="str">
        <f>_xlfn.CONCAT(tabE.Flux[[#This Row],[DATA]],"+",tabE.Flux[[#This Row],[MOTORISTA + MATRÍCULA A]],"+",tabE.Flux[[#This Row],[LINHA]])</f>
        <v>45890+ANDRE SOUSA REIS - 2644+GOIANIA (GO) X BELEM (PA)</v>
      </c>
      <c r="F146" s="1" t="str">
        <f>_xlfn.CONCAT(tabE.Flux[[#This Row],[DATA]],"+",tabE.Flux[[#This Row],[MOTORISTA + MATRÍCULA B]],"+",tabE.Flux[[#This Row],[LINHA]])</f>
        <v>45890+LEANDRO DE OLIVEIRA MELO - 2151+GOIANIA (GO) X BELEM (PA)</v>
      </c>
      <c r="G146" s="1" t="str">
        <f>_xlfn.CONCAT(tabE.Flux[[#This Row],[DATA]],"+",tabE.Flux[[#This Row],[LINHA]])</f>
        <v>45890+GOIANIA (GO) X BELEM (PA)</v>
      </c>
      <c r="H146" s="141">
        <v>45890</v>
      </c>
      <c r="I146" s="142" t="s">
        <v>15</v>
      </c>
      <c r="J146" s="142">
        <v>24013</v>
      </c>
      <c r="K146" s="143">
        <v>0.76041666666666663</v>
      </c>
      <c r="L146" s="143">
        <v>0.77083333333333337</v>
      </c>
      <c r="M146" s="142" t="s">
        <v>33</v>
      </c>
      <c r="N146" s="142" t="s">
        <v>16</v>
      </c>
      <c r="O146" s="142" t="s">
        <v>63</v>
      </c>
      <c r="P146" s="142" t="s">
        <v>64</v>
      </c>
      <c r="Q146" s="142" t="s">
        <v>20</v>
      </c>
      <c r="R146" s="76"/>
      <c r="S146" s="76"/>
      <c r="T146" s="76"/>
      <c r="U146" s="76"/>
      <c r="V146" s="76"/>
      <c r="W146" s="76"/>
      <c r="X146" s="76"/>
      <c r="Y146" s="76"/>
    </row>
    <row r="147" spans="1:25" s="6" customFormat="1" x14ac:dyDescent="0.25">
      <c r="A147" s="101"/>
      <c r="B147" s="101"/>
      <c r="C147" s="1" t="str">
        <f>_xlfn.CONCAT(tabE.Flux[[#This Row],[DATA]],"+",tabE.Flux[[#This Row],[MOTORISTA + MATRÍCULA A]])</f>
        <v>45890+JOSE ALVES DE FREITAS NETO - 5027</v>
      </c>
      <c r="D147" s="1" t="str">
        <f>_xlfn.CONCAT(tabE.Flux[[#This Row],[DATA]],"+",tabE.Flux[[#This Row],[MOTORISTA + MATRÍCULA B]])</f>
        <v>45890+BERNARDO SOUZA LIMA - 1720</v>
      </c>
      <c r="E147" s="1" t="str">
        <f>_xlfn.CONCAT(tabE.Flux[[#This Row],[DATA]],"+",tabE.Flux[[#This Row],[MOTORISTA + MATRÍCULA A]],"+",tabE.Flux[[#This Row],[LINHA]])</f>
        <v>45890+JOSE ALVES DE FREITAS NETO - 5027+GOIANIA (GO) X BELEM (PA)</v>
      </c>
      <c r="F147" s="1" t="str">
        <f>_xlfn.CONCAT(tabE.Flux[[#This Row],[DATA]],"+",tabE.Flux[[#This Row],[MOTORISTA + MATRÍCULA B]],"+",tabE.Flux[[#This Row],[LINHA]])</f>
        <v>45890+BERNARDO SOUZA LIMA - 1720+GOIANIA (GO) X BELEM (PA)</v>
      </c>
      <c r="G147" s="1" t="str">
        <f>_xlfn.CONCAT(tabE.Flux[[#This Row],[DATA]],"+",tabE.Flux[[#This Row],[LINHA]])</f>
        <v>45890+GOIANIA (GO) X BELEM (PA)</v>
      </c>
      <c r="H147" s="141">
        <v>45890</v>
      </c>
      <c r="I147" s="142" t="s">
        <v>15</v>
      </c>
      <c r="J147" s="142">
        <v>24014</v>
      </c>
      <c r="K147" s="143">
        <v>0.76041666666666663</v>
      </c>
      <c r="L147" s="143">
        <v>0.82777777777777772</v>
      </c>
      <c r="M147" s="142" t="s">
        <v>16</v>
      </c>
      <c r="N147" s="142" t="s">
        <v>33</v>
      </c>
      <c r="O147" s="142" t="s">
        <v>90</v>
      </c>
      <c r="P147" s="142" t="s">
        <v>123</v>
      </c>
      <c r="Q147" s="142" t="s">
        <v>20</v>
      </c>
      <c r="R147" s="76"/>
      <c r="S147" s="76"/>
      <c r="T147" s="76"/>
      <c r="U147" s="76"/>
      <c r="V147" s="76"/>
      <c r="W147" s="76"/>
      <c r="X147" s="76"/>
      <c r="Y147" s="76"/>
    </row>
    <row r="148" spans="1:25" s="6" customFormat="1" x14ac:dyDescent="0.25">
      <c r="A148" s="101"/>
      <c r="B148" s="101"/>
      <c r="C148" s="1" t="str">
        <f>_xlfn.CONCAT(tabE.Flux[[#This Row],[DATA]],"+",tabE.Flux[[#This Row],[MOTORISTA + MATRÍCULA A]])</f>
        <v>45890+JOSE ALVES DA ROCHA - 5035</v>
      </c>
      <c r="D148" s="1" t="str">
        <f>_xlfn.CONCAT(tabE.Flux[[#This Row],[DATA]],"+",tabE.Flux[[#This Row],[MOTORISTA + MATRÍCULA B]])</f>
        <v>45890+KAYLSON KLEYTON DA SILVA COSTA - 6224</v>
      </c>
      <c r="E148" s="1" t="str">
        <f>_xlfn.CONCAT(tabE.Flux[[#This Row],[DATA]],"+",tabE.Flux[[#This Row],[MOTORISTA + MATRÍCULA A]],"+",tabE.Flux[[#This Row],[LINHA]])</f>
        <v>45890+JOSE ALVES DA ROCHA - 5035+GOIANIA (GO) X SAO LUIS (MA)</v>
      </c>
      <c r="F148" s="1" t="str">
        <f>_xlfn.CONCAT(tabE.Flux[[#This Row],[DATA]],"+",tabE.Flux[[#This Row],[MOTORISTA + MATRÍCULA B]],"+",tabE.Flux[[#This Row],[LINHA]])</f>
        <v>45890+KAYLSON KLEYTON DA SILVA COSTA - 6224+GOIANIA (GO) X SAO LUIS (MA)</v>
      </c>
      <c r="G148" s="1" t="str">
        <f>_xlfn.CONCAT(tabE.Flux[[#This Row],[DATA]],"+",tabE.Flux[[#This Row],[LINHA]])</f>
        <v>45890+GOIANIA (GO) X SAO LUIS (MA)</v>
      </c>
      <c r="H148" s="141">
        <v>45890</v>
      </c>
      <c r="I148" s="142" t="s">
        <v>15</v>
      </c>
      <c r="J148" s="142">
        <v>15600</v>
      </c>
      <c r="K148" s="143">
        <v>0.40763888888888888</v>
      </c>
      <c r="L148" s="143">
        <v>0.47013888888888888</v>
      </c>
      <c r="M148" s="142" t="s">
        <v>16</v>
      </c>
      <c r="N148" s="142" t="s">
        <v>42</v>
      </c>
      <c r="O148" s="142" t="s">
        <v>91</v>
      </c>
      <c r="P148" s="142" t="s">
        <v>80</v>
      </c>
      <c r="Q148" s="142" t="s">
        <v>23</v>
      </c>
      <c r="R148" s="76"/>
      <c r="S148" s="76"/>
      <c r="T148" s="76"/>
      <c r="U148" s="76"/>
      <c r="V148" s="76"/>
      <c r="W148" s="76"/>
      <c r="X148" s="76"/>
      <c r="Y148" s="76"/>
    </row>
    <row r="149" spans="1:25" s="6" customFormat="1" x14ac:dyDescent="0.25">
      <c r="A149" s="101"/>
      <c r="B149" s="101"/>
      <c r="C149" s="1" t="str">
        <f>_xlfn.CONCAT(tabE.Flux[[#This Row],[DATA]],"+",tabE.Flux[[#This Row],[MOTORISTA + MATRÍCULA A]])</f>
        <v>45890+CANCELADO</v>
      </c>
      <c r="D149" s="1" t="str">
        <f>_xlfn.CONCAT(tabE.Flux[[#This Row],[DATA]],"+",tabE.Flux[[#This Row],[MOTORISTA + MATRÍCULA B]])</f>
        <v>45890+CANCELADO</v>
      </c>
      <c r="E149" s="1" t="str">
        <f>_xlfn.CONCAT(tabE.Flux[[#This Row],[DATA]],"+",tabE.Flux[[#This Row],[MOTORISTA + MATRÍCULA A]],"+",tabE.Flux[[#This Row],[LINHA]])</f>
        <v>45890+CANCELADO+IMPERATRIZ (MA) X SÃO LUIS (MA)</v>
      </c>
      <c r="F149" s="1" t="str">
        <f>_xlfn.CONCAT(tabE.Flux[[#This Row],[DATA]],"+",tabE.Flux[[#This Row],[MOTORISTA + MATRÍCULA B]],"+",tabE.Flux[[#This Row],[LINHA]])</f>
        <v>45890+CANCELADO+IMPERATRIZ (MA) X SÃO LUIS (MA)</v>
      </c>
      <c r="G149" s="1" t="str">
        <f>_xlfn.CONCAT(tabE.Flux[[#This Row],[DATA]],"+",tabE.Flux[[#This Row],[LINHA]])</f>
        <v>45890+IMPERATRIZ (MA) X SÃO LUIS (MA)</v>
      </c>
      <c r="H149" s="141">
        <v>45890</v>
      </c>
      <c r="I149" s="142" t="s">
        <v>15</v>
      </c>
      <c r="J149" s="144" t="s">
        <v>27</v>
      </c>
      <c r="K149" s="143">
        <v>0.77083333333333337</v>
      </c>
      <c r="L149" s="143">
        <v>0.8125</v>
      </c>
      <c r="M149" s="142" t="s">
        <v>16</v>
      </c>
      <c r="N149" s="142" t="s">
        <v>42</v>
      </c>
      <c r="O149" s="144" t="s">
        <v>27</v>
      </c>
      <c r="P149" s="144" t="s">
        <v>27</v>
      </c>
      <c r="Q149" s="142" t="s">
        <v>47</v>
      </c>
      <c r="R149" s="76"/>
      <c r="S149" s="76"/>
      <c r="T149" s="76"/>
      <c r="U149" s="76"/>
      <c r="V149" s="76"/>
      <c r="W149" s="76"/>
      <c r="X149" s="76"/>
      <c r="Y149" s="76"/>
    </row>
    <row r="150" spans="1:25" s="6" customFormat="1" x14ac:dyDescent="0.25">
      <c r="A150" s="101"/>
      <c r="B150" s="101"/>
      <c r="C150" s="1" t="str">
        <f>_xlfn.CONCAT(tabE.Flux[[#This Row],[DATA]],"+",tabE.Flux[[#This Row],[MOTORISTA + MATRÍCULA A]])</f>
        <v>45890+RAINERIO COSTA MENDES - 5850</v>
      </c>
      <c r="D150" s="1" t="str">
        <f>_xlfn.CONCAT(tabE.Flux[[#This Row],[DATA]],"+",tabE.Flux[[#This Row],[MOTORISTA + MATRÍCULA B]])</f>
        <v>45890+LAUCEANDO DA SILVA ROCHA - 6220</v>
      </c>
      <c r="E150" s="1" t="str">
        <f>_xlfn.CONCAT(tabE.Flux[[#This Row],[DATA]],"+",tabE.Flux[[#This Row],[MOTORISTA + MATRÍCULA A]],"+",tabE.Flux[[#This Row],[LINHA]])</f>
        <v>45890+RAINERIO COSTA MENDES - 5850+GOIANIA (GO) X SAO LUIS (MA)</v>
      </c>
      <c r="F150" s="1" t="str">
        <f>_xlfn.CONCAT(tabE.Flux[[#This Row],[DATA]],"+",tabE.Flux[[#This Row],[MOTORISTA + MATRÍCULA B]],"+",tabE.Flux[[#This Row],[LINHA]])</f>
        <v>45890+LAUCEANDO DA SILVA ROCHA - 6220+GOIANIA (GO) X SAO LUIS (MA)</v>
      </c>
      <c r="G150" s="1" t="str">
        <f>_xlfn.CONCAT(tabE.Flux[[#This Row],[DATA]],"+",tabE.Flux[[#This Row],[LINHA]])</f>
        <v>45890+GOIANIA (GO) X SAO LUIS (MA)</v>
      </c>
      <c r="H150" s="141">
        <v>45890</v>
      </c>
      <c r="I150" s="142" t="s">
        <v>15</v>
      </c>
      <c r="J150" s="142">
        <v>24004</v>
      </c>
      <c r="K150" s="143">
        <v>0.8125</v>
      </c>
      <c r="L150" s="143">
        <v>0.84375</v>
      </c>
      <c r="M150" s="142" t="s">
        <v>16</v>
      </c>
      <c r="N150" s="142" t="s">
        <v>42</v>
      </c>
      <c r="O150" s="142" t="s">
        <v>108</v>
      </c>
      <c r="P150" s="142" t="s">
        <v>86</v>
      </c>
      <c r="Q150" s="142" t="s">
        <v>23</v>
      </c>
      <c r="R150" s="76"/>
      <c r="S150" s="76"/>
      <c r="T150" s="76"/>
      <c r="U150" s="76"/>
      <c r="V150" s="76"/>
      <c r="W150" s="76"/>
      <c r="X150" s="76"/>
      <c r="Y150" s="76"/>
    </row>
    <row r="151" spans="1:25" s="6" customFormat="1" x14ac:dyDescent="0.25">
      <c r="A151" s="101"/>
      <c r="B151" s="101"/>
      <c r="C151" s="1" t="str">
        <f>_xlfn.CONCAT(tabE.Flux[[#This Row],[DATA]],"+",tabE.Flux[[#This Row],[MOTORISTA + MATRÍCULA A]])</f>
        <v>45890+MARCIO RODRIGUES DA COSTA - 5993</v>
      </c>
      <c r="D151" s="1" t="str">
        <f>_xlfn.CONCAT(tabE.Flux[[#This Row],[DATA]],"+",tabE.Flux[[#This Row],[MOTORISTA + MATRÍCULA B]])</f>
        <v>45890+RAIMUNDO NONATO FRANCO NETO - 5658</v>
      </c>
      <c r="E151" s="1" t="str">
        <f>_xlfn.CONCAT(tabE.Flux[[#This Row],[DATA]],"+",tabE.Flux[[#This Row],[MOTORISTA + MATRÍCULA A]],"+",tabE.Flux[[#This Row],[LINHA]])</f>
        <v>45890+MARCIO RODRIGUES DA COSTA - 5993+GOIANIA (GO) X TERESINA (PI) VIA STI</v>
      </c>
      <c r="F151" s="1" t="str">
        <f>_xlfn.CONCAT(tabE.Flux[[#This Row],[DATA]],"+",tabE.Flux[[#This Row],[MOTORISTA + MATRÍCULA B]],"+",tabE.Flux[[#This Row],[LINHA]])</f>
        <v>45890+RAIMUNDO NONATO FRANCO NETO - 5658+GOIANIA (GO) X TERESINA (PI) VIA STI</v>
      </c>
      <c r="G151" s="1" t="str">
        <f>_xlfn.CONCAT(tabE.Flux[[#This Row],[DATA]],"+",tabE.Flux[[#This Row],[LINHA]])</f>
        <v>45890+GOIANIA (GO) X TERESINA (PI) VIA STI</v>
      </c>
      <c r="H151" s="141">
        <v>45890</v>
      </c>
      <c r="I151" s="142" t="s">
        <v>15</v>
      </c>
      <c r="J151" s="142">
        <v>19019</v>
      </c>
      <c r="K151" s="143">
        <v>0.77083333333333337</v>
      </c>
      <c r="L151" s="143">
        <v>0.79861111111111116</v>
      </c>
      <c r="M151" s="142" t="s">
        <v>16</v>
      </c>
      <c r="N151" s="142" t="s">
        <v>29</v>
      </c>
      <c r="O151" s="142" t="s">
        <v>107</v>
      </c>
      <c r="P151" s="142" t="s">
        <v>176</v>
      </c>
      <c r="Q151" s="142" t="s">
        <v>26</v>
      </c>
      <c r="R151" s="76"/>
      <c r="S151" s="76"/>
      <c r="T151" s="76"/>
      <c r="U151" s="76"/>
      <c r="V151" s="76"/>
      <c r="W151" s="76"/>
      <c r="X151" s="76"/>
      <c r="Y151" s="76"/>
    </row>
    <row r="152" spans="1:25" s="6" customFormat="1" x14ac:dyDescent="0.25">
      <c r="A152" s="101"/>
      <c r="B152" s="101"/>
      <c r="C152" s="1" t="str">
        <f>_xlfn.CONCAT(tabE.Flux[[#This Row],[DATA]],"+",tabE.Flux[[#This Row],[MOTORISTA + MATRÍCULA A]])</f>
        <v>45890+FABIO MOREIRA DOS SANTOS - 3073</v>
      </c>
      <c r="D152" s="1" t="str">
        <f>_xlfn.CONCAT(tabE.Flux[[#This Row],[DATA]],"+",tabE.Flux[[#This Row],[MOTORISTA + MATRÍCULA B]])</f>
        <v>45890+JOSE POLICARPO DE SOUSA NETO - 1472</v>
      </c>
      <c r="E152" s="1" t="str">
        <f>_xlfn.CONCAT(tabE.Flux[[#This Row],[DATA]],"+",tabE.Flux[[#This Row],[MOTORISTA + MATRÍCULA A]],"+",tabE.Flux[[#This Row],[LINHA]])</f>
        <v>45890+FABIO MOREIRA DOS SANTOS - 3073+GOIANIA (GO) X SAO LUIS (MA)</v>
      </c>
      <c r="F152" s="1" t="str">
        <f>_xlfn.CONCAT(tabE.Flux[[#This Row],[DATA]],"+",tabE.Flux[[#This Row],[MOTORISTA + MATRÍCULA B]],"+",tabE.Flux[[#This Row],[LINHA]])</f>
        <v>45890+JOSE POLICARPO DE SOUSA NETO - 1472+GOIANIA (GO) X SAO LUIS (MA)</v>
      </c>
      <c r="G152" s="1" t="str">
        <f>_xlfn.CONCAT(tabE.Flux[[#This Row],[DATA]],"+",tabE.Flux[[#This Row],[LINHA]])</f>
        <v>45890+GOIANIA (GO) X SAO LUIS (MA)</v>
      </c>
      <c r="H152" s="141">
        <v>45890</v>
      </c>
      <c r="I152" s="142" t="s">
        <v>15</v>
      </c>
      <c r="J152" s="142">
        <v>19015</v>
      </c>
      <c r="K152" s="143">
        <v>0.8125</v>
      </c>
      <c r="L152" s="143">
        <v>0.84166666666666667</v>
      </c>
      <c r="M152" s="142" t="s">
        <v>16</v>
      </c>
      <c r="N152" s="142" t="s">
        <v>17</v>
      </c>
      <c r="O152" s="142" t="s">
        <v>50</v>
      </c>
      <c r="P152" s="142" t="s">
        <v>54</v>
      </c>
      <c r="Q152" s="142" t="s">
        <v>23</v>
      </c>
      <c r="R152" s="76"/>
      <c r="S152" s="76"/>
      <c r="T152" s="76"/>
      <c r="U152" s="76"/>
      <c r="V152" s="76"/>
      <c r="W152" s="76"/>
      <c r="X152" s="76"/>
      <c r="Y152" s="76"/>
    </row>
    <row r="153" spans="1:25" s="6" customFormat="1" x14ac:dyDescent="0.25">
      <c r="A153" s="101"/>
      <c r="B153" s="101"/>
      <c r="C153" s="1" t="str">
        <f>_xlfn.CONCAT(tabE.Flux[[#This Row],[DATA]],"+",tabE.Flux[[#This Row],[MOTORISTA + MATRÍCULA A]])</f>
        <v>45890+FRANCISCO BATISTA DE LIMA - 1827</v>
      </c>
      <c r="D153" s="1" t="str">
        <f>_xlfn.CONCAT(tabE.Flux[[#This Row],[DATA]],"+",tabE.Flux[[#This Row],[MOTORISTA + MATRÍCULA B]])</f>
        <v>45890+ADEMILTON DE OLIVEIRA SILVA - 5559</v>
      </c>
      <c r="E153" s="1" t="str">
        <f>_xlfn.CONCAT(tabE.Flux[[#This Row],[DATA]],"+",tabE.Flux[[#This Row],[MOTORISTA + MATRÍCULA A]],"+",tabE.Flux[[#This Row],[LINHA]])</f>
        <v>45890+FRANCISCO BATISTA DE LIMA - 1827+FORTALEZA (CE) X SINOP (MT)</v>
      </c>
      <c r="F153" s="1" t="str">
        <f>_xlfn.CONCAT(tabE.Flux[[#This Row],[DATA]],"+",tabE.Flux[[#This Row],[MOTORISTA + MATRÍCULA B]],"+",tabE.Flux[[#This Row],[LINHA]])</f>
        <v>45890+ADEMILTON DE OLIVEIRA SILVA - 5559+FORTALEZA (CE) X SINOP (MT)</v>
      </c>
      <c r="G153" s="1" t="str">
        <f>_xlfn.CONCAT(tabE.Flux[[#This Row],[DATA]],"+",tabE.Flux[[#This Row],[LINHA]])</f>
        <v>45890+FORTALEZA (CE) X SINOP (MT)</v>
      </c>
      <c r="H153" s="141">
        <v>45890</v>
      </c>
      <c r="I153" s="142" t="s">
        <v>15</v>
      </c>
      <c r="J153" s="142">
        <v>19006</v>
      </c>
      <c r="K153" s="143">
        <v>0.8125</v>
      </c>
      <c r="L153" s="143">
        <v>0.85416666666666663</v>
      </c>
      <c r="M153" s="142" t="s">
        <v>16</v>
      </c>
      <c r="N153" s="142" t="s">
        <v>17</v>
      </c>
      <c r="O153" s="142" t="s">
        <v>128</v>
      </c>
      <c r="P153" s="142" t="s">
        <v>40</v>
      </c>
      <c r="Q153" s="142" t="s">
        <v>32</v>
      </c>
      <c r="R153" s="76"/>
      <c r="S153" s="76"/>
      <c r="T153" s="76"/>
      <c r="U153" s="76"/>
      <c r="V153" s="76"/>
      <c r="W153" s="76"/>
      <c r="X153" s="76"/>
      <c r="Y153" s="76"/>
    </row>
    <row r="154" spans="1:25" s="6" customFormat="1" x14ac:dyDescent="0.25">
      <c r="A154" s="101"/>
      <c r="B154" s="101"/>
      <c r="C154" s="1" t="str">
        <f>_xlfn.CONCAT(tabE.Flux[[#This Row],[DATA]],"+",tabE.Flux[[#This Row],[MOTORISTA + MATRÍCULA A]])</f>
        <v>45890+JOSENILTON FRANCISCO LIMA - 3037</v>
      </c>
      <c r="D154" s="1" t="str">
        <f>_xlfn.CONCAT(tabE.Flux[[#This Row],[DATA]],"+",tabE.Flux[[#This Row],[MOTORISTA + MATRÍCULA B]])</f>
        <v>45890+VALDINAR ALVES DE FRANÇA 5959</v>
      </c>
      <c r="E154" s="1" t="str">
        <f>_xlfn.CONCAT(tabE.Flux[[#This Row],[DATA]],"+",tabE.Flux[[#This Row],[MOTORISTA + MATRÍCULA A]],"+",tabE.Flux[[#This Row],[LINHA]])</f>
        <v>45890+JOSENILTON FRANCISCO LIMA - 3037+GOIANIA (GO) X BELEM (PA)</v>
      </c>
      <c r="F154" s="1" t="str">
        <f>_xlfn.CONCAT(tabE.Flux[[#This Row],[DATA]],"+",tabE.Flux[[#This Row],[MOTORISTA + MATRÍCULA B]],"+",tabE.Flux[[#This Row],[LINHA]])</f>
        <v>45890+VALDINAR ALVES DE FRANÇA 5959+GOIANIA (GO) X BELEM (PA)</v>
      </c>
      <c r="G154" s="1" t="str">
        <f>_xlfn.CONCAT(tabE.Flux[[#This Row],[DATA]],"+",tabE.Flux[[#This Row],[LINHA]])</f>
        <v>45890+GOIANIA (GO) X BELEM (PA)</v>
      </c>
      <c r="H154" s="141">
        <v>45890</v>
      </c>
      <c r="I154" s="142" t="s">
        <v>15</v>
      </c>
      <c r="J154" s="142">
        <v>20017</v>
      </c>
      <c r="K154" s="143">
        <v>0.84722222222222221</v>
      </c>
      <c r="L154" s="143">
        <v>0.87847222222222221</v>
      </c>
      <c r="M154" s="142" t="s">
        <v>16</v>
      </c>
      <c r="N154" s="142" t="s">
        <v>17</v>
      </c>
      <c r="O154" s="142" t="s">
        <v>177</v>
      </c>
      <c r="P154" s="142" t="s">
        <v>178</v>
      </c>
      <c r="Q154" s="142" t="s">
        <v>20</v>
      </c>
      <c r="R154" s="76"/>
      <c r="S154" s="76"/>
      <c r="T154" s="76"/>
      <c r="U154" s="76"/>
      <c r="V154" s="76"/>
      <c r="W154" s="76"/>
      <c r="X154" s="76"/>
      <c r="Y154" s="76"/>
    </row>
    <row r="155" spans="1:25" s="6" customFormat="1" x14ac:dyDescent="0.25">
      <c r="A155" s="101"/>
      <c r="B155" s="101"/>
      <c r="C155" s="1" t="str">
        <f>_xlfn.CONCAT(tabE.Flux[[#This Row],[DATA]],"+",tabE.Flux[[#This Row],[MOTORISTA + MATRÍCULA A]])</f>
        <v>+</v>
      </c>
      <c r="D155" s="1" t="str">
        <f>_xlfn.CONCAT(tabE.Flux[[#This Row],[DATA]],"+",tabE.Flux[[#This Row],[MOTORISTA + MATRÍCULA B]])</f>
        <v>+</v>
      </c>
      <c r="E155" s="1" t="str">
        <f>_xlfn.CONCAT(tabE.Flux[[#This Row],[DATA]],"+",tabE.Flux[[#This Row],[MOTORISTA + MATRÍCULA A]],"+",tabE.Flux[[#This Row],[LINHA]])</f>
        <v>++</v>
      </c>
      <c r="F155" s="1" t="str">
        <f>_xlfn.CONCAT(tabE.Flux[[#This Row],[DATA]],"+",tabE.Flux[[#This Row],[MOTORISTA + MATRÍCULA B]],"+",tabE.Flux[[#This Row],[LINHA]])</f>
        <v>++</v>
      </c>
      <c r="G155" s="1" t="str">
        <f>_xlfn.CONCAT(tabE.Flux[[#This Row],[DATA]],"+",tabE.Flux[[#This Row],[LINHA]])</f>
        <v>+</v>
      </c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76"/>
      <c r="S155" s="76"/>
      <c r="T155" s="76"/>
      <c r="U155" s="76"/>
      <c r="V155" s="76"/>
      <c r="W155" s="76"/>
      <c r="X155" s="76"/>
      <c r="Y155" s="76"/>
    </row>
    <row r="156" spans="1:25" s="6" customFormat="1" ht="15" customHeight="1" x14ac:dyDescent="0.25">
      <c r="A156" s="101"/>
      <c r="B156" s="101"/>
      <c r="C156" s="1" t="str">
        <f>_xlfn.CONCAT(tabE.Flux[[#This Row],[DATA]],"+",tabE.Flux[[#This Row],[MOTORISTA + MATRÍCULA A]])</f>
        <v>45891+CLEITON ALENCAR DA ROCHA - 1146</v>
      </c>
      <c r="D156" s="1" t="str">
        <f>_xlfn.CONCAT(tabE.Flux[[#This Row],[DATA]],"+",tabE.Flux[[#This Row],[MOTORISTA + MATRÍCULA B]])</f>
        <v>45891+JOSE PEDRO DA SILVA FREITAS - 1357</v>
      </c>
      <c r="E156" s="1" t="str">
        <f>_xlfn.CONCAT(tabE.Flux[[#This Row],[DATA]],"+",tabE.Flux[[#This Row],[MOTORISTA + MATRÍCULA A]],"+",tabE.Flux[[#This Row],[LINHA]])</f>
        <v>45891+CLEITON ALENCAR DA ROCHA - 1146+GOIANIA (GO) X BELEM (PA)</v>
      </c>
      <c r="F156" s="1" t="str">
        <f>_xlfn.CONCAT(tabE.Flux[[#This Row],[DATA]],"+",tabE.Flux[[#This Row],[MOTORISTA + MATRÍCULA B]],"+",tabE.Flux[[#This Row],[LINHA]])</f>
        <v>45891+JOSE PEDRO DA SILVA FREITAS - 1357+GOIANIA (GO) X BELEM (PA)</v>
      </c>
      <c r="G156" s="1" t="str">
        <f>_xlfn.CONCAT(tabE.Flux[[#This Row],[DATA]],"+",tabE.Flux[[#This Row],[LINHA]])</f>
        <v>45891+GOIANIA (GO) X BELEM (PA)</v>
      </c>
      <c r="H156" s="141">
        <v>45891</v>
      </c>
      <c r="I156" s="142" t="s">
        <v>15</v>
      </c>
      <c r="J156" s="142">
        <v>24013</v>
      </c>
      <c r="K156" s="143">
        <v>0.25486111111111109</v>
      </c>
      <c r="L156" s="143">
        <v>0.3</v>
      </c>
      <c r="M156" s="142" t="s">
        <v>16</v>
      </c>
      <c r="N156" s="142" t="s">
        <v>17</v>
      </c>
      <c r="O156" s="142" t="s">
        <v>105</v>
      </c>
      <c r="P156" s="142" t="s">
        <v>106</v>
      </c>
      <c r="Q156" s="142" t="s">
        <v>20</v>
      </c>
      <c r="R156" s="76"/>
      <c r="S156" s="76"/>
      <c r="T156" s="76"/>
      <c r="U156" s="76"/>
      <c r="V156" s="76"/>
      <c r="W156" s="76"/>
      <c r="X156" s="76"/>
      <c r="Y156" s="76"/>
    </row>
    <row r="157" spans="1:25" s="6" customFormat="1" x14ac:dyDescent="0.25">
      <c r="A157" s="101"/>
      <c r="B157" s="101"/>
      <c r="C157" s="1" t="str">
        <f>_xlfn.CONCAT(tabE.Flux[[#This Row],[DATA]],"+",tabE.Flux[[#This Row],[MOTORISTA + MATRÍCULA A]])</f>
        <v>45891+TIAGO MARTINS BERNARDES - 5260</v>
      </c>
      <c r="D157" s="1" t="str">
        <f>_xlfn.CONCAT(tabE.Flux[[#This Row],[DATA]],"+",tabE.Flux[[#This Row],[MOTORISTA + MATRÍCULA B]])</f>
        <v>45891+ROBERTO PEREIRA DE MATOS - 5538</v>
      </c>
      <c r="E157" s="1" t="str">
        <f>_xlfn.CONCAT(tabE.Flux[[#This Row],[DATA]],"+",tabE.Flux[[#This Row],[MOTORISTA + MATRÍCULA A]],"+",tabE.Flux[[#This Row],[LINHA]])</f>
        <v>45891+TIAGO MARTINS BERNARDES - 5260+GOIANIA (GO) X SAO LUIS (MA)</v>
      </c>
      <c r="F157" s="1" t="str">
        <f>_xlfn.CONCAT(tabE.Flux[[#This Row],[DATA]],"+",tabE.Flux[[#This Row],[MOTORISTA + MATRÍCULA B]],"+",tabE.Flux[[#This Row],[LINHA]])</f>
        <v>45891+ROBERTO PEREIRA DE MATOS - 5538+GOIANIA (GO) X SAO LUIS (MA)</v>
      </c>
      <c r="G157" s="1" t="str">
        <f>_xlfn.CONCAT(tabE.Flux[[#This Row],[DATA]],"+",tabE.Flux[[#This Row],[LINHA]])</f>
        <v>45891+GOIANIA (GO) X SAO LUIS (MA)</v>
      </c>
      <c r="H157" s="141">
        <v>45891</v>
      </c>
      <c r="I157" s="142" t="s">
        <v>15</v>
      </c>
      <c r="J157" s="142">
        <v>24015</v>
      </c>
      <c r="K157" s="143">
        <v>0.32291666666666669</v>
      </c>
      <c r="L157" s="143">
        <v>0.33333333333333331</v>
      </c>
      <c r="M157" s="142" t="s">
        <v>16</v>
      </c>
      <c r="N157" s="142" t="s">
        <v>17</v>
      </c>
      <c r="O157" s="142" t="s">
        <v>179</v>
      </c>
      <c r="P157" s="142" t="s">
        <v>180</v>
      </c>
      <c r="Q157" s="142" t="s">
        <v>23</v>
      </c>
      <c r="R157" s="76"/>
      <c r="S157" s="76"/>
      <c r="T157" s="76"/>
      <c r="U157" s="76"/>
      <c r="V157" s="76"/>
      <c r="W157" s="76"/>
      <c r="X157" s="76"/>
      <c r="Y157" s="76"/>
    </row>
    <row r="158" spans="1:25" s="6" customFormat="1" x14ac:dyDescent="0.25">
      <c r="A158" s="101"/>
      <c r="B158" s="101"/>
      <c r="C158" s="1" t="str">
        <f>_xlfn.CONCAT(tabE.Flux[[#This Row],[DATA]],"+",tabE.Flux[[#This Row],[MOTORISTA + MATRÍCULA A]])</f>
        <v>45891+RAFAEL JOSE TOME DE LIMA - 5537</v>
      </c>
      <c r="D158" s="1" t="str">
        <f>_xlfn.CONCAT(tabE.Flux[[#This Row],[DATA]],"+",tabE.Flux[[#This Row],[MOTORISTA + MATRÍCULA B]])</f>
        <v>45891+JOAO DA SILVA MORAIS - 2978</v>
      </c>
      <c r="E158" s="1" t="str">
        <f>_xlfn.CONCAT(tabE.Flux[[#This Row],[DATA]],"+",tabE.Flux[[#This Row],[MOTORISTA + MATRÍCULA A]],"+",tabE.Flux[[#This Row],[LINHA]])</f>
        <v>45891+RAFAEL JOSE TOME DE LIMA - 5537+GOIANIA (GO) X TERESINA (PI) VIA STI</v>
      </c>
      <c r="F158" s="1" t="str">
        <f>_xlfn.CONCAT(tabE.Flux[[#This Row],[DATA]],"+",tabE.Flux[[#This Row],[MOTORISTA + MATRÍCULA B]],"+",tabE.Flux[[#This Row],[LINHA]])</f>
        <v>45891+JOAO DA SILVA MORAIS - 2978+GOIANIA (GO) X TERESINA (PI) VIA STI</v>
      </c>
      <c r="G158" s="1" t="str">
        <f>_xlfn.CONCAT(tabE.Flux[[#This Row],[DATA]],"+",tabE.Flux[[#This Row],[LINHA]])</f>
        <v>45891+GOIANIA (GO) X TERESINA (PI) VIA STI</v>
      </c>
      <c r="H158" s="141">
        <v>45891</v>
      </c>
      <c r="I158" s="142" t="s">
        <v>15</v>
      </c>
      <c r="J158" s="142">
        <v>12400</v>
      </c>
      <c r="K158" s="143">
        <v>0.3888888888888889</v>
      </c>
      <c r="L158" s="143">
        <v>0.39583333333333331</v>
      </c>
      <c r="M158" s="142" t="s">
        <v>16</v>
      </c>
      <c r="N158" s="142" t="s">
        <v>17</v>
      </c>
      <c r="O158" s="142" t="s">
        <v>181</v>
      </c>
      <c r="P158" s="142" t="s">
        <v>182</v>
      </c>
      <c r="Q158" s="142" t="s">
        <v>26</v>
      </c>
      <c r="R158" s="76"/>
      <c r="S158" s="76"/>
      <c r="T158" s="76"/>
      <c r="U158" s="76"/>
      <c r="V158" s="76"/>
      <c r="W158" s="76"/>
      <c r="X158" s="76"/>
      <c r="Y158" s="76"/>
    </row>
    <row r="159" spans="1:25" s="6" customFormat="1" x14ac:dyDescent="0.25">
      <c r="A159" s="101"/>
      <c r="B159" s="101"/>
      <c r="C159" s="1" t="str">
        <f>_xlfn.CONCAT(tabE.Flux[[#This Row],[DATA]],"+",tabE.Flux[[#This Row],[MOTORISTA + MATRÍCULA A]])</f>
        <v>45891+CANCELADO</v>
      </c>
      <c r="D159" s="1" t="str">
        <f>_xlfn.CONCAT(tabE.Flux[[#This Row],[DATA]],"+",tabE.Flux[[#This Row],[MOTORISTA + MATRÍCULA B]])</f>
        <v>45891+CANCELADO</v>
      </c>
      <c r="E159" s="1" t="str">
        <f>_xlfn.CONCAT(tabE.Flux[[#This Row],[DATA]],"+",tabE.Flux[[#This Row],[MOTORISTA + MATRÍCULA A]],"+",tabE.Flux[[#This Row],[LINHA]])</f>
        <v>45891+CANCELADO+</v>
      </c>
      <c r="F159" s="1" t="str">
        <f>_xlfn.CONCAT(tabE.Flux[[#This Row],[DATA]],"+",tabE.Flux[[#This Row],[MOTORISTA + MATRÍCULA B]],"+",tabE.Flux[[#This Row],[LINHA]])</f>
        <v>45891+CANCELADO+</v>
      </c>
      <c r="G159" s="1" t="str">
        <f>_xlfn.CONCAT(tabE.Flux[[#This Row],[DATA]],"+",tabE.Flux[[#This Row],[LINHA]])</f>
        <v>45891+</v>
      </c>
      <c r="H159" s="141">
        <v>45891</v>
      </c>
      <c r="I159" s="142" t="s">
        <v>15</v>
      </c>
      <c r="J159" s="144" t="s">
        <v>27</v>
      </c>
      <c r="K159" s="143">
        <v>0.375</v>
      </c>
      <c r="L159" s="143">
        <v>0.41666666666666669</v>
      </c>
      <c r="M159" s="142" t="s">
        <v>16</v>
      </c>
      <c r="N159" s="142" t="s">
        <v>28</v>
      </c>
      <c r="O159" s="144" t="s">
        <v>27</v>
      </c>
      <c r="P159" s="144" t="s">
        <v>27</v>
      </c>
      <c r="Q159" s="142"/>
      <c r="R159" s="76"/>
      <c r="S159" s="76"/>
      <c r="T159" s="76"/>
      <c r="U159" s="76"/>
      <c r="V159" s="76"/>
      <c r="W159" s="76"/>
      <c r="X159" s="76"/>
      <c r="Y159" s="76"/>
    </row>
    <row r="160" spans="1:25" s="6" customFormat="1" x14ac:dyDescent="0.25">
      <c r="A160" s="101"/>
      <c r="B160" s="101"/>
      <c r="C160" s="1" t="str">
        <f>_xlfn.CONCAT(tabE.Flux[[#This Row],[DATA]],"+",tabE.Flux[[#This Row],[MOTORISTA + MATRÍCULA A]])</f>
        <v>45891+RICHARD SOUSA DA SILVA - 1271</v>
      </c>
      <c r="D160" s="1" t="str">
        <f>_xlfn.CONCAT(tabE.Flux[[#This Row],[DATA]],"+",tabE.Flux[[#This Row],[MOTORISTA + MATRÍCULA B]])</f>
        <v>45891+  PAULO MORAES DOS SANTOS- 1534</v>
      </c>
      <c r="E160" s="1" t="str">
        <f>_xlfn.CONCAT(tabE.Flux[[#This Row],[DATA]],"+",tabE.Flux[[#This Row],[MOTORISTA + MATRÍCULA A]],"+",tabE.Flux[[#This Row],[LINHA]])</f>
        <v>45891+RICHARD SOUSA DA SILVA - 1271+FORTALEZA (CE) X SINOP (MT)</v>
      </c>
      <c r="F160" s="1" t="str">
        <f>_xlfn.CONCAT(tabE.Flux[[#This Row],[DATA]],"+",tabE.Flux[[#This Row],[MOTORISTA + MATRÍCULA B]],"+",tabE.Flux[[#This Row],[LINHA]])</f>
        <v>45891+  PAULO MORAES DOS SANTOS- 1534+FORTALEZA (CE) X SINOP (MT)</v>
      </c>
      <c r="G160" s="1" t="str">
        <f>_xlfn.CONCAT(tabE.Flux[[#This Row],[DATA]],"+",tabE.Flux[[#This Row],[LINHA]])</f>
        <v>45891+FORTALEZA (CE) X SINOP (MT)</v>
      </c>
      <c r="H160" s="141">
        <v>45891</v>
      </c>
      <c r="I160" s="142" t="s">
        <v>15</v>
      </c>
      <c r="J160" s="142">
        <v>20018</v>
      </c>
      <c r="K160" s="143">
        <v>0.3888888888888889</v>
      </c>
      <c r="L160" s="143">
        <v>0.37708333333333333</v>
      </c>
      <c r="M160" s="142" t="s">
        <v>16</v>
      </c>
      <c r="N160" s="142" t="s">
        <v>29</v>
      </c>
      <c r="O160" s="142" t="s">
        <v>56</v>
      </c>
      <c r="P160" s="142" t="s">
        <v>183</v>
      </c>
      <c r="Q160" s="142" t="s">
        <v>32</v>
      </c>
      <c r="R160" s="76"/>
      <c r="S160" s="76"/>
      <c r="T160" s="76"/>
      <c r="U160" s="76"/>
      <c r="V160" s="76"/>
      <c r="W160" s="76"/>
      <c r="X160" s="76"/>
      <c r="Y160" s="76"/>
    </row>
    <row r="161" spans="1:25" s="6" customFormat="1" x14ac:dyDescent="0.25">
      <c r="A161" s="101"/>
      <c r="B161" s="101"/>
      <c r="C161" s="1" t="str">
        <f>_xlfn.CONCAT(tabE.Flux[[#This Row],[DATA]],"+",tabE.Flux[[#This Row],[MOTORISTA + MATRÍCULA A]])</f>
        <v>45891+RAIMUNDO FERNANDES RIBEIRO - 907</v>
      </c>
      <c r="D161" s="1" t="str">
        <f>_xlfn.CONCAT(tabE.Flux[[#This Row],[DATA]],"+",tabE.Flux[[#This Row],[MOTORISTA + MATRÍCULA B]])</f>
        <v>45891+MERVAL DE SOUSA - 2880</v>
      </c>
      <c r="E161" s="1" t="str">
        <f>_xlfn.CONCAT(tabE.Flux[[#This Row],[DATA]],"+",tabE.Flux[[#This Row],[MOTORISTA + MATRÍCULA A]],"+",tabE.Flux[[#This Row],[LINHA]])</f>
        <v>45891+RAIMUNDO FERNANDES RIBEIRO - 907+GOIANIA (GO) X BELEM (PA)</v>
      </c>
      <c r="F161" s="1" t="str">
        <f>_xlfn.CONCAT(tabE.Flux[[#This Row],[DATA]],"+",tabE.Flux[[#This Row],[MOTORISTA + MATRÍCULA B]],"+",tabE.Flux[[#This Row],[LINHA]])</f>
        <v>45891+MERVAL DE SOUSA - 2880+GOIANIA (GO) X BELEM (PA)</v>
      </c>
      <c r="G161" s="1" t="str">
        <f>_xlfn.CONCAT(tabE.Flux[[#This Row],[DATA]],"+",tabE.Flux[[#This Row],[LINHA]])</f>
        <v>45891+GOIANIA (GO) X BELEM (PA)</v>
      </c>
      <c r="H161" s="141">
        <v>45891</v>
      </c>
      <c r="I161" s="142" t="s">
        <v>15</v>
      </c>
      <c r="J161" s="142">
        <v>19024</v>
      </c>
      <c r="K161" s="143">
        <v>0.38958333333333334</v>
      </c>
      <c r="L161" s="143">
        <v>0.38541666666666669</v>
      </c>
      <c r="M161" s="142" t="s">
        <v>16</v>
      </c>
      <c r="N161" s="142" t="s">
        <v>33</v>
      </c>
      <c r="O161" s="142" t="s">
        <v>143</v>
      </c>
      <c r="P161" s="142" t="s">
        <v>44</v>
      </c>
      <c r="Q161" s="142" t="s">
        <v>20</v>
      </c>
      <c r="R161" s="76"/>
      <c r="S161" s="76"/>
      <c r="T161" s="76"/>
      <c r="U161" s="76"/>
      <c r="V161" s="76"/>
      <c r="W161" s="76"/>
      <c r="X161" s="76"/>
      <c r="Y161" s="76"/>
    </row>
    <row r="162" spans="1:25" s="6" customFormat="1" x14ac:dyDescent="0.25">
      <c r="A162" s="101"/>
      <c r="B162" s="101"/>
      <c r="C162" s="1" t="str">
        <f>_xlfn.CONCAT(tabE.Flux[[#This Row],[DATA]],"+",tabE.Flux[[#This Row],[MOTORISTA + MATRÍCULA A]])</f>
        <v>45891+MARCIO DE SOUSA MATOS - 5264</v>
      </c>
      <c r="D162" s="1" t="str">
        <f>_xlfn.CONCAT(tabE.Flux[[#This Row],[DATA]],"+",tabE.Flux[[#This Row],[MOTORISTA + MATRÍCULA B]])</f>
        <v>45891+DANIEL PEREIRA DA ROCHA - 5298</v>
      </c>
      <c r="E162" s="1" t="str">
        <f>_xlfn.CONCAT(tabE.Flux[[#This Row],[DATA]],"+",tabE.Flux[[#This Row],[MOTORISTA + MATRÍCULA A]],"+",tabE.Flux[[#This Row],[LINHA]])</f>
        <v>45891+MARCIO DE SOUSA MATOS - 5264+GOIANIA (GO) X TERESINA (PI) VIA BC</v>
      </c>
      <c r="F162" s="1" t="str">
        <f>_xlfn.CONCAT(tabE.Flux[[#This Row],[DATA]],"+",tabE.Flux[[#This Row],[MOTORISTA + MATRÍCULA B]],"+",tabE.Flux[[#This Row],[LINHA]])</f>
        <v>45891+DANIEL PEREIRA DA ROCHA - 5298+GOIANIA (GO) X TERESINA (PI) VIA BC</v>
      </c>
      <c r="G162" s="1" t="str">
        <f>_xlfn.CONCAT(tabE.Flux[[#This Row],[DATA]],"+",tabE.Flux[[#This Row],[LINHA]])</f>
        <v>45891+GOIANIA (GO) X TERESINA (PI) VIA BC</v>
      </c>
      <c r="H162" s="141">
        <v>45891</v>
      </c>
      <c r="I162" s="142" t="s">
        <v>15</v>
      </c>
      <c r="J162" s="142">
        <v>24003</v>
      </c>
      <c r="K162" s="143">
        <v>0.375</v>
      </c>
      <c r="L162" s="143">
        <v>0.39930555555555558</v>
      </c>
      <c r="M162" s="142" t="s">
        <v>36</v>
      </c>
      <c r="N162" s="142" t="s">
        <v>29</v>
      </c>
      <c r="O162" s="142" t="s">
        <v>62</v>
      </c>
      <c r="P162" s="142" t="s">
        <v>184</v>
      </c>
      <c r="Q162" s="142" t="s">
        <v>39</v>
      </c>
      <c r="R162" s="76"/>
      <c r="S162" s="76"/>
      <c r="T162" s="76"/>
      <c r="U162" s="76"/>
      <c r="V162" s="76"/>
      <c r="W162" s="76"/>
      <c r="X162" s="76"/>
      <c r="Y162" s="76"/>
    </row>
    <row r="163" spans="1:25" s="6" customFormat="1" x14ac:dyDescent="0.25">
      <c r="A163" s="101"/>
      <c r="B163" s="101"/>
      <c r="C163" s="1" t="str">
        <f>_xlfn.CONCAT(tabE.Flux[[#This Row],[DATA]],"+",tabE.Flux[[#This Row],[MOTORISTA + MATRÍCULA A]])</f>
        <v>45891+LUIZ CARLOS MARIANO SIQUEIRA - 5634</v>
      </c>
      <c r="D163" s="1" t="str">
        <f>_xlfn.CONCAT(tabE.Flux[[#This Row],[DATA]],"+",tabE.Flux[[#This Row],[MOTORISTA + MATRÍCULA B]])</f>
        <v>45891+JOAO DE JESUS GOUVEIA - 6016</v>
      </c>
      <c r="E163" s="1" t="str">
        <f>_xlfn.CONCAT(tabE.Flux[[#This Row],[DATA]],"+",tabE.Flux[[#This Row],[MOTORISTA + MATRÍCULA A]],"+",tabE.Flux[[#This Row],[LINHA]])</f>
        <v>45891+LUIZ CARLOS MARIANO SIQUEIRA - 5634+GOIANIA (GO) X BELEM (PA)</v>
      </c>
      <c r="F163" s="1" t="str">
        <f>_xlfn.CONCAT(tabE.Flux[[#This Row],[DATA]],"+",tabE.Flux[[#This Row],[MOTORISTA + MATRÍCULA B]],"+",tabE.Flux[[#This Row],[LINHA]])</f>
        <v>45891+JOAO DE JESUS GOUVEIA - 6016+GOIANIA (GO) X BELEM (PA)</v>
      </c>
      <c r="G163" s="1" t="str">
        <f>_xlfn.CONCAT(tabE.Flux[[#This Row],[DATA]],"+",tabE.Flux[[#This Row],[LINHA]])</f>
        <v>45891+GOIANIA (GO) X BELEM (PA)</v>
      </c>
      <c r="H163" s="141">
        <v>45891</v>
      </c>
      <c r="I163" s="142" t="s">
        <v>15</v>
      </c>
      <c r="J163" s="142">
        <v>20022</v>
      </c>
      <c r="K163" s="143">
        <v>0.375</v>
      </c>
      <c r="L163" s="143">
        <v>0.41666666666666669</v>
      </c>
      <c r="M163" s="142" t="s">
        <v>33</v>
      </c>
      <c r="N163" s="142" t="s">
        <v>16</v>
      </c>
      <c r="O163" s="142" t="s">
        <v>51</v>
      </c>
      <c r="P163" s="142" t="s">
        <v>58</v>
      </c>
      <c r="Q163" s="142" t="s">
        <v>20</v>
      </c>
      <c r="R163" s="76"/>
      <c r="S163" s="76"/>
      <c r="T163" s="76"/>
      <c r="U163" s="76"/>
      <c r="V163" s="76"/>
      <c r="W163" s="76"/>
      <c r="X163" s="76"/>
      <c r="Y163" s="76"/>
    </row>
    <row r="164" spans="1:25" s="6" customFormat="1" x14ac:dyDescent="0.25">
      <c r="A164" s="101"/>
      <c r="B164" s="101"/>
      <c r="C164" s="1" t="str">
        <f>_xlfn.CONCAT(tabE.Flux[[#This Row],[DATA]],"+",tabE.Flux[[#This Row],[MOTORISTA + MATRÍCULA A]])</f>
        <v>45891+CARLOS ADRIANO DE SOUZA DO NASCIMENTO - 6222</v>
      </c>
      <c r="D164" s="1" t="str">
        <f>_xlfn.CONCAT(tabE.Flux[[#This Row],[DATA]],"+",tabE.Flux[[#This Row],[MOTORISTA + MATRÍCULA B]])</f>
        <v>45891+JOSE ALVES DA ROCHA - 5035</v>
      </c>
      <c r="E164" s="1" t="str">
        <f>_xlfn.CONCAT(tabE.Flux[[#This Row],[DATA]],"+",tabE.Flux[[#This Row],[MOTORISTA + MATRÍCULA A]],"+",tabE.Flux[[#This Row],[LINHA]])</f>
        <v>45891+CARLOS ADRIANO DE SOUZA DO NASCIMENTO - 6222+GOIANIA (GO) X SAO LUIS (MA)</v>
      </c>
      <c r="F164" s="1" t="str">
        <f>_xlfn.CONCAT(tabE.Flux[[#This Row],[DATA]],"+",tabE.Flux[[#This Row],[MOTORISTA + MATRÍCULA B]],"+",tabE.Flux[[#This Row],[LINHA]])</f>
        <v>45891+JOSE ALVES DA ROCHA - 5035+GOIANIA (GO) X SAO LUIS (MA)</v>
      </c>
      <c r="G164" s="1" t="str">
        <f>_xlfn.CONCAT(tabE.Flux[[#This Row],[DATA]],"+",tabE.Flux[[#This Row],[LINHA]])</f>
        <v>45891+GOIANIA (GO) X SAO LUIS (MA)</v>
      </c>
      <c r="H164" s="141">
        <v>45891</v>
      </c>
      <c r="I164" s="142" t="s">
        <v>15</v>
      </c>
      <c r="J164" s="142">
        <v>19002</v>
      </c>
      <c r="K164" s="143">
        <v>0.25</v>
      </c>
      <c r="L164" s="143">
        <v>0.29166666666666669</v>
      </c>
      <c r="M164" s="142" t="s">
        <v>42</v>
      </c>
      <c r="N164" s="142" t="s">
        <v>16</v>
      </c>
      <c r="O164" s="142" t="s">
        <v>110</v>
      </c>
      <c r="P164" s="142" t="s">
        <v>91</v>
      </c>
      <c r="Q164" s="142" t="s">
        <v>23</v>
      </c>
      <c r="R164" s="76"/>
      <c r="S164" s="76"/>
      <c r="T164" s="76"/>
      <c r="U164" s="76"/>
      <c r="V164" s="76"/>
      <c r="W164" s="76"/>
      <c r="X164" s="76"/>
      <c r="Y164" s="76"/>
    </row>
    <row r="165" spans="1:25" s="6" customFormat="1" x14ac:dyDescent="0.25">
      <c r="A165" s="101"/>
      <c r="B165" s="101"/>
      <c r="C165" s="1" t="str">
        <f>_xlfn.CONCAT(tabE.Flux[[#This Row],[DATA]],"+",tabE.Flux[[#This Row],[MOTORISTA + MATRÍCULA A]])</f>
        <v>45891+RAIMUNDO COSTA SILVA - 6226</v>
      </c>
      <c r="D165" s="1" t="str">
        <f>_xlfn.CONCAT(tabE.Flux[[#This Row],[DATA]],"+",tabE.Flux[[#This Row],[MOTORISTA + MATRÍCULA B]])</f>
        <v>45891+RAINERIO COSTA MENDES - 5850</v>
      </c>
      <c r="E165" s="1" t="str">
        <f>_xlfn.CONCAT(tabE.Flux[[#This Row],[DATA]],"+",tabE.Flux[[#This Row],[MOTORISTA + MATRÍCULA A]],"+",tabE.Flux[[#This Row],[LINHA]])</f>
        <v>45891+RAIMUNDO COSTA SILVA - 6226+GOIANIA (GO) X SAO LUIS (MA)</v>
      </c>
      <c r="F165" s="1" t="str">
        <f>_xlfn.CONCAT(tabE.Flux[[#This Row],[DATA]],"+",tabE.Flux[[#This Row],[MOTORISTA + MATRÍCULA B]],"+",tabE.Flux[[#This Row],[LINHA]])</f>
        <v>45891+RAINERIO COSTA MENDES - 5850+GOIANIA (GO) X SAO LUIS (MA)</v>
      </c>
      <c r="G165" s="1" t="str">
        <f>_xlfn.CONCAT(tabE.Flux[[#This Row],[DATA]],"+",tabE.Flux[[#This Row],[LINHA]])</f>
        <v>45891+GOIANIA (GO) X SAO LUIS (MA)</v>
      </c>
      <c r="H165" s="141">
        <v>45891</v>
      </c>
      <c r="I165" s="142" t="s">
        <v>15</v>
      </c>
      <c r="J165" s="142">
        <v>24004</v>
      </c>
      <c r="K165" s="143">
        <v>0.75</v>
      </c>
      <c r="L165" s="143">
        <v>0.79166666666666663</v>
      </c>
      <c r="M165" s="142" t="s">
        <v>42</v>
      </c>
      <c r="N165" s="142" t="s">
        <v>16</v>
      </c>
      <c r="O165" s="142" t="s">
        <v>45</v>
      </c>
      <c r="P165" s="142" t="s">
        <v>108</v>
      </c>
      <c r="Q165" s="142" t="s">
        <v>23</v>
      </c>
      <c r="R165" s="76"/>
      <c r="S165" s="76"/>
      <c r="T165" s="76"/>
      <c r="U165" s="76"/>
      <c r="V165" s="76"/>
      <c r="W165" s="76"/>
      <c r="X165" s="76"/>
      <c r="Y165" s="76"/>
    </row>
    <row r="166" spans="1:25" s="6" customFormat="1" x14ac:dyDescent="0.25">
      <c r="A166" s="101"/>
      <c r="B166" s="101"/>
      <c r="C166" s="1" t="str">
        <f>_xlfn.CONCAT(tabE.Flux[[#This Row],[DATA]],"+",tabE.Flux[[#This Row],[MOTORISTA + MATRÍCULA A]])</f>
        <v>45891+CANCELADO</v>
      </c>
      <c r="D166" s="1" t="str">
        <f>_xlfn.CONCAT(tabE.Flux[[#This Row],[DATA]],"+",tabE.Flux[[#This Row],[MOTORISTA + MATRÍCULA B]])</f>
        <v>45891+CANCELADO</v>
      </c>
      <c r="E166" s="1" t="str">
        <f>_xlfn.CONCAT(tabE.Flux[[#This Row],[DATA]],"+",tabE.Flux[[#This Row],[MOTORISTA + MATRÍCULA A]],"+",tabE.Flux[[#This Row],[LINHA]])</f>
        <v>45891+CANCELADO+IMPERATRIZ (MA) X SÃO LUIS (MA)</v>
      </c>
      <c r="F166" s="1" t="str">
        <f>_xlfn.CONCAT(tabE.Flux[[#This Row],[DATA]],"+",tabE.Flux[[#This Row],[MOTORISTA + MATRÍCULA B]],"+",tabE.Flux[[#This Row],[LINHA]])</f>
        <v>45891+CANCELADO+IMPERATRIZ (MA) X SÃO LUIS (MA)</v>
      </c>
      <c r="G166" s="1" t="str">
        <f>_xlfn.CONCAT(tabE.Flux[[#This Row],[DATA]],"+",tabE.Flux[[#This Row],[LINHA]])</f>
        <v>45891+IMPERATRIZ (MA) X SÃO LUIS (MA)</v>
      </c>
      <c r="H166" s="141">
        <v>45891</v>
      </c>
      <c r="I166" s="142" t="s">
        <v>15</v>
      </c>
      <c r="J166" s="144" t="s">
        <v>27</v>
      </c>
      <c r="K166" s="143">
        <v>0.77083333333333337</v>
      </c>
      <c r="L166" s="143">
        <v>0.79513888888888884</v>
      </c>
      <c r="M166" s="142" t="s">
        <v>42</v>
      </c>
      <c r="N166" s="142" t="s">
        <v>16</v>
      </c>
      <c r="O166" s="144" t="s">
        <v>27</v>
      </c>
      <c r="P166" s="144" t="s">
        <v>27</v>
      </c>
      <c r="Q166" s="142" t="s">
        <v>47</v>
      </c>
      <c r="R166" s="76"/>
      <c r="S166" s="76"/>
      <c r="T166" s="76"/>
      <c r="U166" s="76"/>
      <c r="V166" s="76"/>
      <c r="W166" s="76"/>
      <c r="X166" s="76"/>
      <c r="Y166" s="76"/>
    </row>
    <row r="167" spans="1:25" s="6" customFormat="1" x14ac:dyDescent="0.25">
      <c r="A167" s="101"/>
      <c r="B167" s="101"/>
      <c r="C167" s="1" t="str">
        <f>_xlfn.CONCAT(tabE.Flux[[#This Row],[DATA]],"+",tabE.Flux[[#This Row],[MOTORISTA + MATRÍCULA A]])</f>
        <v>45891+GENIVALDO ANTONIO DE SOUZA - 1082</v>
      </c>
      <c r="D167" s="1" t="str">
        <f>_xlfn.CONCAT(tabE.Flux[[#This Row],[DATA]],"+",tabE.Flux[[#This Row],[MOTORISTA + MATRÍCULA B]])</f>
        <v>45891+GISLE RODRIGUES DE SOUSA - 6047</v>
      </c>
      <c r="E167" s="1" t="str">
        <f>_xlfn.CONCAT(tabE.Flux[[#This Row],[DATA]],"+",tabE.Flux[[#This Row],[MOTORISTA + MATRÍCULA A]],"+",tabE.Flux[[#This Row],[LINHA]])</f>
        <v>45891+GENIVALDO ANTONIO DE SOUZA - 1082+GOIANIA (GO) X TERESINA (PI) VIA BC</v>
      </c>
      <c r="F167" s="1" t="str">
        <f>_xlfn.CONCAT(tabE.Flux[[#This Row],[DATA]],"+",tabE.Flux[[#This Row],[MOTORISTA + MATRÍCULA B]],"+",tabE.Flux[[#This Row],[LINHA]])</f>
        <v>45891+GISLE RODRIGUES DE SOUSA - 6047+GOIANIA (GO) X TERESINA (PI) VIA BC</v>
      </c>
      <c r="G167" s="1" t="str">
        <f>_xlfn.CONCAT(tabE.Flux[[#This Row],[DATA]],"+",tabE.Flux[[#This Row],[LINHA]])</f>
        <v>45891+GOIANIA (GO) X TERESINA (PI) VIA BC</v>
      </c>
      <c r="H167" s="141">
        <v>45891</v>
      </c>
      <c r="I167" s="142" t="s">
        <v>15</v>
      </c>
      <c r="J167" s="142">
        <v>24011</v>
      </c>
      <c r="K167" s="143">
        <v>0.89583333333333337</v>
      </c>
      <c r="L167" s="143">
        <v>0.91666666666666663</v>
      </c>
      <c r="M167" s="142" t="s">
        <v>36</v>
      </c>
      <c r="N167" s="142" t="s">
        <v>17</v>
      </c>
      <c r="O167" s="142" t="s">
        <v>185</v>
      </c>
      <c r="P167" s="142" t="s">
        <v>186</v>
      </c>
      <c r="Q167" s="142" t="s">
        <v>39</v>
      </c>
      <c r="R167" s="76"/>
      <c r="S167" s="76"/>
      <c r="T167" s="76"/>
      <c r="U167" s="76"/>
      <c r="V167" s="76"/>
      <c r="W167" s="76"/>
      <c r="X167" s="76"/>
      <c r="Y167" s="76"/>
    </row>
    <row r="168" spans="1:25" s="6" customFormat="1" x14ac:dyDescent="0.25">
      <c r="A168" s="101"/>
      <c r="B168" s="101"/>
      <c r="C168" s="1" t="str">
        <f>_xlfn.CONCAT(tabE.Flux[[#This Row],[DATA]],"+",tabE.Flux[[#This Row],[MOTORISTA + MATRÍCULA A]])</f>
        <v>45891+IZALMIR RODRIGUES COELHO - 958</v>
      </c>
      <c r="D168" s="1" t="str">
        <f>_xlfn.CONCAT(tabE.Flux[[#This Row],[DATA]],"+",tabE.Flux[[#This Row],[MOTORISTA + MATRÍCULA B]])</f>
        <v>45891+FRANCISCO ALVES DA PAZ JUNIOR - 1247</v>
      </c>
      <c r="E168" s="1" t="str">
        <f>_xlfn.CONCAT(tabE.Flux[[#This Row],[DATA]],"+",tabE.Flux[[#This Row],[MOTORISTA + MATRÍCULA A]],"+",tabE.Flux[[#This Row],[LINHA]])</f>
        <v>45891+IZALMIR RODRIGUES COELHO - 958+GOIANIA (GO) X BELEM (PA)</v>
      </c>
      <c r="F168" s="1" t="str">
        <f>_xlfn.CONCAT(tabE.Flux[[#This Row],[DATA]],"+",tabE.Flux[[#This Row],[MOTORISTA + MATRÍCULA B]],"+",tabE.Flux[[#This Row],[LINHA]])</f>
        <v>45891+FRANCISCO ALVES DA PAZ JUNIOR - 1247+GOIANIA (GO) X BELEM (PA)</v>
      </c>
      <c r="G168" s="1" t="str">
        <f>_xlfn.CONCAT(tabE.Flux[[#This Row],[DATA]],"+",tabE.Flux[[#This Row],[LINHA]])</f>
        <v>45891+GOIANIA (GO) X BELEM (PA)</v>
      </c>
      <c r="H168" s="141">
        <v>45891</v>
      </c>
      <c r="I168" s="142" t="s">
        <v>15</v>
      </c>
      <c r="J168" s="142">
        <v>24014</v>
      </c>
      <c r="K168" s="143">
        <v>0.76041666666666663</v>
      </c>
      <c r="L168" s="143">
        <v>0.77083333333333337</v>
      </c>
      <c r="M168" s="142" t="s">
        <v>33</v>
      </c>
      <c r="N168" s="142" t="s">
        <v>16</v>
      </c>
      <c r="O168" s="142" t="s">
        <v>83</v>
      </c>
      <c r="P168" s="142" t="s">
        <v>144</v>
      </c>
      <c r="Q168" s="142" t="s">
        <v>20</v>
      </c>
      <c r="R168" s="76"/>
      <c r="S168" s="76"/>
      <c r="T168" s="76"/>
      <c r="U168" s="76"/>
      <c r="V168" s="76"/>
      <c r="W168" s="76"/>
      <c r="X168" s="76"/>
      <c r="Y168" s="76"/>
    </row>
    <row r="169" spans="1:25" s="6" customFormat="1" x14ac:dyDescent="0.25">
      <c r="A169" s="101"/>
      <c r="B169" s="101"/>
      <c r="C169" s="1" t="str">
        <f>_xlfn.CONCAT(tabE.Flux[[#This Row],[DATA]],"+",tabE.Flux[[#This Row],[MOTORISTA + MATRÍCULA A]])</f>
        <v>45891+KLEBSON ALVES FREIRES - 3060</v>
      </c>
      <c r="D169" s="1" t="str">
        <f>_xlfn.CONCAT(tabE.Flux[[#This Row],[DATA]],"+",tabE.Flux[[#This Row],[MOTORISTA + MATRÍCULA B]])</f>
        <v>45891+LUIS ANTONIO FARIAS RIBEIRO - 2789</v>
      </c>
      <c r="E169" s="1" t="str">
        <f>_xlfn.CONCAT(tabE.Flux[[#This Row],[DATA]],"+",tabE.Flux[[#This Row],[MOTORISTA + MATRÍCULA A]],"+",tabE.Flux[[#This Row],[LINHA]])</f>
        <v>45891+KLEBSON ALVES FREIRES - 3060+GOIANIA (GO) X BELEM (PA)</v>
      </c>
      <c r="F169" s="1" t="str">
        <f>_xlfn.CONCAT(tabE.Flux[[#This Row],[DATA]],"+",tabE.Flux[[#This Row],[MOTORISTA + MATRÍCULA B]],"+",tabE.Flux[[#This Row],[LINHA]])</f>
        <v>45891+LUIS ANTONIO FARIAS RIBEIRO - 2789+GOIANIA (GO) X BELEM (PA)</v>
      </c>
      <c r="G169" s="1" t="str">
        <f>_xlfn.CONCAT(tabE.Flux[[#This Row],[DATA]],"+",tabE.Flux[[#This Row],[LINHA]])</f>
        <v>45891+GOIANIA (GO) X BELEM (PA)</v>
      </c>
      <c r="H169" s="141">
        <v>45891</v>
      </c>
      <c r="I169" s="142" t="s">
        <v>15</v>
      </c>
      <c r="J169" s="142">
        <v>24001</v>
      </c>
      <c r="K169" s="143">
        <v>0.76041666666666663</v>
      </c>
      <c r="L169" s="143">
        <v>0.82777777777777772</v>
      </c>
      <c r="M169" s="142" t="s">
        <v>16</v>
      </c>
      <c r="N169" s="142" t="s">
        <v>33</v>
      </c>
      <c r="O169" s="142" t="s">
        <v>161</v>
      </c>
      <c r="P169" s="142" t="s">
        <v>124</v>
      </c>
      <c r="Q169" s="142" t="s">
        <v>20</v>
      </c>
      <c r="R169" s="76"/>
      <c r="S169" s="76"/>
      <c r="T169" s="76"/>
      <c r="U169" s="76"/>
      <c r="V169" s="76"/>
      <c r="W169" s="76"/>
      <c r="X169" s="76"/>
      <c r="Y169" s="76"/>
    </row>
    <row r="170" spans="1:25" s="6" customFormat="1" x14ac:dyDescent="0.25">
      <c r="A170" s="101"/>
      <c r="B170" s="101"/>
      <c r="C170" s="1" t="str">
        <f>_xlfn.CONCAT(tabE.Flux[[#This Row],[DATA]],"+",tabE.Flux[[#This Row],[MOTORISTA + MATRÍCULA A]])</f>
        <v>45891+JOSE HAILTON PEREIRA DOS SANTOS - 6018</v>
      </c>
      <c r="D170" s="1" t="str">
        <f>_xlfn.CONCAT(tabE.Flux[[#This Row],[DATA]],"+",tabE.Flux[[#This Row],[MOTORISTA + MATRÍCULA B]])</f>
        <v>45891+EDIVALDO DE ARAUJO - 6217</v>
      </c>
      <c r="E170" s="1" t="str">
        <f>_xlfn.CONCAT(tabE.Flux[[#This Row],[DATA]],"+",tabE.Flux[[#This Row],[MOTORISTA + MATRÍCULA A]],"+",tabE.Flux[[#This Row],[LINHA]])</f>
        <v>45891+JOSE HAILTON PEREIRA DOS SANTOS - 6018+GOIANIA (GO) X SAO LUIS (MA)</v>
      </c>
      <c r="F170" s="1" t="str">
        <f>_xlfn.CONCAT(tabE.Flux[[#This Row],[DATA]],"+",tabE.Flux[[#This Row],[MOTORISTA + MATRÍCULA B]],"+",tabE.Flux[[#This Row],[LINHA]])</f>
        <v>45891+EDIVALDO DE ARAUJO - 6217+GOIANIA (GO) X SAO LUIS (MA)</v>
      </c>
      <c r="G170" s="1" t="str">
        <f>_xlfn.CONCAT(tabE.Flux[[#This Row],[DATA]],"+",tabE.Flux[[#This Row],[LINHA]])</f>
        <v>45891+GOIANIA (GO) X SAO LUIS (MA)</v>
      </c>
      <c r="H170" s="141">
        <v>45891</v>
      </c>
      <c r="I170" s="142" t="s">
        <v>15</v>
      </c>
      <c r="J170" s="142">
        <v>19007</v>
      </c>
      <c r="K170" s="143">
        <v>0.40763888888888888</v>
      </c>
      <c r="L170" s="143">
        <v>0.47013888888888888</v>
      </c>
      <c r="M170" s="142" t="s">
        <v>16</v>
      </c>
      <c r="N170" s="142" t="s">
        <v>42</v>
      </c>
      <c r="O170" s="142" t="s">
        <v>141</v>
      </c>
      <c r="P170" s="142" t="s">
        <v>55</v>
      </c>
      <c r="Q170" s="142" t="s">
        <v>23</v>
      </c>
      <c r="R170" s="76"/>
      <c r="S170" s="76"/>
      <c r="T170" s="76"/>
      <c r="U170" s="76"/>
      <c r="V170" s="76"/>
      <c r="W170" s="76"/>
      <c r="X170" s="76"/>
      <c r="Y170" s="76"/>
    </row>
    <row r="171" spans="1:25" s="6" customFormat="1" x14ac:dyDescent="0.25">
      <c r="A171" s="101"/>
      <c r="B171" s="101"/>
      <c r="C171" s="1" t="str">
        <f>_xlfn.CONCAT(tabE.Flux[[#This Row],[DATA]],"+",tabE.Flux[[#This Row],[MOTORISTA + MATRÍCULA A]])</f>
        <v>45891+EDIVALDO DOS SANTOS SOUZA - 905</v>
      </c>
      <c r="D171" s="1" t="str">
        <f>_xlfn.CONCAT(tabE.Flux[[#This Row],[DATA]],"+",tabE.Flux[[#This Row],[MOTORISTA + MATRÍCULA B]])</f>
        <v>45891+PAULO ENEAS FARIAS ARAUJO - 6218</v>
      </c>
      <c r="E171" s="1" t="str">
        <f>_xlfn.CONCAT(tabE.Flux[[#This Row],[DATA]],"+",tabE.Flux[[#This Row],[MOTORISTA + MATRÍCULA A]],"+",tabE.Flux[[#This Row],[LINHA]])</f>
        <v>45891+EDIVALDO DOS SANTOS SOUZA - 905+IMPERATRIZ (MA) X SÃO LUIS (MA)</v>
      </c>
      <c r="F171" s="1" t="str">
        <f>_xlfn.CONCAT(tabE.Flux[[#This Row],[DATA]],"+",tabE.Flux[[#This Row],[MOTORISTA + MATRÍCULA B]],"+",tabE.Flux[[#This Row],[LINHA]])</f>
        <v>45891+PAULO ENEAS FARIAS ARAUJO - 6218+IMPERATRIZ (MA) X SÃO LUIS (MA)</v>
      </c>
      <c r="G171" s="1" t="str">
        <f>_xlfn.CONCAT(tabE.Flux[[#This Row],[DATA]],"+",tabE.Flux[[#This Row],[LINHA]])</f>
        <v>45891+IMPERATRIZ (MA) X SÃO LUIS (MA)</v>
      </c>
      <c r="H171" s="141">
        <v>45891</v>
      </c>
      <c r="I171" s="142" t="s">
        <v>15</v>
      </c>
      <c r="J171" s="142">
        <v>18008</v>
      </c>
      <c r="K171" s="143">
        <v>0.77083333333333337</v>
      </c>
      <c r="L171" s="143">
        <v>0.8125</v>
      </c>
      <c r="M171" s="142" t="s">
        <v>16</v>
      </c>
      <c r="N171" s="142" t="s">
        <v>42</v>
      </c>
      <c r="O171" s="142" t="s">
        <v>187</v>
      </c>
      <c r="P171" s="142" t="s">
        <v>43</v>
      </c>
      <c r="Q171" s="142" t="s">
        <v>47</v>
      </c>
      <c r="R171" s="76"/>
      <c r="S171" s="76"/>
      <c r="T171" s="76"/>
      <c r="U171" s="76"/>
      <c r="V171" s="76"/>
      <c r="W171" s="76"/>
      <c r="X171" s="76"/>
      <c r="Y171" s="76"/>
    </row>
    <row r="172" spans="1:25" s="6" customFormat="1" x14ac:dyDescent="0.25">
      <c r="A172" s="101"/>
      <c r="B172" s="101"/>
      <c r="C172" s="1" t="str">
        <f>_xlfn.CONCAT(tabE.Flux[[#This Row],[DATA]],"+",tabE.Flux[[#This Row],[MOTORISTA + MATRÍCULA A]])</f>
        <v>45891+JEFFERSON CARDOSO DOS SANTOS - 5837</v>
      </c>
      <c r="D172" s="1" t="str">
        <f>_xlfn.CONCAT(tabE.Flux[[#This Row],[DATA]],"+",tabE.Flux[[#This Row],[MOTORISTA + MATRÍCULA B]])</f>
        <v>45891+CARLOS ADRIANO DE SOUZA DO NASCIMENTO - 6222</v>
      </c>
      <c r="E172" s="1" t="str">
        <f>_xlfn.CONCAT(tabE.Flux[[#This Row],[DATA]],"+",tabE.Flux[[#This Row],[MOTORISTA + MATRÍCULA A]],"+",tabE.Flux[[#This Row],[LINHA]])</f>
        <v>45891+JEFFERSON CARDOSO DOS SANTOS - 5837+GOIANIA (GO) X SAO LUIS (MA)</v>
      </c>
      <c r="F172" s="1" t="str">
        <f>_xlfn.CONCAT(tabE.Flux[[#This Row],[DATA]],"+",tabE.Flux[[#This Row],[MOTORISTA + MATRÍCULA B]],"+",tabE.Flux[[#This Row],[LINHA]])</f>
        <v>45891+CARLOS ADRIANO DE SOUZA DO NASCIMENTO - 6222+GOIANIA (GO) X SAO LUIS (MA)</v>
      </c>
      <c r="G172" s="1" t="str">
        <f>_xlfn.CONCAT(tabE.Flux[[#This Row],[DATA]],"+",tabE.Flux[[#This Row],[LINHA]])</f>
        <v>45891+GOIANIA (GO) X SAO LUIS (MA)</v>
      </c>
      <c r="H172" s="141">
        <v>45891</v>
      </c>
      <c r="I172" s="142" t="s">
        <v>15</v>
      </c>
      <c r="J172" s="142">
        <v>25011</v>
      </c>
      <c r="K172" s="143">
        <v>0.8125</v>
      </c>
      <c r="L172" s="143">
        <v>0.84375</v>
      </c>
      <c r="M172" s="142" t="s">
        <v>16</v>
      </c>
      <c r="N172" s="142" t="s">
        <v>42</v>
      </c>
      <c r="O172" s="142" t="s">
        <v>30</v>
      </c>
      <c r="P172" s="142" t="s">
        <v>110</v>
      </c>
      <c r="Q172" s="142" t="s">
        <v>23</v>
      </c>
      <c r="R172" s="76"/>
      <c r="S172" s="76"/>
      <c r="T172" s="76"/>
      <c r="U172" s="76"/>
      <c r="V172" s="76"/>
      <c r="W172" s="76"/>
      <c r="X172" s="76"/>
      <c r="Y172" s="76"/>
    </row>
    <row r="173" spans="1:25" s="6" customFormat="1" x14ac:dyDescent="0.25">
      <c r="A173" s="101"/>
      <c r="B173" s="101"/>
      <c r="C173" s="1" t="str">
        <f>_xlfn.CONCAT(tabE.Flux[[#This Row],[DATA]],"+",tabE.Flux[[#This Row],[MOTORISTA + MATRÍCULA A]])</f>
        <v>45891+ANTONIO JOSE PEREIRA SOARES - 1774</v>
      </c>
      <c r="D173" s="1" t="str">
        <f>_xlfn.CONCAT(tabE.Flux[[#This Row],[DATA]],"+",tabE.Flux[[#This Row],[MOTORISTA + MATRÍCULA B]])</f>
        <v>45891+FRANCISCO PESSOA DE CARVALHO - 5276</v>
      </c>
      <c r="E173" s="1" t="str">
        <f>_xlfn.CONCAT(tabE.Flux[[#This Row],[DATA]],"+",tabE.Flux[[#This Row],[MOTORISTA + MATRÍCULA A]],"+",tabE.Flux[[#This Row],[LINHA]])</f>
        <v>45891+ANTONIO JOSE PEREIRA SOARES - 1774+GOIANIA (GO) X TERESINA (PI) VIA STI</v>
      </c>
      <c r="F173" s="1" t="str">
        <f>_xlfn.CONCAT(tabE.Flux[[#This Row],[DATA]],"+",tabE.Flux[[#This Row],[MOTORISTA + MATRÍCULA B]],"+",tabE.Flux[[#This Row],[LINHA]])</f>
        <v>45891+FRANCISCO PESSOA DE CARVALHO - 5276+GOIANIA (GO) X TERESINA (PI) VIA STI</v>
      </c>
      <c r="G173" s="1" t="str">
        <f>_xlfn.CONCAT(tabE.Flux[[#This Row],[DATA]],"+",tabE.Flux[[#This Row],[LINHA]])</f>
        <v>45891+GOIANIA (GO) X TERESINA (PI) VIA STI</v>
      </c>
      <c r="H173" s="141">
        <v>45891</v>
      </c>
      <c r="I173" s="142" t="s">
        <v>15</v>
      </c>
      <c r="J173" s="142">
        <v>19021</v>
      </c>
      <c r="K173" s="143">
        <v>0.77083333333333337</v>
      </c>
      <c r="L173" s="143">
        <v>0.79861111111111116</v>
      </c>
      <c r="M173" s="142" t="s">
        <v>16</v>
      </c>
      <c r="N173" s="142" t="s">
        <v>29</v>
      </c>
      <c r="O173" s="142" t="s">
        <v>52</v>
      </c>
      <c r="P173" s="142" t="s">
        <v>188</v>
      </c>
      <c r="Q173" s="142" t="s">
        <v>26</v>
      </c>
      <c r="R173" s="76"/>
      <c r="S173" s="76"/>
      <c r="T173" s="76"/>
      <c r="U173" s="76"/>
      <c r="V173" s="76"/>
      <c r="W173" s="76"/>
      <c r="X173" s="76"/>
      <c r="Y173" s="76"/>
    </row>
    <row r="174" spans="1:25" s="6" customFormat="1" x14ac:dyDescent="0.25">
      <c r="A174" s="101"/>
      <c r="B174" s="101"/>
      <c r="C174" s="1" t="str">
        <f>_xlfn.CONCAT(tabE.Flux[[#This Row],[DATA]],"+",tabE.Flux[[#This Row],[MOTORISTA + MATRÍCULA A]])</f>
        <v>45891+AELSON PEREIRA DO NASCIMENTO - 5682</v>
      </c>
      <c r="D174" s="1" t="str">
        <f>_xlfn.CONCAT(tabE.Flux[[#This Row],[DATA]],"+",tabE.Flux[[#This Row],[MOTORISTA + MATRÍCULA B]])</f>
        <v>45891+JOSE CARLOS BEZERRA DA SILVA - 3034</v>
      </c>
      <c r="E174" s="1" t="str">
        <f>_xlfn.CONCAT(tabE.Flux[[#This Row],[DATA]],"+",tabE.Flux[[#This Row],[MOTORISTA + MATRÍCULA A]],"+",tabE.Flux[[#This Row],[LINHA]])</f>
        <v>45891+AELSON PEREIRA DO NASCIMENTO - 5682+GOIANIA (GO) X SAO LUIS (MA)</v>
      </c>
      <c r="F174" s="1" t="str">
        <f>_xlfn.CONCAT(tabE.Flux[[#This Row],[DATA]],"+",tabE.Flux[[#This Row],[MOTORISTA + MATRÍCULA B]],"+",tabE.Flux[[#This Row],[LINHA]])</f>
        <v>45891+JOSE CARLOS BEZERRA DA SILVA - 3034+GOIANIA (GO) X SAO LUIS (MA)</v>
      </c>
      <c r="G174" s="1" t="str">
        <f>_xlfn.CONCAT(tabE.Flux[[#This Row],[DATA]],"+",tabE.Flux[[#This Row],[LINHA]])</f>
        <v>45891+GOIANIA (GO) X SAO LUIS (MA)</v>
      </c>
      <c r="H174" s="141">
        <v>45891</v>
      </c>
      <c r="I174" s="142" t="s">
        <v>15</v>
      </c>
      <c r="J174" s="142">
        <v>19002</v>
      </c>
      <c r="K174" s="143">
        <v>0.8125</v>
      </c>
      <c r="L174" s="143">
        <v>0.84166666666666667</v>
      </c>
      <c r="M174" s="142" t="s">
        <v>16</v>
      </c>
      <c r="N174" s="142" t="s">
        <v>17</v>
      </c>
      <c r="O174" s="142" t="s">
        <v>88</v>
      </c>
      <c r="P174" s="142" t="s">
        <v>76</v>
      </c>
      <c r="Q174" s="142" t="s">
        <v>23</v>
      </c>
      <c r="R174" s="76"/>
      <c r="S174" s="76"/>
      <c r="T174" s="76"/>
      <c r="U174" s="76"/>
      <c r="V174" s="76"/>
      <c r="W174" s="76"/>
      <c r="X174" s="76"/>
      <c r="Y174" s="76"/>
    </row>
    <row r="175" spans="1:25" s="6" customFormat="1" x14ac:dyDescent="0.25">
      <c r="A175" s="101"/>
      <c r="B175" s="101"/>
      <c r="C175" s="1" t="str">
        <f>_xlfn.CONCAT(tabE.Flux[[#This Row],[DATA]],"+",tabE.Flux[[#This Row],[MOTORISTA + MATRÍCULA A]])</f>
        <v>45891+RONALDO ADRIANO COSTA SANTOS - 5637</v>
      </c>
      <c r="D175" s="1" t="str">
        <f>_xlfn.CONCAT(tabE.Flux[[#This Row],[DATA]],"+",tabE.Flux[[#This Row],[MOTORISTA + MATRÍCULA B]])</f>
        <v>45891+JAME DOS SANTOS MOURA - 5332</v>
      </c>
      <c r="E175" s="1" t="str">
        <f>_xlfn.CONCAT(tabE.Flux[[#This Row],[DATA]],"+",tabE.Flux[[#This Row],[MOTORISTA + MATRÍCULA A]],"+",tabE.Flux[[#This Row],[LINHA]])</f>
        <v>45891+RONALDO ADRIANO COSTA SANTOS - 5637+FORTALEZA (CE) X SINOP (MT)</v>
      </c>
      <c r="F175" s="1" t="str">
        <f>_xlfn.CONCAT(tabE.Flux[[#This Row],[DATA]],"+",tabE.Flux[[#This Row],[MOTORISTA + MATRÍCULA B]],"+",tabE.Flux[[#This Row],[LINHA]])</f>
        <v>45891+JAME DOS SANTOS MOURA - 5332+FORTALEZA (CE) X SINOP (MT)</v>
      </c>
      <c r="G175" s="1" t="str">
        <f>_xlfn.CONCAT(tabE.Flux[[#This Row],[DATA]],"+",tabE.Flux[[#This Row],[LINHA]])</f>
        <v>45891+FORTALEZA (CE) X SINOP (MT)</v>
      </c>
      <c r="H175" s="141">
        <v>45891</v>
      </c>
      <c r="I175" s="142" t="s">
        <v>15</v>
      </c>
      <c r="J175" s="142">
        <v>20016</v>
      </c>
      <c r="K175" s="143">
        <v>0.8125</v>
      </c>
      <c r="L175" s="143">
        <v>0.85416666666666663</v>
      </c>
      <c r="M175" s="142" t="s">
        <v>16</v>
      </c>
      <c r="N175" s="142" t="s">
        <v>17</v>
      </c>
      <c r="O175" s="142" t="s">
        <v>41</v>
      </c>
      <c r="P175" s="142" t="s">
        <v>103</v>
      </c>
      <c r="Q175" s="142" t="s">
        <v>32</v>
      </c>
      <c r="R175" s="76"/>
      <c r="S175" s="76"/>
      <c r="T175" s="76"/>
      <c r="U175" s="76"/>
      <c r="V175" s="76"/>
      <c r="W175" s="76"/>
      <c r="X175" s="76"/>
      <c r="Y175" s="76"/>
    </row>
    <row r="176" spans="1:25" s="6" customFormat="1" x14ac:dyDescent="0.25">
      <c r="A176" s="101"/>
      <c r="B176" s="101"/>
      <c r="C176" s="1" t="str">
        <f>_xlfn.CONCAT(tabE.Flux[[#This Row],[DATA]],"+",tabE.Flux[[#This Row],[MOTORISTA + MATRÍCULA A]])</f>
        <v>45891+ELIAS ALVES DE FRANCA - 6046</v>
      </c>
      <c r="D176" s="1" t="str">
        <f>_xlfn.CONCAT(tabE.Flux[[#This Row],[DATA]],"+",tabE.Flux[[#This Row],[MOTORISTA + MATRÍCULA B]])</f>
        <v>45891+RAFAEL DA SILVA LIMA - 6215</v>
      </c>
      <c r="E176" s="1" t="str">
        <f>_xlfn.CONCAT(tabE.Flux[[#This Row],[DATA]],"+",tabE.Flux[[#This Row],[MOTORISTA + MATRÍCULA A]],"+",tabE.Flux[[#This Row],[LINHA]])</f>
        <v>45891+ELIAS ALVES DE FRANCA - 6046+GOIANIA (GO) X BELEM (PA)</v>
      </c>
      <c r="F176" s="1" t="str">
        <f>_xlfn.CONCAT(tabE.Flux[[#This Row],[DATA]],"+",tabE.Flux[[#This Row],[MOTORISTA + MATRÍCULA B]],"+",tabE.Flux[[#This Row],[LINHA]])</f>
        <v>45891+RAFAEL DA SILVA LIMA - 6215+GOIANIA (GO) X BELEM (PA)</v>
      </c>
      <c r="G176" s="1" t="str">
        <f>_xlfn.CONCAT(tabE.Flux[[#This Row],[DATA]],"+",tabE.Flux[[#This Row],[LINHA]])</f>
        <v>45891+GOIANIA (GO) X BELEM (PA)</v>
      </c>
      <c r="H176" s="141">
        <v>45891</v>
      </c>
      <c r="I176" s="142" t="s">
        <v>15</v>
      </c>
      <c r="J176" s="142">
        <v>20022</v>
      </c>
      <c r="K176" s="143">
        <v>0.84722222222222221</v>
      </c>
      <c r="L176" s="143">
        <v>0.87847222222222221</v>
      </c>
      <c r="M176" s="142" t="s">
        <v>16</v>
      </c>
      <c r="N176" s="142" t="s">
        <v>17</v>
      </c>
      <c r="O176" s="142" t="s">
        <v>189</v>
      </c>
      <c r="P176" s="142" t="s">
        <v>190</v>
      </c>
      <c r="Q176" s="142" t="s">
        <v>20</v>
      </c>
      <c r="R176" s="76"/>
      <c r="S176" s="76"/>
      <c r="T176" s="76"/>
      <c r="U176" s="76"/>
      <c r="V176" s="76"/>
      <c r="W176" s="76"/>
      <c r="X176" s="76"/>
      <c r="Y176" s="76"/>
    </row>
    <row r="177" spans="1:25" s="6" customFormat="1" x14ac:dyDescent="0.25">
      <c r="A177" s="101"/>
      <c r="B177" s="101"/>
      <c r="C177" s="1" t="str">
        <f>_xlfn.CONCAT(tabE.Flux[[#This Row],[DATA]],"+",tabE.Flux[[#This Row],[MOTORISTA + MATRÍCULA A]])</f>
        <v>+</v>
      </c>
      <c r="D177" s="1" t="str">
        <f>_xlfn.CONCAT(tabE.Flux[[#This Row],[DATA]],"+",tabE.Flux[[#This Row],[MOTORISTA + MATRÍCULA B]])</f>
        <v>+</v>
      </c>
      <c r="E177" s="1" t="str">
        <f>_xlfn.CONCAT(tabE.Flux[[#This Row],[DATA]],"+",tabE.Flux[[#This Row],[MOTORISTA + MATRÍCULA A]],"+",tabE.Flux[[#This Row],[LINHA]])</f>
        <v>++</v>
      </c>
      <c r="F177" s="1" t="str">
        <f>_xlfn.CONCAT(tabE.Flux[[#This Row],[DATA]],"+",tabE.Flux[[#This Row],[MOTORISTA + MATRÍCULA B]],"+",tabE.Flux[[#This Row],[LINHA]])</f>
        <v>++</v>
      </c>
      <c r="G177" s="1" t="str">
        <f>_xlfn.CONCAT(tabE.Flux[[#This Row],[DATA]],"+",tabE.Flux[[#This Row],[LINHA]])</f>
        <v>+</v>
      </c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76"/>
      <c r="S177" s="76"/>
      <c r="T177" s="76"/>
      <c r="U177" s="76"/>
      <c r="V177" s="76"/>
      <c r="W177" s="76"/>
      <c r="X177" s="76"/>
      <c r="Y177" s="76"/>
    </row>
    <row r="178" spans="1:25" s="6" customFormat="1" ht="15" customHeight="1" x14ac:dyDescent="0.25">
      <c r="A178" s="101"/>
      <c r="B178" s="101"/>
      <c r="C178" s="1" t="str">
        <f>_xlfn.CONCAT(tabE.Flux[[#This Row],[DATA]],"+",tabE.Flux[[#This Row],[MOTORISTA + MATRÍCULA A]])</f>
        <v>45892+  EURIPEDES BARSANULFO DIAS ROSA- 1951</v>
      </c>
      <c r="D178" s="1" t="str">
        <f>_xlfn.CONCAT(tabE.Flux[[#This Row],[DATA]],"+",tabE.Flux[[#This Row],[MOTORISTA + MATRÍCULA B]])</f>
        <v>45892+  NEIRIVAL MOREIRA PINTO- 5432</v>
      </c>
      <c r="E178" s="1" t="str">
        <f>_xlfn.CONCAT(tabE.Flux[[#This Row],[DATA]],"+",tabE.Flux[[#This Row],[MOTORISTA + MATRÍCULA A]],"+",tabE.Flux[[#This Row],[LINHA]])</f>
        <v>45892+  EURIPEDES BARSANULFO DIAS ROSA- 1951+GOIANIA (GO) X BELEM (PA)</v>
      </c>
      <c r="F178" s="1" t="str">
        <f>_xlfn.CONCAT(tabE.Flux[[#This Row],[DATA]],"+",tabE.Flux[[#This Row],[MOTORISTA + MATRÍCULA B]],"+",tabE.Flux[[#This Row],[LINHA]])</f>
        <v>45892+  NEIRIVAL MOREIRA PINTO- 5432+GOIANIA (GO) X BELEM (PA)</v>
      </c>
      <c r="G178" s="1" t="str">
        <f>_xlfn.CONCAT(tabE.Flux[[#This Row],[DATA]],"+",tabE.Flux[[#This Row],[LINHA]])</f>
        <v>45892+GOIANIA (GO) X BELEM (PA)</v>
      </c>
      <c r="H178" s="141">
        <v>45892</v>
      </c>
      <c r="I178" s="142" t="s">
        <v>15</v>
      </c>
      <c r="J178" s="142">
        <v>24014</v>
      </c>
      <c r="K178" s="143">
        <v>0.25486111111111109</v>
      </c>
      <c r="L178" s="143">
        <v>0.3</v>
      </c>
      <c r="M178" s="142" t="s">
        <v>16</v>
      </c>
      <c r="N178" s="142" t="s">
        <v>17</v>
      </c>
      <c r="O178" s="142" t="s">
        <v>191</v>
      </c>
      <c r="P178" s="142" t="s">
        <v>192</v>
      </c>
      <c r="Q178" s="142" t="s">
        <v>20</v>
      </c>
      <c r="R178" s="76"/>
      <c r="S178" s="76"/>
      <c r="T178" s="76"/>
      <c r="U178" s="76"/>
      <c r="V178" s="76"/>
      <c r="W178" s="76"/>
      <c r="X178" s="76"/>
      <c r="Y178" s="76"/>
    </row>
    <row r="179" spans="1:25" s="6" customFormat="1" x14ac:dyDescent="0.25">
      <c r="A179" s="101"/>
      <c r="B179" s="101"/>
      <c r="C179" s="1" t="str">
        <f>_xlfn.CONCAT(tabE.Flux[[#This Row],[DATA]],"+",tabE.Flux[[#This Row],[MOTORISTA + MATRÍCULA A]])</f>
        <v>45892+GILMAR RODRIGUES DE LIMA - 5819</v>
      </c>
      <c r="D179" s="1" t="str">
        <f>_xlfn.CONCAT(tabE.Flux[[#This Row],[DATA]],"+",tabE.Flux[[#This Row],[MOTORISTA + MATRÍCULA B]])</f>
        <v>45892+CELSO VIEIRA DA SILVA - 5244</v>
      </c>
      <c r="E179" s="1" t="str">
        <f>_xlfn.CONCAT(tabE.Flux[[#This Row],[DATA]],"+",tabE.Flux[[#This Row],[MOTORISTA + MATRÍCULA A]],"+",tabE.Flux[[#This Row],[LINHA]])</f>
        <v>45892+GILMAR RODRIGUES DE LIMA - 5819+GOIANIA (GO) X SAO LUIS (MA)</v>
      </c>
      <c r="F179" s="1" t="str">
        <f>_xlfn.CONCAT(tabE.Flux[[#This Row],[DATA]],"+",tabE.Flux[[#This Row],[MOTORISTA + MATRÍCULA B]],"+",tabE.Flux[[#This Row],[LINHA]])</f>
        <v>45892+CELSO VIEIRA DA SILVA - 5244+GOIANIA (GO) X SAO LUIS (MA)</v>
      </c>
      <c r="G179" s="1" t="str">
        <f>_xlfn.CONCAT(tabE.Flux[[#This Row],[DATA]],"+",tabE.Flux[[#This Row],[LINHA]])</f>
        <v>45892+GOIANIA (GO) X SAO LUIS (MA)</v>
      </c>
      <c r="H179" s="141">
        <v>45892</v>
      </c>
      <c r="I179" s="142" t="s">
        <v>15</v>
      </c>
      <c r="J179" s="142">
        <v>24004</v>
      </c>
      <c r="K179" s="143">
        <v>0.32291666666666669</v>
      </c>
      <c r="L179" s="143">
        <v>0.33333333333333331</v>
      </c>
      <c r="M179" s="142" t="s">
        <v>16</v>
      </c>
      <c r="N179" s="142" t="s">
        <v>17</v>
      </c>
      <c r="O179" s="142" t="s">
        <v>193</v>
      </c>
      <c r="P179" s="142" t="s">
        <v>194</v>
      </c>
      <c r="Q179" s="142" t="s">
        <v>23</v>
      </c>
      <c r="R179" s="76"/>
      <c r="S179" s="76"/>
      <c r="T179" s="76"/>
      <c r="U179" s="76"/>
      <c r="V179" s="76"/>
      <c r="W179" s="76"/>
      <c r="X179" s="76"/>
      <c r="Y179" s="76"/>
    </row>
    <row r="180" spans="1:25" s="6" customFormat="1" x14ac:dyDescent="0.25">
      <c r="A180" s="101"/>
      <c r="B180" s="101"/>
      <c r="C180" s="1" t="str">
        <f>_xlfn.CONCAT(tabE.Flux[[#This Row],[DATA]],"+",tabE.Flux[[#This Row],[MOTORISTA + MATRÍCULA A]])</f>
        <v>45892+EDINANDES LUIZ DA SILVA - 2651</v>
      </c>
      <c r="D180" s="1" t="str">
        <f>_xlfn.CONCAT(tabE.Flux[[#This Row],[DATA]],"+",tabE.Flux[[#This Row],[MOTORISTA + MATRÍCULA B]])</f>
        <v>45892+JEZANIAS GOIS DOS SANTOS - 5573</v>
      </c>
      <c r="E180" s="1" t="str">
        <f>_xlfn.CONCAT(tabE.Flux[[#This Row],[DATA]],"+",tabE.Flux[[#This Row],[MOTORISTA + MATRÍCULA A]],"+",tabE.Flux[[#This Row],[LINHA]])</f>
        <v>45892+EDINANDES LUIZ DA SILVA - 2651+GOIANIA (GO) X TERESINA (PI) VIA STI</v>
      </c>
      <c r="F180" s="1" t="str">
        <f>_xlfn.CONCAT(tabE.Flux[[#This Row],[DATA]],"+",tabE.Flux[[#This Row],[MOTORISTA + MATRÍCULA B]],"+",tabE.Flux[[#This Row],[LINHA]])</f>
        <v>45892+JEZANIAS GOIS DOS SANTOS - 5573+GOIANIA (GO) X TERESINA (PI) VIA STI</v>
      </c>
      <c r="G180" s="1" t="str">
        <f>_xlfn.CONCAT(tabE.Flux[[#This Row],[DATA]],"+",tabE.Flux[[#This Row],[LINHA]])</f>
        <v>45892+GOIANIA (GO) X TERESINA (PI) VIA STI</v>
      </c>
      <c r="H180" s="141">
        <v>45892</v>
      </c>
      <c r="I180" s="142" t="s">
        <v>15</v>
      </c>
      <c r="J180" s="142">
        <v>15800</v>
      </c>
      <c r="K180" s="143">
        <v>0.3888888888888889</v>
      </c>
      <c r="L180" s="143">
        <v>0.39583333333333331</v>
      </c>
      <c r="M180" s="142" t="s">
        <v>16</v>
      </c>
      <c r="N180" s="142" t="s">
        <v>17</v>
      </c>
      <c r="O180" s="142" t="s">
        <v>195</v>
      </c>
      <c r="P180" s="142" t="s">
        <v>196</v>
      </c>
      <c r="Q180" s="142" t="s">
        <v>26</v>
      </c>
      <c r="R180" s="76"/>
      <c r="S180" s="76"/>
      <c r="T180" s="76"/>
      <c r="U180" s="76"/>
      <c r="V180" s="76"/>
      <c r="W180" s="76"/>
      <c r="X180" s="76"/>
      <c r="Y180" s="76"/>
    </row>
    <row r="181" spans="1:25" s="6" customFormat="1" x14ac:dyDescent="0.25">
      <c r="A181" s="101"/>
      <c r="B181" s="101"/>
      <c r="C181" s="1" t="str">
        <f>_xlfn.CONCAT(tabE.Flux[[#This Row],[DATA]],"+",tabE.Flux[[#This Row],[MOTORISTA + MATRÍCULA A]])</f>
        <v>45892+CANCELADO</v>
      </c>
      <c r="D181" s="1" t="str">
        <f>_xlfn.CONCAT(tabE.Flux[[#This Row],[DATA]],"+",tabE.Flux[[#This Row],[MOTORISTA + MATRÍCULA B]])</f>
        <v>45892+CANCELADO</v>
      </c>
      <c r="E181" s="1" t="str">
        <f>_xlfn.CONCAT(tabE.Flux[[#This Row],[DATA]],"+",tabE.Flux[[#This Row],[MOTORISTA + MATRÍCULA A]],"+",tabE.Flux[[#This Row],[LINHA]])</f>
        <v>45892+CANCELADO+</v>
      </c>
      <c r="F181" s="1" t="str">
        <f>_xlfn.CONCAT(tabE.Flux[[#This Row],[DATA]],"+",tabE.Flux[[#This Row],[MOTORISTA + MATRÍCULA B]],"+",tabE.Flux[[#This Row],[LINHA]])</f>
        <v>45892+CANCELADO+</v>
      </c>
      <c r="G181" s="1" t="str">
        <f>_xlfn.CONCAT(tabE.Flux[[#This Row],[DATA]],"+",tabE.Flux[[#This Row],[LINHA]])</f>
        <v>45892+</v>
      </c>
      <c r="H181" s="141">
        <v>45892</v>
      </c>
      <c r="I181" s="142" t="s">
        <v>15</v>
      </c>
      <c r="J181" s="144" t="s">
        <v>27</v>
      </c>
      <c r="K181" s="143">
        <v>0.375</v>
      </c>
      <c r="L181" s="143">
        <v>0.41666666666666669</v>
      </c>
      <c r="M181" s="142" t="s">
        <v>16</v>
      </c>
      <c r="N181" s="142" t="s">
        <v>28</v>
      </c>
      <c r="O181" s="144" t="s">
        <v>27</v>
      </c>
      <c r="P181" s="144" t="s">
        <v>27</v>
      </c>
      <c r="Q181" s="142"/>
      <c r="R181" s="76"/>
      <c r="S181" s="76"/>
      <c r="T181" s="76"/>
      <c r="U181" s="76"/>
      <c r="V181" s="76"/>
      <c r="W181" s="76"/>
      <c r="X181" s="76"/>
      <c r="Y181" s="76"/>
    </row>
    <row r="182" spans="1:25" s="6" customFormat="1" x14ac:dyDescent="0.25">
      <c r="A182" s="101"/>
      <c r="B182" s="101"/>
      <c r="C182" s="1" t="str">
        <f>_xlfn.CONCAT(tabE.Flux[[#This Row],[DATA]],"+",tabE.Flux[[#This Row],[MOTORISTA + MATRÍCULA A]])</f>
        <v>45892+VALDEY OLIVEIRA ARAUJO - 2790</v>
      </c>
      <c r="D182" s="1" t="str">
        <f>_xlfn.CONCAT(tabE.Flux[[#This Row],[DATA]],"+",tabE.Flux[[#This Row],[MOTORISTA + MATRÍCULA B]])</f>
        <v>45892+DAVID ALVES PEREIRA - 5300</v>
      </c>
      <c r="E182" s="1" t="str">
        <f>_xlfn.CONCAT(tabE.Flux[[#This Row],[DATA]],"+",tabE.Flux[[#This Row],[MOTORISTA + MATRÍCULA A]],"+",tabE.Flux[[#This Row],[LINHA]])</f>
        <v>45892+VALDEY OLIVEIRA ARAUJO - 2790+FORTALEZA (CE) X SINOP (MT)</v>
      </c>
      <c r="F182" s="1" t="str">
        <f>_xlfn.CONCAT(tabE.Flux[[#This Row],[DATA]],"+",tabE.Flux[[#This Row],[MOTORISTA + MATRÍCULA B]],"+",tabE.Flux[[#This Row],[LINHA]])</f>
        <v>45892+DAVID ALVES PEREIRA - 5300+FORTALEZA (CE) X SINOP (MT)</v>
      </c>
      <c r="G182" s="1" t="str">
        <f>_xlfn.CONCAT(tabE.Flux[[#This Row],[DATA]],"+",tabE.Flux[[#This Row],[LINHA]])</f>
        <v>45892+FORTALEZA (CE) X SINOP (MT)</v>
      </c>
      <c r="H182" s="141">
        <v>45892</v>
      </c>
      <c r="I182" s="142" t="s">
        <v>15</v>
      </c>
      <c r="J182" s="142">
        <v>19003</v>
      </c>
      <c r="K182" s="143">
        <v>0.3888888888888889</v>
      </c>
      <c r="L182" s="143">
        <v>0.37708333333333333</v>
      </c>
      <c r="M182" s="142" t="s">
        <v>16</v>
      </c>
      <c r="N182" s="142" t="s">
        <v>29</v>
      </c>
      <c r="O182" s="142" t="s">
        <v>34</v>
      </c>
      <c r="P182" s="142" t="s">
        <v>197</v>
      </c>
      <c r="Q182" s="142" t="s">
        <v>32</v>
      </c>
      <c r="R182" s="76"/>
      <c r="S182" s="76"/>
      <c r="T182" s="76"/>
      <c r="U182" s="76"/>
      <c r="V182" s="76"/>
      <c r="W182" s="76"/>
      <c r="X182" s="76"/>
      <c r="Y182" s="76"/>
    </row>
    <row r="183" spans="1:25" s="6" customFormat="1" x14ac:dyDescent="0.25">
      <c r="A183" s="101"/>
      <c r="B183" s="101"/>
      <c r="C183" s="1" t="str">
        <f>_xlfn.CONCAT(tabE.Flux[[#This Row],[DATA]],"+",tabE.Flux[[#This Row],[MOTORISTA + MATRÍCULA A]])</f>
        <v>45892+ANTONIO RAMIRO WEBER - 5452</v>
      </c>
      <c r="D183" s="1" t="str">
        <f>_xlfn.CONCAT(tabE.Flux[[#This Row],[DATA]],"+",tabE.Flux[[#This Row],[MOTORISTA + MATRÍCULA B]])</f>
        <v>45892+FRANCISCO LINDONALDO DE SOUSA - 2971</v>
      </c>
      <c r="E183" s="1" t="str">
        <f>_xlfn.CONCAT(tabE.Flux[[#This Row],[DATA]],"+",tabE.Flux[[#This Row],[MOTORISTA + MATRÍCULA A]],"+",tabE.Flux[[#This Row],[LINHA]])</f>
        <v>45892+ANTONIO RAMIRO WEBER - 5452+GOIANIA (GO) X BELEM (PA)</v>
      </c>
      <c r="F183" s="1" t="str">
        <f>_xlfn.CONCAT(tabE.Flux[[#This Row],[DATA]],"+",tabE.Flux[[#This Row],[MOTORISTA + MATRÍCULA B]],"+",tabE.Flux[[#This Row],[LINHA]])</f>
        <v>45892+FRANCISCO LINDONALDO DE SOUSA - 2971+GOIANIA (GO) X BELEM (PA)</v>
      </c>
      <c r="G183" s="1" t="str">
        <f>_xlfn.CONCAT(tabE.Flux[[#This Row],[DATA]],"+",tabE.Flux[[#This Row],[LINHA]])</f>
        <v>45892+GOIANIA (GO) X BELEM (PA)</v>
      </c>
      <c r="H183" s="141">
        <v>45892</v>
      </c>
      <c r="I183" s="142" t="s">
        <v>15</v>
      </c>
      <c r="J183" s="142">
        <v>19020</v>
      </c>
      <c r="K183" s="143">
        <v>0.38958333333333334</v>
      </c>
      <c r="L183" s="143">
        <v>0.38541666666666669</v>
      </c>
      <c r="M183" s="142" t="s">
        <v>16</v>
      </c>
      <c r="N183" s="142" t="s">
        <v>33</v>
      </c>
      <c r="O183" s="142" t="s">
        <v>79</v>
      </c>
      <c r="P183" s="142" t="s">
        <v>131</v>
      </c>
      <c r="Q183" s="142" t="s">
        <v>20</v>
      </c>
      <c r="R183" s="76"/>
      <c r="S183" s="76"/>
      <c r="T183" s="76"/>
      <c r="U183" s="76"/>
      <c r="V183" s="76"/>
      <c r="W183" s="76"/>
      <c r="X183" s="76"/>
      <c r="Y183" s="76"/>
    </row>
    <row r="184" spans="1:25" s="6" customFormat="1" x14ac:dyDescent="0.25">
      <c r="A184" s="101"/>
      <c r="B184" s="101"/>
      <c r="C184" s="1" t="str">
        <f>_xlfn.CONCAT(tabE.Flux[[#This Row],[DATA]],"+",tabE.Flux[[#This Row],[MOTORISTA + MATRÍCULA A]])</f>
        <v>45892+JWEBISON DE BRITO SOUZA - 2999</v>
      </c>
      <c r="D184" s="1" t="str">
        <f>_xlfn.CONCAT(tabE.Flux[[#This Row],[DATA]],"+",tabE.Flux[[#This Row],[MOTORISTA + MATRÍCULA B]])</f>
        <v>45892+FRANCISCO DAS CHAGAS DOS SANTOS ANGELO - 5299</v>
      </c>
      <c r="E184" s="1" t="str">
        <f>_xlfn.CONCAT(tabE.Flux[[#This Row],[DATA]],"+",tabE.Flux[[#This Row],[MOTORISTA + MATRÍCULA A]],"+",tabE.Flux[[#This Row],[LINHA]])</f>
        <v>45892+JWEBISON DE BRITO SOUZA - 2999+GOIANIA (GO) X TERESINA (PI) VIA BC</v>
      </c>
      <c r="F184" s="1" t="str">
        <f>_xlfn.CONCAT(tabE.Flux[[#This Row],[DATA]],"+",tabE.Flux[[#This Row],[MOTORISTA + MATRÍCULA B]],"+",tabE.Flux[[#This Row],[LINHA]])</f>
        <v>45892+FRANCISCO DAS CHAGAS DOS SANTOS ANGELO - 5299+GOIANIA (GO) X TERESINA (PI) VIA BC</v>
      </c>
      <c r="G184" s="1" t="str">
        <f>_xlfn.CONCAT(tabE.Flux[[#This Row],[DATA]],"+",tabE.Flux[[#This Row],[LINHA]])</f>
        <v>45892+GOIANIA (GO) X TERESINA (PI) VIA BC</v>
      </c>
      <c r="H184" s="141">
        <v>45892</v>
      </c>
      <c r="I184" s="142" t="s">
        <v>15</v>
      </c>
      <c r="J184" s="142">
        <v>25010</v>
      </c>
      <c r="K184" s="143">
        <v>0.375</v>
      </c>
      <c r="L184" s="143">
        <v>0.39930555555555558</v>
      </c>
      <c r="M184" s="142" t="s">
        <v>36</v>
      </c>
      <c r="N184" s="142" t="s">
        <v>29</v>
      </c>
      <c r="O184" s="142" t="s">
        <v>77</v>
      </c>
      <c r="P184" s="142" t="s">
        <v>198</v>
      </c>
      <c r="Q184" s="142" t="s">
        <v>39</v>
      </c>
      <c r="R184" s="76"/>
      <c r="S184" s="76"/>
      <c r="T184" s="76"/>
      <c r="U184" s="76"/>
      <c r="V184" s="76"/>
      <c r="W184" s="76"/>
      <c r="X184" s="76"/>
      <c r="Y184" s="76"/>
    </row>
    <row r="185" spans="1:25" s="6" customFormat="1" x14ac:dyDescent="0.25">
      <c r="A185" s="101"/>
      <c r="B185" s="101"/>
      <c r="C185" s="1" t="str">
        <f>_xlfn.CONCAT(tabE.Flux[[#This Row],[DATA]],"+",tabE.Flux[[#This Row],[MOTORISTA + MATRÍCULA A]])</f>
        <v>45892+JOSE ALVES DE FREITAS NETO - 5027</v>
      </c>
      <c r="D185" s="1" t="str">
        <f>_xlfn.CONCAT(tabE.Flux[[#This Row],[DATA]],"+",tabE.Flux[[#This Row],[MOTORISTA + MATRÍCULA B]])</f>
        <v>45892+BERNARDO SOUZA LIMA - 1720</v>
      </c>
      <c r="E185" s="1" t="str">
        <f>_xlfn.CONCAT(tabE.Flux[[#This Row],[DATA]],"+",tabE.Flux[[#This Row],[MOTORISTA + MATRÍCULA A]],"+",tabE.Flux[[#This Row],[LINHA]])</f>
        <v>45892+JOSE ALVES DE FREITAS NETO - 5027+GOIANIA (GO) X BELEM (PA)</v>
      </c>
      <c r="F185" s="1" t="str">
        <f>_xlfn.CONCAT(tabE.Flux[[#This Row],[DATA]],"+",tabE.Flux[[#This Row],[MOTORISTA + MATRÍCULA B]],"+",tabE.Flux[[#This Row],[LINHA]])</f>
        <v>45892+BERNARDO SOUZA LIMA - 1720+GOIANIA (GO) X BELEM (PA)</v>
      </c>
      <c r="G185" s="1" t="str">
        <f>_xlfn.CONCAT(tabE.Flux[[#This Row],[DATA]],"+",tabE.Flux[[#This Row],[LINHA]])</f>
        <v>45892+GOIANIA (GO) X BELEM (PA)</v>
      </c>
      <c r="H185" s="141">
        <v>45892</v>
      </c>
      <c r="I185" s="142" t="s">
        <v>15</v>
      </c>
      <c r="J185" s="142">
        <v>19011</v>
      </c>
      <c r="K185" s="143">
        <v>0.375</v>
      </c>
      <c r="L185" s="143">
        <v>0.41666666666666669</v>
      </c>
      <c r="M185" s="142" t="s">
        <v>33</v>
      </c>
      <c r="N185" s="142" t="s">
        <v>16</v>
      </c>
      <c r="O185" s="142" t="s">
        <v>90</v>
      </c>
      <c r="P185" s="142" t="s">
        <v>123</v>
      </c>
      <c r="Q185" s="142" t="s">
        <v>20</v>
      </c>
      <c r="R185" s="76"/>
      <c r="S185" s="76"/>
      <c r="T185" s="76"/>
      <c r="U185" s="76"/>
      <c r="V185" s="76"/>
      <c r="W185" s="76"/>
      <c r="X185" s="76"/>
      <c r="Y185" s="76"/>
    </row>
    <row r="186" spans="1:25" s="6" customFormat="1" x14ac:dyDescent="0.25">
      <c r="A186" s="101"/>
      <c r="B186" s="101"/>
      <c r="C186" s="1" t="str">
        <f>_xlfn.CONCAT(tabE.Flux[[#This Row],[DATA]],"+",tabE.Flux[[#This Row],[MOTORISTA + MATRÍCULA A]])</f>
        <v>45892+KAYLSON KLEYTON DA SILVA COSTA - 6224</v>
      </c>
      <c r="D186" s="1" t="str">
        <f>_xlfn.CONCAT(tabE.Flux[[#This Row],[DATA]],"+",tabE.Flux[[#This Row],[MOTORISTA + MATRÍCULA B]])</f>
        <v>45892+JOSE HAILTON PEREIRA DOS SANTOS - 6018</v>
      </c>
      <c r="E186" s="1" t="str">
        <f>_xlfn.CONCAT(tabE.Flux[[#This Row],[DATA]],"+",tabE.Flux[[#This Row],[MOTORISTA + MATRÍCULA A]],"+",tabE.Flux[[#This Row],[LINHA]])</f>
        <v>45892+KAYLSON KLEYTON DA SILVA COSTA - 6224+GOIANIA (GO) X SAO LUIS (MA)</v>
      </c>
      <c r="F186" s="1" t="str">
        <f>_xlfn.CONCAT(tabE.Flux[[#This Row],[DATA]],"+",tabE.Flux[[#This Row],[MOTORISTA + MATRÍCULA B]],"+",tabE.Flux[[#This Row],[LINHA]])</f>
        <v>45892+JOSE HAILTON PEREIRA DOS SANTOS - 6018+GOIANIA (GO) X SAO LUIS (MA)</v>
      </c>
      <c r="G186" s="1" t="str">
        <f>_xlfn.CONCAT(tabE.Flux[[#This Row],[DATA]],"+",tabE.Flux[[#This Row],[LINHA]])</f>
        <v>45892+GOIANIA (GO) X SAO LUIS (MA)</v>
      </c>
      <c r="H186" s="141">
        <v>45892</v>
      </c>
      <c r="I186" s="142" t="s">
        <v>15</v>
      </c>
      <c r="J186" s="142">
        <v>19018</v>
      </c>
      <c r="K186" s="143">
        <v>0.25</v>
      </c>
      <c r="L186" s="143">
        <v>0.29166666666666669</v>
      </c>
      <c r="M186" s="142" t="s">
        <v>42</v>
      </c>
      <c r="N186" s="142" t="s">
        <v>16</v>
      </c>
      <c r="O186" s="142" t="s">
        <v>80</v>
      </c>
      <c r="P186" s="142" t="s">
        <v>141</v>
      </c>
      <c r="Q186" s="142" t="s">
        <v>23</v>
      </c>
      <c r="R186" s="76"/>
      <c r="S186" s="76"/>
      <c r="T186" s="76"/>
      <c r="U186" s="76"/>
      <c r="V186" s="76"/>
      <c r="W186" s="76"/>
      <c r="X186" s="76"/>
      <c r="Y186" s="76"/>
    </row>
    <row r="187" spans="1:25" s="6" customFormat="1" x14ac:dyDescent="0.25">
      <c r="A187" s="101"/>
      <c r="B187" s="101"/>
      <c r="C187" s="1" t="str">
        <f>_xlfn.CONCAT(tabE.Flux[[#This Row],[DATA]],"+",tabE.Flux[[#This Row],[MOTORISTA + MATRÍCULA A]])</f>
        <v>45892+LAUCEANDO DA SILVA ROCHA - 6220</v>
      </c>
      <c r="D187" s="1" t="str">
        <f>_xlfn.CONCAT(tabE.Flux[[#This Row],[DATA]],"+",tabE.Flux[[#This Row],[MOTORISTA + MATRÍCULA B]])</f>
        <v>45892+JEFFERSON CARDOSO DOS SANTOS - 5837</v>
      </c>
      <c r="E187" s="1" t="str">
        <f>_xlfn.CONCAT(tabE.Flux[[#This Row],[DATA]],"+",tabE.Flux[[#This Row],[MOTORISTA + MATRÍCULA A]],"+",tabE.Flux[[#This Row],[LINHA]])</f>
        <v>45892+LAUCEANDO DA SILVA ROCHA - 6220+GOIANIA (GO) X SAO LUIS (MA)</v>
      </c>
      <c r="F187" s="1" t="str">
        <f>_xlfn.CONCAT(tabE.Flux[[#This Row],[DATA]],"+",tabE.Flux[[#This Row],[MOTORISTA + MATRÍCULA B]],"+",tabE.Flux[[#This Row],[LINHA]])</f>
        <v>45892+JEFFERSON CARDOSO DOS SANTOS - 5837+GOIANIA (GO) X SAO LUIS (MA)</v>
      </c>
      <c r="G187" s="1" t="str">
        <f>_xlfn.CONCAT(tabE.Flux[[#This Row],[DATA]],"+",tabE.Flux[[#This Row],[LINHA]])</f>
        <v>45892+GOIANIA (GO) X SAO LUIS (MA)</v>
      </c>
      <c r="H187" s="141">
        <v>45892</v>
      </c>
      <c r="I187" s="142" t="s">
        <v>15</v>
      </c>
      <c r="J187" s="142">
        <v>25011</v>
      </c>
      <c r="K187" s="143">
        <v>0.75</v>
      </c>
      <c r="L187" s="143">
        <v>0.79166666666666663</v>
      </c>
      <c r="M187" s="142" t="s">
        <v>42</v>
      </c>
      <c r="N187" s="142" t="s">
        <v>16</v>
      </c>
      <c r="O187" s="142" t="s">
        <v>86</v>
      </c>
      <c r="P187" s="142" t="s">
        <v>30</v>
      </c>
      <c r="Q187" s="142" t="s">
        <v>23</v>
      </c>
      <c r="R187" s="76"/>
      <c r="S187" s="76"/>
      <c r="T187" s="76"/>
      <c r="U187" s="76"/>
      <c r="V187" s="76"/>
      <c r="W187" s="76"/>
      <c r="X187" s="76"/>
      <c r="Y187" s="76"/>
    </row>
    <row r="188" spans="1:25" s="6" customFormat="1" x14ac:dyDescent="0.25">
      <c r="A188" s="101"/>
      <c r="B188" s="101"/>
      <c r="C188" s="1" t="str">
        <f>_xlfn.CONCAT(tabE.Flux[[#This Row],[DATA]],"+",tabE.Flux[[#This Row],[MOTORISTA + MATRÍCULA A]])</f>
        <v>45892+CANCELADO</v>
      </c>
      <c r="D188" s="1" t="str">
        <f>_xlfn.CONCAT(tabE.Flux[[#This Row],[DATA]],"+",tabE.Flux[[#This Row],[MOTORISTA + MATRÍCULA B]])</f>
        <v>45892+CANCELADO</v>
      </c>
      <c r="E188" s="1" t="str">
        <f>_xlfn.CONCAT(tabE.Flux[[#This Row],[DATA]],"+",tabE.Flux[[#This Row],[MOTORISTA + MATRÍCULA A]],"+",tabE.Flux[[#This Row],[LINHA]])</f>
        <v>45892+CANCELADO+IMPERATRIZ (MA) X SÃO LUIS (MA)</v>
      </c>
      <c r="F188" s="1" t="str">
        <f>_xlfn.CONCAT(tabE.Flux[[#This Row],[DATA]],"+",tabE.Flux[[#This Row],[MOTORISTA + MATRÍCULA B]],"+",tabE.Flux[[#This Row],[LINHA]])</f>
        <v>45892+CANCELADO+IMPERATRIZ (MA) X SÃO LUIS (MA)</v>
      </c>
      <c r="G188" s="1" t="str">
        <f>_xlfn.CONCAT(tabE.Flux[[#This Row],[DATA]],"+",tabE.Flux[[#This Row],[LINHA]])</f>
        <v>45892+IMPERATRIZ (MA) X SÃO LUIS (MA)</v>
      </c>
      <c r="H188" s="141">
        <v>45892</v>
      </c>
      <c r="I188" s="142" t="s">
        <v>15</v>
      </c>
      <c r="J188" s="144" t="s">
        <v>27</v>
      </c>
      <c r="K188" s="143">
        <v>0.77083333333333337</v>
      </c>
      <c r="L188" s="143">
        <v>0.79513888888888884</v>
      </c>
      <c r="M188" s="142" t="s">
        <v>42</v>
      </c>
      <c r="N188" s="142" t="s">
        <v>16</v>
      </c>
      <c r="O188" s="144" t="s">
        <v>27</v>
      </c>
      <c r="P188" s="144" t="s">
        <v>27</v>
      </c>
      <c r="Q188" s="142" t="s">
        <v>47</v>
      </c>
      <c r="R188" s="76"/>
      <c r="S188" s="76"/>
      <c r="T188" s="76"/>
      <c r="U188" s="76"/>
      <c r="V188" s="76"/>
      <c r="W188" s="76"/>
      <c r="X188" s="76"/>
      <c r="Y188" s="76"/>
    </row>
    <row r="189" spans="1:25" s="6" customFormat="1" x14ac:dyDescent="0.25">
      <c r="A189" s="101"/>
      <c r="B189" s="101"/>
      <c r="C189" s="1" t="str">
        <f>_xlfn.CONCAT(tabE.Flux[[#This Row],[DATA]],"+",tabE.Flux[[#This Row],[MOTORISTA + MATRÍCULA A]])</f>
        <v>45892+EDILTON MONTEIRO GUNDIM - 6023</v>
      </c>
      <c r="D189" s="1" t="str">
        <f>_xlfn.CONCAT(tabE.Flux[[#This Row],[DATA]],"+",tabE.Flux[[#This Row],[MOTORISTA + MATRÍCULA B]])</f>
        <v>45892+WOLNEY EDUARDO DE OLIVEIRA - 5607</v>
      </c>
      <c r="E189" s="1" t="str">
        <f>_xlfn.CONCAT(tabE.Flux[[#This Row],[DATA]],"+",tabE.Flux[[#This Row],[MOTORISTA + MATRÍCULA A]],"+",tabE.Flux[[#This Row],[LINHA]])</f>
        <v>45892+EDILTON MONTEIRO GUNDIM - 6023+GOIANIA (GO) X TERESINA (PI) VIA BC</v>
      </c>
      <c r="F189" s="1" t="str">
        <f>_xlfn.CONCAT(tabE.Flux[[#This Row],[DATA]],"+",tabE.Flux[[#This Row],[MOTORISTA + MATRÍCULA B]],"+",tabE.Flux[[#This Row],[LINHA]])</f>
        <v>45892+WOLNEY EDUARDO DE OLIVEIRA - 5607+GOIANIA (GO) X TERESINA (PI) VIA BC</v>
      </c>
      <c r="G189" s="1" t="str">
        <f>_xlfn.CONCAT(tabE.Flux[[#This Row],[DATA]],"+",tabE.Flux[[#This Row],[LINHA]])</f>
        <v>45892+GOIANIA (GO) X TERESINA (PI) VIA BC</v>
      </c>
      <c r="H189" s="141">
        <v>45892</v>
      </c>
      <c r="I189" s="142" t="s">
        <v>15</v>
      </c>
      <c r="J189" s="142">
        <v>25005</v>
      </c>
      <c r="K189" s="143">
        <v>0.89583333333333337</v>
      </c>
      <c r="L189" s="143">
        <v>0.91666666666666663</v>
      </c>
      <c r="M189" s="142" t="s">
        <v>36</v>
      </c>
      <c r="N189" s="142" t="s">
        <v>17</v>
      </c>
      <c r="O189" s="142" t="s">
        <v>199</v>
      </c>
      <c r="P189" s="142" t="s">
        <v>200</v>
      </c>
      <c r="Q189" s="142" t="s">
        <v>39</v>
      </c>
      <c r="R189" s="76"/>
      <c r="S189" s="76"/>
      <c r="T189" s="76"/>
      <c r="U189" s="76"/>
      <c r="V189" s="76"/>
      <c r="W189" s="76"/>
      <c r="X189" s="76"/>
      <c r="Y189" s="76"/>
    </row>
    <row r="190" spans="1:25" s="6" customFormat="1" x14ac:dyDescent="0.25">
      <c r="A190" s="101"/>
      <c r="B190" s="101"/>
      <c r="C190" s="1" t="str">
        <f>_xlfn.CONCAT(tabE.Flux[[#This Row],[DATA]],"+",tabE.Flux[[#This Row],[MOTORISTA + MATRÍCULA A]])</f>
        <v>45892+RAIMUNDO FERNANDES RIBEIRO - 907</v>
      </c>
      <c r="D190" s="1" t="str">
        <f>_xlfn.CONCAT(tabE.Flux[[#This Row],[DATA]],"+",tabE.Flux[[#This Row],[MOTORISTA + MATRÍCULA B]])</f>
        <v>45892+MERVAL DE SOUSA - 2880</v>
      </c>
      <c r="E190" s="1" t="str">
        <f>_xlfn.CONCAT(tabE.Flux[[#This Row],[DATA]],"+",tabE.Flux[[#This Row],[MOTORISTA + MATRÍCULA A]],"+",tabE.Flux[[#This Row],[LINHA]])</f>
        <v>45892+RAIMUNDO FERNANDES RIBEIRO - 907+GOIANIA (GO) X BELEM (PA)</v>
      </c>
      <c r="F190" s="1" t="str">
        <f>_xlfn.CONCAT(tabE.Flux[[#This Row],[DATA]],"+",tabE.Flux[[#This Row],[MOTORISTA + MATRÍCULA B]],"+",tabE.Flux[[#This Row],[LINHA]])</f>
        <v>45892+MERVAL DE SOUSA - 2880+GOIANIA (GO) X BELEM (PA)</v>
      </c>
      <c r="G190" s="1" t="str">
        <f>_xlfn.CONCAT(tabE.Flux[[#This Row],[DATA]],"+",tabE.Flux[[#This Row],[LINHA]])</f>
        <v>45892+GOIANIA (GO) X BELEM (PA)</v>
      </c>
      <c r="H190" s="141">
        <v>45892</v>
      </c>
      <c r="I190" s="142" t="s">
        <v>15</v>
      </c>
      <c r="J190" s="142">
        <v>24001</v>
      </c>
      <c r="K190" s="143">
        <v>0.76041666666666663</v>
      </c>
      <c r="L190" s="143">
        <v>0.77083333333333337</v>
      </c>
      <c r="M190" s="142" t="s">
        <v>33</v>
      </c>
      <c r="N190" s="142" t="s">
        <v>16</v>
      </c>
      <c r="O190" s="142" t="s">
        <v>143</v>
      </c>
      <c r="P190" s="142" t="s">
        <v>44</v>
      </c>
      <c r="Q190" s="142" t="s">
        <v>20</v>
      </c>
      <c r="R190" s="76"/>
      <c r="S190" s="76"/>
      <c r="T190" s="76"/>
      <c r="U190" s="76"/>
      <c r="V190" s="76"/>
      <c r="W190" s="76"/>
      <c r="X190" s="76"/>
      <c r="Y190" s="76"/>
    </row>
    <row r="191" spans="1:25" s="6" customFormat="1" x14ac:dyDescent="0.25">
      <c r="A191" s="101"/>
      <c r="B191" s="101"/>
      <c r="C191" s="1" t="str">
        <f>_xlfn.CONCAT(tabE.Flux[[#This Row],[DATA]],"+",tabE.Flux[[#This Row],[MOTORISTA + MATRÍCULA A]])</f>
        <v>45892+WESLEY SILVA PAIVA - 5638</v>
      </c>
      <c r="D191" s="1" t="str">
        <f>_xlfn.CONCAT(tabE.Flux[[#This Row],[DATA]],"+",tabE.Flux[[#This Row],[MOTORISTA + MATRÍCULA B]])</f>
        <v>45892+JOAO FERREIRA COSTA - 5545</v>
      </c>
      <c r="E191" s="1" t="str">
        <f>_xlfn.CONCAT(tabE.Flux[[#This Row],[DATA]],"+",tabE.Flux[[#This Row],[MOTORISTA + MATRÍCULA A]],"+",tabE.Flux[[#This Row],[LINHA]])</f>
        <v>45892+WESLEY SILVA PAIVA - 5638+GOIANIA (GO) X BELEM (PA)</v>
      </c>
      <c r="F191" s="1" t="str">
        <f>_xlfn.CONCAT(tabE.Flux[[#This Row],[DATA]],"+",tabE.Flux[[#This Row],[MOTORISTA + MATRÍCULA B]],"+",tabE.Flux[[#This Row],[LINHA]])</f>
        <v>45892+JOAO FERREIRA COSTA - 5545+GOIANIA (GO) X BELEM (PA)</v>
      </c>
      <c r="G191" s="1" t="str">
        <f>_xlfn.CONCAT(tabE.Flux[[#This Row],[DATA]],"+",tabE.Flux[[#This Row],[LINHA]])</f>
        <v>45892+GOIANIA (GO) X BELEM (PA)</v>
      </c>
      <c r="H191" s="141">
        <v>45892</v>
      </c>
      <c r="I191" s="142" t="s">
        <v>15</v>
      </c>
      <c r="J191" s="142">
        <v>24012</v>
      </c>
      <c r="K191" s="143">
        <v>0.76041666666666663</v>
      </c>
      <c r="L191" s="143">
        <v>0.82777777777777772</v>
      </c>
      <c r="M191" s="142" t="s">
        <v>16</v>
      </c>
      <c r="N191" s="142" t="s">
        <v>33</v>
      </c>
      <c r="O191" s="142" t="s">
        <v>112</v>
      </c>
      <c r="P191" s="142" t="s">
        <v>61</v>
      </c>
      <c r="Q191" s="142" t="s">
        <v>20</v>
      </c>
      <c r="R191" s="76"/>
      <c r="S191" s="76"/>
      <c r="T191" s="76"/>
      <c r="U191" s="76"/>
      <c r="V191" s="76"/>
      <c r="W191" s="76"/>
      <c r="X191" s="76"/>
      <c r="Y191" s="76"/>
    </row>
    <row r="192" spans="1:25" s="6" customFormat="1" x14ac:dyDescent="0.25">
      <c r="A192" s="101"/>
      <c r="B192" s="101"/>
      <c r="C192" s="1" t="str">
        <f>_xlfn.CONCAT(tabE.Flux[[#This Row],[DATA]],"+",tabE.Flux[[#This Row],[MOTORISTA + MATRÍCULA A]])</f>
        <v>45892+JARDEL DE SOUSA OLIVEIRA - 5992</v>
      </c>
      <c r="D192" s="1" t="str">
        <f>_xlfn.CONCAT(tabE.Flux[[#This Row],[DATA]],"+",tabE.Flux[[#This Row],[MOTORISTA + MATRÍCULA B]])</f>
        <v>45892+RAIMUNDO COSTA SILVA - 6226</v>
      </c>
      <c r="E192" s="1" t="str">
        <f>_xlfn.CONCAT(tabE.Flux[[#This Row],[DATA]],"+",tabE.Flux[[#This Row],[MOTORISTA + MATRÍCULA A]],"+",tabE.Flux[[#This Row],[LINHA]])</f>
        <v>45892+JARDEL DE SOUSA OLIVEIRA - 5992+GOIANIA (GO) X SAO LUIS (MA)</v>
      </c>
      <c r="F192" s="1" t="str">
        <f>_xlfn.CONCAT(tabE.Flux[[#This Row],[DATA]],"+",tabE.Flux[[#This Row],[MOTORISTA + MATRÍCULA B]],"+",tabE.Flux[[#This Row],[LINHA]])</f>
        <v>45892+RAIMUNDO COSTA SILVA - 6226+GOIANIA (GO) X SAO LUIS (MA)</v>
      </c>
      <c r="G192" s="1" t="str">
        <f>_xlfn.CONCAT(tabE.Flux[[#This Row],[DATA]],"+",tabE.Flux[[#This Row],[LINHA]])</f>
        <v>45892+GOIANIA (GO) X SAO LUIS (MA)</v>
      </c>
      <c r="H192" s="141">
        <v>45892</v>
      </c>
      <c r="I192" s="142" t="s">
        <v>15</v>
      </c>
      <c r="J192" s="142">
        <v>20013</v>
      </c>
      <c r="K192" s="143">
        <v>0.40763888888888888</v>
      </c>
      <c r="L192" s="143">
        <v>0.47013888888888888</v>
      </c>
      <c r="M192" s="142" t="s">
        <v>16</v>
      </c>
      <c r="N192" s="142" t="s">
        <v>42</v>
      </c>
      <c r="O192" s="142" t="s">
        <v>150</v>
      </c>
      <c r="P192" s="142" t="s">
        <v>45</v>
      </c>
      <c r="Q192" s="142" t="s">
        <v>23</v>
      </c>
      <c r="R192" s="76"/>
      <c r="S192" s="76"/>
      <c r="T192" s="76"/>
      <c r="U192" s="76"/>
      <c r="V192" s="76"/>
      <c r="W192" s="76"/>
      <c r="X192" s="76"/>
      <c r="Y192" s="76"/>
    </row>
    <row r="193" spans="1:25" s="6" customFormat="1" x14ac:dyDescent="0.25">
      <c r="A193" s="101"/>
      <c r="B193" s="101"/>
      <c r="C193" s="1" t="str">
        <f>_xlfn.CONCAT(tabE.Flux[[#This Row],[DATA]],"+",tabE.Flux[[#This Row],[MOTORISTA + MATRÍCULA A]])</f>
        <v>45892+CANCELADO</v>
      </c>
      <c r="D193" s="1" t="str">
        <f>_xlfn.CONCAT(tabE.Flux[[#This Row],[DATA]],"+",tabE.Flux[[#This Row],[MOTORISTA + MATRÍCULA B]])</f>
        <v>45892+CANCELADO</v>
      </c>
      <c r="E193" s="1" t="str">
        <f>_xlfn.CONCAT(tabE.Flux[[#This Row],[DATA]],"+",tabE.Flux[[#This Row],[MOTORISTA + MATRÍCULA A]],"+",tabE.Flux[[#This Row],[LINHA]])</f>
        <v>45892+CANCELADO+IMPERATRIZ (MA) X SÃO LUIS (MA)</v>
      </c>
      <c r="F193" s="1" t="str">
        <f>_xlfn.CONCAT(tabE.Flux[[#This Row],[DATA]],"+",tabE.Flux[[#This Row],[MOTORISTA + MATRÍCULA B]],"+",tabE.Flux[[#This Row],[LINHA]])</f>
        <v>45892+CANCELADO+IMPERATRIZ (MA) X SÃO LUIS (MA)</v>
      </c>
      <c r="G193" s="1" t="str">
        <f>_xlfn.CONCAT(tabE.Flux[[#This Row],[DATA]],"+",tabE.Flux[[#This Row],[LINHA]])</f>
        <v>45892+IMPERATRIZ (MA) X SÃO LUIS (MA)</v>
      </c>
      <c r="H193" s="141">
        <v>45892</v>
      </c>
      <c r="I193" s="142" t="s">
        <v>15</v>
      </c>
      <c r="J193" s="144" t="s">
        <v>27</v>
      </c>
      <c r="K193" s="143">
        <v>0.77083333333333337</v>
      </c>
      <c r="L193" s="143">
        <v>0.8125</v>
      </c>
      <c r="M193" s="142" t="s">
        <v>16</v>
      </c>
      <c r="N193" s="142" t="s">
        <v>42</v>
      </c>
      <c r="O193" s="144" t="s">
        <v>27</v>
      </c>
      <c r="P193" s="144" t="s">
        <v>27</v>
      </c>
      <c r="Q193" s="142" t="s">
        <v>47</v>
      </c>
      <c r="R193" s="76"/>
      <c r="S193" s="76"/>
      <c r="T193" s="76"/>
      <c r="U193" s="76"/>
      <c r="V193" s="76"/>
      <c r="W193" s="76"/>
      <c r="X193" s="76"/>
      <c r="Y193" s="76"/>
    </row>
    <row r="194" spans="1:25" s="6" customFormat="1" x14ac:dyDescent="0.25">
      <c r="A194" s="101"/>
      <c r="B194" s="101"/>
      <c r="C194" s="1" t="str">
        <f>_xlfn.CONCAT(tabE.Flux[[#This Row],[DATA]],"+",tabE.Flux[[#This Row],[MOTORISTA + MATRÍCULA A]])</f>
        <v>45892+MARCOS ATAIDE SILVA - 1352</v>
      </c>
      <c r="D194" s="1" t="str">
        <f>_xlfn.CONCAT(tabE.Flux[[#This Row],[DATA]],"+",tabE.Flux[[#This Row],[MOTORISTA + MATRÍCULA B]])</f>
        <v>45892+KAYLSON KLEYTON DA SILVA COSTA - 6224</v>
      </c>
      <c r="E194" s="1" t="str">
        <f>_xlfn.CONCAT(tabE.Flux[[#This Row],[DATA]],"+",tabE.Flux[[#This Row],[MOTORISTA + MATRÍCULA A]],"+",tabE.Flux[[#This Row],[LINHA]])</f>
        <v>45892+MARCOS ATAIDE SILVA - 1352+GOIANIA (GO) X SAO LUIS (MA)</v>
      </c>
      <c r="F194" s="1" t="str">
        <f>_xlfn.CONCAT(tabE.Flux[[#This Row],[DATA]],"+",tabE.Flux[[#This Row],[MOTORISTA + MATRÍCULA B]],"+",tabE.Flux[[#This Row],[LINHA]])</f>
        <v>45892+KAYLSON KLEYTON DA SILVA COSTA - 6224+GOIANIA (GO) X SAO LUIS (MA)</v>
      </c>
      <c r="G194" s="1" t="str">
        <f>_xlfn.CONCAT(tabE.Flux[[#This Row],[DATA]],"+",tabE.Flux[[#This Row],[LINHA]])</f>
        <v>45892+GOIANIA (GO) X SAO LUIS (MA)</v>
      </c>
      <c r="H194" s="141">
        <v>45892</v>
      </c>
      <c r="I194" s="142" t="s">
        <v>15</v>
      </c>
      <c r="J194" s="142">
        <v>25006</v>
      </c>
      <c r="K194" s="143">
        <v>0.8125</v>
      </c>
      <c r="L194" s="143">
        <v>0.84375</v>
      </c>
      <c r="M194" s="142" t="s">
        <v>16</v>
      </c>
      <c r="N194" s="142" t="s">
        <v>42</v>
      </c>
      <c r="O194" s="142" t="s">
        <v>113</v>
      </c>
      <c r="P194" s="142" t="s">
        <v>80</v>
      </c>
      <c r="Q194" s="142" t="s">
        <v>23</v>
      </c>
      <c r="R194" s="76"/>
      <c r="S194" s="76"/>
      <c r="T194" s="76"/>
      <c r="U194" s="76"/>
      <c r="V194" s="76"/>
      <c r="W194" s="76"/>
      <c r="X194" s="76"/>
      <c r="Y194" s="76"/>
    </row>
    <row r="195" spans="1:25" s="6" customFormat="1" x14ac:dyDescent="0.25">
      <c r="A195" s="101"/>
      <c r="B195" s="101"/>
      <c r="C195" s="1" t="str">
        <f>_xlfn.CONCAT(tabE.Flux[[#This Row],[DATA]],"+",tabE.Flux[[#This Row],[MOTORISTA + MATRÍCULA A]])</f>
        <v>45892+ESIEL COSTA RODRIGUES - 1749</v>
      </c>
      <c r="D195" s="1" t="str">
        <f>_xlfn.CONCAT(tabE.Flux[[#This Row],[DATA]],"+",tabE.Flux[[#This Row],[MOTORISTA + MATRÍCULA B]])</f>
        <v>45892+WASHINGTON ALVES BRITO - 1553</v>
      </c>
      <c r="E195" s="1" t="str">
        <f>_xlfn.CONCAT(tabE.Flux[[#This Row],[DATA]],"+",tabE.Flux[[#This Row],[MOTORISTA + MATRÍCULA A]],"+",tabE.Flux[[#This Row],[LINHA]])</f>
        <v>45892+ESIEL COSTA RODRIGUES - 1749+GOIANIA (GO) X TERESINA (PI) VIA STI</v>
      </c>
      <c r="F195" s="1" t="str">
        <f>_xlfn.CONCAT(tabE.Flux[[#This Row],[DATA]],"+",tabE.Flux[[#This Row],[MOTORISTA + MATRÍCULA B]],"+",tabE.Flux[[#This Row],[LINHA]])</f>
        <v>45892+WASHINGTON ALVES BRITO - 1553+GOIANIA (GO) X TERESINA (PI) VIA STI</v>
      </c>
      <c r="G195" s="1" t="str">
        <f>_xlfn.CONCAT(tabE.Flux[[#This Row],[DATA]],"+",tabE.Flux[[#This Row],[LINHA]])</f>
        <v>45892+GOIANIA (GO) X TERESINA (PI) VIA STI</v>
      </c>
      <c r="H195" s="141">
        <v>45892</v>
      </c>
      <c r="I195" s="142" t="s">
        <v>15</v>
      </c>
      <c r="J195" s="142">
        <v>19008</v>
      </c>
      <c r="K195" s="143">
        <v>0.77083333333333337</v>
      </c>
      <c r="L195" s="143">
        <v>0.79861111111111116</v>
      </c>
      <c r="M195" s="142" t="s">
        <v>16</v>
      </c>
      <c r="N195" s="142" t="s">
        <v>29</v>
      </c>
      <c r="O195" s="142" t="s">
        <v>46</v>
      </c>
      <c r="P195" s="142" t="s">
        <v>201</v>
      </c>
      <c r="Q195" s="142" t="s">
        <v>26</v>
      </c>
      <c r="R195" s="76"/>
      <c r="S195" s="76"/>
      <c r="T195" s="76"/>
      <c r="U195" s="76"/>
      <c r="V195" s="76"/>
      <c r="W195" s="76"/>
      <c r="X195" s="76"/>
      <c r="Y195" s="76"/>
    </row>
    <row r="196" spans="1:25" s="6" customFormat="1" x14ac:dyDescent="0.25">
      <c r="A196" s="101"/>
      <c r="B196" s="101"/>
      <c r="C196" s="1" t="str">
        <f>_xlfn.CONCAT(tabE.Flux[[#This Row],[DATA]],"+",tabE.Flux[[#This Row],[MOTORISTA + MATRÍCULA A]])</f>
        <v>45892+GILVAN DE SOUSA FRANCA - 5834</v>
      </c>
      <c r="D196" s="1" t="str">
        <f>_xlfn.CONCAT(tabE.Flux[[#This Row],[DATA]],"+",tabE.Flux[[#This Row],[MOTORISTA + MATRÍCULA B]])</f>
        <v>45892+JOAO DE JESUS GOUVEIA - 6016</v>
      </c>
      <c r="E196" s="1" t="str">
        <f>_xlfn.CONCAT(tabE.Flux[[#This Row],[DATA]],"+",tabE.Flux[[#This Row],[MOTORISTA + MATRÍCULA A]],"+",tabE.Flux[[#This Row],[LINHA]])</f>
        <v>45892+GILVAN DE SOUSA FRANCA - 5834+GOIANIA (GO) X SAO LUIS (MA)</v>
      </c>
      <c r="F196" s="1" t="str">
        <f>_xlfn.CONCAT(tabE.Flux[[#This Row],[DATA]],"+",tabE.Flux[[#This Row],[MOTORISTA + MATRÍCULA B]],"+",tabE.Flux[[#This Row],[LINHA]])</f>
        <v>45892+JOAO DE JESUS GOUVEIA - 6016+GOIANIA (GO) X SAO LUIS (MA)</v>
      </c>
      <c r="G196" s="1" t="str">
        <f>_xlfn.CONCAT(tabE.Flux[[#This Row],[DATA]],"+",tabE.Flux[[#This Row],[LINHA]])</f>
        <v>45892+GOIANIA (GO) X SAO LUIS (MA)</v>
      </c>
      <c r="H196" s="141">
        <v>45892</v>
      </c>
      <c r="I196" s="142" t="s">
        <v>15</v>
      </c>
      <c r="J196" s="142">
        <v>19018</v>
      </c>
      <c r="K196" s="143">
        <v>0.8125</v>
      </c>
      <c r="L196" s="143">
        <v>0.84166666666666667</v>
      </c>
      <c r="M196" s="142" t="s">
        <v>16</v>
      </c>
      <c r="N196" s="142" t="s">
        <v>17</v>
      </c>
      <c r="O196" s="142" t="s">
        <v>35</v>
      </c>
      <c r="P196" s="142" t="s">
        <v>58</v>
      </c>
      <c r="Q196" s="142" t="s">
        <v>23</v>
      </c>
      <c r="R196" s="76"/>
      <c r="S196" s="76"/>
      <c r="T196" s="76"/>
      <c r="U196" s="76"/>
      <c r="V196" s="76"/>
      <c r="W196" s="76"/>
      <c r="X196" s="76"/>
      <c r="Y196" s="76"/>
    </row>
    <row r="197" spans="1:25" s="6" customFormat="1" x14ac:dyDescent="0.25">
      <c r="A197" s="101"/>
      <c r="B197" s="101"/>
      <c r="C197" s="1" t="str">
        <f>_xlfn.CONCAT(tabE.Flux[[#This Row],[DATA]],"+",tabE.Flux[[#This Row],[MOTORISTA + MATRÍCULA A]])</f>
        <v>45892+ANTONIO MARQUES NETO DOS SANTOS - 1738</v>
      </c>
      <c r="D197" s="1" t="str">
        <f>_xlfn.CONCAT(tabE.Flux[[#This Row],[DATA]],"+",tabE.Flux[[#This Row],[MOTORISTA + MATRÍCULA B]])</f>
        <v>45892+MANOEL MESSIAS SILVA DOS SANTOS - 1833</v>
      </c>
      <c r="E197" s="1" t="str">
        <f>_xlfn.CONCAT(tabE.Flux[[#This Row],[DATA]],"+",tabE.Flux[[#This Row],[MOTORISTA + MATRÍCULA A]],"+",tabE.Flux[[#This Row],[LINHA]])</f>
        <v>45892+ANTONIO MARQUES NETO DOS SANTOS - 1738+FORTALEZA (CE) X SINOP (MT)</v>
      </c>
      <c r="F197" s="1" t="str">
        <f>_xlfn.CONCAT(tabE.Flux[[#This Row],[DATA]],"+",tabE.Flux[[#This Row],[MOTORISTA + MATRÍCULA B]],"+",tabE.Flux[[#This Row],[LINHA]])</f>
        <v>45892+MANOEL MESSIAS SILVA DOS SANTOS - 1833+FORTALEZA (CE) X SINOP (MT)</v>
      </c>
      <c r="G197" s="1" t="str">
        <f>_xlfn.CONCAT(tabE.Flux[[#This Row],[DATA]],"+",tabE.Flux[[#This Row],[LINHA]])</f>
        <v>45892+FORTALEZA (CE) X SINOP (MT)</v>
      </c>
      <c r="H197" s="141">
        <v>45892</v>
      </c>
      <c r="I197" s="142" t="s">
        <v>15</v>
      </c>
      <c r="J197" s="142">
        <v>19017</v>
      </c>
      <c r="K197" s="143">
        <v>0.8125</v>
      </c>
      <c r="L197" s="143">
        <v>0.85416666666666663</v>
      </c>
      <c r="M197" s="142" t="s">
        <v>16</v>
      </c>
      <c r="N197" s="142" t="s">
        <v>17</v>
      </c>
      <c r="O197" s="142" t="s">
        <v>73</v>
      </c>
      <c r="P197" s="142" t="s">
        <v>173</v>
      </c>
      <c r="Q197" s="142" t="s">
        <v>32</v>
      </c>
      <c r="R197" s="76"/>
      <c r="S197" s="76"/>
      <c r="T197" s="76"/>
      <c r="U197" s="76"/>
      <c r="V197" s="76"/>
      <c r="W197" s="76"/>
      <c r="X197" s="76"/>
      <c r="Y197" s="76"/>
    </row>
    <row r="198" spans="1:25" s="6" customFormat="1" x14ac:dyDescent="0.25">
      <c r="A198" s="101"/>
      <c r="B198" s="101"/>
      <c r="C198" s="1" t="str">
        <f>_xlfn.CONCAT(tabE.Flux[[#This Row],[DATA]],"+",tabE.Flux[[#This Row],[MOTORISTA + MATRÍCULA A]])</f>
        <v>45892+JOSE ATAZ QUINTINO - 6048</v>
      </c>
      <c r="D198" s="1" t="str">
        <f>_xlfn.CONCAT(tabE.Flux[[#This Row],[DATA]],"+",tabE.Flux[[#This Row],[MOTORISTA + MATRÍCULA B]])</f>
        <v>45892+RICARDO VIEIRA GERVASIO - 5297</v>
      </c>
      <c r="E198" s="1" t="str">
        <f>_xlfn.CONCAT(tabE.Flux[[#This Row],[DATA]],"+",tabE.Flux[[#This Row],[MOTORISTA + MATRÍCULA A]],"+",tabE.Flux[[#This Row],[LINHA]])</f>
        <v>45892+JOSE ATAZ QUINTINO - 6048+GOIANIA (GO) X BELEM (PA)</v>
      </c>
      <c r="F198" s="1" t="str">
        <f>_xlfn.CONCAT(tabE.Flux[[#This Row],[DATA]],"+",tabE.Flux[[#This Row],[MOTORISTA + MATRÍCULA B]],"+",tabE.Flux[[#This Row],[LINHA]])</f>
        <v>45892+RICARDO VIEIRA GERVASIO - 5297+GOIANIA (GO) X BELEM (PA)</v>
      </c>
      <c r="G198" s="1" t="str">
        <f>_xlfn.CONCAT(tabE.Flux[[#This Row],[DATA]],"+",tabE.Flux[[#This Row],[LINHA]])</f>
        <v>45892+GOIANIA (GO) X BELEM (PA)</v>
      </c>
      <c r="H198" s="141">
        <v>45892</v>
      </c>
      <c r="I198" s="142" t="s">
        <v>15</v>
      </c>
      <c r="J198" s="142">
        <v>19011</v>
      </c>
      <c r="K198" s="143">
        <v>0.84722222222222221</v>
      </c>
      <c r="L198" s="143">
        <v>0.87847222222222221</v>
      </c>
      <c r="M198" s="142" t="s">
        <v>16</v>
      </c>
      <c r="N198" s="142" t="s">
        <v>17</v>
      </c>
      <c r="O198" s="142" t="s">
        <v>202</v>
      </c>
      <c r="P198" s="142" t="s">
        <v>203</v>
      </c>
      <c r="Q198" s="142" t="s">
        <v>20</v>
      </c>
      <c r="R198" s="76"/>
      <c r="S198" s="76"/>
      <c r="T198" s="76"/>
      <c r="U198" s="76"/>
      <c r="V198" s="76"/>
      <c r="W198" s="76"/>
      <c r="X198" s="76"/>
      <c r="Y198" s="76"/>
    </row>
    <row r="199" spans="1:25" s="6" customFormat="1" x14ac:dyDescent="0.25">
      <c r="A199" s="101"/>
      <c r="B199" s="101"/>
      <c r="C199" s="1" t="str">
        <f>_xlfn.CONCAT(tabE.Flux[[#This Row],[DATA]],"+",tabE.Flux[[#This Row],[MOTORISTA + MATRÍCULA A]])</f>
        <v>+</v>
      </c>
      <c r="D199" s="1" t="str">
        <f>_xlfn.CONCAT(tabE.Flux[[#This Row],[DATA]],"+",tabE.Flux[[#This Row],[MOTORISTA + MATRÍCULA B]])</f>
        <v>+</v>
      </c>
      <c r="E199" s="1" t="str">
        <f>_xlfn.CONCAT(tabE.Flux[[#This Row],[DATA]],"+",tabE.Flux[[#This Row],[MOTORISTA + MATRÍCULA A]],"+",tabE.Flux[[#This Row],[LINHA]])</f>
        <v>++</v>
      </c>
      <c r="F199" s="1" t="str">
        <f>_xlfn.CONCAT(tabE.Flux[[#This Row],[DATA]],"+",tabE.Flux[[#This Row],[MOTORISTA + MATRÍCULA B]],"+",tabE.Flux[[#This Row],[LINHA]])</f>
        <v>++</v>
      </c>
      <c r="G199" s="1" t="str">
        <f>_xlfn.CONCAT(tabE.Flux[[#This Row],[DATA]],"+",tabE.Flux[[#This Row],[LINHA]])</f>
        <v>+</v>
      </c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76"/>
      <c r="S199" s="76"/>
      <c r="T199" s="76"/>
      <c r="U199" s="76"/>
      <c r="V199" s="76"/>
      <c r="W199" s="76"/>
      <c r="X199" s="76"/>
      <c r="Y199" s="76"/>
    </row>
    <row r="200" spans="1:25" s="6" customFormat="1" ht="15" customHeight="1" x14ac:dyDescent="0.25">
      <c r="A200" s="101"/>
      <c r="B200" s="101"/>
      <c r="C200" s="1" t="str">
        <f>_xlfn.CONCAT(tabE.Flux[[#This Row],[DATA]],"+",tabE.Flux[[#This Row],[MOTORISTA + MATRÍCULA A]])</f>
        <v>45893+LEON RODRIGUES LOPES - 5533</v>
      </c>
      <c r="D200" s="1" t="str">
        <f>_xlfn.CONCAT(tabE.Flux[[#This Row],[DATA]],"+",tabE.Flux[[#This Row],[MOTORISTA + MATRÍCULA B]])</f>
        <v>45893+ISMAEL ANTERO FARIAS - 6230</v>
      </c>
      <c r="E200" s="1" t="str">
        <f>_xlfn.CONCAT(tabE.Flux[[#This Row],[DATA]],"+",tabE.Flux[[#This Row],[MOTORISTA + MATRÍCULA A]],"+",tabE.Flux[[#This Row],[LINHA]])</f>
        <v>45893+LEON RODRIGUES LOPES - 5533+GOIANIA (GO) X BELEM (PA)</v>
      </c>
      <c r="F200" s="1" t="str">
        <f>_xlfn.CONCAT(tabE.Flux[[#This Row],[DATA]],"+",tabE.Flux[[#This Row],[MOTORISTA + MATRÍCULA B]],"+",tabE.Flux[[#This Row],[LINHA]])</f>
        <v>45893+ISMAEL ANTERO FARIAS - 6230+GOIANIA (GO) X BELEM (PA)</v>
      </c>
      <c r="G200" s="1" t="str">
        <f>_xlfn.CONCAT(tabE.Flux[[#This Row],[DATA]],"+",tabE.Flux[[#This Row],[LINHA]])</f>
        <v>45893+GOIANIA (GO) X BELEM (PA)</v>
      </c>
      <c r="H200" s="141">
        <v>45893</v>
      </c>
      <c r="I200" s="142" t="s">
        <v>15</v>
      </c>
      <c r="J200" s="142">
        <v>24001</v>
      </c>
      <c r="K200" s="143">
        <v>0.25486111111111109</v>
      </c>
      <c r="L200" s="143">
        <v>0.3</v>
      </c>
      <c r="M200" s="142" t="s">
        <v>16</v>
      </c>
      <c r="N200" s="142" t="s">
        <v>17</v>
      </c>
      <c r="O200" s="142" t="s">
        <v>204</v>
      </c>
      <c r="P200" s="142" t="s">
        <v>205</v>
      </c>
      <c r="Q200" s="142" t="s">
        <v>20</v>
      </c>
      <c r="R200" s="76"/>
      <c r="S200" s="76"/>
      <c r="T200" s="76"/>
      <c r="U200" s="76"/>
      <c r="V200" s="76"/>
      <c r="W200" s="76"/>
      <c r="X200" s="76"/>
      <c r="Y200" s="76"/>
    </row>
    <row r="201" spans="1:25" s="6" customFormat="1" x14ac:dyDescent="0.25">
      <c r="A201" s="101"/>
      <c r="B201" s="101"/>
      <c r="C201" s="1" t="str">
        <f>_xlfn.CONCAT(tabE.Flux[[#This Row],[DATA]],"+",tabE.Flux[[#This Row],[MOTORISTA + MATRÍCULA A]])</f>
        <v>45893+REGISMAR ANTONIO TEODORO DA COSTA - 2966</v>
      </c>
      <c r="D201" s="1" t="str">
        <f>_xlfn.CONCAT(tabE.Flux[[#This Row],[DATA]],"+",tabE.Flux[[#This Row],[MOTORISTA + MATRÍCULA B]])</f>
        <v>45893+WENDER PEDRO DA SILVA - 1596</v>
      </c>
      <c r="E201" s="1" t="str">
        <f>_xlfn.CONCAT(tabE.Flux[[#This Row],[DATA]],"+",tabE.Flux[[#This Row],[MOTORISTA + MATRÍCULA A]],"+",tabE.Flux[[#This Row],[LINHA]])</f>
        <v>45893+REGISMAR ANTONIO TEODORO DA COSTA - 2966+GOIANIA (GO) X SAO LUIS (MA)</v>
      </c>
      <c r="F201" s="1" t="str">
        <f>_xlfn.CONCAT(tabE.Flux[[#This Row],[DATA]],"+",tabE.Flux[[#This Row],[MOTORISTA + MATRÍCULA B]],"+",tabE.Flux[[#This Row],[LINHA]])</f>
        <v>45893+WENDER PEDRO DA SILVA - 1596+GOIANIA (GO) X SAO LUIS (MA)</v>
      </c>
      <c r="G201" s="1" t="str">
        <f>_xlfn.CONCAT(tabE.Flux[[#This Row],[DATA]],"+",tabE.Flux[[#This Row],[LINHA]])</f>
        <v>45893+GOIANIA (GO) X SAO LUIS (MA)</v>
      </c>
      <c r="H201" s="141">
        <v>45893</v>
      </c>
      <c r="I201" s="142" t="s">
        <v>15</v>
      </c>
      <c r="J201" s="142">
        <v>25011</v>
      </c>
      <c r="K201" s="143">
        <v>0.32291666666666669</v>
      </c>
      <c r="L201" s="143">
        <v>0.33333333333333331</v>
      </c>
      <c r="M201" s="142" t="s">
        <v>16</v>
      </c>
      <c r="N201" s="142" t="s">
        <v>17</v>
      </c>
      <c r="O201" s="142" t="s">
        <v>206</v>
      </c>
      <c r="P201" s="142" t="s">
        <v>207</v>
      </c>
      <c r="Q201" s="142" t="s">
        <v>23</v>
      </c>
      <c r="R201" s="76"/>
      <c r="S201" s="76"/>
      <c r="T201" s="76"/>
      <c r="U201" s="76"/>
      <c r="V201" s="76"/>
      <c r="W201" s="76"/>
      <c r="X201" s="76"/>
      <c r="Y201" s="76"/>
    </row>
    <row r="202" spans="1:25" s="6" customFormat="1" x14ac:dyDescent="0.25">
      <c r="A202" s="101"/>
      <c r="B202" s="101"/>
      <c r="C202" s="1" t="str">
        <f>_xlfn.CONCAT(tabE.Flux[[#This Row],[DATA]],"+",tabE.Flux[[#This Row],[MOTORISTA + MATRÍCULA A]])</f>
        <v>45893+VALTER PEREIRA MACIEL - 5630</v>
      </c>
      <c r="D202" s="1" t="str">
        <f>_xlfn.CONCAT(tabE.Flux[[#This Row],[DATA]],"+",tabE.Flux[[#This Row],[MOTORISTA + MATRÍCULA B]])</f>
        <v>45893+GERALDO MARTINS DOS SANTOS - 5610</v>
      </c>
      <c r="E202" s="1" t="str">
        <f>_xlfn.CONCAT(tabE.Flux[[#This Row],[DATA]],"+",tabE.Flux[[#This Row],[MOTORISTA + MATRÍCULA A]],"+",tabE.Flux[[#This Row],[LINHA]])</f>
        <v>45893+VALTER PEREIRA MACIEL - 5630+GOIANIA (GO) X TERESINA (PI) VIA STI</v>
      </c>
      <c r="F202" s="1" t="str">
        <f>_xlfn.CONCAT(tabE.Flux[[#This Row],[DATA]],"+",tabE.Flux[[#This Row],[MOTORISTA + MATRÍCULA B]],"+",tabE.Flux[[#This Row],[LINHA]])</f>
        <v>45893+GERALDO MARTINS DOS SANTOS - 5610+GOIANIA (GO) X TERESINA (PI) VIA STI</v>
      </c>
      <c r="G202" s="1" t="str">
        <f>_xlfn.CONCAT(tabE.Flux[[#This Row],[DATA]],"+",tabE.Flux[[#This Row],[LINHA]])</f>
        <v>45893+GOIANIA (GO) X TERESINA (PI) VIA STI</v>
      </c>
      <c r="H202" s="141">
        <v>45893</v>
      </c>
      <c r="I202" s="142" t="s">
        <v>15</v>
      </c>
      <c r="J202" s="142">
        <v>19019</v>
      </c>
      <c r="K202" s="143">
        <v>0.3888888888888889</v>
      </c>
      <c r="L202" s="143">
        <v>0.39583333333333331</v>
      </c>
      <c r="M202" s="142" t="s">
        <v>16</v>
      </c>
      <c r="N202" s="142" t="s">
        <v>17</v>
      </c>
      <c r="O202" s="142" t="s">
        <v>208</v>
      </c>
      <c r="P202" s="142" t="s">
        <v>209</v>
      </c>
      <c r="Q202" s="142" t="s">
        <v>26</v>
      </c>
      <c r="R202" s="76"/>
      <c r="S202" s="76"/>
      <c r="T202" s="76"/>
      <c r="U202" s="76"/>
      <c r="V202" s="76"/>
      <c r="W202" s="76"/>
      <c r="X202" s="76"/>
      <c r="Y202" s="76"/>
    </row>
    <row r="203" spans="1:25" s="6" customFormat="1" x14ac:dyDescent="0.25">
      <c r="A203" s="101"/>
      <c r="B203" s="101"/>
      <c r="C203" s="1" t="str">
        <f>_xlfn.CONCAT(tabE.Flux[[#This Row],[DATA]],"+",tabE.Flux[[#This Row],[MOTORISTA + MATRÍCULA A]])</f>
        <v>45893+CANCELADO</v>
      </c>
      <c r="D203" s="1" t="str">
        <f>_xlfn.CONCAT(tabE.Flux[[#This Row],[DATA]],"+",tabE.Flux[[#This Row],[MOTORISTA + MATRÍCULA B]])</f>
        <v>45893+CANCELADO</v>
      </c>
      <c r="E203" s="1" t="str">
        <f>_xlfn.CONCAT(tabE.Flux[[#This Row],[DATA]],"+",tabE.Flux[[#This Row],[MOTORISTA + MATRÍCULA A]],"+",tabE.Flux[[#This Row],[LINHA]])</f>
        <v>45893+CANCELADO+IMPERATRIZ (MA) X VILA RICA (MT)</v>
      </c>
      <c r="F203" s="1" t="str">
        <f>_xlfn.CONCAT(tabE.Flux[[#This Row],[DATA]],"+",tabE.Flux[[#This Row],[MOTORISTA + MATRÍCULA B]],"+",tabE.Flux[[#This Row],[LINHA]])</f>
        <v>45893+CANCELADO+IMPERATRIZ (MA) X VILA RICA (MT)</v>
      </c>
      <c r="G203" s="1" t="str">
        <f>_xlfn.CONCAT(tabE.Flux[[#This Row],[DATA]],"+",tabE.Flux[[#This Row],[LINHA]])</f>
        <v>45893+IMPERATRIZ (MA) X VILA RICA (MT)</v>
      </c>
      <c r="H203" s="141">
        <v>45893</v>
      </c>
      <c r="I203" s="142" t="s">
        <v>15</v>
      </c>
      <c r="J203" s="144" t="s">
        <v>27</v>
      </c>
      <c r="K203" s="143">
        <v>0.375</v>
      </c>
      <c r="L203" s="143">
        <v>0.41666666666666669</v>
      </c>
      <c r="M203" s="142" t="s">
        <v>16</v>
      </c>
      <c r="N203" s="142" t="s">
        <v>28</v>
      </c>
      <c r="O203" s="144" t="s">
        <v>27</v>
      </c>
      <c r="P203" s="144" t="s">
        <v>27</v>
      </c>
      <c r="Q203" s="142" t="s">
        <v>100</v>
      </c>
      <c r="R203" s="76"/>
      <c r="S203" s="76"/>
      <c r="T203" s="76"/>
      <c r="U203" s="76"/>
      <c r="V203" s="76"/>
      <c r="W203" s="76"/>
      <c r="X203" s="76"/>
      <c r="Y203" s="76"/>
    </row>
    <row r="204" spans="1:25" s="6" customFormat="1" x14ac:dyDescent="0.25">
      <c r="A204" s="101"/>
      <c r="B204" s="101"/>
      <c r="C204" s="1" t="str">
        <f>_xlfn.CONCAT(tabE.Flux[[#This Row],[DATA]],"+",tabE.Flux[[#This Row],[MOTORISTA + MATRÍCULA A]])</f>
        <v>45893+LEANDRO DE OLIVEIRA MELO - 2151</v>
      </c>
      <c r="D204" s="1" t="str">
        <f>_xlfn.CONCAT(tabE.Flux[[#This Row],[DATA]],"+",tabE.Flux[[#This Row],[MOTORISTA + MATRÍCULA B]])</f>
        <v>45893+EDIMILSON LUIS FRANÇA - 5442</v>
      </c>
      <c r="E204" s="1" t="str">
        <f>_xlfn.CONCAT(tabE.Flux[[#This Row],[DATA]],"+",tabE.Flux[[#This Row],[MOTORISTA + MATRÍCULA A]],"+",tabE.Flux[[#This Row],[LINHA]])</f>
        <v>45893+LEANDRO DE OLIVEIRA MELO - 2151+FORTALEZA (CE) X SINOP (MT)</v>
      </c>
      <c r="F204" s="1" t="str">
        <f>_xlfn.CONCAT(tabE.Flux[[#This Row],[DATA]],"+",tabE.Flux[[#This Row],[MOTORISTA + MATRÍCULA B]],"+",tabE.Flux[[#This Row],[LINHA]])</f>
        <v>45893+EDIMILSON LUIS FRANÇA - 5442+FORTALEZA (CE) X SINOP (MT)</v>
      </c>
      <c r="G204" s="1" t="str">
        <f>_xlfn.CONCAT(tabE.Flux[[#This Row],[DATA]],"+",tabE.Flux[[#This Row],[LINHA]])</f>
        <v>45893+FORTALEZA (CE) X SINOP (MT)</v>
      </c>
      <c r="H204" s="141">
        <v>45893</v>
      </c>
      <c r="I204" s="142" t="s">
        <v>15</v>
      </c>
      <c r="J204" s="142">
        <v>19009</v>
      </c>
      <c r="K204" s="143">
        <v>0.3888888888888889</v>
      </c>
      <c r="L204" s="143">
        <v>0.37708333333333333</v>
      </c>
      <c r="M204" s="142" t="s">
        <v>16</v>
      </c>
      <c r="N204" s="142" t="s">
        <v>29</v>
      </c>
      <c r="O204" s="142" t="s">
        <v>64</v>
      </c>
      <c r="P204" s="142" t="s">
        <v>89</v>
      </c>
      <c r="Q204" s="142" t="s">
        <v>32</v>
      </c>
      <c r="R204" s="76"/>
      <c r="S204" s="76"/>
      <c r="T204" s="76"/>
      <c r="U204" s="76"/>
      <c r="V204" s="76"/>
      <c r="W204" s="76"/>
      <c r="X204" s="76"/>
      <c r="Y204" s="76"/>
    </row>
    <row r="205" spans="1:25" s="6" customFormat="1" x14ac:dyDescent="0.25">
      <c r="A205" s="101"/>
      <c r="B205" s="101"/>
      <c r="C205" s="1" t="str">
        <f>_xlfn.CONCAT(tabE.Flux[[#This Row],[DATA]],"+",tabE.Flux[[#This Row],[MOTORISTA + MATRÍCULA A]])</f>
        <v>45893+JAKTAN DE OLIVEIRA RODRIGUES - 5836</v>
      </c>
      <c r="D205" s="1" t="str">
        <f>_xlfn.CONCAT(tabE.Flux[[#This Row],[DATA]],"+",tabE.Flux[[#This Row],[MOTORISTA + MATRÍCULA B]])</f>
        <v>45893+FELIPE MORAIS MELO - 3077</v>
      </c>
      <c r="E205" s="1" t="str">
        <f>_xlfn.CONCAT(tabE.Flux[[#This Row],[DATA]],"+",tabE.Flux[[#This Row],[MOTORISTA + MATRÍCULA A]],"+",tabE.Flux[[#This Row],[LINHA]])</f>
        <v>45893+JAKTAN DE OLIVEIRA RODRIGUES - 5836+GOIANIA (GO) X BELEM (PA)</v>
      </c>
      <c r="F205" s="1" t="str">
        <f>_xlfn.CONCAT(tabE.Flux[[#This Row],[DATA]],"+",tabE.Flux[[#This Row],[MOTORISTA + MATRÍCULA B]],"+",tabE.Flux[[#This Row],[LINHA]])</f>
        <v>45893+FELIPE MORAIS MELO - 3077+GOIANIA (GO) X BELEM (PA)</v>
      </c>
      <c r="G205" s="1" t="str">
        <f>_xlfn.CONCAT(tabE.Flux[[#This Row],[DATA]],"+",tabE.Flux[[#This Row],[LINHA]])</f>
        <v>45893+GOIANIA (GO) X BELEM (PA)</v>
      </c>
      <c r="H205" s="141">
        <v>45893</v>
      </c>
      <c r="I205" s="142" t="s">
        <v>15</v>
      </c>
      <c r="J205" s="142">
        <v>19022</v>
      </c>
      <c r="K205" s="143">
        <v>0.38958333333333334</v>
      </c>
      <c r="L205" s="143">
        <v>0.38541666666666669</v>
      </c>
      <c r="M205" s="142" t="s">
        <v>16</v>
      </c>
      <c r="N205" s="142" t="s">
        <v>33</v>
      </c>
      <c r="O205" s="142" t="s">
        <v>59</v>
      </c>
      <c r="P205" s="142" t="s">
        <v>78</v>
      </c>
      <c r="Q205" s="142" t="s">
        <v>20</v>
      </c>
      <c r="R205" s="76"/>
      <c r="S205" s="76"/>
      <c r="T205" s="76"/>
      <c r="U205" s="76"/>
      <c r="V205" s="76"/>
      <c r="W205" s="76"/>
      <c r="X205" s="76"/>
      <c r="Y205" s="76"/>
    </row>
    <row r="206" spans="1:25" s="6" customFormat="1" x14ac:dyDescent="0.25">
      <c r="A206" s="101"/>
      <c r="B206" s="101"/>
      <c r="C206" s="1" t="str">
        <f>_xlfn.CONCAT(tabE.Flux[[#This Row],[DATA]],"+",tabE.Flux[[#This Row],[MOTORISTA + MATRÍCULA A]])</f>
        <v>45893+MARCIO DE SOUSA MATOS - 5264</v>
      </c>
      <c r="D206" s="1" t="str">
        <f>_xlfn.CONCAT(tabE.Flux[[#This Row],[DATA]],"+",tabE.Flux[[#This Row],[MOTORISTA + MATRÍCULA B]])</f>
        <v>45893+DANYLSON BATISTA SANTANA - 5829</v>
      </c>
      <c r="E206" s="1" t="str">
        <f>_xlfn.CONCAT(tabE.Flux[[#This Row],[DATA]],"+",tabE.Flux[[#This Row],[MOTORISTA + MATRÍCULA A]],"+",tabE.Flux[[#This Row],[LINHA]])</f>
        <v>45893+MARCIO DE SOUSA MATOS - 5264+GOIANIA (GO) X TERESINA (PI) VIA BC</v>
      </c>
      <c r="F206" s="1" t="str">
        <f>_xlfn.CONCAT(tabE.Flux[[#This Row],[DATA]],"+",tabE.Flux[[#This Row],[MOTORISTA + MATRÍCULA B]],"+",tabE.Flux[[#This Row],[LINHA]])</f>
        <v>45893+DANYLSON BATISTA SANTANA - 5829+GOIANIA (GO) X TERESINA (PI) VIA BC</v>
      </c>
      <c r="G206" s="1" t="str">
        <f>_xlfn.CONCAT(tabE.Flux[[#This Row],[DATA]],"+",tabE.Flux[[#This Row],[LINHA]])</f>
        <v>45893+GOIANIA (GO) X TERESINA (PI) VIA BC</v>
      </c>
      <c r="H206" s="141">
        <v>45893</v>
      </c>
      <c r="I206" s="142" t="s">
        <v>15</v>
      </c>
      <c r="J206" s="142">
        <v>25007</v>
      </c>
      <c r="K206" s="143">
        <v>0.375</v>
      </c>
      <c r="L206" s="143">
        <v>0.39930555555555558</v>
      </c>
      <c r="M206" s="142" t="s">
        <v>36</v>
      </c>
      <c r="N206" s="142" t="s">
        <v>29</v>
      </c>
      <c r="O206" s="142" t="s">
        <v>62</v>
      </c>
      <c r="P206" s="142" t="s">
        <v>60</v>
      </c>
      <c r="Q206" s="142" t="s">
        <v>39</v>
      </c>
      <c r="R206" s="76"/>
      <c r="S206" s="76"/>
      <c r="T206" s="76"/>
      <c r="U206" s="76"/>
      <c r="V206" s="76"/>
      <c r="W206" s="76"/>
      <c r="X206" s="76"/>
      <c r="Y206" s="76"/>
    </row>
    <row r="207" spans="1:25" s="6" customFormat="1" x14ac:dyDescent="0.25">
      <c r="A207" s="101"/>
      <c r="B207" s="101"/>
      <c r="C207" s="1" t="str">
        <f>_xlfn.CONCAT(tabE.Flux[[#This Row],[DATA]],"+",tabE.Flux[[#This Row],[MOTORISTA + MATRÍCULA A]])</f>
        <v>45893+KLEBSON ALVES FREIRES - 3060</v>
      </c>
      <c r="D207" s="1" t="str">
        <f>_xlfn.CONCAT(tabE.Flux[[#This Row],[DATA]],"+",tabE.Flux[[#This Row],[MOTORISTA + MATRÍCULA B]])</f>
        <v>45893+LUIS ANTONIO FARIAS RIBEIRO - 2789</v>
      </c>
      <c r="E207" s="1" t="str">
        <f>_xlfn.CONCAT(tabE.Flux[[#This Row],[DATA]],"+",tabE.Flux[[#This Row],[MOTORISTA + MATRÍCULA A]],"+",tabE.Flux[[#This Row],[LINHA]])</f>
        <v>45893+KLEBSON ALVES FREIRES - 3060+GOIANIA (GO) X BELEM (PA)</v>
      </c>
      <c r="F207" s="1" t="str">
        <f>_xlfn.CONCAT(tabE.Flux[[#This Row],[DATA]],"+",tabE.Flux[[#This Row],[MOTORISTA + MATRÍCULA B]],"+",tabE.Flux[[#This Row],[LINHA]])</f>
        <v>45893+LUIS ANTONIO FARIAS RIBEIRO - 2789+GOIANIA (GO) X BELEM (PA)</v>
      </c>
      <c r="G207" s="1" t="str">
        <f>_xlfn.CONCAT(tabE.Flux[[#This Row],[DATA]],"+",tabE.Flux[[#This Row],[LINHA]])</f>
        <v>45893+GOIANIA (GO) X BELEM (PA)</v>
      </c>
      <c r="H207" s="141">
        <v>45893</v>
      </c>
      <c r="I207" s="142" t="s">
        <v>15</v>
      </c>
      <c r="J207" s="142">
        <v>19024</v>
      </c>
      <c r="K207" s="143">
        <v>0.375</v>
      </c>
      <c r="L207" s="143">
        <v>0.41666666666666669</v>
      </c>
      <c r="M207" s="142" t="s">
        <v>33</v>
      </c>
      <c r="N207" s="142" t="s">
        <v>16</v>
      </c>
      <c r="O207" s="142" t="s">
        <v>161</v>
      </c>
      <c r="P207" s="142" t="s">
        <v>124</v>
      </c>
      <c r="Q207" s="142" t="s">
        <v>20</v>
      </c>
      <c r="R207" s="76"/>
      <c r="S207" s="76"/>
      <c r="T207" s="76"/>
      <c r="U207" s="76"/>
      <c r="V207" s="76"/>
      <c r="W207" s="76"/>
      <c r="X207" s="76"/>
      <c r="Y207" s="76"/>
    </row>
    <row r="208" spans="1:25" s="6" customFormat="1" x14ac:dyDescent="0.25">
      <c r="A208" s="101"/>
      <c r="B208" s="101"/>
      <c r="C208" s="1" t="str">
        <f>_xlfn.CONCAT(tabE.Flux[[#This Row],[DATA]],"+",tabE.Flux[[#This Row],[MOTORISTA + MATRÍCULA A]])</f>
        <v>45893+CANCELADO</v>
      </c>
      <c r="D208" s="1" t="str">
        <f>_xlfn.CONCAT(tabE.Flux[[#This Row],[DATA]],"+",tabE.Flux[[#This Row],[MOTORISTA + MATRÍCULA B]])</f>
        <v>45893+CANCELADO</v>
      </c>
      <c r="E208" s="1" t="str">
        <f>_xlfn.CONCAT(tabE.Flux[[#This Row],[DATA]],"+",tabE.Flux[[#This Row],[MOTORISTA + MATRÍCULA A]],"+",tabE.Flux[[#This Row],[LINHA]])</f>
        <v>45893+CANCELADO+GOIANIA (GO) X SAO LUIS (MA)</v>
      </c>
      <c r="F208" s="1" t="str">
        <f>_xlfn.CONCAT(tabE.Flux[[#This Row],[DATA]],"+",tabE.Flux[[#This Row],[MOTORISTA + MATRÍCULA B]],"+",tabE.Flux[[#This Row],[LINHA]])</f>
        <v>45893+CANCELADO+GOIANIA (GO) X SAO LUIS (MA)</v>
      </c>
      <c r="G208" s="1" t="str">
        <f>_xlfn.CONCAT(tabE.Flux[[#This Row],[DATA]],"+",tabE.Flux[[#This Row],[LINHA]])</f>
        <v>45893+GOIANIA (GO) X SAO LUIS (MA)</v>
      </c>
      <c r="H208" s="141">
        <v>45893</v>
      </c>
      <c r="I208" s="142" t="s">
        <v>15</v>
      </c>
      <c r="J208" s="144" t="s">
        <v>27</v>
      </c>
      <c r="K208" s="143">
        <v>0.25</v>
      </c>
      <c r="L208" s="143">
        <v>0.29166666666666669</v>
      </c>
      <c r="M208" s="142" t="s">
        <v>42</v>
      </c>
      <c r="N208" s="142" t="s">
        <v>16</v>
      </c>
      <c r="O208" s="144" t="s">
        <v>27</v>
      </c>
      <c r="P208" s="144" t="s">
        <v>27</v>
      </c>
      <c r="Q208" s="142" t="s">
        <v>23</v>
      </c>
      <c r="R208" s="76"/>
      <c r="S208" s="76"/>
      <c r="T208" s="76"/>
      <c r="U208" s="76"/>
      <c r="V208" s="76"/>
      <c r="W208" s="76"/>
      <c r="X208" s="76"/>
      <c r="Y208" s="76"/>
    </row>
    <row r="209" spans="1:25" s="6" customFormat="1" x14ac:dyDescent="0.25">
      <c r="A209" s="101"/>
      <c r="B209" s="101"/>
      <c r="C209" s="1" t="str">
        <f>_xlfn.CONCAT(tabE.Flux[[#This Row],[DATA]],"+",tabE.Flux[[#This Row],[MOTORISTA + MATRÍCULA A]])</f>
        <v>45893+EDIVALDO DE ARAUJO - 6217</v>
      </c>
      <c r="D209" s="1" t="str">
        <f>_xlfn.CONCAT(tabE.Flux[[#This Row],[DATA]],"+",tabE.Flux[[#This Row],[MOTORISTA + MATRÍCULA B]])</f>
        <v>45893+MARCOS ATAIDE SILVA - 1352</v>
      </c>
      <c r="E209" s="1" t="str">
        <f>_xlfn.CONCAT(tabE.Flux[[#This Row],[DATA]],"+",tabE.Flux[[#This Row],[MOTORISTA + MATRÍCULA A]],"+",tabE.Flux[[#This Row],[LINHA]])</f>
        <v>45893+EDIVALDO DE ARAUJO - 6217+GOIANIA (GO) X SAO LUIS (MA)</v>
      </c>
      <c r="F209" s="1" t="str">
        <f>_xlfn.CONCAT(tabE.Flux[[#This Row],[DATA]],"+",tabE.Flux[[#This Row],[MOTORISTA + MATRÍCULA B]],"+",tabE.Flux[[#This Row],[LINHA]])</f>
        <v>45893+MARCOS ATAIDE SILVA - 1352+GOIANIA (GO) X SAO LUIS (MA)</v>
      </c>
      <c r="G209" s="1" t="str">
        <f>_xlfn.CONCAT(tabE.Flux[[#This Row],[DATA]],"+",tabE.Flux[[#This Row],[LINHA]])</f>
        <v>45893+GOIANIA (GO) X SAO LUIS (MA)</v>
      </c>
      <c r="H209" s="141">
        <v>45893</v>
      </c>
      <c r="I209" s="142" t="s">
        <v>15</v>
      </c>
      <c r="J209" s="142">
        <v>25006</v>
      </c>
      <c r="K209" s="143">
        <v>0.75</v>
      </c>
      <c r="L209" s="143">
        <v>0.79166666666666663</v>
      </c>
      <c r="M209" s="142" t="s">
        <v>42</v>
      </c>
      <c r="N209" s="142" t="s">
        <v>16</v>
      </c>
      <c r="O209" s="142" t="s">
        <v>55</v>
      </c>
      <c r="P209" s="142" t="s">
        <v>113</v>
      </c>
      <c r="Q209" s="142" t="s">
        <v>23</v>
      </c>
      <c r="R209" s="76"/>
      <c r="S209" s="76"/>
      <c r="T209" s="76"/>
      <c r="U209" s="76"/>
      <c r="V209" s="76"/>
      <c r="W209" s="76"/>
      <c r="X209" s="76"/>
      <c r="Y209" s="76"/>
    </row>
    <row r="210" spans="1:25" s="6" customFormat="1" x14ac:dyDescent="0.25">
      <c r="A210" s="101"/>
      <c r="B210" s="101"/>
      <c r="C210" s="1" t="str">
        <f>_xlfn.CONCAT(tabE.Flux[[#This Row],[DATA]],"+",tabE.Flux[[#This Row],[MOTORISTA + MATRÍCULA A]])</f>
        <v>45893+ALTEMAR DO NASCIMENTO LIMA - 6225</v>
      </c>
      <c r="D210" s="1" t="str">
        <f>_xlfn.CONCAT(tabE.Flux[[#This Row],[DATA]],"+",tabE.Flux[[#This Row],[MOTORISTA + MATRÍCULA B]])</f>
        <v>45893+JARDEL DE SOUSA OLIVEIRA - 5992</v>
      </c>
      <c r="E210" s="1" t="str">
        <f>_xlfn.CONCAT(tabE.Flux[[#This Row],[DATA]],"+",tabE.Flux[[#This Row],[MOTORISTA + MATRÍCULA A]],"+",tabE.Flux[[#This Row],[LINHA]])</f>
        <v>45893+ALTEMAR DO NASCIMENTO LIMA - 6225+IMPERATRIZ (MA) X SÃO LUIS (MA)</v>
      </c>
      <c r="F210" s="1" t="str">
        <f>_xlfn.CONCAT(tabE.Flux[[#This Row],[DATA]],"+",tabE.Flux[[#This Row],[MOTORISTA + MATRÍCULA B]],"+",tabE.Flux[[#This Row],[LINHA]])</f>
        <v>45893+JARDEL DE SOUSA OLIVEIRA - 5992+IMPERATRIZ (MA) X SÃO LUIS (MA)</v>
      </c>
      <c r="G210" s="1" t="str">
        <f>_xlfn.CONCAT(tabE.Flux[[#This Row],[DATA]],"+",tabE.Flux[[#This Row],[LINHA]])</f>
        <v>45893+IMPERATRIZ (MA) X SÃO LUIS (MA)</v>
      </c>
      <c r="H210" s="141">
        <v>45893</v>
      </c>
      <c r="I210" s="142" t="s">
        <v>15</v>
      </c>
      <c r="J210" s="142">
        <v>18008</v>
      </c>
      <c r="K210" s="143">
        <v>0.77083333333333337</v>
      </c>
      <c r="L210" s="143">
        <v>0.79513888888888884</v>
      </c>
      <c r="M210" s="142" t="s">
        <v>42</v>
      </c>
      <c r="N210" s="142" t="s">
        <v>16</v>
      </c>
      <c r="O210" s="142" t="s">
        <v>57</v>
      </c>
      <c r="P210" s="142" t="s">
        <v>150</v>
      </c>
      <c r="Q210" s="142" t="s">
        <v>47</v>
      </c>
      <c r="R210" s="76"/>
      <c r="S210" s="76"/>
      <c r="T210" s="76"/>
      <c r="U210" s="76"/>
      <c r="V210" s="76"/>
      <c r="W210" s="76"/>
      <c r="X210" s="76"/>
      <c r="Y210" s="76"/>
    </row>
    <row r="211" spans="1:25" s="6" customFormat="1" x14ac:dyDescent="0.25">
      <c r="A211" s="101"/>
      <c r="B211" s="101"/>
      <c r="C211" s="1" t="str">
        <f>_xlfn.CONCAT(tabE.Flux[[#This Row],[DATA]],"+",tabE.Flux[[#This Row],[MOTORISTA + MATRÍCULA A]])</f>
        <v>45893+NELIO ALENCAR DOS SANTOS - 1759</v>
      </c>
      <c r="D211" s="1" t="str">
        <f>_xlfn.CONCAT(tabE.Flux[[#This Row],[DATA]],"+",tabE.Flux[[#This Row],[MOTORISTA + MATRÍCULA B]])</f>
        <v>45893+LOURIVAL FRANCISCO DA COSTA - 5826</v>
      </c>
      <c r="E211" s="1" t="str">
        <f>_xlfn.CONCAT(tabE.Flux[[#This Row],[DATA]],"+",tabE.Flux[[#This Row],[MOTORISTA + MATRÍCULA A]],"+",tabE.Flux[[#This Row],[LINHA]])</f>
        <v>45893+NELIO ALENCAR DOS SANTOS - 1759+GOIANIA (GO) X TERESINA (PI) VIA BC</v>
      </c>
      <c r="F211" s="1" t="str">
        <f>_xlfn.CONCAT(tabE.Flux[[#This Row],[DATA]],"+",tabE.Flux[[#This Row],[MOTORISTA + MATRÍCULA B]],"+",tabE.Flux[[#This Row],[LINHA]])</f>
        <v>45893+LOURIVAL FRANCISCO DA COSTA - 5826+GOIANIA (GO) X TERESINA (PI) VIA BC</v>
      </c>
      <c r="G211" s="1" t="str">
        <f>_xlfn.CONCAT(tabE.Flux[[#This Row],[DATA]],"+",tabE.Flux[[#This Row],[LINHA]])</f>
        <v>45893+GOIANIA (GO) X TERESINA (PI) VIA BC</v>
      </c>
      <c r="H211" s="141">
        <v>45893</v>
      </c>
      <c r="I211" s="142" t="s">
        <v>15</v>
      </c>
      <c r="J211" s="142">
        <v>24003</v>
      </c>
      <c r="K211" s="143">
        <v>0.89583333333333337</v>
      </c>
      <c r="L211" s="143">
        <v>0.91666666666666663</v>
      </c>
      <c r="M211" s="142" t="s">
        <v>36</v>
      </c>
      <c r="N211" s="142" t="s">
        <v>17</v>
      </c>
      <c r="O211" s="142" t="s">
        <v>67</v>
      </c>
      <c r="P211" s="142" t="s">
        <v>68</v>
      </c>
      <c r="Q211" s="142" t="s">
        <v>39</v>
      </c>
      <c r="R211" s="76"/>
      <c r="S211" s="76"/>
      <c r="T211" s="76"/>
      <c r="U211" s="76"/>
      <c r="V211" s="76"/>
      <c r="W211" s="76"/>
      <c r="X211" s="76"/>
      <c r="Y211" s="76"/>
    </row>
    <row r="212" spans="1:25" s="6" customFormat="1" x14ac:dyDescent="0.25">
      <c r="A212" s="101"/>
      <c r="B212" s="101"/>
      <c r="C212" s="1" t="str">
        <f>_xlfn.CONCAT(tabE.Flux[[#This Row],[DATA]],"+",tabE.Flux[[#This Row],[MOTORISTA + MATRÍCULA A]])</f>
        <v>45893+FRANCISCO LINDONALDO DE SOUSA - 2971</v>
      </c>
      <c r="D212" s="1" t="str">
        <f>_xlfn.CONCAT(tabE.Flux[[#This Row],[DATA]],"+",tabE.Flux[[#This Row],[MOTORISTA + MATRÍCULA B]])</f>
        <v>45893+ANTONIO RAMIRO WEBER - 5452</v>
      </c>
      <c r="E212" s="1" t="str">
        <f>_xlfn.CONCAT(tabE.Flux[[#This Row],[DATA]],"+",tabE.Flux[[#This Row],[MOTORISTA + MATRÍCULA A]],"+",tabE.Flux[[#This Row],[LINHA]])</f>
        <v>45893+FRANCISCO LINDONALDO DE SOUSA - 2971+GOIANIA (GO) X BELEM (PA)</v>
      </c>
      <c r="F212" s="1" t="str">
        <f>_xlfn.CONCAT(tabE.Flux[[#This Row],[DATA]],"+",tabE.Flux[[#This Row],[MOTORISTA + MATRÍCULA B]],"+",tabE.Flux[[#This Row],[LINHA]])</f>
        <v>45893+ANTONIO RAMIRO WEBER - 5452+GOIANIA (GO) X BELEM (PA)</v>
      </c>
      <c r="G212" s="1" t="str">
        <f>_xlfn.CONCAT(tabE.Flux[[#This Row],[DATA]],"+",tabE.Flux[[#This Row],[LINHA]])</f>
        <v>45893+GOIANIA (GO) X BELEM (PA)</v>
      </c>
      <c r="H212" s="141">
        <v>45893</v>
      </c>
      <c r="I212" s="142" t="s">
        <v>15</v>
      </c>
      <c r="J212" s="142">
        <v>24012</v>
      </c>
      <c r="K212" s="143">
        <v>0.76041666666666663</v>
      </c>
      <c r="L212" s="143">
        <v>0.77083333333333337</v>
      </c>
      <c r="M212" s="142" t="s">
        <v>33</v>
      </c>
      <c r="N212" s="142" t="s">
        <v>16</v>
      </c>
      <c r="O212" s="142" t="s">
        <v>131</v>
      </c>
      <c r="P212" s="142" t="s">
        <v>79</v>
      </c>
      <c r="Q212" s="142" t="s">
        <v>20</v>
      </c>
      <c r="R212" s="76"/>
      <c r="S212" s="76"/>
      <c r="T212" s="76"/>
      <c r="U212" s="76"/>
      <c r="V212" s="76"/>
      <c r="W212" s="76"/>
      <c r="X212" s="76"/>
      <c r="Y212" s="76"/>
    </row>
    <row r="213" spans="1:25" s="6" customFormat="1" x14ac:dyDescent="0.25">
      <c r="A213" s="101"/>
      <c r="B213" s="101"/>
      <c r="C213" s="1" t="str">
        <f>_xlfn.CONCAT(tabE.Flux[[#This Row],[DATA]],"+",tabE.Flux[[#This Row],[MOTORISTA + MATRÍCULA A]])</f>
        <v>45893+RAINERIO COSTA MENDES - 5850</v>
      </c>
      <c r="D213" s="1" t="str">
        <f>_xlfn.CONCAT(tabE.Flux[[#This Row],[DATA]],"+",tabE.Flux[[#This Row],[MOTORISTA + MATRÍCULA B]])</f>
        <v>45893+JERZUALDO DA SILVA GOMES - 4077</v>
      </c>
      <c r="E213" s="1" t="str">
        <f>_xlfn.CONCAT(tabE.Flux[[#This Row],[DATA]],"+",tabE.Flux[[#This Row],[MOTORISTA + MATRÍCULA A]],"+",tabE.Flux[[#This Row],[LINHA]])</f>
        <v>45893+RAINERIO COSTA MENDES - 5850+GOIANIA (GO) X BELEM (PA)</v>
      </c>
      <c r="F213" s="1" t="str">
        <f>_xlfn.CONCAT(tabE.Flux[[#This Row],[DATA]],"+",tabE.Flux[[#This Row],[MOTORISTA + MATRÍCULA B]],"+",tabE.Flux[[#This Row],[LINHA]])</f>
        <v>45893+JERZUALDO DA SILVA GOMES - 4077+GOIANIA (GO) X BELEM (PA)</v>
      </c>
      <c r="G213" s="1" t="str">
        <f>_xlfn.CONCAT(tabE.Flux[[#This Row],[DATA]],"+",tabE.Flux[[#This Row],[LINHA]])</f>
        <v>45893+GOIANIA (GO) X BELEM (PA)</v>
      </c>
      <c r="H213" s="141">
        <v>45893</v>
      </c>
      <c r="I213" s="142" t="s">
        <v>15</v>
      </c>
      <c r="J213" s="142">
        <v>24010</v>
      </c>
      <c r="K213" s="143">
        <v>0.76041666666666663</v>
      </c>
      <c r="L213" s="143">
        <v>0.82777777777777772</v>
      </c>
      <c r="M213" s="142" t="s">
        <v>16</v>
      </c>
      <c r="N213" s="142" t="s">
        <v>33</v>
      </c>
      <c r="O213" s="142" t="s">
        <v>108</v>
      </c>
      <c r="P213" s="142" t="s">
        <v>130</v>
      </c>
      <c r="Q213" s="142" t="s">
        <v>20</v>
      </c>
      <c r="R213" s="76"/>
      <c r="S213" s="76"/>
      <c r="T213" s="76"/>
      <c r="U213" s="76"/>
      <c r="V213" s="76"/>
      <c r="W213" s="76"/>
      <c r="X213" s="76"/>
      <c r="Y213" s="76"/>
    </row>
    <row r="214" spans="1:25" s="6" customFormat="1" x14ac:dyDescent="0.25">
      <c r="A214" s="101"/>
      <c r="B214" s="101"/>
      <c r="C214" s="1" t="str">
        <f>_xlfn.CONCAT(tabE.Flux[[#This Row],[DATA]],"+",tabE.Flux[[#This Row],[MOTORISTA + MATRÍCULA A]])</f>
        <v>45893+IZALMIR RODRIGUES COELHO - 958</v>
      </c>
      <c r="D214" s="1" t="str">
        <f>_xlfn.CONCAT(tabE.Flux[[#This Row],[DATA]],"+",tabE.Flux[[#This Row],[MOTORISTA + MATRÍCULA B]])</f>
        <v>45893+PAULO ENEAS FARIAS ARAUJO - 6218</v>
      </c>
      <c r="E214" s="1" t="str">
        <f>_xlfn.CONCAT(tabE.Flux[[#This Row],[DATA]],"+",tabE.Flux[[#This Row],[MOTORISTA + MATRÍCULA A]],"+",tabE.Flux[[#This Row],[LINHA]])</f>
        <v>45893+IZALMIR RODRIGUES COELHO - 958+GOIANIA (GO) X SAO LUIS (MA)</v>
      </c>
      <c r="F214" s="1" t="str">
        <f>_xlfn.CONCAT(tabE.Flux[[#This Row],[DATA]],"+",tabE.Flux[[#This Row],[MOTORISTA + MATRÍCULA B]],"+",tabE.Flux[[#This Row],[LINHA]])</f>
        <v>45893+PAULO ENEAS FARIAS ARAUJO - 6218+GOIANIA (GO) X SAO LUIS (MA)</v>
      </c>
      <c r="G214" s="1" t="str">
        <f>_xlfn.CONCAT(tabE.Flux[[#This Row],[DATA]],"+",tabE.Flux[[#This Row],[LINHA]])</f>
        <v>45893+GOIANIA (GO) X SAO LUIS (MA)</v>
      </c>
      <c r="H214" s="141">
        <v>45893</v>
      </c>
      <c r="I214" s="142" t="s">
        <v>15</v>
      </c>
      <c r="J214" s="142">
        <v>19015</v>
      </c>
      <c r="K214" s="143">
        <v>0.40763888888888888</v>
      </c>
      <c r="L214" s="143">
        <v>0.47013888888888888</v>
      </c>
      <c r="M214" s="142" t="s">
        <v>16</v>
      </c>
      <c r="N214" s="142" t="s">
        <v>42</v>
      </c>
      <c r="O214" s="142" t="s">
        <v>83</v>
      </c>
      <c r="P214" s="142" t="s">
        <v>43</v>
      </c>
      <c r="Q214" s="142" t="s">
        <v>23</v>
      </c>
      <c r="R214" s="76"/>
      <c r="S214" s="76"/>
      <c r="T214" s="76"/>
      <c r="U214" s="76"/>
      <c r="V214" s="76"/>
      <c r="W214" s="76"/>
      <c r="X214" s="76"/>
      <c r="Y214" s="76"/>
    </row>
    <row r="215" spans="1:25" s="6" customFormat="1" x14ac:dyDescent="0.25">
      <c r="A215" s="101"/>
      <c r="B215" s="101"/>
      <c r="C215" s="1" t="str">
        <f>_xlfn.CONCAT(tabE.Flux[[#This Row],[DATA]],"+",tabE.Flux[[#This Row],[MOTORISTA + MATRÍCULA A]])</f>
        <v>45893+CANCELADO</v>
      </c>
      <c r="D215" s="1" t="str">
        <f>_xlfn.CONCAT(tabE.Flux[[#This Row],[DATA]],"+",tabE.Flux[[#This Row],[MOTORISTA + MATRÍCULA B]])</f>
        <v>45893+CANCELADO</v>
      </c>
      <c r="E215" s="1" t="str">
        <f>_xlfn.CONCAT(tabE.Flux[[#This Row],[DATA]],"+",tabE.Flux[[#This Row],[MOTORISTA + MATRÍCULA A]],"+",tabE.Flux[[#This Row],[LINHA]])</f>
        <v>45893+CANCELADO+IMPERATRIZ (MA) X SÃO LUIS (MA)</v>
      </c>
      <c r="F215" s="1" t="str">
        <f>_xlfn.CONCAT(tabE.Flux[[#This Row],[DATA]],"+",tabE.Flux[[#This Row],[MOTORISTA + MATRÍCULA B]],"+",tabE.Flux[[#This Row],[LINHA]])</f>
        <v>45893+CANCELADO+IMPERATRIZ (MA) X SÃO LUIS (MA)</v>
      </c>
      <c r="G215" s="1" t="str">
        <f>_xlfn.CONCAT(tabE.Flux[[#This Row],[DATA]],"+",tabE.Flux[[#This Row],[LINHA]])</f>
        <v>45893+IMPERATRIZ (MA) X SÃO LUIS (MA)</v>
      </c>
      <c r="H215" s="141">
        <v>45893</v>
      </c>
      <c r="I215" s="142" t="s">
        <v>15</v>
      </c>
      <c r="J215" s="144" t="s">
        <v>27</v>
      </c>
      <c r="K215" s="143">
        <v>0.77083333333333337</v>
      </c>
      <c r="L215" s="143">
        <v>0.8125</v>
      </c>
      <c r="M215" s="142" t="s">
        <v>16</v>
      </c>
      <c r="N215" s="142" t="s">
        <v>42</v>
      </c>
      <c r="O215" s="144" t="s">
        <v>27</v>
      </c>
      <c r="P215" s="144" t="s">
        <v>27</v>
      </c>
      <c r="Q215" s="142" t="s">
        <v>47</v>
      </c>
      <c r="R215" s="76"/>
      <c r="S215" s="76"/>
      <c r="T215" s="76"/>
      <c r="U215" s="76"/>
      <c r="V215" s="76"/>
      <c r="W215" s="76"/>
      <c r="X215" s="76"/>
      <c r="Y215" s="76"/>
    </row>
    <row r="216" spans="1:25" s="6" customFormat="1" x14ac:dyDescent="0.25">
      <c r="A216" s="101"/>
      <c r="B216" s="101"/>
      <c r="C216" s="1" t="str">
        <f>_xlfn.CONCAT(tabE.Flux[[#This Row],[DATA]],"+",tabE.Flux[[#This Row],[MOTORISTA + MATRÍCULA A]])</f>
        <v>45893+REINAN JOSE BORGES SOUSA - 1075</v>
      </c>
      <c r="D216" s="1" t="str">
        <f>_xlfn.CONCAT(tabE.Flux[[#This Row],[DATA]],"+",tabE.Flux[[#This Row],[MOTORISTA + MATRÍCULA B]])</f>
        <v>45893+LAUCEANDO DA SILVA ROCHA - 6220</v>
      </c>
      <c r="E216" s="1" t="str">
        <f>_xlfn.CONCAT(tabE.Flux[[#This Row],[DATA]],"+",tabE.Flux[[#This Row],[MOTORISTA + MATRÍCULA A]],"+",tabE.Flux[[#This Row],[LINHA]])</f>
        <v>45893+REINAN JOSE BORGES SOUSA - 1075+GOIANIA (GO) X SAO LUIS (MA)</v>
      </c>
      <c r="F216" s="1" t="str">
        <f>_xlfn.CONCAT(tabE.Flux[[#This Row],[DATA]],"+",tabE.Flux[[#This Row],[MOTORISTA + MATRÍCULA B]],"+",tabE.Flux[[#This Row],[LINHA]])</f>
        <v>45893+LAUCEANDO DA SILVA ROCHA - 6220+GOIANIA (GO) X SAO LUIS (MA)</v>
      </c>
      <c r="G216" s="1" t="str">
        <f>_xlfn.CONCAT(tabE.Flux[[#This Row],[DATA]],"+",tabE.Flux[[#This Row],[LINHA]])</f>
        <v>45893+GOIANIA (GO) X SAO LUIS (MA)</v>
      </c>
      <c r="H216" s="141">
        <v>45893</v>
      </c>
      <c r="I216" s="142" t="s">
        <v>15</v>
      </c>
      <c r="J216" s="142">
        <v>24005</v>
      </c>
      <c r="K216" s="143">
        <v>0.8125</v>
      </c>
      <c r="L216" s="143">
        <v>0.84375</v>
      </c>
      <c r="M216" s="142" t="s">
        <v>16</v>
      </c>
      <c r="N216" s="142" t="s">
        <v>42</v>
      </c>
      <c r="O216" s="142" t="s">
        <v>84</v>
      </c>
      <c r="P216" s="142" t="s">
        <v>86</v>
      </c>
      <c r="Q216" s="142" t="s">
        <v>23</v>
      </c>
      <c r="R216" s="76"/>
      <c r="S216" s="76"/>
      <c r="T216" s="76"/>
      <c r="U216" s="76"/>
      <c r="V216" s="76"/>
      <c r="W216" s="76"/>
      <c r="X216" s="76"/>
      <c r="Y216" s="76"/>
    </row>
    <row r="217" spans="1:25" s="6" customFormat="1" x14ac:dyDescent="0.25">
      <c r="A217" s="101"/>
      <c r="B217" s="101"/>
      <c r="C217" s="1" t="str">
        <f>_xlfn.CONCAT(tabE.Flux[[#This Row],[DATA]],"+",tabE.Flux[[#This Row],[MOTORISTA + MATRÍCULA A]])</f>
        <v>45893+LUIZ CARLOS MARIANO SIQUEIRA - 5634</v>
      </c>
      <c r="D217" s="1" t="str">
        <f>_xlfn.CONCAT(tabE.Flux[[#This Row],[DATA]],"+",tabE.Flux[[#This Row],[MOTORISTA + MATRÍCULA B]])</f>
        <v>45893+MARCOS ANTONIO ALVES DE SOUSA - 5278</v>
      </c>
      <c r="E217" s="1" t="str">
        <f>_xlfn.CONCAT(tabE.Flux[[#This Row],[DATA]],"+",tabE.Flux[[#This Row],[MOTORISTA + MATRÍCULA A]],"+",tabE.Flux[[#This Row],[LINHA]])</f>
        <v>45893+LUIZ CARLOS MARIANO SIQUEIRA - 5634+GOIANIA (GO) X TERESINA (PI) VIA STI</v>
      </c>
      <c r="F217" s="1" t="str">
        <f>_xlfn.CONCAT(tabE.Flux[[#This Row],[DATA]],"+",tabE.Flux[[#This Row],[MOTORISTA + MATRÍCULA B]],"+",tabE.Flux[[#This Row],[LINHA]])</f>
        <v>45893+MARCOS ANTONIO ALVES DE SOUSA - 5278+GOIANIA (GO) X TERESINA (PI) VIA STI</v>
      </c>
      <c r="G217" s="1" t="str">
        <f>_xlfn.CONCAT(tabE.Flux[[#This Row],[DATA]],"+",tabE.Flux[[#This Row],[LINHA]])</f>
        <v>45893+GOIANIA (GO) X TERESINA (PI) VIA STI</v>
      </c>
      <c r="H217" s="141">
        <v>45893</v>
      </c>
      <c r="I217" s="142" t="s">
        <v>15</v>
      </c>
      <c r="J217" s="142">
        <v>17200</v>
      </c>
      <c r="K217" s="143">
        <v>0.77083333333333337</v>
      </c>
      <c r="L217" s="143">
        <v>0.79861111111111116</v>
      </c>
      <c r="M217" s="142" t="s">
        <v>16</v>
      </c>
      <c r="N217" s="142" t="s">
        <v>29</v>
      </c>
      <c r="O217" s="142" t="s">
        <v>51</v>
      </c>
      <c r="P217" s="142" t="s">
        <v>210</v>
      </c>
      <c r="Q217" s="142" t="s">
        <v>26</v>
      </c>
      <c r="R217" s="76"/>
      <c r="S217" s="76"/>
      <c r="T217" s="76"/>
      <c r="U217" s="76"/>
      <c r="V217" s="76"/>
      <c r="W217" s="76"/>
      <c r="X217" s="76"/>
      <c r="Y217" s="76"/>
    </row>
    <row r="218" spans="1:25" s="6" customFormat="1" x14ac:dyDescent="0.25">
      <c r="A218" s="101"/>
      <c r="B218" s="101"/>
      <c r="C218" s="1" t="str">
        <f>_xlfn.CONCAT(tabE.Flux[[#This Row],[DATA]],"+",tabE.Flux[[#This Row],[MOTORISTA + MATRÍCULA A]])</f>
        <v>45893+CANCELADO</v>
      </c>
      <c r="D218" s="1" t="str">
        <f>_xlfn.CONCAT(tabE.Flux[[#This Row],[DATA]],"+",tabE.Flux[[#This Row],[MOTORISTA + MATRÍCULA B]])</f>
        <v>45893+CANCELADO</v>
      </c>
      <c r="E218" s="1" t="str">
        <f>_xlfn.CONCAT(tabE.Flux[[#This Row],[DATA]],"+",tabE.Flux[[#This Row],[MOTORISTA + MATRÍCULA A]],"+",tabE.Flux[[#This Row],[LINHA]])</f>
        <v>45893+CANCELADO+GOIANIA (GO) X SAO LUIS (MA)</v>
      </c>
      <c r="F218" s="1" t="str">
        <f>_xlfn.CONCAT(tabE.Flux[[#This Row],[DATA]],"+",tabE.Flux[[#This Row],[MOTORISTA + MATRÍCULA B]],"+",tabE.Flux[[#This Row],[LINHA]])</f>
        <v>45893+CANCELADO+GOIANIA (GO) X SAO LUIS (MA)</v>
      </c>
      <c r="G218" s="1" t="str">
        <f>_xlfn.CONCAT(tabE.Flux[[#This Row],[DATA]],"+",tabE.Flux[[#This Row],[LINHA]])</f>
        <v>45893+GOIANIA (GO) X SAO LUIS (MA)</v>
      </c>
      <c r="H218" s="141">
        <v>45893</v>
      </c>
      <c r="I218" s="142" t="s">
        <v>15</v>
      </c>
      <c r="J218" s="144" t="s">
        <v>27</v>
      </c>
      <c r="K218" s="143">
        <v>0.8125</v>
      </c>
      <c r="L218" s="143">
        <v>0.84166666666666667</v>
      </c>
      <c r="M218" s="142" t="s">
        <v>16</v>
      </c>
      <c r="N218" s="142" t="s">
        <v>17</v>
      </c>
      <c r="O218" s="144" t="s">
        <v>27</v>
      </c>
      <c r="P218" s="144" t="s">
        <v>27</v>
      </c>
      <c r="Q218" s="142" t="s">
        <v>23</v>
      </c>
      <c r="R218" s="76"/>
      <c r="S218" s="76"/>
      <c r="T218" s="76"/>
      <c r="U218" s="76"/>
      <c r="V218" s="76"/>
      <c r="W218" s="76"/>
      <c r="X218" s="76"/>
      <c r="Y218" s="76"/>
    </row>
    <row r="219" spans="1:25" s="6" customFormat="1" x14ac:dyDescent="0.25">
      <c r="A219" s="101"/>
      <c r="B219" s="101"/>
      <c r="C219" s="1" t="str">
        <f>_xlfn.CONCAT(tabE.Flux[[#This Row],[DATA]],"+",tabE.Flux[[#This Row],[MOTORISTA + MATRÍCULA A]])</f>
        <v>45893+CLAUDIOMAR ALENCAR DO NASCIMENTO - 2970</v>
      </c>
      <c r="D219" s="1" t="str">
        <f>_xlfn.CONCAT(tabE.Flux[[#This Row],[DATA]],"+",tabE.Flux[[#This Row],[MOTORISTA + MATRÍCULA B]])</f>
        <v>45893+CLODOALDO PEREIRA DE LIMA - 4067</v>
      </c>
      <c r="E219" s="1" t="str">
        <f>_xlfn.CONCAT(tabE.Flux[[#This Row],[DATA]],"+",tabE.Flux[[#This Row],[MOTORISTA + MATRÍCULA A]],"+",tabE.Flux[[#This Row],[LINHA]])</f>
        <v>45893+CLAUDIOMAR ALENCAR DO NASCIMENTO - 2970+FORTALEZA (CE) X SINOP (MT)</v>
      </c>
      <c r="F219" s="1" t="str">
        <f>_xlfn.CONCAT(tabE.Flux[[#This Row],[DATA]],"+",tabE.Flux[[#This Row],[MOTORISTA + MATRÍCULA B]],"+",tabE.Flux[[#This Row],[LINHA]])</f>
        <v>45893+CLODOALDO PEREIRA DE LIMA - 4067+FORTALEZA (CE) X SINOP (MT)</v>
      </c>
      <c r="G219" s="1" t="str">
        <f>_xlfn.CONCAT(tabE.Flux[[#This Row],[DATA]],"+",tabE.Flux[[#This Row],[LINHA]])</f>
        <v>45893+FORTALEZA (CE) X SINOP (MT)</v>
      </c>
      <c r="H219" s="141">
        <v>45893</v>
      </c>
      <c r="I219" s="142" t="s">
        <v>15</v>
      </c>
      <c r="J219" s="142">
        <v>16800</v>
      </c>
      <c r="K219" s="143">
        <v>0.8125</v>
      </c>
      <c r="L219" s="143">
        <v>0.85416666666666663</v>
      </c>
      <c r="M219" s="142" t="s">
        <v>16</v>
      </c>
      <c r="N219" s="142" t="s">
        <v>17</v>
      </c>
      <c r="O219" s="142" t="s">
        <v>211</v>
      </c>
      <c r="P219" s="142" t="s">
        <v>109</v>
      </c>
      <c r="Q219" s="142" t="s">
        <v>32</v>
      </c>
      <c r="R219" s="76"/>
      <c r="S219" s="76"/>
      <c r="T219" s="76"/>
      <c r="U219" s="76"/>
      <c r="V219" s="76"/>
      <c r="W219" s="76"/>
      <c r="X219" s="76"/>
      <c r="Y219" s="76"/>
    </row>
    <row r="220" spans="1:25" s="6" customFormat="1" x14ac:dyDescent="0.25">
      <c r="A220" s="101"/>
      <c r="B220" s="101"/>
      <c r="C220" s="1" t="str">
        <f>_xlfn.CONCAT(tabE.Flux[[#This Row],[DATA]],"+",tabE.Flux[[#This Row],[MOTORISTA + MATRÍCULA A]])</f>
        <v>45893+EDIMAR FRANCISCO ALEIXO - 5593</v>
      </c>
      <c r="D220" s="1" t="str">
        <f>_xlfn.CONCAT(tabE.Flux[[#This Row],[DATA]],"+",tabE.Flux[[#This Row],[MOTORISTA + MATRÍCULA B]])</f>
        <v>45893+LUCIANO CARNEIRO ALVES - 5757</v>
      </c>
      <c r="E220" s="1" t="str">
        <f>_xlfn.CONCAT(tabE.Flux[[#This Row],[DATA]],"+",tabE.Flux[[#This Row],[MOTORISTA + MATRÍCULA A]],"+",tabE.Flux[[#This Row],[LINHA]])</f>
        <v>45893+EDIMAR FRANCISCO ALEIXO - 5593+GOIANIA (GO) X BELEM (PA)</v>
      </c>
      <c r="F220" s="1" t="str">
        <f>_xlfn.CONCAT(tabE.Flux[[#This Row],[DATA]],"+",tabE.Flux[[#This Row],[MOTORISTA + MATRÍCULA B]],"+",tabE.Flux[[#This Row],[LINHA]])</f>
        <v>45893+LUCIANO CARNEIRO ALVES - 5757+GOIANIA (GO) X BELEM (PA)</v>
      </c>
      <c r="G220" s="1" t="str">
        <f>_xlfn.CONCAT(tabE.Flux[[#This Row],[DATA]],"+",tabE.Flux[[#This Row],[LINHA]])</f>
        <v>45893+GOIANIA (GO) X BELEM (PA)</v>
      </c>
      <c r="H220" s="141">
        <v>45893</v>
      </c>
      <c r="I220" s="142" t="s">
        <v>15</v>
      </c>
      <c r="J220" s="142">
        <v>19024</v>
      </c>
      <c r="K220" s="143">
        <v>0.84722222222222221</v>
      </c>
      <c r="L220" s="143">
        <v>0.87847222222222221</v>
      </c>
      <c r="M220" s="142" t="s">
        <v>16</v>
      </c>
      <c r="N220" s="142" t="s">
        <v>17</v>
      </c>
      <c r="O220" s="142" t="s">
        <v>212</v>
      </c>
      <c r="P220" s="142" t="s">
        <v>213</v>
      </c>
      <c r="Q220" s="142" t="s">
        <v>20</v>
      </c>
      <c r="R220" s="76"/>
      <c r="S220" s="76"/>
      <c r="T220" s="76"/>
      <c r="U220" s="76"/>
      <c r="V220" s="76"/>
      <c r="W220" s="76"/>
      <c r="X220" s="76"/>
      <c r="Y220" s="76"/>
    </row>
    <row r="221" spans="1:25" s="6" customFormat="1" x14ac:dyDescent="0.25">
      <c r="A221" s="101"/>
      <c r="B221" s="101"/>
      <c r="C221" s="1" t="str">
        <f>_xlfn.CONCAT(tabE.Flux[[#This Row],[DATA]],"+",tabE.Flux[[#This Row],[MOTORISTA + MATRÍCULA A]])</f>
        <v>+</v>
      </c>
      <c r="D221" s="1" t="str">
        <f>_xlfn.CONCAT(tabE.Flux[[#This Row],[DATA]],"+",tabE.Flux[[#This Row],[MOTORISTA + MATRÍCULA B]])</f>
        <v>+</v>
      </c>
      <c r="E221" s="1" t="str">
        <f>_xlfn.CONCAT(tabE.Flux[[#This Row],[DATA]],"+",tabE.Flux[[#This Row],[MOTORISTA + MATRÍCULA A]],"+",tabE.Flux[[#This Row],[LINHA]])</f>
        <v>++</v>
      </c>
      <c r="F221" s="1" t="str">
        <f>_xlfn.CONCAT(tabE.Flux[[#This Row],[DATA]],"+",tabE.Flux[[#This Row],[MOTORISTA + MATRÍCULA B]],"+",tabE.Flux[[#This Row],[LINHA]])</f>
        <v>++</v>
      </c>
      <c r="G221" s="1" t="str">
        <f>_xlfn.CONCAT(tabE.Flux[[#This Row],[DATA]],"+",tabE.Flux[[#This Row],[LINHA]])</f>
        <v>+</v>
      </c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76"/>
      <c r="S221" s="76"/>
      <c r="T221" s="76"/>
      <c r="U221" s="76"/>
      <c r="V221" s="76"/>
      <c r="W221" s="76"/>
      <c r="X221" s="76"/>
      <c r="Y221" s="76"/>
    </row>
    <row r="222" spans="1:25" s="6" customFormat="1" ht="15" customHeight="1" x14ac:dyDescent="0.25">
      <c r="A222" s="101"/>
      <c r="B222" s="101"/>
      <c r="C222" s="1" t="str">
        <f>_xlfn.CONCAT(tabE.Flux[[#This Row],[DATA]],"+",tabE.Flux[[#This Row],[MOTORISTA + MATRÍCULA A]])</f>
        <v>45894+CLAUDIO JOSE DO NASCIMENTO - 549</v>
      </c>
      <c r="D222" s="1" t="str">
        <f>_xlfn.CONCAT(tabE.Flux[[#This Row],[DATA]],"+",tabE.Flux[[#This Row],[MOTORISTA + MATRÍCULA B]])</f>
        <v>45894+COSME CAVALCANTE DA SILVA - 3002</v>
      </c>
      <c r="E222" s="1" t="str">
        <f>_xlfn.CONCAT(tabE.Flux[[#This Row],[DATA]],"+",tabE.Flux[[#This Row],[MOTORISTA + MATRÍCULA A]],"+",tabE.Flux[[#This Row],[LINHA]])</f>
        <v>45894+CLAUDIO JOSE DO NASCIMENTO - 549+GOIANIA (GO) X BELEM (PA)</v>
      </c>
      <c r="F222" s="1" t="str">
        <f>_xlfn.CONCAT(tabE.Flux[[#This Row],[DATA]],"+",tabE.Flux[[#This Row],[MOTORISTA + MATRÍCULA B]],"+",tabE.Flux[[#This Row],[LINHA]])</f>
        <v>45894+COSME CAVALCANTE DA SILVA - 3002+GOIANIA (GO) X BELEM (PA)</v>
      </c>
      <c r="G222" s="1" t="str">
        <f>_xlfn.CONCAT(tabE.Flux[[#This Row],[DATA]],"+",tabE.Flux[[#This Row],[LINHA]])</f>
        <v>45894+GOIANIA (GO) X BELEM (PA)</v>
      </c>
      <c r="H222" s="141">
        <v>45894</v>
      </c>
      <c r="I222" s="142" t="s">
        <v>15</v>
      </c>
      <c r="J222" s="142">
        <v>24012</v>
      </c>
      <c r="K222" s="143">
        <v>0.25486111111111109</v>
      </c>
      <c r="L222" s="143">
        <v>0.3</v>
      </c>
      <c r="M222" s="142" t="s">
        <v>16</v>
      </c>
      <c r="N222" s="142" t="s">
        <v>17</v>
      </c>
      <c r="O222" s="142" t="s">
        <v>48</v>
      </c>
      <c r="P222" s="142" t="s">
        <v>49</v>
      </c>
      <c r="Q222" s="142" t="s">
        <v>20</v>
      </c>
      <c r="R222" s="76"/>
      <c r="S222" s="76"/>
      <c r="T222" s="76"/>
      <c r="U222" s="76"/>
      <c r="V222" s="76"/>
      <c r="W222" s="76"/>
      <c r="X222" s="76"/>
      <c r="Y222" s="76"/>
    </row>
    <row r="223" spans="1:25" s="6" customFormat="1" x14ac:dyDescent="0.25">
      <c r="A223" s="101"/>
      <c r="B223" s="101"/>
      <c r="C223" s="1" t="str">
        <f>_xlfn.CONCAT(tabE.Flux[[#This Row],[DATA]],"+",tabE.Flux[[#This Row],[MOTORISTA + MATRÍCULA A]])</f>
        <v>45894+GESMAR DE SOUZA - 574</v>
      </c>
      <c r="D223" s="1" t="str">
        <f>_xlfn.CONCAT(tabE.Flux[[#This Row],[DATA]],"+",tabE.Flux[[#This Row],[MOTORISTA + MATRÍCULA B]])</f>
        <v>45894+ADIR CASSIMIRO DA SILVA - 5672</v>
      </c>
      <c r="E223" s="1" t="str">
        <f>_xlfn.CONCAT(tabE.Flux[[#This Row],[DATA]],"+",tabE.Flux[[#This Row],[MOTORISTA + MATRÍCULA A]],"+",tabE.Flux[[#This Row],[LINHA]])</f>
        <v>45894+GESMAR DE SOUZA - 574+GOIANIA (GO) X SAO LUIS (MA)</v>
      </c>
      <c r="F223" s="1" t="str">
        <f>_xlfn.CONCAT(tabE.Flux[[#This Row],[DATA]],"+",tabE.Flux[[#This Row],[MOTORISTA + MATRÍCULA B]],"+",tabE.Flux[[#This Row],[LINHA]])</f>
        <v>45894+ADIR CASSIMIRO DA SILVA - 5672+GOIANIA (GO) X SAO LUIS (MA)</v>
      </c>
      <c r="G223" s="1" t="str">
        <f>_xlfn.CONCAT(tabE.Flux[[#This Row],[DATA]],"+",tabE.Flux[[#This Row],[LINHA]])</f>
        <v>45894+GOIANIA (GO) X SAO LUIS (MA)</v>
      </c>
      <c r="H223" s="141">
        <v>45894</v>
      </c>
      <c r="I223" s="142" t="s">
        <v>15</v>
      </c>
      <c r="J223" s="142">
        <v>25006</v>
      </c>
      <c r="K223" s="143">
        <v>0.32291666666666669</v>
      </c>
      <c r="L223" s="143">
        <v>0.33333333333333331</v>
      </c>
      <c r="M223" s="142" t="s">
        <v>16</v>
      </c>
      <c r="N223" s="142" t="s">
        <v>17</v>
      </c>
      <c r="O223" s="142" t="s">
        <v>21</v>
      </c>
      <c r="P223" s="142" t="s">
        <v>22</v>
      </c>
      <c r="Q223" s="142" t="s">
        <v>23</v>
      </c>
      <c r="R223" s="76"/>
      <c r="S223" s="76"/>
      <c r="T223" s="76"/>
      <c r="U223" s="76"/>
      <c r="V223" s="76"/>
      <c r="W223" s="76"/>
      <c r="X223" s="76"/>
      <c r="Y223" s="76"/>
    </row>
    <row r="224" spans="1:25" s="6" customFormat="1" x14ac:dyDescent="0.25">
      <c r="A224" s="101"/>
      <c r="B224" s="101"/>
      <c r="C224" s="1" t="str">
        <f>_xlfn.CONCAT(tabE.Flux[[#This Row],[DATA]],"+",tabE.Flux[[#This Row],[MOTORISTA + MATRÍCULA A]])</f>
        <v>45894+ANDRE LUIZ DA SILVA - 5188</v>
      </c>
      <c r="D224" s="1" t="str">
        <f>_xlfn.CONCAT(tabE.Flux[[#This Row],[DATA]],"+",tabE.Flux[[#This Row],[MOTORISTA + MATRÍCULA B]])</f>
        <v>45894+LUSIMAR SOARES ROCHA - 5987</v>
      </c>
      <c r="E224" s="1" t="str">
        <f>_xlfn.CONCAT(tabE.Flux[[#This Row],[DATA]],"+",tabE.Flux[[#This Row],[MOTORISTA + MATRÍCULA A]],"+",tabE.Flux[[#This Row],[LINHA]])</f>
        <v>45894+ANDRE LUIZ DA SILVA - 5188+GOIANIA (GO) X TERESINA (PI) VIA STI</v>
      </c>
      <c r="F224" s="1" t="str">
        <f>_xlfn.CONCAT(tabE.Flux[[#This Row],[DATA]],"+",tabE.Flux[[#This Row],[MOTORISTA + MATRÍCULA B]],"+",tabE.Flux[[#This Row],[LINHA]])</f>
        <v>45894+LUSIMAR SOARES ROCHA - 5987+GOIANIA (GO) X TERESINA (PI) VIA STI</v>
      </c>
      <c r="G224" s="1" t="str">
        <f>_xlfn.CONCAT(tabE.Flux[[#This Row],[DATA]],"+",tabE.Flux[[#This Row],[LINHA]])</f>
        <v>45894+GOIANIA (GO) X TERESINA (PI) VIA STI</v>
      </c>
      <c r="H224" s="141">
        <v>45894</v>
      </c>
      <c r="I224" s="142" t="s">
        <v>15</v>
      </c>
      <c r="J224" s="142">
        <v>19003</v>
      </c>
      <c r="K224" s="143">
        <v>0.3888888888888889</v>
      </c>
      <c r="L224" s="143">
        <v>0.39583333333333331</v>
      </c>
      <c r="M224" s="142" t="s">
        <v>16</v>
      </c>
      <c r="N224" s="142" t="s">
        <v>17</v>
      </c>
      <c r="O224" s="142" t="s">
        <v>18</v>
      </c>
      <c r="P224" s="142" t="s">
        <v>214</v>
      </c>
      <c r="Q224" s="142" t="s">
        <v>26</v>
      </c>
      <c r="R224" s="76"/>
      <c r="S224" s="76"/>
      <c r="T224" s="76"/>
      <c r="U224" s="76"/>
      <c r="V224" s="76"/>
      <c r="W224" s="76"/>
      <c r="X224" s="76"/>
      <c r="Y224" s="76"/>
    </row>
    <row r="225" spans="1:25" s="6" customFormat="1" x14ac:dyDescent="0.25">
      <c r="A225" s="101"/>
      <c r="B225" s="101"/>
      <c r="C225" s="1" t="str">
        <f>_xlfn.CONCAT(tabE.Flux[[#This Row],[DATA]],"+",tabE.Flux[[#This Row],[MOTORISTA + MATRÍCULA A]])</f>
        <v>45894+CANCELADO</v>
      </c>
      <c r="D225" s="1" t="str">
        <f>_xlfn.CONCAT(tabE.Flux[[#This Row],[DATA]],"+",tabE.Flux[[#This Row],[MOTORISTA + MATRÍCULA B]])</f>
        <v>45894+CANCELADO</v>
      </c>
      <c r="E225" s="1" t="str">
        <f>_xlfn.CONCAT(tabE.Flux[[#This Row],[DATA]],"+",tabE.Flux[[#This Row],[MOTORISTA + MATRÍCULA A]],"+",tabE.Flux[[#This Row],[LINHA]])</f>
        <v>45894+CANCELADO+</v>
      </c>
      <c r="F225" s="1" t="str">
        <f>_xlfn.CONCAT(tabE.Flux[[#This Row],[DATA]],"+",tabE.Flux[[#This Row],[MOTORISTA + MATRÍCULA B]],"+",tabE.Flux[[#This Row],[LINHA]])</f>
        <v>45894+CANCELADO+</v>
      </c>
      <c r="G225" s="1" t="str">
        <f>_xlfn.CONCAT(tabE.Flux[[#This Row],[DATA]],"+",tabE.Flux[[#This Row],[LINHA]])</f>
        <v>45894+</v>
      </c>
      <c r="H225" s="141">
        <v>45894</v>
      </c>
      <c r="I225" s="142" t="s">
        <v>15</v>
      </c>
      <c r="J225" s="144" t="s">
        <v>27</v>
      </c>
      <c r="K225" s="143">
        <v>0.375</v>
      </c>
      <c r="L225" s="143">
        <v>0.41666666666666669</v>
      </c>
      <c r="M225" s="142" t="s">
        <v>16</v>
      </c>
      <c r="N225" s="142" t="s">
        <v>28</v>
      </c>
      <c r="O225" s="144" t="s">
        <v>27</v>
      </c>
      <c r="P225" s="144" t="s">
        <v>27</v>
      </c>
      <c r="Q225" s="142"/>
      <c r="R225" s="76"/>
      <c r="S225" s="76"/>
      <c r="T225" s="76"/>
      <c r="U225" s="76"/>
      <c r="V225" s="76"/>
      <c r="W225" s="76"/>
      <c r="X225" s="76"/>
      <c r="Y225" s="76"/>
    </row>
    <row r="226" spans="1:25" s="6" customFormat="1" x14ac:dyDescent="0.25">
      <c r="A226" s="101"/>
      <c r="B226" s="101"/>
      <c r="C226" s="1" t="str">
        <f>_xlfn.CONCAT(tabE.Flux[[#This Row],[DATA]],"+",tabE.Flux[[#This Row],[MOTORISTA + MATRÍCULA A]])</f>
        <v>45894+ELIEZIO JOSE DOS SANTOS - 2645</v>
      </c>
      <c r="D226" s="1" t="str">
        <f>_xlfn.CONCAT(tabE.Flux[[#This Row],[DATA]],"+",tabE.Flux[[#This Row],[MOTORISTA + MATRÍCULA B]])</f>
        <v>45894+JACINTO BATISTA DE SOUSA - 5271</v>
      </c>
      <c r="E226" s="1" t="str">
        <f>_xlfn.CONCAT(tabE.Flux[[#This Row],[DATA]],"+",tabE.Flux[[#This Row],[MOTORISTA + MATRÍCULA A]],"+",tabE.Flux[[#This Row],[LINHA]])</f>
        <v>45894+ELIEZIO JOSE DOS SANTOS - 2645+FORTALEZA (CE) X SINOP (MT)</v>
      </c>
      <c r="F226" s="1" t="str">
        <f>_xlfn.CONCAT(tabE.Flux[[#This Row],[DATA]],"+",tabE.Flux[[#This Row],[MOTORISTA + MATRÍCULA B]],"+",tabE.Flux[[#This Row],[LINHA]])</f>
        <v>45894+JACINTO BATISTA DE SOUSA - 5271+FORTALEZA (CE) X SINOP (MT)</v>
      </c>
      <c r="G226" s="1" t="str">
        <f>_xlfn.CONCAT(tabE.Flux[[#This Row],[DATA]],"+",tabE.Flux[[#This Row],[LINHA]])</f>
        <v>45894+FORTALEZA (CE) X SINOP (MT)</v>
      </c>
      <c r="H226" s="141">
        <v>45894</v>
      </c>
      <c r="I226" s="142" t="s">
        <v>15</v>
      </c>
      <c r="J226" s="142">
        <v>19005</v>
      </c>
      <c r="K226" s="143">
        <v>0.3888888888888889</v>
      </c>
      <c r="L226" s="143">
        <v>0.37708333333333333</v>
      </c>
      <c r="M226" s="142" t="s">
        <v>16</v>
      </c>
      <c r="N226" s="142" t="s">
        <v>29</v>
      </c>
      <c r="O226" s="142" t="s">
        <v>53</v>
      </c>
      <c r="P226" s="142" t="s">
        <v>104</v>
      </c>
      <c r="Q226" s="142" t="s">
        <v>32</v>
      </c>
      <c r="R226" s="76"/>
      <c r="S226" s="76"/>
      <c r="T226" s="76"/>
      <c r="U226" s="76"/>
      <c r="V226" s="76"/>
      <c r="W226" s="76"/>
      <c r="X226" s="76"/>
      <c r="Y226" s="76"/>
    </row>
    <row r="227" spans="1:25" s="6" customFormat="1" x14ac:dyDescent="0.25">
      <c r="A227" s="101"/>
      <c r="B227" s="101"/>
      <c r="C227" s="1" t="str">
        <f>_xlfn.CONCAT(tabE.Flux[[#This Row],[DATA]],"+",tabE.Flux[[#This Row],[MOTORISTA + MATRÍCULA A]])</f>
        <v>45894+RONNE RODRIGUES DE SOUSA - 5025</v>
      </c>
      <c r="D227" s="1" t="str">
        <f>_xlfn.CONCAT(tabE.Flux[[#This Row],[DATA]],"+",tabE.Flux[[#This Row],[MOTORISTA + MATRÍCULA B]])</f>
        <v>45894+KLEBER OLIVEIRA LIMA - 5849</v>
      </c>
      <c r="E227" s="1" t="str">
        <f>_xlfn.CONCAT(tabE.Flux[[#This Row],[DATA]],"+",tabE.Flux[[#This Row],[MOTORISTA + MATRÍCULA A]],"+",tabE.Flux[[#This Row],[LINHA]])</f>
        <v>45894+RONNE RODRIGUES DE SOUSA - 5025+GOIANIA (GO) X BELEM (PA)</v>
      </c>
      <c r="F227" s="1" t="str">
        <f>_xlfn.CONCAT(tabE.Flux[[#This Row],[DATA]],"+",tabE.Flux[[#This Row],[MOTORISTA + MATRÍCULA B]],"+",tabE.Flux[[#This Row],[LINHA]])</f>
        <v>45894+KLEBER OLIVEIRA LIMA - 5849+GOIANIA (GO) X BELEM (PA)</v>
      </c>
      <c r="G227" s="1" t="str">
        <f>_xlfn.CONCAT(tabE.Flux[[#This Row],[DATA]],"+",tabE.Flux[[#This Row],[LINHA]])</f>
        <v>45894+GOIANIA (GO) X BELEM (PA)</v>
      </c>
      <c r="H227" s="141">
        <v>45894</v>
      </c>
      <c r="I227" s="142" t="s">
        <v>15</v>
      </c>
      <c r="J227" s="142">
        <v>20017</v>
      </c>
      <c r="K227" s="143">
        <v>0.38958333333333334</v>
      </c>
      <c r="L227" s="143">
        <v>0.38541666666666669</v>
      </c>
      <c r="M227" s="142" t="s">
        <v>16</v>
      </c>
      <c r="N227" s="142" t="s">
        <v>33</v>
      </c>
      <c r="O227" s="142" t="s">
        <v>85</v>
      </c>
      <c r="P227" s="142" t="s">
        <v>102</v>
      </c>
      <c r="Q227" s="142" t="s">
        <v>20</v>
      </c>
      <c r="R227" s="76"/>
      <c r="S227" s="76"/>
      <c r="T227" s="76"/>
      <c r="U227" s="76"/>
      <c r="V227" s="76"/>
      <c r="W227" s="76"/>
      <c r="X227" s="76"/>
      <c r="Y227" s="76"/>
    </row>
    <row r="228" spans="1:25" s="6" customFormat="1" x14ac:dyDescent="0.25">
      <c r="A228" s="101"/>
      <c r="B228" s="101"/>
      <c r="C228" s="1" t="str">
        <f>_xlfn.CONCAT(tabE.Flux[[#This Row],[DATA]],"+",tabE.Flux[[#This Row],[MOTORISTA + MATRÍCULA A]])</f>
        <v>45894+JWEBISON DE BRITO SOUZA - 2999</v>
      </c>
      <c r="D228" s="1" t="str">
        <f>_xlfn.CONCAT(tabE.Flux[[#This Row],[DATA]],"+",tabE.Flux[[#This Row],[MOTORISTA + MATRÍCULA B]])</f>
        <v>45894+ANTONIO  SOBRINHO DE OLIVEIRA - 5646</v>
      </c>
      <c r="E228" s="1" t="str">
        <f>_xlfn.CONCAT(tabE.Flux[[#This Row],[DATA]],"+",tabE.Flux[[#This Row],[MOTORISTA + MATRÍCULA A]],"+",tabE.Flux[[#This Row],[LINHA]])</f>
        <v>45894+JWEBISON DE BRITO SOUZA - 2999+GOIANIA (GO) X TERESINA (PI) VIA BC</v>
      </c>
      <c r="F228" s="1" t="str">
        <f>_xlfn.CONCAT(tabE.Flux[[#This Row],[DATA]],"+",tabE.Flux[[#This Row],[MOTORISTA + MATRÍCULA B]],"+",tabE.Flux[[#This Row],[LINHA]])</f>
        <v>45894+ANTONIO  SOBRINHO DE OLIVEIRA - 5646+GOIANIA (GO) X TERESINA (PI) VIA BC</v>
      </c>
      <c r="G228" s="1" t="str">
        <f>_xlfn.CONCAT(tabE.Flux[[#This Row],[DATA]],"+",tabE.Flux[[#This Row],[LINHA]])</f>
        <v>45894+GOIANIA (GO) X TERESINA (PI) VIA BC</v>
      </c>
      <c r="H228" s="141">
        <v>45894</v>
      </c>
      <c r="I228" s="142" t="s">
        <v>15</v>
      </c>
      <c r="J228" s="142">
        <v>24011</v>
      </c>
      <c r="K228" s="143">
        <v>0.375</v>
      </c>
      <c r="L228" s="143">
        <v>0.39930555555555558</v>
      </c>
      <c r="M228" s="142" t="s">
        <v>36</v>
      </c>
      <c r="N228" s="142" t="s">
        <v>29</v>
      </c>
      <c r="O228" s="142" t="s">
        <v>77</v>
      </c>
      <c r="P228" s="142" t="s">
        <v>74</v>
      </c>
      <c r="Q228" s="142" t="s">
        <v>39</v>
      </c>
      <c r="R228" s="76"/>
      <c r="S228" s="76"/>
      <c r="T228" s="76"/>
      <c r="U228" s="76"/>
      <c r="V228" s="76"/>
      <c r="W228" s="76"/>
      <c r="X228" s="76"/>
      <c r="Y228" s="76"/>
    </row>
    <row r="229" spans="1:25" s="6" customFormat="1" x14ac:dyDescent="0.25">
      <c r="A229" s="101"/>
      <c r="B229" s="101"/>
      <c r="C229" s="1" t="str">
        <f>_xlfn.CONCAT(tabE.Flux[[#This Row],[DATA]],"+",tabE.Flux[[#This Row],[MOTORISTA + MATRÍCULA A]])</f>
        <v>45894+WESLEY SILVA PAIVA - 5638</v>
      </c>
      <c r="D229" s="1" t="str">
        <f>_xlfn.CONCAT(tabE.Flux[[#This Row],[DATA]],"+",tabE.Flux[[#This Row],[MOTORISTA + MATRÍCULA B]])</f>
        <v>45894+JOAO FERREIRA COSTA - 5545</v>
      </c>
      <c r="E229" s="1" t="str">
        <f>_xlfn.CONCAT(tabE.Flux[[#This Row],[DATA]],"+",tabE.Flux[[#This Row],[MOTORISTA + MATRÍCULA A]],"+",tabE.Flux[[#This Row],[LINHA]])</f>
        <v>45894+WESLEY SILVA PAIVA - 5638+GOIANIA (GO) X BELEM (PA)</v>
      </c>
      <c r="F229" s="1" t="str">
        <f>_xlfn.CONCAT(tabE.Flux[[#This Row],[DATA]],"+",tabE.Flux[[#This Row],[MOTORISTA + MATRÍCULA B]],"+",tabE.Flux[[#This Row],[LINHA]])</f>
        <v>45894+JOAO FERREIRA COSTA - 5545+GOIANIA (GO) X BELEM (PA)</v>
      </c>
      <c r="G229" s="1" t="str">
        <f>_xlfn.CONCAT(tabE.Flux[[#This Row],[DATA]],"+",tabE.Flux[[#This Row],[LINHA]])</f>
        <v>45894+GOIANIA (GO) X BELEM (PA)</v>
      </c>
      <c r="H229" s="141">
        <v>45894</v>
      </c>
      <c r="I229" s="142" t="s">
        <v>15</v>
      </c>
      <c r="J229" s="142">
        <v>19020</v>
      </c>
      <c r="K229" s="143">
        <v>0.375</v>
      </c>
      <c r="L229" s="143">
        <v>0.41666666666666669</v>
      </c>
      <c r="M229" s="142" t="s">
        <v>33</v>
      </c>
      <c r="N229" s="142" t="s">
        <v>16</v>
      </c>
      <c r="O229" s="142" t="s">
        <v>112</v>
      </c>
      <c r="P229" s="142" t="s">
        <v>61</v>
      </c>
      <c r="Q229" s="142" t="s">
        <v>20</v>
      </c>
      <c r="R229" s="76"/>
      <c r="S229" s="76"/>
      <c r="T229" s="76"/>
      <c r="U229" s="76"/>
      <c r="V229" s="76"/>
      <c r="W229" s="76"/>
      <c r="X229" s="76"/>
      <c r="Y229" s="76"/>
    </row>
    <row r="230" spans="1:25" s="6" customFormat="1" x14ac:dyDescent="0.25">
      <c r="A230" s="101"/>
      <c r="B230" s="101"/>
      <c r="C230" s="1" t="str">
        <f>_xlfn.CONCAT(tabE.Flux[[#This Row],[DATA]],"+",tabE.Flux[[#This Row],[MOTORISTA + MATRÍCULA A]])</f>
        <v>45894+CARLOS ADRIANO DE SOUZA DO NASCIMENTO - 6222</v>
      </c>
      <c r="D230" s="1" t="str">
        <f>_xlfn.CONCAT(tabE.Flux[[#This Row],[DATA]],"+",tabE.Flux[[#This Row],[MOTORISTA + MATRÍCULA B]])</f>
        <v>45894+IZALMIR RODRIGUES COELHO - 958</v>
      </c>
      <c r="E230" s="1" t="str">
        <f>_xlfn.CONCAT(tabE.Flux[[#This Row],[DATA]],"+",tabE.Flux[[#This Row],[MOTORISTA + MATRÍCULA A]],"+",tabE.Flux[[#This Row],[LINHA]])</f>
        <v>45894+CARLOS ADRIANO DE SOUZA DO NASCIMENTO - 6222+GOIANIA (GO) X SAO LUIS (MA)</v>
      </c>
      <c r="F230" s="1" t="str">
        <f>_xlfn.CONCAT(tabE.Flux[[#This Row],[DATA]],"+",tabE.Flux[[#This Row],[MOTORISTA + MATRÍCULA B]],"+",tabE.Flux[[#This Row],[LINHA]])</f>
        <v>45894+IZALMIR RODRIGUES COELHO - 958+GOIANIA (GO) X SAO LUIS (MA)</v>
      </c>
      <c r="G230" s="1" t="str">
        <f>_xlfn.CONCAT(tabE.Flux[[#This Row],[DATA]],"+",tabE.Flux[[#This Row],[LINHA]])</f>
        <v>45894+GOIANIA (GO) X SAO LUIS (MA)</v>
      </c>
      <c r="H230" s="141">
        <v>45894</v>
      </c>
      <c r="I230" s="142" t="s">
        <v>15</v>
      </c>
      <c r="J230" s="142">
        <v>15600</v>
      </c>
      <c r="K230" s="143">
        <v>0.25</v>
      </c>
      <c r="L230" s="143">
        <v>0.29166666666666669</v>
      </c>
      <c r="M230" s="142" t="s">
        <v>42</v>
      </c>
      <c r="N230" s="142" t="s">
        <v>16</v>
      </c>
      <c r="O230" s="142" t="s">
        <v>110</v>
      </c>
      <c r="P230" s="142" t="s">
        <v>83</v>
      </c>
      <c r="Q230" s="142" t="s">
        <v>23</v>
      </c>
      <c r="R230" s="76"/>
      <c r="S230" s="76"/>
      <c r="T230" s="76"/>
      <c r="U230" s="76"/>
      <c r="V230" s="76"/>
      <c r="W230" s="76"/>
      <c r="X230" s="76"/>
      <c r="Y230" s="76"/>
    </row>
    <row r="231" spans="1:25" s="6" customFormat="1" x14ac:dyDescent="0.25">
      <c r="A231" s="101"/>
      <c r="B231" s="101"/>
      <c r="C231" s="1" t="str">
        <f>_xlfn.CONCAT(tabE.Flux[[#This Row],[DATA]],"+",tabE.Flux[[#This Row],[MOTORISTA + MATRÍCULA A]])</f>
        <v>45894+RAIMUNDO COSTA SILVA - 6226</v>
      </c>
      <c r="D231" s="1" t="str">
        <f>_xlfn.CONCAT(tabE.Flux[[#This Row],[DATA]],"+",tabE.Flux[[#This Row],[MOTORISTA + MATRÍCULA B]])</f>
        <v>45894+REINAN JOSE BORGES SOUSA - 1075</v>
      </c>
      <c r="E231" s="1" t="str">
        <f>_xlfn.CONCAT(tabE.Flux[[#This Row],[DATA]],"+",tabE.Flux[[#This Row],[MOTORISTA + MATRÍCULA A]],"+",tabE.Flux[[#This Row],[LINHA]])</f>
        <v>45894+RAIMUNDO COSTA SILVA - 6226+GOIANIA (GO) X SAO LUIS (MA)</v>
      </c>
      <c r="F231" s="1" t="str">
        <f>_xlfn.CONCAT(tabE.Flux[[#This Row],[DATA]],"+",tabE.Flux[[#This Row],[MOTORISTA + MATRÍCULA B]],"+",tabE.Flux[[#This Row],[LINHA]])</f>
        <v>45894+REINAN JOSE BORGES SOUSA - 1075+GOIANIA (GO) X SAO LUIS (MA)</v>
      </c>
      <c r="G231" s="1" t="str">
        <f>_xlfn.CONCAT(tabE.Flux[[#This Row],[DATA]],"+",tabE.Flux[[#This Row],[LINHA]])</f>
        <v>45894+GOIANIA (GO) X SAO LUIS (MA)</v>
      </c>
      <c r="H231" s="141">
        <v>45894</v>
      </c>
      <c r="I231" s="142" t="s">
        <v>15</v>
      </c>
      <c r="J231" s="142">
        <v>24005</v>
      </c>
      <c r="K231" s="143">
        <v>0.75</v>
      </c>
      <c r="L231" s="143">
        <v>0.79166666666666663</v>
      </c>
      <c r="M231" s="142" t="s">
        <v>42</v>
      </c>
      <c r="N231" s="142" t="s">
        <v>16</v>
      </c>
      <c r="O231" s="142" t="s">
        <v>45</v>
      </c>
      <c r="P231" s="142" t="s">
        <v>84</v>
      </c>
      <c r="Q231" s="142" t="s">
        <v>23</v>
      </c>
      <c r="R231" s="76"/>
      <c r="S231" s="76"/>
      <c r="T231" s="76"/>
      <c r="U231" s="76"/>
      <c r="V231" s="76"/>
      <c r="W231" s="76"/>
      <c r="X231" s="76"/>
      <c r="Y231" s="76"/>
    </row>
    <row r="232" spans="1:25" s="6" customFormat="1" x14ac:dyDescent="0.25">
      <c r="A232" s="101"/>
      <c r="B232" s="101"/>
      <c r="C232" s="1" t="str">
        <f>_xlfn.CONCAT(tabE.Flux[[#This Row],[DATA]],"+",tabE.Flux[[#This Row],[MOTORISTA + MATRÍCULA A]])</f>
        <v>45894+CANCELADO</v>
      </c>
      <c r="D232" s="1" t="str">
        <f>_xlfn.CONCAT(tabE.Flux[[#This Row],[DATA]],"+",tabE.Flux[[#This Row],[MOTORISTA + MATRÍCULA B]])</f>
        <v>45894+CANCELADO</v>
      </c>
      <c r="E232" s="1" t="str">
        <f>_xlfn.CONCAT(tabE.Flux[[#This Row],[DATA]],"+",tabE.Flux[[#This Row],[MOTORISTA + MATRÍCULA A]],"+",tabE.Flux[[#This Row],[LINHA]])</f>
        <v>45894+CANCELADO+IMPERATRIZ (MA) X SÃO LUIS (MA)</v>
      </c>
      <c r="F232" s="1" t="str">
        <f>_xlfn.CONCAT(tabE.Flux[[#This Row],[DATA]],"+",tabE.Flux[[#This Row],[MOTORISTA + MATRÍCULA B]],"+",tabE.Flux[[#This Row],[LINHA]])</f>
        <v>45894+CANCELADO+IMPERATRIZ (MA) X SÃO LUIS (MA)</v>
      </c>
      <c r="G232" s="1" t="str">
        <f>_xlfn.CONCAT(tabE.Flux[[#This Row],[DATA]],"+",tabE.Flux[[#This Row],[LINHA]])</f>
        <v>45894+IMPERATRIZ (MA) X SÃO LUIS (MA)</v>
      </c>
      <c r="H232" s="141">
        <v>45894</v>
      </c>
      <c r="I232" s="142" t="s">
        <v>15</v>
      </c>
      <c r="J232" s="144" t="s">
        <v>27</v>
      </c>
      <c r="K232" s="143">
        <v>0.77083333333333337</v>
      </c>
      <c r="L232" s="143">
        <v>0.79513888888888884</v>
      </c>
      <c r="M232" s="142" t="s">
        <v>42</v>
      </c>
      <c r="N232" s="142" t="s">
        <v>16</v>
      </c>
      <c r="O232" s="144" t="s">
        <v>27</v>
      </c>
      <c r="P232" s="144" t="s">
        <v>27</v>
      </c>
      <c r="Q232" s="142" t="s">
        <v>47</v>
      </c>
      <c r="R232" s="76"/>
      <c r="S232" s="76"/>
      <c r="T232" s="76"/>
      <c r="U232" s="76"/>
      <c r="V232" s="76"/>
      <c r="W232" s="76"/>
      <c r="X232" s="76"/>
      <c r="Y232" s="76"/>
    </row>
    <row r="233" spans="1:25" s="6" customFormat="1" x14ac:dyDescent="0.25">
      <c r="A233" s="101"/>
      <c r="B233" s="101"/>
      <c r="C233" s="1" t="str">
        <f>_xlfn.CONCAT(tabE.Flux[[#This Row],[DATA]],"+",tabE.Flux[[#This Row],[MOTORISTA + MATRÍCULA A]])</f>
        <v>45894+MARCOS BUENO DA SILVA - 5984</v>
      </c>
      <c r="D233" s="1" t="str">
        <f>_xlfn.CONCAT(tabE.Flux[[#This Row],[DATA]],"+",tabE.Flux[[#This Row],[MOTORISTA + MATRÍCULA B]])</f>
        <v>45894+AMIRO MARQUES RODRIGUES - 5955</v>
      </c>
      <c r="E233" s="1" t="str">
        <f>_xlfn.CONCAT(tabE.Flux[[#This Row],[DATA]],"+",tabE.Flux[[#This Row],[MOTORISTA + MATRÍCULA A]],"+",tabE.Flux[[#This Row],[LINHA]])</f>
        <v>45894+MARCOS BUENO DA SILVA - 5984+GOIANIA (GO) X TERESINA (PI) VIA BC</v>
      </c>
      <c r="F233" s="1" t="str">
        <f>_xlfn.CONCAT(tabE.Flux[[#This Row],[DATA]],"+",tabE.Flux[[#This Row],[MOTORISTA + MATRÍCULA B]],"+",tabE.Flux[[#This Row],[LINHA]])</f>
        <v>45894+AMIRO MARQUES RODRIGUES - 5955+GOIANIA (GO) X TERESINA (PI) VIA BC</v>
      </c>
      <c r="G233" s="1" t="str">
        <f>_xlfn.CONCAT(tabE.Flux[[#This Row],[DATA]],"+",tabE.Flux[[#This Row],[LINHA]])</f>
        <v>45894+GOIANIA (GO) X TERESINA (PI) VIA BC</v>
      </c>
      <c r="H233" s="141">
        <v>45894</v>
      </c>
      <c r="I233" s="142" t="s">
        <v>15</v>
      </c>
      <c r="J233" s="142">
        <v>25010</v>
      </c>
      <c r="K233" s="143">
        <v>0.89583333333333337</v>
      </c>
      <c r="L233" s="143">
        <v>0.91666666666666663</v>
      </c>
      <c r="M233" s="142" t="s">
        <v>36</v>
      </c>
      <c r="N233" s="142" t="s">
        <v>17</v>
      </c>
      <c r="O233" s="142" t="s">
        <v>69</v>
      </c>
      <c r="P233" s="142" t="s">
        <v>70</v>
      </c>
      <c r="Q233" s="142" t="s">
        <v>39</v>
      </c>
      <c r="R233" s="76"/>
      <c r="S233" s="76"/>
      <c r="T233" s="76"/>
      <c r="U233" s="76"/>
      <c r="V233" s="76"/>
      <c r="W233" s="76"/>
      <c r="X233" s="76"/>
      <c r="Y233" s="76"/>
    </row>
    <row r="234" spans="1:25" s="6" customFormat="1" x14ac:dyDescent="0.25">
      <c r="A234" s="101"/>
      <c r="B234" s="101"/>
      <c r="C234" s="1" t="str">
        <f>_xlfn.CONCAT(tabE.Flux[[#This Row],[DATA]],"+",tabE.Flux[[#This Row],[MOTORISTA + MATRÍCULA A]])</f>
        <v>45894+JAKTAN DE OLIVEIRA RODRIGUES - 5836</v>
      </c>
      <c r="D234" s="1" t="str">
        <f>_xlfn.CONCAT(tabE.Flux[[#This Row],[DATA]],"+",tabE.Flux[[#This Row],[MOTORISTA + MATRÍCULA B]])</f>
        <v>45894+FELIPE MORAIS MELO - 3077</v>
      </c>
      <c r="E234" s="1" t="str">
        <f>_xlfn.CONCAT(tabE.Flux[[#This Row],[DATA]],"+",tabE.Flux[[#This Row],[MOTORISTA + MATRÍCULA A]],"+",tabE.Flux[[#This Row],[LINHA]])</f>
        <v>45894+JAKTAN DE OLIVEIRA RODRIGUES - 5836+GOIANIA (GO) X BELEM (PA)</v>
      </c>
      <c r="F234" s="1" t="str">
        <f>_xlfn.CONCAT(tabE.Flux[[#This Row],[DATA]],"+",tabE.Flux[[#This Row],[MOTORISTA + MATRÍCULA B]],"+",tabE.Flux[[#This Row],[LINHA]])</f>
        <v>45894+FELIPE MORAIS MELO - 3077+GOIANIA (GO) X BELEM (PA)</v>
      </c>
      <c r="G234" s="1" t="str">
        <f>_xlfn.CONCAT(tabE.Flux[[#This Row],[DATA]],"+",tabE.Flux[[#This Row],[LINHA]])</f>
        <v>45894+GOIANIA (GO) X BELEM (PA)</v>
      </c>
      <c r="H234" s="141">
        <v>45894</v>
      </c>
      <c r="I234" s="142" t="s">
        <v>15</v>
      </c>
      <c r="J234" s="142">
        <v>24010</v>
      </c>
      <c r="K234" s="143">
        <v>0.76041666666666663</v>
      </c>
      <c r="L234" s="143">
        <v>0.77083333333333337</v>
      </c>
      <c r="M234" s="142" t="s">
        <v>33</v>
      </c>
      <c r="N234" s="142" t="s">
        <v>16</v>
      </c>
      <c r="O234" s="142" t="s">
        <v>59</v>
      </c>
      <c r="P234" s="142" t="s">
        <v>78</v>
      </c>
      <c r="Q234" s="142" t="s">
        <v>20</v>
      </c>
      <c r="R234" s="76"/>
      <c r="S234" s="76"/>
      <c r="T234" s="76"/>
      <c r="U234" s="76"/>
      <c r="V234" s="76"/>
      <c r="W234" s="76"/>
      <c r="X234" s="76"/>
      <c r="Y234" s="76"/>
    </row>
    <row r="235" spans="1:25" s="6" customFormat="1" x14ac:dyDescent="0.25">
      <c r="A235" s="101"/>
      <c r="B235" s="101"/>
      <c r="C235" s="1" t="str">
        <f>_xlfn.CONCAT(tabE.Flux[[#This Row],[DATA]],"+",tabE.Flux[[#This Row],[MOTORISTA + MATRÍCULA A]])</f>
        <v>45894+MERVAL DE SOUSA - 2880</v>
      </c>
      <c r="D235" s="1" t="str">
        <f>_xlfn.CONCAT(tabE.Flux[[#This Row],[DATA]],"+",tabE.Flux[[#This Row],[MOTORISTA + MATRÍCULA B]])</f>
        <v>45894+VALDEY OLIVEIRA ARAUJO - 2790</v>
      </c>
      <c r="E235" s="1" t="str">
        <f>_xlfn.CONCAT(tabE.Flux[[#This Row],[DATA]],"+",tabE.Flux[[#This Row],[MOTORISTA + MATRÍCULA A]],"+",tabE.Flux[[#This Row],[LINHA]])</f>
        <v>45894+MERVAL DE SOUSA - 2880+GOIANIA (GO) X BELEM (PA)</v>
      </c>
      <c r="F235" s="1" t="str">
        <f>_xlfn.CONCAT(tabE.Flux[[#This Row],[DATA]],"+",tabE.Flux[[#This Row],[MOTORISTA + MATRÍCULA B]],"+",tabE.Flux[[#This Row],[LINHA]])</f>
        <v>45894+VALDEY OLIVEIRA ARAUJO - 2790+GOIANIA (GO) X BELEM (PA)</v>
      </c>
      <c r="G235" s="1" t="str">
        <f>_xlfn.CONCAT(tabE.Flux[[#This Row],[DATA]],"+",tabE.Flux[[#This Row],[LINHA]])</f>
        <v>45894+GOIANIA (GO) X BELEM (PA)</v>
      </c>
      <c r="H235" s="141">
        <v>45894</v>
      </c>
      <c r="I235" s="142" t="s">
        <v>15</v>
      </c>
      <c r="J235" s="142">
        <v>24014</v>
      </c>
      <c r="K235" s="143">
        <v>0.76041666666666663</v>
      </c>
      <c r="L235" s="143">
        <v>0.82777777777777772</v>
      </c>
      <c r="M235" s="142" t="s">
        <v>16</v>
      </c>
      <c r="N235" s="142" t="s">
        <v>33</v>
      </c>
      <c r="O235" s="142" t="s">
        <v>44</v>
      </c>
      <c r="P235" s="142" t="s">
        <v>34</v>
      </c>
      <c r="Q235" s="142" t="s">
        <v>20</v>
      </c>
      <c r="R235" s="76"/>
      <c r="S235" s="76"/>
      <c r="T235" s="76"/>
      <c r="U235" s="76"/>
      <c r="V235" s="76"/>
      <c r="W235" s="76"/>
      <c r="X235" s="76"/>
      <c r="Y235" s="76"/>
    </row>
    <row r="236" spans="1:25" s="6" customFormat="1" x14ac:dyDescent="0.25">
      <c r="A236" s="101"/>
      <c r="B236" s="101"/>
      <c r="C236" s="1" t="str">
        <f>_xlfn.CONCAT(tabE.Flux[[#This Row],[DATA]],"+",tabE.Flux[[#This Row],[MOTORISTA + MATRÍCULA A]])</f>
        <v>45894+ADEMILTON DE OLIVEIRA SILVA - 5559</v>
      </c>
      <c r="D236" s="1" t="str">
        <f>_xlfn.CONCAT(tabE.Flux[[#This Row],[DATA]],"+",tabE.Flux[[#This Row],[MOTORISTA + MATRÍCULA B]])</f>
        <v>45894+EDIVALDO DE ARAUJO - 6217</v>
      </c>
      <c r="E236" s="1" t="str">
        <f>_xlfn.CONCAT(tabE.Flux[[#This Row],[DATA]],"+",tabE.Flux[[#This Row],[MOTORISTA + MATRÍCULA A]],"+",tabE.Flux[[#This Row],[LINHA]])</f>
        <v>45894+ADEMILTON DE OLIVEIRA SILVA - 5559+GOIANIA (GO) X SAO LUIS (MA)</v>
      </c>
      <c r="F236" s="1" t="str">
        <f>_xlfn.CONCAT(tabE.Flux[[#This Row],[DATA]],"+",tabE.Flux[[#This Row],[MOTORISTA + MATRÍCULA B]],"+",tabE.Flux[[#This Row],[LINHA]])</f>
        <v>45894+EDIVALDO DE ARAUJO - 6217+GOIANIA (GO) X SAO LUIS (MA)</v>
      </c>
      <c r="G236" s="1" t="str">
        <f>_xlfn.CONCAT(tabE.Flux[[#This Row],[DATA]],"+",tabE.Flux[[#This Row],[LINHA]])</f>
        <v>45894+GOIANIA (GO) X SAO LUIS (MA)</v>
      </c>
      <c r="H236" s="141">
        <v>45894</v>
      </c>
      <c r="I236" s="142" t="s">
        <v>15</v>
      </c>
      <c r="J236" s="142">
        <v>19006</v>
      </c>
      <c r="K236" s="143">
        <v>0.40763888888888888</v>
      </c>
      <c r="L236" s="143">
        <v>0.47013888888888888</v>
      </c>
      <c r="M236" s="142" t="s">
        <v>16</v>
      </c>
      <c r="N236" s="142" t="s">
        <v>42</v>
      </c>
      <c r="O236" s="142" t="s">
        <v>40</v>
      </c>
      <c r="P236" s="142" t="s">
        <v>55</v>
      </c>
      <c r="Q236" s="142" t="s">
        <v>23</v>
      </c>
      <c r="R236" s="76"/>
      <c r="S236" s="76"/>
      <c r="T236" s="76"/>
      <c r="U236" s="76"/>
      <c r="V236" s="76"/>
      <c r="W236" s="76"/>
      <c r="X236" s="76"/>
      <c r="Y236" s="76"/>
    </row>
    <row r="237" spans="1:25" s="6" customFormat="1" x14ac:dyDescent="0.25">
      <c r="A237" s="101"/>
      <c r="B237" s="101"/>
      <c r="C237" s="1" t="str">
        <f>_xlfn.CONCAT(tabE.Flux[[#This Row],[DATA]],"+",tabE.Flux[[#This Row],[MOTORISTA + MATRÍCULA A]])</f>
        <v>45894+CANCELADO</v>
      </c>
      <c r="D237" s="1" t="str">
        <f>_xlfn.CONCAT(tabE.Flux[[#This Row],[DATA]],"+",tabE.Flux[[#This Row],[MOTORISTA + MATRÍCULA B]])</f>
        <v>45894+CANCELADO</v>
      </c>
      <c r="E237" s="1" t="str">
        <f>_xlfn.CONCAT(tabE.Flux[[#This Row],[DATA]],"+",tabE.Flux[[#This Row],[MOTORISTA + MATRÍCULA A]],"+",tabE.Flux[[#This Row],[LINHA]])</f>
        <v>45894+CANCELADO+IMPERATRIZ (MA) X SÃO LUIS (MA)</v>
      </c>
      <c r="F237" s="1" t="str">
        <f>_xlfn.CONCAT(tabE.Flux[[#This Row],[DATA]],"+",tabE.Flux[[#This Row],[MOTORISTA + MATRÍCULA B]],"+",tabE.Flux[[#This Row],[LINHA]])</f>
        <v>45894+CANCELADO+IMPERATRIZ (MA) X SÃO LUIS (MA)</v>
      </c>
      <c r="G237" s="1" t="str">
        <f>_xlfn.CONCAT(tabE.Flux[[#This Row],[DATA]],"+",tabE.Flux[[#This Row],[LINHA]])</f>
        <v>45894+IMPERATRIZ (MA) X SÃO LUIS (MA)</v>
      </c>
      <c r="H237" s="141">
        <v>45894</v>
      </c>
      <c r="I237" s="142" t="s">
        <v>15</v>
      </c>
      <c r="J237" s="144" t="s">
        <v>27</v>
      </c>
      <c r="K237" s="143">
        <v>0.77083333333333337</v>
      </c>
      <c r="L237" s="143">
        <v>0.8125</v>
      </c>
      <c r="M237" s="142" t="s">
        <v>16</v>
      </c>
      <c r="N237" s="142" t="s">
        <v>42</v>
      </c>
      <c r="O237" s="144" t="s">
        <v>27</v>
      </c>
      <c r="P237" s="144" t="s">
        <v>27</v>
      </c>
      <c r="Q237" s="142" t="s">
        <v>47</v>
      </c>
      <c r="R237" s="76"/>
      <c r="S237" s="76"/>
      <c r="T237" s="76"/>
      <c r="U237" s="76"/>
      <c r="V237" s="76"/>
      <c r="W237" s="76"/>
      <c r="X237" s="76"/>
      <c r="Y237" s="76"/>
    </row>
    <row r="238" spans="1:25" s="6" customFormat="1" x14ac:dyDescent="0.25">
      <c r="A238" s="101"/>
      <c r="B238" s="101"/>
      <c r="C238" s="1" t="str">
        <f>_xlfn.CONCAT(tabE.Flux[[#This Row],[DATA]],"+",tabE.Flux[[#This Row],[MOTORISTA + MATRÍCULA A]])</f>
        <v>45894+JOSE ALVES DE FREITAS NETO - 5027</v>
      </c>
      <c r="D238" s="1" t="str">
        <f>_xlfn.CONCAT(tabE.Flux[[#This Row],[DATA]],"+",tabE.Flux[[#This Row],[MOTORISTA + MATRÍCULA B]])</f>
        <v>45894+CARLOS ADRIANO DE SOUZA DO NASCIMENTO - 6222</v>
      </c>
      <c r="E238" s="1" t="str">
        <f>_xlfn.CONCAT(tabE.Flux[[#This Row],[DATA]],"+",tabE.Flux[[#This Row],[MOTORISTA + MATRÍCULA A]],"+",tabE.Flux[[#This Row],[LINHA]])</f>
        <v>45894+JOSE ALVES DE FREITAS NETO - 5027+GOIANIA (GO) X SAO LUIS (MA)</v>
      </c>
      <c r="F238" s="1" t="str">
        <f>_xlfn.CONCAT(tabE.Flux[[#This Row],[DATA]],"+",tabE.Flux[[#This Row],[MOTORISTA + MATRÍCULA B]],"+",tabE.Flux[[#This Row],[LINHA]])</f>
        <v>45894+CARLOS ADRIANO DE SOUZA DO NASCIMENTO - 6222+GOIANIA (GO) X SAO LUIS (MA)</v>
      </c>
      <c r="G238" s="1" t="str">
        <f>_xlfn.CONCAT(tabE.Flux[[#This Row],[DATA]],"+",tabE.Flux[[#This Row],[LINHA]])</f>
        <v>45894+GOIANIA (GO) X SAO LUIS (MA)</v>
      </c>
      <c r="H238" s="141">
        <v>45894</v>
      </c>
      <c r="I238" s="142" t="s">
        <v>15</v>
      </c>
      <c r="J238" s="142">
        <v>24013</v>
      </c>
      <c r="K238" s="143">
        <v>0.8125</v>
      </c>
      <c r="L238" s="143">
        <v>0.84375</v>
      </c>
      <c r="M238" s="142" t="s">
        <v>16</v>
      </c>
      <c r="N238" s="142" t="s">
        <v>42</v>
      </c>
      <c r="O238" s="142" t="s">
        <v>90</v>
      </c>
      <c r="P238" s="142" t="s">
        <v>110</v>
      </c>
      <c r="Q238" s="142" t="s">
        <v>23</v>
      </c>
      <c r="R238" s="76"/>
      <c r="S238" s="76"/>
      <c r="T238" s="76"/>
      <c r="U238" s="76"/>
      <c r="V238" s="76"/>
      <c r="W238" s="76"/>
      <c r="X238" s="76"/>
      <c r="Y238" s="76"/>
    </row>
    <row r="239" spans="1:25" s="6" customFormat="1" x14ac:dyDescent="0.25">
      <c r="A239" s="101"/>
      <c r="B239" s="101"/>
      <c r="C239" s="1" t="str">
        <f>_xlfn.CONCAT(tabE.Flux[[#This Row],[DATA]],"+",tabE.Flux[[#This Row],[MOTORISTA + MATRÍCULA A]])</f>
        <v>45894+JOSE POLICARPO DE SOUSA NETO - 1472</v>
      </c>
      <c r="D239" s="1" t="str">
        <f>_xlfn.CONCAT(tabE.Flux[[#This Row],[DATA]],"+",tabE.Flux[[#This Row],[MOTORISTA + MATRÍCULA B]])</f>
        <v>45894+FRANCISCO DAS CHAGAS SILVA - 5656</v>
      </c>
      <c r="E239" s="1" t="str">
        <f>_xlfn.CONCAT(tabE.Flux[[#This Row],[DATA]],"+",tabE.Flux[[#This Row],[MOTORISTA + MATRÍCULA A]],"+",tabE.Flux[[#This Row],[LINHA]])</f>
        <v>45894+JOSE POLICARPO DE SOUSA NETO - 1472+GOIANIA (GO) X TERESINA (PI) VIA STI</v>
      </c>
      <c r="F239" s="1" t="str">
        <f>_xlfn.CONCAT(tabE.Flux[[#This Row],[DATA]],"+",tabE.Flux[[#This Row],[MOTORISTA + MATRÍCULA B]],"+",tabE.Flux[[#This Row],[LINHA]])</f>
        <v>45894+FRANCISCO DAS CHAGAS SILVA - 5656+GOIANIA (GO) X TERESINA (PI) VIA STI</v>
      </c>
      <c r="G239" s="1" t="str">
        <f>_xlfn.CONCAT(tabE.Flux[[#This Row],[DATA]],"+",tabE.Flux[[#This Row],[LINHA]])</f>
        <v>45894+GOIANIA (GO) X TERESINA (PI) VIA STI</v>
      </c>
      <c r="H239" s="141">
        <v>45894</v>
      </c>
      <c r="I239" s="142" t="s">
        <v>15</v>
      </c>
      <c r="J239" s="142">
        <v>17100</v>
      </c>
      <c r="K239" s="143">
        <v>0.77083333333333337</v>
      </c>
      <c r="L239" s="143">
        <v>0.79861111111111116</v>
      </c>
      <c r="M239" s="142" t="s">
        <v>16</v>
      </c>
      <c r="N239" s="142" t="s">
        <v>29</v>
      </c>
      <c r="O239" s="142" t="s">
        <v>54</v>
      </c>
      <c r="P239" s="142" t="s">
        <v>31</v>
      </c>
      <c r="Q239" s="142" t="s">
        <v>26</v>
      </c>
      <c r="R239" s="76"/>
      <c r="S239" s="76"/>
      <c r="T239" s="76"/>
      <c r="U239" s="76"/>
      <c r="V239" s="76"/>
      <c r="W239" s="76"/>
      <c r="X239" s="76"/>
      <c r="Y239" s="76"/>
    </row>
    <row r="240" spans="1:25" s="6" customFormat="1" x14ac:dyDescent="0.25">
      <c r="A240" s="101"/>
      <c r="B240" s="101"/>
      <c r="C240" s="1" t="str">
        <f>_xlfn.CONCAT(tabE.Flux[[#This Row],[DATA]],"+",tabE.Flux[[#This Row],[MOTORISTA + MATRÍCULA A]])</f>
        <v>45894+RAIMUNDO FERNANDES RIBEIRO - 907</v>
      </c>
      <c r="D240" s="1" t="str">
        <f>_xlfn.CONCAT(tabE.Flux[[#This Row],[DATA]],"+",tabE.Flux[[#This Row],[MOTORISTA + MATRÍCULA B]])</f>
        <v>45894+LUIS ANTONIO FARIAS RIBEIRO - 2789</v>
      </c>
      <c r="E240" s="1" t="str">
        <f>_xlfn.CONCAT(tabE.Flux[[#This Row],[DATA]],"+",tabE.Flux[[#This Row],[MOTORISTA + MATRÍCULA A]],"+",tabE.Flux[[#This Row],[LINHA]])</f>
        <v>45894+RAIMUNDO FERNANDES RIBEIRO - 907+GOIANIA (GO) X SAO LUIS (MA)</v>
      </c>
      <c r="F240" s="1" t="str">
        <f>_xlfn.CONCAT(tabE.Flux[[#This Row],[DATA]],"+",tabE.Flux[[#This Row],[MOTORISTA + MATRÍCULA B]],"+",tabE.Flux[[#This Row],[LINHA]])</f>
        <v>45894+LUIS ANTONIO FARIAS RIBEIRO - 2789+GOIANIA (GO) X SAO LUIS (MA)</v>
      </c>
      <c r="G240" s="1" t="str">
        <f>_xlfn.CONCAT(tabE.Flux[[#This Row],[DATA]],"+",tabE.Flux[[#This Row],[LINHA]])</f>
        <v>45894+GOIANIA (GO) X SAO LUIS (MA)</v>
      </c>
      <c r="H240" s="141">
        <v>45894</v>
      </c>
      <c r="I240" s="142" t="s">
        <v>15</v>
      </c>
      <c r="J240" s="142">
        <v>15600</v>
      </c>
      <c r="K240" s="143">
        <v>0.8125</v>
      </c>
      <c r="L240" s="143">
        <v>0.84166666666666667</v>
      </c>
      <c r="M240" s="142" t="s">
        <v>16</v>
      </c>
      <c r="N240" s="142" t="s">
        <v>17</v>
      </c>
      <c r="O240" s="142" t="s">
        <v>143</v>
      </c>
      <c r="P240" s="142" t="s">
        <v>124</v>
      </c>
      <c r="Q240" s="142" t="s">
        <v>23</v>
      </c>
      <c r="R240" s="76"/>
      <c r="S240" s="76"/>
      <c r="T240" s="76"/>
      <c r="U240" s="76"/>
      <c r="V240" s="76"/>
      <c r="W240" s="76"/>
      <c r="X240" s="76"/>
      <c r="Y240" s="76"/>
    </row>
    <row r="241" spans="1:25" s="6" customFormat="1" x14ac:dyDescent="0.25">
      <c r="A241" s="101"/>
      <c r="B241" s="101"/>
      <c r="C241" s="1" t="str">
        <f>_xlfn.CONCAT(tabE.Flux[[#This Row],[DATA]],"+",tabE.Flux[[#This Row],[MOTORISTA + MATRÍCULA A]])</f>
        <v>45894+JEFFERSON CARDOSO DOS SANTOS - 5837</v>
      </c>
      <c r="D241" s="1" t="str">
        <f>_xlfn.CONCAT(tabE.Flux[[#This Row],[DATA]],"+",tabE.Flux[[#This Row],[MOTORISTA + MATRÍCULA B]])</f>
        <v>45894+RICHARD SOUSA DA SILVA - 1271</v>
      </c>
      <c r="E241" s="1" t="str">
        <f>_xlfn.CONCAT(tabE.Flux[[#This Row],[DATA]],"+",tabE.Flux[[#This Row],[MOTORISTA + MATRÍCULA A]],"+",tabE.Flux[[#This Row],[LINHA]])</f>
        <v>45894+JEFFERSON CARDOSO DOS SANTOS - 5837+FORTALEZA (CE) X SINOP (MT)</v>
      </c>
      <c r="F241" s="1" t="str">
        <f>_xlfn.CONCAT(tabE.Flux[[#This Row],[DATA]],"+",tabE.Flux[[#This Row],[MOTORISTA + MATRÍCULA B]],"+",tabE.Flux[[#This Row],[LINHA]])</f>
        <v>45894+RICHARD SOUSA DA SILVA - 1271+FORTALEZA (CE) X SINOP (MT)</v>
      </c>
      <c r="G241" s="1" t="str">
        <f>_xlfn.CONCAT(tabE.Flux[[#This Row],[DATA]],"+",tabE.Flux[[#This Row],[LINHA]])</f>
        <v>45894+FORTALEZA (CE) X SINOP (MT)</v>
      </c>
      <c r="H241" s="141">
        <v>45894</v>
      </c>
      <c r="I241" s="142" t="s">
        <v>15</v>
      </c>
      <c r="J241" s="142">
        <v>19013</v>
      </c>
      <c r="K241" s="143">
        <v>0.8125</v>
      </c>
      <c r="L241" s="143">
        <v>0.85416666666666663</v>
      </c>
      <c r="M241" s="142" t="s">
        <v>16</v>
      </c>
      <c r="N241" s="142" t="s">
        <v>17</v>
      </c>
      <c r="O241" s="142" t="s">
        <v>30</v>
      </c>
      <c r="P241" s="142" t="s">
        <v>56</v>
      </c>
      <c r="Q241" s="142" t="s">
        <v>32</v>
      </c>
      <c r="R241" s="76"/>
      <c r="S241" s="76"/>
      <c r="T241" s="76"/>
      <c r="U241" s="76"/>
      <c r="V241" s="76"/>
      <c r="W241" s="76"/>
      <c r="X241" s="76"/>
      <c r="Y241" s="76"/>
    </row>
    <row r="242" spans="1:25" s="6" customFormat="1" x14ac:dyDescent="0.25">
      <c r="A242" s="101"/>
      <c r="B242" s="101"/>
      <c r="C242" s="1" t="str">
        <f>_xlfn.CONCAT(tabE.Flux[[#This Row],[DATA]],"+",tabE.Flux[[#This Row],[MOTORISTA + MATRÍCULA A]])</f>
        <v>45894+ALCENILDE BARBOSA ARAUJO - 1745</v>
      </c>
      <c r="D242" s="1" t="str">
        <f>_xlfn.CONCAT(tabE.Flux[[#This Row],[DATA]],"+",tabE.Flux[[#This Row],[MOTORISTA + MATRÍCULA B]])</f>
        <v>45894+AILTON LEITE ORTIZ DE CAMARGO - 1642</v>
      </c>
      <c r="E242" s="1" t="str">
        <f>_xlfn.CONCAT(tabE.Flux[[#This Row],[DATA]],"+",tabE.Flux[[#This Row],[MOTORISTA + MATRÍCULA A]],"+",tabE.Flux[[#This Row],[LINHA]])</f>
        <v>45894+ALCENILDE BARBOSA ARAUJO - 1745+GOIANIA (GO) X BELEM (PA)</v>
      </c>
      <c r="F242" s="1" t="str">
        <f>_xlfn.CONCAT(tabE.Flux[[#This Row],[DATA]],"+",tabE.Flux[[#This Row],[MOTORISTA + MATRÍCULA B]],"+",tabE.Flux[[#This Row],[LINHA]])</f>
        <v>45894+AILTON LEITE ORTIZ DE CAMARGO - 1642+GOIANIA (GO) X BELEM (PA)</v>
      </c>
      <c r="G242" s="1" t="str">
        <f>_xlfn.CONCAT(tabE.Flux[[#This Row],[DATA]],"+",tabE.Flux[[#This Row],[LINHA]])</f>
        <v>45894+GOIANIA (GO) X BELEM (PA)</v>
      </c>
      <c r="H242" s="141">
        <v>45894</v>
      </c>
      <c r="I242" s="142" t="s">
        <v>15</v>
      </c>
      <c r="J242" s="142">
        <v>19020</v>
      </c>
      <c r="K242" s="143">
        <v>0.84722222222222221</v>
      </c>
      <c r="L242" s="143">
        <v>0.87847222222222221</v>
      </c>
      <c r="M242" s="142" t="s">
        <v>16</v>
      </c>
      <c r="N242" s="142" t="s">
        <v>17</v>
      </c>
      <c r="O242" s="142" t="s">
        <v>137</v>
      </c>
      <c r="P242" s="142" t="s">
        <v>136</v>
      </c>
      <c r="Q242" s="142" t="s">
        <v>20</v>
      </c>
      <c r="R242" s="76"/>
      <c r="S242" s="76"/>
      <c r="T242" s="76"/>
      <c r="U242" s="76"/>
      <c r="V242" s="76"/>
      <c r="W242" s="76"/>
      <c r="X242" s="76"/>
      <c r="Y242" s="76"/>
    </row>
    <row r="243" spans="1:25" s="6" customFormat="1" x14ac:dyDescent="0.25">
      <c r="A243" s="101"/>
      <c r="B243" s="101"/>
      <c r="C243" s="1" t="str">
        <f>_xlfn.CONCAT(tabE.Flux[[#This Row],[DATA]],"+",tabE.Flux[[#This Row],[MOTORISTA + MATRÍCULA A]])</f>
        <v>+</v>
      </c>
      <c r="D243" s="1" t="str">
        <f>_xlfn.CONCAT(tabE.Flux[[#This Row],[DATA]],"+",tabE.Flux[[#This Row],[MOTORISTA + MATRÍCULA B]])</f>
        <v>+</v>
      </c>
      <c r="E243" s="1" t="str">
        <f>_xlfn.CONCAT(tabE.Flux[[#This Row],[DATA]],"+",tabE.Flux[[#This Row],[MOTORISTA + MATRÍCULA A]],"+",tabE.Flux[[#This Row],[LINHA]])</f>
        <v>++</v>
      </c>
      <c r="F243" s="1" t="str">
        <f>_xlfn.CONCAT(tabE.Flux[[#This Row],[DATA]],"+",tabE.Flux[[#This Row],[MOTORISTA + MATRÍCULA B]],"+",tabE.Flux[[#This Row],[LINHA]])</f>
        <v>++</v>
      </c>
      <c r="G243" s="1" t="str">
        <f>_xlfn.CONCAT(tabE.Flux[[#This Row],[DATA]],"+",tabE.Flux[[#This Row],[LINHA]])</f>
        <v>+</v>
      </c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76"/>
      <c r="S243" s="76"/>
      <c r="T243" s="76"/>
      <c r="U243" s="76"/>
      <c r="V243" s="76"/>
      <c r="W243" s="76"/>
      <c r="X243" s="76"/>
      <c r="Y243" s="76"/>
    </row>
    <row r="244" spans="1:25" s="6" customFormat="1" ht="15" customHeight="1" x14ac:dyDescent="0.25">
      <c r="A244" s="101"/>
      <c r="B244" s="101"/>
      <c r="C244" s="1" t="str">
        <f>_xlfn.CONCAT(tabE.Flux[[#This Row],[DATA]],"+",tabE.Flux[[#This Row],[MOTORISTA + MATRÍCULA A]])</f>
        <v>45895+WILSON MARTINS ROCHA - 105</v>
      </c>
      <c r="D244" s="1" t="str">
        <f>_xlfn.CONCAT(tabE.Flux[[#This Row],[DATA]],"+",tabE.Flux[[#This Row],[MOTORISTA + MATRÍCULA B]])</f>
        <v>45895+WILSON FERREIRA DE JESUS - 1407</v>
      </c>
      <c r="E244" s="1" t="str">
        <f>_xlfn.CONCAT(tabE.Flux[[#This Row],[DATA]],"+",tabE.Flux[[#This Row],[MOTORISTA + MATRÍCULA A]],"+",tabE.Flux[[#This Row],[LINHA]])</f>
        <v>45895+WILSON MARTINS ROCHA - 105+GOIANIA (GO) X BELEM (PA)</v>
      </c>
      <c r="F244" s="1" t="str">
        <f>_xlfn.CONCAT(tabE.Flux[[#This Row],[DATA]],"+",tabE.Flux[[#This Row],[MOTORISTA + MATRÍCULA B]],"+",tabE.Flux[[#This Row],[LINHA]])</f>
        <v>45895+WILSON FERREIRA DE JESUS - 1407+GOIANIA (GO) X BELEM (PA)</v>
      </c>
      <c r="G244" s="1" t="str">
        <f>_xlfn.CONCAT(tabE.Flux[[#This Row],[DATA]],"+",tabE.Flux[[#This Row],[LINHA]])</f>
        <v>45895+GOIANIA (GO) X BELEM (PA)</v>
      </c>
      <c r="H244" s="141">
        <v>45895</v>
      </c>
      <c r="I244" s="142" t="s">
        <v>15</v>
      </c>
      <c r="J244" s="142">
        <v>24010</v>
      </c>
      <c r="K244" s="143">
        <v>0.25486111111111109</v>
      </c>
      <c r="L244" s="143">
        <v>0.3</v>
      </c>
      <c r="M244" s="142" t="s">
        <v>16</v>
      </c>
      <c r="N244" s="142" t="s">
        <v>17</v>
      </c>
      <c r="O244" s="142" t="s">
        <v>81</v>
      </c>
      <c r="P244" s="142" t="s">
        <v>82</v>
      </c>
      <c r="Q244" s="142" t="s">
        <v>20</v>
      </c>
      <c r="R244" s="76"/>
      <c r="S244" s="76"/>
      <c r="T244" s="76"/>
      <c r="U244" s="76"/>
      <c r="V244" s="76"/>
      <c r="W244" s="76"/>
      <c r="X244" s="76"/>
      <c r="Y244" s="76"/>
    </row>
    <row r="245" spans="1:25" s="6" customFormat="1" x14ac:dyDescent="0.25">
      <c r="A245" s="101"/>
      <c r="B245" s="101"/>
      <c r="C245" s="1" t="str">
        <f>_xlfn.CONCAT(tabE.Flux[[#This Row],[DATA]],"+",tabE.Flux[[#This Row],[MOTORISTA + MATRÍCULA A]])</f>
        <v>45895+JADILSON LIMA VIEIRA - 1108</v>
      </c>
      <c r="D245" s="1" t="str">
        <f>_xlfn.CONCAT(tabE.Flux[[#This Row],[DATA]],"+",tabE.Flux[[#This Row],[MOTORISTA + MATRÍCULA B]])</f>
        <v>45895+JOSE CARLOS FERREIRA - 1202</v>
      </c>
      <c r="E245" s="1" t="str">
        <f>_xlfn.CONCAT(tabE.Flux[[#This Row],[DATA]],"+",tabE.Flux[[#This Row],[MOTORISTA + MATRÍCULA A]],"+",tabE.Flux[[#This Row],[LINHA]])</f>
        <v>45895+JADILSON LIMA VIEIRA - 1108+GOIANIA (GO) X SAO LUIS (MA)</v>
      </c>
      <c r="F245" s="1" t="str">
        <f>_xlfn.CONCAT(tabE.Flux[[#This Row],[DATA]],"+",tabE.Flux[[#This Row],[MOTORISTA + MATRÍCULA B]],"+",tabE.Flux[[#This Row],[LINHA]])</f>
        <v>45895+JOSE CARLOS FERREIRA - 1202+GOIANIA (GO) X SAO LUIS (MA)</v>
      </c>
      <c r="G245" s="1" t="str">
        <f>_xlfn.CONCAT(tabE.Flux[[#This Row],[DATA]],"+",tabE.Flux[[#This Row],[LINHA]])</f>
        <v>45895+GOIANIA (GO) X SAO LUIS (MA)</v>
      </c>
      <c r="H245" s="141">
        <v>45895</v>
      </c>
      <c r="I245" s="142" t="s">
        <v>15</v>
      </c>
      <c r="J245" s="142">
        <v>24005</v>
      </c>
      <c r="K245" s="143">
        <v>0.32291666666666669</v>
      </c>
      <c r="L245" s="143">
        <v>0.33333333333333331</v>
      </c>
      <c r="M245" s="142" t="s">
        <v>16</v>
      </c>
      <c r="N245" s="142" t="s">
        <v>17</v>
      </c>
      <c r="O245" s="142" t="s">
        <v>66</v>
      </c>
      <c r="P245" s="142" t="s">
        <v>65</v>
      </c>
      <c r="Q245" s="142" t="s">
        <v>23</v>
      </c>
      <c r="R245" s="76"/>
      <c r="S245" s="76"/>
      <c r="T245" s="76"/>
      <c r="U245" s="76"/>
      <c r="V245" s="76"/>
      <c r="W245" s="76"/>
      <c r="X245" s="76"/>
      <c r="Y245" s="76"/>
    </row>
    <row r="246" spans="1:25" s="6" customFormat="1" x14ac:dyDescent="0.25">
      <c r="A246" s="101"/>
      <c r="B246" s="101"/>
      <c r="C246" s="1" t="str">
        <f>_xlfn.CONCAT(tabE.Flux[[#This Row],[DATA]],"+",tabE.Flux[[#This Row],[MOTORISTA + MATRÍCULA A]])</f>
        <v>45895+VALTERSON ANTONIO CORREIA - 3004</v>
      </c>
      <c r="D246" s="1" t="str">
        <f>_xlfn.CONCAT(tabE.Flux[[#This Row],[DATA]],"+",tabE.Flux[[#This Row],[MOTORISTA + MATRÍCULA B]])</f>
        <v>45895+JOAO AMARAL DA SILVA JUNIOR - 5290</v>
      </c>
      <c r="E246" s="1" t="str">
        <f>_xlfn.CONCAT(tabE.Flux[[#This Row],[DATA]],"+",tabE.Flux[[#This Row],[MOTORISTA + MATRÍCULA A]],"+",tabE.Flux[[#This Row],[LINHA]])</f>
        <v>45895+VALTERSON ANTONIO CORREIA - 3004+GOIANIA (GO) X TERESINA (PI) VIA STI</v>
      </c>
      <c r="F246" s="1" t="str">
        <f>_xlfn.CONCAT(tabE.Flux[[#This Row],[DATA]],"+",tabE.Flux[[#This Row],[MOTORISTA + MATRÍCULA B]],"+",tabE.Flux[[#This Row],[LINHA]])</f>
        <v>45895+JOAO AMARAL DA SILVA JUNIOR - 5290+GOIANIA (GO) X TERESINA (PI) VIA STI</v>
      </c>
      <c r="G246" s="1" t="str">
        <f>_xlfn.CONCAT(tabE.Flux[[#This Row],[DATA]],"+",tabE.Flux[[#This Row],[LINHA]])</f>
        <v>45895+GOIANIA (GO) X TERESINA (PI) VIA STI</v>
      </c>
      <c r="H246" s="141">
        <v>45895</v>
      </c>
      <c r="I246" s="142" t="s">
        <v>15</v>
      </c>
      <c r="J246" s="142">
        <v>19009</v>
      </c>
      <c r="K246" s="143">
        <v>0.3888888888888889</v>
      </c>
      <c r="L246" s="143">
        <v>0.39583333333333331</v>
      </c>
      <c r="M246" s="142" t="s">
        <v>16</v>
      </c>
      <c r="N246" s="142" t="s">
        <v>17</v>
      </c>
      <c r="O246" s="142" t="s">
        <v>71</v>
      </c>
      <c r="P246" s="142" t="s">
        <v>215</v>
      </c>
      <c r="Q246" s="142" t="s">
        <v>26</v>
      </c>
      <c r="R246" s="76"/>
      <c r="S246" s="76"/>
      <c r="T246" s="76"/>
      <c r="U246" s="76"/>
      <c r="V246" s="76"/>
      <c r="W246" s="76"/>
      <c r="X246" s="76"/>
      <c r="Y246" s="76"/>
    </row>
    <row r="247" spans="1:25" s="6" customFormat="1" x14ac:dyDescent="0.25">
      <c r="A247" s="101"/>
      <c r="B247" s="101"/>
      <c r="C247" s="1" t="str">
        <f>_xlfn.CONCAT(tabE.Flux[[#This Row],[DATA]],"+",tabE.Flux[[#This Row],[MOTORISTA + MATRÍCULA A]])</f>
        <v>45895+CANCELADO</v>
      </c>
      <c r="D247" s="1" t="str">
        <f>_xlfn.CONCAT(tabE.Flux[[#This Row],[DATA]],"+",tabE.Flux[[#This Row],[MOTORISTA + MATRÍCULA B]])</f>
        <v>45895+CANCELADO</v>
      </c>
      <c r="E247" s="1" t="str">
        <f>_xlfn.CONCAT(tabE.Flux[[#This Row],[DATA]],"+",tabE.Flux[[#This Row],[MOTORISTA + MATRÍCULA A]],"+",tabE.Flux[[#This Row],[LINHA]])</f>
        <v>45895+CANCELADO+</v>
      </c>
      <c r="F247" s="1" t="str">
        <f>_xlfn.CONCAT(tabE.Flux[[#This Row],[DATA]],"+",tabE.Flux[[#This Row],[MOTORISTA + MATRÍCULA B]],"+",tabE.Flux[[#This Row],[LINHA]])</f>
        <v>45895+CANCELADO+</v>
      </c>
      <c r="G247" s="1" t="str">
        <f>_xlfn.CONCAT(tabE.Flux[[#This Row],[DATA]],"+",tabE.Flux[[#This Row],[LINHA]])</f>
        <v>45895+</v>
      </c>
      <c r="H247" s="141">
        <v>45895</v>
      </c>
      <c r="I247" s="142" t="s">
        <v>15</v>
      </c>
      <c r="J247" s="144" t="s">
        <v>27</v>
      </c>
      <c r="K247" s="143">
        <v>0.375</v>
      </c>
      <c r="L247" s="143">
        <v>0.41666666666666669</v>
      </c>
      <c r="M247" s="142" t="s">
        <v>16</v>
      </c>
      <c r="N247" s="142" t="s">
        <v>28</v>
      </c>
      <c r="O247" s="144" t="s">
        <v>27</v>
      </c>
      <c r="P247" s="144" t="s">
        <v>27</v>
      </c>
      <c r="Q247" s="142"/>
      <c r="R247" s="76"/>
      <c r="S247" s="76"/>
      <c r="T247" s="76"/>
      <c r="U247" s="76"/>
      <c r="V247" s="76"/>
      <c r="W247" s="76"/>
      <c r="X247" s="76"/>
      <c r="Y247" s="76"/>
    </row>
    <row r="248" spans="1:25" s="6" customFormat="1" x14ac:dyDescent="0.25">
      <c r="A248" s="101"/>
      <c r="B248" s="101"/>
      <c r="C248" s="1" t="str">
        <f>_xlfn.CONCAT(tabE.Flux[[#This Row],[DATA]],"+",tabE.Flux[[#This Row],[MOTORISTA + MATRÍCULA A]])</f>
        <v>45895+FRANCISCO BATISTA DE LIMA - 1827</v>
      </c>
      <c r="D248" s="1" t="str">
        <f>_xlfn.CONCAT(tabE.Flux[[#This Row],[DATA]],"+",tabE.Flux[[#This Row],[MOTORISTA + MATRÍCULA B]])</f>
        <v>45895+BRUNO MATOS DA ROCHA - 6013</v>
      </c>
      <c r="E248" s="1" t="str">
        <f>_xlfn.CONCAT(tabE.Flux[[#This Row],[DATA]],"+",tabE.Flux[[#This Row],[MOTORISTA + MATRÍCULA A]],"+",tabE.Flux[[#This Row],[LINHA]])</f>
        <v>45895+FRANCISCO BATISTA DE LIMA - 1827+FORTALEZA (CE) X SINOP (MT)</v>
      </c>
      <c r="F248" s="1" t="str">
        <f>_xlfn.CONCAT(tabE.Flux[[#This Row],[DATA]],"+",tabE.Flux[[#This Row],[MOTORISTA + MATRÍCULA B]],"+",tabE.Flux[[#This Row],[LINHA]])</f>
        <v>45895+BRUNO MATOS DA ROCHA - 6013+FORTALEZA (CE) X SINOP (MT)</v>
      </c>
      <c r="G248" s="1" t="str">
        <f>_xlfn.CONCAT(tabE.Flux[[#This Row],[DATA]],"+",tabE.Flux[[#This Row],[LINHA]])</f>
        <v>45895+FORTALEZA (CE) X SINOP (MT)</v>
      </c>
      <c r="H248" s="141">
        <v>45895</v>
      </c>
      <c r="I248" s="142" t="s">
        <v>15</v>
      </c>
      <c r="J248" s="142">
        <v>19002</v>
      </c>
      <c r="K248" s="143">
        <v>0.3888888888888889</v>
      </c>
      <c r="L248" s="143">
        <v>0.37708333333333333</v>
      </c>
      <c r="M248" s="142" t="s">
        <v>16</v>
      </c>
      <c r="N248" s="142" t="s">
        <v>29</v>
      </c>
      <c r="O248" s="142" t="s">
        <v>128</v>
      </c>
      <c r="P248" s="142" t="s">
        <v>147</v>
      </c>
      <c r="Q248" s="142" t="s">
        <v>32</v>
      </c>
      <c r="R248" s="76"/>
      <c r="S248" s="76"/>
      <c r="T248" s="76"/>
      <c r="U248" s="76"/>
      <c r="V248" s="76"/>
      <c r="W248" s="76"/>
      <c r="X248" s="76"/>
      <c r="Y248" s="76"/>
    </row>
    <row r="249" spans="1:25" s="6" customFormat="1" x14ac:dyDescent="0.25">
      <c r="A249" s="101"/>
      <c r="B249" s="101"/>
      <c r="C249" s="1" t="str">
        <f>_xlfn.CONCAT(tabE.Flux[[#This Row],[DATA]],"+",tabE.Flux[[#This Row],[MOTORISTA + MATRÍCULA A]])</f>
        <v>45895+FABIO MOREIRA DOS SANTOS - 3073</v>
      </c>
      <c r="D249" s="1" t="str">
        <f>_xlfn.CONCAT(tabE.Flux[[#This Row],[DATA]],"+",tabE.Flux[[#This Row],[MOTORISTA + MATRÍCULA B]])</f>
        <v>45895+RONALDO ADRIANO COSTA SANTOS - 5637</v>
      </c>
      <c r="E249" s="1" t="str">
        <f>_xlfn.CONCAT(tabE.Flux[[#This Row],[DATA]],"+",tabE.Flux[[#This Row],[MOTORISTA + MATRÍCULA A]],"+",tabE.Flux[[#This Row],[LINHA]])</f>
        <v>45895+FABIO MOREIRA DOS SANTOS - 3073+GOIANIA (GO) X BELEM (PA)</v>
      </c>
      <c r="F249" s="1" t="str">
        <f>_xlfn.CONCAT(tabE.Flux[[#This Row],[DATA]],"+",tabE.Flux[[#This Row],[MOTORISTA + MATRÍCULA B]],"+",tabE.Flux[[#This Row],[LINHA]])</f>
        <v>45895+RONALDO ADRIANO COSTA SANTOS - 5637+GOIANIA (GO) X BELEM (PA)</v>
      </c>
      <c r="G249" s="1" t="str">
        <f>_xlfn.CONCAT(tabE.Flux[[#This Row],[DATA]],"+",tabE.Flux[[#This Row],[LINHA]])</f>
        <v>45895+GOIANIA (GO) X BELEM (PA)</v>
      </c>
      <c r="H249" s="141">
        <v>45895</v>
      </c>
      <c r="I249" s="142" t="s">
        <v>15</v>
      </c>
      <c r="J249" s="142">
        <v>20016</v>
      </c>
      <c r="K249" s="143">
        <v>0.38958333333333334</v>
      </c>
      <c r="L249" s="143">
        <v>0.38541666666666669</v>
      </c>
      <c r="M249" s="142" t="s">
        <v>16</v>
      </c>
      <c r="N249" s="142" t="s">
        <v>33</v>
      </c>
      <c r="O249" s="142" t="s">
        <v>50</v>
      </c>
      <c r="P249" s="142" t="s">
        <v>41</v>
      </c>
      <c r="Q249" s="142" t="s">
        <v>20</v>
      </c>
      <c r="R249" s="76"/>
      <c r="S249" s="76"/>
      <c r="T249" s="76"/>
      <c r="U249" s="76"/>
      <c r="V249" s="76"/>
      <c r="W249" s="76"/>
      <c r="X249" s="76"/>
      <c r="Y249" s="76"/>
    </row>
    <row r="250" spans="1:25" s="6" customFormat="1" x14ac:dyDescent="0.25">
      <c r="A250" s="101"/>
      <c r="B250" s="101"/>
      <c r="C250" s="1" t="str">
        <f>_xlfn.CONCAT(tabE.Flux[[#This Row],[DATA]],"+",tabE.Flux[[#This Row],[MOTORISTA + MATRÍCULA A]])</f>
        <v>45895+MARCIO DE SOUSA MATOS - 5264</v>
      </c>
      <c r="D250" s="1" t="str">
        <f>_xlfn.CONCAT(tabE.Flux[[#This Row],[DATA]],"+",tabE.Flux[[#This Row],[MOTORISTA + MATRÍCULA B]])</f>
        <v>45895+EDUARDO SANTOS BEZERRA - 4066</v>
      </c>
      <c r="E250" s="1" t="str">
        <f>_xlfn.CONCAT(tabE.Flux[[#This Row],[DATA]],"+",tabE.Flux[[#This Row],[MOTORISTA + MATRÍCULA A]],"+",tabE.Flux[[#This Row],[LINHA]])</f>
        <v>45895+MARCIO DE SOUSA MATOS - 5264+GOIANIA (GO) X TERESINA (PI) VIA BC</v>
      </c>
      <c r="F250" s="1" t="str">
        <f>_xlfn.CONCAT(tabE.Flux[[#This Row],[DATA]],"+",tabE.Flux[[#This Row],[MOTORISTA + MATRÍCULA B]],"+",tabE.Flux[[#This Row],[LINHA]])</f>
        <v>45895+EDUARDO SANTOS BEZERRA - 4066+GOIANIA (GO) X TERESINA (PI) VIA BC</v>
      </c>
      <c r="G250" s="1" t="str">
        <f>_xlfn.CONCAT(tabE.Flux[[#This Row],[DATA]],"+",tabE.Flux[[#This Row],[LINHA]])</f>
        <v>45895+GOIANIA (GO) X TERESINA (PI) VIA BC</v>
      </c>
      <c r="H250" s="141">
        <v>45895</v>
      </c>
      <c r="I250" s="142" t="s">
        <v>15</v>
      </c>
      <c r="J250" s="142">
        <v>25008</v>
      </c>
      <c r="K250" s="143">
        <v>0.375</v>
      </c>
      <c r="L250" s="143">
        <v>0.39930555555555558</v>
      </c>
      <c r="M250" s="142" t="s">
        <v>36</v>
      </c>
      <c r="N250" s="142" t="s">
        <v>29</v>
      </c>
      <c r="O250" s="142" t="s">
        <v>62</v>
      </c>
      <c r="P250" s="142" t="s">
        <v>148</v>
      </c>
      <c r="Q250" s="142" t="s">
        <v>39</v>
      </c>
      <c r="R250" s="76"/>
      <c r="S250" s="76"/>
      <c r="T250" s="76"/>
      <c r="U250" s="76"/>
      <c r="V250" s="76"/>
      <c r="W250" s="76"/>
      <c r="X250" s="76"/>
      <c r="Y250" s="76"/>
    </row>
    <row r="251" spans="1:25" s="6" customFormat="1" x14ac:dyDescent="0.25">
      <c r="A251" s="101"/>
      <c r="B251" s="101"/>
      <c r="C251" s="1" t="str">
        <f>_xlfn.CONCAT(tabE.Flux[[#This Row],[DATA]],"+",tabE.Flux[[#This Row],[MOTORISTA + MATRÍCULA A]])</f>
        <v>45895+RAINERIO COSTA MENDES - 5850</v>
      </c>
      <c r="D251" s="1" t="str">
        <f>_xlfn.CONCAT(tabE.Flux[[#This Row],[DATA]],"+",tabE.Flux[[#This Row],[MOTORISTA + MATRÍCULA B]])</f>
        <v>45895+JERZUALDO DA SILVA GOMES - 4077</v>
      </c>
      <c r="E251" s="1" t="str">
        <f>_xlfn.CONCAT(tabE.Flux[[#This Row],[DATA]],"+",tabE.Flux[[#This Row],[MOTORISTA + MATRÍCULA A]],"+",tabE.Flux[[#This Row],[LINHA]])</f>
        <v>45895+RAINERIO COSTA MENDES - 5850+GOIANIA (GO) X BELEM (PA)</v>
      </c>
      <c r="F251" s="1" t="str">
        <f>_xlfn.CONCAT(tabE.Flux[[#This Row],[DATA]],"+",tabE.Flux[[#This Row],[MOTORISTA + MATRÍCULA B]],"+",tabE.Flux[[#This Row],[LINHA]])</f>
        <v>45895+JERZUALDO DA SILVA GOMES - 4077+GOIANIA (GO) X BELEM (PA)</v>
      </c>
      <c r="G251" s="1" t="str">
        <f>_xlfn.CONCAT(tabE.Flux[[#This Row],[DATA]],"+",tabE.Flux[[#This Row],[LINHA]])</f>
        <v>45895+GOIANIA (GO) X BELEM (PA)</v>
      </c>
      <c r="H251" s="141">
        <v>45895</v>
      </c>
      <c r="I251" s="142" t="s">
        <v>15</v>
      </c>
      <c r="J251" s="142">
        <v>19022</v>
      </c>
      <c r="K251" s="143">
        <v>0.375</v>
      </c>
      <c r="L251" s="143">
        <v>0.41666666666666669</v>
      </c>
      <c r="M251" s="142" t="s">
        <v>33</v>
      </c>
      <c r="N251" s="142" t="s">
        <v>16</v>
      </c>
      <c r="O251" s="142" t="s">
        <v>108</v>
      </c>
      <c r="P251" s="142" t="s">
        <v>130</v>
      </c>
      <c r="Q251" s="142" t="s">
        <v>20</v>
      </c>
      <c r="R251" s="76"/>
      <c r="S251" s="76"/>
      <c r="T251" s="76"/>
      <c r="U251" s="76"/>
      <c r="V251" s="76"/>
      <c r="W251" s="76"/>
      <c r="X251" s="76"/>
      <c r="Y251" s="76"/>
    </row>
    <row r="252" spans="1:25" s="6" customFormat="1" x14ac:dyDescent="0.25">
      <c r="A252" s="101"/>
      <c r="B252" s="101"/>
      <c r="C252" s="1" t="str">
        <f>_xlfn.CONCAT(tabE.Flux[[#This Row],[DATA]],"+",tabE.Flux[[#This Row],[MOTORISTA + MATRÍCULA A]])</f>
        <v>45895+KAYLSON KLEYTON DA SILVA COSTA - 6224</v>
      </c>
      <c r="D252" s="1" t="str">
        <f>_xlfn.CONCAT(tabE.Flux[[#This Row],[DATA]],"+",tabE.Flux[[#This Row],[MOTORISTA + MATRÍCULA B]])</f>
        <v>45895+ADEMILTON DE OLIVEIRA SILVA - 5559</v>
      </c>
      <c r="E252" s="1" t="str">
        <f>_xlfn.CONCAT(tabE.Flux[[#This Row],[DATA]],"+",tabE.Flux[[#This Row],[MOTORISTA + MATRÍCULA A]],"+",tabE.Flux[[#This Row],[LINHA]])</f>
        <v>45895+KAYLSON KLEYTON DA SILVA COSTA - 6224+GOIANIA (GO) X SAO LUIS (MA)</v>
      </c>
      <c r="F252" s="1" t="str">
        <f>_xlfn.CONCAT(tabE.Flux[[#This Row],[DATA]],"+",tabE.Flux[[#This Row],[MOTORISTA + MATRÍCULA B]],"+",tabE.Flux[[#This Row],[LINHA]])</f>
        <v>45895+ADEMILTON DE OLIVEIRA SILVA - 5559+GOIANIA (GO) X SAO LUIS (MA)</v>
      </c>
      <c r="G252" s="1" t="str">
        <f>_xlfn.CONCAT(tabE.Flux[[#This Row],[DATA]],"+",tabE.Flux[[#This Row],[LINHA]])</f>
        <v>45895+GOIANIA (GO) X SAO LUIS (MA)</v>
      </c>
      <c r="H252" s="141">
        <v>45895</v>
      </c>
      <c r="I252" s="142" t="s">
        <v>15</v>
      </c>
      <c r="J252" s="142">
        <v>19007</v>
      </c>
      <c r="K252" s="143">
        <v>0.25</v>
      </c>
      <c r="L252" s="143">
        <v>0.29166666666666669</v>
      </c>
      <c r="M252" s="142" t="s">
        <v>42</v>
      </c>
      <c r="N252" s="142" t="s">
        <v>16</v>
      </c>
      <c r="O252" s="142" t="s">
        <v>80</v>
      </c>
      <c r="P252" s="142" t="s">
        <v>40</v>
      </c>
      <c r="Q252" s="142" t="s">
        <v>23</v>
      </c>
      <c r="R252" s="76"/>
      <c r="S252" s="76"/>
      <c r="T252" s="76"/>
      <c r="U252" s="76"/>
      <c r="V252" s="76"/>
      <c r="W252" s="76"/>
      <c r="X252" s="76"/>
      <c r="Y252" s="76"/>
    </row>
    <row r="253" spans="1:25" s="6" customFormat="1" x14ac:dyDescent="0.25">
      <c r="A253" s="101"/>
      <c r="B253" s="101"/>
      <c r="C253" s="1" t="str">
        <f>_xlfn.CONCAT(tabE.Flux[[#This Row],[DATA]],"+",tabE.Flux[[#This Row],[MOTORISTA + MATRÍCULA A]])</f>
        <v>45895+ALTEMAR DO NASCIMENTO LIMA - 6225</v>
      </c>
      <c r="D253" s="1" t="str">
        <f>_xlfn.CONCAT(tabE.Flux[[#This Row],[DATA]],"+",tabE.Flux[[#This Row],[MOTORISTA + MATRÍCULA B]])</f>
        <v>45895+REINAN JOSE BORGES SOUSA - 1075</v>
      </c>
      <c r="E253" s="1" t="str">
        <f>_xlfn.CONCAT(tabE.Flux[[#This Row],[DATA]],"+",tabE.Flux[[#This Row],[MOTORISTA + MATRÍCULA A]],"+",tabE.Flux[[#This Row],[LINHA]])</f>
        <v>45895+ALTEMAR DO NASCIMENTO LIMA - 6225+GOIANIA (GO) X SAO LUIS (MA)</v>
      </c>
      <c r="F253" s="1" t="str">
        <f>_xlfn.CONCAT(tabE.Flux[[#This Row],[DATA]],"+",tabE.Flux[[#This Row],[MOTORISTA + MATRÍCULA B]],"+",tabE.Flux[[#This Row],[LINHA]])</f>
        <v>45895+REINAN JOSE BORGES SOUSA - 1075+GOIANIA (GO) X SAO LUIS (MA)</v>
      </c>
      <c r="G253" s="1" t="str">
        <f>_xlfn.CONCAT(tabE.Flux[[#This Row],[DATA]],"+",tabE.Flux[[#This Row],[LINHA]])</f>
        <v>45895+GOIANIA (GO) X SAO LUIS (MA)</v>
      </c>
      <c r="H253" s="141">
        <v>45895</v>
      </c>
      <c r="I253" s="142" t="s">
        <v>15</v>
      </c>
      <c r="J253" s="142">
        <v>24013</v>
      </c>
      <c r="K253" s="143">
        <v>0.75</v>
      </c>
      <c r="L253" s="143">
        <v>0.79166666666666663</v>
      </c>
      <c r="M253" s="142" t="s">
        <v>42</v>
      </c>
      <c r="N253" s="142" t="s">
        <v>16</v>
      </c>
      <c r="O253" s="142" t="s">
        <v>57</v>
      </c>
      <c r="P253" s="142" t="s">
        <v>84</v>
      </c>
      <c r="Q253" s="142" t="s">
        <v>23</v>
      </c>
      <c r="R253" s="76"/>
      <c r="S253" s="76"/>
      <c r="T253" s="76"/>
      <c r="U253" s="76"/>
      <c r="V253" s="76"/>
      <c r="W253" s="76"/>
      <c r="X253" s="76"/>
      <c r="Y253" s="76"/>
    </row>
    <row r="254" spans="1:25" s="6" customFormat="1" x14ac:dyDescent="0.25">
      <c r="A254" s="101"/>
      <c r="B254" s="101"/>
      <c r="C254" s="1" t="str">
        <f>_xlfn.CONCAT(tabE.Flux[[#This Row],[DATA]],"+",tabE.Flux[[#This Row],[MOTORISTA + MATRÍCULA A]])</f>
        <v>45895+CANCELADO</v>
      </c>
      <c r="D254" s="1" t="str">
        <f>_xlfn.CONCAT(tabE.Flux[[#This Row],[DATA]],"+",tabE.Flux[[#This Row],[MOTORISTA + MATRÍCULA B]])</f>
        <v>45895+CANCELADO</v>
      </c>
      <c r="E254" s="1" t="str">
        <f>_xlfn.CONCAT(tabE.Flux[[#This Row],[DATA]],"+",tabE.Flux[[#This Row],[MOTORISTA + MATRÍCULA A]],"+",tabE.Flux[[#This Row],[LINHA]])</f>
        <v>45895+CANCELADO+IMPERATRIZ (MA) X SÃO LUIS (MA)</v>
      </c>
      <c r="F254" s="1" t="str">
        <f>_xlfn.CONCAT(tabE.Flux[[#This Row],[DATA]],"+",tabE.Flux[[#This Row],[MOTORISTA + MATRÍCULA B]],"+",tabE.Flux[[#This Row],[LINHA]])</f>
        <v>45895+CANCELADO+IMPERATRIZ (MA) X SÃO LUIS (MA)</v>
      </c>
      <c r="G254" s="1" t="str">
        <f>_xlfn.CONCAT(tabE.Flux[[#This Row],[DATA]],"+",tabE.Flux[[#This Row],[LINHA]])</f>
        <v>45895+IMPERATRIZ (MA) X SÃO LUIS (MA)</v>
      </c>
      <c r="H254" s="141">
        <v>45895</v>
      </c>
      <c r="I254" s="142" t="s">
        <v>15</v>
      </c>
      <c r="J254" s="144" t="s">
        <v>27</v>
      </c>
      <c r="K254" s="143">
        <v>0.77083333333333337</v>
      </c>
      <c r="L254" s="143">
        <v>0.79513888888888884</v>
      </c>
      <c r="M254" s="142" t="s">
        <v>42</v>
      </c>
      <c r="N254" s="142" t="s">
        <v>16</v>
      </c>
      <c r="O254" s="144" t="s">
        <v>27</v>
      </c>
      <c r="P254" s="144" t="s">
        <v>27</v>
      </c>
      <c r="Q254" s="142" t="s">
        <v>47</v>
      </c>
      <c r="R254" s="76"/>
      <c r="S254" s="76"/>
      <c r="T254" s="76"/>
      <c r="U254" s="76"/>
      <c r="V254" s="76"/>
      <c r="W254" s="76"/>
      <c r="X254" s="76"/>
      <c r="Y254" s="76"/>
    </row>
    <row r="255" spans="1:25" s="6" customFormat="1" x14ac:dyDescent="0.25">
      <c r="A255" s="101"/>
      <c r="B255" s="101"/>
      <c r="C255" s="1" t="str">
        <f>_xlfn.CONCAT(tabE.Flux[[#This Row],[DATA]],"+",tabE.Flux[[#This Row],[MOTORISTA + MATRÍCULA A]])</f>
        <v>45895+GONCALO ALVES BEZERRA - 748</v>
      </c>
      <c r="D255" s="1" t="str">
        <f>_xlfn.CONCAT(tabE.Flux[[#This Row],[DATA]],"+",tabE.Flux[[#This Row],[MOTORISTA + MATRÍCULA B]])</f>
        <v>45895+JOSE PINHEIRO DA SILVA - 5628</v>
      </c>
      <c r="E255" s="1" t="str">
        <f>_xlfn.CONCAT(tabE.Flux[[#This Row],[DATA]],"+",tabE.Flux[[#This Row],[MOTORISTA + MATRÍCULA A]],"+",tabE.Flux[[#This Row],[LINHA]])</f>
        <v>45895+GONCALO ALVES BEZERRA - 748+GOIANIA (GO) X TERESINA (PI) VIA BC</v>
      </c>
      <c r="F255" s="1" t="str">
        <f>_xlfn.CONCAT(tabE.Flux[[#This Row],[DATA]],"+",tabE.Flux[[#This Row],[MOTORISTA + MATRÍCULA B]],"+",tabE.Flux[[#This Row],[LINHA]])</f>
        <v>45895+JOSE PINHEIRO DA SILVA - 5628+GOIANIA (GO) X TERESINA (PI) VIA BC</v>
      </c>
      <c r="G255" s="1" t="str">
        <f>_xlfn.CONCAT(tabE.Flux[[#This Row],[DATA]],"+",tabE.Flux[[#This Row],[LINHA]])</f>
        <v>45895+GOIANIA (GO) X TERESINA (PI) VIA BC</v>
      </c>
      <c r="H255" s="141">
        <v>45895</v>
      </c>
      <c r="I255" s="142" t="s">
        <v>15</v>
      </c>
      <c r="J255" s="142">
        <v>25007</v>
      </c>
      <c r="K255" s="143">
        <v>0.89583333333333337</v>
      </c>
      <c r="L255" s="143">
        <v>0.91666666666666663</v>
      </c>
      <c r="M255" s="142" t="s">
        <v>36</v>
      </c>
      <c r="N255" s="142" t="s">
        <v>17</v>
      </c>
      <c r="O255" s="142" t="s">
        <v>216</v>
      </c>
      <c r="P255" s="142" t="s">
        <v>162</v>
      </c>
      <c r="Q255" s="142" t="s">
        <v>39</v>
      </c>
      <c r="R255" s="76"/>
      <c r="S255" s="76"/>
      <c r="T255" s="76"/>
      <c r="U255" s="76"/>
      <c r="V255" s="76"/>
      <c r="W255" s="76"/>
      <c r="X255" s="76"/>
      <c r="Y255" s="76"/>
    </row>
    <row r="256" spans="1:25" s="6" customFormat="1" x14ac:dyDescent="0.25">
      <c r="A256" s="101"/>
      <c r="B256" s="101"/>
      <c r="C256" s="1" t="str">
        <f>_xlfn.CONCAT(tabE.Flux[[#This Row],[DATA]],"+",tabE.Flux[[#This Row],[MOTORISTA + MATRÍCULA A]])</f>
        <v>45895+RONNE RODRIGUES DE SOUSA - 5025</v>
      </c>
      <c r="D256" s="1" t="str">
        <f>_xlfn.CONCAT(tabE.Flux[[#This Row],[DATA]],"+",tabE.Flux[[#This Row],[MOTORISTA + MATRÍCULA B]])</f>
        <v>45895+KLEBER OLIVEIRA LIMA - 5849</v>
      </c>
      <c r="E256" s="1" t="str">
        <f>_xlfn.CONCAT(tabE.Flux[[#This Row],[DATA]],"+",tabE.Flux[[#This Row],[MOTORISTA + MATRÍCULA A]],"+",tabE.Flux[[#This Row],[LINHA]])</f>
        <v>45895+RONNE RODRIGUES DE SOUSA - 5025+GOIANIA (GO) X BELEM (PA)</v>
      </c>
      <c r="F256" s="1" t="str">
        <f>_xlfn.CONCAT(tabE.Flux[[#This Row],[DATA]],"+",tabE.Flux[[#This Row],[MOTORISTA + MATRÍCULA B]],"+",tabE.Flux[[#This Row],[LINHA]])</f>
        <v>45895+KLEBER OLIVEIRA LIMA - 5849+GOIANIA (GO) X BELEM (PA)</v>
      </c>
      <c r="G256" s="1" t="str">
        <f>_xlfn.CONCAT(tabE.Flux[[#This Row],[DATA]],"+",tabE.Flux[[#This Row],[LINHA]])</f>
        <v>45895+GOIANIA (GO) X BELEM (PA)</v>
      </c>
      <c r="H256" s="141">
        <v>45895</v>
      </c>
      <c r="I256" s="142" t="s">
        <v>15</v>
      </c>
      <c r="J256" s="142">
        <v>24014</v>
      </c>
      <c r="K256" s="143">
        <v>0.76041666666666663</v>
      </c>
      <c r="L256" s="143">
        <v>0.77083333333333337</v>
      </c>
      <c r="M256" s="142" t="s">
        <v>33</v>
      </c>
      <c r="N256" s="142" t="s">
        <v>16</v>
      </c>
      <c r="O256" s="142" t="s">
        <v>85</v>
      </c>
      <c r="P256" s="142" t="s">
        <v>102</v>
      </c>
      <c r="Q256" s="142" t="s">
        <v>20</v>
      </c>
      <c r="R256" s="76"/>
      <c r="S256" s="76"/>
      <c r="T256" s="76"/>
      <c r="U256" s="76"/>
      <c r="V256" s="76"/>
      <c r="W256" s="76"/>
      <c r="X256" s="76"/>
      <c r="Y256" s="76"/>
    </row>
    <row r="257" spans="1:25" s="6" customFormat="1" x14ac:dyDescent="0.25">
      <c r="A257" s="101"/>
      <c r="B257" s="101"/>
      <c r="C257" s="1" t="str">
        <f>_xlfn.CONCAT(tabE.Flux[[#This Row],[DATA]],"+",tabE.Flux[[#This Row],[MOTORISTA + MATRÍCULA A]])</f>
        <v>45895+MARCOS ATAIDE SILVA - 1352</v>
      </c>
      <c r="D257" s="1" t="str">
        <f>_xlfn.CONCAT(tabE.Flux[[#This Row],[DATA]],"+",tabE.Flux[[#This Row],[MOTORISTA + MATRÍCULA B]])</f>
        <v>45895+JARDEL DE SOUSA OLIVEIRA - 5992</v>
      </c>
      <c r="E257" s="1" t="str">
        <f>_xlfn.CONCAT(tabE.Flux[[#This Row],[DATA]],"+",tabE.Flux[[#This Row],[MOTORISTA + MATRÍCULA A]],"+",tabE.Flux[[#This Row],[LINHA]])</f>
        <v>45895+MARCOS ATAIDE SILVA - 1352+GOIANIA (GO) X BELEM (PA)</v>
      </c>
      <c r="F257" s="1" t="str">
        <f>_xlfn.CONCAT(tabE.Flux[[#This Row],[DATA]],"+",tabE.Flux[[#This Row],[MOTORISTA + MATRÍCULA B]],"+",tabE.Flux[[#This Row],[LINHA]])</f>
        <v>45895+JARDEL DE SOUSA OLIVEIRA - 5992+GOIANIA (GO) X BELEM (PA)</v>
      </c>
      <c r="G257" s="1" t="str">
        <f>_xlfn.CONCAT(tabE.Flux[[#This Row],[DATA]],"+",tabE.Flux[[#This Row],[LINHA]])</f>
        <v>45895+GOIANIA (GO) X BELEM (PA)</v>
      </c>
      <c r="H257" s="141">
        <v>45895</v>
      </c>
      <c r="I257" s="142" t="s">
        <v>15</v>
      </c>
      <c r="J257" s="142">
        <v>25011</v>
      </c>
      <c r="K257" s="143">
        <v>0.76041666666666663</v>
      </c>
      <c r="L257" s="143">
        <v>0.82777777777777772</v>
      </c>
      <c r="M257" s="142" t="s">
        <v>16</v>
      </c>
      <c r="N257" s="142" t="s">
        <v>33</v>
      </c>
      <c r="O257" s="142" t="s">
        <v>113</v>
      </c>
      <c r="P257" s="142" t="s">
        <v>150</v>
      </c>
      <c r="Q257" s="142" t="s">
        <v>20</v>
      </c>
      <c r="R257" s="76"/>
      <c r="S257" s="76"/>
      <c r="T257" s="76"/>
      <c r="U257" s="76"/>
      <c r="V257" s="76"/>
      <c r="W257" s="76"/>
      <c r="X257" s="76"/>
      <c r="Y257" s="76"/>
    </row>
    <row r="258" spans="1:25" s="6" customFormat="1" x14ac:dyDescent="0.25">
      <c r="A258" s="101"/>
      <c r="B258" s="101"/>
      <c r="C258" s="1" t="str">
        <f>_xlfn.CONCAT(tabE.Flux[[#This Row],[DATA]],"+",tabE.Flux[[#This Row],[MOTORISTA + MATRÍCULA A]])</f>
        <v>45895+CANCELADO</v>
      </c>
      <c r="D258" s="1" t="str">
        <f>_xlfn.CONCAT(tabE.Flux[[#This Row],[DATA]],"+",tabE.Flux[[#This Row],[MOTORISTA + MATRÍCULA B]])</f>
        <v>45895+CANCELADO</v>
      </c>
      <c r="E258" s="1" t="str">
        <f>_xlfn.CONCAT(tabE.Flux[[#This Row],[DATA]],"+",tabE.Flux[[#This Row],[MOTORISTA + MATRÍCULA A]],"+",tabE.Flux[[#This Row],[LINHA]])</f>
        <v>45895+CANCELADO+GOIANIA (GO) X SAO LUIS (MA)</v>
      </c>
      <c r="F258" s="1" t="str">
        <f>_xlfn.CONCAT(tabE.Flux[[#This Row],[DATA]],"+",tabE.Flux[[#This Row],[MOTORISTA + MATRÍCULA B]],"+",tabE.Flux[[#This Row],[LINHA]])</f>
        <v>45895+CANCELADO+GOIANIA (GO) X SAO LUIS (MA)</v>
      </c>
      <c r="G258" s="1" t="str">
        <f>_xlfn.CONCAT(tabE.Flux[[#This Row],[DATA]],"+",tabE.Flux[[#This Row],[LINHA]])</f>
        <v>45895+GOIANIA (GO) X SAO LUIS (MA)</v>
      </c>
      <c r="H258" s="141">
        <v>45895</v>
      </c>
      <c r="I258" s="142" t="s">
        <v>15</v>
      </c>
      <c r="J258" s="144" t="s">
        <v>27</v>
      </c>
      <c r="K258" s="143">
        <v>0.40763888888888888</v>
      </c>
      <c r="L258" s="143">
        <v>0.47013888888888888</v>
      </c>
      <c r="M258" s="142" t="s">
        <v>16</v>
      </c>
      <c r="N258" s="142" t="s">
        <v>42</v>
      </c>
      <c r="O258" s="144" t="s">
        <v>27</v>
      </c>
      <c r="P258" s="144" t="s">
        <v>27</v>
      </c>
      <c r="Q258" s="142" t="s">
        <v>23</v>
      </c>
      <c r="R258" s="76"/>
      <c r="S258" s="76"/>
      <c r="T258" s="76"/>
      <c r="U258" s="76"/>
      <c r="V258" s="76"/>
      <c r="W258" s="76"/>
      <c r="X258" s="76"/>
      <c r="Y258" s="76"/>
    </row>
    <row r="259" spans="1:25" s="6" customFormat="1" x14ac:dyDescent="0.25">
      <c r="A259" s="101"/>
      <c r="B259" s="101"/>
      <c r="C259" s="1" t="str">
        <f>_xlfn.CONCAT(tabE.Flux[[#This Row],[DATA]],"+",tabE.Flux[[#This Row],[MOTORISTA + MATRÍCULA A]])</f>
        <v>45895+CANCELADO</v>
      </c>
      <c r="D259" s="1" t="str">
        <f>_xlfn.CONCAT(tabE.Flux[[#This Row],[DATA]],"+",tabE.Flux[[#This Row],[MOTORISTA + MATRÍCULA B]])</f>
        <v>45895+CANCELADO</v>
      </c>
      <c r="E259" s="1" t="str">
        <f>_xlfn.CONCAT(tabE.Flux[[#This Row],[DATA]],"+",tabE.Flux[[#This Row],[MOTORISTA + MATRÍCULA A]],"+",tabE.Flux[[#This Row],[LINHA]])</f>
        <v>45895+CANCELADO+IMPERATRIZ (MA) X SÃO LUIS (MA)</v>
      </c>
      <c r="F259" s="1" t="str">
        <f>_xlfn.CONCAT(tabE.Flux[[#This Row],[DATA]],"+",tabE.Flux[[#This Row],[MOTORISTA + MATRÍCULA B]],"+",tabE.Flux[[#This Row],[LINHA]])</f>
        <v>45895+CANCELADO+IMPERATRIZ (MA) X SÃO LUIS (MA)</v>
      </c>
      <c r="G259" s="1" t="str">
        <f>_xlfn.CONCAT(tabE.Flux[[#This Row],[DATA]],"+",tabE.Flux[[#This Row],[LINHA]])</f>
        <v>45895+IMPERATRIZ (MA) X SÃO LUIS (MA)</v>
      </c>
      <c r="H259" s="141">
        <v>45895</v>
      </c>
      <c r="I259" s="142" t="s">
        <v>15</v>
      </c>
      <c r="J259" s="144" t="s">
        <v>27</v>
      </c>
      <c r="K259" s="143">
        <v>0.77083333333333337</v>
      </c>
      <c r="L259" s="143">
        <v>0.8125</v>
      </c>
      <c r="M259" s="142" t="s">
        <v>16</v>
      </c>
      <c r="N259" s="142" t="s">
        <v>42</v>
      </c>
      <c r="O259" s="144" t="s">
        <v>27</v>
      </c>
      <c r="P259" s="144" t="s">
        <v>27</v>
      </c>
      <c r="Q259" s="142" t="s">
        <v>47</v>
      </c>
      <c r="R259" s="76"/>
      <c r="S259" s="76"/>
      <c r="T259" s="76"/>
      <c r="U259" s="76"/>
      <c r="V259" s="76"/>
      <c r="W259" s="76"/>
      <c r="X259" s="76"/>
      <c r="Y259" s="76"/>
    </row>
    <row r="260" spans="1:25" s="6" customFormat="1" x14ac:dyDescent="0.25">
      <c r="A260" s="101"/>
      <c r="B260" s="101"/>
      <c r="C260" s="1" t="str">
        <f>_xlfn.CONCAT(tabE.Flux[[#This Row],[DATA]],"+",tabE.Flux[[#This Row],[MOTORISTA + MATRÍCULA A]])</f>
        <v>45895+JOAO FERREIRA COSTA - 5545</v>
      </c>
      <c r="D260" s="1" t="str">
        <f>_xlfn.CONCAT(tabE.Flux[[#This Row],[DATA]],"+",tabE.Flux[[#This Row],[MOTORISTA + MATRÍCULA B]])</f>
        <v>45895+KAYLSON KLEYTON DA SILVA COSTA - 6224</v>
      </c>
      <c r="E260" s="1" t="str">
        <f>_xlfn.CONCAT(tabE.Flux[[#This Row],[DATA]],"+",tabE.Flux[[#This Row],[MOTORISTA + MATRÍCULA A]],"+",tabE.Flux[[#This Row],[LINHA]])</f>
        <v>45895+JOAO FERREIRA COSTA - 5545+GOIANIA (GO) X SAO LUIS (MA)</v>
      </c>
      <c r="F260" s="1" t="str">
        <f>_xlfn.CONCAT(tabE.Flux[[#This Row],[DATA]],"+",tabE.Flux[[#This Row],[MOTORISTA + MATRÍCULA B]],"+",tabE.Flux[[#This Row],[LINHA]])</f>
        <v>45895+KAYLSON KLEYTON DA SILVA COSTA - 6224+GOIANIA (GO) X SAO LUIS (MA)</v>
      </c>
      <c r="G260" s="1" t="str">
        <f>_xlfn.CONCAT(tabE.Flux[[#This Row],[DATA]],"+",tabE.Flux[[#This Row],[LINHA]])</f>
        <v>45895+GOIANIA (GO) X SAO LUIS (MA)</v>
      </c>
      <c r="H260" s="141">
        <v>45895</v>
      </c>
      <c r="I260" s="142" t="s">
        <v>15</v>
      </c>
      <c r="J260" s="142">
        <v>24001</v>
      </c>
      <c r="K260" s="143">
        <v>0.8125</v>
      </c>
      <c r="L260" s="143">
        <v>0.84375</v>
      </c>
      <c r="M260" s="142" t="s">
        <v>16</v>
      </c>
      <c r="N260" s="142" t="s">
        <v>42</v>
      </c>
      <c r="O260" s="142" t="s">
        <v>61</v>
      </c>
      <c r="P260" s="142" t="s">
        <v>80</v>
      </c>
      <c r="Q260" s="142" t="s">
        <v>23</v>
      </c>
      <c r="R260" s="76"/>
      <c r="S260" s="76"/>
      <c r="T260" s="76"/>
      <c r="U260" s="76"/>
      <c r="V260" s="76"/>
      <c r="W260" s="76"/>
      <c r="X260" s="76"/>
      <c r="Y260" s="76"/>
    </row>
    <row r="261" spans="1:25" s="6" customFormat="1" x14ac:dyDescent="0.25">
      <c r="A261" s="101"/>
      <c r="B261" s="101"/>
      <c r="C261" s="1" t="str">
        <f>_xlfn.CONCAT(tabE.Flux[[#This Row],[DATA]],"+",tabE.Flux[[#This Row],[MOTORISTA + MATRÍCULA A]])</f>
        <v>45895+WESLEY SILVA PAIVA - 5638</v>
      </c>
      <c r="D261" s="1" t="str">
        <f>_xlfn.CONCAT(tabE.Flux[[#This Row],[DATA]],"+",tabE.Flux[[#This Row],[MOTORISTA + MATRÍCULA B]])</f>
        <v>45895+NILSON CORTEZ MIRANDA - 5636</v>
      </c>
      <c r="E261" s="1" t="str">
        <f>_xlfn.CONCAT(tabE.Flux[[#This Row],[DATA]],"+",tabE.Flux[[#This Row],[MOTORISTA + MATRÍCULA A]],"+",tabE.Flux[[#This Row],[LINHA]])</f>
        <v>45895+WESLEY SILVA PAIVA - 5638+GOIANIA (GO) X TERESINA (PI) VIA STI</v>
      </c>
      <c r="F261" s="1" t="str">
        <f>_xlfn.CONCAT(tabE.Flux[[#This Row],[DATA]],"+",tabE.Flux[[#This Row],[MOTORISTA + MATRÍCULA B]],"+",tabE.Flux[[#This Row],[LINHA]])</f>
        <v>45895+NILSON CORTEZ MIRANDA - 5636+GOIANIA (GO) X TERESINA (PI) VIA STI</v>
      </c>
      <c r="G261" s="1" t="str">
        <f>_xlfn.CONCAT(tabE.Flux[[#This Row],[DATA]],"+",tabE.Flux[[#This Row],[LINHA]])</f>
        <v>45895+GOIANIA (GO) X TERESINA (PI) VIA STI</v>
      </c>
      <c r="H261" s="141">
        <v>45895</v>
      </c>
      <c r="I261" s="142" t="s">
        <v>15</v>
      </c>
      <c r="J261" s="142">
        <v>19018</v>
      </c>
      <c r="K261" s="143">
        <v>0.77083333333333337</v>
      </c>
      <c r="L261" s="143">
        <v>0.79861111111111116</v>
      </c>
      <c r="M261" s="142" t="s">
        <v>16</v>
      </c>
      <c r="N261" s="142" t="s">
        <v>29</v>
      </c>
      <c r="O261" s="142" t="s">
        <v>112</v>
      </c>
      <c r="P261" s="142" t="s">
        <v>75</v>
      </c>
      <c r="Q261" s="142" t="s">
        <v>26</v>
      </c>
      <c r="R261" s="76"/>
      <c r="S261" s="76"/>
      <c r="T261" s="76"/>
      <c r="U261" s="76"/>
      <c r="V261" s="76"/>
      <c r="W261" s="76"/>
      <c r="X261" s="76"/>
      <c r="Y261" s="76"/>
    </row>
    <row r="262" spans="1:25" s="6" customFormat="1" x14ac:dyDescent="0.25">
      <c r="A262" s="101"/>
      <c r="B262" s="101"/>
      <c r="C262" s="1" t="str">
        <f>_xlfn.CONCAT(tabE.Flux[[#This Row],[DATA]],"+",tabE.Flux[[#This Row],[MOTORISTA + MATRÍCULA A]])</f>
        <v>45895+FRANCISCO ALVES DA PAZ JUNIOR - 1247</v>
      </c>
      <c r="D262" s="1" t="str">
        <f>_xlfn.CONCAT(tabE.Flux[[#This Row],[DATA]],"+",tabE.Flux[[#This Row],[MOTORISTA + MATRÍCULA B]])</f>
        <v>45895+ANTONIO JOSE PEREIRA SOARES - 1774</v>
      </c>
      <c r="E262" s="1" t="str">
        <f>_xlfn.CONCAT(tabE.Flux[[#This Row],[DATA]],"+",tabE.Flux[[#This Row],[MOTORISTA + MATRÍCULA A]],"+",tabE.Flux[[#This Row],[LINHA]])</f>
        <v>45895+FRANCISCO ALVES DA PAZ JUNIOR - 1247+GOIANIA (GO) X SAO LUIS (MA)</v>
      </c>
      <c r="F262" s="1" t="str">
        <f>_xlfn.CONCAT(tabE.Flux[[#This Row],[DATA]],"+",tabE.Flux[[#This Row],[MOTORISTA + MATRÍCULA B]],"+",tabE.Flux[[#This Row],[LINHA]])</f>
        <v>45895+ANTONIO JOSE PEREIRA SOARES - 1774+GOIANIA (GO) X SAO LUIS (MA)</v>
      </c>
      <c r="G262" s="1" t="str">
        <f>_xlfn.CONCAT(tabE.Flux[[#This Row],[DATA]],"+",tabE.Flux[[#This Row],[LINHA]])</f>
        <v>45895+GOIANIA (GO) X SAO LUIS (MA)</v>
      </c>
      <c r="H262" s="141">
        <v>45895</v>
      </c>
      <c r="I262" s="142" t="s">
        <v>15</v>
      </c>
      <c r="J262" s="142">
        <v>19007</v>
      </c>
      <c r="K262" s="143">
        <v>0.8125</v>
      </c>
      <c r="L262" s="143">
        <v>0.84166666666666667</v>
      </c>
      <c r="M262" s="142" t="s">
        <v>16</v>
      </c>
      <c r="N262" s="142" t="s">
        <v>17</v>
      </c>
      <c r="O262" s="142" t="s">
        <v>144</v>
      </c>
      <c r="P262" s="142" t="s">
        <v>52</v>
      </c>
      <c r="Q262" s="142" t="s">
        <v>23</v>
      </c>
      <c r="R262" s="76"/>
      <c r="S262" s="76"/>
      <c r="T262" s="76"/>
      <c r="U262" s="76"/>
      <c r="V262" s="76"/>
      <c r="W262" s="76"/>
      <c r="X262" s="76"/>
      <c r="Y262" s="76"/>
    </row>
    <row r="263" spans="1:25" s="6" customFormat="1" x14ac:dyDescent="0.25">
      <c r="A263" s="101"/>
      <c r="B263" s="101"/>
      <c r="C263" s="1" t="str">
        <f>_xlfn.CONCAT(tabE.Flux[[#This Row],[DATA]],"+",tabE.Flux[[#This Row],[MOTORISTA + MATRÍCULA A]])</f>
        <v>45895+JOSE ALVES DA ROCHA - 5035</v>
      </c>
      <c r="D263" s="1" t="str">
        <f>_xlfn.CONCAT(tabE.Flux[[#This Row],[DATA]],"+",tabE.Flux[[#This Row],[MOTORISTA + MATRÍCULA B]])</f>
        <v>45895+  KLEBSON ALVES FREIRES- 3060</v>
      </c>
      <c r="E263" s="1" t="str">
        <f>_xlfn.CONCAT(tabE.Flux[[#This Row],[DATA]],"+",tabE.Flux[[#This Row],[MOTORISTA + MATRÍCULA A]],"+",tabE.Flux[[#This Row],[LINHA]])</f>
        <v>45895+JOSE ALVES DA ROCHA - 5035+FORTALEZA (CE) X SINOP (MT)</v>
      </c>
      <c r="F263" s="1" t="str">
        <f>_xlfn.CONCAT(tabE.Flux[[#This Row],[DATA]],"+",tabE.Flux[[#This Row],[MOTORISTA + MATRÍCULA B]],"+",tabE.Flux[[#This Row],[LINHA]])</f>
        <v>45895+  KLEBSON ALVES FREIRES- 3060+FORTALEZA (CE) X SINOP (MT)</v>
      </c>
      <c r="G263" s="1" t="str">
        <f>_xlfn.CONCAT(tabE.Flux[[#This Row],[DATA]],"+",tabE.Flux[[#This Row],[LINHA]])</f>
        <v>45895+FORTALEZA (CE) X SINOP (MT)</v>
      </c>
      <c r="H263" s="141">
        <v>45895</v>
      </c>
      <c r="I263" s="142" t="s">
        <v>15</v>
      </c>
      <c r="J263" s="142">
        <v>20018</v>
      </c>
      <c r="K263" s="143">
        <v>0.8125</v>
      </c>
      <c r="L263" s="143">
        <v>0.85416666666666663</v>
      </c>
      <c r="M263" s="142" t="s">
        <v>16</v>
      </c>
      <c r="N263" s="142" t="s">
        <v>17</v>
      </c>
      <c r="O263" s="142" t="s">
        <v>91</v>
      </c>
      <c r="P263" s="142" t="s">
        <v>217</v>
      </c>
      <c r="Q263" s="142" t="s">
        <v>32</v>
      </c>
      <c r="R263" s="76"/>
      <c r="S263" s="76"/>
      <c r="T263" s="76"/>
      <c r="U263" s="76"/>
      <c r="V263" s="76"/>
      <c r="W263" s="76"/>
      <c r="X263" s="76"/>
      <c r="Y263" s="76"/>
    </row>
    <row r="264" spans="1:25" s="6" customFormat="1" x14ac:dyDescent="0.25">
      <c r="A264" s="101"/>
      <c r="B264" s="101"/>
      <c r="C264" s="1" t="str">
        <f>_xlfn.CONCAT(tabE.Flux[[#This Row],[DATA]],"+",tabE.Flux[[#This Row],[MOTORISTA + MATRÍCULA A]])</f>
        <v>45895+EMIVAL GOMES DE MELO - 5673</v>
      </c>
      <c r="D264" s="1" t="str">
        <f>_xlfn.CONCAT(tabE.Flux[[#This Row],[DATA]],"+",tabE.Flux[[#This Row],[MOTORISTA + MATRÍCULA B]])</f>
        <v>45895+LUIZ CARLOS GOMES DA SILVA - 1961</v>
      </c>
      <c r="E264" s="1" t="str">
        <f>_xlfn.CONCAT(tabE.Flux[[#This Row],[DATA]],"+",tabE.Flux[[#This Row],[MOTORISTA + MATRÍCULA A]],"+",tabE.Flux[[#This Row],[LINHA]])</f>
        <v>45895+EMIVAL GOMES DE MELO - 5673+GOIANIA (GO) X BELEM (PA)</v>
      </c>
      <c r="F264" s="1" t="str">
        <f>_xlfn.CONCAT(tabE.Flux[[#This Row],[DATA]],"+",tabE.Flux[[#This Row],[MOTORISTA + MATRÍCULA B]],"+",tabE.Flux[[#This Row],[LINHA]])</f>
        <v>45895+LUIZ CARLOS GOMES DA SILVA - 1961+GOIANIA (GO) X BELEM (PA)</v>
      </c>
      <c r="G264" s="1" t="str">
        <f>_xlfn.CONCAT(tabE.Flux[[#This Row],[DATA]],"+",tabE.Flux[[#This Row],[LINHA]])</f>
        <v>45895+GOIANIA (GO) X BELEM (PA)</v>
      </c>
      <c r="H264" s="141">
        <v>45895</v>
      </c>
      <c r="I264" s="142" t="s">
        <v>15</v>
      </c>
      <c r="J264" s="142">
        <v>19022</v>
      </c>
      <c r="K264" s="143">
        <v>0.84722222222222221</v>
      </c>
      <c r="L264" s="143">
        <v>0.87847222222222221</v>
      </c>
      <c r="M264" s="142" t="s">
        <v>16</v>
      </c>
      <c r="N264" s="142" t="s">
        <v>17</v>
      </c>
      <c r="O264" s="142" t="s">
        <v>145</v>
      </c>
      <c r="P264" s="142" t="s">
        <v>25</v>
      </c>
      <c r="Q264" s="142" t="s">
        <v>20</v>
      </c>
      <c r="R264" s="76"/>
      <c r="S264" s="76"/>
      <c r="T264" s="76"/>
      <c r="U264" s="76"/>
      <c r="V264" s="76"/>
      <c r="W264" s="76"/>
      <c r="X264" s="76"/>
      <c r="Y264" s="76"/>
    </row>
    <row r="265" spans="1:25" s="6" customFormat="1" x14ac:dyDescent="0.25">
      <c r="A265" s="101"/>
      <c r="B265" s="101"/>
      <c r="C265" s="1" t="str">
        <f>_xlfn.CONCAT(tabE.Flux[[#This Row],[DATA]],"+",tabE.Flux[[#This Row],[MOTORISTA + MATRÍCULA A]])</f>
        <v>+</v>
      </c>
      <c r="D265" s="1" t="str">
        <f>_xlfn.CONCAT(tabE.Flux[[#This Row],[DATA]],"+",tabE.Flux[[#This Row],[MOTORISTA + MATRÍCULA B]])</f>
        <v>+</v>
      </c>
      <c r="E265" s="1" t="str">
        <f>_xlfn.CONCAT(tabE.Flux[[#This Row],[DATA]],"+",tabE.Flux[[#This Row],[MOTORISTA + MATRÍCULA A]],"+",tabE.Flux[[#This Row],[LINHA]])</f>
        <v>++</v>
      </c>
      <c r="F265" s="1" t="str">
        <f>_xlfn.CONCAT(tabE.Flux[[#This Row],[DATA]],"+",tabE.Flux[[#This Row],[MOTORISTA + MATRÍCULA B]],"+",tabE.Flux[[#This Row],[LINHA]])</f>
        <v>++</v>
      </c>
      <c r="G265" s="1" t="str">
        <f>_xlfn.CONCAT(tabE.Flux[[#This Row],[DATA]],"+",tabE.Flux[[#This Row],[LINHA]])</f>
        <v>+</v>
      </c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76"/>
      <c r="S265" s="76"/>
      <c r="T265" s="76"/>
      <c r="U265" s="76"/>
      <c r="V265" s="76"/>
      <c r="W265" s="76"/>
      <c r="X265" s="76"/>
      <c r="Y265" s="76"/>
    </row>
    <row r="266" spans="1:25" s="6" customFormat="1" ht="15" customHeight="1" x14ac:dyDescent="0.25">
      <c r="A266" s="101"/>
      <c r="B266" s="101"/>
      <c r="C266" s="1" t="str">
        <f>_xlfn.CONCAT(tabE.Flux[[#This Row],[DATA]],"+",tabE.Flux[[#This Row],[MOTORISTA + MATRÍCULA A]])</f>
        <v>45896+JOSE MARQUES DE SOUZA - 5771</v>
      </c>
      <c r="D266" s="1" t="str">
        <f>_xlfn.CONCAT(tabE.Flux[[#This Row],[DATA]],"+",tabE.Flux[[#This Row],[MOTORISTA + MATRÍCULA B]])</f>
        <v>45896+JANIO CEZAR DOS SANTOS - 6021</v>
      </c>
      <c r="E266" s="1" t="str">
        <f>_xlfn.CONCAT(tabE.Flux[[#This Row],[DATA]],"+",tabE.Flux[[#This Row],[MOTORISTA + MATRÍCULA A]],"+",tabE.Flux[[#This Row],[LINHA]])</f>
        <v>45896+JOSE MARQUES DE SOUZA - 5771+GOIANIA (GO) X BELEM (PA)</v>
      </c>
      <c r="F266" s="1" t="str">
        <f>_xlfn.CONCAT(tabE.Flux[[#This Row],[DATA]],"+",tabE.Flux[[#This Row],[MOTORISTA + MATRÍCULA B]],"+",tabE.Flux[[#This Row],[LINHA]])</f>
        <v>45896+JANIO CEZAR DOS SANTOS - 6021+GOIANIA (GO) X BELEM (PA)</v>
      </c>
      <c r="G266" s="1" t="str">
        <f>_xlfn.CONCAT(tabE.Flux[[#This Row],[DATA]],"+",tabE.Flux[[#This Row],[LINHA]])</f>
        <v>45896+GOIANIA (GO) X BELEM (PA)</v>
      </c>
      <c r="H266" s="141">
        <v>45896</v>
      </c>
      <c r="I266" s="142" t="s">
        <v>15</v>
      </c>
      <c r="J266" s="142">
        <v>24014</v>
      </c>
      <c r="K266" s="143">
        <v>0.25486111111111109</v>
      </c>
      <c r="L266" s="143">
        <v>0.3</v>
      </c>
      <c r="M266" s="142" t="s">
        <v>16</v>
      </c>
      <c r="N266" s="142" t="s">
        <v>17</v>
      </c>
      <c r="O266" s="142" t="s">
        <v>97</v>
      </c>
      <c r="P266" s="142" t="s">
        <v>115</v>
      </c>
      <c r="Q266" s="142" t="s">
        <v>20</v>
      </c>
      <c r="R266" s="76"/>
      <c r="S266" s="76"/>
      <c r="T266" s="76"/>
      <c r="U266" s="76"/>
      <c r="V266" s="76"/>
      <c r="W266" s="76"/>
      <c r="X266" s="76"/>
      <c r="Y266" s="76"/>
    </row>
    <row r="267" spans="1:25" s="6" customFormat="1" x14ac:dyDescent="0.25">
      <c r="A267" s="101"/>
      <c r="B267" s="101"/>
      <c r="C267" s="1" t="str">
        <f>_xlfn.CONCAT(tabE.Flux[[#This Row],[DATA]],"+",tabE.Flux[[#This Row],[MOTORISTA + MATRÍCULA A]])</f>
        <v>45896+JOAO BATISTA DA SILVA - 1410</v>
      </c>
      <c r="D267" s="1" t="str">
        <f>_xlfn.CONCAT(tabE.Flux[[#This Row],[DATA]],"+",tabE.Flux[[#This Row],[MOTORISTA + MATRÍCULA B]])</f>
        <v>45896+WILLIAN DE SOUZA BANDEIRA - 2025</v>
      </c>
      <c r="E267" s="1" t="str">
        <f>_xlfn.CONCAT(tabE.Flux[[#This Row],[DATA]],"+",tabE.Flux[[#This Row],[MOTORISTA + MATRÍCULA A]],"+",tabE.Flux[[#This Row],[LINHA]])</f>
        <v>45896+JOAO BATISTA DA SILVA - 1410+GOIANIA (GO) X SAO LUIS (MA)</v>
      </c>
      <c r="F267" s="1" t="str">
        <f>_xlfn.CONCAT(tabE.Flux[[#This Row],[DATA]],"+",tabE.Flux[[#This Row],[MOTORISTA + MATRÍCULA B]],"+",tabE.Flux[[#This Row],[LINHA]])</f>
        <v>45896+WILLIAN DE SOUZA BANDEIRA - 2025+GOIANIA (GO) X SAO LUIS (MA)</v>
      </c>
      <c r="G267" s="1" t="str">
        <f>_xlfn.CONCAT(tabE.Flux[[#This Row],[DATA]],"+",tabE.Flux[[#This Row],[LINHA]])</f>
        <v>45896+GOIANIA (GO) X SAO LUIS (MA)</v>
      </c>
      <c r="H267" s="141">
        <v>45896</v>
      </c>
      <c r="I267" s="142" t="s">
        <v>15</v>
      </c>
      <c r="J267" s="142">
        <v>24013</v>
      </c>
      <c r="K267" s="143">
        <v>0.32291666666666669</v>
      </c>
      <c r="L267" s="143">
        <v>0.33333333333333331</v>
      </c>
      <c r="M267" s="142" t="s">
        <v>16</v>
      </c>
      <c r="N267" s="142" t="s">
        <v>17</v>
      </c>
      <c r="O267" s="142" t="s">
        <v>218</v>
      </c>
      <c r="P267" s="142" t="s">
        <v>219</v>
      </c>
      <c r="Q267" s="142" t="s">
        <v>23</v>
      </c>
      <c r="R267" s="76"/>
      <c r="S267" s="76"/>
      <c r="T267" s="76"/>
      <c r="U267" s="76"/>
      <c r="V267" s="76"/>
      <c r="W267" s="76"/>
      <c r="X267" s="76"/>
      <c r="Y267" s="76"/>
    </row>
    <row r="268" spans="1:25" s="6" customFormat="1" x14ac:dyDescent="0.25">
      <c r="A268" s="101"/>
      <c r="B268" s="101"/>
      <c r="C268" s="1" t="str">
        <f>_xlfn.CONCAT(tabE.Flux[[#This Row],[DATA]],"+",tabE.Flux[[#This Row],[MOTORISTA + MATRÍCULA A]])</f>
        <v>45896+WILMAR JOSE DE SOUZA - 1763</v>
      </c>
      <c r="D268" s="1" t="str">
        <f>_xlfn.CONCAT(tabE.Flux[[#This Row],[DATA]],"+",tabE.Flux[[#This Row],[MOTORISTA + MATRÍCULA B]])</f>
        <v>45896+VILMAR JOSE CAMILO - 948</v>
      </c>
      <c r="E268" s="1" t="str">
        <f>_xlfn.CONCAT(tabE.Flux[[#This Row],[DATA]],"+",tabE.Flux[[#This Row],[MOTORISTA + MATRÍCULA A]],"+",tabE.Flux[[#This Row],[LINHA]])</f>
        <v>45896+WILMAR JOSE DE SOUZA - 1763+GOIANIA (GO) X TERESINA (PI) VIA STI</v>
      </c>
      <c r="F268" s="1" t="str">
        <f>_xlfn.CONCAT(tabE.Flux[[#This Row],[DATA]],"+",tabE.Flux[[#This Row],[MOTORISTA + MATRÍCULA B]],"+",tabE.Flux[[#This Row],[LINHA]])</f>
        <v>45896+VILMAR JOSE CAMILO - 948+GOIANIA (GO) X TERESINA (PI) VIA STI</v>
      </c>
      <c r="G268" s="1" t="str">
        <f>_xlfn.CONCAT(tabE.Flux[[#This Row],[DATA]],"+",tabE.Flux[[#This Row],[LINHA]])</f>
        <v>45896+GOIANIA (GO) X TERESINA (PI) VIA STI</v>
      </c>
      <c r="H268" s="141">
        <v>45896</v>
      </c>
      <c r="I268" s="142" t="s">
        <v>15</v>
      </c>
      <c r="J268" s="142">
        <v>17600</v>
      </c>
      <c r="K268" s="143">
        <v>0.3888888888888889</v>
      </c>
      <c r="L268" s="143">
        <v>0.39583333333333331</v>
      </c>
      <c r="M268" s="142" t="s">
        <v>16</v>
      </c>
      <c r="N268" s="142" t="s">
        <v>17</v>
      </c>
      <c r="O268" s="142" t="s">
        <v>94</v>
      </c>
      <c r="P268" s="142" t="s">
        <v>95</v>
      </c>
      <c r="Q268" s="142" t="s">
        <v>26</v>
      </c>
      <c r="R268" s="76"/>
      <c r="S268" s="76"/>
      <c r="T268" s="76"/>
      <c r="U268" s="76"/>
      <c r="V268" s="76"/>
      <c r="W268" s="76"/>
      <c r="X268" s="76"/>
      <c r="Y268" s="76"/>
    </row>
    <row r="269" spans="1:25" s="6" customFormat="1" x14ac:dyDescent="0.25">
      <c r="A269" s="101"/>
      <c r="B269" s="101"/>
      <c r="C269" s="1" t="str">
        <f>_xlfn.CONCAT(tabE.Flux[[#This Row],[DATA]],"+",tabE.Flux[[#This Row],[MOTORISTA + MATRÍCULA A]])</f>
        <v>45896+CANCELADO</v>
      </c>
      <c r="D269" s="1" t="str">
        <f>_xlfn.CONCAT(tabE.Flux[[#This Row],[DATA]],"+",tabE.Flux[[#This Row],[MOTORISTA + MATRÍCULA B]])</f>
        <v>45896+CANCELADO</v>
      </c>
      <c r="E269" s="1" t="str">
        <f>_xlfn.CONCAT(tabE.Flux[[#This Row],[DATA]],"+",tabE.Flux[[#This Row],[MOTORISTA + MATRÍCULA A]],"+",tabE.Flux[[#This Row],[LINHA]])</f>
        <v>45896+CANCELADO+</v>
      </c>
      <c r="F269" s="1" t="str">
        <f>_xlfn.CONCAT(tabE.Flux[[#This Row],[DATA]],"+",tabE.Flux[[#This Row],[MOTORISTA + MATRÍCULA B]],"+",tabE.Flux[[#This Row],[LINHA]])</f>
        <v>45896+CANCELADO+</v>
      </c>
      <c r="G269" s="1" t="str">
        <f>_xlfn.CONCAT(tabE.Flux[[#This Row],[DATA]],"+",tabE.Flux[[#This Row],[LINHA]])</f>
        <v>45896+</v>
      </c>
      <c r="H269" s="141">
        <v>45896</v>
      </c>
      <c r="I269" s="142" t="s">
        <v>15</v>
      </c>
      <c r="J269" s="144" t="s">
        <v>27</v>
      </c>
      <c r="K269" s="143">
        <v>0.375</v>
      </c>
      <c r="L269" s="143">
        <v>0.41666666666666669</v>
      </c>
      <c r="M269" s="142" t="s">
        <v>16</v>
      </c>
      <c r="N269" s="142" t="s">
        <v>28</v>
      </c>
      <c r="O269" s="144" t="s">
        <v>27</v>
      </c>
      <c r="P269" s="144" t="s">
        <v>27</v>
      </c>
      <c r="Q269" s="142"/>
      <c r="R269" s="76"/>
      <c r="S269" s="76"/>
      <c r="T269" s="76"/>
      <c r="U269" s="76"/>
      <c r="V269" s="76"/>
      <c r="W269" s="76"/>
      <c r="X269" s="76"/>
      <c r="Y269" s="76"/>
    </row>
    <row r="270" spans="1:25" s="6" customFormat="1" x14ac:dyDescent="0.25">
      <c r="A270" s="101"/>
      <c r="B270" s="101"/>
      <c r="C270" s="1" t="str">
        <f>_xlfn.CONCAT(tabE.Flux[[#This Row],[DATA]],"+",tabE.Flux[[#This Row],[MOTORISTA + MATRÍCULA A]])</f>
        <v>45896+AELSON PEREIRA DO NASCIMENTO - 5682</v>
      </c>
      <c r="D270" s="1" t="str">
        <f>_xlfn.CONCAT(tabE.Flux[[#This Row],[DATA]],"+",tabE.Flux[[#This Row],[MOTORISTA + MATRÍCULA B]])</f>
        <v>45896+ANTONIO DE PADUA DA  SILVA - 5645</v>
      </c>
      <c r="E270" s="1" t="str">
        <f>_xlfn.CONCAT(tabE.Flux[[#This Row],[DATA]],"+",tabE.Flux[[#This Row],[MOTORISTA + MATRÍCULA A]],"+",tabE.Flux[[#This Row],[LINHA]])</f>
        <v>45896+AELSON PEREIRA DO NASCIMENTO - 5682+FORTALEZA (CE) X SINOP (MT)</v>
      </c>
      <c r="F270" s="1" t="str">
        <f>_xlfn.CONCAT(tabE.Flux[[#This Row],[DATA]],"+",tabE.Flux[[#This Row],[MOTORISTA + MATRÍCULA B]],"+",tabE.Flux[[#This Row],[LINHA]])</f>
        <v>45896+ANTONIO DE PADUA DA  SILVA - 5645+FORTALEZA (CE) X SINOP (MT)</v>
      </c>
      <c r="G270" s="1" t="str">
        <f>_xlfn.CONCAT(tabE.Flux[[#This Row],[DATA]],"+",tabE.Flux[[#This Row],[LINHA]])</f>
        <v>45896+FORTALEZA (CE) X SINOP (MT)</v>
      </c>
      <c r="H270" s="141">
        <v>45896</v>
      </c>
      <c r="I270" s="142" t="s">
        <v>15</v>
      </c>
      <c r="J270" s="142">
        <v>19014</v>
      </c>
      <c r="K270" s="143">
        <v>0.3888888888888889</v>
      </c>
      <c r="L270" s="143">
        <v>0.37708333333333333</v>
      </c>
      <c r="M270" s="142" t="s">
        <v>16</v>
      </c>
      <c r="N270" s="142" t="s">
        <v>29</v>
      </c>
      <c r="O270" s="142" t="s">
        <v>88</v>
      </c>
      <c r="P270" s="142" t="s">
        <v>125</v>
      </c>
      <c r="Q270" s="142" t="s">
        <v>32</v>
      </c>
      <c r="R270" s="76"/>
      <c r="S270" s="76"/>
      <c r="T270" s="76"/>
      <c r="U270" s="76"/>
      <c r="V270" s="76"/>
      <c r="W270" s="76"/>
      <c r="X270" s="76"/>
      <c r="Y270" s="76"/>
    </row>
    <row r="271" spans="1:25" s="6" customFormat="1" x14ac:dyDescent="0.25">
      <c r="A271" s="101"/>
      <c r="B271" s="101"/>
      <c r="C271" s="1" t="str">
        <f>_xlfn.CONCAT(tabE.Flux[[#This Row],[DATA]],"+",tabE.Flux[[#This Row],[MOTORISTA + MATRÍCULA A]])</f>
        <v>45896+REINAN JOSE BORGES SOUSA - 1075</v>
      </c>
      <c r="D271" s="1" t="str">
        <f>_xlfn.CONCAT(tabE.Flux[[#This Row],[DATA]],"+",tabE.Flux[[#This Row],[MOTORISTA + MATRÍCULA B]])</f>
        <v>45896+JOSE CARLOS BEZERRA DA SILVA - 3034</v>
      </c>
      <c r="E271" s="1" t="str">
        <f>_xlfn.CONCAT(tabE.Flux[[#This Row],[DATA]],"+",tabE.Flux[[#This Row],[MOTORISTA + MATRÍCULA A]],"+",tabE.Flux[[#This Row],[LINHA]])</f>
        <v>45896+REINAN JOSE BORGES SOUSA - 1075+GOIANIA (GO) X BELEM (PA)</v>
      </c>
      <c r="F271" s="1" t="str">
        <f>_xlfn.CONCAT(tabE.Flux[[#This Row],[DATA]],"+",tabE.Flux[[#This Row],[MOTORISTA + MATRÍCULA B]],"+",tabE.Flux[[#This Row],[LINHA]])</f>
        <v>45896+JOSE CARLOS BEZERRA DA SILVA - 3034+GOIANIA (GO) X BELEM (PA)</v>
      </c>
      <c r="G271" s="1" t="str">
        <f>_xlfn.CONCAT(tabE.Flux[[#This Row],[DATA]],"+",tabE.Flux[[#This Row],[LINHA]])</f>
        <v>45896+GOIANIA (GO) X BELEM (PA)</v>
      </c>
      <c r="H271" s="141">
        <v>45896</v>
      </c>
      <c r="I271" s="142" t="s">
        <v>15</v>
      </c>
      <c r="J271" s="142">
        <v>19011</v>
      </c>
      <c r="K271" s="143">
        <v>0.38958333333333334</v>
      </c>
      <c r="L271" s="143">
        <v>0.38541666666666669</v>
      </c>
      <c r="M271" s="142" t="s">
        <v>16</v>
      </c>
      <c r="N271" s="142" t="s">
        <v>33</v>
      </c>
      <c r="O271" s="142" t="s">
        <v>84</v>
      </c>
      <c r="P271" s="142" t="s">
        <v>76</v>
      </c>
      <c r="Q271" s="142" t="s">
        <v>20</v>
      </c>
      <c r="R271" s="76"/>
      <c r="S271" s="76"/>
      <c r="T271" s="76"/>
      <c r="U271" s="76"/>
      <c r="V271" s="76"/>
      <c r="W271" s="76"/>
      <c r="X271" s="76"/>
      <c r="Y271" s="76"/>
    </row>
    <row r="272" spans="1:25" s="6" customFormat="1" x14ac:dyDescent="0.25">
      <c r="A272" s="101"/>
      <c r="B272" s="101"/>
      <c r="C272" s="1" t="str">
        <f>_xlfn.CONCAT(tabE.Flux[[#This Row],[DATA]],"+",tabE.Flux[[#This Row],[MOTORISTA + MATRÍCULA A]])</f>
        <v>45896+ESIEL COSTA RODRIGUES - 1749</v>
      </c>
      <c r="D272" s="1" t="str">
        <f>_xlfn.CONCAT(tabE.Flux[[#This Row],[DATA]],"+",tabE.Flux[[#This Row],[MOTORISTA + MATRÍCULA B]])</f>
        <v>45896+ANTONIO LEONESIO CAMPELO DA SILVA - 5303</v>
      </c>
      <c r="E272" s="1" t="str">
        <f>_xlfn.CONCAT(tabE.Flux[[#This Row],[DATA]],"+",tabE.Flux[[#This Row],[MOTORISTA + MATRÍCULA A]],"+",tabE.Flux[[#This Row],[LINHA]])</f>
        <v>45896+ESIEL COSTA RODRIGUES - 1749+GOIANIA (GO) X TERESINA (PI) VIA BC</v>
      </c>
      <c r="F272" s="1" t="str">
        <f>_xlfn.CONCAT(tabE.Flux[[#This Row],[DATA]],"+",tabE.Flux[[#This Row],[MOTORISTA + MATRÍCULA B]],"+",tabE.Flux[[#This Row],[LINHA]])</f>
        <v>45896+ANTONIO LEONESIO CAMPELO DA SILVA - 5303+GOIANIA (GO) X TERESINA (PI) VIA BC</v>
      </c>
      <c r="G272" s="1" t="str">
        <f>_xlfn.CONCAT(tabE.Flux[[#This Row],[DATA]],"+",tabE.Flux[[#This Row],[LINHA]])</f>
        <v>45896+GOIANIA (GO) X TERESINA (PI) VIA BC</v>
      </c>
      <c r="H272" s="141">
        <v>45896</v>
      </c>
      <c r="I272" s="142" t="s">
        <v>15</v>
      </c>
      <c r="J272" s="142">
        <v>24009</v>
      </c>
      <c r="K272" s="143">
        <v>0.375</v>
      </c>
      <c r="L272" s="143">
        <v>0.39930555555555558</v>
      </c>
      <c r="M272" s="142" t="s">
        <v>36</v>
      </c>
      <c r="N272" s="142" t="s">
        <v>29</v>
      </c>
      <c r="O272" s="142" t="s">
        <v>46</v>
      </c>
      <c r="P272" s="142" t="s">
        <v>111</v>
      </c>
      <c r="Q272" s="142" t="s">
        <v>39</v>
      </c>
      <c r="R272" s="76"/>
      <c r="S272" s="76"/>
      <c r="T272" s="76"/>
      <c r="U272" s="76"/>
      <c r="V272" s="76"/>
      <c r="W272" s="76"/>
      <c r="X272" s="76"/>
      <c r="Y272" s="76"/>
    </row>
    <row r="273" spans="1:25" s="6" customFormat="1" x14ac:dyDescent="0.25">
      <c r="A273" s="101"/>
      <c r="B273" s="101"/>
      <c r="C273" s="1" t="str">
        <f>_xlfn.CONCAT(tabE.Flux[[#This Row],[DATA]],"+",tabE.Flux[[#This Row],[MOTORISTA + MATRÍCULA A]])</f>
        <v>45896+MERVAL DE SOUSA - 2880</v>
      </c>
      <c r="D273" s="1" t="str">
        <f>_xlfn.CONCAT(tabE.Flux[[#This Row],[DATA]],"+",tabE.Flux[[#This Row],[MOTORISTA + MATRÍCULA B]])</f>
        <v>45896+VALDEY OLIVEIRA ARAUJO - 2790</v>
      </c>
      <c r="E273" s="1" t="str">
        <f>_xlfn.CONCAT(tabE.Flux[[#This Row],[DATA]],"+",tabE.Flux[[#This Row],[MOTORISTA + MATRÍCULA A]],"+",tabE.Flux[[#This Row],[LINHA]])</f>
        <v>45896+MERVAL DE SOUSA - 2880+GOIANIA (GO) X BELEM (PA)</v>
      </c>
      <c r="F273" s="1" t="str">
        <f>_xlfn.CONCAT(tabE.Flux[[#This Row],[DATA]],"+",tabE.Flux[[#This Row],[MOTORISTA + MATRÍCULA B]],"+",tabE.Flux[[#This Row],[LINHA]])</f>
        <v>45896+VALDEY OLIVEIRA ARAUJO - 2790+GOIANIA (GO) X BELEM (PA)</v>
      </c>
      <c r="G273" s="1" t="str">
        <f>_xlfn.CONCAT(tabE.Flux[[#This Row],[DATA]],"+",tabE.Flux[[#This Row],[LINHA]])</f>
        <v>45896+GOIANIA (GO) X BELEM (PA)</v>
      </c>
      <c r="H273" s="141">
        <v>45896</v>
      </c>
      <c r="I273" s="142" t="s">
        <v>15</v>
      </c>
      <c r="J273" s="142">
        <v>20017</v>
      </c>
      <c r="K273" s="143">
        <v>0.375</v>
      </c>
      <c r="L273" s="143">
        <v>0.41666666666666669</v>
      </c>
      <c r="M273" s="142" t="s">
        <v>33</v>
      </c>
      <c r="N273" s="142" t="s">
        <v>16</v>
      </c>
      <c r="O273" s="142" t="s">
        <v>44</v>
      </c>
      <c r="P273" s="142" t="s">
        <v>34</v>
      </c>
      <c r="Q273" s="142" t="s">
        <v>20</v>
      </c>
      <c r="R273" s="76"/>
      <c r="S273" s="76"/>
      <c r="T273" s="76"/>
      <c r="U273" s="76"/>
      <c r="V273" s="76"/>
      <c r="W273" s="76"/>
      <c r="X273" s="76"/>
      <c r="Y273" s="76"/>
    </row>
    <row r="274" spans="1:25" s="6" customFormat="1" x14ac:dyDescent="0.25">
      <c r="A274" s="101"/>
      <c r="B274" s="101"/>
      <c r="C274" s="1" t="str">
        <f>_xlfn.CONCAT(tabE.Flux[[#This Row],[DATA]],"+",tabE.Flux[[#This Row],[MOTORISTA + MATRÍCULA A]])</f>
        <v>45896+PAULO ENEAS FARIAS ARAUJO - 6218</v>
      </c>
      <c r="D274" s="1" t="str">
        <f>_xlfn.CONCAT(tabE.Flux[[#This Row],[DATA]],"+",tabE.Flux[[#This Row],[MOTORISTA + MATRÍCULA B]])</f>
        <v>45896+FELIPE MORAIS MELO - 3077</v>
      </c>
      <c r="E274" s="1" t="str">
        <f>_xlfn.CONCAT(tabE.Flux[[#This Row],[DATA]],"+",tabE.Flux[[#This Row],[MOTORISTA + MATRÍCULA A]],"+",tabE.Flux[[#This Row],[LINHA]])</f>
        <v>45896+PAULO ENEAS FARIAS ARAUJO - 6218+GOIANIA (GO) X SAO LUIS (MA)</v>
      </c>
      <c r="F274" s="1" t="str">
        <f>_xlfn.CONCAT(tabE.Flux[[#This Row],[DATA]],"+",tabE.Flux[[#This Row],[MOTORISTA + MATRÍCULA B]],"+",tabE.Flux[[#This Row],[LINHA]])</f>
        <v>45896+FELIPE MORAIS MELO - 3077+GOIANIA (GO) X SAO LUIS (MA)</v>
      </c>
      <c r="G274" s="1" t="str">
        <f>_xlfn.CONCAT(tabE.Flux[[#This Row],[DATA]],"+",tabE.Flux[[#This Row],[LINHA]])</f>
        <v>45896+GOIANIA (GO) X SAO LUIS (MA)</v>
      </c>
      <c r="H274" s="141">
        <v>45896</v>
      </c>
      <c r="I274" s="142" t="s">
        <v>15</v>
      </c>
      <c r="J274" s="142">
        <v>20013</v>
      </c>
      <c r="K274" s="143">
        <v>0.25</v>
      </c>
      <c r="L274" s="143">
        <v>0.29166666666666669</v>
      </c>
      <c r="M274" s="142" t="s">
        <v>42</v>
      </c>
      <c r="N274" s="142" t="s">
        <v>16</v>
      </c>
      <c r="O274" s="142" t="s">
        <v>43</v>
      </c>
      <c r="P274" s="142" t="s">
        <v>78</v>
      </c>
      <c r="Q274" s="142" t="s">
        <v>23</v>
      </c>
      <c r="R274" s="76"/>
      <c r="S274" s="76"/>
      <c r="T274" s="76"/>
      <c r="U274" s="76"/>
      <c r="V274" s="76"/>
      <c r="W274" s="76"/>
      <c r="X274" s="76"/>
      <c r="Y274" s="76"/>
    </row>
    <row r="275" spans="1:25" s="6" customFormat="1" x14ac:dyDescent="0.25">
      <c r="A275" s="101"/>
      <c r="B275" s="101"/>
      <c r="C275" s="1" t="str">
        <f>_xlfn.CONCAT(tabE.Flux[[#This Row],[DATA]],"+",tabE.Flux[[#This Row],[MOTORISTA + MATRÍCULA A]])</f>
        <v>45896+LAUCEANDO DA SILVA ROCHA - 6220</v>
      </c>
      <c r="D275" s="1" t="str">
        <f>_xlfn.CONCAT(tabE.Flux[[#This Row],[DATA]],"+",tabE.Flux[[#This Row],[MOTORISTA + MATRÍCULA B]])</f>
        <v>45896+JOAO FERREIRA COSTA - 5545</v>
      </c>
      <c r="E275" s="1" t="str">
        <f>_xlfn.CONCAT(tabE.Flux[[#This Row],[DATA]],"+",tabE.Flux[[#This Row],[MOTORISTA + MATRÍCULA A]],"+",tabE.Flux[[#This Row],[LINHA]])</f>
        <v>45896+LAUCEANDO DA SILVA ROCHA - 6220+GOIANIA (GO) X SAO LUIS (MA)</v>
      </c>
      <c r="F275" s="1" t="str">
        <f>_xlfn.CONCAT(tabE.Flux[[#This Row],[DATA]],"+",tabE.Flux[[#This Row],[MOTORISTA + MATRÍCULA B]],"+",tabE.Flux[[#This Row],[LINHA]])</f>
        <v>45896+JOAO FERREIRA COSTA - 5545+GOIANIA (GO) X SAO LUIS (MA)</v>
      </c>
      <c r="G275" s="1" t="str">
        <f>_xlfn.CONCAT(tabE.Flux[[#This Row],[DATA]],"+",tabE.Flux[[#This Row],[LINHA]])</f>
        <v>45896+GOIANIA (GO) X SAO LUIS (MA)</v>
      </c>
      <c r="H275" s="141">
        <v>45896</v>
      </c>
      <c r="I275" s="142" t="s">
        <v>15</v>
      </c>
      <c r="J275" s="142">
        <v>24001</v>
      </c>
      <c r="K275" s="143">
        <v>0.75</v>
      </c>
      <c r="L275" s="143">
        <v>0.79166666666666663</v>
      </c>
      <c r="M275" s="142" t="s">
        <v>42</v>
      </c>
      <c r="N275" s="142" t="s">
        <v>16</v>
      </c>
      <c r="O275" s="142" t="s">
        <v>86</v>
      </c>
      <c r="P275" s="142" t="s">
        <v>61</v>
      </c>
      <c r="Q275" s="142" t="s">
        <v>23</v>
      </c>
      <c r="R275" s="76"/>
      <c r="S275" s="76"/>
      <c r="T275" s="76"/>
      <c r="U275" s="76"/>
      <c r="V275" s="76"/>
      <c r="W275" s="76"/>
      <c r="X275" s="76"/>
      <c r="Y275" s="76"/>
    </row>
    <row r="276" spans="1:25" s="6" customFormat="1" x14ac:dyDescent="0.25">
      <c r="A276" s="101"/>
      <c r="B276" s="101"/>
      <c r="C276" s="1" t="str">
        <f>_xlfn.CONCAT(tabE.Flux[[#This Row],[DATA]],"+",tabE.Flux[[#This Row],[MOTORISTA + MATRÍCULA A]])</f>
        <v>45896+CANCELADO</v>
      </c>
      <c r="D276" s="1" t="str">
        <f>_xlfn.CONCAT(tabE.Flux[[#This Row],[DATA]],"+",tabE.Flux[[#This Row],[MOTORISTA + MATRÍCULA B]])</f>
        <v>45896+CANCELADO</v>
      </c>
      <c r="E276" s="1" t="str">
        <f>_xlfn.CONCAT(tabE.Flux[[#This Row],[DATA]],"+",tabE.Flux[[#This Row],[MOTORISTA + MATRÍCULA A]],"+",tabE.Flux[[#This Row],[LINHA]])</f>
        <v>45896+CANCELADO+IMPERATRIZ (MA) X SÃO LUIS (MA)</v>
      </c>
      <c r="F276" s="1" t="str">
        <f>_xlfn.CONCAT(tabE.Flux[[#This Row],[DATA]],"+",tabE.Flux[[#This Row],[MOTORISTA + MATRÍCULA B]],"+",tabE.Flux[[#This Row],[LINHA]])</f>
        <v>45896+CANCELADO+IMPERATRIZ (MA) X SÃO LUIS (MA)</v>
      </c>
      <c r="G276" s="1" t="str">
        <f>_xlfn.CONCAT(tabE.Flux[[#This Row],[DATA]],"+",tabE.Flux[[#This Row],[LINHA]])</f>
        <v>45896+IMPERATRIZ (MA) X SÃO LUIS (MA)</v>
      </c>
      <c r="H276" s="141">
        <v>45896</v>
      </c>
      <c r="I276" s="142" t="s">
        <v>15</v>
      </c>
      <c r="J276" s="144" t="s">
        <v>27</v>
      </c>
      <c r="K276" s="143">
        <v>0.77083333333333337</v>
      </c>
      <c r="L276" s="143">
        <v>0.79513888888888884</v>
      </c>
      <c r="M276" s="142" t="s">
        <v>42</v>
      </c>
      <c r="N276" s="142" t="s">
        <v>16</v>
      </c>
      <c r="O276" s="144" t="s">
        <v>27</v>
      </c>
      <c r="P276" s="144" t="s">
        <v>27</v>
      </c>
      <c r="Q276" s="142" t="s">
        <v>47</v>
      </c>
      <c r="R276" s="76"/>
      <c r="S276" s="76"/>
      <c r="T276" s="76"/>
      <c r="U276" s="76"/>
      <c r="V276" s="76"/>
      <c r="W276" s="76"/>
      <c r="X276" s="76"/>
      <c r="Y276" s="76"/>
    </row>
    <row r="277" spans="1:25" s="6" customFormat="1" x14ac:dyDescent="0.25">
      <c r="A277" s="101"/>
      <c r="B277" s="101"/>
      <c r="C277" s="1" t="str">
        <f>_xlfn.CONCAT(tabE.Flux[[#This Row],[DATA]],"+",tabE.Flux[[#This Row],[MOTORISTA + MATRÍCULA A]])</f>
        <v>45896+VALDELY RIBEIRO CAETANO - 5743</v>
      </c>
      <c r="D277" s="1" t="str">
        <f>_xlfn.CONCAT(tabE.Flux[[#This Row],[DATA]],"+",tabE.Flux[[#This Row],[MOTORISTA + MATRÍCULA B]])</f>
        <v>45896+CORESTINO RODRIGUES CALDEIRA FILHO - 6035</v>
      </c>
      <c r="E277" s="1" t="str">
        <f>_xlfn.CONCAT(tabE.Flux[[#This Row],[DATA]],"+",tabE.Flux[[#This Row],[MOTORISTA + MATRÍCULA A]],"+",tabE.Flux[[#This Row],[LINHA]])</f>
        <v>45896+VALDELY RIBEIRO CAETANO - 5743+GOIANIA (GO) X TERESINA (PI) VIA BC</v>
      </c>
      <c r="F277" s="1" t="str">
        <f>_xlfn.CONCAT(tabE.Flux[[#This Row],[DATA]],"+",tabE.Flux[[#This Row],[MOTORISTA + MATRÍCULA B]],"+",tabE.Flux[[#This Row],[LINHA]])</f>
        <v>45896+CORESTINO RODRIGUES CALDEIRA FILHO - 6035+GOIANIA (GO) X TERESINA (PI) VIA BC</v>
      </c>
      <c r="G277" s="1" t="str">
        <f>_xlfn.CONCAT(tabE.Flux[[#This Row],[DATA]],"+",tabE.Flux[[#This Row],[LINHA]])</f>
        <v>45896+GOIANIA (GO) X TERESINA (PI) VIA BC</v>
      </c>
      <c r="H277" s="141">
        <v>45896</v>
      </c>
      <c r="I277" s="142" t="s">
        <v>15</v>
      </c>
      <c r="J277" s="142">
        <v>24011</v>
      </c>
      <c r="K277" s="143">
        <v>0.89583333333333337</v>
      </c>
      <c r="L277" s="143">
        <v>0.91666666666666663</v>
      </c>
      <c r="M277" s="142" t="s">
        <v>36</v>
      </c>
      <c r="N277" s="142" t="s">
        <v>17</v>
      </c>
      <c r="O277" s="142" t="s">
        <v>98</v>
      </c>
      <c r="P277" s="142" t="s">
        <v>99</v>
      </c>
      <c r="Q277" s="142" t="s">
        <v>39</v>
      </c>
      <c r="R277" s="76"/>
      <c r="S277" s="76"/>
      <c r="T277" s="76"/>
      <c r="U277" s="76"/>
      <c r="V277" s="76"/>
      <c r="W277" s="76"/>
      <c r="X277" s="76"/>
      <c r="Y277" s="76"/>
    </row>
    <row r="278" spans="1:25" s="6" customFormat="1" x14ac:dyDescent="0.25">
      <c r="A278" s="101"/>
      <c r="B278" s="101"/>
      <c r="C278" s="1" t="str">
        <f>_xlfn.CONCAT(tabE.Flux[[#This Row],[DATA]],"+",tabE.Flux[[#This Row],[MOTORISTA + MATRÍCULA A]])</f>
        <v>45896+FABIO MOREIRA DOS SANTOS - 3073</v>
      </c>
      <c r="D278" s="1" t="str">
        <f>_xlfn.CONCAT(tabE.Flux[[#This Row],[DATA]],"+",tabE.Flux[[#This Row],[MOTORISTA + MATRÍCULA B]])</f>
        <v>45896+RONALDO ADRIANO COSTA SANTOS - 5637</v>
      </c>
      <c r="E278" s="1" t="str">
        <f>_xlfn.CONCAT(tabE.Flux[[#This Row],[DATA]],"+",tabE.Flux[[#This Row],[MOTORISTA + MATRÍCULA A]],"+",tabE.Flux[[#This Row],[LINHA]])</f>
        <v>45896+FABIO MOREIRA DOS SANTOS - 3073+GOIANIA (GO) X BELEM (PA)</v>
      </c>
      <c r="F278" s="1" t="str">
        <f>_xlfn.CONCAT(tabE.Flux[[#This Row],[DATA]],"+",tabE.Flux[[#This Row],[MOTORISTA + MATRÍCULA B]],"+",tabE.Flux[[#This Row],[LINHA]])</f>
        <v>45896+RONALDO ADRIANO COSTA SANTOS - 5637+GOIANIA (GO) X BELEM (PA)</v>
      </c>
      <c r="G278" s="1" t="str">
        <f>_xlfn.CONCAT(tabE.Flux[[#This Row],[DATA]],"+",tabE.Flux[[#This Row],[LINHA]])</f>
        <v>45896+GOIANIA (GO) X BELEM (PA)</v>
      </c>
      <c r="H278" s="141">
        <v>45896</v>
      </c>
      <c r="I278" s="142" t="s">
        <v>15</v>
      </c>
      <c r="J278" s="142">
        <v>25011</v>
      </c>
      <c r="K278" s="143">
        <v>0.76041666666666663</v>
      </c>
      <c r="L278" s="143">
        <v>0.77083333333333337</v>
      </c>
      <c r="M278" s="142" t="s">
        <v>33</v>
      </c>
      <c r="N278" s="142" t="s">
        <v>16</v>
      </c>
      <c r="O278" s="142" t="s">
        <v>50</v>
      </c>
      <c r="P278" s="142" t="s">
        <v>41</v>
      </c>
      <c r="Q278" s="142" t="s">
        <v>20</v>
      </c>
      <c r="R278" s="76"/>
      <c r="S278" s="76"/>
      <c r="T278" s="76"/>
      <c r="U278" s="76"/>
      <c r="V278" s="76"/>
      <c r="W278" s="76"/>
      <c r="X278" s="76"/>
      <c r="Y278" s="76"/>
    </row>
    <row r="279" spans="1:25" s="6" customFormat="1" x14ac:dyDescent="0.25">
      <c r="A279" s="101"/>
      <c r="B279" s="101"/>
      <c r="C279" s="1" t="str">
        <f>_xlfn.CONCAT(tabE.Flux[[#This Row],[DATA]],"+",tabE.Flux[[#This Row],[MOTORISTA + MATRÍCULA A]])</f>
        <v>45896+GILVAN DE SOUSA FRANCA - 5834</v>
      </c>
      <c r="D279" s="1" t="str">
        <f>_xlfn.CONCAT(tabE.Flux[[#This Row],[DATA]],"+",tabE.Flux[[#This Row],[MOTORISTA + MATRÍCULA B]])</f>
        <v>45896+FRANCISCO LINDONALDO DE SOUSA - 2971</v>
      </c>
      <c r="E279" s="1" t="str">
        <f>_xlfn.CONCAT(tabE.Flux[[#This Row],[DATA]],"+",tabE.Flux[[#This Row],[MOTORISTA + MATRÍCULA A]],"+",tabE.Flux[[#This Row],[LINHA]])</f>
        <v>45896+GILVAN DE SOUSA FRANCA - 5834+GOIANIA (GO) X BELEM (PA)</v>
      </c>
      <c r="F279" s="1" t="str">
        <f>_xlfn.CONCAT(tabE.Flux[[#This Row],[DATA]],"+",tabE.Flux[[#This Row],[MOTORISTA + MATRÍCULA B]],"+",tabE.Flux[[#This Row],[LINHA]])</f>
        <v>45896+FRANCISCO LINDONALDO DE SOUSA - 2971+GOIANIA (GO) X BELEM (PA)</v>
      </c>
      <c r="G279" s="1" t="str">
        <f>_xlfn.CONCAT(tabE.Flux[[#This Row],[DATA]],"+",tabE.Flux[[#This Row],[LINHA]])</f>
        <v>45896+GOIANIA (GO) X BELEM (PA)</v>
      </c>
      <c r="H279" s="141">
        <v>45896</v>
      </c>
      <c r="I279" s="142" t="s">
        <v>15</v>
      </c>
      <c r="J279" s="142">
        <v>24003</v>
      </c>
      <c r="K279" s="143">
        <v>0.76041666666666663</v>
      </c>
      <c r="L279" s="143">
        <v>0.82777777777777772</v>
      </c>
      <c r="M279" s="142" t="s">
        <v>16</v>
      </c>
      <c r="N279" s="142" t="s">
        <v>33</v>
      </c>
      <c r="O279" s="142" t="s">
        <v>35</v>
      </c>
      <c r="P279" s="142" t="s">
        <v>131</v>
      </c>
      <c r="Q279" s="142" t="s">
        <v>20</v>
      </c>
      <c r="R279" s="76"/>
      <c r="S279" s="76"/>
      <c r="T279" s="76"/>
      <c r="U279" s="76"/>
      <c r="V279" s="76"/>
      <c r="W279" s="76"/>
      <c r="X279" s="76"/>
      <c r="Y279" s="76"/>
    </row>
    <row r="280" spans="1:25" s="6" customFormat="1" x14ac:dyDescent="0.25">
      <c r="A280" s="101"/>
      <c r="B280" s="101"/>
      <c r="C280" s="1" t="str">
        <f>_xlfn.CONCAT(tabE.Flux[[#This Row],[DATA]],"+",tabE.Flux[[#This Row],[MOTORISTA + MATRÍCULA A]])</f>
        <v>45896+ANTONIO RAMIRO WEBER - 5452</v>
      </c>
      <c r="D280" s="1" t="str">
        <f>_xlfn.CONCAT(tabE.Flux[[#This Row],[DATA]],"+",tabE.Flux[[#This Row],[MOTORISTA + MATRÍCULA B]])</f>
        <v>45896+ALTEMAR DO NASCIMENTO LIMA - 6225</v>
      </c>
      <c r="E280" s="1" t="str">
        <f>_xlfn.CONCAT(tabE.Flux[[#This Row],[DATA]],"+",tabE.Flux[[#This Row],[MOTORISTA + MATRÍCULA A]],"+",tabE.Flux[[#This Row],[LINHA]])</f>
        <v>45896+ANTONIO RAMIRO WEBER - 5452+GOIANIA (GO) X SAO LUIS (MA)</v>
      </c>
      <c r="F280" s="1" t="str">
        <f>_xlfn.CONCAT(tabE.Flux[[#This Row],[DATA]],"+",tabE.Flux[[#This Row],[MOTORISTA + MATRÍCULA B]],"+",tabE.Flux[[#This Row],[LINHA]])</f>
        <v>45896+ALTEMAR DO NASCIMENTO LIMA - 6225+GOIANIA (GO) X SAO LUIS (MA)</v>
      </c>
      <c r="G280" s="1" t="str">
        <f>_xlfn.CONCAT(tabE.Flux[[#This Row],[DATA]],"+",tabE.Flux[[#This Row],[LINHA]])</f>
        <v>45896+GOIANIA (GO) X SAO LUIS (MA)</v>
      </c>
      <c r="H280" s="141">
        <v>45896</v>
      </c>
      <c r="I280" s="142" t="s">
        <v>15</v>
      </c>
      <c r="J280" s="142">
        <v>19024</v>
      </c>
      <c r="K280" s="143">
        <v>0.40763888888888888</v>
      </c>
      <c r="L280" s="143">
        <v>0.47013888888888888</v>
      </c>
      <c r="M280" s="142" t="s">
        <v>16</v>
      </c>
      <c r="N280" s="142" t="s">
        <v>42</v>
      </c>
      <c r="O280" s="142" t="s">
        <v>79</v>
      </c>
      <c r="P280" s="142" t="s">
        <v>57</v>
      </c>
      <c r="Q280" s="142" t="s">
        <v>23</v>
      </c>
      <c r="R280" s="76"/>
      <c r="S280" s="76"/>
      <c r="T280" s="76"/>
      <c r="U280" s="76"/>
      <c r="V280" s="76"/>
      <c r="W280" s="76"/>
      <c r="X280" s="76"/>
      <c r="Y280" s="76"/>
    </row>
    <row r="281" spans="1:25" s="6" customFormat="1" x14ac:dyDescent="0.25">
      <c r="A281" s="101"/>
      <c r="B281" s="101"/>
      <c r="C281" s="1" t="str">
        <f>_xlfn.CONCAT(tabE.Flux[[#This Row],[DATA]],"+",tabE.Flux[[#This Row],[MOTORISTA + MATRÍCULA A]])</f>
        <v>45896+CANCELADO</v>
      </c>
      <c r="D281" s="1" t="str">
        <f>_xlfn.CONCAT(tabE.Flux[[#This Row],[DATA]],"+",tabE.Flux[[#This Row],[MOTORISTA + MATRÍCULA B]])</f>
        <v>45896+CANCELADO</v>
      </c>
      <c r="E281" s="1" t="str">
        <f>_xlfn.CONCAT(tabE.Flux[[#This Row],[DATA]],"+",tabE.Flux[[#This Row],[MOTORISTA + MATRÍCULA A]],"+",tabE.Flux[[#This Row],[LINHA]])</f>
        <v>45896+CANCELADO+IMPERATRIZ (MA) X SÃO LUIS (MA)</v>
      </c>
      <c r="F281" s="1" t="str">
        <f>_xlfn.CONCAT(tabE.Flux[[#This Row],[DATA]],"+",tabE.Flux[[#This Row],[MOTORISTA + MATRÍCULA B]],"+",tabE.Flux[[#This Row],[LINHA]])</f>
        <v>45896+CANCELADO+IMPERATRIZ (MA) X SÃO LUIS (MA)</v>
      </c>
      <c r="G281" s="1" t="str">
        <f>_xlfn.CONCAT(tabE.Flux[[#This Row],[DATA]],"+",tabE.Flux[[#This Row],[LINHA]])</f>
        <v>45896+IMPERATRIZ (MA) X SÃO LUIS (MA)</v>
      </c>
      <c r="H281" s="141">
        <v>45896</v>
      </c>
      <c r="I281" s="142" t="s">
        <v>15</v>
      </c>
      <c r="J281" s="144" t="s">
        <v>27</v>
      </c>
      <c r="K281" s="143">
        <v>0.77083333333333337</v>
      </c>
      <c r="L281" s="143">
        <v>0.8125</v>
      </c>
      <c r="M281" s="142" t="s">
        <v>16</v>
      </c>
      <c r="N281" s="142" t="s">
        <v>42</v>
      </c>
      <c r="O281" s="144" t="s">
        <v>27</v>
      </c>
      <c r="P281" s="144" t="s">
        <v>27</v>
      </c>
      <c r="Q281" s="142" t="s">
        <v>47</v>
      </c>
      <c r="R281" s="76"/>
      <c r="S281" s="76"/>
      <c r="T281" s="76"/>
      <c r="U281" s="76"/>
      <c r="V281" s="76"/>
      <c r="W281" s="76"/>
      <c r="X281" s="76"/>
      <c r="Y281" s="76"/>
    </row>
    <row r="282" spans="1:25" s="6" customFormat="1" x14ac:dyDescent="0.25">
      <c r="A282" s="101"/>
      <c r="B282" s="101"/>
      <c r="C282" s="1" t="str">
        <f>_xlfn.CONCAT(tabE.Flux[[#This Row],[DATA]],"+",tabE.Flux[[#This Row],[MOTORISTA + MATRÍCULA A]])</f>
        <v>45896+ELIEZIO JOSE DOS SANTOS - 2645</v>
      </c>
      <c r="D282" s="1" t="str">
        <f>_xlfn.CONCAT(tabE.Flux[[#This Row],[DATA]],"+",tabE.Flux[[#This Row],[MOTORISTA + MATRÍCULA B]])</f>
        <v>45896+PAULO ENEAS FARIAS ARAUJO - 6218</v>
      </c>
      <c r="E282" s="1" t="str">
        <f>_xlfn.CONCAT(tabE.Flux[[#This Row],[DATA]],"+",tabE.Flux[[#This Row],[MOTORISTA + MATRÍCULA A]],"+",tabE.Flux[[#This Row],[LINHA]])</f>
        <v>45896+ELIEZIO JOSE DOS SANTOS - 2645+GOIANIA (GO) X SAO LUIS (MA)</v>
      </c>
      <c r="F282" s="1" t="str">
        <f>_xlfn.CONCAT(tabE.Flux[[#This Row],[DATA]],"+",tabE.Flux[[#This Row],[MOTORISTA + MATRÍCULA B]],"+",tabE.Flux[[#This Row],[LINHA]])</f>
        <v>45896+PAULO ENEAS FARIAS ARAUJO - 6218+GOIANIA (GO) X SAO LUIS (MA)</v>
      </c>
      <c r="G282" s="1" t="str">
        <f>_xlfn.CONCAT(tabE.Flux[[#This Row],[DATA]],"+",tabE.Flux[[#This Row],[LINHA]])</f>
        <v>45896+GOIANIA (GO) X SAO LUIS (MA)</v>
      </c>
      <c r="H282" s="141">
        <v>45896</v>
      </c>
      <c r="I282" s="142" t="s">
        <v>15</v>
      </c>
      <c r="J282" s="142">
        <v>25006</v>
      </c>
      <c r="K282" s="143">
        <v>0.8125</v>
      </c>
      <c r="L282" s="143">
        <v>0.84375</v>
      </c>
      <c r="M282" s="142" t="s">
        <v>16</v>
      </c>
      <c r="N282" s="142" t="s">
        <v>42</v>
      </c>
      <c r="O282" s="142" t="s">
        <v>53</v>
      </c>
      <c r="P282" s="142" t="s">
        <v>43</v>
      </c>
      <c r="Q282" s="142" t="s">
        <v>23</v>
      </c>
      <c r="R282" s="76"/>
      <c r="S282" s="76"/>
      <c r="T282" s="76"/>
      <c r="U282" s="76"/>
      <c r="V282" s="76"/>
      <c r="W282" s="76"/>
      <c r="X282" s="76"/>
      <c r="Y282" s="76"/>
    </row>
    <row r="283" spans="1:25" s="6" customFormat="1" x14ac:dyDescent="0.25">
      <c r="A283" s="101"/>
      <c r="B283" s="101"/>
      <c r="C283" s="1" t="str">
        <f>_xlfn.CONCAT(tabE.Flux[[#This Row],[DATA]],"+",tabE.Flux[[#This Row],[MOTORISTA + MATRÍCULA A]])</f>
        <v>45896+IZALMIR RODRIGUES COELHO - 958</v>
      </c>
      <c r="D283" s="1" t="str">
        <f>_xlfn.CONCAT(tabE.Flux[[#This Row],[DATA]],"+",tabE.Flux[[#This Row],[MOTORISTA + MATRÍCULA B]])</f>
        <v>45896+MARCIO DE SOUSA BRASILEIRO - 5828</v>
      </c>
      <c r="E283" s="1" t="str">
        <f>_xlfn.CONCAT(tabE.Flux[[#This Row],[DATA]],"+",tabE.Flux[[#This Row],[MOTORISTA + MATRÍCULA A]],"+",tabE.Flux[[#This Row],[LINHA]])</f>
        <v>45896+IZALMIR RODRIGUES COELHO - 958+GOIANIA (GO) X TERESINA (PI) VIA STI</v>
      </c>
      <c r="F283" s="1" t="str">
        <f>_xlfn.CONCAT(tabE.Flux[[#This Row],[DATA]],"+",tabE.Flux[[#This Row],[MOTORISTA + MATRÍCULA B]],"+",tabE.Flux[[#This Row],[LINHA]])</f>
        <v>45896+MARCIO DE SOUSA BRASILEIRO - 5828+GOIANIA (GO) X TERESINA (PI) VIA STI</v>
      </c>
      <c r="G283" s="1" t="str">
        <f>_xlfn.CONCAT(tabE.Flux[[#This Row],[DATA]],"+",tabE.Flux[[#This Row],[LINHA]])</f>
        <v>45896+GOIANIA (GO) X TERESINA (PI) VIA STI</v>
      </c>
      <c r="H283" s="141">
        <v>45896</v>
      </c>
      <c r="I283" s="142" t="s">
        <v>15</v>
      </c>
      <c r="J283" s="142">
        <v>15800</v>
      </c>
      <c r="K283" s="143">
        <v>0.77083333333333337</v>
      </c>
      <c r="L283" s="143">
        <v>0.79861111111111116</v>
      </c>
      <c r="M283" s="142" t="s">
        <v>16</v>
      </c>
      <c r="N283" s="142" t="s">
        <v>29</v>
      </c>
      <c r="O283" s="142" t="s">
        <v>83</v>
      </c>
      <c r="P283" s="142" t="s">
        <v>129</v>
      </c>
      <c r="Q283" s="142" t="s">
        <v>26</v>
      </c>
      <c r="R283" s="76"/>
      <c r="S283" s="76"/>
      <c r="T283" s="76"/>
      <c r="U283" s="76"/>
      <c r="V283" s="76"/>
      <c r="W283" s="76"/>
      <c r="X283" s="76"/>
      <c r="Y283" s="76"/>
    </row>
    <row r="284" spans="1:25" s="6" customFormat="1" x14ac:dyDescent="0.25">
      <c r="A284" s="101"/>
      <c r="B284" s="101"/>
      <c r="C284" s="1" t="str">
        <f>_xlfn.CONCAT(tabE.Flux[[#This Row],[DATA]],"+",tabE.Flux[[#This Row],[MOTORISTA + MATRÍCULA A]])</f>
        <v>45896+LEANDRO DE OLIVEIRA MELO - 2151</v>
      </c>
      <c r="D284" s="1" t="str">
        <f>_xlfn.CONCAT(tabE.Flux[[#This Row],[DATA]],"+",tabE.Flux[[#This Row],[MOTORISTA + MATRÍCULA B]])</f>
        <v>45896+RAINERIO COSTA MENDES - 5850</v>
      </c>
      <c r="E284" s="1" t="str">
        <f>_xlfn.CONCAT(tabE.Flux[[#This Row],[DATA]],"+",tabE.Flux[[#This Row],[MOTORISTA + MATRÍCULA A]],"+",tabE.Flux[[#This Row],[LINHA]])</f>
        <v>45896+LEANDRO DE OLIVEIRA MELO - 2151+GOIANIA (GO) X SAO LUIS (MA)</v>
      </c>
      <c r="F284" s="1" t="str">
        <f>_xlfn.CONCAT(tabE.Flux[[#This Row],[DATA]],"+",tabE.Flux[[#This Row],[MOTORISTA + MATRÍCULA B]],"+",tabE.Flux[[#This Row],[LINHA]])</f>
        <v>45896+RAINERIO COSTA MENDES - 5850+GOIANIA (GO) X SAO LUIS (MA)</v>
      </c>
      <c r="G284" s="1" t="str">
        <f>_xlfn.CONCAT(tabE.Flux[[#This Row],[DATA]],"+",tabE.Flux[[#This Row],[LINHA]])</f>
        <v>45896+GOIANIA (GO) X SAO LUIS (MA)</v>
      </c>
      <c r="H284" s="141">
        <v>45896</v>
      </c>
      <c r="I284" s="142" t="s">
        <v>15</v>
      </c>
      <c r="J284" s="142">
        <v>20013</v>
      </c>
      <c r="K284" s="143">
        <v>0.8125</v>
      </c>
      <c r="L284" s="143">
        <v>0.84166666666666667</v>
      </c>
      <c r="M284" s="142" t="s">
        <v>16</v>
      </c>
      <c r="N284" s="142" t="s">
        <v>17</v>
      </c>
      <c r="O284" s="142" t="s">
        <v>64</v>
      </c>
      <c r="P284" s="142" t="s">
        <v>108</v>
      </c>
      <c r="Q284" s="142" t="s">
        <v>23</v>
      </c>
      <c r="R284" s="76"/>
      <c r="S284" s="76"/>
      <c r="T284" s="76"/>
      <c r="U284" s="76"/>
      <c r="V284" s="76"/>
      <c r="W284" s="76"/>
      <c r="X284" s="76"/>
      <c r="Y284" s="76"/>
    </row>
    <row r="285" spans="1:25" s="6" customFormat="1" x14ac:dyDescent="0.25">
      <c r="A285" s="101"/>
      <c r="B285" s="101"/>
      <c r="C285" s="1" t="str">
        <f>_xlfn.CONCAT(tabE.Flux[[#This Row],[DATA]],"+",tabE.Flux[[#This Row],[MOTORISTA + MATRÍCULA A]])</f>
        <v>45896+JAKTAN DE OLIVEIRA RODRIGUES - 5836</v>
      </c>
      <c r="D285" s="1" t="str">
        <f>_xlfn.CONCAT(tabE.Flux[[#This Row],[DATA]],"+",tabE.Flux[[#This Row],[MOTORISTA + MATRÍCULA B]])</f>
        <v>45896+BERNARDO SOUZA LIMA - 1720</v>
      </c>
      <c r="E285" s="1" t="str">
        <f>_xlfn.CONCAT(tabE.Flux[[#This Row],[DATA]],"+",tabE.Flux[[#This Row],[MOTORISTA + MATRÍCULA A]],"+",tabE.Flux[[#This Row],[LINHA]])</f>
        <v>45896+JAKTAN DE OLIVEIRA RODRIGUES - 5836+FORTALEZA (CE) X SINOP (MT)</v>
      </c>
      <c r="F285" s="1" t="str">
        <f>_xlfn.CONCAT(tabE.Flux[[#This Row],[DATA]],"+",tabE.Flux[[#This Row],[MOTORISTA + MATRÍCULA B]],"+",tabE.Flux[[#This Row],[LINHA]])</f>
        <v>45896+BERNARDO SOUZA LIMA - 1720+FORTALEZA (CE) X SINOP (MT)</v>
      </c>
      <c r="G285" s="1" t="str">
        <f>_xlfn.CONCAT(tabE.Flux[[#This Row],[DATA]],"+",tabE.Flux[[#This Row],[LINHA]])</f>
        <v>45896+FORTALEZA (CE) X SINOP (MT)</v>
      </c>
      <c r="H285" s="141">
        <v>45896</v>
      </c>
      <c r="I285" s="142" t="s">
        <v>15</v>
      </c>
      <c r="J285" s="142">
        <v>19001</v>
      </c>
      <c r="K285" s="143">
        <v>0.8125</v>
      </c>
      <c r="L285" s="143">
        <v>0.85416666666666663</v>
      </c>
      <c r="M285" s="142" t="s">
        <v>16</v>
      </c>
      <c r="N285" s="142" t="s">
        <v>17</v>
      </c>
      <c r="O285" s="142" t="s">
        <v>59</v>
      </c>
      <c r="P285" s="142" t="s">
        <v>123</v>
      </c>
      <c r="Q285" s="142" t="s">
        <v>32</v>
      </c>
      <c r="R285" s="76"/>
      <c r="S285" s="76"/>
      <c r="T285" s="76"/>
      <c r="U285" s="76"/>
      <c r="V285" s="76"/>
      <c r="W285" s="76"/>
      <c r="X285" s="76"/>
      <c r="Y285" s="76"/>
    </row>
    <row r="286" spans="1:25" s="6" customFormat="1" x14ac:dyDescent="0.25">
      <c r="A286" s="101"/>
      <c r="B286" s="101"/>
      <c r="C286" s="1" t="str">
        <f>_xlfn.CONCAT(tabE.Flux[[#This Row],[DATA]],"+",tabE.Flux[[#This Row],[MOTORISTA + MATRÍCULA A]])</f>
        <v>45896+ESLEI LOPES CHAVES - 2689</v>
      </c>
      <c r="D286" s="1" t="str">
        <f>_xlfn.CONCAT(tabE.Flux[[#This Row],[DATA]],"+",tabE.Flux[[#This Row],[MOTORISTA + MATRÍCULA B]])</f>
        <v>45896+RONALDO MANOEL TEIXEIRA - 5308</v>
      </c>
      <c r="E286" s="1" t="str">
        <f>_xlfn.CONCAT(tabE.Flux[[#This Row],[DATA]],"+",tabE.Flux[[#This Row],[MOTORISTA + MATRÍCULA A]],"+",tabE.Flux[[#This Row],[LINHA]])</f>
        <v>45896+ESLEI LOPES CHAVES - 2689+GOIANIA (GO) X BELEM (PA)</v>
      </c>
      <c r="F286" s="1" t="str">
        <f>_xlfn.CONCAT(tabE.Flux[[#This Row],[DATA]],"+",tabE.Flux[[#This Row],[MOTORISTA + MATRÍCULA B]],"+",tabE.Flux[[#This Row],[LINHA]])</f>
        <v>45896+RONALDO MANOEL TEIXEIRA - 5308+GOIANIA (GO) X BELEM (PA)</v>
      </c>
      <c r="G286" s="1" t="str">
        <f>_xlfn.CONCAT(tabE.Flux[[#This Row],[DATA]],"+",tabE.Flux[[#This Row],[LINHA]])</f>
        <v>45896+GOIANIA (GO) X BELEM (PA)</v>
      </c>
      <c r="H286" s="141">
        <v>45896</v>
      </c>
      <c r="I286" s="142" t="s">
        <v>15</v>
      </c>
      <c r="J286" s="142">
        <v>20017</v>
      </c>
      <c r="K286" s="143">
        <v>0.84722222222222221</v>
      </c>
      <c r="L286" s="143">
        <v>0.87847222222222221</v>
      </c>
      <c r="M286" s="142" t="s">
        <v>16</v>
      </c>
      <c r="N286" s="142" t="s">
        <v>17</v>
      </c>
      <c r="O286" s="142" t="s">
        <v>146</v>
      </c>
      <c r="P286" s="142" t="s">
        <v>220</v>
      </c>
      <c r="Q286" s="142" t="s">
        <v>20</v>
      </c>
      <c r="R286" s="76"/>
      <c r="S286" s="76"/>
      <c r="T286" s="76"/>
      <c r="U286" s="76"/>
      <c r="V286" s="76"/>
      <c r="W286" s="76"/>
      <c r="X286" s="76"/>
      <c r="Y286" s="76"/>
    </row>
    <row r="287" spans="1:25" s="6" customFormat="1" x14ac:dyDescent="0.25">
      <c r="A287" s="101"/>
      <c r="B287" s="101"/>
      <c r="C287" s="1" t="str">
        <f>_xlfn.CONCAT(tabE.Flux[[#This Row],[DATA]],"+",tabE.Flux[[#This Row],[MOTORISTA + MATRÍCULA A]])</f>
        <v>+</v>
      </c>
      <c r="D287" s="1" t="str">
        <f>_xlfn.CONCAT(tabE.Flux[[#This Row],[DATA]],"+",tabE.Flux[[#This Row],[MOTORISTA + MATRÍCULA B]])</f>
        <v>+</v>
      </c>
      <c r="E287" s="1" t="str">
        <f>_xlfn.CONCAT(tabE.Flux[[#This Row],[DATA]],"+",tabE.Flux[[#This Row],[MOTORISTA + MATRÍCULA A]],"+",tabE.Flux[[#This Row],[LINHA]])</f>
        <v>++</v>
      </c>
      <c r="F287" s="1" t="str">
        <f>_xlfn.CONCAT(tabE.Flux[[#This Row],[DATA]],"+",tabE.Flux[[#This Row],[MOTORISTA + MATRÍCULA B]],"+",tabE.Flux[[#This Row],[LINHA]])</f>
        <v>++</v>
      </c>
      <c r="G287" s="1" t="str">
        <f>_xlfn.CONCAT(tabE.Flux[[#This Row],[DATA]],"+",tabE.Flux[[#This Row],[LINHA]])</f>
        <v>+</v>
      </c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76"/>
      <c r="S287" s="76"/>
      <c r="T287" s="76"/>
      <c r="U287" s="76"/>
      <c r="V287" s="76"/>
      <c r="W287" s="76"/>
      <c r="X287" s="76"/>
      <c r="Y287" s="76"/>
    </row>
    <row r="288" spans="1:25" s="6" customFormat="1" ht="15" customHeight="1" x14ac:dyDescent="0.25">
      <c r="A288" s="101"/>
      <c r="B288" s="101"/>
      <c r="C288" s="1" t="str">
        <f>_xlfn.CONCAT(tabE.Flux[[#This Row],[DATA]],"+",tabE.Flux[[#This Row],[MOTORISTA + MATRÍCULA A]])</f>
        <v>45897+JOSE ANTONIO INACIO VIEIRA - 5279</v>
      </c>
      <c r="D288" s="1" t="str">
        <f>_xlfn.CONCAT(tabE.Flux[[#This Row],[DATA]],"+",tabE.Flux[[#This Row],[MOTORISTA + MATRÍCULA B]])</f>
        <v>45897+MARCELO RIZO SANTANA - 2048</v>
      </c>
      <c r="E288" s="1" t="str">
        <f>_xlfn.CONCAT(tabE.Flux[[#This Row],[DATA]],"+",tabE.Flux[[#This Row],[MOTORISTA + MATRÍCULA A]],"+",tabE.Flux[[#This Row],[LINHA]])</f>
        <v>45897+JOSE ANTONIO INACIO VIEIRA - 5279+GOIANIA (GO) X BELEM (PA)</v>
      </c>
      <c r="F288" s="1" t="str">
        <f>_xlfn.CONCAT(tabE.Flux[[#This Row],[DATA]],"+",tabE.Flux[[#This Row],[MOTORISTA + MATRÍCULA B]],"+",tabE.Flux[[#This Row],[LINHA]])</f>
        <v>45897+MARCELO RIZO SANTANA - 2048+GOIANIA (GO) X BELEM (PA)</v>
      </c>
      <c r="G288" s="1" t="str">
        <f>_xlfn.CONCAT(tabE.Flux[[#This Row],[DATA]],"+",tabE.Flux[[#This Row],[LINHA]])</f>
        <v>45897+GOIANIA (GO) X BELEM (PA)</v>
      </c>
      <c r="H288" s="141">
        <v>45897</v>
      </c>
      <c r="I288" s="142" t="s">
        <v>15</v>
      </c>
      <c r="J288" s="142">
        <v>25011</v>
      </c>
      <c r="K288" s="143">
        <v>0.25486111111111109</v>
      </c>
      <c r="L288" s="143">
        <v>0.3</v>
      </c>
      <c r="M288" s="142" t="s">
        <v>16</v>
      </c>
      <c r="N288" s="142" t="s">
        <v>17</v>
      </c>
      <c r="O288" s="142" t="s">
        <v>126</v>
      </c>
      <c r="P288" s="142" t="s">
        <v>127</v>
      </c>
      <c r="Q288" s="142" t="s">
        <v>20</v>
      </c>
      <c r="R288" s="76"/>
      <c r="S288" s="76"/>
      <c r="T288" s="76"/>
      <c r="U288" s="76"/>
      <c r="V288" s="76"/>
      <c r="W288" s="76"/>
      <c r="X288" s="76"/>
      <c r="Y288" s="76"/>
    </row>
    <row r="289" spans="1:25" s="6" customFormat="1" x14ac:dyDescent="0.25">
      <c r="A289" s="101"/>
      <c r="B289" s="101"/>
      <c r="C289" s="1" t="str">
        <f>_xlfn.CONCAT(tabE.Flux[[#This Row],[DATA]],"+",tabE.Flux[[#This Row],[MOTORISTA + MATRÍCULA A]])</f>
        <v>45897+VALDIR ALVES MIRANDA - 1364</v>
      </c>
      <c r="D289" s="1" t="str">
        <f>_xlfn.CONCAT(tabE.Flux[[#This Row],[DATA]],"+",tabE.Flux[[#This Row],[MOTORISTA + MATRÍCULA B]])</f>
        <v>45897+MANOEL SEVERINO DE SOUZA - 5200</v>
      </c>
      <c r="E289" s="1" t="str">
        <f>_xlfn.CONCAT(tabE.Flux[[#This Row],[DATA]],"+",tabE.Flux[[#This Row],[MOTORISTA + MATRÍCULA A]],"+",tabE.Flux[[#This Row],[LINHA]])</f>
        <v>45897+VALDIR ALVES MIRANDA - 1364+GOIANIA (GO) X SAO LUIS (MA)</v>
      </c>
      <c r="F289" s="1" t="str">
        <f>_xlfn.CONCAT(tabE.Flux[[#This Row],[DATA]],"+",tabE.Flux[[#This Row],[MOTORISTA + MATRÍCULA B]],"+",tabE.Flux[[#This Row],[LINHA]])</f>
        <v>45897+MANOEL SEVERINO DE SOUZA - 5200+GOIANIA (GO) X SAO LUIS (MA)</v>
      </c>
      <c r="G289" s="1" t="str">
        <f>_xlfn.CONCAT(tabE.Flux[[#This Row],[DATA]],"+",tabE.Flux[[#This Row],[LINHA]])</f>
        <v>45897+GOIANIA (GO) X SAO LUIS (MA)</v>
      </c>
      <c r="H289" s="141">
        <v>45897</v>
      </c>
      <c r="I289" s="142" t="s">
        <v>15</v>
      </c>
      <c r="J289" s="142">
        <v>24001</v>
      </c>
      <c r="K289" s="143">
        <v>0.32291666666666669</v>
      </c>
      <c r="L289" s="143">
        <v>0.33333333333333331</v>
      </c>
      <c r="M289" s="142" t="s">
        <v>16</v>
      </c>
      <c r="N289" s="142" t="s">
        <v>17</v>
      </c>
      <c r="O289" s="142" t="s">
        <v>118</v>
      </c>
      <c r="P289" s="142" t="s">
        <v>119</v>
      </c>
      <c r="Q289" s="142" t="s">
        <v>23</v>
      </c>
      <c r="R289" s="76"/>
      <c r="S289" s="76"/>
      <c r="T289" s="76"/>
      <c r="U289" s="76"/>
      <c r="V289" s="76"/>
      <c r="W289" s="76"/>
      <c r="X289" s="76"/>
      <c r="Y289" s="76"/>
    </row>
    <row r="290" spans="1:25" s="6" customFormat="1" x14ac:dyDescent="0.25">
      <c r="A290" s="101"/>
      <c r="B290" s="101"/>
      <c r="C290" s="1" t="str">
        <f>_xlfn.CONCAT(tabE.Flux[[#This Row],[DATA]],"+",tabE.Flux[[#This Row],[MOTORISTA + MATRÍCULA A]])</f>
        <v>45897+MARCUS AUGUSTO DE CARVALHO - 2398</v>
      </c>
      <c r="D290" s="1" t="str">
        <f>_xlfn.CONCAT(tabE.Flux[[#This Row],[DATA]],"+",tabE.Flux[[#This Row],[MOTORISTA + MATRÍCULA B]])</f>
        <v>45897+LUIS CARLOS VIEIRA DE MELO SOUZA - 5535</v>
      </c>
      <c r="E290" s="1" t="str">
        <f>_xlfn.CONCAT(tabE.Flux[[#This Row],[DATA]],"+",tabE.Flux[[#This Row],[MOTORISTA + MATRÍCULA A]],"+",tabE.Flux[[#This Row],[LINHA]])</f>
        <v>45897+MARCUS AUGUSTO DE CARVALHO - 2398+GOIANIA (GO) X TERESINA (PI) VIA STI</v>
      </c>
      <c r="F290" s="1" t="str">
        <f>_xlfn.CONCAT(tabE.Flux[[#This Row],[DATA]],"+",tabE.Flux[[#This Row],[MOTORISTA + MATRÍCULA B]],"+",tabE.Flux[[#This Row],[LINHA]])</f>
        <v>45897+LUIS CARLOS VIEIRA DE MELO SOUZA - 5535+GOIANIA (GO) X TERESINA (PI) VIA STI</v>
      </c>
      <c r="G290" s="1" t="str">
        <f>_xlfn.CONCAT(tabE.Flux[[#This Row],[DATA]],"+",tabE.Flux[[#This Row],[LINHA]])</f>
        <v>45897+GOIANIA (GO) X TERESINA (PI) VIA STI</v>
      </c>
      <c r="H290" s="141">
        <v>45897</v>
      </c>
      <c r="I290" s="142" t="s">
        <v>15</v>
      </c>
      <c r="J290" s="142">
        <v>19018</v>
      </c>
      <c r="K290" s="143">
        <v>0.3888888888888889</v>
      </c>
      <c r="L290" s="143">
        <v>0.39583333333333331</v>
      </c>
      <c r="M290" s="142" t="s">
        <v>16</v>
      </c>
      <c r="N290" s="142" t="s">
        <v>17</v>
      </c>
      <c r="O290" s="142" t="s">
        <v>116</v>
      </c>
      <c r="P290" s="142" t="s">
        <v>117</v>
      </c>
      <c r="Q290" s="142" t="s">
        <v>26</v>
      </c>
      <c r="R290" s="76"/>
      <c r="S290" s="76"/>
      <c r="T290" s="76"/>
      <c r="U290" s="76"/>
      <c r="V290" s="76"/>
      <c r="W290" s="76"/>
      <c r="X290" s="76"/>
      <c r="Y290" s="76"/>
    </row>
    <row r="291" spans="1:25" s="6" customFormat="1" x14ac:dyDescent="0.25">
      <c r="A291" s="101"/>
      <c r="B291" s="101"/>
      <c r="C291" s="1" t="str">
        <f>_xlfn.CONCAT(tabE.Flux[[#This Row],[DATA]],"+",tabE.Flux[[#This Row],[MOTORISTA + MATRÍCULA A]])</f>
        <v>45897+CANCELADO</v>
      </c>
      <c r="D291" s="1" t="str">
        <f>_xlfn.CONCAT(tabE.Flux[[#This Row],[DATA]],"+",tabE.Flux[[#This Row],[MOTORISTA + MATRÍCULA B]])</f>
        <v>45897+CANCELADO</v>
      </c>
      <c r="E291" s="1" t="str">
        <f>_xlfn.CONCAT(tabE.Flux[[#This Row],[DATA]],"+",tabE.Flux[[#This Row],[MOTORISTA + MATRÍCULA A]],"+",tabE.Flux[[#This Row],[LINHA]])</f>
        <v>45897+CANCELADO+</v>
      </c>
      <c r="F291" s="1" t="str">
        <f>_xlfn.CONCAT(tabE.Flux[[#This Row],[DATA]],"+",tabE.Flux[[#This Row],[MOTORISTA + MATRÍCULA B]],"+",tabE.Flux[[#This Row],[LINHA]])</f>
        <v>45897+CANCELADO+</v>
      </c>
      <c r="G291" s="1" t="str">
        <f>_xlfn.CONCAT(tabE.Flux[[#This Row],[DATA]],"+",tabE.Flux[[#This Row],[LINHA]])</f>
        <v>45897+</v>
      </c>
      <c r="H291" s="141">
        <v>45897</v>
      </c>
      <c r="I291" s="142" t="s">
        <v>15</v>
      </c>
      <c r="J291" s="144" t="s">
        <v>27</v>
      </c>
      <c r="K291" s="143">
        <v>0.375</v>
      </c>
      <c r="L291" s="143">
        <v>0.41666666666666669</v>
      </c>
      <c r="M291" s="142" t="s">
        <v>16</v>
      </c>
      <c r="N291" s="142" t="s">
        <v>28</v>
      </c>
      <c r="O291" s="144" t="s">
        <v>27</v>
      </c>
      <c r="P291" s="144" t="s">
        <v>27</v>
      </c>
      <c r="Q291" s="142"/>
      <c r="R291" s="76"/>
      <c r="S291" s="76"/>
      <c r="T291" s="76"/>
      <c r="U291" s="76"/>
      <c r="V291" s="76"/>
      <c r="W291" s="76"/>
      <c r="X291" s="76"/>
      <c r="Y291" s="76"/>
    </row>
    <row r="292" spans="1:25" s="6" customFormat="1" x14ac:dyDescent="0.25">
      <c r="A292" s="101"/>
      <c r="B292" s="101"/>
      <c r="C292" s="1" t="str">
        <f>_xlfn.CONCAT(tabE.Flux[[#This Row],[DATA]],"+",tabE.Flux[[#This Row],[MOTORISTA + MATRÍCULA A]])</f>
        <v>45897+RONNE RODRIGUES DE SOUSA - 5025</v>
      </c>
      <c r="D292" s="1" t="str">
        <f>_xlfn.CONCAT(tabE.Flux[[#This Row],[DATA]],"+",tabE.Flux[[#This Row],[MOTORISTA + MATRÍCULA B]])</f>
        <v>45897+MARCOS AUGUSTO SILVA ROCHA - 5268</v>
      </c>
      <c r="E292" s="1" t="str">
        <f>_xlfn.CONCAT(tabE.Flux[[#This Row],[DATA]],"+",tabE.Flux[[#This Row],[MOTORISTA + MATRÍCULA A]],"+",tabE.Flux[[#This Row],[LINHA]])</f>
        <v>45897+RONNE RODRIGUES DE SOUSA - 5025+FORTALEZA (CE) X SINOP (MT)</v>
      </c>
      <c r="F292" s="1" t="str">
        <f>_xlfn.CONCAT(tabE.Flux[[#This Row],[DATA]],"+",tabE.Flux[[#This Row],[MOTORISTA + MATRÍCULA B]],"+",tabE.Flux[[#This Row],[LINHA]])</f>
        <v>45897+MARCOS AUGUSTO SILVA ROCHA - 5268+FORTALEZA (CE) X SINOP (MT)</v>
      </c>
      <c r="G292" s="1" t="str">
        <f>_xlfn.CONCAT(tabE.Flux[[#This Row],[DATA]],"+",tabE.Flux[[#This Row],[LINHA]])</f>
        <v>45897+FORTALEZA (CE) X SINOP (MT)</v>
      </c>
      <c r="H292" s="141">
        <v>45897</v>
      </c>
      <c r="I292" s="142" t="s">
        <v>15</v>
      </c>
      <c r="J292" s="142">
        <v>19003</v>
      </c>
      <c r="K292" s="143">
        <v>0.3888888888888889</v>
      </c>
      <c r="L292" s="143">
        <v>0.37708333333333333</v>
      </c>
      <c r="M292" s="142" t="s">
        <v>16</v>
      </c>
      <c r="N292" s="142" t="s">
        <v>29</v>
      </c>
      <c r="O292" s="142" t="s">
        <v>85</v>
      </c>
      <c r="P292" s="142" t="s">
        <v>221</v>
      </c>
      <c r="Q292" s="142" t="s">
        <v>32</v>
      </c>
      <c r="R292" s="76"/>
      <c r="S292" s="76"/>
      <c r="T292" s="76"/>
      <c r="U292" s="76"/>
      <c r="V292" s="76"/>
      <c r="W292" s="76"/>
      <c r="X292" s="76"/>
      <c r="Y292" s="76"/>
    </row>
    <row r="293" spans="1:25" s="6" customFormat="1" x14ac:dyDescent="0.25">
      <c r="A293" s="101"/>
      <c r="B293" s="101"/>
      <c r="C293" s="1" t="str">
        <f>_xlfn.CONCAT(tabE.Flux[[#This Row],[DATA]],"+",tabE.Flux[[#This Row],[MOTORISTA + MATRÍCULA A]])</f>
        <v>45897+JOAO DE JESUS GOUVEIA - 6016</v>
      </c>
      <c r="D293" s="1" t="str">
        <f>_xlfn.CONCAT(tabE.Flux[[#This Row],[DATA]],"+",tabE.Flux[[#This Row],[MOTORISTA + MATRÍCULA B]])</f>
        <v>45897+CLODOALDO PEREIRA DE LIMA - 4067</v>
      </c>
      <c r="E293" s="1" t="str">
        <f>_xlfn.CONCAT(tabE.Flux[[#This Row],[DATA]],"+",tabE.Flux[[#This Row],[MOTORISTA + MATRÍCULA A]],"+",tabE.Flux[[#This Row],[LINHA]])</f>
        <v>45897+JOAO DE JESUS GOUVEIA - 6016+GOIANIA (GO) X BELEM (PA)</v>
      </c>
      <c r="F293" s="1" t="str">
        <f>_xlfn.CONCAT(tabE.Flux[[#This Row],[DATA]],"+",tabE.Flux[[#This Row],[MOTORISTA + MATRÍCULA B]],"+",tabE.Flux[[#This Row],[LINHA]])</f>
        <v>45897+CLODOALDO PEREIRA DE LIMA - 4067+GOIANIA (GO) X BELEM (PA)</v>
      </c>
      <c r="G293" s="1" t="str">
        <f>_xlfn.CONCAT(tabE.Flux[[#This Row],[DATA]],"+",tabE.Flux[[#This Row],[LINHA]])</f>
        <v>45897+GOIANIA (GO) X BELEM (PA)</v>
      </c>
      <c r="H293" s="141">
        <v>45897</v>
      </c>
      <c r="I293" s="142" t="s">
        <v>15</v>
      </c>
      <c r="J293" s="142">
        <v>19023</v>
      </c>
      <c r="K293" s="143">
        <v>0.38958333333333334</v>
      </c>
      <c r="L293" s="143">
        <v>0.38541666666666669</v>
      </c>
      <c r="M293" s="142" t="s">
        <v>16</v>
      </c>
      <c r="N293" s="142" t="s">
        <v>33</v>
      </c>
      <c r="O293" s="142" t="s">
        <v>58</v>
      </c>
      <c r="P293" s="142" t="s">
        <v>109</v>
      </c>
      <c r="Q293" s="142" t="s">
        <v>20</v>
      </c>
      <c r="R293" s="76"/>
      <c r="S293" s="76"/>
      <c r="T293" s="76"/>
      <c r="U293" s="76"/>
      <c r="V293" s="76"/>
      <c r="W293" s="76"/>
      <c r="X293" s="76"/>
      <c r="Y293" s="76"/>
    </row>
    <row r="294" spans="1:25" s="6" customFormat="1" x14ac:dyDescent="0.25">
      <c r="A294" s="101"/>
      <c r="B294" s="101"/>
      <c r="C294" s="1" t="str">
        <f>_xlfn.CONCAT(tabE.Flux[[#This Row],[DATA]],"+",tabE.Flux[[#This Row],[MOTORISTA + MATRÍCULA A]])</f>
        <v>45897+JWEBISON DE BRITO SOUZA - 2999</v>
      </c>
      <c r="D294" s="1" t="str">
        <f>_xlfn.CONCAT(tabE.Flux[[#This Row],[DATA]],"+",tabE.Flux[[#This Row],[MOTORISTA + MATRÍCULA B]])</f>
        <v>45897+JOAO FLAVIO DE SOUSA SILVA - 5270</v>
      </c>
      <c r="E294" s="1" t="str">
        <f>_xlfn.CONCAT(tabE.Flux[[#This Row],[DATA]],"+",tabE.Flux[[#This Row],[MOTORISTA + MATRÍCULA A]],"+",tabE.Flux[[#This Row],[LINHA]])</f>
        <v>45897+JWEBISON DE BRITO SOUZA - 2999+GOIANIA (GO) X TERESINA (PI) VIA BC</v>
      </c>
      <c r="F294" s="1" t="str">
        <f>_xlfn.CONCAT(tabE.Flux[[#This Row],[DATA]],"+",tabE.Flux[[#This Row],[MOTORISTA + MATRÍCULA B]],"+",tabE.Flux[[#This Row],[LINHA]])</f>
        <v>45897+JOAO FLAVIO DE SOUSA SILVA - 5270+GOIANIA (GO) X TERESINA (PI) VIA BC</v>
      </c>
      <c r="G294" s="1" t="str">
        <f>_xlfn.CONCAT(tabE.Flux[[#This Row],[DATA]],"+",tabE.Flux[[#This Row],[LINHA]])</f>
        <v>45897+GOIANIA (GO) X TERESINA (PI) VIA BC</v>
      </c>
      <c r="H294" s="141">
        <v>45897</v>
      </c>
      <c r="I294" s="142" t="s">
        <v>15</v>
      </c>
      <c r="J294" s="142">
        <v>25010</v>
      </c>
      <c r="K294" s="143">
        <v>0.375</v>
      </c>
      <c r="L294" s="143">
        <v>0.39930555555555558</v>
      </c>
      <c r="M294" s="142" t="s">
        <v>36</v>
      </c>
      <c r="N294" s="142" t="s">
        <v>29</v>
      </c>
      <c r="O294" s="142" t="s">
        <v>77</v>
      </c>
      <c r="P294" s="142" t="s">
        <v>222</v>
      </c>
      <c r="Q294" s="142" t="s">
        <v>39</v>
      </c>
      <c r="R294" s="76"/>
      <c r="S294" s="76"/>
      <c r="T294" s="76"/>
      <c r="U294" s="76"/>
      <c r="V294" s="76"/>
      <c r="W294" s="76"/>
      <c r="X294" s="76"/>
      <c r="Y294" s="76"/>
    </row>
    <row r="295" spans="1:25" s="6" customFormat="1" x14ac:dyDescent="0.25">
      <c r="A295" s="101"/>
      <c r="B295" s="101"/>
      <c r="C295" s="1" t="str">
        <f>_xlfn.CONCAT(tabE.Flux[[#This Row],[DATA]],"+",tabE.Flux[[#This Row],[MOTORISTA + MATRÍCULA A]])</f>
        <v>45897+MARCOS ATAIDE SILVA - 1352</v>
      </c>
      <c r="D295" s="1" t="str">
        <f>_xlfn.CONCAT(tabE.Flux[[#This Row],[DATA]],"+",tabE.Flux[[#This Row],[MOTORISTA + MATRÍCULA B]])</f>
        <v>45897+JARDEL DE SOUSA OLIVEIRA - 5992</v>
      </c>
      <c r="E295" s="1" t="str">
        <f>_xlfn.CONCAT(tabE.Flux[[#This Row],[DATA]],"+",tabE.Flux[[#This Row],[MOTORISTA + MATRÍCULA A]],"+",tabE.Flux[[#This Row],[LINHA]])</f>
        <v>45897+MARCOS ATAIDE SILVA - 1352+GOIANIA (GO) X BELEM (PA)</v>
      </c>
      <c r="F295" s="1" t="str">
        <f>_xlfn.CONCAT(tabE.Flux[[#This Row],[DATA]],"+",tabE.Flux[[#This Row],[MOTORISTA + MATRÍCULA B]],"+",tabE.Flux[[#This Row],[LINHA]])</f>
        <v>45897+JARDEL DE SOUSA OLIVEIRA - 5992+GOIANIA (GO) X BELEM (PA)</v>
      </c>
      <c r="G295" s="1" t="str">
        <f>_xlfn.CONCAT(tabE.Flux[[#This Row],[DATA]],"+",tabE.Flux[[#This Row],[LINHA]])</f>
        <v>45897+GOIANIA (GO) X BELEM (PA)</v>
      </c>
      <c r="H295" s="141">
        <v>45897</v>
      </c>
      <c r="I295" s="142" t="s">
        <v>15</v>
      </c>
      <c r="J295" s="142">
        <v>19016</v>
      </c>
      <c r="K295" s="143">
        <v>0.375</v>
      </c>
      <c r="L295" s="143">
        <v>0.41666666666666669</v>
      </c>
      <c r="M295" s="142" t="s">
        <v>33</v>
      </c>
      <c r="N295" s="142" t="s">
        <v>16</v>
      </c>
      <c r="O295" s="142" t="s">
        <v>113</v>
      </c>
      <c r="P295" s="142" t="s">
        <v>150</v>
      </c>
      <c r="Q295" s="142" t="s">
        <v>20</v>
      </c>
      <c r="R295" s="76"/>
      <c r="S295" s="76"/>
      <c r="T295" s="76"/>
      <c r="U295" s="76"/>
      <c r="V295" s="76"/>
      <c r="W295" s="76"/>
      <c r="X295" s="76"/>
      <c r="Y295" s="76"/>
    </row>
    <row r="296" spans="1:25" s="6" customFormat="1" x14ac:dyDescent="0.25">
      <c r="A296" s="101"/>
      <c r="B296" s="101"/>
      <c r="C296" s="1" t="str">
        <f>_xlfn.CONCAT(tabE.Flux[[#This Row],[DATA]],"+",tabE.Flux[[#This Row],[MOTORISTA + MATRÍCULA A]])</f>
        <v>45897+EDIVALDO DE ARAUJO - 6217</v>
      </c>
      <c r="D296" s="1" t="str">
        <f>_xlfn.CONCAT(tabE.Flux[[#This Row],[DATA]],"+",tabE.Flux[[#This Row],[MOTORISTA + MATRÍCULA B]])</f>
        <v>45897+ANTONIO RAMIRO WEBER - 5452</v>
      </c>
      <c r="E296" s="1" t="str">
        <f>_xlfn.CONCAT(tabE.Flux[[#This Row],[DATA]],"+",tabE.Flux[[#This Row],[MOTORISTA + MATRÍCULA A]],"+",tabE.Flux[[#This Row],[LINHA]])</f>
        <v>45897+EDIVALDO DE ARAUJO - 6217+GOIANIA (GO) X SAO LUIS (MA)</v>
      </c>
      <c r="F296" s="1" t="str">
        <f>_xlfn.CONCAT(tabE.Flux[[#This Row],[DATA]],"+",tabE.Flux[[#This Row],[MOTORISTA + MATRÍCULA B]],"+",tabE.Flux[[#This Row],[LINHA]])</f>
        <v>45897+ANTONIO RAMIRO WEBER - 5452+GOIANIA (GO) X SAO LUIS (MA)</v>
      </c>
      <c r="G296" s="1" t="str">
        <f>_xlfn.CONCAT(tabE.Flux[[#This Row],[DATA]],"+",tabE.Flux[[#This Row],[LINHA]])</f>
        <v>45897+GOIANIA (GO) X SAO LUIS (MA)</v>
      </c>
      <c r="H296" s="141">
        <v>45897</v>
      </c>
      <c r="I296" s="142" t="s">
        <v>15</v>
      </c>
      <c r="J296" s="142">
        <v>19006</v>
      </c>
      <c r="K296" s="143">
        <v>0.25</v>
      </c>
      <c r="L296" s="143">
        <v>0.29166666666666669</v>
      </c>
      <c r="M296" s="142" t="s">
        <v>42</v>
      </c>
      <c r="N296" s="142" t="s">
        <v>16</v>
      </c>
      <c r="O296" s="142" t="s">
        <v>55</v>
      </c>
      <c r="P296" s="142" t="s">
        <v>79</v>
      </c>
      <c r="Q296" s="142" t="s">
        <v>23</v>
      </c>
      <c r="R296" s="76"/>
      <c r="S296" s="76"/>
      <c r="T296" s="76"/>
      <c r="U296" s="76"/>
      <c r="V296" s="76"/>
      <c r="W296" s="76"/>
      <c r="X296" s="76"/>
      <c r="Y296" s="76"/>
    </row>
    <row r="297" spans="1:25" s="6" customFormat="1" x14ac:dyDescent="0.25">
      <c r="A297" s="101"/>
      <c r="B297" s="101"/>
      <c r="C297" s="1" t="str">
        <f>_xlfn.CONCAT(tabE.Flux[[#This Row],[DATA]],"+",tabE.Flux[[#This Row],[MOTORISTA + MATRÍCULA A]])</f>
        <v>45897+KAYLSON KLEYTON DA SILVA COSTA - 6224</v>
      </c>
      <c r="D297" s="1" t="str">
        <f>_xlfn.CONCAT(tabE.Flux[[#This Row],[DATA]],"+",tabE.Flux[[#This Row],[MOTORISTA + MATRÍCULA B]])</f>
        <v>45897+ELIEZIO JOSE DOS SANTOS - 2645</v>
      </c>
      <c r="E297" s="1" t="str">
        <f>_xlfn.CONCAT(tabE.Flux[[#This Row],[DATA]],"+",tabE.Flux[[#This Row],[MOTORISTA + MATRÍCULA A]],"+",tabE.Flux[[#This Row],[LINHA]])</f>
        <v>45897+KAYLSON KLEYTON DA SILVA COSTA - 6224+GOIANIA (GO) X SAO LUIS (MA)</v>
      </c>
      <c r="F297" s="1" t="str">
        <f>_xlfn.CONCAT(tabE.Flux[[#This Row],[DATA]],"+",tabE.Flux[[#This Row],[MOTORISTA + MATRÍCULA B]],"+",tabE.Flux[[#This Row],[LINHA]])</f>
        <v>45897+ELIEZIO JOSE DOS SANTOS - 2645+GOIANIA (GO) X SAO LUIS (MA)</v>
      </c>
      <c r="G297" s="1" t="str">
        <f>_xlfn.CONCAT(tabE.Flux[[#This Row],[DATA]],"+",tabE.Flux[[#This Row],[LINHA]])</f>
        <v>45897+GOIANIA (GO) X SAO LUIS (MA)</v>
      </c>
      <c r="H297" s="141">
        <v>45897</v>
      </c>
      <c r="I297" s="142" t="s">
        <v>15</v>
      </c>
      <c r="J297" s="142">
        <v>25006</v>
      </c>
      <c r="K297" s="143">
        <v>0.75</v>
      </c>
      <c r="L297" s="143">
        <v>0.79166666666666663</v>
      </c>
      <c r="M297" s="142" t="s">
        <v>42</v>
      </c>
      <c r="N297" s="142" t="s">
        <v>16</v>
      </c>
      <c r="O297" s="142" t="s">
        <v>80</v>
      </c>
      <c r="P297" s="142" t="s">
        <v>53</v>
      </c>
      <c r="Q297" s="142" t="s">
        <v>23</v>
      </c>
      <c r="R297" s="76"/>
      <c r="S297" s="76"/>
      <c r="T297" s="76"/>
      <c r="U297" s="76"/>
      <c r="V297" s="76"/>
      <c r="W297" s="76"/>
      <c r="X297" s="76"/>
      <c r="Y297" s="76"/>
    </row>
    <row r="298" spans="1:25" s="6" customFormat="1" x14ac:dyDescent="0.25">
      <c r="A298" s="101"/>
      <c r="B298" s="101"/>
      <c r="C298" s="1" t="str">
        <f>_xlfn.CONCAT(tabE.Flux[[#This Row],[DATA]],"+",tabE.Flux[[#This Row],[MOTORISTA + MATRÍCULA A]])</f>
        <v>45897+CANCELADO</v>
      </c>
      <c r="D298" s="1" t="str">
        <f>_xlfn.CONCAT(tabE.Flux[[#This Row],[DATA]],"+",tabE.Flux[[#This Row],[MOTORISTA + MATRÍCULA B]])</f>
        <v>45897+CANCELADO</v>
      </c>
      <c r="E298" s="1" t="str">
        <f>_xlfn.CONCAT(tabE.Flux[[#This Row],[DATA]],"+",tabE.Flux[[#This Row],[MOTORISTA + MATRÍCULA A]],"+",tabE.Flux[[#This Row],[LINHA]])</f>
        <v>45897+CANCELADO+IMPERATRIZ (MA) X SÃO LUIS (MA)</v>
      </c>
      <c r="F298" s="1" t="str">
        <f>_xlfn.CONCAT(tabE.Flux[[#This Row],[DATA]],"+",tabE.Flux[[#This Row],[MOTORISTA + MATRÍCULA B]],"+",tabE.Flux[[#This Row],[LINHA]])</f>
        <v>45897+CANCELADO+IMPERATRIZ (MA) X SÃO LUIS (MA)</v>
      </c>
      <c r="G298" s="1" t="str">
        <f>_xlfn.CONCAT(tabE.Flux[[#This Row],[DATA]],"+",tabE.Flux[[#This Row],[LINHA]])</f>
        <v>45897+IMPERATRIZ (MA) X SÃO LUIS (MA)</v>
      </c>
      <c r="H298" s="141">
        <v>45897</v>
      </c>
      <c r="I298" s="142" t="s">
        <v>15</v>
      </c>
      <c r="J298" s="144" t="s">
        <v>27</v>
      </c>
      <c r="K298" s="143">
        <v>0.77083333333333337</v>
      </c>
      <c r="L298" s="143">
        <v>0.79513888888888884</v>
      </c>
      <c r="M298" s="142" t="s">
        <v>42</v>
      </c>
      <c r="N298" s="142" t="s">
        <v>16</v>
      </c>
      <c r="O298" s="144" t="s">
        <v>27</v>
      </c>
      <c r="P298" s="144" t="s">
        <v>27</v>
      </c>
      <c r="Q298" s="142" t="s">
        <v>47</v>
      </c>
      <c r="R298" s="76"/>
      <c r="S298" s="76"/>
      <c r="T298" s="76"/>
      <c r="U298" s="76"/>
      <c r="V298" s="76"/>
      <c r="W298" s="76"/>
      <c r="X298" s="76"/>
      <c r="Y298" s="76"/>
    </row>
    <row r="299" spans="1:25" s="6" customFormat="1" x14ac:dyDescent="0.25">
      <c r="A299" s="101"/>
      <c r="B299" s="101"/>
      <c r="C299" s="1" t="str">
        <f>_xlfn.CONCAT(tabE.Flux[[#This Row],[DATA]],"+",tabE.Flux[[#This Row],[MOTORISTA + MATRÍCULA A]])</f>
        <v>45897+EURIPEDES BORGES DOS SANTOS - 5017</v>
      </c>
      <c r="D299" s="1" t="str">
        <f>_xlfn.CONCAT(tabE.Flux[[#This Row],[DATA]],"+",tabE.Flux[[#This Row],[MOTORISTA + MATRÍCULA B]])</f>
        <v>45897+SANDRO CARLOS DE SOUSA - 5181</v>
      </c>
      <c r="E299" s="1" t="str">
        <f>_xlfn.CONCAT(tabE.Flux[[#This Row],[DATA]],"+",tabE.Flux[[#This Row],[MOTORISTA + MATRÍCULA A]],"+",tabE.Flux[[#This Row],[LINHA]])</f>
        <v>45897+EURIPEDES BORGES DOS SANTOS - 5017+GOIANIA (GO) X TERESINA (PI) VIA BC</v>
      </c>
      <c r="F299" s="1" t="str">
        <f>_xlfn.CONCAT(tabE.Flux[[#This Row],[DATA]],"+",tabE.Flux[[#This Row],[MOTORISTA + MATRÍCULA B]],"+",tabE.Flux[[#This Row],[LINHA]])</f>
        <v>45897+SANDRO CARLOS DE SOUSA - 5181+GOIANIA (GO) X TERESINA (PI) VIA BC</v>
      </c>
      <c r="G299" s="1" t="str">
        <f>_xlfn.CONCAT(tabE.Flux[[#This Row],[DATA]],"+",tabE.Flux[[#This Row],[LINHA]])</f>
        <v>45897+GOIANIA (GO) X TERESINA (PI) VIA BC</v>
      </c>
      <c r="H299" s="141">
        <v>45897</v>
      </c>
      <c r="I299" s="142" t="s">
        <v>15</v>
      </c>
      <c r="J299" s="142">
        <v>25008</v>
      </c>
      <c r="K299" s="143">
        <v>0.89583333333333337</v>
      </c>
      <c r="L299" s="143">
        <v>0.91666666666666663</v>
      </c>
      <c r="M299" s="142" t="s">
        <v>36</v>
      </c>
      <c r="N299" s="142" t="s">
        <v>17</v>
      </c>
      <c r="O299" s="142" t="s">
        <v>121</v>
      </c>
      <c r="P299" s="142" t="s">
        <v>120</v>
      </c>
      <c r="Q299" s="142" t="s">
        <v>39</v>
      </c>
      <c r="R299" s="76"/>
      <c r="S299" s="76"/>
      <c r="T299" s="76"/>
      <c r="U299" s="76"/>
      <c r="V299" s="76"/>
      <c r="W299" s="76"/>
      <c r="X299" s="76"/>
      <c r="Y299" s="76"/>
    </row>
    <row r="300" spans="1:25" s="6" customFormat="1" x14ac:dyDescent="0.25">
      <c r="A300" s="101"/>
      <c r="B300" s="101"/>
      <c r="C300" s="1" t="str">
        <f>_xlfn.CONCAT(tabE.Flux[[#This Row],[DATA]],"+",tabE.Flux[[#This Row],[MOTORISTA + MATRÍCULA A]])</f>
        <v>45897+REINAN JOSE BORGES SOUSA - 1075</v>
      </c>
      <c r="D300" s="1" t="str">
        <f>_xlfn.CONCAT(tabE.Flux[[#This Row],[DATA]],"+",tabE.Flux[[#This Row],[MOTORISTA + MATRÍCULA B]])</f>
        <v>45897+JOSE CARLOS BEZERRA DA SILVA - 3034</v>
      </c>
      <c r="E300" s="1" t="str">
        <f>_xlfn.CONCAT(tabE.Flux[[#This Row],[DATA]],"+",tabE.Flux[[#This Row],[MOTORISTA + MATRÍCULA A]],"+",tabE.Flux[[#This Row],[LINHA]])</f>
        <v>45897+REINAN JOSE BORGES SOUSA - 1075+GOIANIA (GO) X BELEM (PA)</v>
      </c>
      <c r="F300" s="1" t="str">
        <f>_xlfn.CONCAT(tabE.Flux[[#This Row],[DATA]],"+",tabE.Flux[[#This Row],[MOTORISTA + MATRÍCULA B]],"+",tabE.Flux[[#This Row],[LINHA]])</f>
        <v>45897+JOSE CARLOS BEZERRA DA SILVA - 3034+GOIANIA (GO) X BELEM (PA)</v>
      </c>
      <c r="G300" s="1" t="str">
        <f>_xlfn.CONCAT(tabE.Flux[[#This Row],[DATA]],"+",tabE.Flux[[#This Row],[LINHA]])</f>
        <v>45897+GOIANIA (GO) X BELEM (PA)</v>
      </c>
      <c r="H300" s="141">
        <v>45897</v>
      </c>
      <c r="I300" s="142" t="s">
        <v>15</v>
      </c>
      <c r="J300" s="142">
        <v>24003</v>
      </c>
      <c r="K300" s="143">
        <v>0.76041666666666663</v>
      </c>
      <c r="L300" s="143">
        <v>0.77083333333333337</v>
      </c>
      <c r="M300" s="142" t="s">
        <v>33</v>
      </c>
      <c r="N300" s="142" t="s">
        <v>16</v>
      </c>
      <c r="O300" s="142" t="s">
        <v>84</v>
      </c>
      <c r="P300" s="142" t="s">
        <v>76</v>
      </c>
      <c r="Q300" s="142" t="s">
        <v>20</v>
      </c>
      <c r="R300" s="76"/>
      <c r="S300" s="76"/>
      <c r="T300" s="76"/>
      <c r="U300" s="76"/>
      <c r="V300" s="76"/>
      <c r="W300" s="76"/>
      <c r="X300" s="76"/>
      <c r="Y300" s="76"/>
    </row>
    <row r="301" spans="1:25" s="6" customFormat="1" x14ac:dyDescent="0.25">
      <c r="A301" s="101"/>
      <c r="B301" s="101"/>
      <c r="C301" s="1" t="str">
        <f>_xlfn.CONCAT(tabE.Flux[[#This Row],[DATA]],"+",tabE.Flux[[#This Row],[MOTORISTA + MATRÍCULA A]])</f>
        <v>45897+FRANCISCO BATISTA DE LIMA - 1827</v>
      </c>
      <c r="D301" s="1" t="str">
        <f>_xlfn.CONCAT(tabE.Flux[[#This Row],[DATA]],"+",tabE.Flux[[#This Row],[MOTORISTA + MATRÍCULA B]])</f>
        <v>45897+ADEMILTON DE OLIVEIRA SILVA - 5559</v>
      </c>
      <c r="E301" s="1" t="str">
        <f>_xlfn.CONCAT(tabE.Flux[[#This Row],[DATA]],"+",tabE.Flux[[#This Row],[MOTORISTA + MATRÍCULA A]],"+",tabE.Flux[[#This Row],[LINHA]])</f>
        <v>45897+FRANCISCO BATISTA DE LIMA - 1827+GOIANIA (GO) X BELEM (PA)</v>
      </c>
      <c r="F301" s="1" t="str">
        <f>_xlfn.CONCAT(tabE.Flux[[#This Row],[DATA]],"+",tabE.Flux[[#This Row],[MOTORISTA + MATRÍCULA B]],"+",tabE.Flux[[#This Row],[LINHA]])</f>
        <v>45897+ADEMILTON DE OLIVEIRA SILVA - 5559+GOIANIA (GO) X BELEM (PA)</v>
      </c>
      <c r="G301" s="1" t="str">
        <f>_xlfn.CONCAT(tabE.Flux[[#This Row],[DATA]],"+",tabE.Flux[[#This Row],[LINHA]])</f>
        <v>45897+GOIANIA (GO) X BELEM (PA)</v>
      </c>
      <c r="H301" s="141">
        <v>45897</v>
      </c>
      <c r="I301" s="142" t="s">
        <v>15</v>
      </c>
      <c r="J301" s="142">
        <v>24005</v>
      </c>
      <c r="K301" s="143">
        <v>0.76041666666666663</v>
      </c>
      <c r="L301" s="143">
        <v>0.82777777777777772</v>
      </c>
      <c r="M301" s="142" t="s">
        <v>16</v>
      </c>
      <c r="N301" s="142" t="s">
        <v>33</v>
      </c>
      <c r="O301" s="142" t="s">
        <v>128</v>
      </c>
      <c r="P301" s="142" t="s">
        <v>40</v>
      </c>
      <c r="Q301" s="142" t="s">
        <v>20</v>
      </c>
      <c r="R301" s="76"/>
      <c r="S301" s="76"/>
      <c r="T301" s="76"/>
      <c r="U301" s="76"/>
      <c r="V301" s="76"/>
      <c r="W301" s="76"/>
      <c r="X301" s="76"/>
      <c r="Y301" s="76"/>
    </row>
    <row r="302" spans="1:25" s="6" customFormat="1" x14ac:dyDescent="0.25">
      <c r="A302" s="101"/>
      <c r="B302" s="101"/>
      <c r="C302" s="1" t="str">
        <f>_xlfn.CONCAT(tabE.Flux[[#This Row],[DATA]],"+",tabE.Flux[[#This Row],[MOTORISTA + MATRÍCULA A]])</f>
        <v>45897+KLEBER OLIVEIRA LIMA - 5849</v>
      </c>
      <c r="D302" s="1" t="str">
        <f>_xlfn.CONCAT(tabE.Flux[[#This Row],[DATA]],"+",tabE.Flux[[#This Row],[MOTORISTA + MATRÍCULA B]])</f>
        <v>45897+LAUCEANDO DA SILVA ROCHA - 6220</v>
      </c>
      <c r="E302" s="1" t="str">
        <f>_xlfn.CONCAT(tabE.Flux[[#This Row],[DATA]],"+",tabE.Flux[[#This Row],[MOTORISTA + MATRÍCULA A]],"+",tabE.Flux[[#This Row],[LINHA]])</f>
        <v>45897+KLEBER OLIVEIRA LIMA - 5849+GOIANIA (GO) X SAO LUIS (MA)</v>
      </c>
      <c r="F302" s="1" t="str">
        <f>_xlfn.CONCAT(tabE.Flux[[#This Row],[DATA]],"+",tabE.Flux[[#This Row],[MOTORISTA + MATRÍCULA B]],"+",tabE.Flux[[#This Row],[LINHA]])</f>
        <v>45897+LAUCEANDO DA SILVA ROCHA - 6220+GOIANIA (GO) X SAO LUIS (MA)</v>
      </c>
      <c r="G302" s="1" t="str">
        <f>_xlfn.CONCAT(tabE.Flux[[#This Row],[DATA]],"+",tabE.Flux[[#This Row],[LINHA]])</f>
        <v>45897+GOIANIA (GO) X SAO LUIS (MA)</v>
      </c>
      <c r="H302" s="141">
        <v>45897</v>
      </c>
      <c r="I302" s="142" t="s">
        <v>15</v>
      </c>
      <c r="J302" s="142">
        <v>19013</v>
      </c>
      <c r="K302" s="143">
        <v>0.40763888888888888</v>
      </c>
      <c r="L302" s="143">
        <v>0.47013888888888888</v>
      </c>
      <c r="M302" s="142" t="s">
        <v>16</v>
      </c>
      <c r="N302" s="142" t="s">
        <v>42</v>
      </c>
      <c r="O302" s="142" t="s">
        <v>102</v>
      </c>
      <c r="P302" s="142" t="s">
        <v>86</v>
      </c>
      <c r="Q302" s="142" t="s">
        <v>23</v>
      </c>
      <c r="R302" s="76"/>
      <c r="S302" s="76"/>
      <c r="T302" s="76"/>
      <c r="U302" s="76"/>
      <c r="V302" s="76"/>
      <c r="W302" s="76"/>
      <c r="X302" s="76"/>
      <c r="Y302" s="76"/>
    </row>
    <row r="303" spans="1:25" s="6" customFormat="1" x14ac:dyDescent="0.25">
      <c r="A303" s="101"/>
      <c r="B303" s="101"/>
      <c r="C303" s="1" t="str">
        <f>_xlfn.CONCAT(tabE.Flux[[#This Row],[DATA]],"+",tabE.Flux[[#This Row],[MOTORISTA + MATRÍCULA A]])</f>
        <v>45897+CANCELADO</v>
      </c>
      <c r="D303" s="1" t="str">
        <f>_xlfn.CONCAT(tabE.Flux[[#This Row],[DATA]],"+",tabE.Flux[[#This Row],[MOTORISTA + MATRÍCULA B]])</f>
        <v>45897+CANCELADO</v>
      </c>
      <c r="E303" s="1" t="str">
        <f>_xlfn.CONCAT(tabE.Flux[[#This Row],[DATA]],"+",tabE.Flux[[#This Row],[MOTORISTA + MATRÍCULA A]],"+",tabE.Flux[[#This Row],[LINHA]])</f>
        <v>45897+CANCELADO+IMPERATRIZ (MA) X SÃO LUIS (MA)</v>
      </c>
      <c r="F303" s="1" t="str">
        <f>_xlfn.CONCAT(tabE.Flux[[#This Row],[DATA]],"+",tabE.Flux[[#This Row],[MOTORISTA + MATRÍCULA B]],"+",tabE.Flux[[#This Row],[LINHA]])</f>
        <v>45897+CANCELADO+IMPERATRIZ (MA) X SÃO LUIS (MA)</v>
      </c>
      <c r="G303" s="1" t="str">
        <f>_xlfn.CONCAT(tabE.Flux[[#This Row],[DATA]],"+",tabE.Flux[[#This Row],[LINHA]])</f>
        <v>45897+IMPERATRIZ (MA) X SÃO LUIS (MA)</v>
      </c>
      <c r="H303" s="141">
        <v>45897</v>
      </c>
      <c r="I303" s="142" t="s">
        <v>15</v>
      </c>
      <c r="J303" s="144" t="s">
        <v>27</v>
      </c>
      <c r="K303" s="143">
        <v>0.77083333333333337</v>
      </c>
      <c r="L303" s="143">
        <v>0.8125</v>
      </c>
      <c r="M303" s="142" t="s">
        <v>16</v>
      </c>
      <c r="N303" s="142" t="s">
        <v>42</v>
      </c>
      <c r="O303" s="144" t="s">
        <v>27</v>
      </c>
      <c r="P303" s="144" t="s">
        <v>27</v>
      </c>
      <c r="Q303" s="142" t="s">
        <v>47</v>
      </c>
      <c r="R303" s="76"/>
      <c r="S303" s="76"/>
      <c r="T303" s="76"/>
      <c r="U303" s="76"/>
      <c r="V303" s="76"/>
      <c r="W303" s="76"/>
      <c r="X303" s="76"/>
      <c r="Y303" s="76"/>
    </row>
    <row r="304" spans="1:25" s="6" customFormat="1" x14ac:dyDescent="0.25">
      <c r="A304" s="101"/>
      <c r="B304" s="101"/>
      <c r="C304" s="1" t="str">
        <f>_xlfn.CONCAT(tabE.Flux[[#This Row],[DATA]],"+",tabE.Flux[[#This Row],[MOTORISTA + MATRÍCULA A]])</f>
        <v>45897+ANTONIO MARQUES NETO DOS SANTOS - 1738</v>
      </c>
      <c r="D304" s="1" t="str">
        <f>_xlfn.CONCAT(tabE.Flux[[#This Row],[DATA]],"+",tabE.Flux[[#This Row],[MOTORISTA + MATRÍCULA B]])</f>
        <v>45897+EDIVALDO DE ARAUJO - 6217</v>
      </c>
      <c r="E304" s="1" t="str">
        <f>_xlfn.CONCAT(tabE.Flux[[#This Row],[DATA]],"+",tabE.Flux[[#This Row],[MOTORISTA + MATRÍCULA A]],"+",tabE.Flux[[#This Row],[LINHA]])</f>
        <v>45897+ANTONIO MARQUES NETO DOS SANTOS - 1738+GOIANIA (GO) X SAO LUIS (MA)</v>
      </c>
      <c r="F304" s="1" t="str">
        <f>_xlfn.CONCAT(tabE.Flux[[#This Row],[DATA]],"+",tabE.Flux[[#This Row],[MOTORISTA + MATRÍCULA B]],"+",tabE.Flux[[#This Row],[LINHA]])</f>
        <v>45897+EDIVALDO DE ARAUJO - 6217+GOIANIA (GO) X SAO LUIS (MA)</v>
      </c>
      <c r="G304" s="1" t="str">
        <f>_xlfn.CONCAT(tabE.Flux[[#This Row],[DATA]],"+",tabE.Flux[[#This Row],[LINHA]])</f>
        <v>45897+GOIANIA (GO) X SAO LUIS (MA)</v>
      </c>
      <c r="H304" s="141">
        <v>45897</v>
      </c>
      <c r="I304" s="142" t="s">
        <v>15</v>
      </c>
      <c r="J304" s="142">
        <v>24004</v>
      </c>
      <c r="K304" s="143">
        <v>0.8125</v>
      </c>
      <c r="L304" s="143">
        <v>0.84375</v>
      </c>
      <c r="M304" s="142" t="s">
        <v>16</v>
      </c>
      <c r="N304" s="142" t="s">
        <v>42</v>
      </c>
      <c r="O304" s="142" t="s">
        <v>73</v>
      </c>
      <c r="P304" s="142" t="s">
        <v>55</v>
      </c>
      <c r="Q304" s="142" t="s">
        <v>23</v>
      </c>
      <c r="R304" s="76"/>
      <c r="S304" s="76"/>
      <c r="T304" s="76"/>
      <c r="U304" s="76"/>
      <c r="V304" s="76"/>
      <c r="W304" s="76"/>
      <c r="X304" s="76"/>
      <c r="Y304" s="76"/>
    </row>
    <row r="305" spans="1:25" s="6" customFormat="1" x14ac:dyDescent="0.25">
      <c r="A305" s="101"/>
      <c r="B305" s="101"/>
      <c r="C305" s="1" t="str">
        <f>_xlfn.CONCAT(tabE.Flux[[#This Row],[DATA]],"+",tabE.Flux[[#This Row],[MOTORISTA + MATRÍCULA A]])</f>
        <v>45897+JERZUALDO DA SILVA GOMES - 4077</v>
      </c>
      <c r="D305" s="1" t="str">
        <f>_xlfn.CONCAT(tabE.Flux[[#This Row],[DATA]],"+",tabE.Flux[[#This Row],[MOTORISTA + MATRÍCULA B]])</f>
        <v>45897+KEITH NOLAN CARNEIRO BARBOSA - 5653</v>
      </c>
      <c r="E305" s="1" t="str">
        <f>_xlfn.CONCAT(tabE.Flux[[#This Row],[DATA]],"+",tabE.Flux[[#This Row],[MOTORISTA + MATRÍCULA A]],"+",tabE.Flux[[#This Row],[LINHA]])</f>
        <v>45897+JERZUALDO DA SILVA GOMES - 4077+GOIANIA (GO) X TERESINA (PI) VIA STI</v>
      </c>
      <c r="F305" s="1" t="str">
        <f>_xlfn.CONCAT(tabE.Flux[[#This Row],[DATA]],"+",tabE.Flux[[#This Row],[MOTORISTA + MATRÍCULA B]],"+",tabE.Flux[[#This Row],[LINHA]])</f>
        <v>45897+KEITH NOLAN CARNEIRO BARBOSA - 5653+GOIANIA (GO) X TERESINA (PI) VIA STI</v>
      </c>
      <c r="G305" s="1" t="str">
        <f>_xlfn.CONCAT(tabE.Flux[[#This Row],[DATA]],"+",tabE.Flux[[#This Row],[LINHA]])</f>
        <v>45897+GOIANIA (GO) X TERESINA (PI) VIA STI</v>
      </c>
      <c r="H305" s="141">
        <v>45897</v>
      </c>
      <c r="I305" s="142" t="s">
        <v>15</v>
      </c>
      <c r="J305" s="142">
        <v>15600</v>
      </c>
      <c r="K305" s="143">
        <v>0.77083333333333337</v>
      </c>
      <c r="L305" s="143">
        <v>0.79861111111111116</v>
      </c>
      <c r="M305" s="142" t="s">
        <v>16</v>
      </c>
      <c r="N305" s="142" t="s">
        <v>29</v>
      </c>
      <c r="O305" s="142" t="s">
        <v>130</v>
      </c>
      <c r="P305" s="142" t="s">
        <v>122</v>
      </c>
      <c r="Q305" s="142" t="s">
        <v>26</v>
      </c>
      <c r="R305" s="76"/>
      <c r="S305" s="76"/>
      <c r="T305" s="76"/>
      <c r="U305" s="76"/>
      <c r="V305" s="76"/>
      <c r="W305" s="76"/>
      <c r="X305" s="76"/>
      <c r="Y305" s="76"/>
    </row>
    <row r="306" spans="1:25" s="6" customFormat="1" x14ac:dyDescent="0.25">
      <c r="A306" s="101"/>
      <c r="B306" s="101"/>
      <c r="C306" s="1" t="str">
        <f>_xlfn.CONCAT(tabE.Flux[[#This Row],[DATA]],"+",tabE.Flux[[#This Row],[MOTORISTA + MATRÍCULA A]])</f>
        <v>45897+MARCIO DE SOUSA MATOS - 5264</v>
      </c>
      <c r="D306" s="1" t="str">
        <f>_xlfn.CONCAT(tabE.Flux[[#This Row],[DATA]],"+",tabE.Flux[[#This Row],[MOTORISTA + MATRÍCULA B]])</f>
        <v>45897+NILSON CORTEZ MIRANDA - 5636</v>
      </c>
      <c r="E306" s="1" t="str">
        <f>_xlfn.CONCAT(tabE.Flux[[#This Row],[DATA]],"+",tabE.Flux[[#This Row],[MOTORISTA + MATRÍCULA A]],"+",tabE.Flux[[#This Row],[LINHA]])</f>
        <v>45897+MARCIO DE SOUSA MATOS - 5264+GOIANIA (GO) X SAO LUIS (MA)</v>
      </c>
      <c r="F306" s="1" t="str">
        <f>_xlfn.CONCAT(tabE.Flux[[#This Row],[DATA]],"+",tabE.Flux[[#This Row],[MOTORISTA + MATRÍCULA B]],"+",tabE.Flux[[#This Row],[LINHA]])</f>
        <v>45897+NILSON CORTEZ MIRANDA - 5636+GOIANIA (GO) X SAO LUIS (MA)</v>
      </c>
      <c r="G306" s="1" t="str">
        <f>_xlfn.CONCAT(tabE.Flux[[#This Row],[DATA]],"+",tabE.Flux[[#This Row],[LINHA]])</f>
        <v>45897+GOIANIA (GO) X SAO LUIS (MA)</v>
      </c>
      <c r="H306" s="141">
        <v>45897</v>
      </c>
      <c r="I306" s="142" t="s">
        <v>15</v>
      </c>
      <c r="J306" s="142">
        <v>19006</v>
      </c>
      <c r="K306" s="143">
        <v>0.8125</v>
      </c>
      <c r="L306" s="143">
        <v>0.84166666666666667</v>
      </c>
      <c r="M306" s="142" t="s">
        <v>16</v>
      </c>
      <c r="N306" s="142" t="s">
        <v>17</v>
      </c>
      <c r="O306" s="142" t="s">
        <v>62</v>
      </c>
      <c r="P306" s="142" t="s">
        <v>75</v>
      </c>
      <c r="Q306" s="142" t="s">
        <v>23</v>
      </c>
      <c r="R306" s="76"/>
      <c r="S306" s="76"/>
      <c r="T306" s="76"/>
      <c r="U306" s="76"/>
      <c r="V306" s="76"/>
      <c r="W306" s="76"/>
      <c r="X306" s="76"/>
      <c r="Y306" s="76"/>
    </row>
    <row r="307" spans="1:25" s="6" customFormat="1" x14ac:dyDescent="0.25">
      <c r="A307" s="101"/>
      <c r="B307" s="101"/>
      <c r="C307" s="1" t="str">
        <f>_xlfn.CONCAT(tabE.Flux[[#This Row],[DATA]],"+",tabE.Flux[[#This Row],[MOTORISTA + MATRÍCULA A]])</f>
        <v>45897+MERVAL DE SOUSA - 2880</v>
      </c>
      <c r="D307" s="1" t="str">
        <f>_xlfn.CONCAT(tabE.Flux[[#This Row],[DATA]],"+",tabE.Flux[[#This Row],[MOTORISTA + MATRÍCULA B]])</f>
        <v>45897+JOSE ALVES DE FREITAS NETO - 5027</v>
      </c>
      <c r="E307" s="1" t="str">
        <f>_xlfn.CONCAT(tabE.Flux[[#This Row],[DATA]],"+",tabE.Flux[[#This Row],[MOTORISTA + MATRÍCULA A]],"+",tabE.Flux[[#This Row],[LINHA]])</f>
        <v>45897+MERVAL DE SOUSA - 2880+FORTALEZA (CE) X SINOP (MT)</v>
      </c>
      <c r="F307" s="1" t="str">
        <f>_xlfn.CONCAT(tabE.Flux[[#This Row],[DATA]],"+",tabE.Flux[[#This Row],[MOTORISTA + MATRÍCULA B]],"+",tabE.Flux[[#This Row],[LINHA]])</f>
        <v>45897+JOSE ALVES DE FREITAS NETO - 5027+FORTALEZA (CE) X SINOP (MT)</v>
      </c>
      <c r="G307" s="1" t="str">
        <f>_xlfn.CONCAT(tabE.Flux[[#This Row],[DATA]],"+",tabE.Flux[[#This Row],[LINHA]])</f>
        <v>45897+FORTALEZA (CE) X SINOP (MT)</v>
      </c>
      <c r="H307" s="141">
        <v>45897</v>
      </c>
      <c r="I307" s="142" t="s">
        <v>15</v>
      </c>
      <c r="J307" s="142">
        <v>19008</v>
      </c>
      <c r="K307" s="143">
        <v>0.8125</v>
      </c>
      <c r="L307" s="143">
        <v>0.85416666666666663</v>
      </c>
      <c r="M307" s="142" t="s">
        <v>16</v>
      </c>
      <c r="N307" s="142" t="s">
        <v>17</v>
      </c>
      <c r="O307" s="142" t="s">
        <v>44</v>
      </c>
      <c r="P307" s="142" t="s">
        <v>90</v>
      </c>
      <c r="Q307" s="142" t="s">
        <v>32</v>
      </c>
      <c r="R307" s="76"/>
      <c r="S307" s="76"/>
      <c r="T307" s="76"/>
      <c r="U307" s="76"/>
      <c r="V307" s="76"/>
      <c r="W307" s="76"/>
      <c r="X307" s="76"/>
      <c r="Y307" s="76"/>
    </row>
    <row r="308" spans="1:25" s="6" customFormat="1" x14ac:dyDescent="0.25">
      <c r="A308" s="101"/>
      <c r="B308" s="101"/>
      <c r="C308" s="1" t="str">
        <f>_xlfn.CONCAT(tabE.Flux[[#This Row],[DATA]],"+",tabE.Flux[[#This Row],[MOTORISTA + MATRÍCULA A]])</f>
        <v>45897+RAFAEL JOSE TOME DE LIMA - 5537</v>
      </c>
      <c r="D308" s="1" t="str">
        <f>_xlfn.CONCAT(tabE.Flux[[#This Row],[DATA]],"+",tabE.Flux[[#This Row],[MOTORISTA + MATRÍCULA B]])</f>
        <v>45897+JOAO DA SILVA MORAIS - 2978</v>
      </c>
      <c r="E308" s="1" t="str">
        <f>_xlfn.CONCAT(tabE.Flux[[#This Row],[DATA]],"+",tabE.Flux[[#This Row],[MOTORISTA + MATRÍCULA A]],"+",tabE.Flux[[#This Row],[LINHA]])</f>
        <v>45897+RAFAEL JOSE TOME DE LIMA - 5537+GOIANIA (GO) X BELEM (PA)</v>
      </c>
      <c r="F308" s="1" t="str">
        <f>_xlfn.CONCAT(tabE.Flux[[#This Row],[DATA]],"+",tabE.Flux[[#This Row],[MOTORISTA + MATRÍCULA B]],"+",tabE.Flux[[#This Row],[LINHA]])</f>
        <v>45897+JOAO DA SILVA MORAIS - 2978+GOIANIA (GO) X BELEM (PA)</v>
      </c>
      <c r="G308" s="1" t="str">
        <f>_xlfn.CONCAT(tabE.Flux[[#This Row],[DATA]],"+",tabE.Flux[[#This Row],[LINHA]])</f>
        <v>45897+GOIANIA (GO) X BELEM (PA)</v>
      </c>
      <c r="H308" s="141">
        <v>45897</v>
      </c>
      <c r="I308" s="142" t="s">
        <v>15</v>
      </c>
      <c r="J308" s="142">
        <v>19016</v>
      </c>
      <c r="K308" s="143">
        <v>0.84722222222222221</v>
      </c>
      <c r="L308" s="143">
        <v>0.87847222222222221</v>
      </c>
      <c r="M308" s="142" t="s">
        <v>16</v>
      </c>
      <c r="N308" s="142" t="s">
        <v>17</v>
      </c>
      <c r="O308" s="142" t="s">
        <v>181</v>
      </c>
      <c r="P308" s="142" t="s">
        <v>182</v>
      </c>
      <c r="Q308" s="142" t="s">
        <v>20</v>
      </c>
      <c r="R308" s="76"/>
      <c r="S308" s="76"/>
      <c r="T308" s="76"/>
      <c r="U308" s="76"/>
      <c r="V308" s="76"/>
      <c r="W308" s="76"/>
      <c r="X308" s="76"/>
      <c r="Y308" s="76"/>
    </row>
    <row r="309" spans="1:25" s="6" customFormat="1" x14ac:dyDescent="0.25">
      <c r="A309" s="101"/>
      <c r="B309" s="101"/>
      <c r="C309" s="1" t="str">
        <f>_xlfn.CONCAT(tabE.Flux[[#This Row],[DATA]],"+",tabE.Flux[[#This Row],[MOTORISTA + MATRÍCULA A]])</f>
        <v>+</v>
      </c>
      <c r="D309" s="1" t="str">
        <f>_xlfn.CONCAT(tabE.Flux[[#This Row],[DATA]],"+",tabE.Flux[[#This Row],[MOTORISTA + MATRÍCULA B]])</f>
        <v>+</v>
      </c>
      <c r="E309" s="1" t="str">
        <f>_xlfn.CONCAT(tabE.Flux[[#This Row],[DATA]],"+",tabE.Flux[[#This Row],[MOTORISTA + MATRÍCULA A]],"+",tabE.Flux[[#This Row],[LINHA]])</f>
        <v>++</v>
      </c>
      <c r="F309" s="1" t="str">
        <f>_xlfn.CONCAT(tabE.Flux[[#This Row],[DATA]],"+",tabE.Flux[[#This Row],[MOTORISTA + MATRÍCULA B]],"+",tabE.Flux[[#This Row],[LINHA]])</f>
        <v>++</v>
      </c>
      <c r="G309" s="1" t="str">
        <f>_xlfn.CONCAT(tabE.Flux[[#This Row],[DATA]],"+",tabE.Flux[[#This Row],[LINHA]])</f>
        <v>+</v>
      </c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76"/>
      <c r="S309" s="76"/>
      <c r="T309" s="76"/>
      <c r="U309" s="76"/>
      <c r="V309" s="76"/>
      <c r="W309" s="76"/>
      <c r="X309" s="76"/>
      <c r="Y309" s="76"/>
    </row>
    <row r="310" spans="1:25" s="6" customFormat="1" ht="15" customHeight="1" x14ac:dyDescent="0.25">
      <c r="A310" s="101"/>
      <c r="B310" s="101"/>
      <c r="C310" s="1" t="str">
        <f>_xlfn.CONCAT(tabE.Flux[[#This Row],[DATA]],"+",tabE.Flux[[#This Row],[MOTORISTA + MATRÍCULA A]])</f>
        <v>45898+ADALTON ALMEIDA DE SOUZA - 1941</v>
      </c>
      <c r="D310" s="1" t="str">
        <f>_xlfn.CONCAT(tabE.Flux[[#This Row],[DATA]],"+",tabE.Flux[[#This Row],[MOTORISTA + MATRÍCULA B]])</f>
        <v>45898+  LAZARO VIEIRA DA SILVA- 5428</v>
      </c>
      <c r="E310" s="1" t="str">
        <f>_xlfn.CONCAT(tabE.Flux[[#This Row],[DATA]],"+",tabE.Flux[[#This Row],[MOTORISTA + MATRÍCULA A]],"+",tabE.Flux[[#This Row],[LINHA]])</f>
        <v>45898+ADALTON ALMEIDA DE SOUZA - 1941+GOIANIA (GO) X BELEM (PA)</v>
      </c>
      <c r="F310" s="1" t="str">
        <f>_xlfn.CONCAT(tabE.Flux[[#This Row],[DATA]],"+",tabE.Flux[[#This Row],[MOTORISTA + MATRÍCULA B]],"+",tabE.Flux[[#This Row],[LINHA]])</f>
        <v>45898+  LAZARO VIEIRA DA SILVA- 5428+GOIANIA (GO) X BELEM (PA)</v>
      </c>
      <c r="G310" s="1" t="str">
        <f>_xlfn.CONCAT(tabE.Flux[[#This Row],[DATA]],"+",tabE.Flux[[#This Row],[LINHA]])</f>
        <v>45898+GOIANIA (GO) X BELEM (PA)</v>
      </c>
      <c r="H310" s="141">
        <v>45898</v>
      </c>
      <c r="I310" s="142" t="s">
        <v>15</v>
      </c>
      <c r="J310" s="142">
        <v>24003</v>
      </c>
      <c r="K310" s="143">
        <v>0.25486111111111109</v>
      </c>
      <c r="L310" s="143">
        <v>0.3</v>
      </c>
      <c r="M310" s="142" t="s">
        <v>16</v>
      </c>
      <c r="N310" s="142" t="s">
        <v>17</v>
      </c>
      <c r="O310" s="142" t="s">
        <v>132</v>
      </c>
      <c r="P310" s="142" t="s">
        <v>133</v>
      </c>
      <c r="Q310" s="142" t="s">
        <v>20</v>
      </c>
      <c r="R310" s="76"/>
      <c r="S310" s="76"/>
      <c r="T310" s="76"/>
      <c r="U310" s="76"/>
      <c r="V310" s="76"/>
      <c r="W310" s="76"/>
      <c r="X310" s="76"/>
      <c r="Y310" s="76"/>
    </row>
    <row r="311" spans="1:25" s="6" customFormat="1" x14ac:dyDescent="0.25">
      <c r="A311" s="101"/>
      <c r="B311" s="101"/>
      <c r="C311" s="1" t="str">
        <f>_xlfn.CONCAT(tabE.Flux[[#This Row],[DATA]],"+",tabE.Flux[[#This Row],[MOTORISTA + MATRÍCULA A]])</f>
        <v>45898+JOSE EVANGELISTA DA SILVA - 5199</v>
      </c>
      <c r="D311" s="1" t="str">
        <f>_xlfn.CONCAT(tabE.Flux[[#This Row],[DATA]],"+",tabE.Flux[[#This Row],[MOTORISTA + MATRÍCULA B]])</f>
        <v>45898+  IVANILSON BARBOSA PEREIRA- 5434</v>
      </c>
      <c r="E311" s="1" t="str">
        <f>_xlfn.CONCAT(tabE.Flux[[#This Row],[DATA]],"+",tabE.Flux[[#This Row],[MOTORISTA + MATRÍCULA A]],"+",tabE.Flux[[#This Row],[LINHA]])</f>
        <v>45898+JOSE EVANGELISTA DA SILVA - 5199+GOIANIA (GO) X SAO LUIS (MA)</v>
      </c>
      <c r="F311" s="1" t="str">
        <f>_xlfn.CONCAT(tabE.Flux[[#This Row],[DATA]],"+",tabE.Flux[[#This Row],[MOTORISTA + MATRÍCULA B]],"+",tabE.Flux[[#This Row],[LINHA]])</f>
        <v>45898+  IVANILSON BARBOSA PEREIRA- 5434+GOIANIA (GO) X SAO LUIS (MA)</v>
      </c>
      <c r="G311" s="1" t="str">
        <f>_xlfn.CONCAT(tabE.Flux[[#This Row],[DATA]],"+",tabE.Flux[[#This Row],[LINHA]])</f>
        <v>45898+GOIANIA (GO) X SAO LUIS (MA)</v>
      </c>
      <c r="H311" s="141">
        <v>45898</v>
      </c>
      <c r="I311" s="142" t="s">
        <v>15</v>
      </c>
      <c r="J311" s="142">
        <v>25006</v>
      </c>
      <c r="K311" s="143">
        <v>0.32291666666666669</v>
      </c>
      <c r="L311" s="143">
        <v>0.33333333333333331</v>
      </c>
      <c r="M311" s="142" t="s">
        <v>16</v>
      </c>
      <c r="N311" s="142" t="s">
        <v>17</v>
      </c>
      <c r="O311" s="142" t="s">
        <v>151</v>
      </c>
      <c r="P311" s="142" t="s">
        <v>152</v>
      </c>
      <c r="Q311" s="142" t="s">
        <v>23</v>
      </c>
      <c r="R311" s="76"/>
      <c r="S311" s="76"/>
      <c r="T311" s="76"/>
      <c r="U311" s="76"/>
      <c r="V311" s="76"/>
      <c r="W311" s="76"/>
      <c r="X311" s="76"/>
      <c r="Y311" s="76"/>
    </row>
    <row r="312" spans="1:25" s="6" customFormat="1" x14ac:dyDescent="0.25">
      <c r="A312" s="101"/>
      <c r="B312" s="101"/>
      <c r="C312" s="1" t="str">
        <f>_xlfn.CONCAT(tabE.Flux[[#This Row],[DATA]],"+",tabE.Flux[[#This Row],[MOTORISTA + MATRÍCULA A]])</f>
        <v>45898+VALDIR NUNES DA SILVA - 2989</v>
      </c>
      <c r="D312" s="1" t="str">
        <f>_xlfn.CONCAT(tabE.Flux[[#This Row],[DATA]],"+",tabE.Flux[[#This Row],[MOTORISTA + MATRÍCULA B]])</f>
        <v>45898+JOAO MONTEIRO DA COSTA - 5187</v>
      </c>
      <c r="E312" s="1" t="str">
        <f>_xlfn.CONCAT(tabE.Flux[[#This Row],[DATA]],"+",tabE.Flux[[#This Row],[MOTORISTA + MATRÍCULA A]],"+",tabE.Flux[[#This Row],[LINHA]])</f>
        <v>45898+VALDIR NUNES DA SILVA - 2989+GOIANIA (GO) X TERESINA (PI) VIA STI</v>
      </c>
      <c r="F312" s="1" t="str">
        <f>_xlfn.CONCAT(tabE.Flux[[#This Row],[DATA]],"+",tabE.Flux[[#This Row],[MOTORISTA + MATRÍCULA B]],"+",tabE.Flux[[#This Row],[LINHA]])</f>
        <v>45898+JOAO MONTEIRO DA COSTA - 5187+GOIANIA (GO) X TERESINA (PI) VIA STI</v>
      </c>
      <c r="G312" s="1" t="str">
        <f>_xlfn.CONCAT(tabE.Flux[[#This Row],[DATA]],"+",tabE.Flux[[#This Row],[LINHA]])</f>
        <v>45898+GOIANIA (GO) X TERESINA (PI) VIA STI</v>
      </c>
      <c r="H312" s="141">
        <v>45898</v>
      </c>
      <c r="I312" s="142" t="s">
        <v>15</v>
      </c>
      <c r="J312" s="142">
        <v>17100</v>
      </c>
      <c r="K312" s="143">
        <v>0.3888888888888889</v>
      </c>
      <c r="L312" s="143">
        <v>0.39583333333333331</v>
      </c>
      <c r="M312" s="142" t="s">
        <v>16</v>
      </c>
      <c r="N312" s="142" t="s">
        <v>17</v>
      </c>
      <c r="O312" s="142" t="s">
        <v>134</v>
      </c>
      <c r="P312" s="142" t="s">
        <v>135</v>
      </c>
      <c r="Q312" s="142" t="s">
        <v>26</v>
      </c>
      <c r="R312" s="76"/>
      <c r="S312" s="76"/>
      <c r="T312" s="76"/>
      <c r="U312" s="76"/>
      <c r="V312" s="76"/>
      <c r="W312" s="76"/>
      <c r="X312" s="76"/>
      <c r="Y312" s="76"/>
    </row>
    <row r="313" spans="1:25" s="6" customFormat="1" x14ac:dyDescent="0.25">
      <c r="A313" s="101"/>
      <c r="B313" s="101"/>
      <c r="C313" s="1" t="str">
        <f>_xlfn.CONCAT(tabE.Flux[[#This Row],[DATA]],"+",tabE.Flux[[#This Row],[MOTORISTA + MATRÍCULA A]])</f>
        <v>45898+CANCELADO</v>
      </c>
      <c r="D313" s="1" t="str">
        <f>_xlfn.CONCAT(tabE.Flux[[#This Row],[DATA]],"+",tabE.Flux[[#This Row],[MOTORISTA + MATRÍCULA B]])</f>
        <v>45898+CANCELADO</v>
      </c>
      <c r="E313" s="1" t="str">
        <f>_xlfn.CONCAT(tabE.Flux[[#This Row],[DATA]],"+",tabE.Flux[[#This Row],[MOTORISTA + MATRÍCULA A]],"+",tabE.Flux[[#This Row],[LINHA]])</f>
        <v>45898+CANCELADO+</v>
      </c>
      <c r="F313" s="1" t="str">
        <f>_xlfn.CONCAT(tabE.Flux[[#This Row],[DATA]],"+",tabE.Flux[[#This Row],[MOTORISTA + MATRÍCULA B]],"+",tabE.Flux[[#This Row],[LINHA]])</f>
        <v>45898+CANCELADO+</v>
      </c>
      <c r="G313" s="1" t="str">
        <f>_xlfn.CONCAT(tabE.Flux[[#This Row],[DATA]],"+",tabE.Flux[[#This Row],[LINHA]])</f>
        <v>45898+</v>
      </c>
      <c r="H313" s="141">
        <v>45898</v>
      </c>
      <c r="I313" s="142" t="s">
        <v>15</v>
      </c>
      <c r="J313" s="144" t="s">
        <v>27</v>
      </c>
      <c r="K313" s="143">
        <v>0.375</v>
      </c>
      <c r="L313" s="143">
        <v>0.41666666666666669</v>
      </c>
      <c r="M313" s="142" t="s">
        <v>16</v>
      </c>
      <c r="N313" s="142" t="s">
        <v>28</v>
      </c>
      <c r="O313" s="144" t="s">
        <v>27</v>
      </c>
      <c r="P313" s="144" t="s">
        <v>27</v>
      </c>
      <c r="Q313" s="142"/>
      <c r="R313" s="76"/>
      <c r="S313" s="76"/>
      <c r="T313" s="76"/>
      <c r="U313" s="76"/>
      <c r="V313" s="76"/>
      <c r="W313" s="76"/>
      <c r="X313" s="76"/>
      <c r="Y313" s="76"/>
    </row>
    <row r="314" spans="1:25" s="6" customFormat="1" x14ac:dyDescent="0.25">
      <c r="A314" s="101"/>
      <c r="B314" s="101"/>
      <c r="C314" s="1" t="str">
        <f>_xlfn.CONCAT(tabE.Flux[[#This Row],[DATA]],"+",tabE.Flux[[#This Row],[MOTORISTA + MATRÍCULA A]])</f>
        <v>45898+MANOEL MESSIAS SILVA DOS SANTOS - 1833</v>
      </c>
      <c r="D314" s="1" t="str">
        <f>_xlfn.CONCAT(tabE.Flux[[#This Row],[DATA]],"+",tabE.Flux[[#This Row],[MOTORISTA + MATRÍCULA B]])</f>
        <v>45898+FRANK HUDSON MACHADO DE BRITO - 5267</v>
      </c>
      <c r="E314" s="1" t="str">
        <f>_xlfn.CONCAT(tabE.Flux[[#This Row],[DATA]],"+",tabE.Flux[[#This Row],[MOTORISTA + MATRÍCULA A]],"+",tabE.Flux[[#This Row],[LINHA]])</f>
        <v>45898+MANOEL MESSIAS SILVA DOS SANTOS - 1833+FORTALEZA (CE) X SINOP (MT)</v>
      </c>
      <c r="F314" s="1" t="str">
        <f>_xlfn.CONCAT(tabE.Flux[[#This Row],[DATA]],"+",tabE.Flux[[#This Row],[MOTORISTA + MATRÍCULA B]],"+",tabE.Flux[[#This Row],[LINHA]])</f>
        <v>45898+FRANK HUDSON MACHADO DE BRITO - 5267+FORTALEZA (CE) X SINOP (MT)</v>
      </c>
      <c r="G314" s="1" t="str">
        <f>_xlfn.CONCAT(tabE.Flux[[#This Row],[DATA]],"+",tabE.Flux[[#This Row],[LINHA]])</f>
        <v>45898+FORTALEZA (CE) X SINOP (MT)</v>
      </c>
      <c r="H314" s="141">
        <v>45898</v>
      </c>
      <c r="I314" s="142" t="s">
        <v>15</v>
      </c>
      <c r="J314" s="142">
        <v>19020</v>
      </c>
      <c r="K314" s="143">
        <v>0.3888888888888889</v>
      </c>
      <c r="L314" s="143">
        <v>0.37708333333333333</v>
      </c>
      <c r="M314" s="142" t="s">
        <v>16</v>
      </c>
      <c r="N314" s="142" t="s">
        <v>29</v>
      </c>
      <c r="O314" s="142" t="s">
        <v>173</v>
      </c>
      <c r="P314" s="142" t="s">
        <v>160</v>
      </c>
      <c r="Q314" s="142" t="s">
        <v>32</v>
      </c>
      <c r="R314" s="76"/>
      <c r="S314" s="76"/>
      <c r="T314" s="76"/>
      <c r="U314" s="76"/>
      <c r="V314" s="76"/>
      <c r="W314" s="76"/>
      <c r="X314" s="76"/>
      <c r="Y314" s="76"/>
    </row>
    <row r="315" spans="1:25" s="6" customFormat="1" x14ac:dyDescent="0.25">
      <c r="A315" s="101"/>
      <c r="B315" s="101"/>
      <c r="C315" s="1" t="str">
        <f>_xlfn.CONCAT(tabE.Flux[[#This Row],[DATA]],"+",tabE.Flux[[#This Row],[MOTORISTA + MATRÍCULA A]])</f>
        <v>45898+LUIS ANTONIO FARIAS RIBEIRO - 2789</v>
      </c>
      <c r="D315" s="1" t="str">
        <f>_xlfn.CONCAT(tabE.Flux[[#This Row],[DATA]],"+",tabE.Flux[[#This Row],[MOTORISTA + MATRÍCULA B]])</f>
        <v>45898+JOSE POLICARPO DE SOUSA NETO - 1472</v>
      </c>
      <c r="E315" s="1" t="str">
        <f>_xlfn.CONCAT(tabE.Flux[[#This Row],[DATA]],"+",tabE.Flux[[#This Row],[MOTORISTA + MATRÍCULA A]],"+",tabE.Flux[[#This Row],[LINHA]])</f>
        <v>45898+LUIS ANTONIO FARIAS RIBEIRO - 2789+GOIANIA (GO) X BELEM (PA)</v>
      </c>
      <c r="F315" s="1" t="str">
        <f>_xlfn.CONCAT(tabE.Flux[[#This Row],[DATA]],"+",tabE.Flux[[#This Row],[MOTORISTA + MATRÍCULA B]],"+",tabE.Flux[[#This Row],[LINHA]])</f>
        <v>45898+JOSE POLICARPO DE SOUSA NETO - 1472+GOIANIA (GO) X BELEM (PA)</v>
      </c>
      <c r="G315" s="1" t="str">
        <f>_xlfn.CONCAT(tabE.Flux[[#This Row],[DATA]],"+",tabE.Flux[[#This Row],[LINHA]])</f>
        <v>45898+GOIANIA (GO) X BELEM (PA)</v>
      </c>
      <c r="H315" s="141">
        <v>45898</v>
      </c>
      <c r="I315" s="142" t="s">
        <v>15</v>
      </c>
      <c r="J315" s="142">
        <v>19009</v>
      </c>
      <c r="K315" s="143">
        <v>0.38958333333333334</v>
      </c>
      <c r="L315" s="143">
        <v>0.38541666666666669</v>
      </c>
      <c r="M315" s="142" t="s">
        <v>16</v>
      </c>
      <c r="N315" s="142" t="s">
        <v>33</v>
      </c>
      <c r="O315" s="142" t="s">
        <v>124</v>
      </c>
      <c r="P315" s="142" t="s">
        <v>54</v>
      </c>
      <c r="Q315" s="142" t="s">
        <v>20</v>
      </c>
      <c r="R315" s="76"/>
      <c r="S315" s="76"/>
      <c r="T315" s="76"/>
      <c r="U315" s="76"/>
      <c r="V315" s="76"/>
      <c r="W315" s="76"/>
      <c r="X315" s="76"/>
      <c r="Y315" s="76"/>
    </row>
    <row r="316" spans="1:25" s="6" customFormat="1" x14ac:dyDescent="0.25">
      <c r="A316" s="101"/>
      <c r="B316" s="101"/>
      <c r="C316" s="1" t="str">
        <f>_xlfn.CONCAT(tabE.Flux[[#This Row],[DATA]],"+",tabE.Flux[[#This Row],[MOTORISTA + MATRÍCULA A]])</f>
        <v>45898+JOSE ORLANDO RODRIGUES DE MIRANDA - 5838</v>
      </c>
      <c r="D316" s="1" t="str">
        <f>_xlfn.CONCAT(tabE.Flux[[#This Row],[DATA]],"+",tabE.Flux[[#This Row],[MOTORISTA + MATRÍCULA B]])</f>
        <v>45898+GILDEAN LEAL TEIXEIRA - 5649</v>
      </c>
      <c r="E316" s="1" t="str">
        <f>_xlfn.CONCAT(tabE.Flux[[#This Row],[DATA]],"+",tabE.Flux[[#This Row],[MOTORISTA + MATRÍCULA A]],"+",tabE.Flux[[#This Row],[LINHA]])</f>
        <v>45898+JOSE ORLANDO RODRIGUES DE MIRANDA - 5838+GOIANIA (GO) X TERESINA (PI) VIA BC</v>
      </c>
      <c r="F316" s="1" t="str">
        <f>_xlfn.CONCAT(tabE.Flux[[#This Row],[DATA]],"+",tabE.Flux[[#This Row],[MOTORISTA + MATRÍCULA B]],"+",tabE.Flux[[#This Row],[LINHA]])</f>
        <v>45898+GILDEAN LEAL TEIXEIRA - 5649+GOIANIA (GO) X TERESINA (PI) VIA BC</v>
      </c>
      <c r="G316" s="1" t="str">
        <f>_xlfn.CONCAT(tabE.Flux[[#This Row],[DATA]],"+",tabE.Flux[[#This Row],[LINHA]])</f>
        <v>45898+GOIANIA (GO) X TERESINA (PI) VIA BC</v>
      </c>
      <c r="H316" s="141">
        <v>45898</v>
      </c>
      <c r="I316" s="142" t="s">
        <v>15</v>
      </c>
      <c r="J316" s="142">
        <v>25012</v>
      </c>
      <c r="K316" s="143">
        <v>0.375</v>
      </c>
      <c r="L316" s="143">
        <v>0.39930555555555558</v>
      </c>
      <c r="M316" s="142" t="s">
        <v>36</v>
      </c>
      <c r="N316" s="142" t="s">
        <v>29</v>
      </c>
      <c r="O316" s="142" t="s">
        <v>37</v>
      </c>
      <c r="P316" s="142" t="s">
        <v>149</v>
      </c>
      <c r="Q316" s="142" t="s">
        <v>39</v>
      </c>
      <c r="R316" s="76"/>
      <c r="S316" s="76"/>
      <c r="T316" s="76"/>
      <c r="U316" s="76"/>
      <c r="V316" s="76"/>
      <c r="W316" s="76"/>
      <c r="X316" s="76"/>
      <c r="Y316" s="76"/>
    </row>
    <row r="317" spans="1:25" s="6" customFormat="1" x14ac:dyDescent="0.25">
      <c r="A317" s="101"/>
      <c r="B317" s="101"/>
      <c r="C317" s="1" t="str">
        <f>_xlfn.CONCAT(tabE.Flux[[#This Row],[DATA]],"+",tabE.Flux[[#This Row],[MOTORISTA + MATRÍCULA A]])</f>
        <v>45898+GILVAN DE SOUSA FRANCA - 5834</v>
      </c>
      <c r="D317" s="1" t="str">
        <f>_xlfn.CONCAT(tabE.Flux[[#This Row],[DATA]],"+",tabE.Flux[[#This Row],[MOTORISTA + MATRÍCULA B]])</f>
        <v>45898+FRANCISCO LINDONALDO DE SOUSA - 2971</v>
      </c>
      <c r="E317" s="1" t="str">
        <f>_xlfn.CONCAT(tabE.Flux[[#This Row],[DATA]],"+",tabE.Flux[[#This Row],[MOTORISTA + MATRÍCULA A]],"+",tabE.Flux[[#This Row],[LINHA]])</f>
        <v>45898+GILVAN DE SOUSA FRANCA - 5834+GOIANIA (GO) X BELEM (PA)</v>
      </c>
      <c r="F317" s="1" t="str">
        <f>_xlfn.CONCAT(tabE.Flux[[#This Row],[DATA]],"+",tabE.Flux[[#This Row],[MOTORISTA + MATRÍCULA B]],"+",tabE.Flux[[#This Row],[LINHA]])</f>
        <v>45898+FRANCISCO LINDONALDO DE SOUSA - 2971+GOIANIA (GO) X BELEM (PA)</v>
      </c>
      <c r="G317" s="1" t="str">
        <f>_xlfn.CONCAT(tabE.Flux[[#This Row],[DATA]],"+",tabE.Flux[[#This Row],[LINHA]])</f>
        <v>45898+GOIANIA (GO) X BELEM (PA)</v>
      </c>
      <c r="H317" s="141">
        <v>45898</v>
      </c>
      <c r="I317" s="142" t="s">
        <v>15</v>
      </c>
      <c r="J317" s="142">
        <v>19011</v>
      </c>
      <c r="K317" s="143">
        <v>0.375</v>
      </c>
      <c r="L317" s="143">
        <v>0.41666666666666669</v>
      </c>
      <c r="M317" s="142" t="s">
        <v>33</v>
      </c>
      <c r="N317" s="142" t="s">
        <v>16</v>
      </c>
      <c r="O317" s="142" t="s">
        <v>35</v>
      </c>
      <c r="P317" s="142" t="s">
        <v>131</v>
      </c>
      <c r="Q317" s="142" t="s">
        <v>20</v>
      </c>
      <c r="R317" s="76"/>
      <c r="S317" s="76"/>
      <c r="T317" s="76"/>
      <c r="U317" s="76"/>
      <c r="V317" s="76"/>
      <c r="W317" s="76"/>
      <c r="X317" s="76"/>
      <c r="Y317" s="76"/>
    </row>
    <row r="318" spans="1:25" s="6" customFormat="1" x14ac:dyDescent="0.25">
      <c r="A318" s="101"/>
      <c r="B318" s="101"/>
      <c r="C318" s="1" t="str">
        <f>_xlfn.CONCAT(tabE.Flux[[#This Row],[DATA]],"+",tabE.Flux[[#This Row],[MOTORISTA + MATRÍCULA A]])</f>
        <v>45898+RAIMUNDO COSTA SILVA - 6226</v>
      </c>
      <c r="D318" s="1" t="str">
        <f>_xlfn.CONCAT(tabE.Flux[[#This Row],[DATA]],"+",tabE.Flux[[#This Row],[MOTORISTA + MATRÍCULA B]])</f>
        <v>45898+KLEBER OLIVEIRA LIMA - 5849</v>
      </c>
      <c r="E318" s="1" t="str">
        <f>_xlfn.CONCAT(tabE.Flux[[#This Row],[DATA]],"+",tabE.Flux[[#This Row],[MOTORISTA + MATRÍCULA A]],"+",tabE.Flux[[#This Row],[LINHA]])</f>
        <v>45898+RAIMUNDO COSTA SILVA - 6226+GOIANIA (GO) X SAO LUIS (MA)</v>
      </c>
      <c r="F318" s="1" t="str">
        <f>_xlfn.CONCAT(tabE.Flux[[#This Row],[DATA]],"+",tabE.Flux[[#This Row],[MOTORISTA + MATRÍCULA B]],"+",tabE.Flux[[#This Row],[LINHA]])</f>
        <v>45898+KLEBER OLIVEIRA LIMA - 5849+GOIANIA (GO) X SAO LUIS (MA)</v>
      </c>
      <c r="G318" s="1" t="str">
        <f>_xlfn.CONCAT(tabE.Flux[[#This Row],[DATA]],"+",tabE.Flux[[#This Row],[LINHA]])</f>
        <v>45898+GOIANIA (GO) X SAO LUIS (MA)</v>
      </c>
      <c r="H318" s="141">
        <v>45898</v>
      </c>
      <c r="I318" s="142" t="s">
        <v>15</v>
      </c>
      <c r="J318" s="142">
        <v>19024</v>
      </c>
      <c r="K318" s="143">
        <v>0.25</v>
      </c>
      <c r="L318" s="143">
        <v>0.29166666666666669</v>
      </c>
      <c r="M318" s="142" t="s">
        <v>42</v>
      </c>
      <c r="N318" s="142" t="s">
        <v>16</v>
      </c>
      <c r="O318" s="142" t="s">
        <v>45</v>
      </c>
      <c r="P318" s="142" t="s">
        <v>102</v>
      </c>
      <c r="Q318" s="142" t="s">
        <v>23</v>
      </c>
      <c r="R318" s="76"/>
      <c r="S318" s="76"/>
      <c r="T318" s="76"/>
      <c r="U318" s="76"/>
      <c r="V318" s="76"/>
      <c r="W318" s="76"/>
      <c r="X318" s="76"/>
      <c r="Y318" s="76"/>
    </row>
    <row r="319" spans="1:25" s="6" customFormat="1" x14ac:dyDescent="0.25">
      <c r="A319" s="101"/>
      <c r="B319" s="101"/>
      <c r="C319" s="1" t="str">
        <f>_xlfn.CONCAT(tabE.Flux[[#This Row],[DATA]],"+",tabE.Flux[[#This Row],[MOTORISTA + MATRÍCULA A]])</f>
        <v>45898+ALTEMAR DO NASCIMENTO LIMA - 6225</v>
      </c>
      <c r="D319" s="1" t="str">
        <f>_xlfn.CONCAT(tabE.Flux[[#This Row],[DATA]],"+",tabE.Flux[[#This Row],[MOTORISTA + MATRÍCULA B]])</f>
        <v>45898+ANTONIO MARQUES NETO DOS SANTOS - 1738</v>
      </c>
      <c r="E319" s="1" t="str">
        <f>_xlfn.CONCAT(tabE.Flux[[#This Row],[DATA]],"+",tabE.Flux[[#This Row],[MOTORISTA + MATRÍCULA A]],"+",tabE.Flux[[#This Row],[LINHA]])</f>
        <v>45898+ALTEMAR DO NASCIMENTO LIMA - 6225+GOIANIA (GO) X SAO LUIS (MA)</v>
      </c>
      <c r="F319" s="1" t="str">
        <f>_xlfn.CONCAT(tabE.Flux[[#This Row],[DATA]],"+",tabE.Flux[[#This Row],[MOTORISTA + MATRÍCULA B]],"+",tabE.Flux[[#This Row],[LINHA]])</f>
        <v>45898+ANTONIO MARQUES NETO DOS SANTOS - 1738+GOIANIA (GO) X SAO LUIS (MA)</v>
      </c>
      <c r="G319" s="1" t="str">
        <f>_xlfn.CONCAT(tabE.Flux[[#This Row],[DATA]],"+",tabE.Flux[[#This Row],[LINHA]])</f>
        <v>45898+GOIANIA (GO) X SAO LUIS (MA)</v>
      </c>
      <c r="H319" s="141">
        <v>45898</v>
      </c>
      <c r="I319" s="142" t="s">
        <v>15</v>
      </c>
      <c r="J319" s="142">
        <v>24004</v>
      </c>
      <c r="K319" s="143">
        <v>0.75</v>
      </c>
      <c r="L319" s="143">
        <v>0.79166666666666663</v>
      </c>
      <c r="M319" s="142" t="s">
        <v>42</v>
      </c>
      <c r="N319" s="142" t="s">
        <v>16</v>
      </c>
      <c r="O319" s="142" t="s">
        <v>57</v>
      </c>
      <c r="P319" s="142" t="s">
        <v>73</v>
      </c>
      <c r="Q319" s="142" t="s">
        <v>23</v>
      </c>
      <c r="R319" s="76"/>
      <c r="S319" s="76"/>
      <c r="T319" s="76"/>
      <c r="U319" s="76"/>
      <c r="V319" s="76"/>
      <c r="W319" s="76"/>
      <c r="X319" s="76"/>
      <c r="Y319" s="76"/>
    </row>
    <row r="320" spans="1:25" s="6" customFormat="1" x14ac:dyDescent="0.25">
      <c r="A320" s="101"/>
      <c r="B320" s="101"/>
      <c r="C320" s="1" t="str">
        <f>_xlfn.CONCAT(tabE.Flux[[#This Row],[DATA]],"+",tabE.Flux[[#This Row],[MOTORISTA + MATRÍCULA A]])</f>
        <v>45898+CANCELADO</v>
      </c>
      <c r="D320" s="1" t="str">
        <f>_xlfn.CONCAT(tabE.Flux[[#This Row],[DATA]],"+",tabE.Flux[[#This Row],[MOTORISTA + MATRÍCULA B]])</f>
        <v>45898+CANCELADO</v>
      </c>
      <c r="E320" s="1" t="str">
        <f>_xlfn.CONCAT(tabE.Flux[[#This Row],[DATA]],"+",tabE.Flux[[#This Row],[MOTORISTA + MATRÍCULA A]],"+",tabE.Flux[[#This Row],[LINHA]])</f>
        <v>45898+CANCELADO+IMPERATRIZ (MA) X SÃO LUIS (MA)</v>
      </c>
      <c r="F320" s="1" t="str">
        <f>_xlfn.CONCAT(tabE.Flux[[#This Row],[DATA]],"+",tabE.Flux[[#This Row],[MOTORISTA + MATRÍCULA B]],"+",tabE.Flux[[#This Row],[LINHA]])</f>
        <v>45898+CANCELADO+IMPERATRIZ (MA) X SÃO LUIS (MA)</v>
      </c>
      <c r="G320" s="1" t="str">
        <f>_xlfn.CONCAT(tabE.Flux[[#This Row],[DATA]],"+",tabE.Flux[[#This Row],[LINHA]])</f>
        <v>45898+IMPERATRIZ (MA) X SÃO LUIS (MA)</v>
      </c>
      <c r="H320" s="141">
        <v>45898</v>
      </c>
      <c r="I320" s="142" t="s">
        <v>15</v>
      </c>
      <c r="J320" s="144" t="s">
        <v>27</v>
      </c>
      <c r="K320" s="143">
        <v>0.77083333333333337</v>
      </c>
      <c r="L320" s="143">
        <v>0.79513888888888884</v>
      </c>
      <c r="M320" s="142" t="s">
        <v>42</v>
      </c>
      <c r="N320" s="142" t="s">
        <v>16</v>
      </c>
      <c r="O320" s="144" t="s">
        <v>27</v>
      </c>
      <c r="P320" s="144" t="s">
        <v>27</v>
      </c>
      <c r="Q320" s="142" t="s">
        <v>47</v>
      </c>
      <c r="R320" s="76"/>
      <c r="S320" s="76"/>
      <c r="T320" s="76"/>
      <c r="U320" s="76"/>
      <c r="V320" s="76"/>
      <c r="W320" s="76"/>
      <c r="X320" s="76"/>
      <c r="Y320" s="76"/>
    </row>
    <row r="321" spans="1:25" s="6" customFormat="1" x14ac:dyDescent="0.25">
      <c r="A321" s="101"/>
      <c r="B321" s="101"/>
      <c r="C321" s="1" t="str">
        <f>_xlfn.CONCAT(tabE.Flux[[#This Row],[DATA]],"+",tabE.Flux[[#This Row],[MOTORISTA + MATRÍCULA A]])</f>
        <v>45898+JUSCELINO PIRES GONCALVES - 1343</v>
      </c>
      <c r="D321" s="1" t="str">
        <f>_xlfn.CONCAT(tabE.Flux[[#This Row],[DATA]],"+",tabE.Flux[[#This Row],[MOTORISTA + MATRÍCULA B]])</f>
        <v>45898+OLISMAR BATISTA DE DEUS - 5293</v>
      </c>
      <c r="E321" s="1" t="str">
        <f>_xlfn.CONCAT(tabE.Flux[[#This Row],[DATA]],"+",tabE.Flux[[#This Row],[MOTORISTA + MATRÍCULA A]],"+",tabE.Flux[[#This Row],[LINHA]])</f>
        <v>45898+JUSCELINO PIRES GONCALVES - 1343+GOIANIA (GO) X TERESINA (PI) VIA BC</v>
      </c>
      <c r="F321" s="1" t="str">
        <f>_xlfn.CONCAT(tabE.Flux[[#This Row],[DATA]],"+",tabE.Flux[[#This Row],[MOTORISTA + MATRÍCULA B]],"+",tabE.Flux[[#This Row],[LINHA]])</f>
        <v>45898+OLISMAR BATISTA DE DEUS - 5293+GOIANIA (GO) X TERESINA (PI) VIA BC</v>
      </c>
      <c r="G321" s="1" t="str">
        <f>_xlfn.CONCAT(tabE.Flux[[#This Row],[DATA]],"+",tabE.Flux[[#This Row],[LINHA]])</f>
        <v>45898+GOIANIA (GO) X TERESINA (PI) VIA BC</v>
      </c>
      <c r="H321" s="141">
        <v>45898</v>
      </c>
      <c r="I321" s="142" t="s">
        <v>15</v>
      </c>
      <c r="J321" s="142">
        <v>24009</v>
      </c>
      <c r="K321" s="143">
        <v>0.89583333333333337</v>
      </c>
      <c r="L321" s="143">
        <v>0.91666666666666663</v>
      </c>
      <c r="M321" s="142" t="s">
        <v>36</v>
      </c>
      <c r="N321" s="142" t="s">
        <v>17</v>
      </c>
      <c r="O321" s="142" t="s">
        <v>138</v>
      </c>
      <c r="P321" s="142" t="s">
        <v>139</v>
      </c>
      <c r="Q321" s="142" t="s">
        <v>39</v>
      </c>
      <c r="R321" s="76"/>
      <c r="S321" s="76"/>
      <c r="T321" s="76"/>
      <c r="U321" s="76"/>
      <c r="V321" s="76"/>
      <c r="W321" s="76"/>
      <c r="X321" s="76"/>
      <c r="Y321" s="76"/>
    </row>
    <row r="322" spans="1:25" s="6" customFormat="1" x14ac:dyDescent="0.25">
      <c r="A322" s="101"/>
      <c r="B322" s="101"/>
      <c r="C322" s="1" t="str">
        <f>_xlfn.CONCAT(tabE.Flux[[#This Row],[DATA]],"+",tabE.Flux[[#This Row],[MOTORISTA + MATRÍCULA A]])</f>
        <v>45898+JOAO DE JESUS GOUVEIA - 6016</v>
      </c>
      <c r="D322" s="1" t="str">
        <f>_xlfn.CONCAT(tabE.Flux[[#This Row],[DATA]],"+",tabE.Flux[[#This Row],[MOTORISTA + MATRÍCULA B]])</f>
        <v>45898+CLODOALDO PEREIRA DE LIMA - 4067</v>
      </c>
      <c r="E322" s="1" t="str">
        <f>_xlfn.CONCAT(tabE.Flux[[#This Row],[DATA]],"+",tabE.Flux[[#This Row],[MOTORISTA + MATRÍCULA A]],"+",tabE.Flux[[#This Row],[LINHA]])</f>
        <v>45898+JOAO DE JESUS GOUVEIA - 6016+GOIANIA (GO) X BELEM (PA)</v>
      </c>
      <c r="F322" s="1" t="str">
        <f>_xlfn.CONCAT(tabE.Flux[[#This Row],[DATA]],"+",tabE.Flux[[#This Row],[MOTORISTA + MATRÍCULA B]],"+",tabE.Flux[[#This Row],[LINHA]])</f>
        <v>45898+CLODOALDO PEREIRA DE LIMA - 4067+GOIANIA (GO) X BELEM (PA)</v>
      </c>
      <c r="G322" s="1" t="str">
        <f>_xlfn.CONCAT(tabE.Flux[[#This Row],[DATA]],"+",tabE.Flux[[#This Row],[LINHA]])</f>
        <v>45898+GOIANIA (GO) X BELEM (PA)</v>
      </c>
      <c r="H322" s="141">
        <v>45898</v>
      </c>
      <c r="I322" s="142" t="s">
        <v>15</v>
      </c>
      <c r="J322" s="142">
        <v>24005</v>
      </c>
      <c r="K322" s="143">
        <v>0.76041666666666663</v>
      </c>
      <c r="L322" s="143">
        <v>0.77083333333333337</v>
      </c>
      <c r="M322" s="142" t="s">
        <v>33</v>
      </c>
      <c r="N322" s="142" t="s">
        <v>16</v>
      </c>
      <c r="O322" s="142" t="s">
        <v>58</v>
      </c>
      <c r="P322" s="142" t="s">
        <v>109</v>
      </c>
      <c r="Q322" s="142" t="s">
        <v>20</v>
      </c>
      <c r="R322" s="76"/>
      <c r="S322" s="76"/>
      <c r="T322" s="76"/>
      <c r="U322" s="76"/>
      <c r="V322" s="76"/>
      <c r="W322" s="76"/>
      <c r="X322" s="76"/>
      <c r="Y322" s="76"/>
    </row>
    <row r="323" spans="1:25" s="6" customFormat="1" x14ac:dyDescent="0.25">
      <c r="A323" s="101"/>
      <c r="B323" s="101"/>
      <c r="C323" s="1" t="str">
        <f>_xlfn.CONCAT(tabE.Flux[[#This Row],[DATA]],"+",tabE.Flux[[#This Row],[MOTORISTA + MATRÍCULA A]])</f>
        <v>45898+JAME DOS SANTOS MOURA - 5332</v>
      </c>
      <c r="D323" s="1" t="str">
        <f>_xlfn.CONCAT(tabE.Flux[[#This Row],[DATA]],"+",tabE.Flux[[#This Row],[MOTORISTA + MATRÍCULA B]])</f>
        <v>45898+  FELIPE MORAIS MELO- 3077</v>
      </c>
      <c r="E323" s="1" t="str">
        <f>_xlfn.CONCAT(tabE.Flux[[#This Row],[DATA]],"+",tabE.Flux[[#This Row],[MOTORISTA + MATRÍCULA A]],"+",tabE.Flux[[#This Row],[LINHA]])</f>
        <v>45898+JAME DOS SANTOS MOURA - 5332+GOIANIA (GO) X BELEM (PA)</v>
      </c>
      <c r="F323" s="1" t="str">
        <f>_xlfn.CONCAT(tabE.Flux[[#This Row],[DATA]],"+",tabE.Flux[[#This Row],[MOTORISTA + MATRÍCULA B]],"+",tabE.Flux[[#This Row],[LINHA]])</f>
        <v>45898+  FELIPE MORAIS MELO- 3077+GOIANIA (GO) X BELEM (PA)</v>
      </c>
      <c r="G323" s="1" t="str">
        <f>_xlfn.CONCAT(tabE.Flux[[#This Row],[DATA]],"+",tabE.Flux[[#This Row],[LINHA]])</f>
        <v>45898+GOIANIA (GO) X BELEM (PA)</v>
      </c>
      <c r="H323" s="141">
        <v>45898</v>
      </c>
      <c r="I323" s="142" t="s">
        <v>15</v>
      </c>
      <c r="J323" s="142">
        <v>25007</v>
      </c>
      <c r="K323" s="143">
        <v>0.76041666666666663</v>
      </c>
      <c r="L323" s="143">
        <v>0.82777777777777772</v>
      </c>
      <c r="M323" s="142" t="s">
        <v>16</v>
      </c>
      <c r="N323" s="142" t="s">
        <v>33</v>
      </c>
      <c r="O323" s="142" t="s">
        <v>103</v>
      </c>
      <c r="P323" s="142" t="s">
        <v>223</v>
      </c>
      <c r="Q323" s="142" t="s">
        <v>20</v>
      </c>
      <c r="R323" s="76"/>
      <c r="S323" s="76"/>
      <c r="T323" s="76"/>
      <c r="U323" s="76"/>
      <c r="V323" s="76"/>
      <c r="W323" s="76"/>
      <c r="X323" s="76"/>
      <c r="Y323" s="76"/>
    </row>
    <row r="324" spans="1:25" s="6" customFormat="1" x14ac:dyDescent="0.25">
      <c r="A324" s="101"/>
      <c r="B324" s="101"/>
      <c r="C324" s="1" t="str">
        <f>_xlfn.CONCAT(tabE.Flux[[#This Row],[DATA]],"+",tabE.Flux[[#This Row],[MOTORISTA + MATRÍCULA A]])</f>
        <v>45898+FABIO MOREIRA DOS SANTOS - 3073</v>
      </c>
      <c r="D324" s="1" t="str">
        <f>_xlfn.CONCAT(tabE.Flux[[#This Row],[DATA]],"+",tabE.Flux[[#This Row],[MOTORISTA + MATRÍCULA B]])</f>
        <v>45898+KAYLSON KLEYTON DA SILVA COSTA - 6224</v>
      </c>
      <c r="E324" s="1" t="str">
        <f>_xlfn.CONCAT(tabE.Flux[[#This Row],[DATA]],"+",tabE.Flux[[#This Row],[MOTORISTA + MATRÍCULA A]],"+",tabE.Flux[[#This Row],[LINHA]])</f>
        <v>45898+FABIO MOREIRA DOS SANTOS - 3073+GOIANIA (GO) X SAO LUIS (MA)</v>
      </c>
      <c r="F324" s="1" t="str">
        <f>_xlfn.CONCAT(tabE.Flux[[#This Row],[DATA]],"+",tabE.Flux[[#This Row],[MOTORISTA + MATRÍCULA B]],"+",tabE.Flux[[#This Row],[LINHA]])</f>
        <v>45898+KAYLSON KLEYTON DA SILVA COSTA - 6224+GOIANIA (GO) X SAO LUIS (MA)</v>
      </c>
      <c r="G324" s="1" t="str">
        <f>_xlfn.CONCAT(tabE.Flux[[#This Row],[DATA]],"+",tabE.Flux[[#This Row],[LINHA]])</f>
        <v>45898+GOIANIA (GO) X SAO LUIS (MA)</v>
      </c>
      <c r="H324" s="141">
        <v>45898</v>
      </c>
      <c r="I324" s="142" t="s">
        <v>15</v>
      </c>
      <c r="J324" s="142">
        <v>19019</v>
      </c>
      <c r="K324" s="143">
        <v>0.40763888888888888</v>
      </c>
      <c r="L324" s="143">
        <v>0.47013888888888888</v>
      </c>
      <c r="M324" s="142" t="s">
        <v>16</v>
      </c>
      <c r="N324" s="142" t="s">
        <v>42</v>
      </c>
      <c r="O324" s="142" t="s">
        <v>50</v>
      </c>
      <c r="P324" s="142" t="s">
        <v>80</v>
      </c>
      <c r="Q324" s="142" t="s">
        <v>23</v>
      </c>
      <c r="R324" s="76"/>
      <c r="S324" s="76"/>
      <c r="T324" s="76"/>
      <c r="U324" s="76"/>
      <c r="V324" s="76"/>
      <c r="W324" s="76"/>
      <c r="X324" s="76"/>
      <c r="Y324" s="76"/>
    </row>
    <row r="325" spans="1:25" s="6" customFormat="1" x14ac:dyDescent="0.25">
      <c r="A325" s="101"/>
      <c r="B325" s="101"/>
      <c r="C325" s="1" t="str">
        <f>_xlfn.CONCAT(tabE.Flux[[#This Row],[DATA]],"+",tabE.Flux[[#This Row],[MOTORISTA + MATRÍCULA A]])</f>
        <v>45898+ANTONIO RAMIRO WEBER - 5452</v>
      </c>
      <c r="D325" s="1" t="str">
        <f>_xlfn.CONCAT(tabE.Flux[[#This Row],[DATA]],"+",tabE.Flux[[#This Row],[MOTORISTA + MATRÍCULA B]])</f>
        <v>45898+PAULO ENEAS FARIAS ARAUJO - 6218</v>
      </c>
      <c r="E325" s="1" t="str">
        <f>_xlfn.CONCAT(tabE.Flux[[#This Row],[DATA]],"+",tabE.Flux[[#This Row],[MOTORISTA + MATRÍCULA A]],"+",tabE.Flux[[#This Row],[LINHA]])</f>
        <v>45898+ANTONIO RAMIRO WEBER - 5452+IMPERATRIZ (MA) X SÃO LUIS (MA)</v>
      </c>
      <c r="F325" s="1" t="str">
        <f>_xlfn.CONCAT(tabE.Flux[[#This Row],[DATA]],"+",tabE.Flux[[#This Row],[MOTORISTA + MATRÍCULA B]],"+",tabE.Flux[[#This Row],[LINHA]])</f>
        <v>45898+PAULO ENEAS FARIAS ARAUJO - 6218+IMPERATRIZ (MA) X SÃO LUIS (MA)</v>
      </c>
      <c r="G325" s="1" t="str">
        <f>_xlfn.CONCAT(tabE.Flux[[#This Row],[DATA]],"+",tabE.Flux[[#This Row],[LINHA]])</f>
        <v>45898+IMPERATRIZ (MA) X SÃO LUIS (MA)</v>
      </c>
      <c r="H325" s="141">
        <v>45898</v>
      </c>
      <c r="I325" s="142" t="s">
        <v>15</v>
      </c>
      <c r="J325" s="142">
        <v>19021</v>
      </c>
      <c r="K325" s="143">
        <v>0.77083333333333337</v>
      </c>
      <c r="L325" s="143">
        <v>0.8125</v>
      </c>
      <c r="M325" s="142" t="s">
        <v>16</v>
      </c>
      <c r="N325" s="142" t="s">
        <v>42</v>
      </c>
      <c r="O325" s="142" t="s">
        <v>79</v>
      </c>
      <c r="P325" s="142" t="s">
        <v>43</v>
      </c>
      <c r="Q325" s="142" t="s">
        <v>47</v>
      </c>
      <c r="R325" s="76"/>
      <c r="S325" s="76"/>
      <c r="T325" s="76"/>
      <c r="U325" s="76"/>
      <c r="V325" s="76"/>
      <c r="W325" s="76"/>
      <c r="X325" s="76"/>
      <c r="Y325" s="76"/>
    </row>
    <row r="326" spans="1:25" s="6" customFormat="1" x14ac:dyDescent="0.25">
      <c r="A326" s="101"/>
      <c r="B326" s="101"/>
      <c r="C326" s="1" t="str">
        <f>_xlfn.CONCAT(tabE.Flux[[#This Row],[DATA]],"+",tabE.Flux[[#This Row],[MOTORISTA + MATRÍCULA A]])</f>
        <v>45898+VALDEY OLIVEIRA ARAUJO - 2790</v>
      </c>
      <c r="D326" s="1" t="str">
        <f>_xlfn.CONCAT(tabE.Flux[[#This Row],[DATA]],"+",tabE.Flux[[#This Row],[MOTORISTA + MATRÍCULA B]])</f>
        <v>45898+RAIMUNDO COSTA SILVA - 6226</v>
      </c>
      <c r="E326" s="1" t="str">
        <f>_xlfn.CONCAT(tabE.Flux[[#This Row],[DATA]],"+",tabE.Flux[[#This Row],[MOTORISTA + MATRÍCULA A]],"+",tabE.Flux[[#This Row],[LINHA]])</f>
        <v>45898+VALDEY OLIVEIRA ARAUJO - 2790+GOIANIA (GO) X SAO LUIS (MA)</v>
      </c>
      <c r="F326" s="1" t="str">
        <f>_xlfn.CONCAT(tabE.Flux[[#This Row],[DATA]],"+",tabE.Flux[[#This Row],[MOTORISTA + MATRÍCULA B]],"+",tabE.Flux[[#This Row],[LINHA]])</f>
        <v>45898+RAIMUNDO COSTA SILVA - 6226+GOIANIA (GO) X SAO LUIS (MA)</v>
      </c>
      <c r="G326" s="1" t="str">
        <f>_xlfn.CONCAT(tabE.Flux[[#This Row],[DATA]],"+",tabE.Flux[[#This Row],[LINHA]])</f>
        <v>45898+GOIANIA (GO) X SAO LUIS (MA)</v>
      </c>
      <c r="H326" s="141">
        <v>45898</v>
      </c>
      <c r="I326" s="142" t="s">
        <v>15</v>
      </c>
      <c r="J326" s="142">
        <v>24014</v>
      </c>
      <c r="K326" s="143">
        <v>0.8125</v>
      </c>
      <c r="L326" s="143">
        <v>0.84375</v>
      </c>
      <c r="M326" s="142" t="s">
        <v>16</v>
      </c>
      <c r="N326" s="142" t="s">
        <v>42</v>
      </c>
      <c r="O326" s="142" t="s">
        <v>34</v>
      </c>
      <c r="P326" s="142" t="s">
        <v>45</v>
      </c>
      <c r="Q326" s="142" t="s">
        <v>23</v>
      </c>
      <c r="R326" s="76"/>
      <c r="S326" s="76"/>
      <c r="T326" s="76"/>
      <c r="U326" s="76"/>
      <c r="V326" s="76"/>
      <c r="W326" s="76"/>
      <c r="X326" s="76"/>
      <c r="Y326" s="76"/>
    </row>
    <row r="327" spans="1:25" s="6" customFormat="1" x14ac:dyDescent="0.25">
      <c r="A327" s="101"/>
      <c r="B327" s="101"/>
      <c r="C327" s="1" t="str">
        <f>_xlfn.CONCAT(tabE.Flux[[#This Row],[DATA]],"+",tabE.Flux[[#This Row],[MOTORISTA + MATRÍCULA A]])</f>
        <v>45898+JARDEL DE SOUSA OLIVEIRA - 5992</v>
      </c>
      <c r="D327" s="1" t="str">
        <f>_xlfn.CONCAT(tabE.Flux[[#This Row],[DATA]],"+",tabE.Flux[[#This Row],[MOTORISTA + MATRÍCULA B]])</f>
        <v>45898+GENIVAN LEAL TEIXEIRA - 5302</v>
      </c>
      <c r="E327" s="1" t="str">
        <f>_xlfn.CONCAT(tabE.Flux[[#This Row],[DATA]],"+",tabE.Flux[[#This Row],[MOTORISTA + MATRÍCULA A]],"+",tabE.Flux[[#This Row],[LINHA]])</f>
        <v>45898+JARDEL DE SOUSA OLIVEIRA - 5992+GOIANIA (GO) X TERESINA (PI) VIA STI</v>
      </c>
      <c r="F327" s="1" t="str">
        <f>_xlfn.CONCAT(tabE.Flux[[#This Row],[DATA]],"+",tabE.Flux[[#This Row],[MOTORISTA + MATRÍCULA B]],"+",tabE.Flux[[#This Row],[LINHA]])</f>
        <v>45898+GENIVAN LEAL TEIXEIRA - 5302+GOIANIA (GO) X TERESINA (PI) VIA STI</v>
      </c>
      <c r="G327" s="1" t="str">
        <f>_xlfn.CONCAT(tabE.Flux[[#This Row],[DATA]],"+",tabE.Flux[[#This Row],[LINHA]])</f>
        <v>45898+GOIANIA (GO) X TERESINA (PI) VIA STI</v>
      </c>
      <c r="H327" s="141">
        <v>45898</v>
      </c>
      <c r="I327" s="142" t="s">
        <v>15</v>
      </c>
      <c r="J327" s="142">
        <v>20018</v>
      </c>
      <c r="K327" s="143">
        <v>0.77083333333333337</v>
      </c>
      <c r="L327" s="143">
        <v>0.79861111111111116</v>
      </c>
      <c r="M327" s="142" t="s">
        <v>16</v>
      </c>
      <c r="N327" s="142" t="s">
        <v>29</v>
      </c>
      <c r="O327" s="142" t="s">
        <v>150</v>
      </c>
      <c r="P327" s="142" t="s">
        <v>38</v>
      </c>
      <c r="Q327" s="142" t="s">
        <v>26</v>
      </c>
      <c r="R327" s="76"/>
      <c r="S327" s="76"/>
      <c r="T327" s="76"/>
      <c r="U327" s="76"/>
      <c r="V327" s="76"/>
      <c r="W327" s="76"/>
      <c r="X327" s="76"/>
      <c r="Y327" s="76"/>
    </row>
    <row r="328" spans="1:25" s="6" customFormat="1" x14ac:dyDescent="0.25">
      <c r="A328" s="101"/>
      <c r="B328" s="101"/>
      <c r="C328" s="1" t="str">
        <f>_xlfn.CONCAT(tabE.Flux[[#This Row],[DATA]],"+",tabE.Flux[[#This Row],[MOTORISTA + MATRÍCULA A]])</f>
        <v>45898+BRUNO MATOS DA ROCHA - 6013</v>
      </c>
      <c r="D328" s="1" t="str">
        <f>_xlfn.CONCAT(tabE.Flux[[#This Row],[DATA]],"+",tabE.Flux[[#This Row],[MOTORISTA + MATRÍCULA B]])</f>
        <v>45898+LUIZ CARLOS MARIANO SIQUEIRA - 5634</v>
      </c>
      <c r="E328" s="1" t="str">
        <f>_xlfn.CONCAT(tabE.Flux[[#This Row],[DATA]],"+",tabE.Flux[[#This Row],[MOTORISTA + MATRÍCULA A]],"+",tabE.Flux[[#This Row],[LINHA]])</f>
        <v>45898+BRUNO MATOS DA ROCHA - 6013+GOIANIA (GO) X SAO LUIS (MA)</v>
      </c>
      <c r="F328" s="1" t="str">
        <f>_xlfn.CONCAT(tabE.Flux[[#This Row],[DATA]],"+",tabE.Flux[[#This Row],[MOTORISTA + MATRÍCULA B]],"+",tabE.Flux[[#This Row],[LINHA]])</f>
        <v>45898+LUIZ CARLOS MARIANO SIQUEIRA - 5634+GOIANIA (GO) X SAO LUIS (MA)</v>
      </c>
      <c r="G328" s="1" t="str">
        <f>_xlfn.CONCAT(tabE.Flux[[#This Row],[DATA]],"+",tabE.Flux[[#This Row],[LINHA]])</f>
        <v>45898+GOIANIA (GO) X SAO LUIS (MA)</v>
      </c>
      <c r="H328" s="141">
        <v>45898</v>
      </c>
      <c r="I328" s="142" t="s">
        <v>15</v>
      </c>
      <c r="J328" s="142">
        <v>19024</v>
      </c>
      <c r="K328" s="143">
        <v>0.8125</v>
      </c>
      <c r="L328" s="143">
        <v>0.84166666666666667</v>
      </c>
      <c r="M328" s="142" t="s">
        <v>16</v>
      </c>
      <c r="N328" s="142" t="s">
        <v>17</v>
      </c>
      <c r="O328" s="142" t="s">
        <v>147</v>
      </c>
      <c r="P328" s="142" t="s">
        <v>51</v>
      </c>
      <c r="Q328" s="142" t="s">
        <v>23</v>
      </c>
      <c r="R328" s="76"/>
      <c r="S328" s="76"/>
      <c r="T328" s="76"/>
      <c r="U328" s="76"/>
      <c r="V328" s="76"/>
      <c r="W328" s="76"/>
      <c r="X328" s="76"/>
      <c r="Y328" s="76"/>
    </row>
    <row r="329" spans="1:25" s="6" customFormat="1" x14ac:dyDescent="0.25">
      <c r="A329" s="101"/>
      <c r="B329" s="101"/>
      <c r="C329" s="1" t="str">
        <f>_xlfn.CONCAT(tabE.Flux[[#This Row],[DATA]],"+",tabE.Flux[[#This Row],[MOTORISTA + MATRÍCULA A]])</f>
        <v>45898+EDUARDO SANTOS BEZERRA - 4066</v>
      </c>
      <c r="D329" s="1" t="str">
        <f>_xlfn.CONCAT(tabE.Flux[[#This Row],[DATA]],"+",tabE.Flux[[#This Row],[MOTORISTA + MATRÍCULA B]])</f>
        <v>45898+JOAO FERREIRA COSTA - 5545</v>
      </c>
      <c r="E329" s="1" t="str">
        <f>_xlfn.CONCAT(tabE.Flux[[#This Row],[DATA]],"+",tabE.Flux[[#This Row],[MOTORISTA + MATRÍCULA A]],"+",tabE.Flux[[#This Row],[LINHA]])</f>
        <v>45898+EDUARDO SANTOS BEZERRA - 4066+FORTALEZA (CE) X SINOP (MT)</v>
      </c>
      <c r="F329" s="1" t="str">
        <f>_xlfn.CONCAT(tabE.Flux[[#This Row],[DATA]],"+",tabE.Flux[[#This Row],[MOTORISTA + MATRÍCULA B]],"+",tabE.Flux[[#This Row],[LINHA]])</f>
        <v>45898+JOAO FERREIRA COSTA - 5545+FORTALEZA (CE) X SINOP (MT)</v>
      </c>
      <c r="G329" s="1" t="str">
        <f>_xlfn.CONCAT(tabE.Flux[[#This Row],[DATA]],"+",tabE.Flux[[#This Row],[LINHA]])</f>
        <v>45898+FORTALEZA (CE) X SINOP (MT)</v>
      </c>
      <c r="H329" s="141">
        <v>45898</v>
      </c>
      <c r="I329" s="142" t="s">
        <v>15</v>
      </c>
      <c r="J329" s="142">
        <v>19005</v>
      </c>
      <c r="K329" s="143">
        <v>0.8125</v>
      </c>
      <c r="L329" s="143">
        <v>0.85416666666666663</v>
      </c>
      <c r="M329" s="142" t="s">
        <v>16</v>
      </c>
      <c r="N329" s="142" t="s">
        <v>17</v>
      </c>
      <c r="O329" s="142" t="s">
        <v>148</v>
      </c>
      <c r="P329" s="142" t="s">
        <v>61</v>
      </c>
      <c r="Q329" s="142" t="s">
        <v>32</v>
      </c>
      <c r="R329" s="76"/>
      <c r="S329" s="76"/>
      <c r="T329" s="76"/>
      <c r="U329" s="76"/>
      <c r="V329" s="76"/>
      <c r="W329" s="76"/>
      <c r="X329" s="76"/>
      <c r="Y329" s="76"/>
    </row>
    <row r="330" spans="1:25" s="6" customFormat="1" x14ac:dyDescent="0.25">
      <c r="A330" s="101"/>
      <c r="B330" s="101"/>
      <c r="C330" s="1" t="str">
        <f>_xlfn.CONCAT(tabE.Flux[[#This Row],[DATA]],"+",tabE.Flux[[#This Row],[MOTORISTA + MATRÍCULA A]])</f>
        <v>45898+GILMAR RODRIGUES DE LIMA - 5819</v>
      </c>
      <c r="D330" s="1" t="str">
        <f>_xlfn.CONCAT(tabE.Flux[[#This Row],[DATA]],"+",tabE.Flux[[#This Row],[MOTORISTA + MATRÍCULA B]])</f>
        <v>45898+CELSO VIEIRA DA SILVA - 5244</v>
      </c>
      <c r="E330" s="1" t="str">
        <f>_xlfn.CONCAT(tabE.Flux[[#This Row],[DATA]],"+",tabE.Flux[[#This Row],[MOTORISTA + MATRÍCULA A]],"+",tabE.Flux[[#This Row],[LINHA]])</f>
        <v>45898+GILMAR RODRIGUES DE LIMA - 5819+GOIANIA (GO) X BELEM (PA)</v>
      </c>
      <c r="F330" s="1" t="str">
        <f>_xlfn.CONCAT(tabE.Flux[[#This Row],[DATA]],"+",tabE.Flux[[#This Row],[MOTORISTA + MATRÍCULA B]],"+",tabE.Flux[[#This Row],[LINHA]])</f>
        <v>45898+CELSO VIEIRA DA SILVA - 5244+GOIANIA (GO) X BELEM (PA)</v>
      </c>
      <c r="G330" s="1" t="str">
        <f>_xlfn.CONCAT(tabE.Flux[[#This Row],[DATA]],"+",tabE.Flux[[#This Row],[LINHA]])</f>
        <v>45898+GOIANIA (GO) X BELEM (PA)</v>
      </c>
      <c r="H330" s="141">
        <v>45898</v>
      </c>
      <c r="I330" s="142" t="s">
        <v>15</v>
      </c>
      <c r="J330" s="142">
        <v>19011</v>
      </c>
      <c r="K330" s="143">
        <v>0.84722222222222221</v>
      </c>
      <c r="L330" s="143">
        <v>0.87847222222222221</v>
      </c>
      <c r="M330" s="142" t="s">
        <v>16</v>
      </c>
      <c r="N330" s="142" t="s">
        <v>17</v>
      </c>
      <c r="O330" s="142" t="s">
        <v>193</v>
      </c>
      <c r="P330" s="142" t="s">
        <v>194</v>
      </c>
      <c r="Q330" s="142" t="s">
        <v>20</v>
      </c>
      <c r="R330" s="76"/>
      <c r="S330" s="76"/>
      <c r="T330" s="76"/>
      <c r="U330" s="76"/>
      <c r="V330" s="76"/>
      <c r="W330" s="76"/>
      <c r="X330" s="76"/>
      <c r="Y330" s="76"/>
    </row>
    <row r="331" spans="1:25" s="6" customFormat="1" x14ac:dyDescent="0.25">
      <c r="A331" s="101"/>
      <c r="B331" s="101"/>
      <c r="C331" s="1" t="str">
        <f>_xlfn.CONCAT(tabE.Flux[[#This Row],[DATA]],"+",tabE.Flux[[#This Row],[MOTORISTA + MATRÍCULA A]])</f>
        <v>+</v>
      </c>
      <c r="D331" s="1" t="str">
        <f>_xlfn.CONCAT(tabE.Flux[[#This Row],[DATA]],"+",tabE.Flux[[#This Row],[MOTORISTA + MATRÍCULA B]])</f>
        <v>+</v>
      </c>
      <c r="E331" s="1" t="str">
        <f>_xlfn.CONCAT(tabE.Flux[[#This Row],[DATA]],"+",tabE.Flux[[#This Row],[MOTORISTA + MATRÍCULA A]],"+",tabE.Flux[[#This Row],[LINHA]])</f>
        <v>++</v>
      </c>
      <c r="F331" s="1" t="str">
        <f>_xlfn.CONCAT(tabE.Flux[[#This Row],[DATA]],"+",tabE.Flux[[#This Row],[MOTORISTA + MATRÍCULA B]],"+",tabE.Flux[[#This Row],[LINHA]])</f>
        <v>++</v>
      </c>
      <c r="G331" s="1" t="str">
        <f>_xlfn.CONCAT(tabE.Flux[[#This Row],[DATA]],"+",tabE.Flux[[#This Row],[LINHA]])</f>
        <v>+</v>
      </c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76"/>
      <c r="S331" s="76"/>
      <c r="T331" s="76"/>
      <c r="U331" s="76"/>
      <c r="V331" s="76"/>
      <c r="W331" s="76"/>
      <c r="X331" s="76"/>
      <c r="Y331" s="76"/>
    </row>
    <row r="332" spans="1:25" s="6" customFormat="1" ht="15" customHeight="1" x14ac:dyDescent="0.25">
      <c r="A332" s="101"/>
      <c r="B332" s="101"/>
      <c r="C332" s="1" t="str">
        <f>_xlfn.CONCAT(tabE.Flux[[#This Row],[DATA]],"+",tabE.Flux[[#This Row],[MOTORISTA + MATRÍCULA A]])</f>
        <v>45899+CARLOS ALBERTO DE LIMA - 2777</v>
      </c>
      <c r="D332" s="1" t="str">
        <f>_xlfn.CONCAT(tabE.Flux[[#This Row],[DATA]],"+",tabE.Flux[[#This Row],[MOTORISTA + MATRÍCULA B]])</f>
        <v>45899+NEURI BISPO DA SILVA - 2682</v>
      </c>
      <c r="E332" s="1" t="str">
        <f>_xlfn.CONCAT(tabE.Flux[[#This Row],[DATA]],"+",tabE.Flux[[#This Row],[MOTORISTA + MATRÍCULA A]],"+",tabE.Flux[[#This Row],[LINHA]])</f>
        <v>45899+CARLOS ALBERTO DE LIMA - 2777+GOIANIA (GO) X BELEM (PA)</v>
      </c>
      <c r="F332" s="1" t="str">
        <f>_xlfn.CONCAT(tabE.Flux[[#This Row],[DATA]],"+",tabE.Flux[[#This Row],[MOTORISTA + MATRÍCULA B]],"+",tabE.Flux[[#This Row],[LINHA]])</f>
        <v>45899+NEURI BISPO DA SILVA - 2682+GOIANIA (GO) X BELEM (PA)</v>
      </c>
      <c r="G332" s="1" t="str">
        <f>_xlfn.CONCAT(tabE.Flux[[#This Row],[DATA]],"+",tabE.Flux[[#This Row],[LINHA]])</f>
        <v>45899+GOIANIA (GO) X BELEM (PA)</v>
      </c>
      <c r="H332" s="141">
        <v>45899</v>
      </c>
      <c r="I332" s="142" t="s">
        <v>15</v>
      </c>
      <c r="J332" s="142">
        <v>24005</v>
      </c>
      <c r="K332" s="143">
        <v>0.25486111111111109</v>
      </c>
      <c r="L332" s="143">
        <v>0.3</v>
      </c>
      <c r="M332" s="142" t="s">
        <v>16</v>
      </c>
      <c r="N332" s="142" t="s">
        <v>17</v>
      </c>
      <c r="O332" s="142" t="s">
        <v>165</v>
      </c>
      <c r="P332" s="142" t="s">
        <v>166</v>
      </c>
      <c r="Q332" s="142" t="s">
        <v>20</v>
      </c>
      <c r="R332" s="76"/>
      <c r="S332" s="76"/>
      <c r="T332" s="76"/>
      <c r="U332" s="76"/>
      <c r="V332" s="76"/>
      <c r="W332" s="76"/>
      <c r="X332" s="76"/>
      <c r="Y332" s="76"/>
    </row>
    <row r="333" spans="1:25" s="6" customFormat="1" x14ac:dyDescent="0.25">
      <c r="A333" s="101"/>
      <c r="B333" s="101"/>
      <c r="C333" s="1" t="str">
        <f>_xlfn.CONCAT(tabE.Flux[[#This Row],[DATA]],"+",tabE.Flux[[#This Row],[MOTORISTA + MATRÍCULA A]])</f>
        <v>45899+CLEYTON CEZAR DA SILVA - 5741</v>
      </c>
      <c r="D333" s="1" t="str">
        <f>_xlfn.CONCAT(tabE.Flux[[#This Row],[DATA]],"+",tabE.Flux[[#This Row],[MOTORISTA + MATRÍCULA B]])</f>
        <v>45899+JOAO ANIVAIR DE QUEIROZ - 5608</v>
      </c>
      <c r="E333" s="1" t="str">
        <f>_xlfn.CONCAT(tabE.Flux[[#This Row],[DATA]],"+",tabE.Flux[[#This Row],[MOTORISTA + MATRÍCULA A]],"+",tabE.Flux[[#This Row],[LINHA]])</f>
        <v>45899+CLEYTON CEZAR DA SILVA - 5741+GOIANIA (GO) X SAO LUIS (MA)</v>
      </c>
      <c r="F333" s="1" t="str">
        <f>_xlfn.CONCAT(tabE.Flux[[#This Row],[DATA]],"+",tabE.Flux[[#This Row],[MOTORISTA + MATRÍCULA B]],"+",tabE.Flux[[#This Row],[LINHA]])</f>
        <v>45899+JOAO ANIVAIR DE QUEIROZ - 5608+GOIANIA (GO) X SAO LUIS (MA)</v>
      </c>
      <c r="G333" s="1" t="str">
        <f>_xlfn.CONCAT(tabE.Flux[[#This Row],[DATA]],"+",tabE.Flux[[#This Row],[LINHA]])</f>
        <v>45899+GOIANIA (GO) X SAO LUIS (MA)</v>
      </c>
      <c r="H333" s="141">
        <v>45899</v>
      </c>
      <c r="I333" s="142" t="s">
        <v>15</v>
      </c>
      <c r="J333" s="142">
        <v>24004</v>
      </c>
      <c r="K333" s="143">
        <v>0.32291666666666669</v>
      </c>
      <c r="L333" s="143">
        <v>0.33333333333333331</v>
      </c>
      <c r="M333" s="142" t="s">
        <v>16</v>
      </c>
      <c r="N333" s="142" t="s">
        <v>17</v>
      </c>
      <c r="O333" s="142" t="s">
        <v>155</v>
      </c>
      <c r="P333" s="142" t="s">
        <v>156</v>
      </c>
      <c r="Q333" s="142" t="s">
        <v>23</v>
      </c>
      <c r="R333" s="76"/>
      <c r="S333" s="76"/>
      <c r="T333" s="76"/>
      <c r="U333" s="76"/>
      <c r="V333" s="76"/>
      <c r="W333" s="76"/>
      <c r="X333" s="76"/>
      <c r="Y333" s="76"/>
    </row>
    <row r="334" spans="1:25" s="6" customFormat="1" x14ac:dyDescent="0.25">
      <c r="A334" s="101"/>
      <c r="B334" s="101"/>
      <c r="C334" s="1" t="str">
        <f>_xlfn.CONCAT(tabE.Flux[[#This Row],[DATA]],"+",tabE.Flux[[#This Row],[MOTORISTA + MATRÍCULA A]])</f>
        <v>45899+PAULO TRINDADE DE ALMEIDA - 5742</v>
      </c>
      <c r="D334" s="1" t="str">
        <f>_xlfn.CONCAT(tabE.Flux[[#This Row],[DATA]],"+",tabE.Flux[[#This Row],[MOTORISTA + MATRÍCULA B]])</f>
        <v>45899+WALDIR DE ALMEIDA CORTE JUNIOR - 5960</v>
      </c>
      <c r="E334" s="1" t="str">
        <f>_xlfn.CONCAT(tabE.Flux[[#This Row],[DATA]],"+",tabE.Flux[[#This Row],[MOTORISTA + MATRÍCULA A]],"+",tabE.Flux[[#This Row],[LINHA]])</f>
        <v>45899+PAULO TRINDADE DE ALMEIDA - 5742+GOIANIA (GO) X TERESINA (PI) VIA STI</v>
      </c>
      <c r="F334" s="1" t="str">
        <f>_xlfn.CONCAT(tabE.Flux[[#This Row],[DATA]],"+",tabE.Flux[[#This Row],[MOTORISTA + MATRÍCULA B]],"+",tabE.Flux[[#This Row],[LINHA]])</f>
        <v>45899+WALDIR DE ALMEIDA CORTE JUNIOR - 5960+GOIANIA (GO) X TERESINA (PI) VIA STI</v>
      </c>
      <c r="G334" s="1" t="str">
        <f>_xlfn.CONCAT(tabE.Flux[[#This Row],[DATA]],"+",tabE.Flux[[#This Row],[LINHA]])</f>
        <v>45899+GOIANIA (GO) X TERESINA (PI) VIA STI</v>
      </c>
      <c r="H334" s="141">
        <v>45899</v>
      </c>
      <c r="I334" s="142" t="s">
        <v>15</v>
      </c>
      <c r="J334" s="142">
        <v>15800</v>
      </c>
      <c r="K334" s="143">
        <v>0.3888888888888889</v>
      </c>
      <c r="L334" s="143">
        <v>0.39583333333333331</v>
      </c>
      <c r="M334" s="142" t="s">
        <v>16</v>
      </c>
      <c r="N334" s="142" t="s">
        <v>17</v>
      </c>
      <c r="O334" s="142" t="s">
        <v>153</v>
      </c>
      <c r="P334" s="142" t="s">
        <v>154</v>
      </c>
      <c r="Q334" s="142" t="s">
        <v>26</v>
      </c>
      <c r="R334" s="76"/>
      <c r="S334" s="76"/>
      <c r="T334" s="76"/>
      <c r="U334" s="76"/>
      <c r="V334" s="76"/>
      <c r="W334" s="76"/>
      <c r="X334" s="76"/>
      <c r="Y334" s="76"/>
    </row>
    <row r="335" spans="1:25" s="6" customFormat="1" x14ac:dyDescent="0.25">
      <c r="A335" s="101"/>
      <c r="B335" s="101"/>
      <c r="C335" s="1" t="str">
        <f>_xlfn.CONCAT(tabE.Flux[[#This Row],[DATA]],"+",tabE.Flux[[#This Row],[MOTORISTA + MATRÍCULA A]])</f>
        <v>45899+CANCELADO</v>
      </c>
      <c r="D335" s="1" t="str">
        <f>_xlfn.CONCAT(tabE.Flux[[#This Row],[DATA]],"+",tabE.Flux[[#This Row],[MOTORISTA + MATRÍCULA B]])</f>
        <v>45899+CANCELADO</v>
      </c>
      <c r="E335" s="1" t="str">
        <f>_xlfn.CONCAT(tabE.Flux[[#This Row],[DATA]],"+",tabE.Flux[[#This Row],[MOTORISTA + MATRÍCULA A]],"+",tabE.Flux[[#This Row],[LINHA]])</f>
        <v>45899+CANCELADO+</v>
      </c>
      <c r="F335" s="1" t="str">
        <f>_xlfn.CONCAT(tabE.Flux[[#This Row],[DATA]],"+",tabE.Flux[[#This Row],[MOTORISTA + MATRÍCULA B]],"+",tabE.Flux[[#This Row],[LINHA]])</f>
        <v>45899+CANCELADO+</v>
      </c>
      <c r="G335" s="1" t="str">
        <f>_xlfn.CONCAT(tabE.Flux[[#This Row],[DATA]],"+",tabE.Flux[[#This Row],[LINHA]])</f>
        <v>45899+</v>
      </c>
      <c r="H335" s="141">
        <v>45899</v>
      </c>
      <c r="I335" s="142" t="s">
        <v>15</v>
      </c>
      <c r="J335" s="144" t="s">
        <v>27</v>
      </c>
      <c r="K335" s="143">
        <v>0.375</v>
      </c>
      <c r="L335" s="143">
        <v>0.41666666666666669</v>
      </c>
      <c r="M335" s="142" t="s">
        <v>16</v>
      </c>
      <c r="N335" s="142" t="s">
        <v>28</v>
      </c>
      <c r="O335" s="144" t="s">
        <v>27</v>
      </c>
      <c r="P335" s="144" t="s">
        <v>27</v>
      </c>
      <c r="Q335" s="142"/>
      <c r="R335" s="76"/>
      <c r="S335" s="76"/>
      <c r="T335" s="76"/>
      <c r="U335" s="76"/>
      <c r="V335" s="76"/>
      <c r="W335" s="76"/>
      <c r="X335" s="76"/>
      <c r="Y335" s="76"/>
    </row>
    <row r="336" spans="1:25" s="6" customFormat="1" x14ac:dyDescent="0.25">
      <c r="A336" s="101"/>
      <c r="B336" s="101"/>
      <c r="C336" s="1" t="str">
        <f>_xlfn.CONCAT(tabE.Flux[[#This Row],[DATA]],"+",tabE.Flux[[#This Row],[MOTORISTA + MATRÍCULA A]])</f>
        <v>45899+RONALDO ADRIANO COSTA SANTOS - 5637</v>
      </c>
      <c r="D336" s="1" t="str">
        <f>_xlfn.CONCAT(tabE.Flux[[#This Row],[DATA]],"+",tabE.Flux[[#This Row],[MOTORISTA + MATRÍCULA B]])</f>
        <v>45899+PEDRO PAULO DO NASCIMENTO DO CARMO - 2559</v>
      </c>
      <c r="E336" s="1" t="str">
        <f>_xlfn.CONCAT(tabE.Flux[[#This Row],[DATA]],"+",tabE.Flux[[#This Row],[MOTORISTA + MATRÍCULA A]],"+",tabE.Flux[[#This Row],[LINHA]])</f>
        <v>45899+RONALDO ADRIANO COSTA SANTOS - 5637+FORTALEZA (CE) X SINOP (MT)</v>
      </c>
      <c r="F336" s="1" t="str">
        <f>_xlfn.CONCAT(tabE.Flux[[#This Row],[DATA]],"+",tabE.Flux[[#This Row],[MOTORISTA + MATRÍCULA B]],"+",tabE.Flux[[#This Row],[LINHA]])</f>
        <v>45899+PEDRO PAULO DO NASCIMENTO DO CARMO - 2559+FORTALEZA (CE) X SINOP (MT)</v>
      </c>
      <c r="G336" s="1" t="str">
        <f>_xlfn.CONCAT(tabE.Flux[[#This Row],[DATA]],"+",tabE.Flux[[#This Row],[LINHA]])</f>
        <v>45899+FORTALEZA (CE) X SINOP (MT)</v>
      </c>
      <c r="H336" s="141">
        <v>45899</v>
      </c>
      <c r="I336" s="142" t="s">
        <v>15</v>
      </c>
      <c r="J336" s="142">
        <v>19022</v>
      </c>
      <c r="K336" s="143">
        <v>0.3888888888888889</v>
      </c>
      <c r="L336" s="143">
        <v>0.37708333333333333</v>
      </c>
      <c r="M336" s="142" t="s">
        <v>16</v>
      </c>
      <c r="N336" s="142" t="s">
        <v>29</v>
      </c>
      <c r="O336" s="142" t="s">
        <v>41</v>
      </c>
      <c r="P336" s="142" t="s">
        <v>175</v>
      </c>
      <c r="Q336" s="142" t="s">
        <v>32</v>
      </c>
      <c r="R336" s="76"/>
      <c r="S336" s="76"/>
      <c r="T336" s="76"/>
      <c r="U336" s="76"/>
      <c r="V336" s="76"/>
      <c r="W336" s="76"/>
      <c r="X336" s="76"/>
      <c r="Y336" s="76"/>
    </row>
    <row r="337" spans="1:25" s="6" customFormat="1" x14ac:dyDescent="0.25">
      <c r="A337" s="101"/>
      <c r="B337" s="101"/>
      <c r="C337" s="1" t="str">
        <f>_xlfn.CONCAT(tabE.Flux[[#This Row],[DATA]],"+",tabE.Flux[[#This Row],[MOTORISTA + MATRÍCULA A]])</f>
        <v>45899+FRANCISCO RAIMUNDO VIANA DE SOUSA - 5314</v>
      </c>
      <c r="D337" s="1" t="str">
        <f>_xlfn.CONCAT(tabE.Flux[[#This Row],[DATA]],"+",tabE.Flux[[#This Row],[MOTORISTA + MATRÍCULA B]])</f>
        <v>45899+JEFFERSON CARDOSO DOS SANTOS - 5837</v>
      </c>
      <c r="E337" s="1" t="str">
        <f>_xlfn.CONCAT(tabE.Flux[[#This Row],[DATA]],"+",tabE.Flux[[#This Row],[MOTORISTA + MATRÍCULA A]],"+",tabE.Flux[[#This Row],[LINHA]])</f>
        <v>45899+FRANCISCO RAIMUNDO VIANA DE SOUSA - 5314+GOIANIA (GO) X BELEM (PA)</v>
      </c>
      <c r="F337" s="1" t="str">
        <f>_xlfn.CONCAT(tabE.Flux[[#This Row],[DATA]],"+",tabE.Flux[[#This Row],[MOTORISTA + MATRÍCULA B]],"+",tabE.Flux[[#This Row],[LINHA]])</f>
        <v>45899+JEFFERSON CARDOSO DOS SANTOS - 5837+GOIANIA (GO) X BELEM (PA)</v>
      </c>
      <c r="G337" s="1" t="str">
        <f>_xlfn.CONCAT(tabE.Flux[[#This Row],[DATA]],"+",tabE.Flux[[#This Row],[LINHA]])</f>
        <v>45899+GOIANIA (GO) X BELEM (PA)</v>
      </c>
      <c r="H337" s="141">
        <v>45899</v>
      </c>
      <c r="I337" s="142" t="s">
        <v>15</v>
      </c>
      <c r="J337" s="142">
        <v>20017</v>
      </c>
      <c r="K337" s="143">
        <v>0.38958333333333334</v>
      </c>
      <c r="L337" s="143">
        <v>0.38541666666666669</v>
      </c>
      <c r="M337" s="142" t="s">
        <v>16</v>
      </c>
      <c r="N337" s="142" t="s">
        <v>33</v>
      </c>
      <c r="O337" s="142" t="s">
        <v>87</v>
      </c>
      <c r="P337" s="142" t="s">
        <v>30</v>
      </c>
      <c r="Q337" s="142" t="s">
        <v>20</v>
      </c>
      <c r="R337" s="76"/>
      <c r="S337" s="76"/>
      <c r="T337" s="76"/>
      <c r="U337" s="76"/>
      <c r="V337" s="76"/>
      <c r="W337" s="76"/>
      <c r="X337" s="76"/>
      <c r="Y337" s="76"/>
    </row>
    <row r="338" spans="1:25" s="6" customFormat="1" x14ac:dyDescent="0.25">
      <c r="A338" s="101"/>
      <c r="B338" s="101"/>
      <c r="C338" s="1" t="str">
        <f>_xlfn.CONCAT(tabE.Flux[[#This Row],[DATA]],"+",tabE.Flux[[#This Row],[MOTORISTA + MATRÍCULA A]])</f>
        <v>45899+JWEBISON DE BRITO SOUZA - 2999</v>
      </c>
      <c r="D338" s="1" t="str">
        <f>_xlfn.CONCAT(tabE.Flux[[#This Row],[DATA]],"+",tabE.Flux[[#This Row],[MOTORISTA + MATRÍCULA B]])</f>
        <v>45899+RAIMUNDO NONATO FRANCO NETO - 5658</v>
      </c>
      <c r="E338" s="1" t="str">
        <f>_xlfn.CONCAT(tabE.Flux[[#This Row],[DATA]],"+",tabE.Flux[[#This Row],[MOTORISTA + MATRÍCULA A]],"+",tabE.Flux[[#This Row],[LINHA]])</f>
        <v>45899+JWEBISON DE BRITO SOUZA - 2999+GOIANIA (GO) X TERESINA (PI) VIA BC</v>
      </c>
      <c r="F338" s="1" t="str">
        <f>_xlfn.CONCAT(tabE.Flux[[#This Row],[DATA]],"+",tabE.Flux[[#This Row],[MOTORISTA + MATRÍCULA B]],"+",tabE.Flux[[#This Row],[LINHA]])</f>
        <v>45899+RAIMUNDO NONATO FRANCO NETO - 5658+GOIANIA (GO) X TERESINA (PI) VIA BC</v>
      </c>
      <c r="G338" s="1" t="str">
        <f>_xlfn.CONCAT(tabE.Flux[[#This Row],[DATA]],"+",tabE.Flux[[#This Row],[LINHA]])</f>
        <v>45899+GOIANIA (GO) X TERESINA (PI) VIA BC</v>
      </c>
      <c r="H338" s="141">
        <v>45899</v>
      </c>
      <c r="I338" s="142" t="s">
        <v>15</v>
      </c>
      <c r="J338" s="142">
        <v>24016</v>
      </c>
      <c r="K338" s="143">
        <v>0.375</v>
      </c>
      <c r="L338" s="143">
        <v>0.39930555555555558</v>
      </c>
      <c r="M338" s="142" t="s">
        <v>36</v>
      </c>
      <c r="N338" s="142" t="s">
        <v>29</v>
      </c>
      <c r="O338" s="142" t="s">
        <v>77</v>
      </c>
      <c r="P338" s="142" t="s">
        <v>176</v>
      </c>
      <c r="Q338" s="142" t="s">
        <v>39</v>
      </c>
      <c r="R338" s="76"/>
      <c r="S338" s="76"/>
      <c r="T338" s="76"/>
      <c r="U338" s="76"/>
      <c r="V338" s="76"/>
      <c r="W338" s="76"/>
      <c r="X338" s="76"/>
      <c r="Y338" s="76"/>
    </row>
    <row r="339" spans="1:25" s="6" customFormat="1" x14ac:dyDescent="0.25">
      <c r="A339" s="101"/>
      <c r="B339" s="101"/>
      <c r="C339" s="1" t="str">
        <f>_xlfn.CONCAT(tabE.Flux[[#This Row],[DATA]],"+",tabE.Flux[[#This Row],[MOTORISTA + MATRÍCULA A]])</f>
        <v>45899+FRANCISCO BATISTA DE LIMA - 1827</v>
      </c>
      <c r="D339" s="1" t="str">
        <f>_xlfn.CONCAT(tabE.Flux[[#This Row],[DATA]],"+",tabE.Flux[[#This Row],[MOTORISTA + MATRÍCULA B]])</f>
        <v>45899+ADEMILTON DE OLIVEIRA SILVA - 5559</v>
      </c>
      <c r="E339" s="1" t="str">
        <f>_xlfn.CONCAT(tabE.Flux[[#This Row],[DATA]],"+",tabE.Flux[[#This Row],[MOTORISTA + MATRÍCULA A]],"+",tabE.Flux[[#This Row],[LINHA]])</f>
        <v>45899+FRANCISCO BATISTA DE LIMA - 1827+GOIANIA (GO) X BELEM (PA)</v>
      </c>
      <c r="F339" s="1" t="str">
        <f>_xlfn.CONCAT(tabE.Flux[[#This Row],[DATA]],"+",tabE.Flux[[#This Row],[MOTORISTA + MATRÍCULA B]],"+",tabE.Flux[[#This Row],[LINHA]])</f>
        <v>45899+ADEMILTON DE OLIVEIRA SILVA - 5559+GOIANIA (GO) X BELEM (PA)</v>
      </c>
      <c r="G339" s="1" t="str">
        <f>_xlfn.CONCAT(tabE.Flux[[#This Row],[DATA]],"+",tabE.Flux[[#This Row],[LINHA]])</f>
        <v>45899+GOIANIA (GO) X BELEM (PA)</v>
      </c>
      <c r="H339" s="141">
        <v>45899</v>
      </c>
      <c r="I339" s="142" t="s">
        <v>15</v>
      </c>
      <c r="J339" s="142">
        <v>19023</v>
      </c>
      <c r="K339" s="143">
        <v>0.375</v>
      </c>
      <c r="L339" s="143">
        <v>0.41666666666666669</v>
      </c>
      <c r="M339" s="142" t="s">
        <v>33</v>
      </c>
      <c r="N339" s="142" t="s">
        <v>16</v>
      </c>
      <c r="O339" s="142" t="s">
        <v>128</v>
      </c>
      <c r="P339" s="142" t="s">
        <v>40</v>
      </c>
      <c r="Q339" s="142" t="s">
        <v>20</v>
      </c>
      <c r="R339" s="76"/>
      <c r="S339" s="76"/>
      <c r="T339" s="76"/>
      <c r="U339" s="76"/>
      <c r="V339" s="76"/>
      <c r="W339" s="76"/>
      <c r="X339" s="76"/>
      <c r="Y339" s="76"/>
    </row>
    <row r="340" spans="1:25" s="6" customFormat="1" x14ac:dyDescent="0.25">
      <c r="A340" s="101"/>
      <c r="B340" s="101"/>
      <c r="C340" s="1" t="str">
        <f>_xlfn.CONCAT(tabE.Flux[[#This Row],[DATA]],"+",tabE.Flux[[#This Row],[MOTORISTA + MATRÍCULA A]])</f>
        <v>45899+LAUCEANDO DA SILVA ROCHA - 6220</v>
      </c>
      <c r="D340" s="1" t="str">
        <f>_xlfn.CONCAT(tabE.Flux[[#This Row],[DATA]],"+",tabE.Flux[[#This Row],[MOTORISTA + MATRÍCULA B]])</f>
        <v>45899+FABIO MOREIRA DOS SANTOS - 3073</v>
      </c>
      <c r="E340" s="1" t="str">
        <f>_xlfn.CONCAT(tabE.Flux[[#This Row],[DATA]],"+",tabE.Flux[[#This Row],[MOTORISTA + MATRÍCULA A]],"+",tabE.Flux[[#This Row],[LINHA]])</f>
        <v>45899+LAUCEANDO DA SILVA ROCHA - 6220+GOIANIA (GO) X SAO LUIS (MA)</v>
      </c>
      <c r="F340" s="1" t="str">
        <f>_xlfn.CONCAT(tabE.Flux[[#This Row],[DATA]],"+",tabE.Flux[[#This Row],[MOTORISTA + MATRÍCULA B]],"+",tabE.Flux[[#This Row],[LINHA]])</f>
        <v>45899+FABIO MOREIRA DOS SANTOS - 3073+GOIANIA (GO) X SAO LUIS (MA)</v>
      </c>
      <c r="G340" s="1" t="str">
        <f>_xlfn.CONCAT(tabE.Flux[[#This Row],[DATA]],"+",tabE.Flux[[#This Row],[LINHA]])</f>
        <v>45899+GOIANIA (GO) X SAO LUIS (MA)</v>
      </c>
      <c r="H340" s="141">
        <v>45899</v>
      </c>
      <c r="I340" s="142" t="s">
        <v>15</v>
      </c>
      <c r="J340" s="142">
        <v>19015</v>
      </c>
      <c r="K340" s="143">
        <v>0.25</v>
      </c>
      <c r="L340" s="143">
        <v>0.29166666666666669</v>
      </c>
      <c r="M340" s="142" t="s">
        <v>42</v>
      </c>
      <c r="N340" s="142" t="s">
        <v>16</v>
      </c>
      <c r="O340" s="142" t="s">
        <v>86</v>
      </c>
      <c r="P340" s="142" t="s">
        <v>50</v>
      </c>
      <c r="Q340" s="142" t="s">
        <v>23</v>
      </c>
      <c r="R340" s="76"/>
      <c r="S340" s="76"/>
      <c r="T340" s="76"/>
      <c r="U340" s="76"/>
      <c r="V340" s="76"/>
      <c r="W340" s="76"/>
      <c r="X340" s="76"/>
      <c r="Y340" s="76"/>
    </row>
    <row r="341" spans="1:25" s="6" customFormat="1" x14ac:dyDescent="0.25">
      <c r="A341" s="101"/>
      <c r="B341" s="101"/>
      <c r="C341" s="1" t="str">
        <f>_xlfn.CONCAT(tabE.Flux[[#This Row],[DATA]],"+",tabE.Flux[[#This Row],[MOTORISTA + MATRÍCULA A]])</f>
        <v>45899+CARLOS ADRIANO DE SOUZA DO NASCIMENTO - 6222</v>
      </c>
      <c r="D341" s="1" t="str">
        <f>_xlfn.CONCAT(tabE.Flux[[#This Row],[DATA]],"+",tabE.Flux[[#This Row],[MOTORISTA + MATRÍCULA B]])</f>
        <v>45899+VALDEY OLIVEIRA ARAUJO - 2790</v>
      </c>
      <c r="E341" s="1" t="str">
        <f>_xlfn.CONCAT(tabE.Flux[[#This Row],[DATA]],"+",tabE.Flux[[#This Row],[MOTORISTA + MATRÍCULA A]],"+",tabE.Flux[[#This Row],[LINHA]])</f>
        <v>45899+CARLOS ADRIANO DE SOUZA DO NASCIMENTO - 6222+GOIANIA (GO) X SAO LUIS (MA)</v>
      </c>
      <c r="F341" s="1" t="str">
        <f>_xlfn.CONCAT(tabE.Flux[[#This Row],[DATA]],"+",tabE.Flux[[#This Row],[MOTORISTA + MATRÍCULA B]],"+",tabE.Flux[[#This Row],[LINHA]])</f>
        <v>45899+VALDEY OLIVEIRA ARAUJO - 2790+GOIANIA (GO) X SAO LUIS (MA)</v>
      </c>
      <c r="G341" s="1" t="str">
        <f>_xlfn.CONCAT(tabE.Flux[[#This Row],[DATA]],"+",tabE.Flux[[#This Row],[LINHA]])</f>
        <v>45899+GOIANIA (GO) X SAO LUIS (MA)</v>
      </c>
      <c r="H341" s="141">
        <v>45899</v>
      </c>
      <c r="I341" s="142" t="s">
        <v>15</v>
      </c>
      <c r="J341" s="142">
        <v>24014</v>
      </c>
      <c r="K341" s="143">
        <v>0.75</v>
      </c>
      <c r="L341" s="143">
        <v>0.79166666666666663</v>
      </c>
      <c r="M341" s="142" t="s">
        <v>42</v>
      </c>
      <c r="N341" s="142" t="s">
        <v>16</v>
      </c>
      <c r="O341" s="142" t="s">
        <v>110</v>
      </c>
      <c r="P341" s="142" t="s">
        <v>34</v>
      </c>
      <c r="Q341" s="142" t="s">
        <v>23</v>
      </c>
      <c r="R341" s="76"/>
      <c r="S341" s="76"/>
      <c r="T341" s="76"/>
      <c r="U341" s="76"/>
      <c r="V341" s="76"/>
      <c r="W341" s="76"/>
      <c r="X341" s="76"/>
      <c r="Y341" s="76"/>
    </row>
    <row r="342" spans="1:25" s="6" customFormat="1" x14ac:dyDescent="0.25">
      <c r="A342" s="101"/>
      <c r="B342" s="101"/>
      <c r="C342" s="1" t="str">
        <f>_xlfn.CONCAT(tabE.Flux[[#This Row],[DATA]],"+",tabE.Flux[[#This Row],[MOTORISTA + MATRÍCULA A]])</f>
        <v>45899+CANCELADO</v>
      </c>
      <c r="D342" s="1" t="str">
        <f>_xlfn.CONCAT(tabE.Flux[[#This Row],[DATA]],"+",tabE.Flux[[#This Row],[MOTORISTA + MATRÍCULA B]])</f>
        <v>45899+CANCELADO</v>
      </c>
      <c r="E342" s="1" t="str">
        <f>_xlfn.CONCAT(tabE.Flux[[#This Row],[DATA]],"+",tabE.Flux[[#This Row],[MOTORISTA + MATRÍCULA A]],"+",tabE.Flux[[#This Row],[LINHA]])</f>
        <v>45899+CANCELADO+IMPERATRIZ (MA) X SÃO LUIS (MA)</v>
      </c>
      <c r="F342" s="1" t="str">
        <f>_xlfn.CONCAT(tabE.Flux[[#This Row],[DATA]],"+",tabE.Flux[[#This Row],[MOTORISTA + MATRÍCULA B]],"+",tabE.Flux[[#This Row],[LINHA]])</f>
        <v>45899+CANCELADO+IMPERATRIZ (MA) X SÃO LUIS (MA)</v>
      </c>
      <c r="G342" s="1" t="str">
        <f>_xlfn.CONCAT(tabE.Flux[[#This Row],[DATA]],"+",tabE.Flux[[#This Row],[LINHA]])</f>
        <v>45899+IMPERATRIZ (MA) X SÃO LUIS (MA)</v>
      </c>
      <c r="H342" s="141">
        <v>45899</v>
      </c>
      <c r="I342" s="142" t="s">
        <v>15</v>
      </c>
      <c r="J342" s="144" t="s">
        <v>27</v>
      </c>
      <c r="K342" s="143">
        <v>0.77083333333333337</v>
      </c>
      <c r="L342" s="143">
        <v>0.79513888888888884</v>
      </c>
      <c r="M342" s="142" t="s">
        <v>42</v>
      </c>
      <c r="N342" s="142" t="s">
        <v>16</v>
      </c>
      <c r="O342" s="144" t="s">
        <v>27</v>
      </c>
      <c r="P342" s="144" t="s">
        <v>27</v>
      </c>
      <c r="Q342" s="142" t="s">
        <v>47</v>
      </c>
      <c r="R342" s="76"/>
      <c r="S342" s="76"/>
      <c r="T342" s="76"/>
      <c r="U342" s="76"/>
      <c r="V342" s="76"/>
      <c r="W342" s="76"/>
      <c r="X342" s="76"/>
      <c r="Y342" s="76"/>
    </row>
    <row r="343" spans="1:25" s="6" customFormat="1" x14ac:dyDescent="0.25">
      <c r="A343" s="101"/>
      <c r="B343" s="101"/>
      <c r="C343" s="1" t="str">
        <f>_xlfn.CONCAT(tabE.Flux[[#This Row],[DATA]],"+",tabE.Flux[[#This Row],[MOTORISTA + MATRÍCULA A]])</f>
        <v>45899+OLIVEIRA DE MELO ARRUDA - 5251</v>
      </c>
      <c r="D343" s="1" t="str">
        <f>_xlfn.CONCAT(tabE.Flux[[#This Row],[DATA]],"+",tabE.Flux[[#This Row],[MOTORISTA + MATRÍCULA B]])</f>
        <v>45899+VANDERSON GURGEL DO AMARAL - 2734</v>
      </c>
      <c r="E343" s="1" t="str">
        <f>_xlfn.CONCAT(tabE.Flux[[#This Row],[DATA]],"+",tabE.Flux[[#This Row],[MOTORISTA + MATRÍCULA A]],"+",tabE.Flux[[#This Row],[LINHA]])</f>
        <v>45899+OLIVEIRA DE MELO ARRUDA - 5251+GOIANIA (GO) X TERESINA (PI) VIA BC</v>
      </c>
      <c r="F343" s="1" t="str">
        <f>_xlfn.CONCAT(tabE.Flux[[#This Row],[DATA]],"+",tabE.Flux[[#This Row],[MOTORISTA + MATRÍCULA B]],"+",tabE.Flux[[#This Row],[LINHA]])</f>
        <v>45899+VANDERSON GURGEL DO AMARAL - 2734+GOIANIA (GO) X TERESINA (PI) VIA BC</v>
      </c>
      <c r="G343" s="1" t="str">
        <f>_xlfn.CONCAT(tabE.Flux[[#This Row],[DATA]],"+",tabE.Flux[[#This Row],[LINHA]])</f>
        <v>45899+GOIANIA (GO) X TERESINA (PI) VIA BC</v>
      </c>
      <c r="H343" s="141">
        <v>45899</v>
      </c>
      <c r="I343" s="142" t="s">
        <v>15</v>
      </c>
      <c r="J343" s="142">
        <v>25010</v>
      </c>
      <c r="K343" s="143">
        <v>0.89583333333333337</v>
      </c>
      <c r="L343" s="143">
        <v>0.91666666666666663</v>
      </c>
      <c r="M343" s="142" t="s">
        <v>36</v>
      </c>
      <c r="N343" s="142" t="s">
        <v>17</v>
      </c>
      <c r="O343" s="142" t="s">
        <v>157</v>
      </c>
      <c r="P343" s="142" t="s">
        <v>158</v>
      </c>
      <c r="Q343" s="142" t="s">
        <v>39</v>
      </c>
      <c r="R343" s="76"/>
      <c r="S343" s="76"/>
      <c r="T343" s="76"/>
      <c r="U343" s="76"/>
      <c r="V343" s="76"/>
      <c r="W343" s="76"/>
      <c r="X343" s="76"/>
      <c r="Y343" s="76"/>
    </row>
    <row r="344" spans="1:25" s="6" customFormat="1" x14ac:dyDescent="0.25">
      <c r="A344" s="101"/>
      <c r="B344" s="101"/>
      <c r="C344" s="1" t="str">
        <f>_xlfn.CONCAT(tabE.Flux[[#This Row],[DATA]],"+",tabE.Flux[[#This Row],[MOTORISTA + MATRÍCULA A]])</f>
        <v>45899+LUIS ANTONIO FARIAS RIBEIRO - 2789</v>
      </c>
      <c r="D344" s="1" t="str">
        <f>_xlfn.CONCAT(tabE.Flux[[#This Row],[DATA]],"+",tabE.Flux[[#This Row],[MOTORISTA + MATRÍCULA B]])</f>
        <v>45899+JOSE POLICARPO DE SOUSA NETO - 1472</v>
      </c>
      <c r="E344" s="1" t="str">
        <f>_xlfn.CONCAT(tabE.Flux[[#This Row],[DATA]],"+",tabE.Flux[[#This Row],[MOTORISTA + MATRÍCULA A]],"+",tabE.Flux[[#This Row],[LINHA]])</f>
        <v>45899+LUIS ANTONIO FARIAS RIBEIRO - 2789+GOIANIA (GO) X BELEM (PA)</v>
      </c>
      <c r="F344" s="1" t="str">
        <f>_xlfn.CONCAT(tabE.Flux[[#This Row],[DATA]],"+",tabE.Flux[[#This Row],[MOTORISTA + MATRÍCULA B]],"+",tabE.Flux[[#This Row],[LINHA]])</f>
        <v>45899+JOSE POLICARPO DE SOUSA NETO - 1472+GOIANIA (GO) X BELEM (PA)</v>
      </c>
      <c r="G344" s="1" t="str">
        <f>_xlfn.CONCAT(tabE.Flux[[#This Row],[DATA]],"+",tabE.Flux[[#This Row],[LINHA]])</f>
        <v>45899+GOIANIA (GO) X BELEM (PA)</v>
      </c>
      <c r="H344" s="141">
        <v>45899</v>
      </c>
      <c r="I344" s="142" t="s">
        <v>15</v>
      </c>
      <c r="J344" s="142">
        <v>25007</v>
      </c>
      <c r="K344" s="143">
        <v>0.76041666666666663</v>
      </c>
      <c r="L344" s="143">
        <v>0.77083333333333337</v>
      </c>
      <c r="M344" s="142" t="s">
        <v>33</v>
      </c>
      <c r="N344" s="142" t="s">
        <v>16</v>
      </c>
      <c r="O344" s="142" t="s">
        <v>124</v>
      </c>
      <c r="P344" s="142" t="s">
        <v>54</v>
      </c>
      <c r="Q344" s="142" t="s">
        <v>20</v>
      </c>
      <c r="R344" s="76"/>
      <c r="S344" s="76"/>
      <c r="T344" s="76"/>
      <c r="U344" s="76"/>
      <c r="V344" s="76"/>
      <c r="W344" s="76"/>
      <c r="X344" s="76"/>
      <c r="Y344" s="76"/>
    </row>
    <row r="345" spans="1:25" s="6" customFormat="1" x14ac:dyDescent="0.25">
      <c r="A345" s="101"/>
      <c r="B345" s="101"/>
      <c r="C345" s="1" t="str">
        <f>_xlfn.CONCAT(tabE.Flux[[#This Row],[DATA]],"+",tabE.Flux[[#This Row],[MOTORISTA + MATRÍCULA A]])</f>
        <v>45899+JOSE ALVES DA ROCHA - 5035</v>
      </c>
      <c r="D345" s="1" t="str">
        <f>_xlfn.CONCAT(tabE.Flux[[#This Row],[DATA]],"+",tabE.Flux[[#This Row],[MOTORISTA + MATRÍCULA B]])</f>
        <v>45899+RICHARD SOUSA DA SILVA - 1271</v>
      </c>
      <c r="E345" s="1" t="str">
        <f>_xlfn.CONCAT(tabE.Flux[[#This Row],[DATA]],"+",tabE.Flux[[#This Row],[MOTORISTA + MATRÍCULA A]],"+",tabE.Flux[[#This Row],[LINHA]])</f>
        <v>45899+JOSE ALVES DA ROCHA - 5035+GOIANIA (GO) X BELEM (PA)</v>
      </c>
      <c r="F345" s="1" t="str">
        <f>_xlfn.CONCAT(tabE.Flux[[#This Row],[DATA]],"+",tabE.Flux[[#This Row],[MOTORISTA + MATRÍCULA B]],"+",tabE.Flux[[#This Row],[LINHA]])</f>
        <v>45899+RICHARD SOUSA DA SILVA - 1271+GOIANIA (GO) X BELEM (PA)</v>
      </c>
      <c r="G345" s="1" t="str">
        <f>_xlfn.CONCAT(tabE.Flux[[#This Row],[DATA]],"+",tabE.Flux[[#This Row],[LINHA]])</f>
        <v>45899+GOIANIA (GO) X BELEM (PA)</v>
      </c>
      <c r="H345" s="141">
        <v>45899</v>
      </c>
      <c r="I345" s="142" t="s">
        <v>15</v>
      </c>
      <c r="J345" s="142">
        <v>24001</v>
      </c>
      <c r="K345" s="143">
        <v>0.76041666666666663</v>
      </c>
      <c r="L345" s="143">
        <v>0.82777777777777772</v>
      </c>
      <c r="M345" s="142" t="s">
        <v>16</v>
      </c>
      <c r="N345" s="142" t="s">
        <v>33</v>
      </c>
      <c r="O345" s="142" t="s">
        <v>91</v>
      </c>
      <c r="P345" s="142" t="s">
        <v>56</v>
      </c>
      <c r="Q345" s="142" t="s">
        <v>20</v>
      </c>
      <c r="R345" s="76"/>
      <c r="S345" s="76"/>
      <c r="T345" s="76"/>
      <c r="U345" s="76"/>
      <c r="V345" s="76"/>
      <c r="W345" s="76"/>
      <c r="X345" s="76"/>
      <c r="Y345" s="76"/>
    </row>
    <row r="346" spans="1:25" s="6" customFormat="1" x14ac:dyDescent="0.25">
      <c r="A346" s="101"/>
      <c r="B346" s="101"/>
      <c r="C346" s="1" t="str">
        <f>_xlfn.CONCAT(tabE.Flux[[#This Row],[DATA]],"+",tabE.Flux[[#This Row],[MOTORISTA + MATRÍCULA A]])</f>
        <v>45899+RAIMUNDO FERNANDES RIBEIRO - 907</v>
      </c>
      <c r="D346" s="1" t="str">
        <f>_xlfn.CONCAT(tabE.Flux[[#This Row],[DATA]],"+",tabE.Flux[[#This Row],[MOTORISTA + MATRÍCULA B]])</f>
        <v>45899+ALTEMAR DO NASCIMENTO LIMA - 6225</v>
      </c>
      <c r="E346" s="1" t="str">
        <f>_xlfn.CONCAT(tabE.Flux[[#This Row],[DATA]],"+",tabE.Flux[[#This Row],[MOTORISTA + MATRÍCULA A]],"+",tabE.Flux[[#This Row],[LINHA]])</f>
        <v>45899+RAIMUNDO FERNANDES RIBEIRO - 907+GOIANIA (GO) X SAO LUIS (MA)</v>
      </c>
      <c r="F346" s="1" t="str">
        <f>_xlfn.CONCAT(tabE.Flux[[#This Row],[DATA]],"+",tabE.Flux[[#This Row],[MOTORISTA + MATRÍCULA B]],"+",tabE.Flux[[#This Row],[LINHA]])</f>
        <v>45899+ALTEMAR DO NASCIMENTO LIMA - 6225+GOIANIA (GO) X SAO LUIS (MA)</v>
      </c>
      <c r="G346" s="1" t="str">
        <f>_xlfn.CONCAT(tabE.Flux[[#This Row],[DATA]],"+",tabE.Flux[[#This Row],[LINHA]])</f>
        <v>45899+GOIANIA (GO) X SAO LUIS (MA)</v>
      </c>
      <c r="H346" s="141">
        <v>45899</v>
      </c>
      <c r="I346" s="142" t="s">
        <v>15</v>
      </c>
      <c r="J346" s="142">
        <v>20013</v>
      </c>
      <c r="K346" s="143">
        <v>0.40763888888888888</v>
      </c>
      <c r="L346" s="143">
        <v>0.47013888888888888</v>
      </c>
      <c r="M346" s="142" t="s">
        <v>16</v>
      </c>
      <c r="N346" s="142" t="s">
        <v>42</v>
      </c>
      <c r="O346" s="142" t="s">
        <v>143</v>
      </c>
      <c r="P346" s="142" t="s">
        <v>57</v>
      </c>
      <c r="Q346" s="142" t="s">
        <v>23</v>
      </c>
      <c r="R346" s="76"/>
      <c r="S346" s="76"/>
      <c r="T346" s="76"/>
      <c r="U346" s="76"/>
      <c r="V346" s="76"/>
      <c r="W346" s="76"/>
      <c r="X346" s="76"/>
      <c r="Y346" s="76"/>
    </row>
    <row r="347" spans="1:25" s="6" customFormat="1" x14ac:dyDescent="0.25">
      <c r="A347" s="101"/>
      <c r="B347" s="101"/>
      <c r="C347" s="1" t="str">
        <f>_xlfn.CONCAT(tabE.Flux[[#This Row],[DATA]],"+",tabE.Flux[[#This Row],[MOTORISTA + MATRÍCULA A]])</f>
        <v>45899+CANCELADO</v>
      </c>
      <c r="D347" s="1" t="str">
        <f>_xlfn.CONCAT(tabE.Flux[[#This Row],[DATA]],"+",tabE.Flux[[#This Row],[MOTORISTA + MATRÍCULA B]])</f>
        <v>45899+CANCELADO</v>
      </c>
      <c r="E347" s="1" t="str">
        <f>_xlfn.CONCAT(tabE.Flux[[#This Row],[DATA]],"+",tabE.Flux[[#This Row],[MOTORISTA + MATRÍCULA A]],"+",tabE.Flux[[#This Row],[LINHA]])</f>
        <v>45899+CANCELADO+IMPERATRIZ (MA) X SÃO LUIS (MA)</v>
      </c>
      <c r="F347" s="1" t="str">
        <f>_xlfn.CONCAT(tabE.Flux[[#This Row],[DATA]],"+",tabE.Flux[[#This Row],[MOTORISTA + MATRÍCULA B]],"+",tabE.Flux[[#This Row],[LINHA]])</f>
        <v>45899+CANCELADO+IMPERATRIZ (MA) X SÃO LUIS (MA)</v>
      </c>
      <c r="G347" s="1" t="str">
        <f>_xlfn.CONCAT(tabE.Flux[[#This Row],[DATA]],"+",tabE.Flux[[#This Row],[LINHA]])</f>
        <v>45899+IMPERATRIZ (MA) X SÃO LUIS (MA)</v>
      </c>
      <c r="H347" s="141">
        <v>45899</v>
      </c>
      <c r="I347" s="142" t="s">
        <v>15</v>
      </c>
      <c r="J347" s="144" t="s">
        <v>27</v>
      </c>
      <c r="K347" s="143">
        <v>0.77083333333333337</v>
      </c>
      <c r="L347" s="143">
        <v>0.8125</v>
      </c>
      <c r="M347" s="142" t="s">
        <v>16</v>
      </c>
      <c r="N347" s="142" t="s">
        <v>42</v>
      </c>
      <c r="O347" s="144" t="s">
        <v>27</v>
      </c>
      <c r="P347" s="144" t="s">
        <v>27</v>
      </c>
      <c r="Q347" s="142" t="s">
        <v>47</v>
      </c>
      <c r="R347" s="76"/>
      <c r="S347" s="76"/>
      <c r="T347" s="76"/>
      <c r="U347" s="76"/>
      <c r="V347" s="76"/>
      <c r="W347" s="76"/>
      <c r="X347" s="76"/>
      <c r="Y347" s="76"/>
    </row>
    <row r="348" spans="1:25" s="6" customFormat="1" x14ac:dyDescent="0.25">
      <c r="A348" s="101"/>
      <c r="B348" s="101"/>
      <c r="C348" s="1" t="str">
        <f>_xlfn.CONCAT(tabE.Flux[[#This Row],[DATA]],"+",tabE.Flux[[#This Row],[MOTORISTA + MATRÍCULA A]])</f>
        <v>45899+ESIEL COSTA RODRIGUES - 1749</v>
      </c>
      <c r="D348" s="1" t="str">
        <f>_xlfn.CONCAT(tabE.Flux[[#This Row],[DATA]],"+",tabE.Flux[[#This Row],[MOTORISTA + MATRÍCULA B]])</f>
        <v>45899+LAUCEANDO DA SILVA ROCHA - 6220</v>
      </c>
      <c r="E348" s="1" t="str">
        <f>_xlfn.CONCAT(tabE.Flux[[#This Row],[DATA]],"+",tabE.Flux[[#This Row],[MOTORISTA + MATRÍCULA A]],"+",tabE.Flux[[#This Row],[LINHA]])</f>
        <v>45899+ESIEL COSTA RODRIGUES - 1749+GOIANIA (GO) X SAO LUIS (MA)</v>
      </c>
      <c r="F348" s="1" t="str">
        <f>_xlfn.CONCAT(tabE.Flux[[#This Row],[DATA]],"+",tabE.Flux[[#This Row],[MOTORISTA + MATRÍCULA B]],"+",tabE.Flux[[#This Row],[LINHA]])</f>
        <v>45899+LAUCEANDO DA SILVA ROCHA - 6220+GOIANIA (GO) X SAO LUIS (MA)</v>
      </c>
      <c r="G348" s="1" t="str">
        <f>_xlfn.CONCAT(tabE.Flux[[#This Row],[DATA]],"+",tabE.Flux[[#This Row],[LINHA]])</f>
        <v>45899+GOIANIA (GO) X SAO LUIS (MA)</v>
      </c>
      <c r="H348" s="141">
        <v>45899</v>
      </c>
      <c r="I348" s="142" t="s">
        <v>15</v>
      </c>
      <c r="J348" s="142">
        <v>24006</v>
      </c>
      <c r="K348" s="143">
        <v>0.8125</v>
      </c>
      <c r="L348" s="143">
        <v>0.84375</v>
      </c>
      <c r="M348" s="142" t="s">
        <v>16</v>
      </c>
      <c r="N348" s="142" t="s">
        <v>42</v>
      </c>
      <c r="O348" s="142" t="s">
        <v>46</v>
      </c>
      <c r="P348" s="142" t="s">
        <v>86</v>
      </c>
      <c r="Q348" s="142" t="s">
        <v>23</v>
      </c>
      <c r="R348" s="76"/>
      <c r="S348" s="76"/>
      <c r="T348" s="76"/>
      <c r="U348" s="76"/>
      <c r="V348" s="76"/>
      <c r="W348" s="76"/>
      <c r="X348" s="76"/>
      <c r="Y348" s="76"/>
    </row>
    <row r="349" spans="1:25" s="6" customFormat="1" x14ac:dyDescent="0.25">
      <c r="A349" s="101"/>
      <c r="B349" s="101"/>
      <c r="C349" s="1" t="str">
        <f>_xlfn.CONCAT(tabE.Flux[[#This Row],[DATA]],"+",tabE.Flux[[#This Row],[MOTORISTA + MATRÍCULA A]])</f>
        <v>45899+AELSON PEREIRA DO NASCIMENTO - 5682</v>
      </c>
      <c r="D349" s="1" t="str">
        <f>_xlfn.CONCAT(tabE.Flux[[#This Row],[DATA]],"+",tabE.Flux[[#This Row],[MOTORISTA + MATRÍCULA B]])</f>
        <v>45899+FRANCISCO CARLOS MELO - 5306</v>
      </c>
      <c r="E349" s="1" t="str">
        <f>_xlfn.CONCAT(tabE.Flux[[#This Row],[DATA]],"+",tabE.Flux[[#This Row],[MOTORISTA + MATRÍCULA A]],"+",tabE.Flux[[#This Row],[LINHA]])</f>
        <v>45899+AELSON PEREIRA DO NASCIMENTO - 5682+GOIANIA (GO) X TERESINA (PI) VIA STI</v>
      </c>
      <c r="F349" s="1" t="str">
        <f>_xlfn.CONCAT(tabE.Flux[[#This Row],[DATA]],"+",tabE.Flux[[#This Row],[MOTORISTA + MATRÍCULA B]],"+",tabE.Flux[[#This Row],[LINHA]])</f>
        <v>45899+FRANCISCO CARLOS MELO - 5306+GOIANIA (GO) X TERESINA (PI) VIA STI</v>
      </c>
      <c r="G349" s="1" t="str">
        <f>_xlfn.CONCAT(tabE.Flux[[#This Row],[DATA]],"+",tabE.Flux[[#This Row],[LINHA]])</f>
        <v>45899+GOIANIA (GO) X TERESINA (PI) VIA STI</v>
      </c>
      <c r="H349" s="141">
        <v>45899</v>
      </c>
      <c r="I349" s="142" t="s">
        <v>15</v>
      </c>
      <c r="J349" s="142">
        <v>17300</v>
      </c>
      <c r="K349" s="143">
        <v>0.77083333333333337</v>
      </c>
      <c r="L349" s="143">
        <v>0.79861111111111116</v>
      </c>
      <c r="M349" s="142" t="s">
        <v>16</v>
      </c>
      <c r="N349" s="142" t="s">
        <v>29</v>
      </c>
      <c r="O349" s="142" t="s">
        <v>88</v>
      </c>
      <c r="P349" s="142" t="s">
        <v>142</v>
      </c>
      <c r="Q349" s="142" t="s">
        <v>26</v>
      </c>
      <c r="R349" s="76"/>
      <c r="S349" s="76"/>
      <c r="T349" s="76"/>
      <c r="U349" s="76"/>
      <c r="V349" s="76"/>
      <c r="W349" s="76"/>
      <c r="X349" s="76"/>
      <c r="Y349" s="76"/>
    </row>
    <row r="350" spans="1:25" s="6" customFormat="1" x14ac:dyDescent="0.25">
      <c r="A350" s="101"/>
      <c r="B350" s="101"/>
      <c r="C350" s="1" t="str">
        <f>_xlfn.CONCAT(tabE.Flux[[#This Row],[DATA]],"+",tabE.Flux[[#This Row],[MOTORISTA + MATRÍCULA A]])</f>
        <v>45899+WESLEY SILVA PAIVA - 5638</v>
      </c>
      <c r="D350" s="1" t="str">
        <f>_xlfn.CONCAT(tabE.Flux[[#This Row],[DATA]],"+",tabE.Flux[[#This Row],[MOTORISTA + MATRÍCULA B]])</f>
        <v>45899+JOSE HAILTON PEREIRA DOS SANTOS - 6018</v>
      </c>
      <c r="E350" s="1" t="str">
        <f>_xlfn.CONCAT(tabE.Flux[[#This Row],[DATA]],"+",tabE.Flux[[#This Row],[MOTORISTA + MATRÍCULA A]],"+",tabE.Flux[[#This Row],[LINHA]])</f>
        <v>45899+WESLEY SILVA PAIVA - 5638+GOIANIA (GO) X SAO LUIS (MA)</v>
      </c>
      <c r="F350" s="1" t="str">
        <f>_xlfn.CONCAT(tabE.Flux[[#This Row],[DATA]],"+",tabE.Flux[[#This Row],[MOTORISTA + MATRÍCULA B]],"+",tabE.Flux[[#This Row],[LINHA]])</f>
        <v>45899+JOSE HAILTON PEREIRA DOS SANTOS - 6018+GOIANIA (GO) X SAO LUIS (MA)</v>
      </c>
      <c r="G350" s="1" t="str">
        <f>_xlfn.CONCAT(tabE.Flux[[#This Row],[DATA]],"+",tabE.Flux[[#This Row],[LINHA]])</f>
        <v>45899+GOIANIA (GO) X SAO LUIS (MA)</v>
      </c>
      <c r="H350" s="141">
        <v>45899</v>
      </c>
      <c r="I350" s="142" t="s">
        <v>15</v>
      </c>
      <c r="J350" s="142">
        <v>19015</v>
      </c>
      <c r="K350" s="143">
        <v>0.8125</v>
      </c>
      <c r="L350" s="143">
        <v>0.84166666666666667</v>
      </c>
      <c r="M350" s="142" t="s">
        <v>16</v>
      </c>
      <c r="N350" s="142" t="s">
        <v>17</v>
      </c>
      <c r="O350" s="142" t="s">
        <v>112</v>
      </c>
      <c r="P350" s="142" t="s">
        <v>141</v>
      </c>
      <c r="Q350" s="142" t="s">
        <v>23</v>
      </c>
      <c r="R350" s="76"/>
      <c r="S350" s="76"/>
      <c r="T350" s="76"/>
      <c r="U350" s="76"/>
      <c r="V350" s="76"/>
      <c r="W350" s="76"/>
      <c r="X350" s="76"/>
      <c r="Y350" s="76"/>
    </row>
    <row r="351" spans="1:25" s="6" customFormat="1" x14ac:dyDescent="0.25">
      <c r="A351" s="101"/>
      <c r="B351" s="101"/>
      <c r="C351" s="1" t="str">
        <f>_xlfn.CONCAT(tabE.Flux[[#This Row],[DATA]],"+",tabE.Flux[[#This Row],[MOTORISTA + MATRÍCULA A]])</f>
        <v>45899+MARCOS ATAIDE SILVA - 1352</v>
      </c>
      <c r="D351" s="1" t="str">
        <f>_xlfn.CONCAT(tabE.Flux[[#This Row],[DATA]],"+",tabE.Flux[[#This Row],[MOTORISTA + MATRÍCULA B]])</f>
        <v>45899+MARCIO RODRIGUES DA COSTA - 5993</v>
      </c>
      <c r="E351" s="1" t="str">
        <f>_xlfn.CONCAT(tabE.Flux[[#This Row],[DATA]],"+",tabE.Flux[[#This Row],[MOTORISTA + MATRÍCULA A]],"+",tabE.Flux[[#This Row],[LINHA]])</f>
        <v>45899+MARCOS ATAIDE SILVA - 1352+FORTALEZA (CE) X SINOP (MT)</v>
      </c>
      <c r="F351" s="1" t="str">
        <f>_xlfn.CONCAT(tabE.Flux[[#This Row],[DATA]],"+",tabE.Flux[[#This Row],[MOTORISTA + MATRÍCULA B]],"+",tabE.Flux[[#This Row],[LINHA]])</f>
        <v>45899+MARCIO RODRIGUES DA COSTA - 5993+FORTALEZA (CE) X SINOP (MT)</v>
      </c>
      <c r="G351" s="1" t="str">
        <f>_xlfn.CONCAT(tabE.Flux[[#This Row],[DATA]],"+",tabE.Flux[[#This Row],[LINHA]])</f>
        <v>45899+FORTALEZA (CE) X SINOP (MT)</v>
      </c>
      <c r="H351" s="141">
        <v>45899</v>
      </c>
      <c r="I351" s="142" t="s">
        <v>15</v>
      </c>
      <c r="J351" s="142">
        <v>19002</v>
      </c>
      <c r="K351" s="143">
        <v>0.8125</v>
      </c>
      <c r="L351" s="143">
        <v>0.85416666666666663</v>
      </c>
      <c r="M351" s="142" t="s">
        <v>16</v>
      </c>
      <c r="N351" s="142" t="s">
        <v>17</v>
      </c>
      <c r="O351" s="142" t="s">
        <v>113</v>
      </c>
      <c r="P351" s="142" t="s">
        <v>107</v>
      </c>
      <c r="Q351" s="142" t="s">
        <v>32</v>
      </c>
      <c r="R351" s="76"/>
      <c r="S351" s="76"/>
      <c r="T351" s="76"/>
      <c r="U351" s="76"/>
      <c r="V351" s="76"/>
      <c r="W351" s="76"/>
      <c r="X351" s="76"/>
      <c r="Y351" s="76"/>
    </row>
    <row r="352" spans="1:25" s="6" customFormat="1" x14ac:dyDescent="0.25">
      <c r="A352" s="101"/>
      <c r="B352" s="101"/>
      <c r="C352" s="1" t="str">
        <f>_xlfn.CONCAT(tabE.Flux[[#This Row],[DATA]],"+",tabE.Flux[[#This Row],[MOTORISTA + MATRÍCULA A]])</f>
        <v>45899+HERMENEGILDO JOSE LEITE DE BRITO NETO - 2653</v>
      </c>
      <c r="D352" s="1" t="str">
        <f>_xlfn.CONCAT(tabE.Flux[[#This Row],[DATA]],"+",tabE.Flux[[#This Row],[MOTORISTA + MATRÍCULA B]])</f>
        <v>45899+REGISMAR ANTONIO TEODORO DA COSTA - 2966</v>
      </c>
      <c r="E352" s="1" t="str">
        <f>_xlfn.CONCAT(tabE.Flux[[#This Row],[DATA]],"+",tabE.Flux[[#This Row],[MOTORISTA + MATRÍCULA A]],"+",tabE.Flux[[#This Row],[LINHA]])</f>
        <v>45899+HERMENEGILDO JOSE LEITE DE BRITO NETO - 2653+GOIANIA (GO) X BELEM (PA)</v>
      </c>
      <c r="F352" s="1" t="str">
        <f>_xlfn.CONCAT(tabE.Flux[[#This Row],[DATA]],"+",tabE.Flux[[#This Row],[MOTORISTA + MATRÍCULA B]],"+",tabE.Flux[[#This Row],[LINHA]])</f>
        <v>45899+REGISMAR ANTONIO TEODORO DA COSTA - 2966+GOIANIA (GO) X BELEM (PA)</v>
      </c>
      <c r="G352" s="1" t="str">
        <f>_xlfn.CONCAT(tabE.Flux[[#This Row],[DATA]],"+",tabE.Flux[[#This Row],[LINHA]])</f>
        <v>45899+GOIANIA (GO) X BELEM (PA)</v>
      </c>
      <c r="H352" s="141">
        <v>45899</v>
      </c>
      <c r="I352" s="142" t="s">
        <v>15</v>
      </c>
      <c r="J352" s="142">
        <v>19023</v>
      </c>
      <c r="K352" s="143">
        <v>0.84722222222222221</v>
      </c>
      <c r="L352" s="143">
        <v>0.87847222222222221</v>
      </c>
      <c r="M352" s="142" t="s">
        <v>16</v>
      </c>
      <c r="N352" s="142" t="s">
        <v>17</v>
      </c>
      <c r="O352" s="142" t="s">
        <v>224</v>
      </c>
      <c r="P352" s="142" t="s">
        <v>206</v>
      </c>
      <c r="Q352" s="142" t="s">
        <v>20</v>
      </c>
      <c r="R352" s="76"/>
      <c r="S352" s="76"/>
      <c r="T352" s="76"/>
      <c r="U352" s="76"/>
      <c r="V352" s="76"/>
      <c r="W352" s="76"/>
      <c r="X352" s="76"/>
      <c r="Y352" s="76"/>
    </row>
    <row r="353" spans="1:25" s="6" customFormat="1" x14ac:dyDescent="0.25">
      <c r="A353" s="101"/>
      <c r="B353" s="101"/>
      <c r="C353" s="1" t="str">
        <f>_xlfn.CONCAT(tabE.Flux[[#This Row],[DATA]],"+",tabE.Flux[[#This Row],[MOTORISTA + MATRÍCULA A]])</f>
        <v>+</v>
      </c>
      <c r="D353" s="1" t="str">
        <f>_xlfn.CONCAT(tabE.Flux[[#This Row],[DATA]],"+",tabE.Flux[[#This Row],[MOTORISTA + MATRÍCULA B]])</f>
        <v>+</v>
      </c>
      <c r="E353" s="1" t="str">
        <f>_xlfn.CONCAT(tabE.Flux[[#This Row],[DATA]],"+",tabE.Flux[[#This Row],[MOTORISTA + MATRÍCULA A]],"+",tabE.Flux[[#This Row],[LINHA]])</f>
        <v>++</v>
      </c>
      <c r="F353" s="1" t="str">
        <f>_xlfn.CONCAT(tabE.Flux[[#This Row],[DATA]],"+",tabE.Flux[[#This Row],[MOTORISTA + MATRÍCULA B]],"+",tabE.Flux[[#This Row],[LINHA]])</f>
        <v>++</v>
      </c>
      <c r="G353" s="1" t="str">
        <f>_xlfn.CONCAT(tabE.Flux[[#This Row],[DATA]],"+",tabE.Flux[[#This Row],[LINHA]])</f>
        <v>+</v>
      </c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76"/>
      <c r="S353" s="76"/>
      <c r="T353" s="76"/>
      <c r="U353" s="76"/>
      <c r="V353" s="76"/>
      <c r="W353" s="76"/>
      <c r="X353" s="76"/>
      <c r="Y353" s="76"/>
    </row>
    <row r="354" spans="1:25" s="6" customFormat="1" ht="15" customHeight="1" x14ac:dyDescent="0.25">
      <c r="A354" s="101"/>
      <c r="B354" s="101"/>
      <c r="C354" s="1" t="str">
        <f>_xlfn.CONCAT(tabE.Flux[[#This Row],[DATA]],"+",tabE.Flux[[#This Row],[MOTORISTA + MATRÍCULA A]])</f>
        <v>45900+ELISEU TORRES DE OLIVEIRA - 561</v>
      </c>
      <c r="D354" s="1" t="str">
        <f>_xlfn.CONCAT(tabE.Flux[[#This Row],[DATA]],"+",tabE.Flux[[#This Row],[MOTORISTA + MATRÍCULA B]])</f>
        <v>45900+JULIO EDER NERES DA SILVA - 1767</v>
      </c>
      <c r="E354" s="1" t="str">
        <f>_xlfn.CONCAT(tabE.Flux[[#This Row],[DATA]],"+",tabE.Flux[[#This Row],[MOTORISTA + MATRÍCULA A]],"+",tabE.Flux[[#This Row],[LINHA]])</f>
        <v>45900+ELISEU TORRES DE OLIVEIRA - 561+GOIANIA (GO) X BELEM (PA)</v>
      </c>
      <c r="F354" s="1" t="str">
        <f>_xlfn.CONCAT(tabE.Flux[[#This Row],[DATA]],"+",tabE.Flux[[#This Row],[MOTORISTA + MATRÍCULA B]],"+",tabE.Flux[[#This Row],[LINHA]])</f>
        <v>45900+JULIO EDER NERES DA SILVA - 1767+GOIANIA (GO) X BELEM (PA)</v>
      </c>
      <c r="G354" s="1" t="str">
        <f>_xlfn.CONCAT(tabE.Flux[[#This Row],[DATA]],"+",tabE.Flux[[#This Row],[LINHA]])</f>
        <v>45900+GOIANIA (GO) X BELEM (PA)</v>
      </c>
      <c r="H354" s="141">
        <v>45900</v>
      </c>
      <c r="I354" s="142" t="s">
        <v>15</v>
      </c>
      <c r="J354" s="142">
        <v>25007</v>
      </c>
      <c r="K354" s="143">
        <v>0.25486111111111109</v>
      </c>
      <c r="L354" s="143">
        <v>0.3</v>
      </c>
      <c r="M354" s="142" t="s">
        <v>16</v>
      </c>
      <c r="N354" s="142" t="s">
        <v>17</v>
      </c>
      <c r="O354" s="142" t="s">
        <v>169</v>
      </c>
      <c r="P354" s="142" t="s">
        <v>170</v>
      </c>
      <c r="Q354" s="142" t="s">
        <v>20</v>
      </c>
      <c r="R354" s="76"/>
      <c r="S354" s="76"/>
      <c r="T354" s="76"/>
      <c r="U354" s="76"/>
      <c r="V354" s="76"/>
      <c r="W354" s="76"/>
      <c r="X354" s="76"/>
      <c r="Y354" s="76"/>
    </row>
    <row r="355" spans="1:25" s="6" customFormat="1" x14ac:dyDescent="0.25">
      <c r="A355" s="101"/>
      <c r="B355" s="101"/>
      <c r="C355" s="1" t="str">
        <f>_xlfn.CONCAT(tabE.Flux[[#This Row],[DATA]],"+",tabE.Flux[[#This Row],[MOTORISTA + MATRÍCULA A]])</f>
        <v>45900+ADAILTON DA SILVA RODRIGUES MENDONCA - 2662</v>
      </c>
      <c r="D355" s="1" t="str">
        <f>_xlfn.CONCAT(tabE.Flux[[#This Row],[DATA]],"+",tabE.Flux[[#This Row],[MOTORISTA + MATRÍCULA B]])</f>
        <v>45900+ENIO GOMES DE SOUZA - 5825</v>
      </c>
      <c r="E355" s="1" t="str">
        <f>_xlfn.CONCAT(tabE.Flux[[#This Row],[DATA]],"+",tabE.Flux[[#This Row],[MOTORISTA + MATRÍCULA A]],"+",tabE.Flux[[#This Row],[LINHA]])</f>
        <v>45900+ADAILTON DA SILVA RODRIGUES MENDONCA - 2662+GOIANIA (GO) X SAO LUIS (MA)</v>
      </c>
      <c r="F355" s="1" t="str">
        <f>_xlfn.CONCAT(tabE.Flux[[#This Row],[DATA]],"+",tabE.Flux[[#This Row],[MOTORISTA + MATRÍCULA B]],"+",tabE.Flux[[#This Row],[LINHA]])</f>
        <v>45900+ENIO GOMES DE SOUZA - 5825+GOIANIA (GO) X SAO LUIS (MA)</v>
      </c>
      <c r="G355" s="1" t="str">
        <f>_xlfn.CONCAT(tabE.Flux[[#This Row],[DATA]],"+",tabE.Flux[[#This Row],[LINHA]])</f>
        <v>45900+GOIANIA (GO) X SAO LUIS (MA)</v>
      </c>
      <c r="H355" s="141">
        <v>45900</v>
      </c>
      <c r="I355" s="142" t="s">
        <v>15</v>
      </c>
      <c r="J355" s="142">
        <v>24014</v>
      </c>
      <c r="K355" s="143">
        <v>0.32291666666666669</v>
      </c>
      <c r="L355" s="143">
        <v>0.33333333333333331</v>
      </c>
      <c r="M355" s="142" t="s">
        <v>16</v>
      </c>
      <c r="N355" s="142" t="s">
        <v>17</v>
      </c>
      <c r="O355" s="142" t="s">
        <v>92</v>
      </c>
      <c r="P355" s="142" t="s">
        <v>93</v>
      </c>
      <c r="Q355" s="142" t="s">
        <v>23</v>
      </c>
      <c r="R355" s="76"/>
      <c r="S355" s="76"/>
      <c r="T355" s="76"/>
      <c r="U355" s="76"/>
      <c r="V355" s="76"/>
      <c r="W355" s="76"/>
      <c r="X355" s="76"/>
      <c r="Y355" s="76"/>
    </row>
    <row r="356" spans="1:25" s="6" customFormat="1" x14ac:dyDescent="0.25">
      <c r="A356" s="101"/>
      <c r="B356" s="101"/>
      <c r="C356" s="1" t="str">
        <f>_xlfn.CONCAT(tabE.Flux[[#This Row],[DATA]],"+",tabE.Flux[[#This Row],[MOTORISTA + MATRÍCULA A]])</f>
        <v>45900+DIVINO EURIPEDES RIBEIRO - 5191</v>
      </c>
      <c r="D356" s="1" t="str">
        <f>_xlfn.CONCAT(tabE.Flux[[#This Row],[DATA]],"+",tabE.Flux[[#This Row],[MOTORISTA + MATRÍCULA B]])</f>
        <v>45900+VALDIVINO GONCALVES DA SILVA - 5724</v>
      </c>
      <c r="E356" s="1" t="str">
        <f>_xlfn.CONCAT(tabE.Flux[[#This Row],[DATA]],"+",tabE.Flux[[#This Row],[MOTORISTA + MATRÍCULA A]],"+",tabE.Flux[[#This Row],[LINHA]])</f>
        <v>45900+DIVINO EURIPEDES RIBEIRO - 5191+GOIANIA (GO) X TERESINA (PI) VIA STI</v>
      </c>
      <c r="F356" s="1" t="str">
        <f>_xlfn.CONCAT(tabE.Flux[[#This Row],[DATA]],"+",tabE.Flux[[#This Row],[MOTORISTA + MATRÍCULA B]],"+",tabE.Flux[[#This Row],[LINHA]])</f>
        <v>45900+VALDIVINO GONCALVES DA SILVA - 5724+GOIANIA (GO) X TERESINA (PI) VIA STI</v>
      </c>
      <c r="G356" s="1" t="str">
        <f>_xlfn.CONCAT(tabE.Flux[[#This Row],[DATA]],"+",tabE.Flux[[#This Row],[LINHA]])</f>
        <v>45900+GOIANIA (GO) X TERESINA (PI) VIA STI</v>
      </c>
      <c r="H356" s="141">
        <v>45900</v>
      </c>
      <c r="I356" s="142" t="s">
        <v>15</v>
      </c>
      <c r="J356" s="142">
        <v>19020</v>
      </c>
      <c r="K356" s="143">
        <v>0.3888888888888889</v>
      </c>
      <c r="L356" s="143">
        <v>0.39583333333333331</v>
      </c>
      <c r="M356" s="142" t="s">
        <v>16</v>
      </c>
      <c r="N356" s="142" t="s">
        <v>17</v>
      </c>
      <c r="O356" s="142" t="s">
        <v>167</v>
      </c>
      <c r="P356" s="142" t="s">
        <v>168</v>
      </c>
      <c r="Q356" s="142" t="s">
        <v>26</v>
      </c>
      <c r="R356" s="76"/>
      <c r="S356" s="76"/>
      <c r="T356" s="76"/>
      <c r="U356" s="76"/>
      <c r="V356" s="76"/>
      <c r="W356" s="76"/>
      <c r="X356" s="76"/>
      <c r="Y356" s="76"/>
    </row>
    <row r="357" spans="1:25" s="6" customFormat="1" x14ac:dyDescent="0.25">
      <c r="A357" s="101"/>
      <c r="B357" s="101"/>
      <c r="C357" s="1" t="str">
        <f>_xlfn.CONCAT(tabE.Flux[[#This Row],[DATA]],"+",tabE.Flux[[#This Row],[MOTORISTA + MATRÍCULA A]])</f>
        <v>45900+CANCELADO</v>
      </c>
      <c r="D357" s="1" t="str">
        <f>_xlfn.CONCAT(tabE.Flux[[#This Row],[DATA]],"+",tabE.Flux[[#This Row],[MOTORISTA + MATRÍCULA B]])</f>
        <v>45900+CANCELADO</v>
      </c>
      <c r="E357" s="1" t="str">
        <f>_xlfn.CONCAT(tabE.Flux[[#This Row],[DATA]],"+",tabE.Flux[[#This Row],[MOTORISTA + MATRÍCULA A]],"+",tabE.Flux[[#This Row],[LINHA]])</f>
        <v>45900+CANCELADO+IMPERATRIZ (MA) X VILA RICA (MT)</v>
      </c>
      <c r="F357" s="1" t="str">
        <f>_xlfn.CONCAT(tabE.Flux[[#This Row],[DATA]],"+",tabE.Flux[[#This Row],[MOTORISTA + MATRÍCULA B]],"+",tabE.Flux[[#This Row],[LINHA]])</f>
        <v>45900+CANCELADO+IMPERATRIZ (MA) X VILA RICA (MT)</v>
      </c>
      <c r="G357" s="1" t="str">
        <f>_xlfn.CONCAT(tabE.Flux[[#This Row],[DATA]],"+",tabE.Flux[[#This Row],[LINHA]])</f>
        <v>45900+IMPERATRIZ (MA) X VILA RICA (MT)</v>
      </c>
      <c r="H357" s="141">
        <v>45900</v>
      </c>
      <c r="I357" s="142" t="s">
        <v>15</v>
      </c>
      <c r="J357" s="144" t="s">
        <v>27</v>
      </c>
      <c r="K357" s="143">
        <v>0.375</v>
      </c>
      <c r="L357" s="143">
        <v>0.41666666666666669</v>
      </c>
      <c r="M357" s="142" t="s">
        <v>16</v>
      </c>
      <c r="N357" s="142" t="s">
        <v>28</v>
      </c>
      <c r="O357" s="144" t="s">
        <v>27</v>
      </c>
      <c r="P357" s="144" t="s">
        <v>27</v>
      </c>
      <c r="Q357" s="142" t="s">
        <v>100</v>
      </c>
      <c r="R357" s="76"/>
      <c r="S357" s="76"/>
      <c r="T357" s="76"/>
      <c r="U357" s="76"/>
      <c r="V357" s="76"/>
      <c r="W357" s="76"/>
      <c r="X357" s="76"/>
      <c r="Y357" s="76"/>
    </row>
    <row r="358" spans="1:25" s="6" customFormat="1" x14ac:dyDescent="0.25">
      <c r="A358" s="101"/>
      <c r="B358" s="101"/>
      <c r="C358" s="1" t="str">
        <f>_xlfn.CONCAT(tabE.Flux[[#This Row],[DATA]],"+",tabE.Flux[[#This Row],[MOTORISTA + MATRÍCULA A]])</f>
        <v>45900+KLEBSON ALVES FREIRES - 3060</v>
      </c>
      <c r="D358" s="1" t="str">
        <f>_xlfn.CONCAT(tabE.Flux[[#This Row],[DATA]],"+",tabE.Flux[[#This Row],[MOTORISTA + MATRÍCULA B]])</f>
        <v>45900+PAULO MORAES DOS SANTOS - 1534</v>
      </c>
      <c r="E358" s="1" t="str">
        <f>_xlfn.CONCAT(tabE.Flux[[#This Row],[DATA]],"+",tabE.Flux[[#This Row],[MOTORISTA + MATRÍCULA A]],"+",tabE.Flux[[#This Row],[LINHA]])</f>
        <v>45900+KLEBSON ALVES FREIRES - 3060+FORTALEZA (CE) X SINOP (MT)</v>
      </c>
      <c r="F358" s="1" t="str">
        <f>_xlfn.CONCAT(tabE.Flux[[#This Row],[DATA]],"+",tabE.Flux[[#This Row],[MOTORISTA + MATRÍCULA B]],"+",tabE.Flux[[#This Row],[LINHA]])</f>
        <v>45900+PAULO MORAES DOS SANTOS - 1534+FORTALEZA (CE) X SINOP (MT)</v>
      </c>
      <c r="G358" s="1" t="str">
        <f>_xlfn.CONCAT(tabE.Flux[[#This Row],[DATA]],"+",tabE.Flux[[#This Row],[LINHA]])</f>
        <v>45900+FORTALEZA (CE) X SINOP (MT)</v>
      </c>
      <c r="H358" s="141">
        <v>45900</v>
      </c>
      <c r="I358" s="142" t="s">
        <v>15</v>
      </c>
      <c r="J358" s="142">
        <v>19001</v>
      </c>
      <c r="K358" s="143">
        <v>0.3888888888888889</v>
      </c>
      <c r="L358" s="143">
        <v>0.37708333333333333</v>
      </c>
      <c r="M358" s="142" t="s">
        <v>16</v>
      </c>
      <c r="N358" s="142" t="s">
        <v>29</v>
      </c>
      <c r="O358" s="142" t="s">
        <v>161</v>
      </c>
      <c r="P358" s="142" t="s">
        <v>225</v>
      </c>
      <c r="Q358" s="142" t="s">
        <v>32</v>
      </c>
      <c r="R358" s="76"/>
      <c r="S358" s="76"/>
      <c r="T358" s="76"/>
      <c r="U358" s="76"/>
      <c r="V358" s="76"/>
      <c r="W358" s="76"/>
      <c r="X358" s="76"/>
      <c r="Y358" s="76"/>
    </row>
    <row r="359" spans="1:25" s="6" customFormat="1" x14ac:dyDescent="0.25">
      <c r="A359" s="101"/>
      <c r="B359" s="101"/>
      <c r="C359" s="1" t="str">
        <f>_xlfn.CONCAT(tabE.Flux[[#This Row],[DATA]],"+",tabE.Flux[[#This Row],[MOTORISTA + MATRÍCULA A]])</f>
        <v>45900+ANTONIO JOSE PEREIRA SOARES - 1774</v>
      </c>
      <c r="D359" s="1" t="str">
        <f>_xlfn.CONCAT(tabE.Flux[[#This Row],[DATA]],"+",tabE.Flux[[#This Row],[MOTORISTA + MATRÍCULA B]])</f>
        <v>45900+ELIEZIO JOSE DOS SANTOS - 2645</v>
      </c>
      <c r="E359" s="1" t="str">
        <f>_xlfn.CONCAT(tabE.Flux[[#This Row],[DATA]],"+",tabE.Flux[[#This Row],[MOTORISTA + MATRÍCULA A]],"+",tabE.Flux[[#This Row],[LINHA]])</f>
        <v>45900+ANTONIO JOSE PEREIRA SOARES - 1774+GOIANIA (GO) X BELEM (PA)</v>
      </c>
      <c r="F359" s="1" t="str">
        <f>_xlfn.CONCAT(tabE.Flux[[#This Row],[DATA]],"+",tabE.Flux[[#This Row],[MOTORISTA + MATRÍCULA B]],"+",tabE.Flux[[#This Row],[LINHA]])</f>
        <v>45900+ELIEZIO JOSE DOS SANTOS - 2645+GOIANIA (GO) X BELEM (PA)</v>
      </c>
      <c r="G359" s="1" t="str">
        <f>_xlfn.CONCAT(tabE.Flux[[#This Row],[DATA]],"+",tabE.Flux[[#This Row],[LINHA]])</f>
        <v>45900+GOIANIA (GO) X BELEM (PA)</v>
      </c>
      <c r="H359" s="141">
        <v>45900</v>
      </c>
      <c r="I359" s="142" t="s">
        <v>15</v>
      </c>
      <c r="J359" s="142">
        <v>19018</v>
      </c>
      <c r="K359" s="143">
        <v>0.38958333333333334</v>
      </c>
      <c r="L359" s="143">
        <v>0.38541666666666669</v>
      </c>
      <c r="M359" s="142" t="s">
        <v>16</v>
      </c>
      <c r="N359" s="142" t="s">
        <v>33</v>
      </c>
      <c r="O359" s="142" t="s">
        <v>52</v>
      </c>
      <c r="P359" s="142" t="s">
        <v>53</v>
      </c>
      <c r="Q359" s="142" t="s">
        <v>20</v>
      </c>
      <c r="R359" s="76"/>
      <c r="S359" s="76"/>
      <c r="T359" s="76"/>
      <c r="U359" s="76"/>
      <c r="V359" s="76"/>
      <c r="W359" s="76"/>
      <c r="X359" s="76"/>
      <c r="Y359" s="76"/>
    </row>
    <row r="360" spans="1:25" s="6" customFormat="1" x14ac:dyDescent="0.25">
      <c r="A360" s="101"/>
      <c r="B360" s="101"/>
      <c r="C360" s="1" t="str">
        <f>_xlfn.CONCAT(tabE.Flux[[#This Row],[DATA]],"+",tabE.Flux[[#This Row],[MOTORISTA + MATRÍCULA A]])</f>
        <v>45900+JOSE ORLANDO RODRIGUES DE MIRANDA - 5838</v>
      </c>
      <c r="D360" s="1" t="str">
        <f>_xlfn.CONCAT(tabE.Flux[[#This Row],[DATA]],"+",tabE.Flux[[#This Row],[MOTORISTA + MATRÍCULA B]])</f>
        <v>45900+RICARDO AUGUSTO TEIXEIRA SANTOS - 5660</v>
      </c>
      <c r="E360" s="1" t="str">
        <f>_xlfn.CONCAT(tabE.Flux[[#This Row],[DATA]],"+",tabE.Flux[[#This Row],[MOTORISTA + MATRÍCULA A]],"+",tabE.Flux[[#This Row],[LINHA]])</f>
        <v>45900+JOSE ORLANDO RODRIGUES DE MIRANDA - 5838+GOIANIA (GO) X TERESINA (PI) VIA BC</v>
      </c>
      <c r="F360" s="1" t="str">
        <f>_xlfn.CONCAT(tabE.Flux[[#This Row],[DATA]],"+",tabE.Flux[[#This Row],[MOTORISTA + MATRÍCULA B]],"+",tabE.Flux[[#This Row],[LINHA]])</f>
        <v>45900+RICARDO AUGUSTO TEIXEIRA SANTOS - 5660+GOIANIA (GO) X TERESINA (PI) VIA BC</v>
      </c>
      <c r="G360" s="1" t="str">
        <f>_xlfn.CONCAT(tabE.Flux[[#This Row],[DATA]],"+",tabE.Flux[[#This Row],[LINHA]])</f>
        <v>45900+GOIANIA (GO) X TERESINA (PI) VIA BC</v>
      </c>
      <c r="H360" s="141">
        <v>45900</v>
      </c>
      <c r="I360" s="142" t="s">
        <v>15</v>
      </c>
      <c r="J360" s="142">
        <v>25008</v>
      </c>
      <c r="K360" s="143">
        <v>0.375</v>
      </c>
      <c r="L360" s="143">
        <v>0.39930555555555558</v>
      </c>
      <c r="M360" s="142" t="s">
        <v>36</v>
      </c>
      <c r="N360" s="142" t="s">
        <v>29</v>
      </c>
      <c r="O360" s="142" t="s">
        <v>37</v>
      </c>
      <c r="P360" s="142" t="s">
        <v>174</v>
      </c>
      <c r="Q360" s="142" t="s">
        <v>39</v>
      </c>
      <c r="R360" s="76"/>
      <c r="S360" s="76"/>
      <c r="T360" s="76"/>
      <c r="U360" s="76"/>
      <c r="V360" s="76"/>
      <c r="W360" s="76"/>
      <c r="X360" s="76"/>
      <c r="Y360" s="76"/>
    </row>
    <row r="361" spans="1:25" s="6" customFormat="1" x14ac:dyDescent="0.25">
      <c r="A361" s="101"/>
      <c r="B361" s="101"/>
      <c r="C361" s="1" t="str">
        <f>_xlfn.CONCAT(tabE.Flux[[#This Row],[DATA]],"+",tabE.Flux[[#This Row],[MOTORISTA + MATRÍCULA A]])</f>
        <v>45900+JAME DOS SANTOS MOURA - 5332</v>
      </c>
      <c r="D361" s="1" t="str">
        <f>_xlfn.CONCAT(tabE.Flux[[#This Row],[DATA]],"+",tabE.Flux[[#This Row],[MOTORISTA + MATRÍCULA B]])</f>
        <v>45900+FELIPE MORAIS MELO - 3077</v>
      </c>
      <c r="E361" s="1" t="str">
        <f>_xlfn.CONCAT(tabE.Flux[[#This Row],[DATA]],"+",tabE.Flux[[#This Row],[MOTORISTA + MATRÍCULA A]],"+",tabE.Flux[[#This Row],[LINHA]])</f>
        <v>45900+JAME DOS SANTOS MOURA - 5332+GOIANIA (GO) X BELEM (PA)</v>
      </c>
      <c r="F361" s="1" t="str">
        <f>_xlfn.CONCAT(tabE.Flux[[#This Row],[DATA]],"+",tabE.Flux[[#This Row],[MOTORISTA + MATRÍCULA B]],"+",tabE.Flux[[#This Row],[LINHA]])</f>
        <v>45900+FELIPE MORAIS MELO - 3077+GOIANIA (GO) X BELEM (PA)</v>
      </c>
      <c r="G361" s="1" t="str">
        <f>_xlfn.CONCAT(tabE.Flux[[#This Row],[DATA]],"+",tabE.Flux[[#This Row],[LINHA]])</f>
        <v>45900+GOIANIA (GO) X BELEM (PA)</v>
      </c>
      <c r="H361" s="141">
        <v>45900</v>
      </c>
      <c r="I361" s="142" t="s">
        <v>15</v>
      </c>
      <c r="J361" s="142">
        <v>19009</v>
      </c>
      <c r="K361" s="143">
        <v>0.375</v>
      </c>
      <c r="L361" s="143">
        <v>0.41666666666666669</v>
      </c>
      <c r="M361" s="142" t="s">
        <v>33</v>
      </c>
      <c r="N361" s="142" t="s">
        <v>16</v>
      </c>
      <c r="O361" s="142" t="s">
        <v>103</v>
      </c>
      <c r="P361" s="142" t="s">
        <v>78</v>
      </c>
      <c r="Q361" s="142" t="s">
        <v>20</v>
      </c>
      <c r="R361" s="76"/>
      <c r="S361" s="76"/>
      <c r="T361" s="76"/>
      <c r="U361" s="76"/>
      <c r="V361" s="76"/>
      <c r="W361" s="76"/>
      <c r="X361" s="76"/>
      <c r="Y361" s="76"/>
    </row>
    <row r="362" spans="1:25" s="6" customFormat="1" x14ac:dyDescent="0.25">
      <c r="A362" s="101"/>
      <c r="B362" s="101"/>
      <c r="C362" s="1" t="str">
        <f>_xlfn.CONCAT(tabE.Flux[[#This Row],[DATA]],"+",tabE.Flux[[#This Row],[MOTORISTA + MATRÍCULA A]])</f>
        <v>45900+CANCELADO</v>
      </c>
      <c r="D362" s="1" t="str">
        <f>_xlfn.CONCAT(tabE.Flux[[#This Row],[DATA]],"+",tabE.Flux[[#This Row],[MOTORISTA + MATRÍCULA B]])</f>
        <v>45900+CANCELADO</v>
      </c>
      <c r="E362" s="1" t="str">
        <f>_xlfn.CONCAT(tabE.Flux[[#This Row],[DATA]],"+",tabE.Flux[[#This Row],[MOTORISTA + MATRÍCULA A]],"+",tabE.Flux[[#This Row],[LINHA]])</f>
        <v>45900+CANCELADO+GOIANIA (GO) X SAO LUIS (MA)</v>
      </c>
      <c r="F362" s="1" t="str">
        <f>_xlfn.CONCAT(tabE.Flux[[#This Row],[DATA]],"+",tabE.Flux[[#This Row],[MOTORISTA + MATRÍCULA B]],"+",tabE.Flux[[#This Row],[LINHA]])</f>
        <v>45900+CANCELADO+GOIANIA (GO) X SAO LUIS (MA)</v>
      </c>
      <c r="G362" s="1" t="str">
        <f>_xlfn.CONCAT(tabE.Flux[[#This Row],[DATA]],"+",tabE.Flux[[#This Row],[LINHA]])</f>
        <v>45900+GOIANIA (GO) X SAO LUIS (MA)</v>
      </c>
      <c r="H362" s="141">
        <v>45900</v>
      </c>
      <c r="I362" s="142" t="s">
        <v>15</v>
      </c>
      <c r="J362" s="144" t="s">
        <v>27</v>
      </c>
      <c r="K362" s="143">
        <v>0.25</v>
      </c>
      <c r="L362" s="143">
        <v>0.29166666666666669</v>
      </c>
      <c r="M362" s="142" t="s">
        <v>42</v>
      </c>
      <c r="N362" s="142" t="s">
        <v>16</v>
      </c>
      <c r="O362" s="144" t="s">
        <v>27</v>
      </c>
      <c r="P362" s="144" t="s">
        <v>27</v>
      </c>
      <c r="Q362" s="142" t="s">
        <v>23</v>
      </c>
      <c r="R362" s="76"/>
      <c r="S362" s="76"/>
      <c r="T362" s="76"/>
      <c r="U362" s="76"/>
      <c r="V362" s="76"/>
      <c r="W362" s="76"/>
      <c r="X362" s="76"/>
      <c r="Y362" s="76"/>
    </row>
    <row r="363" spans="1:25" s="6" customFormat="1" x14ac:dyDescent="0.25">
      <c r="A363" s="101"/>
      <c r="B363" s="101"/>
      <c r="C363" s="1" t="str">
        <f>_xlfn.CONCAT(tabE.Flux[[#This Row],[DATA]],"+",tabE.Flux[[#This Row],[MOTORISTA + MATRÍCULA A]])</f>
        <v>45900+PAULO ENEAS FARIAS ARAUJO - 6218</v>
      </c>
      <c r="D363" s="1" t="str">
        <f>_xlfn.CONCAT(tabE.Flux[[#This Row],[DATA]],"+",tabE.Flux[[#This Row],[MOTORISTA + MATRÍCULA B]])</f>
        <v>45900+ESIEL COSTA RODRIGUES - 1749</v>
      </c>
      <c r="E363" s="1" t="str">
        <f>_xlfn.CONCAT(tabE.Flux[[#This Row],[DATA]],"+",tabE.Flux[[#This Row],[MOTORISTA + MATRÍCULA A]],"+",tabE.Flux[[#This Row],[LINHA]])</f>
        <v>45900+PAULO ENEAS FARIAS ARAUJO - 6218+GOIANIA (GO) X SAO LUIS (MA)</v>
      </c>
      <c r="F363" s="1" t="str">
        <f>_xlfn.CONCAT(tabE.Flux[[#This Row],[DATA]],"+",tabE.Flux[[#This Row],[MOTORISTA + MATRÍCULA B]],"+",tabE.Flux[[#This Row],[LINHA]])</f>
        <v>45900+ESIEL COSTA RODRIGUES - 1749+GOIANIA (GO) X SAO LUIS (MA)</v>
      </c>
      <c r="G363" s="1" t="str">
        <f>_xlfn.CONCAT(tabE.Flux[[#This Row],[DATA]],"+",tabE.Flux[[#This Row],[LINHA]])</f>
        <v>45900+GOIANIA (GO) X SAO LUIS (MA)</v>
      </c>
      <c r="H363" s="141">
        <v>45900</v>
      </c>
      <c r="I363" s="142" t="s">
        <v>15</v>
      </c>
      <c r="J363" s="142">
        <v>24006</v>
      </c>
      <c r="K363" s="143">
        <v>0.75</v>
      </c>
      <c r="L363" s="143">
        <v>0.79166666666666663</v>
      </c>
      <c r="M363" s="142" t="s">
        <v>42</v>
      </c>
      <c r="N363" s="142" t="s">
        <v>16</v>
      </c>
      <c r="O363" s="142" t="s">
        <v>43</v>
      </c>
      <c r="P363" s="142" t="s">
        <v>46</v>
      </c>
      <c r="Q363" s="142" t="s">
        <v>23</v>
      </c>
      <c r="R363" s="76"/>
      <c r="S363" s="76"/>
      <c r="T363" s="76"/>
      <c r="U363" s="76"/>
      <c r="V363" s="76"/>
      <c r="W363" s="76"/>
      <c r="X363" s="76"/>
      <c r="Y363" s="76"/>
    </row>
    <row r="364" spans="1:25" s="6" customFormat="1" x14ac:dyDescent="0.25">
      <c r="A364" s="101"/>
      <c r="B364" s="101"/>
      <c r="C364" s="1" t="str">
        <f>_xlfn.CONCAT(tabE.Flux[[#This Row],[DATA]],"+",tabE.Flux[[#This Row],[MOTORISTA + MATRÍCULA A]])</f>
        <v>45900+RAIMUNDO COSTA SILVA - 6226</v>
      </c>
      <c r="D364" s="1" t="str">
        <f>_xlfn.CONCAT(tabE.Flux[[#This Row],[DATA]],"+",tabE.Flux[[#This Row],[MOTORISTA + MATRÍCULA B]])</f>
        <v>45900+RAIMUNDO FERNANDES RIBEIRO - 907</v>
      </c>
      <c r="E364" s="1" t="str">
        <f>_xlfn.CONCAT(tabE.Flux[[#This Row],[DATA]],"+",tabE.Flux[[#This Row],[MOTORISTA + MATRÍCULA A]],"+",tabE.Flux[[#This Row],[LINHA]])</f>
        <v>45900+RAIMUNDO COSTA SILVA - 6226+IMPERATRIZ (MA) X SÃO LUIS (MA)</v>
      </c>
      <c r="F364" s="1" t="str">
        <f>_xlfn.CONCAT(tabE.Flux[[#This Row],[DATA]],"+",tabE.Flux[[#This Row],[MOTORISTA + MATRÍCULA B]],"+",tabE.Flux[[#This Row],[LINHA]])</f>
        <v>45900+RAIMUNDO FERNANDES RIBEIRO - 907+IMPERATRIZ (MA) X SÃO LUIS (MA)</v>
      </c>
      <c r="G364" s="1" t="str">
        <f>_xlfn.CONCAT(tabE.Flux[[#This Row],[DATA]],"+",tabE.Flux[[#This Row],[LINHA]])</f>
        <v>45900+IMPERATRIZ (MA) X SÃO LUIS (MA)</v>
      </c>
      <c r="H364" s="141">
        <v>45900</v>
      </c>
      <c r="I364" s="142" t="s">
        <v>15</v>
      </c>
      <c r="J364" s="142">
        <v>19019</v>
      </c>
      <c r="K364" s="143">
        <v>0.77083333333333337</v>
      </c>
      <c r="L364" s="143">
        <v>0.79513888888888884</v>
      </c>
      <c r="M364" s="142" t="s">
        <v>42</v>
      </c>
      <c r="N364" s="142" t="s">
        <v>16</v>
      </c>
      <c r="O364" s="142" t="s">
        <v>45</v>
      </c>
      <c r="P364" s="142" t="s">
        <v>143</v>
      </c>
      <c r="Q364" s="142" t="s">
        <v>47</v>
      </c>
      <c r="R364" s="76"/>
      <c r="S364" s="76"/>
      <c r="T364" s="76"/>
      <c r="U364" s="76"/>
      <c r="V364" s="76"/>
      <c r="W364" s="76"/>
      <c r="X364" s="76"/>
      <c r="Y364" s="76"/>
    </row>
    <row r="365" spans="1:25" s="6" customFormat="1" x14ac:dyDescent="0.25">
      <c r="A365" s="101"/>
      <c r="B365" s="101"/>
      <c r="C365" s="1" t="str">
        <f>_xlfn.CONCAT(tabE.Flux[[#This Row],[DATA]],"+",tabE.Flux[[#This Row],[MOTORISTA + MATRÍCULA A]])</f>
        <v>45900+JOSE SOARES DA SILVA FILHO - 3093</v>
      </c>
      <c r="D365" s="1" t="str">
        <f>_xlfn.CONCAT(tabE.Flux[[#This Row],[DATA]],"+",tabE.Flux[[#This Row],[MOTORISTA + MATRÍCULA B]])</f>
        <v>45900+ANTONIO DIAS DE OLIVEIRA - 5309</v>
      </c>
      <c r="E365" s="1" t="str">
        <f>_xlfn.CONCAT(tabE.Flux[[#This Row],[DATA]],"+",tabE.Flux[[#This Row],[MOTORISTA + MATRÍCULA A]],"+",tabE.Flux[[#This Row],[LINHA]])</f>
        <v>45900+JOSE SOARES DA SILVA FILHO - 3093+GOIANIA (GO) X TERESINA (PI) VIA BC</v>
      </c>
      <c r="F365" s="1" t="str">
        <f>_xlfn.CONCAT(tabE.Flux[[#This Row],[DATA]],"+",tabE.Flux[[#This Row],[MOTORISTA + MATRÍCULA B]],"+",tabE.Flux[[#This Row],[LINHA]])</f>
        <v>45900+ANTONIO DIAS DE OLIVEIRA - 5309+GOIANIA (GO) X TERESINA (PI) VIA BC</v>
      </c>
      <c r="G365" s="1" t="str">
        <f>_xlfn.CONCAT(tabE.Flux[[#This Row],[DATA]],"+",tabE.Flux[[#This Row],[LINHA]])</f>
        <v>45900+GOIANIA (GO) X TERESINA (PI) VIA BC</v>
      </c>
      <c r="H365" s="141">
        <v>45900</v>
      </c>
      <c r="I365" s="142" t="s">
        <v>15</v>
      </c>
      <c r="J365" s="142">
        <v>25012</v>
      </c>
      <c r="K365" s="143">
        <v>0.89583333333333337</v>
      </c>
      <c r="L365" s="143">
        <v>0.91666666666666663</v>
      </c>
      <c r="M365" s="142" t="s">
        <v>36</v>
      </c>
      <c r="N365" s="142" t="s">
        <v>17</v>
      </c>
      <c r="O365" s="142" t="s">
        <v>171</v>
      </c>
      <c r="P365" s="142" t="s">
        <v>172</v>
      </c>
      <c r="Q365" s="142" t="s">
        <v>39</v>
      </c>
      <c r="R365" s="76"/>
      <c r="S365" s="76"/>
      <c r="T365" s="76"/>
      <c r="U365" s="76"/>
      <c r="V365" s="76"/>
      <c r="W365" s="76"/>
      <c r="X365" s="76"/>
      <c r="Y365" s="76"/>
    </row>
    <row r="366" spans="1:25" s="6" customFormat="1" x14ac:dyDescent="0.25">
      <c r="A366" s="101"/>
      <c r="B366" s="101"/>
      <c r="C366" s="1" t="str">
        <f>_xlfn.CONCAT(tabE.Flux[[#This Row],[DATA]],"+",tabE.Flux[[#This Row],[MOTORISTA + MATRÍCULA A]])</f>
        <v>45900+FRANCISCO RAIMUNDO VIANA DE SOUSA - 5314</v>
      </c>
      <c r="D366" s="1" t="str">
        <f>_xlfn.CONCAT(tabE.Flux[[#This Row],[DATA]],"+",tabE.Flux[[#This Row],[MOTORISTA + MATRÍCULA B]])</f>
        <v>45900+JEFFERSON CARDOSO DOS SANTOS - 5837</v>
      </c>
      <c r="E366" s="1" t="str">
        <f>_xlfn.CONCAT(tabE.Flux[[#This Row],[DATA]],"+",tabE.Flux[[#This Row],[MOTORISTA + MATRÍCULA A]],"+",tabE.Flux[[#This Row],[LINHA]])</f>
        <v>45900+FRANCISCO RAIMUNDO VIANA DE SOUSA - 5314+GOIANIA (GO) X BELEM (PA)</v>
      </c>
      <c r="F366" s="1" t="str">
        <f>_xlfn.CONCAT(tabE.Flux[[#This Row],[DATA]],"+",tabE.Flux[[#This Row],[MOTORISTA + MATRÍCULA B]],"+",tabE.Flux[[#This Row],[LINHA]])</f>
        <v>45900+JEFFERSON CARDOSO DOS SANTOS - 5837+GOIANIA (GO) X BELEM (PA)</v>
      </c>
      <c r="G366" s="1" t="str">
        <f>_xlfn.CONCAT(tabE.Flux[[#This Row],[DATA]],"+",tabE.Flux[[#This Row],[LINHA]])</f>
        <v>45900+GOIANIA (GO) X BELEM (PA)</v>
      </c>
      <c r="H366" s="141">
        <v>45900</v>
      </c>
      <c r="I366" s="142" t="s">
        <v>15</v>
      </c>
      <c r="J366" s="142">
        <v>24001</v>
      </c>
      <c r="K366" s="143">
        <v>0.76041666666666663</v>
      </c>
      <c r="L366" s="143">
        <v>0.77083333333333337</v>
      </c>
      <c r="M366" s="142" t="s">
        <v>33</v>
      </c>
      <c r="N366" s="142" t="s">
        <v>16</v>
      </c>
      <c r="O366" s="142" t="s">
        <v>87</v>
      </c>
      <c r="P366" s="142" t="s">
        <v>30</v>
      </c>
      <c r="Q366" s="142" t="s">
        <v>20</v>
      </c>
      <c r="R366" s="76"/>
      <c r="S366" s="76"/>
      <c r="T366" s="76"/>
      <c r="U366" s="76"/>
      <c r="V366" s="76"/>
      <c r="W366" s="76"/>
      <c r="X366" s="76"/>
      <c r="Y366" s="76"/>
    </row>
    <row r="367" spans="1:25" s="6" customFormat="1" x14ac:dyDescent="0.25">
      <c r="A367" s="101"/>
      <c r="B367" s="101"/>
      <c r="C367" s="1" t="str">
        <f>_xlfn.CONCAT(tabE.Flux[[#This Row],[DATA]],"+",tabE.Flux[[#This Row],[MOTORISTA + MATRÍCULA A]])</f>
        <v>45900+KLEBER OLIVEIRA LIMA - 5849</v>
      </c>
      <c r="D367" s="1" t="str">
        <f>_xlfn.CONCAT(tabE.Flux[[#This Row],[DATA]],"+",tabE.Flux[[#This Row],[MOTORISTA + MATRÍCULA B]])</f>
        <v>45900+FRANCISCO ALVES DA PAZ JUNIOR - 1247</v>
      </c>
      <c r="E367" s="1" t="str">
        <f>_xlfn.CONCAT(tabE.Flux[[#This Row],[DATA]],"+",tabE.Flux[[#This Row],[MOTORISTA + MATRÍCULA A]],"+",tabE.Flux[[#This Row],[LINHA]])</f>
        <v>45900+KLEBER OLIVEIRA LIMA - 5849+GOIANIA (GO) X BELEM (PA)</v>
      </c>
      <c r="F367" s="1" t="str">
        <f>_xlfn.CONCAT(tabE.Flux[[#This Row],[DATA]],"+",tabE.Flux[[#This Row],[MOTORISTA + MATRÍCULA B]],"+",tabE.Flux[[#This Row],[LINHA]])</f>
        <v>45900+FRANCISCO ALVES DA PAZ JUNIOR - 1247+GOIANIA (GO) X BELEM (PA)</v>
      </c>
      <c r="G367" s="1" t="str">
        <f>_xlfn.CONCAT(tabE.Flux[[#This Row],[DATA]],"+",tabE.Flux[[#This Row],[LINHA]])</f>
        <v>45900+GOIANIA (GO) X BELEM (PA)</v>
      </c>
      <c r="H367" s="141">
        <v>45900</v>
      </c>
      <c r="I367" s="142" t="s">
        <v>15</v>
      </c>
      <c r="J367" s="142">
        <v>24011</v>
      </c>
      <c r="K367" s="143">
        <v>0.76041666666666663</v>
      </c>
      <c r="L367" s="143">
        <v>0.82777777777777772</v>
      </c>
      <c r="M367" s="142" t="s">
        <v>16</v>
      </c>
      <c r="N367" s="142" t="s">
        <v>33</v>
      </c>
      <c r="O367" s="142" t="s">
        <v>102</v>
      </c>
      <c r="P367" s="142" t="s">
        <v>144</v>
      </c>
      <c r="Q367" s="142" t="s">
        <v>20</v>
      </c>
      <c r="R367" s="76"/>
      <c r="S367" s="76"/>
      <c r="T367" s="76"/>
      <c r="U367" s="76"/>
      <c r="V367" s="76"/>
      <c r="W367" s="76"/>
      <c r="X367" s="76"/>
      <c r="Y367" s="76"/>
    </row>
    <row r="368" spans="1:25" s="6" customFormat="1" x14ac:dyDescent="0.25">
      <c r="A368" s="101"/>
      <c r="B368" s="101"/>
      <c r="C368" s="1" t="str">
        <f>_xlfn.CONCAT(tabE.Flux[[#This Row],[DATA]],"+",tabE.Flux[[#This Row],[MOTORISTA + MATRÍCULA A]])</f>
        <v>45900+JERZUALDO DA SILVA GOMES - 4077</v>
      </c>
      <c r="D368" s="1" t="str">
        <f>_xlfn.CONCAT(tabE.Flux[[#This Row],[DATA]],"+",tabE.Flux[[#This Row],[MOTORISTA + MATRÍCULA B]])</f>
        <v>45900+EDIVALDO DE ARAUJO - 6217</v>
      </c>
      <c r="E368" s="1" t="str">
        <f>_xlfn.CONCAT(tabE.Flux[[#This Row],[DATA]],"+",tabE.Flux[[#This Row],[MOTORISTA + MATRÍCULA A]],"+",tabE.Flux[[#This Row],[LINHA]])</f>
        <v>45900+JERZUALDO DA SILVA GOMES - 4077+GOIANIA (GO) X SAO LUIS (MA)</v>
      </c>
      <c r="F368" s="1" t="str">
        <f>_xlfn.CONCAT(tabE.Flux[[#This Row],[DATA]],"+",tabE.Flux[[#This Row],[MOTORISTA + MATRÍCULA B]],"+",tabE.Flux[[#This Row],[LINHA]])</f>
        <v>45900+EDIVALDO DE ARAUJO - 6217+GOIANIA (GO) X SAO LUIS (MA)</v>
      </c>
      <c r="G368" s="1" t="str">
        <f>_xlfn.CONCAT(tabE.Flux[[#This Row],[DATA]],"+",tabE.Flux[[#This Row],[LINHA]])</f>
        <v>45900+GOIANIA (GO) X SAO LUIS (MA)</v>
      </c>
      <c r="H368" s="141">
        <v>45900</v>
      </c>
      <c r="I368" s="142" t="s">
        <v>15</v>
      </c>
      <c r="J368" s="142">
        <v>19007</v>
      </c>
      <c r="K368" s="143">
        <v>0.40763888888888888</v>
      </c>
      <c r="L368" s="143">
        <v>0.47013888888888888</v>
      </c>
      <c r="M368" s="142" t="s">
        <v>16</v>
      </c>
      <c r="N368" s="142" t="s">
        <v>42</v>
      </c>
      <c r="O368" s="142" t="s">
        <v>130</v>
      </c>
      <c r="P368" s="142" t="s">
        <v>55</v>
      </c>
      <c r="Q368" s="142" t="s">
        <v>23</v>
      </c>
      <c r="R368" s="76"/>
      <c r="S368" s="76"/>
      <c r="T368" s="76"/>
      <c r="U368" s="76"/>
      <c r="V368" s="76"/>
      <c r="W368" s="76"/>
      <c r="X368" s="76"/>
      <c r="Y368" s="76"/>
    </row>
    <row r="369" spans="1:25" s="6" customFormat="1" x14ac:dyDescent="0.25">
      <c r="A369" s="101"/>
      <c r="B369" s="101"/>
      <c r="C369" s="1" t="str">
        <f>_xlfn.CONCAT(tabE.Flux[[#This Row],[DATA]],"+",tabE.Flux[[#This Row],[MOTORISTA + MATRÍCULA A]])</f>
        <v>45900+CANCELADO</v>
      </c>
      <c r="D369" s="1" t="str">
        <f>_xlfn.CONCAT(tabE.Flux[[#This Row],[DATA]],"+",tabE.Flux[[#This Row],[MOTORISTA + MATRÍCULA B]])</f>
        <v>45900+CANCELADO</v>
      </c>
      <c r="E369" s="1" t="str">
        <f>_xlfn.CONCAT(tabE.Flux[[#This Row],[DATA]],"+",tabE.Flux[[#This Row],[MOTORISTA + MATRÍCULA A]],"+",tabE.Flux[[#This Row],[LINHA]])</f>
        <v>45900+CANCELADO+IMPERATRIZ (MA) X SÃO LUIS (MA)</v>
      </c>
      <c r="F369" s="1" t="str">
        <f>_xlfn.CONCAT(tabE.Flux[[#This Row],[DATA]],"+",tabE.Flux[[#This Row],[MOTORISTA + MATRÍCULA B]],"+",tabE.Flux[[#This Row],[LINHA]])</f>
        <v>45900+CANCELADO+IMPERATRIZ (MA) X SÃO LUIS (MA)</v>
      </c>
      <c r="G369" s="1" t="str">
        <f>_xlfn.CONCAT(tabE.Flux[[#This Row],[DATA]],"+",tabE.Flux[[#This Row],[LINHA]])</f>
        <v>45900+IMPERATRIZ (MA) X SÃO LUIS (MA)</v>
      </c>
      <c r="H369" s="141">
        <v>45900</v>
      </c>
      <c r="I369" s="142" t="s">
        <v>15</v>
      </c>
      <c r="J369" s="144" t="s">
        <v>27</v>
      </c>
      <c r="K369" s="143">
        <v>0.77083333333333337</v>
      </c>
      <c r="L369" s="143">
        <v>0.8125</v>
      </c>
      <c r="M369" s="142" t="s">
        <v>16</v>
      </c>
      <c r="N369" s="142" t="s">
        <v>42</v>
      </c>
      <c r="O369" s="144" t="s">
        <v>27</v>
      </c>
      <c r="P369" s="144" t="s">
        <v>27</v>
      </c>
      <c r="Q369" s="142" t="s">
        <v>47</v>
      </c>
      <c r="R369" s="76"/>
      <c r="S369" s="76"/>
      <c r="T369" s="76"/>
      <c r="U369" s="76"/>
      <c r="V369" s="76"/>
      <c r="W369" s="76"/>
      <c r="X369" s="76"/>
      <c r="Y369" s="76"/>
    </row>
    <row r="370" spans="1:25" s="6" customFormat="1" x14ac:dyDescent="0.25">
      <c r="A370" s="101"/>
      <c r="B370" s="101"/>
      <c r="C370" s="1" t="str">
        <f>_xlfn.CONCAT(tabE.Flux[[#This Row],[DATA]],"+",tabE.Flux[[#This Row],[MOTORISTA + MATRÍCULA A]])</f>
        <v>45900+RONNE RODRIGUES DE SOUSA - 5025</v>
      </c>
      <c r="D370" s="1" t="str">
        <f>_xlfn.CONCAT(tabE.Flux[[#This Row],[DATA]],"+",tabE.Flux[[#This Row],[MOTORISTA + MATRÍCULA B]])</f>
        <v>45900+CARLOS ADRIANO DE SOUZA DO NASCIMENTO - 6222</v>
      </c>
      <c r="E370" s="1" t="str">
        <f>_xlfn.CONCAT(tabE.Flux[[#This Row],[DATA]],"+",tabE.Flux[[#This Row],[MOTORISTA + MATRÍCULA A]],"+",tabE.Flux[[#This Row],[LINHA]])</f>
        <v>45900+RONNE RODRIGUES DE SOUSA - 5025+GOIANIA (GO) X SAO LUIS (MA)</v>
      </c>
      <c r="F370" s="1" t="str">
        <f>_xlfn.CONCAT(tabE.Flux[[#This Row],[DATA]],"+",tabE.Flux[[#This Row],[MOTORISTA + MATRÍCULA B]],"+",tabE.Flux[[#This Row],[LINHA]])</f>
        <v>45900+CARLOS ADRIANO DE SOUZA DO NASCIMENTO - 6222+GOIANIA (GO) X SAO LUIS (MA)</v>
      </c>
      <c r="G370" s="1" t="str">
        <f>_xlfn.CONCAT(tabE.Flux[[#This Row],[DATA]],"+",tabE.Flux[[#This Row],[LINHA]])</f>
        <v>45900+GOIANIA (GO) X SAO LUIS (MA)</v>
      </c>
      <c r="H370" s="141">
        <v>45900</v>
      </c>
      <c r="I370" s="142" t="s">
        <v>15</v>
      </c>
      <c r="J370" s="142">
        <v>24003</v>
      </c>
      <c r="K370" s="143">
        <v>0.8125</v>
      </c>
      <c r="L370" s="143">
        <v>0.84375</v>
      </c>
      <c r="M370" s="142" t="s">
        <v>16</v>
      </c>
      <c r="N370" s="142" t="s">
        <v>42</v>
      </c>
      <c r="O370" s="142" t="s">
        <v>85</v>
      </c>
      <c r="P370" s="142" t="s">
        <v>110</v>
      </c>
      <c r="Q370" s="142" t="s">
        <v>23</v>
      </c>
      <c r="R370" s="76"/>
      <c r="S370" s="76"/>
      <c r="T370" s="76"/>
      <c r="U370" s="76"/>
      <c r="V370" s="76"/>
      <c r="W370" s="76"/>
      <c r="X370" s="76"/>
      <c r="Y370" s="76"/>
    </row>
    <row r="371" spans="1:25" s="6" customFormat="1" x14ac:dyDescent="0.25">
      <c r="A371" s="101"/>
      <c r="B371" s="101"/>
      <c r="C371" s="1" t="str">
        <f>_xlfn.CONCAT(tabE.Flux[[#This Row],[DATA]],"+",tabE.Flux[[#This Row],[MOTORISTA + MATRÍCULA A]])</f>
        <v>45900+JOAO DE JESUS GOUVEIA - 6016</v>
      </c>
      <c r="D371" s="1" t="str">
        <f>_xlfn.CONCAT(tabE.Flux[[#This Row],[DATA]],"+",tabE.Flux[[#This Row],[MOTORISTA + MATRÍCULA B]])</f>
        <v>45900+ANTONIO LEONESIO CAMPELO DA SILVA - 5303</v>
      </c>
      <c r="E371" s="1" t="str">
        <f>_xlfn.CONCAT(tabE.Flux[[#This Row],[DATA]],"+",tabE.Flux[[#This Row],[MOTORISTA + MATRÍCULA A]],"+",tabE.Flux[[#This Row],[LINHA]])</f>
        <v>45900+JOAO DE JESUS GOUVEIA - 6016+GOIANIA (GO) X TERESINA (PI) VIA STI</v>
      </c>
      <c r="F371" s="1" t="str">
        <f>_xlfn.CONCAT(tabE.Flux[[#This Row],[DATA]],"+",tabE.Flux[[#This Row],[MOTORISTA + MATRÍCULA B]],"+",tabE.Flux[[#This Row],[LINHA]])</f>
        <v>45900+ANTONIO LEONESIO CAMPELO DA SILVA - 5303+GOIANIA (GO) X TERESINA (PI) VIA STI</v>
      </c>
      <c r="G371" s="1" t="str">
        <f>_xlfn.CONCAT(tabE.Flux[[#This Row],[DATA]],"+",tabE.Flux[[#This Row],[LINHA]])</f>
        <v>45900+GOIANIA (GO) X TERESINA (PI) VIA STI</v>
      </c>
      <c r="H371" s="141">
        <v>45900</v>
      </c>
      <c r="I371" s="142" t="s">
        <v>15</v>
      </c>
      <c r="J371" s="142">
        <v>19006</v>
      </c>
      <c r="K371" s="143">
        <v>0.77083333333333337</v>
      </c>
      <c r="L371" s="143">
        <v>0.79861111111111116</v>
      </c>
      <c r="M371" s="142" t="s">
        <v>16</v>
      </c>
      <c r="N371" s="142" t="s">
        <v>29</v>
      </c>
      <c r="O371" s="142" t="s">
        <v>58</v>
      </c>
      <c r="P371" s="142" t="s">
        <v>111</v>
      </c>
      <c r="Q371" s="142" t="s">
        <v>26</v>
      </c>
      <c r="R371" s="76"/>
      <c r="S371" s="76"/>
      <c r="T371" s="76"/>
      <c r="U371" s="76"/>
      <c r="V371" s="76"/>
      <c r="W371" s="76"/>
      <c r="X371" s="76"/>
      <c r="Y371" s="76"/>
    </row>
    <row r="372" spans="1:25" s="6" customFormat="1" x14ac:dyDescent="0.25">
      <c r="A372" s="101"/>
      <c r="B372" s="101"/>
      <c r="C372" s="1" t="str">
        <f>_xlfn.CONCAT(tabE.Flux[[#This Row],[DATA]],"+",tabE.Flux[[#This Row],[MOTORISTA + MATRÍCULA A]])</f>
        <v>45900+CANCELADO</v>
      </c>
      <c r="D372" s="1" t="str">
        <f>_xlfn.CONCAT(tabE.Flux[[#This Row],[DATA]],"+",tabE.Flux[[#This Row],[MOTORISTA + MATRÍCULA B]])</f>
        <v>45900+CANCELADO</v>
      </c>
      <c r="E372" s="1" t="str">
        <f>_xlfn.CONCAT(tabE.Flux[[#This Row],[DATA]],"+",tabE.Flux[[#This Row],[MOTORISTA + MATRÍCULA A]],"+",tabE.Flux[[#This Row],[LINHA]])</f>
        <v>45900+CANCELADO+GOIANIA (GO) X SAO LUIS (MA)</v>
      </c>
      <c r="F372" s="1" t="str">
        <f>_xlfn.CONCAT(tabE.Flux[[#This Row],[DATA]],"+",tabE.Flux[[#This Row],[MOTORISTA + MATRÍCULA B]],"+",tabE.Flux[[#This Row],[LINHA]])</f>
        <v>45900+CANCELADO+GOIANIA (GO) X SAO LUIS (MA)</v>
      </c>
      <c r="G372" s="1" t="str">
        <f>_xlfn.CONCAT(tabE.Flux[[#This Row],[DATA]],"+",tabE.Flux[[#This Row],[LINHA]])</f>
        <v>45900+GOIANIA (GO) X SAO LUIS (MA)</v>
      </c>
      <c r="H372" s="141">
        <v>45900</v>
      </c>
      <c r="I372" s="142" t="s">
        <v>15</v>
      </c>
      <c r="J372" s="144" t="s">
        <v>27</v>
      </c>
      <c r="K372" s="143">
        <v>0.8125</v>
      </c>
      <c r="L372" s="143">
        <v>0.84166666666666667</v>
      </c>
      <c r="M372" s="142" t="s">
        <v>16</v>
      </c>
      <c r="N372" s="142" t="s">
        <v>17</v>
      </c>
      <c r="O372" s="144" t="s">
        <v>27</v>
      </c>
      <c r="P372" s="144" t="s">
        <v>27</v>
      </c>
      <c r="Q372" s="142" t="s">
        <v>23</v>
      </c>
      <c r="R372" s="76"/>
      <c r="S372" s="76"/>
      <c r="T372" s="76"/>
      <c r="U372" s="76"/>
      <c r="V372" s="76"/>
      <c r="W372" s="76"/>
      <c r="X372" s="76"/>
      <c r="Y372" s="76"/>
    </row>
    <row r="373" spans="1:25" s="6" customFormat="1" x14ac:dyDescent="0.25">
      <c r="A373" s="101"/>
      <c r="B373" s="101"/>
      <c r="C373" s="1" t="str">
        <f>_xlfn.CONCAT(tabE.Flux[[#This Row],[DATA]],"+",tabE.Flux[[#This Row],[MOTORISTA + MATRÍCULA A]])</f>
        <v>45900+ANDRE SOUSA REIS - 2644</v>
      </c>
      <c r="D373" s="1" t="str">
        <f>_xlfn.CONCAT(tabE.Flux[[#This Row],[DATA]],"+",tabE.Flux[[#This Row],[MOTORISTA + MATRÍCULA B]])</f>
        <v>45900+FRANCISCO LINDONALDO DE SOUSA - 2971</v>
      </c>
      <c r="E373" s="1" t="str">
        <f>_xlfn.CONCAT(tabE.Flux[[#This Row],[DATA]],"+",tabE.Flux[[#This Row],[MOTORISTA + MATRÍCULA A]],"+",tabE.Flux[[#This Row],[LINHA]])</f>
        <v>45900+ANDRE SOUSA REIS - 2644+FORTALEZA (CE) X SINOP (MT)</v>
      </c>
      <c r="F373" s="1" t="str">
        <f>_xlfn.CONCAT(tabE.Flux[[#This Row],[DATA]],"+",tabE.Flux[[#This Row],[MOTORISTA + MATRÍCULA B]],"+",tabE.Flux[[#This Row],[LINHA]])</f>
        <v>45900+FRANCISCO LINDONALDO DE SOUSA - 2971+FORTALEZA (CE) X SINOP (MT)</v>
      </c>
      <c r="G373" s="1" t="str">
        <f>_xlfn.CONCAT(tabE.Flux[[#This Row],[DATA]],"+",tabE.Flux[[#This Row],[LINHA]])</f>
        <v>45900+FORTALEZA (CE) X SINOP (MT)</v>
      </c>
      <c r="H373" s="141">
        <v>45900</v>
      </c>
      <c r="I373" s="142" t="s">
        <v>15</v>
      </c>
      <c r="J373" s="142">
        <v>19026</v>
      </c>
      <c r="K373" s="143">
        <v>0.8125</v>
      </c>
      <c r="L373" s="143">
        <v>0.85416666666666663</v>
      </c>
      <c r="M373" s="142" t="s">
        <v>16</v>
      </c>
      <c r="N373" s="142" t="s">
        <v>17</v>
      </c>
      <c r="O373" s="142" t="s">
        <v>63</v>
      </c>
      <c r="P373" s="142" t="s">
        <v>131</v>
      </c>
      <c r="Q373" s="142" t="s">
        <v>32</v>
      </c>
      <c r="R373" s="76"/>
      <c r="S373" s="76"/>
      <c r="T373" s="76"/>
      <c r="U373" s="76"/>
      <c r="V373" s="76"/>
      <c r="W373" s="76"/>
      <c r="X373" s="76"/>
      <c r="Y373" s="76"/>
    </row>
    <row r="374" spans="1:25" s="6" customFormat="1" x14ac:dyDescent="0.25">
      <c r="A374" s="101"/>
      <c r="B374" s="101"/>
      <c r="C374" s="1" t="str">
        <f>_xlfn.CONCAT(tabE.Flux[[#This Row],[DATA]],"+",tabE.Flux[[#This Row],[MOTORISTA + MATRÍCULA A]])</f>
        <v>+</v>
      </c>
      <c r="D374" s="1" t="str">
        <f>_xlfn.CONCAT(tabE.Flux[[#This Row],[DATA]],"+",tabE.Flux[[#This Row],[MOTORISTA + MATRÍCULA B]])</f>
        <v>+</v>
      </c>
      <c r="E374" s="1" t="str">
        <f>_xlfn.CONCAT(tabE.Flux[[#This Row],[DATA]],"+",tabE.Flux[[#This Row],[MOTORISTA + MATRÍCULA A]],"+",tabE.Flux[[#This Row],[LINHA]])</f>
        <v>++</v>
      </c>
      <c r="F374" s="1" t="str">
        <f>_xlfn.CONCAT(tabE.Flux[[#This Row],[DATA]],"+",tabE.Flux[[#This Row],[MOTORISTA + MATRÍCULA B]],"+",tabE.Flux[[#This Row],[LINHA]])</f>
        <v>++</v>
      </c>
      <c r="G374" s="1" t="str">
        <f>_xlfn.CONCAT(tabE.Flux[[#This Row],[DATA]],"+",tabE.Flux[[#This Row],[LINHA]])</f>
        <v>+</v>
      </c>
      <c r="H374" s="141"/>
      <c r="I374" s="142"/>
      <c r="J374" s="142"/>
      <c r="K374" s="143"/>
      <c r="L374" s="143"/>
      <c r="M374" s="142"/>
      <c r="N374" s="142"/>
      <c r="O374" s="142"/>
      <c r="P374" s="142"/>
      <c r="Q374" s="142"/>
      <c r="R374" s="76"/>
      <c r="S374" s="76"/>
      <c r="T374" s="76"/>
      <c r="U374" s="76"/>
      <c r="V374" s="76"/>
      <c r="W374" s="76"/>
      <c r="X374" s="76"/>
      <c r="Y374" s="76"/>
    </row>
    <row r="375" spans="1:25" s="6" customFormat="1" x14ac:dyDescent="0.25">
      <c r="A375" s="101"/>
      <c r="B375" s="101"/>
      <c r="C375" s="1" t="str">
        <f>_xlfn.CONCAT(tabE.Flux[[#This Row],[DATA]],"+",tabE.Flux[[#This Row],[MOTORISTA + MATRÍCULA A]])</f>
        <v>45900+GESMAR DE SOUZA - 574</v>
      </c>
      <c r="D375" s="1" t="str">
        <f>_xlfn.CONCAT(tabE.Flux[[#This Row],[DATA]],"+",tabE.Flux[[#This Row],[MOTORISTA + MATRÍCULA B]])</f>
        <v>45900+ADIR CASSIMIRO DA SILVA - 5672</v>
      </c>
      <c r="E375" s="1" t="str">
        <f>_xlfn.CONCAT(tabE.Flux[[#This Row],[DATA]],"+",tabE.Flux[[#This Row],[MOTORISTA + MATRÍCULA A]],"+",tabE.Flux[[#This Row],[LINHA]])</f>
        <v>45900+GESMAR DE SOUZA - 574+GOIANIA (GO) X BELEM (PA)</v>
      </c>
      <c r="F375" s="1" t="str">
        <f>_xlfn.CONCAT(tabE.Flux[[#This Row],[DATA]],"+",tabE.Flux[[#This Row],[MOTORISTA + MATRÍCULA B]],"+",tabE.Flux[[#This Row],[LINHA]])</f>
        <v>45900+ADIR CASSIMIRO DA SILVA - 5672+GOIANIA (GO) X BELEM (PA)</v>
      </c>
      <c r="G375" s="1" t="str">
        <f>_xlfn.CONCAT(tabE.Flux[[#This Row],[DATA]],"+",tabE.Flux[[#This Row],[LINHA]])</f>
        <v>45900+GOIANIA (GO) X BELEM (PA)</v>
      </c>
      <c r="H375" s="141">
        <v>45900</v>
      </c>
      <c r="I375" s="142" t="s">
        <v>15</v>
      </c>
      <c r="J375" s="142">
        <v>19009</v>
      </c>
      <c r="K375" s="143">
        <v>0.84722222222222221</v>
      </c>
      <c r="L375" s="143">
        <v>0.87847222222222221</v>
      </c>
      <c r="M375" s="142" t="s">
        <v>16</v>
      </c>
      <c r="N375" s="142" t="s">
        <v>17</v>
      </c>
      <c r="O375" s="142" t="s">
        <v>21</v>
      </c>
      <c r="P375" s="142" t="s">
        <v>22</v>
      </c>
      <c r="Q375" s="142" t="s">
        <v>20</v>
      </c>
      <c r="R375" s="76"/>
      <c r="S375" s="76"/>
      <c r="T375" s="76"/>
      <c r="U375" s="76"/>
      <c r="V375" s="76"/>
      <c r="W375" s="76"/>
      <c r="X375" s="76"/>
      <c r="Y375" s="76"/>
    </row>
    <row r="376" spans="1:25" x14ac:dyDescent="0.25">
      <c r="C376" s="4" t="str">
        <f>_xlfn.CONCAT(tabE.Flux[[#This Row],[DATA]],"+",tabE.Flux[[#This Row],[MOTORISTA + MATRÍCULA A]])</f>
        <v>*+</v>
      </c>
      <c r="D376" s="4" t="str">
        <f>_xlfn.CONCAT(tabE.Flux[[#This Row],[DATA]],"+",tabE.Flux[[#This Row],[MOTORISTA + MATRÍCULA B]])</f>
        <v>*+</v>
      </c>
      <c r="E376" s="4" t="str">
        <f>_xlfn.CONCAT(tabE.Flux[[#This Row],[DATA]],"+",tabE.Flux[[#This Row],[MOTORISTA + MATRÍCULA A]],"+",tabE.Flux[[#This Row],[LINHA]])</f>
        <v>*++</v>
      </c>
      <c r="F376" s="4" t="str">
        <f>_xlfn.CONCAT(tabE.Flux[[#This Row],[DATA]],"+",tabE.Flux[[#This Row],[MOTORISTA + MATRÍCULA B]],"+",tabE.Flux[[#This Row],[LINHA]])</f>
        <v>*++</v>
      </c>
      <c r="G376" s="4" t="str">
        <f>_xlfn.CONCAT(tabE.Flux[[#This Row],[DATA]],"+",tabE.Flux[[#This Row],[LINHA]])</f>
        <v>*+</v>
      </c>
      <c r="H376" s="4" t="s">
        <v>226</v>
      </c>
      <c r="I376" s="4"/>
      <c r="J376" s="4"/>
      <c r="K376" s="4"/>
      <c r="L376" s="4"/>
      <c r="M376" s="4"/>
      <c r="N376" s="4"/>
      <c r="O376" s="4"/>
      <c r="P376" s="4"/>
      <c r="Q376" s="4"/>
    </row>
    <row r="377" spans="1:25" x14ac:dyDescent="0.25">
      <c r="C377" s="1" t="str">
        <f>_xlfn.CONCAT(tabE.Flux[[#This Row],[DATA]],"+",tabE.Flux[[#This Row],[MOTORISTA + MATRÍCULA A]])</f>
        <v>45901+AGNALDO ALVES DE CARVALHO - 5623</v>
      </c>
      <c r="D377" s="1" t="str">
        <f>_xlfn.CONCAT(tabE.Flux[[#This Row],[DATA]],"+",tabE.Flux[[#This Row],[MOTORISTA + MATRÍCULA B]])</f>
        <v>45901+VALDINAR ALVES DE FRANÇA 5959</v>
      </c>
      <c r="E377" s="1" t="str">
        <f>_xlfn.CONCAT(tabE.Flux[[#This Row],[DATA]],"+",tabE.Flux[[#This Row],[MOTORISTA + MATRÍCULA A]],"+",tabE.Flux[[#This Row],[LINHA]])</f>
        <v>45901+AGNALDO ALVES DE CARVALHO - 5623+GOIANIA (GO) X BELEM (PA)</v>
      </c>
      <c r="F377" s="1" t="str">
        <f>_xlfn.CONCAT(tabE.Flux[[#This Row],[DATA]],"+",tabE.Flux[[#This Row],[MOTORISTA + MATRÍCULA B]],"+",tabE.Flux[[#This Row],[LINHA]])</f>
        <v>45901+VALDINAR ALVES DE FRANÇA 5959+GOIANIA (GO) X BELEM (PA)</v>
      </c>
      <c r="G377" s="1" t="str">
        <f>_xlfn.CONCAT(tabE.Flux[[#This Row],[DATA]],"+",tabE.Flux[[#This Row],[LINHA]])</f>
        <v>45901+GOIANIA (GO) X BELEM (PA)</v>
      </c>
      <c r="H377" s="125">
        <v>45901</v>
      </c>
      <c r="I377" s="1" t="s">
        <v>15</v>
      </c>
      <c r="J377" s="1">
        <v>24001</v>
      </c>
      <c r="K377" s="126">
        <v>0.25486111111111109</v>
      </c>
      <c r="L377" s="126">
        <v>0.3</v>
      </c>
      <c r="M377" s="1" t="s">
        <v>16</v>
      </c>
      <c r="N377" s="1" t="s">
        <v>17</v>
      </c>
      <c r="O377" s="1" t="s">
        <v>114</v>
      </c>
      <c r="P377" s="1" t="s">
        <v>178</v>
      </c>
      <c r="Q377" s="1" t="s">
        <v>20</v>
      </c>
    </row>
    <row r="378" spans="1:25" x14ac:dyDescent="0.25">
      <c r="C378" s="1" t="str">
        <f>_xlfn.CONCAT(tabE.Flux[[#This Row],[DATA]],"+",tabE.Flux[[#This Row],[MOTORISTA + MATRÍCULA A]])</f>
        <v>45901+JADILSON LIMA VIEIRA - 1108</v>
      </c>
      <c r="D378" s="1" t="str">
        <f>_xlfn.CONCAT(tabE.Flux[[#This Row],[DATA]],"+",tabE.Flux[[#This Row],[MOTORISTA + MATRÍCULA B]])</f>
        <v>45901+JOSE CARLOS FERREIRA - 1202</v>
      </c>
      <c r="E378" s="1" t="str">
        <f>_xlfn.CONCAT(tabE.Flux[[#This Row],[DATA]],"+",tabE.Flux[[#This Row],[MOTORISTA + MATRÍCULA A]],"+",tabE.Flux[[#This Row],[LINHA]])</f>
        <v>45901+JADILSON LIMA VIEIRA - 1108+GOIANIA (GO) X SAO LUIS (MA)</v>
      </c>
      <c r="F378" s="1" t="str">
        <f>_xlfn.CONCAT(tabE.Flux[[#This Row],[DATA]],"+",tabE.Flux[[#This Row],[MOTORISTA + MATRÍCULA B]],"+",tabE.Flux[[#This Row],[LINHA]])</f>
        <v>45901+JOSE CARLOS FERREIRA - 1202+GOIANIA (GO) X SAO LUIS (MA)</v>
      </c>
      <c r="G378" s="1" t="str">
        <f>_xlfn.CONCAT(tabE.Flux[[#This Row],[DATA]],"+",tabE.Flux[[#This Row],[LINHA]])</f>
        <v>45901+GOIANIA (GO) X SAO LUIS (MA)</v>
      </c>
      <c r="H378" s="125">
        <v>45901</v>
      </c>
      <c r="I378" s="1" t="s">
        <v>15</v>
      </c>
      <c r="J378" s="1">
        <v>24006</v>
      </c>
      <c r="K378" s="126">
        <v>0.32291666666666669</v>
      </c>
      <c r="L378" s="126">
        <v>0.33333333333333331</v>
      </c>
      <c r="M378" s="1" t="s">
        <v>16</v>
      </c>
      <c r="N378" s="1" t="s">
        <v>17</v>
      </c>
      <c r="O378" s="1" t="s">
        <v>66</v>
      </c>
      <c r="P378" s="1" t="s">
        <v>65</v>
      </c>
      <c r="Q378" s="1" t="s">
        <v>23</v>
      </c>
    </row>
    <row r="379" spans="1:25" x14ac:dyDescent="0.25">
      <c r="C379" s="1" t="str">
        <f>_xlfn.CONCAT(tabE.Flux[[#This Row],[DATA]],"+",tabE.Flux[[#This Row],[MOTORISTA + MATRÍCULA A]])</f>
        <v>45901+CLEITON ALENCAR DA ROCHA - 1146</v>
      </c>
      <c r="D379" s="1" t="str">
        <f>_xlfn.CONCAT(tabE.Flux[[#This Row],[DATA]],"+",tabE.Flux[[#This Row],[MOTORISTA + MATRÍCULA B]])</f>
        <v>45901+JOSE PEDRO DA SILVA FREITAS - 1357</v>
      </c>
      <c r="E379" s="1" t="str">
        <f>_xlfn.CONCAT(tabE.Flux[[#This Row],[DATA]],"+",tabE.Flux[[#This Row],[MOTORISTA + MATRÍCULA A]],"+",tabE.Flux[[#This Row],[LINHA]])</f>
        <v>45901+CLEITON ALENCAR DA ROCHA - 1146+GOIANIA (GO) X TERESINA (PI) VIA STI</v>
      </c>
      <c r="F379" s="1" t="str">
        <f>_xlfn.CONCAT(tabE.Flux[[#This Row],[DATA]],"+",tabE.Flux[[#This Row],[MOTORISTA + MATRÍCULA B]],"+",tabE.Flux[[#This Row],[LINHA]])</f>
        <v>45901+JOSE PEDRO DA SILVA FREITAS - 1357+GOIANIA (GO) X TERESINA (PI) VIA STI</v>
      </c>
      <c r="G379" s="1" t="str">
        <f>_xlfn.CONCAT(tabE.Flux[[#This Row],[DATA]],"+",tabE.Flux[[#This Row],[LINHA]])</f>
        <v>45901+GOIANIA (GO) X TERESINA (PI) VIA STI</v>
      </c>
      <c r="H379" s="125">
        <v>45901</v>
      </c>
      <c r="I379" s="1" t="s">
        <v>15</v>
      </c>
      <c r="J379" s="1">
        <v>15600</v>
      </c>
      <c r="K379" s="126">
        <v>0.3888888888888889</v>
      </c>
      <c r="L379" s="126">
        <v>0.39583333333333331</v>
      </c>
      <c r="M379" s="1" t="s">
        <v>16</v>
      </c>
      <c r="N379" s="1" t="s">
        <v>17</v>
      </c>
      <c r="O379" s="1" t="s">
        <v>105</v>
      </c>
      <c r="P379" s="1" t="s">
        <v>106</v>
      </c>
      <c r="Q379" s="1" t="s">
        <v>26</v>
      </c>
    </row>
    <row r="380" spans="1:25" x14ac:dyDescent="0.25">
      <c r="C380" s="1" t="str">
        <f>_xlfn.CONCAT(tabE.Flux[[#This Row],[DATA]],"+",tabE.Flux[[#This Row],[MOTORISTA + MATRÍCULA A]])</f>
        <v>45901+CANCELADO</v>
      </c>
      <c r="D380" s="1" t="str">
        <f>_xlfn.CONCAT(tabE.Flux[[#This Row],[DATA]],"+",tabE.Flux[[#This Row],[MOTORISTA + MATRÍCULA B]])</f>
        <v>45901+CANCELADO</v>
      </c>
      <c r="E380" s="1" t="str">
        <f>_xlfn.CONCAT(tabE.Flux[[#This Row],[DATA]],"+",tabE.Flux[[#This Row],[MOTORISTA + MATRÍCULA A]],"+",tabE.Flux[[#This Row],[LINHA]])</f>
        <v>45901+CANCELADO+</v>
      </c>
      <c r="F380" s="1" t="str">
        <f>_xlfn.CONCAT(tabE.Flux[[#This Row],[DATA]],"+",tabE.Flux[[#This Row],[MOTORISTA + MATRÍCULA B]],"+",tabE.Flux[[#This Row],[LINHA]])</f>
        <v>45901+CANCELADO+</v>
      </c>
      <c r="G380" s="1" t="str">
        <f>_xlfn.CONCAT(tabE.Flux[[#This Row],[DATA]],"+",tabE.Flux[[#This Row],[LINHA]])</f>
        <v>45901+</v>
      </c>
      <c r="H380" s="125">
        <v>45901</v>
      </c>
      <c r="I380" s="1" t="s">
        <v>15</v>
      </c>
      <c r="J380" s="1" t="s">
        <v>27</v>
      </c>
      <c r="K380" s="126">
        <v>0.375</v>
      </c>
      <c r="L380" s="126">
        <v>0.41666666666666669</v>
      </c>
      <c r="M380" s="1" t="s">
        <v>16</v>
      </c>
      <c r="N380" s="1" t="s">
        <v>28</v>
      </c>
      <c r="O380" s="1" t="s">
        <v>27</v>
      </c>
      <c r="P380" s="1" t="s">
        <v>27</v>
      </c>
      <c r="Q380" s="1"/>
    </row>
    <row r="381" spans="1:25" x14ac:dyDescent="0.25">
      <c r="C381" s="1" t="str">
        <f>_xlfn.CONCAT(tabE.Flux[[#This Row],[DATA]],"+",tabE.Flux[[#This Row],[MOTORISTA + MATRÍCULA A]])</f>
        <v>45901+LEANDRO DE OLIVEIRA MELO - 2151</v>
      </c>
      <c r="D381" s="1" t="str">
        <f>_xlfn.CONCAT(tabE.Flux[[#This Row],[DATA]],"+",tabE.Flux[[#This Row],[MOTORISTA + MATRÍCULA B]])</f>
        <v>45901+JACINTO BATISTA DE SOUSA - 5271</v>
      </c>
      <c r="E381" s="1" t="str">
        <f>_xlfn.CONCAT(tabE.Flux[[#This Row],[DATA]],"+",tabE.Flux[[#This Row],[MOTORISTA + MATRÍCULA A]],"+",tabE.Flux[[#This Row],[LINHA]])</f>
        <v>45901+LEANDRO DE OLIVEIRA MELO - 2151+FORTALEZA (CE) X SINOP (MT)</v>
      </c>
      <c r="F381" s="1" t="str">
        <f>_xlfn.CONCAT(tabE.Flux[[#This Row],[DATA]],"+",tabE.Flux[[#This Row],[MOTORISTA + MATRÍCULA B]],"+",tabE.Flux[[#This Row],[LINHA]])</f>
        <v>45901+JACINTO BATISTA DE SOUSA - 5271+FORTALEZA (CE) X SINOP (MT)</v>
      </c>
      <c r="G381" s="1" t="str">
        <f>_xlfn.CONCAT(tabE.Flux[[#This Row],[DATA]],"+",tabE.Flux[[#This Row],[LINHA]])</f>
        <v>45901+FORTALEZA (CE) X SINOP (MT)</v>
      </c>
      <c r="H381" s="125">
        <v>45901</v>
      </c>
      <c r="I381" s="1" t="s">
        <v>15</v>
      </c>
      <c r="J381" s="1">
        <v>19008</v>
      </c>
      <c r="K381" s="126">
        <v>0.3888888888888889</v>
      </c>
      <c r="L381" s="126">
        <v>0.37708333333333333</v>
      </c>
      <c r="M381" s="1" t="s">
        <v>16</v>
      </c>
      <c r="N381" s="1" t="s">
        <v>29</v>
      </c>
      <c r="O381" s="1" t="s">
        <v>64</v>
      </c>
      <c r="P381" s="1" t="s">
        <v>104</v>
      </c>
      <c r="Q381" s="1" t="s">
        <v>32</v>
      </c>
    </row>
    <row r="382" spans="1:25" x14ac:dyDescent="0.25">
      <c r="C382" s="1" t="str">
        <f>_xlfn.CONCAT(tabE.Flux[[#This Row],[DATA]],"+",tabE.Flux[[#This Row],[MOTORISTA + MATRÍCULA A]])</f>
        <v>45901+ANTONIO MARQUES NETO DOS SANTOS - 1738</v>
      </c>
      <c r="D382" s="1" t="str">
        <f>_xlfn.CONCAT(tabE.Flux[[#This Row],[DATA]],"+",tabE.Flux[[#This Row],[MOTORISTA + MATRÍCULA B]])</f>
        <v>45901+BERNARDO SOUZA LIMA - 1720</v>
      </c>
      <c r="E382" s="1" t="str">
        <f>_xlfn.CONCAT(tabE.Flux[[#This Row],[DATA]],"+",tabE.Flux[[#This Row],[MOTORISTA + MATRÍCULA A]],"+",tabE.Flux[[#This Row],[LINHA]])</f>
        <v>45901+ANTONIO MARQUES NETO DOS SANTOS - 1738+GOIANIA (GO) X BELEM (PA)</v>
      </c>
      <c r="F382" s="1" t="str">
        <f>_xlfn.CONCAT(tabE.Flux[[#This Row],[DATA]],"+",tabE.Flux[[#This Row],[MOTORISTA + MATRÍCULA B]],"+",tabE.Flux[[#This Row],[LINHA]])</f>
        <v>45901+BERNARDO SOUZA LIMA - 1720+GOIANIA (GO) X BELEM (PA)</v>
      </c>
      <c r="G382" s="1" t="str">
        <f>_xlfn.CONCAT(tabE.Flux[[#This Row],[DATA]],"+",tabE.Flux[[#This Row],[LINHA]])</f>
        <v>45901+GOIANIA (GO) X BELEM (PA)</v>
      </c>
      <c r="H382" s="125">
        <v>45901</v>
      </c>
      <c r="I382" s="1" t="s">
        <v>15</v>
      </c>
      <c r="J382" s="1">
        <v>19016</v>
      </c>
      <c r="K382" s="126">
        <v>0.38958333333333334</v>
      </c>
      <c r="L382" s="126">
        <v>0.38541666666666669</v>
      </c>
      <c r="M382" s="1" t="s">
        <v>16</v>
      </c>
      <c r="N382" s="1" t="s">
        <v>33</v>
      </c>
      <c r="O382" s="1" t="s">
        <v>73</v>
      </c>
      <c r="P382" s="1" t="s">
        <v>123</v>
      </c>
      <c r="Q382" s="1" t="s">
        <v>20</v>
      </c>
    </row>
    <row r="383" spans="1:25" x14ac:dyDescent="0.25">
      <c r="C383" s="1" t="str">
        <f>_xlfn.CONCAT(tabE.Flux[[#This Row],[DATA]],"+",tabE.Flux[[#This Row],[MOTORISTA + MATRÍCULA A]])</f>
        <v>45901+JWEBISON DE BRITO SOUZA - 2999</v>
      </c>
      <c r="D383" s="1" t="str">
        <f>_xlfn.CONCAT(tabE.Flux[[#This Row],[DATA]],"+",tabE.Flux[[#This Row],[MOTORISTA + MATRÍCULA B]])</f>
        <v>45901+WASHINGTON ALVES BRITO - 1553</v>
      </c>
      <c r="E383" s="1" t="str">
        <f>_xlfn.CONCAT(tabE.Flux[[#This Row],[DATA]],"+",tabE.Flux[[#This Row],[MOTORISTA + MATRÍCULA A]],"+",tabE.Flux[[#This Row],[LINHA]])</f>
        <v>45901+JWEBISON DE BRITO SOUZA - 2999+GOIANIA (GO) X TERESINA (PI) VIA BC</v>
      </c>
      <c r="F383" s="1" t="str">
        <f>_xlfn.CONCAT(tabE.Flux[[#This Row],[DATA]],"+",tabE.Flux[[#This Row],[MOTORISTA + MATRÍCULA B]],"+",tabE.Flux[[#This Row],[LINHA]])</f>
        <v>45901+WASHINGTON ALVES BRITO - 1553+GOIANIA (GO) X TERESINA (PI) VIA BC</v>
      </c>
      <c r="G383" s="1" t="str">
        <f>_xlfn.CONCAT(tabE.Flux[[#This Row],[DATA]],"+",tabE.Flux[[#This Row],[LINHA]])</f>
        <v>45901+GOIANIA (GO) X TERESINA (PI) VIA BC</v>
      </c>
      <c r="H383" s="125">
        <v>45901</v>
      </c>
      <c r="I383" s="1" t="s">
        <v>15</v>
      </c>
      <c r="J383" s="1">
        <v>25009</v>
      </c>
      <c r="K383" s="126">
        <v>0.375</v>
      </c>
      <c r="L383" s="126">
        <v>0.39930555555555558</v>
      </c>
      <c r="M383" s="1" t="s">
        <v>36</v>
      </c>
      <c r="N383" s="1" t="s">
        <v>29</v>
      </c>
      <c r="O383" s="1" t="s">
        <v>77</v>
      </c>
      <c r="P383" s="1" t="s">
        <v>201</v>
      </c>
      <c r="Q383" s="1" t="s">
        <v>39</v>
      </c>
    </row>
    <row r="384" spans="1:25" x14ac:dyDescent="0.25">
      <c r="C384" s="1" t="str">
        <f>_xlfn.CONCAT(tabE.Flux[[#This Row],[DATA]],"+",tabE.Flux[[#This Row],[MOTORISTA + MATRÍCULA A]])</f>
        <v>45901+RICHARD SOUSA DA SILVA - 1271</v>
      </c>
      <c r="D384" s="1" t="str">
        <f>_xlfn.CONCAT(tabE.Flux[[#This Row],[DATA]],"+",tabE.Flux[[#This Row],[MOTORISTA + MATRÍCULA B]])</f>
        <v>45901+JOSE ALVES DA ROCHA - 5035</v>
      </c>
      <c r="E384" s="1" t="str">
        <f>_xlfn.CONCAT(tabE.Flux[[#This Row],[DATA]],"+",tabE.Flux[[#This Row],[MOTORISTA + MATRÍCULA A]],"+",tabE.Flux[[#This Row],[LINHA]])</f>
        <v>45901+RICHARD SOUSA DA SILVA - 1271+GOIANIA (GO) X BELEM (PA)</v>
      </c>
      <c r="F384" s="1" t="str">
        <f>_xlfn.CONCAT(tabE.Flux[[#This Row],[DATA]],"+",tabE.Flux[[#This Row],[MOTORISTA + MATRÍCULA B]],"+",tabE.Flux[[#This Row],[LINHA]])</f>
        <v>45901+JOSE ALVES DA ROCHA - 5035+GOIANIA (GO) X BELEM (PA)</v>
      </c>
      <c r="G384" s="1" t="str">
        <f>_xlfn.CONCAT(tabE.Flux[[#This Row],[DATA]],"+",tabE.Flux[[#This Row],[LINHA]])</f>
        <v>45901+GOIANIA (GO) X BELEM (PA)</v>
      </c>
      <c r="H384" s="125">
        <v>45901</v>
      </c>
      <c r="I384" s="1" t="s">
        <v>15</v>
      </c>
      <c r="J384" s="1">
        <v>20017</v>
      </c>
      <c r="K384" s="126">
        <v>0.375</v>
      </c>
      <c r="L384" s="126">
        <v>0.41666666666666669</v>
      </c>
      <c r="M384" s="1" t="s">
        <v>33</v>
      </c>
      <c r="N384" s="1" t="s">
        <v>16</v>
      </c>
      <c r="O384" s="1" t="s">
        <v>56</v>
      </c>
      <c r="P384" s="1" t="s">
        <v>91</v>
      </c>
      <c r="Q384" s="1" t="s">
        <v>20</v>
      </c>
    </row>
    <row r="385" spans="3:17" x14ac:dyDescent="0.25">
      <c r="C385" s="1" t="str">
        <f>_xlfn.CONCAT(tabE.Flux[[#This Row],[DATA]],"+",tabE.Flux[[#This Row],[MOTORISTA + MATRÍCULA A]])</f>
        <v>45901+KAYLSON KLEYTON DA SILVA COSTA - 6224</v>
      </c>
      <c r="D385" s="1" t="str">
        <f>_xlfn.CONCAT(tabE.Flux[[#This Row],[DATA]],"+",tabE.Flux[[#This Row],[MOTORISTA + MATRÍCULA B]])</f>
        <v>45901+JERZUALDO DA SILVA GOMES - 4077</v>
      </c>
      <c r="E385" s="1" t="str">
        <f>_xlfn.CONCAT(tabE.Flux[[#This Row],[DATA]],"+",tabE.Flux[[#This Row],[MOTORISTA + MATRÍCULA A]],"+",tabE.Flux[[#This Row],[LINHA]])</f>
        <v>45901+KAYLSON KLEYTON DA SILVA COSTA - 6224+GOIANIA (GO) X SAO LUIS (MA)</v>
      </c>
      <c r="F385" s="1" t="str">
        <f>_xlfn.CONCAT(tabE.Flux[[#This Row],[DATA]],"+",tabE.Flux[[#This Row],[MOTORISTA + MATRÍCULA B]],"+",tabE.Flux[[#This Row],[LINHA]])</f>
        <v>45901+JERZUALDO DA SILVA GOMES - 4077+GOIANIA (GO) X SAO LUIS (MA)</v>
      </c>
      <c r="G385" s="1" t="str">
        <f>_xlfn.CONCAT(tabE.Flux[[#This Row],[DATA]],"+",tabE.Flux[[#This Row],[LINHA]])</f>
        <v>45901+GOIANIA (GO) X SAO LUIS (MA)</v>
      </c>
      <c r="H385" s="125">
        <v>45901</v>
      </c>
      <c r="I385" s="1" t="s">
        <v>15</v>
      </c>
      <c r="J385" s="1">
        <v>19013</v>
      </c>
      <c r="K385" s="126">
        <v>0.25</v>
      </c>
      <c r="L385" s="126">
        <v>0.29166666666666669</v>
      </c>
      <c r="M385" s="1" t="s">
        <v>42</v>
      </c>
      <c r="N385" s="1" t="s">
        <v>16</v>
      </c>
      <c r="O385" s="1" t="s">
        <v>80</v>
      </c>
      <c r="P385" s="1" t="s">
        <v>130</v>
      </c>
      <c r="Q385" s="1" t="s">
        <v>23</v>
      </c>
    </row>
    <row r="386" spans="3:17" x14ac:dyDescent="0.25">
      <c r="C386" s="1" t="str">
        <f>_xlfn.CONCAT(tabE.Flux[[#This Row],[DATA]],"+",tabE.Flux[[#This Row],[MOTORISTA + MATRÍCULA A]])</f>
        <v>45901+ALTEMAR DO NASCIMENTO LIMA - 6225</v>
      </c>
      <c r="D386" s="1" t="str">
        <f>_xlfn.CONCAT(tabE.Flux[[#This Row],[DATA]],"+",tabE.Flux[[#This Row],[MOTORISTA + MATRÍCULA B]])</f>
        <v>45901+RONNE RODRIGUES DE SOUSA - 5025</v>
      </c>
      <c r="E386" s="1" t="str">
        <f>_xlfn.CONCAT(tabE.Flux[[#This Row],[DATA]],"+",tabE.Flux[[#This Row],[MOTORISTA + MATRÍCULA A]],"+",tabE.Flux[[#This Row],[LINHA]])</f>
        <v>45901+ALTEMAR DO NASCIMENTO LIMA - 6225+GOIANIA (GO) X SAO LUIS (MA)</v>
      </c>
      <c r="F386" s="1" t="str">
        <f>_xlfn.CONCAT(tabE.Flux[[#This Row],[DATA]],"+",tabE.Flux[[#This Row],[MOTORISTA + MATRÍCULA B]],"+",tabE.Flux[[#This Row],[LINHA]])</f>
        <v>45901+RONNE RODRIGUES DE SOUSA - 5025+GOIANIA (GO) X SAO LUIS (MA)</v>
      </c>
      <c r="G386" s="1" t="str">
        <f>_xlfn.CONCAT(tabE.Flux[[#This Row],[DATA]],"+",tabE.Flux[[#This Row],[LINHA]])</f>
        <v>45901+GOIANIA (GO) X SAO LUIS (MA)</v>
      </c>
      <c r="H386" s="125">
        <v>45901</v>
      </c>
      <c r="I386" s="1" t="s">
        <v>15</v>
      </c>
      <c r="J386" s="1">
        <v>24003</v>
      </c>
      <c r="K386" s="126">
        <v>0.75</v>
      </c>
      <c r="L386" s="126">
        <v>0.79166666666666663</v>
      </c>
      <c r="M386" s="1" t="s">
        <v>42</v>
      </c>
      <c r="N386" s="1" t="s">
        <v>16</v>
      </c>
      <c r="O386" s="1" t="s">
        <v>57</v>
      </c>
      <c r="P386" s="1" t="s">
        <v>85</v>
      </c>
      <c r="Q386" s="1" t="s">
        <v>23</v>
      </c>
    </row>
    <row r="387" spans="3:17" x14ac:dyDescent="0.25">
      <c r="C387" s="1" t="str">
        <f>_xlfn.CONCAT(tabE.Flux[[#This Row],[DATA]],"+",tabE.Flux[[#This Row],[MOTORISTA + MATRÍCULA A]])</f>
        <v>45901+CANCELADO</v>
      </c>
      <c r="D387" s="1" t="str">
        <f>_xlfn.CONCAT(tabE.Flux[[#This Row],[DATA]],"+",tabE.Flux[[#This Row],[MOTORISTA + MATRÍCULA B]])</f>
        <v>45901+CANCELADO</v>
      </c>
      <c r="E387" s="1" t="str">
        <f>_xlfn.CONCAT(tabE.Flux[[#This Row],[DATA]],"+",tabE.Flux[[#This Row],[MOTORISTA + MATRÍCULA A]],"+",tabE.Flux[[#This Row],[LINHA]])</f>
        <v>45901+CANCELADO+IMPERATRIZ (MA) X SÃO LUIS (MA)</v>
      </c>
      <c r="F387" s="1" t="str">
        <f>_xlfn.CONCAT(tabE.Flux[[#This Row],[DATA]],"+",tabE.Flux[[#This Row],[MOTORISTA + MATRÍCULA B]],"+",tabE.Flux[[#This Row],[LINHA]])</f>
        <v>45901+CANCELADO+IMPERATRIZ (MA) X SÃO LUIS (MA)</v>
      </c>
      <c r="G387" s="1" t="str">
        <f>_xlfn.CONCAT(tabE.Flux[[#This Row],[DATA]],"+",tabE.Flux[[#This Row],[LINHA]])</f>
        <v>45901+IMPERATRIZ (MA) X SÃO LUIS (MA)</v>
      </c>
      <c r="H387" s="125">
        <v>45901</v>
      </c>
      <c r="I387" s="1" t="s">
        <v>15</v>
      </c>
      <c r="J387" s="1" t="s">
        <v>27</v>
      </c>
      <c r="K387" s="126">
        <v>0.77083333333333337</v>
      </c>
      <c r="L387" s="126">
        <v>0.79513888888888884</v>
      </c>
      <c r="M387" s="1" t="s">
        <v>42</v>
      </c>
      <c r="N387" s="1" t="s">
        <v>16</v>
      </c>
      <c r="O387" s="1" t="s">
        <v>27</v>
      </c>
      <c r="P387" s="1" t="s">
        <v>27</v>
      </c>
      <c r="Q387" s="1" t="s">
        <v>47</v>
      </c>
    </row>
    <row r="388" spans="3:17" x14ac:dyDescent="0.25">
      <c r="C388" s="1" t="str">
        <f>_xlfn.CONCAT(tabE.Flux[[#This Row],[DATA]],"+",tabE.Flux[[#This Row],[MOTORISTA + MATRÍCULA A]])</f>
        <v>45901+ELIAS ALVES DE FRANCA - 6046</v>
      </c>
      <c r="D388" s="1" t="str">
        <f>_xlfn.CONCAT(tabE.Flux[[#This Row],[DATA]],"+",tabE.Flux[[#This Row],[MOTORISTA + MATRÍCULA B]])</f>
        <v>45901+RAFAEL DA SILVA LIMA - 6215</v>
      </c>
      <c r="E388" s="1" t="str">
        <f>_xlfn.CONCAT(tabE.Flux[[#This Row],[DATA]],"+",tabE.Flux[[#This Row],[MOTORISTA + MATRÍCULA A]],"+",tabE.Flux[[#This Row],[LINHA]])</f>
        <v>45901+ELIAS ALVES DE FRANCA - 6046+GOIANIA (GO) X TERESINA (PI) VIA BC</v>
      </c>
      <c r="F388" s="1" t="str">
        <f>_xlfn.CONCAT(tabE.Flux[[#This Row],[DATA]],"+",tabE.Flux[[#This Row],[MOTORISTA + MATRÍCULA B]],"+",tabE.Flux[[#This Row],[LINHA]])</f>
        <v>45901+RAFAEL DA SILVA LIMA - 6215+GOIANIA (GO) X TERESINA (PI) VIA BC</v>
      </c>
      <c r="G388" s="1" t="str">
        <f>_xlfn.CONCAT(tabE.Flux[[#This Row],[DATA]],"+",tabE.Flux[[#This Row],[LINHA]])</f>
        <v>45901+GOIANIA (GO) X TERESINA (PI) VIA BC</v>
      </c>
      <c r="H388" s="125">
        <v>45901</v>
      </c>
      <c r="I388" s="1" t="s">
        <v>15</v>
      </c>
      <c r="J388" s="1">
        <v>25008</v>
      </c>
      <c r="K388" s="126">
        <v>0.89583333333333337</v>
      </c>
      <c r="L388" s="126">
        <v>0.91666666666666663</v>
      </c>
      <c r="M388" s="1" t="s">
        <v>36</v>
      </c>
      <c r="N388" s="1" t="s">
        <v>17</v>
      </c>
      <c r="O388" s="1" t="s">
        <v>189</v>
      </c>
      <c r="P388" s="1" t="s">
        <v>190</v>
      </c>
      <c r="Q388" s="1" t="s">
        <v>39</v>
      </c>
    </row>
    <row r="389" spans="3:17" x14ac:dyDescent="0.25">
      <c r="C389" s="1" t="str">
        <f>_xlfn.CONCAT(tabE.Flux[[#This Row],[DATA]],"+",tabE.Flux[[#This Row],[MOTORISTA + MATRÍCULA A]])</f>
        <v>45901+ANTONIO JOSE PEREIRA SOARES - 1774</v>
      </c>
      <c r="D389" s="1" t="str">
        <f>_xlfn.CONCAT(tabE.Flux[[#This Row],[DATA]],"+",tabE.Flux[[#This Row],[MOTORISTA + MATRÍCULA B]])</f>
        <v>45901+ELIEZIO JOSE DOS SANTOS - 2645</v>
      </c>
      <c r="E389" s="1" t="str">
        <f>_xlfn.CONCAT(tabE.Flux[[#This Row],[DATA]],"+",tabE.Flux[[#This Row],[MOTORISTA + MATRÍCULA A]],"+",tabE.Flux[[#This Row],[LINHA]])</f>
        <v>45901+ANTONIO JOSE PEREIRA SOARES - 1774+GOIANIA (GO) X BELEM (PA)</v>
      </c>
      <c r="F389" s="1" t="str">
        <f>_xlfn.CONCAT(tabE.Flux[[#This Row],[DATA]],"+",tabE.Flux[[#This Row],[MOTORISTA + MATRÍCULA B]],"+",tabE.Flux[[#This Row],[LINHA]])</f>
        <v>45901+ELIEZIO JOSE DOS SANTOS - 2645+GOIANIA (GO) X BELEM (PA)</v>
      </c>
      <c r="G389" s="1" t="str">
        <f>_xlfn.CONCAT(tabE.Flux[[#This Row],[DATA]],"+",tabE.Flux[[#This Row],[LINHA]])</f>
        <v>45901+GOIANIA (GO) X BELEM (PA)</v>
      </c>
      <c r="H389" s="125">
        <v>45901</v>
      </c>
      <c r="I389" s="1" t="s">
        <v>15</v>
      </c>
      <c r="J389" s="1">
        <v>24011</v>
      </c>
      <c r="K389" s="126">
        <v>0.76041666666666663</v>
      </c>
      <c r="L389" s="126">
        <v>0.77083333333333337</v>
      </c>
      <c r="M389" s="1" t="s">
        <v>33</v>
      </c>
      <c r="N389" s="1" t="s">
        <v>16</v>
      </c>
      <c r="O389" s="1" t="s">
        <v>52</v>
      </c>
      <c r="P389" s="1" t="s">
        <v>53</v>
      </c>
      <c r="Q389" s="1" t="s">
        <v>20</v>
      </c>
    </row>
    <row r="390" spans="3:17" x14ac:dyDescent="0.25">
      <c r="C390" s="1" t="str">
        <f>_xlfn.CONCAT(tabE.Flux[[#This Row],[DATA]],"+",tabE.Flux[[#This Row],[MOTORISTA + MATRÍCULA A]])</f>
        <v>45901+MANOEL MESSIAS SILVA DOS SANTOS - 1833</v>
      </c>
      <c r="D390" s="1" t="str">
        <f>_xlfn.CONCAT(tabE.Flux[[#This Row],[DATA]],"+",tabE.Flux[[#This Row],[MOTORISTA + MATRÍCULA B]])</f>
        <v>45901+RAIMUNDO FERNANDES RIBEIRO - 907</v>
      </c>
      <c r="E390" s="1" t="str">
        <f>_xlfn.CONCAT(tabE.Flux[[#This Row],[DATA]],"+",tabE.Flux[[#This Row],[MOTORISTA + MATRÍCULA A]],"+",tabE.Flux[[#This Row],[LINHA]])</f>
        <v>45901+MANOEL MESSIAS SILVA DOS SANTOS - 1833+GOIANIA (GO) X BELEM (PA)</v>
      </c>
      <c r="F390" s="1" t="str">
        <f>_xlfn.CONCAT(tabE.Flux[[#This Row],[DATA]],"+",tabE.Flux[[#This Row],[MOTORISTA + MATRÍCULA B]],"+",tabE.Flux[[#This Row],[LINHA]])</f>
        <v>45901+RAIMUNDO FERNANDES RIBEIRO - 907+GOIANIA (GO) X BELEM (PA)</v>
      </c>
      <c r="G390" s="1" t="str">
        <f>_xlfn.CONCAT(tabE.Flux[[#This Row],[DATA]],"+",tabE.Flux[[#This Row],[LINHA]])</f>
        <v>45901+GOIANIA (GO) X BELEM (PA)</v>
      </c>
      <c r="H390" s="125">
        <v>45901</v>
      </c>
      <c r="I390" s="1" t="s">
        <v>15</v>
      </c>
      <c r="J390" s="1">
        <v>24009</v>
      </c>
      <c r="K390" s="126">
        <v>0.76041666666666663</v>
      </c>
      <c r="L390" s="126">
        <v>0.82777777777777772</v>
      </c>
      <c r="M390" s="1" t="s">
        <v>16</v>
      </c>
      <c r="N390" s="1" t="s">
        <v>33</v>
      </c>
      <c r="O390" s="1" t="s">
        <v>173</v>
      </c>
      <c r="P390" s="1" t="s">
        <v>143</v>
      </c>
      <c r="Q390" s="1" t="s">
        <v>20</v>
      </c>
    </row>
    <row r="391" spans="3:17" x14ac:dyDescent="0.25">
      <c r="C391" s="1" t="str">
        <f>_xlfn.CONCAT(tabE.Flux[[#This Row],[DATA]],"+",tabE.Flux[[#This Row],[MOTORISTA + MATRÍCULA A]])</f>
        <v>45901+CLODOALDO PEREIRA DE LIMA - 4067</v>
      </c>
      <c r="D391" s="1" t="str">
        <f>_xlfn.CONCAT(tabE.Flux[[#This Row],[DATA]],"+",tabE.Flux[[#This Row],[MOTORISTA + MATRÍCULA B]])</f>
        <v>45901+PAULO ENEAS FARIAS ARAUJO - 6218</v>
      </c>
      <c r="E391" s="1" t="str">
        <f>_xlfn.CONCAT(tabE.Flux[[#This Row],[DATA]],"+",tabE.Flux[[#This Row],[MOTORISTA + MATRÍCULA A]],"+",tabE.Flux[[#This Row],[LINHA]])</f>
        <v>45901+CLODOALDO PEREIRA DE LIMA - 4067+GOIANIA (GO) X SAO LUIS (MA)</v>
      </c>
      <c r="F391" s="1" t="str">
        <f>_xlfn.CONCAT(tabE.Flux[[#This Row],[DATA]],"+",tabE.Flux[[#This Row],[MOTORISTA + MATRÍCULA B]],"+",tabE.Flux[[#This Row],[LINHA]])</f>
        <v>45901+PAULO ENEAS FARIAS ARAUJO - 6218+GOIANIA (GO) X SAO LUIS (MA)</v>
      </c>
      <c r="G391" s="1" t="str">
        <f>_xlfn.CONCAT(tabE.Flux[[#This Row],[DATA]],"+",tabE.Flux[[#This Row],[LINHA]])</f>
        <v>45901+GOIANIA (GO) X SAO LUIS (MA)</v>
      </c>
      <c r="H391" s="125">
        <v>45901</v>
      </c>
      <c r="I391" s="1" t="s">
        <v>15</v>
      </c>
      <c r="J391" s="1">
        <v>20014</v>
      </c>
      <c r="K391" s="126">
        <v>0.40763888888888888</v>
      </c>
      <c r="L391" s="126">
        <v>0.47013888888888888</v>
      </c>
      <c r="M391" s="1" t="s">
        <v>16</v>
      </c>
      <c r="N391" s="1" t="s">
        <v>42</v>
      </c>
      <c r="O391" s="1" t="s">
        <v>109</v>
      </c>
      <c r="P391" s="1" t="s">
        <v>43</v>
      </c>
      <c r="Q391" s="1" t="s">
        <v>23</v>
      </c>
    </row>
    <row r="392" spans="3:17" x14ac:dyDescent="0.25">
      <c r="C392" s="1" t="str">
        <f>_xlfn.CONCAT(tabE.Flux[[#This Row],[DATA]],"+",tabE.Flux[[#This Row],[MOTORISTA + MATRÍCULA A]])</f>
        <v>45901+CANCELADO</v>
      </c>
      <c r="D392" s="1" t="str">
        <f>_xlfn.CONCAT(tabE.Flux[[#This Row],[DATA]],"+",tabE.Flux[[#This Row],[MOTORISTA + MATRÍCULA B]])</f>
        <v>45901+CANCELADO</v>
      </c>
      <c r="E392" s="1" t="str">
        <f>_xlfn.CONCAT(tabE.Flux[[#This Row],[DATA]],"+",tabE.Flux[[#This Row],[MOTORISTA + MATRÍCULA A]],"+",tabE.Flux[[#This Row],[LINHA]])</f>
        <v>45901+CANCELADO+IMPERATRIZ (MA) X SÃO LUIS (MA)</v>
      </c>
      <c r="F392" s="1" t="str">
        <f>_xlfn.CONCAT(tabE.Flux[[#This Row],[DATA]],"+",tabE.Flux[[#This Row],[MOTORISTA + MATRÍCULA B]],"+",tabE.Flux[[#This Row],[LINHA]])</f>
        <v>45901+CANCELADO+IMPERATRIZ (MA) X SÃO LUIS (MA)</v>
      </c>
      <c r="G392" s="1" t="str">
        <f>_xlfn.CONCAT(tabE.Flux[[#This Row],[DATA]],"+",tabE.Flux[[#This Row],[LINHA]])</f>
        <v>45901+IMPERATRIZ (MA) X SÃO LUIS (MA)</v>
      </c>
      <c r="H392" s="125">
        <v>45901</v>
      </c>
      <c r="I392" s="1" t="s">
        <v>15</v>
      </c>
      <c r="J392" s="1" t="s">
        <v>27</v>
      </c>
      <c r="K392" s="126">
        <v>0.77083333333333337</v>
      </c>
      <c r="L392" s="126">
        <v>0.8125</v>
      </c>
      <c r="M392" s="1" t="s">
        <v>16</v>
      </c>
      <c r="N392" s="1" t="s">
        <v>42</v>
      </c>
      <c r="O392" s="1" t="s">
        <v>27</v>
      </c>
      <c r="P392" s="1" t="s">
        <v>27</v>
      </c>
      <c r="Q392" s="1" t="s">
        <v>47</v>
      </c>
    </row>
    <row r="393" spans="3:17" x14ac:dyDescent="0.25">
      <c r="C393" s="1" t="str">
        <f>_xlfn.CONCAT(tabE.Flux[[#This Row],[DATA]],"+",tabE.Flux[[#This Row],[MOTORISTA + MATRÍCULA A]])</f>
        <v>45901+JOSE POLICARPO DE SOUSA NETO - 1472</v>
      </c>
      <c r="D393" s="1" t="str">
        <f>_xlfn.CONCAT(tabE.Flux[[#This Row],[DATA]],"+",tabE.Flux[[#This Row],[MOTORISTA + MATRÍCULA B]])</f>
        <v>45901+KAYLSON KLEYTON DA SILVA COSTA - 6224</v>
      </c>
      <c r="E393" s="1" t="str">
        <f>_xlfn.CONCAT(tabE.Flux[[#This Row],[DATA]],"+",tabE.Flux[[#This Row],[MOTORISTA + MATRÍCULA A]],"+",tabE.Flux[[#This Row],[LINHA]])</f>
        <v>45901+JOSE POLICARPO DE SOUSA NETO - 1472+GOIANIA (GO) X SAO LUIS (MA)</v>
      </c>
      <c r="F393" s="1" t="str">
        <f>_xlfn.CONCAT(tabE.Flux[[#This Row],[DATA]],"+",tabE.Flux[[#This Row],[MOTORISTA + MATRÍCULA B]],"+",tabE.Flux[[#This Row],[LINHA]])</f>
        <v>45901+KAYLSON KLEYTON DA SILVA COSTA - 6224+GOIANIA (GO) X SAO LUIS (MA)</v>
      </c>
      <c r="G393" s="1" t="str">
        <f>_xlfn.CONCAT(tabE.Flux[[#This Row],[DATA]],"+",tabE.Flux[[#This Row],[LINHA]])</f>
        <v>45901+GOIANIA (GO) X SAO LUIS (MA)</v>
      </c>
      <c r="H393" s="125">
        <v>45901</v>
      </c>
      <c r="I393" s="1" t="s">
        <v>15</v>
      </c>
      <c r="J393" s="1">
        <v>24005</v>
      </c>
      <c r="K393" s="126">
        <v>0.8125</v>
      </c>
      <c r="L393" s="126">
        <v>0.84375</v>
      </c>
      <c r="M393" s="1" t="s">
        <v>16</v>
      </c>
      <c r="N393" s="1" t="s">
        <v>42</v>
      </c>
      <c r="O393" s="1" t="s">
        <v>54</v>
      </c>
      <c r="P393" s="1" t="s">
        <v>80</v>
      </c>
      <c r="Q393" s="1" t="s">
        <v>23</v>
      </c>
    </row>
    <row r="394" spans="3:17" x14ac:dyDescent="0.25">
      <c r="C394" s="1" t="str">
        <f>_xlfn.CONCAT(tabE.Flux[[#This Row],[DATA]],"+",tabE.Flux[[#This Row],[MOTORISTA + MATRÍCULA A]])</f>
        <v>45901+FRANCISCO RAIMUNDO VIANA DE SOUSA - 5314</v>
      </c>
      <c r="D394" s="1" t="str">
        <f>_xlfn.CONCAT(tabE.Flux[[#This Row],[DATA]],"+",tabE.Flux[[#This Row],[MOTORISTA + MATRÍCULA B]])</f>
        <v>45901+RAIMUNDO NONATO MAGALHAES DO NASCIMENTO - 5662</v>
      </c>
      <c r="E394" s="1" t="str">
        <f>_xlfn.CONCAT(tabE.Flux[[#This Row],[DATA]],"+",tabE.Flux[[#This Row],[MOTORISTA + MATRÍCULA A]],"+",tabE.Flux[[#This Row],[LINHA]])</f>
        <v>45901+FRANCISCO RAIMUNDO VIANA DE SOUSA - 5314+GOIANIA (GO) X TERESINA (PI) VIA STI</v>
      </c>
      <c r="F394" s="1" t="str">
        <f>_xlfn.CONCAT(tabE.Flux[[#This Row],[DATA]],"+",tabE.Flux[[#This Row],[MOTORISTA + MATRÍCULA B]],"+",tabE.Flux[[#This Row],[LINHA]])</f>
        <v>45901+RAIMUNDO NONATO MAGALHAES DO NASCIMENTO - 5662+GOIANIA (GO) X TERESINA (PI) VIA STI</v>
      </c>
      <c r="G394" s="1" t="str">
        <f>_xlfn.CONCAT(tabE.Flux[[#This Row],[DATA]],"+",tabE.Flux[[#This Row],[LINHA]])</f>
        <v>45901+GOIANIA (GO) X TERESINA (PI) VIA STI</v>
      </c>
      <c r="H394" s="125">
        <v>45901</v>
      </c>
      <c r="I394" s="1" t="s">
        <v>15</v>
      </c>
      <c r="J394" s="1">
        <v>19024</v>
      </c>
      <c r="K394" s="126">
        <v>0.77083333333333337</v>
      </c>
      <c r="L394" s="126">
        <v>0.79861111111111116</v>
      </c>
      <c r="M394" s="1" t="s">
        <v>16</v>
      </c>
      <c r="N394" s="1" t="s">
        <v>29</v>
      </c>
      <c r="O394" s="1" t="s">
        <v>87</v>
      </c>
      <c r="P394" s="1" t="s">
        <v>101</v>
      </c>
      <c r="Q394" s="1" t="s">
        <v>26</v>
      </c>
    </row>
    <row r="395" spans="3:17" x14ac:dyDescent="0.25">
      <c r="C395" s="1" t="str">
        <f>_xlfn.CONCAT(tabE.Flux[[#This Row],[DATA]],"+",tabE.Flux[[#This Row],[MOTORISTA + MATRÍCULA A]])</f>
        <v>45901+ANTONIO RAMIRO WEBER - 5452</v>
      </c>
      <c r="D395" s="1" t="str">
        <f>_xlfn.CONCAT(tabE.Flux[[#This Row],[DATA]],"+",tabE.Flux[[#This Row],[MOTORISTA + MATRÍCULA B]])</f>
        <v>45901+VALDEY OLIVEIRA ARAUJO - 2790</v>
      </c>
      <c r="E395" s="1" t="str">
        <f>_xlfn.CONCAT(tabE.Flux[[#This Row],[DATA]],"+",tabE.Flux[[#This Row],[MOTORISTA + MATRÍCULA A]],"+",tabE.Flux[[#This Row],[LINHA]])</f>
        <v>45901+ANTONIO RAMIRO WEBER - 5452+GOIANIA (GO) X SAO LUIS (MA)</v>
      </c>
      <c r="F395" s="1" t="str">
        <f>_xlfn.CONCAT(tabE.Flux[[#This Row],[DATA]],"+",tabE.Flux[[#This Row],[MOTORISTA + MATRÍCULA B]],"+",tabE.Flux[[#This Row],[LINHA]])</f>
        <v>45901+VALDEY OLIVEIRA ARAUJO - 2790+GOIANIA (GO) X SAO LUIS (MA)</v>
      </c>
      <c r="G395" s="1" t="str">
        <f>_xlfn.CONCAT(tabE.Flux[[#This Row],[DATA]],"+",tabE.Flux[[#This Row],[LINHA]])</f>
        <v>45901+GOIANIA (GO) X SAO LUIS (MA)</v>
      </c>
      <c r="H395" s="125">
        <v>45901</v>
      </c>
      <c r="I395" s="1" t="s">
        <v>15</v>
      </c>
      <c r="J395" s="1">
        <v>19017</v>
      </c>
      <c r="K395" s="126">
        <v>0.8125</v>
      </c>
      <c r="L395" s="126">
        <v>0.84166666666666667</v>
      </c>
      <c r="M395" s="1" t="s">
        <v>16</v>
      </c>
      <c r="N395" s="1" t="s">
        <v>17</v>
      </c>
      <c r="O395" s="1" t="s">
        <v>79</v>
      </c>
      <c r="P395" s="1" t="s">
        <v>34</v>
      </c>
      <c r="Q395" s="1" t="s">
        <v>23</v>
      </c>
    </row>
    <row r="396" spans="3:17" x14ac:dyDescent="0.25">
      <c r="C396" s="1" t="str">
        <f>_xlfn.CONCAT(tabE.Flux[[#This Row],[DATA]],"+",tabE.Flux[[#This Row],[MOTORISTA + MATRÍCULA A]])</f>
        <v>45901+ESIEL COSTA RODRIGUES - 1749</v>
      </c>
      <c r="D396" s="1" t="str">
        <f>_xlfn.CONCAT(tabE.Flux[[#This Row],[DATA]],"+",tabE.Flux[[#This Row],[MOTORISTA + MATRÍCULA B]])</f>
        <v>45901+FABIO MOREIRA DOS SANTOS - 3073</v>
      </c>
      <c r="E396" s="1" t="str">
        <f>_xlfn.CONCAT(tabE.Flux[[#This Row],[DATA]],"+",tabE.Flux[[#This Row],[MOTORISTA + MATRÍCULA A]],"+",tabE.Flux[[#This Row],[LINHA]])</f>
        <v>45901+ESIEL COSTA RODRIGUES - 1749+FORTALEZA (CE) X SINOP (MT)</v>
      </c>
      <c r="F396" s="1" t="str">
        <f>_xlfn.CONCAT(tabE.Flux[[#This Row],[DATA]],"+",tabE.Flux[[#This Row],[MOTORISTA + MATRÍCULA B]],"+",tabE.Flux[[#This Row],[LINHA]])</f>
        <v>45901+FABIO MOREIRA DOS SANTOS - 3073+FORTALEZA (CE) X SINOP (MT)</v>
      </c>
      <c r="G396" s="1" t="str">
        <f>_xlfn.CONCAT(tabE.Flux[[#This Row],[DATA]],"+",tabE.Flux[[#This Row],[LINHA]])</f>
        <v>45901+FORTALEZA (CE) X SINOP (MT)</v>
      </c>
      <c r="H396" s="125">
        <v>45901</v>
      </c>
      <c r="I396" s="1" t="s">
        <v>15</v>
      </c>
      <c r="J396" s="1">
        <v>19003</v>
      </c>
      <c r="K396" s="126">
        <v>0.8125</v>
      </c>
      <c r="L396" s="126">
        <v>0.85416666666666663</v>
      </c>
      <c r="M396" s="1" t="s">
        <v>16</v>
      </c>
      <c r="N396" s="1" t="s">
        <v>17</v>
      </c>
      <c r="O396" s="1" t="s">
        <v>46</v>
      </c>
      <c r="P396" s="1" t="s">
        <v>50</v>
      </c>
      <c r="Q396" s="1" t="s">
        <v>32</v>
      </c>
    </row>
    <row r="397" spans="3:17" x14ac:dyDescent="0.25">
      <c r="C397" s="1" t="str">
        <f>_xlfn.CONCAT(tabE.Flux[[#This Row],[DATA]],"+",tabE.Flux[[#This Row],[MOTORISTA + MATRÍCULA A]])</f>
        <v>45901+TIAGO MARTINS BERNARDES - 5260</v>
      </c>
      <c r="D397" s="1" t="str">
        <f>_xlfn.CONCAT(tabE.Flux[[#This Row],[DATA]],"+",tabE.Flux[[#This Row],[MOTORISTA + MATRÍCULA B]])</f>
        <v>45901+ROBERTO PEREIRA DE MATOS - 5538</v>
      </c>
      <c r="E397" s="1" t="str">
        <f>_xlfn.CONCAT(tabE.Flux[[#This Row],[DATA]],"+",tabE.Flux[[#This Row],[MOTORISTA + MATRÍCULA A]],"+",tabE.Flux[[#This Row],[LINHA]])</f>
        <v>45901+TIAGO MARTINS BERNARDES - 5260+GOIANIA (GO) X BELEM (PA)</v>
      </c>
      <c r="F397" s="1" t="str">
        <f>_xlfn.CONCAT(tabE.Flux[[#This Row],[DATA]],"+",tabE.Flux[[#This Row],[MOTORISTA + MATRÍCULA B]],"+",tabE.Flux[[#This Row],[LINHA]])</f>
        <v>45901+ROBERTO PEREIRA DE MATOS - 5538+GOIANIA (GO) X BELEM (PA)</v>
      </c>
      <c r="G397" s="1" t="str">
        <f>_xlfn.CONCAT(tabE.Flux[[#This Row],[DATA]],"+",tabE.Flux[[#This Row],[LINHA]])</f>
        <v>45901+GOIANIA (GO) X BELEM (PA)</v>
      </c>
      <c r="H397" s="125">
        <v>45901</v>
      </c>
      <c r="I397" s="1" t="s">
        <v>15</v>
      </c>
      <c r="J397" s="1">
        <v>20017</v>
      </c>
      <c r="K397" s="126">
        <v>0.84722222222222221</v>
      </c>
      <c r="L397" s="126">
        <v>0.87847222222222221</v>
      </c>
      <c r="M397" s="1" t="s">
        <v>16</v>
      </c>
      <c r="N397" s="1" t="s">
        <v>17</v>
      </c>
      <c r="O397" s="1" t="s">
        <v>179</v>
      </c>
      <c r="P397" s="1" t="s">
        <v>180</v>
      </c>
      <c r="Q397" s="1" t="s">
        <v>20</v>
      </c>
    </row>
    <row r="398" spans="3:17" x14ac:dyDescent="0.25">
      <c r="C398" s="1" t="str">
        <f>_xlfn.CONCAT(tabE.Flux[[#This Row],[DATA]],"+",tabE.Flux[[#This Row],[MOTORISTA + MATRÍCULA A]])</f>
        <v>+</v>
      </c>
      <c r="D398" s="1" t="str">
        <f>_xlfn.CONCAT(tabE.Flux[[#This Row],[DATA]],"+",tabE.Flux[[#This Row],[MOTORISTA + MATRÍCULA B]])</f>
        <v>+</v>
      </c>
      <c r="E398" s="1" t="str">
        <f>_xlfn.CONCAT(tabE.Flux[[#This Row],[DATA]],"+",tabE.Flux[[#This Row],[MOTORISTA + MATRÍCULA A]],"+",tabE.Flux[[#This Row],[LINHA]])</f>
        <v>++</v>
      </c>
      <c r="F398" s="1" t="str">
        <f>_xlfn.CONCAT(tabE.Flux[[#This Row],[DATA]],"+",tabE.Flux[[#This Row],[MOTORISTA + MATRÍCULA B]],"+",tabE.Flux[[#This Row],[LINHA]])</f>
        <v>++</v>
      </c>
      <c r="G398" s="1" t="str">
        <f>_xlfn.CONCAT(tabE.Flux[[#This Row],[DATA]],"+",tabE.Flux[[#This Row],[LINHA]])</f>
        <v>+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3:17" x14ac:dyDescent="0.25">
      <c r="C399" s="1" t="str">
        <f>_xlfn.CONCAT(tabE.Flux[[#This Row],[DATA]],"+",tabE.Flux[[#This Row],[MOTORISTA + MATRÍCULA A]])</f>
        <v>45902+GENIVALDO ANTONIO DE SOUZA - 1082</v>
      </c>
      <c r="D399" s="1" t="str">
        <f>_xlfn.CONCAT(tabE.Flux[[#This Row],[DATA]],"+",tabE.Flux[[#This Row],[MOTORISTA + MATRÍCULA B]])</f>
        <v>45902+GISLE RODRIGUES DE SOUSA - 6047</v>
      </c>
      <c r="E399" s="1" t="str">
        <f>_xlfn.CONCAT(tabE.Flux[[#This Row],[DATA]],"+",tabE.Flux[[#This Row],[MOTORISTA + MATRÍCULA A]],"+",tabE.Flux[[#This Row],[LINHA]])</f>
        <v>45902+GENIVALDO ANTONIO DE SOUZA - 1082+GOIANIA (GO) X BELEM (PA)</v>
      </c>
      <c r="F399" s="1" t="str">
        <f>_xlfn.CONCAT(tabE.Flux[[#This Row],[DATA]],"+",tabE.Flux[[#This Row],[MOTORISTA + MATRÍCULA B]],"+",tabE.Flux[[#This Row],[LINHA]])</f>
        <v>45902+GISLE RODRIGUES DE SOUSA - 6047+GOIANIA (GO) X BELEM (PA)</v>
      </c>
      <c r="G399" s="1" t="str">
        <f>_xlfn.CONCAT(tabE.Flux[[#This Row],[DATA]],"+",tabE.Flux[[#This Row],[LINHA]])</f>
        <v>45902+GOIANIA (GO) X BELEM (PA)</v>
      </c>
      <c r="H399" s="125">
        <v>45902</v>
      </c>
      <c r="I399" s="1" t="s">
        <v>15</v>
      </c>
      <c r="J399" s="1">
        <v>24011</v>
      </c>
      <c r="K399" s="126">
        <v>0.25486111111111109</v>
      </c>
      <c r="L399" s="126">
        <v>0.3</v>
      </c>
      <c r="M399" s="1" t="s">
        <v>16</v>
      </c>
      <c r="N399" s="1" t="s">
        <v>17</v>
      </c>
      <c r="O399" s="1" t="s">
        <v>185</v>
      </c>
      <c r="P399" s="1" t="s">
        <v>186</v>
      </c>
      <c r="Q399" s="1" t="s">
        <v>20</v>
      </c>
    </row>
    <row r="400" spans="3:17" x14ac:dyDescent="0.25">
      <c r="C400" s="1" t="str">
        <f>_xlfn.CONCAT(tabE.Flux[[#This Row],[DATA]],"+",tabE.Flux[[#This Row],[MOTORISTA + MATRÍCULA A]])</f>
        <v>45902+JOSE ATAZ QUINTINO - 6048</v>
      </c>
      <c r="D400" s="1" t="str">
        <f>_xlfn.CONCAT(tabE.Flux[[#This Row],[DATA]],"+",tabE.Flux[[#This Row],[MOTORISTA + MATRÍCULA B]])</f>
        <v>45902+RICARDO VIEIRA GERVASIO - 5297</v>
      </c>
      <c r="E400" s="1" t="str">
        <f>_xlfn.CONCAT(tabE.Flux[[#This Row],[DATA]],"+",tabE.Flux[[#This Row],[MOTORISTA + MATRÍCULA A]],"+",tabE.Flux[[#This Row],[LINHA]])</f>
        <v>45902+JOSE ATAZ QUINTINO - 6048+GOIANIA (GO) X SAO LUIS (MA)</v>
      </c>
      <c r="F400" s="1" t="str">
        <f>_xlfn.CONCAT(tabE.Flux[[#This Row],[DATA]],"+",tabE.Flux[[#This Row],[MOTORISTA + MATRÍCULA B]],"+",tabE.Flux[[#This Row],[LINHA]])</f>
        <v>45902+RICARDO VIEIRA GERVASIO - 5297+GOIANIA (GO) X SAO LUIS (MA)</v>
      </c>
      <c r="G400" s="1" t="str">
        <f>_xlfn.CONCAT(tabE.Flux[[#This Row],[DATA]],"+",tabE.Flux[[#This Row],[LINHA]])</f>
        <v>45902+GOIANIA (GO) X SAO LUIS (MA)</v>
      </c>
      <c r="H400" s="125">
        <v>45902</v>
      </c>
      <c r="I400" s="1" t="s">
        <v>15</v>
      </c>
      <c r="J400" s="1">
        <v>24003</v>
      </c>
      <c r="K400" s="126">
        <v>0.32291666666666669</v>
      </c>
      <c r="L400" s="126">
        <v>0.33333333333333331</v>
      </c>
      <c r="M400" s="1" t="s">
        <v>16</v>
      </c>
      <c r="N400" s="1" t="s">
        <v>17</v>
      </c>
      <c r="O400" s="1" t="s">
        <v>202</v>
      </c>
      <c r="P400" s="1" t="s">
        <v>203</v>
      </c>
      <c r="Q400" s="1" t="s">
        <v>23</v>
      </c>
    </row>
    <row r="401" spans="3:17" x14ac:dyDescent="0.25">
      <c r="C401" s="1" t="str">
        <f>_xlfn.CONCAT(tabE.Flux[[#This Row],[DATA]],"+",tabE.Flux[[#This Row],[MOTORISTA + MATRÍCULA A]])</f>
        <v>45902+EURIPEDES BARSANULFO DIAS ROSA - 1951</v>
      </c>
      <c r="D401" s="1" t="str">
        <f>_xlfn.CONCAT(tabE.Flux[[#This Row],[DATA]],"+",tabE.Flux[[#This Row],[MOTORISTA + MATRÍCULA B]])</f>
        <v>45902+  NEIRIVAL MOREIRA PINTO- 5432</v>
      </c>
      <c r="E401" s="1" t="str">
        <f>_xlfn.CONCAT(tabE.Flux[[#This Row],[DATA]],"+",tabE.Flux[[#This Row],[MOTORISTA + MATRÍCULA A]],"+",tabE.Flux[[#This Row],[LINHA]])</f>
        <v>45902+EURIPEDES BARSANULFO DIAS ROSA - 1951+GOIANIA (GO) X TERESINA (PI) VIA STI</v>
      </c>
      <c r="F401" s="1" t="str">
        <f>_xlfn.CONCAT(tabE.Flux[[#This Row],[DATA]],"+",tabE.Flux[[#This Row],[MOTORISTA + MATRÍCULA B]],"+",tabE.Flux[[#This Row],[LINHA]])</f>
        <v>45902+  NEIRIVAL MOREIRA PINTO- 5432+GOIANIA (GO) X TERESINA (PI) VIA STI</v>
      </c>
      <c r="G401" s="1" t="str">
        <f>_xlfn.CONCAT(tabE.Flux[[#This Row],[DATA]],"+",tabE.Flux[[#This Row],[LINHA]])</f>
        <v>45902+GOIANIA (GO) X TERESINA (PI) VIA STI</v>
      </c>
      <c r="H401" s="125">
        <v>45902</v>
      </c>
      <c r="I401" s="1" t="s">
        <v>15</v>
      </c>
      <c r="J401" s="1">
        <v>17300</v>
      </c>
      <c r="K401" s="126">
        <v>0.3888888888888889</v>
      </c>
      <c r="L401" s="126">
        <v>0.39583333333333331</v>
      </c>
      <c r="M401" s="1" t="s">
        <v>16</v>
      </c>
      <c r="N401" s="1" t="s">
        <v>17</v>
      </c>
      <c r="O401" s="1" t="s">
        <v>227</v>
      </c>
      <c r="P401" s="1" t="s">
        <v>192</v>
      </c>
      <c r="Q401" s="1" t="s">
        <v>26</v>
      </c>
    </row>
    <row r="402" spans="3:17" x14ac:dyDescent="0.25">
      <c r="C402" s="1" t="str">
        <f>_xlfn.CONCAT(tabE.Flux[[#This Row],[DATA]],"+",tabE.Flux[[#This Row],[MOTORISTA + MATRÍCULA A]])</f>
        <v>45902+CANCELADO</v>
      </c>
      <c r="D402" s="1" t="str">
        <f>_xlfn.CONCAT(tabE.Flux[[#This Row],[DATA]],"+",tabE.Flux[[#This Row],[MOTORISTA + MATRÍCULA B]])</f>
        <v>45902+CANCELADO</v>
      </c>
      <c r="E402" s="1" t="str">
        <f>_xlfn.CONCAT(tabE.Flux[[#This Row],[DATA]],"+",tabE.Flux[[#This Row],[MOTORISTA + MATRÍCULA A]],"+",tabE.Flux[[#This Row],[LINHA]])</f>
        <v>45902+CANCELADO+</v>
      </c>
      <c r="F402" s="1" t="str">
        <f>_xlfn.CONCAT(tabE.Flux[[#This Row],[DATA]],"+",tabE.Flux[[#This Row],[MOTORISTA + MATRÍCULA B]],"+",tabE.Flux[[#This Row],[LINHA]])</f>
        <v>45902+CANCELADO+</v>
      </c>
      <c r="G402" s="1" t="str">
        <f>_xlfn.CONCAT(tabE.Flux[[#This Row],[DATA]],"+",tabE.Flux[[#This Row],[LINHA]])</f>
        <v>45902+</v>
      </c>
      <c r="H402" s="125">
        <v>45902</v>
      </c>
      <c r="I402" s="1" t="s">
        <v>15</v>
      </c>
      <c r="J402" s="1" t="s">
        <v>27</v>
      </c>
      <c r="K402" s="126">
        <v>0.375</v>
      </c>
      <c r="L402" s="126">
        <v>0.41666666666666669</v>
      </c>
      <c r="M402" s="1" t="s">
        <v>16</v>
      </c>
      <c r="N402" s="1" t="s">
        <v>28</v>
      </c>
      <c r="O402" s="1" t="s">
        <v>27</v>
      </c>
      <c r="P402" s="1" t="s">
        <v>27</v>
      </c>
      <c r="Q402" s="1"/>
    </row>
    <row r="403" spans="3:17" x14ac:dyDescent="0.25">
      <c r="C403" s="1" t="str">
        <f>_xlfn.CONCAT(tabE.Flux[[#This Row],[DATA]],"+",tabE.Flux[[#This Row],[MOTORISTA + MATRÍCULA A]])</f>
        <v>45902+EDUARDO SANTOS BEZERRA - 4066</v>
      </c>
      <c r="D403" s="1" t="str">
        <f>_xlfn.CONCAT(tabE.Flux[[#This Row],[DATA]],"+",tabE.Flux[[#This Row],[MOTORISTA + MATRÍCULA B]])</f>
        <v>45902+DANYLSON BATISTA SANTANA - 5829</v>
      </c>
      <c r="E403" s="1" t="str">
        <f>_xlfn.CONCAT(tabE.Flux[[#This Row],[DATA]],"+",tabE.Flux[[#This Row],[MOTORISTA + MATRÍCULA A]],"+",tabE.Flux[[#This Row],[LINHA]])</f>
        <v>45902+EDUARDO SANTOS BEZERRA - 4066+FORTALEZA (CE) X SINOP (MT)</v>
      </c>
      <c r="F403" s="1" t="str">
        <f>_xlfn.CONCAT(tabE.Flux[[#This Row],[DATA]],"+",tabE.Flux[[#This Row],[MOTORISTA + MATRÍCULA B]],"+",tabE.Flux[[#This Row],[LINHA]])</f>
        <v>45902+DANYLSON BATISTA SANTANA - 5829+FORTALEZA (CE) X SINOP (MT)</v>
      </c>
      <c r="G403" s="1" t="str">
        <f>_xlfn.CONCAT(tabE.Flux[[#This Row],[DATA]],"+",tabE.Flux[[#This Row],[LINHA]])</f>
        <v>45902+FORTALEZA (CE) X SINOP (MT)</v>
      </c>
      <c r="H403" s="125">
        <v>45902</v>
      </c>
      <c r="I403" s="1" t="s">
        <v>15</v>
      </c>
      <c r="J403" s="1">
        <v>19011</v>
      </c>
      <c r="K403" s="126">
        <v>0.3888888888888889</v>
      </c>
      <c r="L403" s="126">
        <v>0.37708333333333333</v>
      </c>
      <c r="M403" s="1" t="s">
        <v>16</v>
      </c>
      <c r="N403" s="1" t="s">
        <v>29</v>
      </c>
      <c r="O403" s="1" t="s">
        <v>148</v>
      </c>
      <c r="P403" s="1" t="s">
        <v>60</v>
      </c>
      <c r="Q403" s="1" t="s">
        <v>32</v>
      </c>
    </row>
    <row r="404" spans="3:17" x14ac:dyDescent="0.25">
      <c r="C404" s="1" t="str">
        <f>_xlfn.CONCAT(tabE.Flux[[#This Row],[DATA]],"+",tabE.Flux[[#This Row],[MOTORISTA + MATRÍCULA A]])</f>
        <v>45902+CANCELADO</v>
      </c>
      <c r="D404" s="1" t="str">
        <f>_xlfn.CONCAT(tabE.Flux[[#This Row],[DATA]],"+",tabE.Flux[[#This Row],[MOTORISTA + MATRÍCULA B]])</f>
        <v>45902+CANCELADO</v>
      </c>
      <c r="E404" s="1" t="str">
        <f>_xlfn.CONCAT(tabE.Flux[[#This Row],[DATA]],"+",tabE.Flux[[#This Row],[MOTORISTA + MATRÍCULA A]],"+",tabE.Flux[[#This Row],[LINHA]])</f>
        <v>45902+CANCELADO+GOIANIA (GO) X BELEM (PA)</v>
      </c>
      <c r="F404" s="1" t="str">
        <f>_xlfn.CONCAT(tabE.Flux[[#This Row],[DATA]],"+",tabE.Flux[[#This Row],[MOTORISTA + MATRÍCULA B]],"+",tabE.Flux[[#This Row],[LINHA]])</f>
        <v>45902+CANCELADO+GOIANIA (GO) X BELEM (PA)</v>
      </c>
      <c r="G404" s="1" t="str">
        <f>_xlfn.CONCAT(tabE.Flux[[#This Row],[DATA]],"+",tabE.Flux[[#This Row],[LINHA]])</f>
        <v>45902+GOIANIA (GO) X BELEM (PA)</v>
      </c>
      <c r="H404" s="125">
        <v>45902</v>
      </c>
      <c r="I404" s="1" t="s">
        <v>15</v>
      </c>
      <c r="J404" s="1" t="s">
        <v>27</v>
      </c>
      <c r="K404" s="126">
        <v>0.38958333333333334</v>
      </c>
      <c r="L404" s="126">
        <v>0.38541666666666669</v>
      </c>
      <c r="M404" s="1" t="s">
        <v>16</v>
      </c>
      <c r="N404" s="1" t="s">
        <v>33</v>
      </c>
      <c r="O404" s="1" t="s">
        <v>27</v>
      </c>
      <c r="P404" s="1" t="s">
        <v>27</v>
      </c>
      <c r="Q404" s="1" t="s">
        <v>20</v>
      </c>
    </row>
    <row r="405" spans="3:17" x14ac:dyDescent="0.25">
      <c r="C405" s="1" t="str">
        <f>_xlfn.CONCAT(tabE.Flux[[#This Row],[DATA]],"+",tabE.Flux[[#This Row],[MOTORISTA + MATRÍCULA A]])</f>
        <v>45902+JOSE ORLANDO RODRIGUES DE MIRANDA - 5838</v>
      </c>
      <c r="D405" s="1" t="str">
        <f>_xlfn.CONCAT(tabE.Flux[[#This Row],[DATA]],"+",tabE.Flux[[#This Row],[MOTORISTA + MATRÍCULA B]])</f>
        <v>45902+FRANCISCO DAS CHAGAS SILVA - 5656</v>
      </c>
      <c r="E405" s="1" t="str">
        <f>_xlfn.CONCAT(tabE.Flux[[#This Row],[DATA]],"+",tabE.Flux[[#This Row],[MOTORISTA + MATRÍCULA A]],"+",tabE.Flux[[#This Row],[LINHA]])</f>
        <v>45902+JOSE ORLANDO RODRIGUES DE MIRANDA - 5838+GOIANIA (GO) X TERESINA (PI) VIA BC</v>
      </c>
      <c r="F405" s="1" t="str">
        <f>_xlfn.CONCAT(tabE.Flux[[#This Row],[DATA]],"+",tabE.Flux[[#This Row],[MOTORISTA + MATRÍCULA B]],"+",tabE.Flux[[#This Row],[LINHA]])</f>
        <v>45902+FRANCISCO DAS CHAGAS SILVA - 5656+GOIANIA (GO) X TERESINA (PI) VIA BC</v>
      </c>
      <c r="G405" s="1" t="str">
        <f>_xlfn.CONCAT(tabE.Flux[[#This Row],[DATA]],"+",tabE.Flux[[#This Row],[LINHA]])</f>
        <v>45902+GOIANIA (GO) X TERESINA (PI) VIA BC</v>
      </c>
      <c r="H405" s="125">
        <v>45902</v>
      </c>
      <c r="I405" s="1" t="s">
        <v>15</v>
      </c>
      <c r="J405" s="1">
        <v>25005</v>
      </c>
      <c r="K405" s="126">
        <v>0.375</v>
      </c>
      <c r="L405" s="126">
        <v>0.39930555555555558</v>
      </c>
      <c r="M405" s="1" t="s">
        <v>36</v>
      </c>
      <c r="N405" s="1" t="s">
        <v>29</v>
      </c>
      <c r="O405" s="1" t="s">
        <v>37</v>
      </c>
      <c r="P405" s="1" t="s">
        <v>31</v>
      </c>
      <c r="Q405" s="1" t="s">
        <v>39</v>
      </c>
    </row>
    <row r="406" spans="3:17" x14ac:dyDescent="0.25">
      <c r="C406" s="1" t="str">
        <f>_xlfn.CONCAT(tabE.Flux[[#This Row],[DATA]],"+",tabE.Flux[[#This Row],[MOTORISTA + MATRÍCULA A]])</f>
        <v>45902+KLEBER OLIVEIRA LIMA - 5849</v>
      </c>
      <c r="D406" s="1" t="str">
        <f>_xlfn.CONCAT(tabE.Flux[[#This Row],[DATA]],"+",tabE.Flux[[#This Row],[MOTORISTA + MATRÍCULA B]])</f>
        <v>45902+FRANCISCO ALVES DA PAZ JUNIOR - 1247</v>
      </c>
      <c r="E406" s="1" t="str">
        <f>_xlfn.CONCAT(tabE.Flux[[#This Row],[DATA]],"+",tabE.Flux[[#This Row],[MOTORISTA + MATRÍCULA A]],"+",tabE.Flux[[#This Row],[LINHA]])</f>
        <v>45902+KLEBER OLIVEIRA LIMA - 5849+GOIANIA (GO) X BELEM (PA)</v>
      </c>
      <c r="F406" s="1" t="str">
        <f>_xlfn.CONCAT(tabE.Flux[[#This Row],[DATA]],"+",tabE.Flux[[#This Row],[MOTORISTA + MATRÍCULA B]],"+",tabE.Flux[[#This Row],[LINHA]])</f>
        <v>45902+FRANCISCO ALVES DA PAZ JUNIOR - 1247+GOIANIA (GO) X BELEM (PA)</v>
      </c>
      <c r="G406" s="1" t="str">
        <f>_xlfn.CONCAT(tabE.Flux[[#This Row],[DATA]],"+",tabE.Flux[[#This Row],[LINHA]])</f>
        <v>45902+GOIANIA (GO) X BELEM (PA)</v>
      </c>
      <c r="H406" s="125">
        <v>45902</v>
      </c>
      <c r="I406" s="1" t="s">
        <v>15</v>
      </c>
      <c r="J406" s="1">
        <v>19018</v>
      </c>
      <c r="K406" s="126">
        <v>0.375</v>
      </c>
      <c r="L406" s="126">
        <v>0.41666666666666669</v>
      </c>
      <c r="M406" s="1" t="s">
        <v>33</v>
      </c>
      <c r="N406" s="1" t="s">
        <v>16</v>
      </c>
      <c r="O406" s="1" t="s">
        <v>102</v>
      </c>
      <c r="P406" s="1" t="s">
        <v>144</v>
      </c>
      <c r="Q406" s="1" t="s">
        <v>20</v>
      </c>
    </row>
    <row r="407" spans="3:17" x14ac:dyDescent="0.25">
      <c r="C407" s="1" t="str">
        <f>_xlfn.CONCAT(tabE.Flux[[#This Row],[DATA]],"+",tabE.Flux[[#This Row],[MOTORISTA + MATRÍCULA A]])</f>
        <v>45902+LAUCEANDO DA SILVA ROCHA - 6220</v>
      </c>
      <c r="D407" s="1" t="str">
        <f>_xlfn.CONCAT(tabE.Flux[[#This Row],[DATA]],"+",tabE.Flux[[#This Row],[MOTORISTA + MATRÍCULA B]])</f>
        <v>45902+CLODOALDO PEREIRA DE LIMA - 4067</v>
      </c>
      <c r="E407" s="1" t="str">
        <f>_xlfn.CONCAT(tabE.Flux[[#This Row],[DATA]],"+",tabE.Flux[[#This Row],[MOTORISTA + MATRÍCULA A]],"+",tabE.Flux[[#This Row],[LINHA]])</f>
        <v>45902+LAUCEANDO DA SILVA ROCHA - 6220+GOIANIA (GO) X SAO LUIS (MA)</v>
      </c>
      <c r="F407" s="1" t="str">
        <f>_xlfn.CONCAT(tabE.Flux[[#This Row],[DATA]],"+",tabE.Flux[[#This Row],[MOTORISTA + MATRÍCULA B]],"+",tabE.Flux[[#This Row],[LINHA]])</f>
        <v>45902+CLODOALDO PEREIRA DE LIMA - 4067+GOIANIA (GO) X SAO LUIS (MA)</v>
      </c>
      <c r="G407" s="1" t="str">
        <f>_xlfn.CONCAT(tabE.Flux[[#This Row],[DATA]],"+",tabE.Flux[[#This Row],[LINHA]])</f>
        <v>45902+GOIANIA (GO) X SAO LUIS (MA)</v>
      </c>
      <c r="H407" s="125">
        <v>45902</v>
      </c>
      <c r="I407" s="1" t="s">
        <v>15</v>
      </c>
      <c r="J407" s="1">
        <v>20013</v>
      </c>
      <c r="K407" s="126">
        <v>0.25</v>
      </c>
      <c r="L407" s="126">
        <v>0.29166666666666669</v>
      </c>
      <c r="M407" s="1" t="s">
        <v>42</v>
      </c>
      <c r="N407" s="1" t="s">
        <v>16</v>
      </c>
      <c r="O407" s="1" t="s">
        <v>86</v>
      </c>
      <c r="P407" s="1" t="s">
        <v>109</v>
      </c>
      <c r="Q407" s="1" t="s">
        <v>23</v>
      </c>
    </row>
    <row r="408" spans="3:17" x14ac:dyDescent="0.25">
      <c r="C408" s="1" t="str">
        <f>_xlfn.CONCAT(tabE.Flux[[#This Row],[DATA]],"+",tabE.Flux[[#This Row],[MOTORISTA + MATRÍCULA A]])</f>
        <v>45902+EDIVALDO DE ARAUJO - 6217</v>
      </c>
      <c r="D408" s="1" t="str">
        <f>_xlfn.CONCAT(tabE.Flux[[#This Row],[DATA]],"+",tabE.Flux[[#This Row],[MOTORISTA + MATRÍCULA B]])</f>
        <v>45902+JOSE POLICARPO DE SOUSA NETO - 1472</v>
      </c>
      <c r="E408" s="1" t="str">
        <f>_xlfn.CONCAT(tabE.Flux[[#This Row],[DATA]],"+",tabE.Flux[[#This Row],[MOTORISTA + MATRÍCULA A]],"+",tabE.Flux[[#This Row],[LINHA]])</f>
        <v>45902+EDIVALDO DE ARAUJO - 6217+GOIANIA (GO) X SAO LUIS (MA)</v>
      </c>
      <c r="F408" s="1" t="str">
        <f>_xlfn.CONCAT(tabE.Flux[[#This Row],[DATA]],"+",tabE.Flux[[#This Row],[MOTORISTA + MATRÍCULA B]],"+",tabE.Flux[[#This Row],[LINHA]])</f>
        <v>45902+JOSE POLICARPO DE SOUSA NETO - 1472+GOIANIA (GO) X SAO LUIS (MA)</v>
      </c>
      <c r="G408" s="1" t="str">
        <f>_xlfn.CONCAT(tabE.Flux[[#This Row],[DATA]],"+",tabE.Flux[[#This Row],[LINHA]])</f>
        <v>45902+GOIANIA (GO) X SAO LUIS (MA)</v>
      </c>
      <c r="H408" s="125">
        <v>45902</v>
      </c>
      <c r="I408" s="1" t="s">
        <v>15</v>
      </c>
      <c r="J408" s="1">
        <v>24005</v>
      </c>
      <c r="K408" s="126">
        <v>0.75</v>
      </c>
      <c r="L408" s="126">
        <v>0.79166666666666663</v>
      </c>
      <c r="M408" s="1" t="s">
        <v>42</v>
      </c>
      <c r="N408" s="1" t="s">
        <v>16</v>
      </c>
      <c r="O408" s="1" t="s">
        <v>55</v>
      </c>
      <c r="P408" s="1" t="s">
        <v>54</v>
      </c>
      <c r="Q408" s="1" t="s">
        <v>23</v>
      </c>
    </row>
    <row r="409" spans="3:17" x14ac:dyDescent="0.25">
      <c r="C409" s="1" t="str">
        <f>_xlfn.CONCAT(tabE.Flux[[#This Row],[DATA]],"+",tabE.Flux[[#This Row],[MOTORISTA + MATRÍCULA A]])</f>
        <v>45902+CANCELADO</v>
      </c>
      <c r="D409" s="1" t="str">
        <f>_xlfn.CONCAT(tabE.Flux[[#This Row],[DATA]],"+",tabE.Flux[[#This Row],[MOTORISTA + MATRÍCULA B]])</f>
        <v>45902+CANCELADO</v>
      </c>
      <c r="E409" s="1" t="str">
        <f>_xlfn.CONCAT(tabE.Flux[[#This Row],[DATA]],"+",tabE.Flux[[#This Row],[MOTORISTA + MATRÍCULA A]],"+",tabE.Flux[[#This Row],[LINHA]])</f>
        <v>45902+CANCELADO+IMPERATRIZ (MA) X SÃO LUIS (MA)</v>
      </c>
      <c r="F409" s="1" t="str">
        <f>_xlfn.CONCAT(tabE.Flux[[#This Row],[DATA]],"+",tabE.Flux[[#This Row],[MOTORISTA + MATRÍCULA B]],"+",tabE.Flux[[#This Row],[LINHA]])</f>
        <v>45902+CANCELADO+IMPERATRIZ (MA) X SÃO LUIS (MA)</v>
      </c>
      <c r="G409" s="1" t="str">
        <f>_xlfn.CONCAT(tabE.Flux[[#This Row],[DATA]],"+",tabE.Flux[[#This Row],[LINHA]])</f>
        <v>45902+IMPERATRIZ (MA) X SÃO LUIS (MA)</v>
      </c>
      <c r="H409" s="125">
        <v>45902</v>
      </c>
      <c r="I409" s="1" t="s">
        <v>15</v>
      </c>
      <c r="J409" s="1" t="s">
        <v>27</v>
      </c>
      <c r="K409" s="126">
        <v>0.77083333333333337</v>
      </c>
      <c r="L409" s="126">
        <v>0.79513888888888884</v>
      </c>
      <c r="M409" s="1" t="s">
        <v>42</v>
      </c>
      <c r="N409" s="1" t="s">
        <v>16</v>
      </c>
      <c r="O409" s="1" t="s">
        <v>27</v>
      </c>
      <c r="P409" s="1" t="s">
        <v>27</v>
      </c>
      <c r="Q409" s="1" t="s">
        <v>47</v>
      </c>
    </row>
    <row r="410" spans="3:17" x14ac:dyDescent="0.25">
      <c r="C410" s="1" t="str">
        <f>_xlfn.CONCAT(tabE.Flux[[#This Row],[DATA]],"+",tabE.Flux[[#This Row],[MOTORISTA + MATRÍCULA A]])</f>
        <v>45902+VALTER PEREIRA MACIEL - 5630</v>
      </c>
      <c r="D410" s="1" t="str">
        <f>_xlfn.CONCAT(tabE.Flux[[#This Row],[DATA]],"+",tabE.Flux[[#This Row],[MOTORISTA + MATRÍCULA B]])</f>
        <v>45902+GERALDO MARTINS DOS SANTOS - 5610</v>
      </c>
      <c r="E410" s="1" t="str">
        <f>_xlfn.CONCAT(tabE.Flux[[#This Row],[DATA]],"+",tabE.Flux[[#This Row],[MOTORISTA + MATRÍCULA A]],"+",tabE.Flux[[#This Row],[LINHA]])</f>
        <v>45902+VALTER PEREIRA MACIEL - 5630+GOIANIA (GO) X TERESINA (PI) VIA BC</v>
      </c>
      <c r="F410" s="1" t="str">
        <f>_xlfn.CONCAT(tabE.Flux[[#This Row],[DATA]],"+",tabE.Flux[[#This Row],[MOTORISTA + MATRÍCULA B]],"+",tabE.Flux[[#This Row],[LINHA]])</f>
        <v>45902+GERALDO MARTINS DOS SANTOS - 5610+GOIANIA (GO) X TERESINA (PI) VIA BC</v>
      </c>
      <c r="G410" s="1" t="str">
        <f>_xlfn.CONCAT(tabE.Flux[[#This Row],[DATA]],"+",tabE.Flux[[#This Row],[LINHA]])</f>
        <v>45902+GOIANIA (GO) X TERESINA (PI) VIA BC</v>
      </c>
      <c r="H410" s="125">
        <v>45902</v>
      </c>
      <c r="I410" s="1" t="s">
        <v>15</v>
      </c>
      <c r="J410" s="1">
        <v>25009</v>
      </c>
      <c r="K410" s="126">
        <v>0.89583333333333337</v>
      </c>
      <c r="L410" s="126">
        <v>0.91666666666666663</v>
      </c>
      <c r="M410" s="1" t="s">
        <v>36</v>
      </c>
      <c r="N410" s="1" t="s">
        <v>17</v>
      </c>
      <c r="O410" s="1" t="s">
        <v>208</v>
      </c>
      <c r="P410" s="1" t="s">
        <v>209</v>
      </c>
      <c r="Q410" s="1" t="s">
        <v>39</v>
      </c>
    </row>
    <row r="411" spans="3:17" x14ac:dyDescent="0.25">
      <c r="C411" s="1" t="str">
        <f>_xlfn.CONCAT(tabE.Flux[[#This Row],[DATA]],"+",tabE.Flux[[#This Row],[MOTORISTA + MATRÍCULA A]])</f>
        <v>45902+ANTONIO MARQUES NETO DOS SANTOS - 1738</v>
      </c>
      <c r="D411" s="1" t="str">
        <f>_xlfn.CONCAT(tabE.Flux[[#This Row],[DATA]],"+",tabE.Flux[[#This Row],[MOTORISTA + MATRÍCULA B]])</f>
        <v>45902+BERNARDO SOUZA LIMA - 1720</v>
      </c>
      <c r="E411" s="1" t="str">
        <f>_xlfn.CONCAT(tabE.Flux[[#This Row],[DATA]],"+",tabE.Flux[[#This Row],[MOTORISTA + MATRÍCULA A]],"+",tabE.Flux[[#This Row],[LINHA]])</f>
        <v>45902+ANTONIO MARQUES NETO DOS SANTOS - 1738+GOIANIA (GO) X BELEM (PA)</v>
      </c>
      <c r="F411" s="1" t="str">
        <f>_xlfn.CONCAT(tabE.Flux[[#This Row],[DATA]],"+",tabE.Flux[[#This Row],[MOTORISTA + MATRÍCULA B]],"+",tabE.Flux[[#This Row],[LINHA]])</f>
        <v>45902+BERNARDO SOUZA LIMA - 1720+GOIANIA (GO) X BELEM (PA)</v>
      </c>
      <c r="G411" s="1" t="str">
        <f>_xlfn.CONCAT(tabE.Flux[[#This Row],[DATA]],"+",tabE.Flux[[#This Row],[LINHA]])</f>
        <v>45902+GOIANIA (GO) X BELEM (PA)</v>
      </c>
      <c r="H411" s="125">
        <v>45902</v>
      </c>
      <c r="I411" s="1" t="s">
        <v>15</v>
      </c>
      <c r="J411" s="1">
        <v>24009</v>
      </c>
      <c r="K411" s="126">
        <v>0.76041666666666663</v>
      </c>
      <c r="L411" s="126">
        <v>0.77083333333333337</v>
      </c>
      <c r="M411" s="1" t="s">
        <v>33</v>
      </c>
      <c r="N411" s="1" t="s">
        <v>16</v>
      </c>
      <c r="O411" s="1" t="s">
        <v>73</v>
      </c>
      <c r="P411" s="1" t="s">
        <v>123</v>
      </c>
      <c r="Q411" s="1" t="s">
        <v>20</v>
      </c>
    </row>
    <row r="412" spans="3:17" x14ac:dyDescent="0.25">
      <c r="C412" s="1" t="str">
        <f>_xlfn.CONCAT(tabE.Flux[[#This Row],[DATA]],"+",tabE.Flux[[#This Row],[MOTORISTA + MATRÍCULA A]])</f>
        <v>45902+MERVAL DE SOUSA - 2880</v>
      </c>
      <c r="D412" s="1" t="str">
        <f>_xlfn.CONCAT(tabE.Flux[[#This Row],[DATA]],"+",tabE.Flux[[#This Row],[MOTORISTA + MATRÍCULA B]])</f>
        <v>45902+JOSE ALVES DE FREITAS NETO - 5027</v>
      </c>
      <c r="E412" s="1" t="str">
        <f>_xlfn.CONCAT(tabE.Flux[[#This Row],[DATA]],"+",tabE.Flux[[#This Row],[MOTORISTA + MATRÍCULA A]],"+",tabE.Flux[[#This Row],[LINHA]])</f>
        <v>45902+MERVAL DE SOUSA - 2880+GOIANIA (GO) X BELEM (PA)</v>
      </c>
      <c r="F412" s="1" t="str">
        <f>_xlfn.CONCAT(tabE.Flux[[#This Row],[DATA]],"+",tabE.Flux[[#This Row],[MOTORISTA + MATRÍCULA B]],"+",tabE.Flux[[#This Row],[LINHA]])</f>
        <v>45902+JOSE ALVES DE FREITAS NETO - 5027+GOIANIA (GO) X BELEM (PA)</v>
      </c>
      <c r="G412" s="1" t="str">
        <f>_xlfn.CONCAT(tabE.Flux[[#This Row],[DATA]],"+",tabE.Flux[[#This Row],[LINHA]])</f>
        <v>45902+GOIANIA (GO) X BELEM (PA)</v>
      </c>
      <c r="H412" s="125">
        <v>45902</v>
      </c>
      <c r="I412" s="1" t="s">
        <v>15</v>
      </c>
      <c r="J412" s="1">
        <v>25010</v>
      </c>
      <c r="K412" s="126">
        <v>0.76041666666666663</v>
      </c>
      <c r="L412" s="126">
        <v>0.82777777777777772</v>
      </c>
      <c r="M412" s="1" t="s">
        <v>16</v>
      </c>
      <c r="N412" s="1" t="s">
        <v>33</v>
      </c>
      <c r="O412" s="1" t="s">
        <v>44</v>
      </c>
      <c r="P412" s="1" t="s">
        <v>90</v>
      </c>
      <c r="Q412" s="1" t="s">
        <v>20</v>
      </c>
    </row>
    <row r="413" spans="3:17" x14ac:dyDescent="0.25">
      <c r="C413" s="1" t="str">
        <f>_xlfn.CONCAT(tabE.Flux[[#This Row],[DATA]],"+",tabE.Flux[[#This Row],[MOTORISTA + MATRÍCULA A]])</f>
        <v>45902+CANCELADO</v>
      </c>
      <c r="D413" s="1" t="str">
        <f>_xlfn.CONCAT(tabE.Flux[[#This Row],[DATA]],"+",tabE.Flux[[#This Row],[MOTORISTA + MATRÍCULA B]])</f>
        <v>45902+CANCELADO</v>
      </c>
      <c r="E413" s="1" t="str">
        <f>_xlfn.CONCAT(tabE.Flux[[#This Row],[DATA]],"+",tabE.Flux[[#This Row],[MOTORISTA + MATRÍCULA A]],"+",tabE.Flux[[#This Row],[LINHA]])</f>
        <v>45902+CANCELADO+GOIANIA (GO) X SAO LUIS (MA)</v>
      </c>
      <c r="F413" s="1" t="str">
        <f>_xlfn.CONCAT(tabE.Flux[[#This Row],[DATA]],"+",tabE.Flux[[#This Row],[MOTORISTA + MATRÍCULA B]],"+",tabE.Flux[[#This Row],[LINHA]])</f>
        <v>45902+CANCELADO+GOIANIA (GO) X SAO LUIS (MA)</v>
      </c>
      <c r="G413" s="1" t="str">
        <f>_xlfn.CONCAT(tabE.Flux[[#This Row],[DATA]],"+",tabE.Flux[[#This Row],[LINHA]])</f>
        <v>45902+GOIANIA (GO) X SAO LUIS (MA)</v>
      </c>
      <c r="H413" s="125">
        <v>45902</v>
      </c>
      <c r="I413" s="1" t="s">
        <v>15</v>
      </c>
      <c r="J413" s="1" t="s">
        <v>27</v>
      </c>
      <c r="K413" s="126">
        <v>0.40763888888888888</v>
      </c>
      <c r="L413" s="126">
        <v>0.47013888888888888</v>
      </c>
      <c r="M413" s="1" t="s">
        <v>16</v>
      </c>
      <c r="N413" s="1" t="s">
        <v>42</v>
      </c>
      <c r="O413" s="1" t="s">
        <v>27</v>
      </c>
      <c r="P413" s="1" t="s">
        <v>27</v>
      </c>
      <c r="Q413" s="1" t="s">
        <v>23</v>
      </c>
    </row>
    <row r="414" spans="3:17" x14ac:dyDescent="0.25">
      <c r="C414" s="1" t="str">
        <f>_xlfn.CONCAT(tabE.Flux[[#This Row],[DATA]],"+",tabE.Flux[[#This Row],[MOTORISTA + MATRÍCULA A]])</f>
        <v>45902+CANCELADO</v>
      </c>
      <c r="D414" s="1" t="str">
        <f>_xlfn.CONCAT(tabE.Flux[[#This Row],[DATA]],"+",tabE.Flux[[#This Row],[MOTORISTA + MATRÍCULA B]])</f>
        <v>45902+CANCELADO</v>
      </c>
      <c r="E414" s="1" t="str">
        <f>_xlfn.CONCAT(tabE.Flux[[#This Row],[DATA]],"+",tabE.Flux[[#This Row],[MOTORISTA + MATRÍCULA A]],"+",tabE.Flux[[#This Row],[LINHA]])</f>
        <v>45902+CANCELADO+IMPERATRIZ (MA) X SÃO LUIS (MA)</v>
      </c>
      <c r="F414" s="1" t="str">
        <f>_xlfn.CONCAT(tabE.Flux[[#This Row],[DATA]],"+",tabE.Flux[[#This Row],[MOTORISTA + MATRÍCULA B]],"+",tabE.Flux[[#This Row],[LINHA]])</f>
        <v>45902+CANCELADO+IMPERATRIZ (MA) X SÃO LUIS (MA)</v>
      </c>
      <c r="G414" s="1" t="str">
        <f>_xlfn.CONCAT(tabE.Flux[[#This Row],[DATA]],"+",tabE.Flux[[#This Row],[LINHA]])</f>
        <v>45902+IMPERATRIZ (MA) X SÃO LUIS (MA)</v>
      </c>
      <c r="H414" s="125">
        <v>45902</v>
      </c>
      <c r="I414" s="1" t="s">
        <v>15</v>
      </c>
      <c r="J414" s="1" t="s">
        <v>27</v>
      </c>
      <c r="K414" s="126">
        <v>0.77083333333333337</v>
      </c>
      <c r="L414" s="126">
        <v>0.8125</v>
      </c>
      <c r="M414" s="1" t="s">
        <v>16</v>
      </c>
      <c r="N414" s="1" t="s">
        <v>42</v>
      </c>
      <c r="O414" s="1" t="s">
        <v>27</v>
      </c>
      <c r="P414" s="1" t="s">
        <v>27</v>
      </c>
      <c r="Q414" s="1" t="s">
        <v>47</v>
      </c>
    </row>
    <row r="415" spans="3:17" x14ac:dyDescent="0.25">
      <c r="C415" s="1" t="str">
        <f>_xlfn.CONCAT(tabE.Flux[[#This Row],[DATA]],"+",tabE.Flux[[#This Row],[MOTORISTA + MATRÍCULA A]])</f>
        <v>45902+KLEBSON ALVES FREIRES - 3060</v>
      </c>
      <c r="D415" s="1" t="str">
        <f>_xlfn.CONCAT(tabE.Flux[[#This Row],[DATA]],"+",tabE.Flux[[#This Row],[MOTORISTA + MATRÍCULA B]])</f>
        <v>45902+LAUCEANDO DA SILVA ROCHA - 6220</v>
      </c>
      <c r="E415" s="1" t="str">
        <f>_xlfn.CONCAT(tabE.Flux[[#This Row],[DATA]],"+",tabE.Flux[[#This Row],[MOTORISTA + MATRÍCULA A]],"+",tabE.Flux[[#This Row],[LINHA]])</f>
        <v>45902+KLEBSON ALVES FREIRES - 3060+GOIANIA (GO) X SAO LUIS (MA)</v>
      </c>
      <c r="F415" s="1" t="str">
        <f>_xlfn.CONCAT(tabE.Flux[[#This Row],[DATA]],"+",tabE.Flux[[#This Row],[MOTORISTA + MATRÍCULA B]],"+",tabE.Flux[[#This Row],[LINHA]])</f>
        <v>45902+LAUCEANDO DA SILVA ROCHA - 6220+GOIANIA (GO) X SAO LUIS (MA)</v>
      </c>
      <c r="G415" s="1" t="str">
        <f>_xlfn.CONCAT(tabE.Flux[[#This Row],[DATA]],"+",tabE.Flux[[#This Row],[LINHA]])</f>
        <v>45902+GOIANIA (GO) X SAO LUIS (MA)</v>
      </c>
      <c r="H415" s="125">
        <v>45902</v>
      </c>
      <c r="I415" s="1" t="s">
        <v>15</v>
      </c>
      <c r="J415" s="1">
        <v>24014</v>
      </c>
      <c r="K415" s="126">
        <v>0.8125</v>
      </c>
      <c r="L415" s="126">
        <v>0.84375</v>
      </c>
      <c r="M415" s="1" t="s">
        <v>16</v>
      </c>
      <c r="N415" s="1" t="s">
        <v>42</v>
      </c>
      <c r="O415" s="1" t="s">
        <v>161</v>
      </c>
      <c r="P415" s="1" t="s">
        <v>86</v>
      </c>
      <c r="Q415" s="1" t="s">
        <v>23</v>
      </c>
    </row>
    <row r="416" spans="3:17" x14ac:dyDescent="0.25">
      <c r="C416" s="1" t="str">
        <f>_xlfn.CONCAT(tabE.Flux[[#This Row],[DATA]],"+",tabE.Flux[[#This Row],[MOTORISTA + MATRÍCULA A]])</f>
        <v>45902+RICHARD SOUSA DA SILVA - 1271</v>
      </c>
      <c r="D416" s="1" t="str">
        <f>_xlfn.CONCAT(tabE.Flux[[#This Row],[DATA]],"+",tabE.Flux[[#This Row],[MOTORISTA + MATRÍCULA B]])</f>
        <v>45902+DAVID ALVES PEREIRA - 5300</v>
      </c>
      <c r="E416" s="1" t="str">
        <f>_xlfn.CONCAT(tabE.Flux[[#This Row],[DATA]],"+",tabE.Flux[[#This Row],[MOTORISTA + MATRÍCULA A]],"+",tabE.Flux[[#This Row],[LINHA]])</f>
        <v>45902+RICHARD SOUSA DA SILVA - 1271+GOIANIA (GO) X TERESINA (PI) VIA STI</v>
      </c>
      <c r="F416" s="1" t="str">
        <f>_xlfn.CONCAT(tabE.Flux[[#This Row],[DATA]],"+",tabE.Flux[[#This Row],[MOTORISTA + MATRÍCULA B]],"+",tabE.Flux[[#This Row],[LINHA]])</f>
        <v>45902+DAVID ALVES PEREIRA - 5300+GOIANIA (GO) X TERESINA (PI) VIA STI</v>
      </c>
      <c r="G416" s="1" t="str">
        <f>_xlfn.CONCAT(tabE.Flux[[#This Row],[DATA]],"+",tabE.Flux[[#This Row],[LINHA]])</f>
        <v>45902+GOIANIA (GO) X TERESINA (PI) VIA STI</v>
      </c>
      <c r="H416" s="125">
        <v>45902</v>
      </c>
      <c r="I416" s="1" t="s">
        <v>15</v>
      </c>
      <c r="J416" s="1">
        <v>20016</v>
      </c>
      <c r="K416" s="126">
        <v>0.77083333333333337</v>
      </c>
      <c r="L416" s="126">
        <v>0.79861111111111116</v>
      </c>
      <c r="M416" s="1" t="s">
        <v>16</v>
      </c>
      <c r="N416" s="1" t="s">
        <v>29</v>
      </c>
      <c r="O416" s="1" t="s">
        <v>56</v>
      </c>
      <c r="P416" s="1" t="s">
        <v>197</v>
      </c>
      <c r="Q416" s="1" t="s">
        <v>26</v>
      </c>
    </row>
    <row r="417" spans="3:17" x14ac:dyDescent="0.25">
      <c r="C417" s="1" t="str">
        <f>_xlfn.CONCAT(tabE.Flux[[#This Row],[DATA]],"+",tabE.Flux[[#This Row],[MOTORISTA + MATRÍCULA A]])</f>
        <v>45902+JARDEL DE SOUSA OLIVEIRA - 5992</v>
      </c>
      <c r="D417" s="1" t="str">
        <f>_xlfn.CONCAT(tabE.Flux[[#This Row],[DATA]],"+",tabE.Flux[[#This Row],[MOTORISTA + MATRÍCULA B]])</f>
        <v>45902+AELSON PEREIRA DO NASCIMENTO - 5682</v>
      </c>
      <c r="E417" s="1" t="str">
        <f>_xlfn.CONCAT(tabE.Flux[[#This Row],[DATA]],"+",tabE.Flux[[#This Row],[MOTORISTA + MATRÍCULA A]],"+",tabE.Flux[[#This Row],[LINHA]])</f>
        <v>45902+JARDEL DE SOUSA OLIVEIRA - 5992+GOIANIA (GO) X SAO LUIS (MA)</v>
      </c>
      <c r="F417" s="1" t="str">
        <f>_xlfn.CONCAT(tabE.Flux[[#This Row],[DATA]],"+",tabE.Flux[[#This Row],[MOTORISTA + MATRÍCULA B]],"+",tabE.Flux[[#This Row],[LINHA]])</f>
        <v>45902+AELSON PEREIRA DO NASCIMENTO - 5682+GOIANIA (GO) X SAO LUIS (MA)</v>
      </c>
      <c r="G417" s="1" t="str">
        <f>_xlfn.CONCAT(tabE.Flux[[#This Row],[DATA]],"+",tabE.Flux[[#This Row],[LINHA]])</f>
        <v>45902+GOIANIA (GO) X SAO LUIS (MA)</v>
      </c>
      <c r="H417" s="125">
        <v>45902</v>
      </c>
      <c r="I417" s="1" t="s">
        <v>15</v>
      </c>
      <c r="J417" s="1">
        <v>20013</v>
      </c>
      <c r="K417" s="126">
        <v>0.8125</v>
      </c>
      <c r="L417" s="126">
        <v>0.84166666666666667</v>
      </c>
      <c r="M417" s="1" t="s">
        <v>16</v>
      </c>
      <c r="N417" s="1" t="s">
        <v>17</v>
      </c>
      <c r="O417" s="1" t="s">
        <v>150</v>
      </c>
      <c r="P417" s="1" t="s">
        <v>88</v>
      </c>
      <c r="Q417" s="1" t="s">
        <v>23</v>
      </c>
    </row>
    <row r="418" spans="3:17" x14ac:dyDescent="0.25">
      <c r="C418" s="1" t="str">
        <f>_xlfn.CONCAT(tabE.Flux[[#This Row],[DATA]],"+",tabE.Flux[[#This Row],[MOTORISTA + MATRÍCULA A]])</f>
        <v>45902+JAME DOS SANTOS MOURA - 5332</v>
      </c>
      <c r="D418" s="1" t="str">
        <f>_xlfn.CONCAT(tabE.Flux[[#This Row],[DATA]],"+",tabE.Flux[[#This Row],[MOTORISTA + MATRÍCULA B]])</f>
        <v>45902+FELIPE MORAIS MELO - 3077</v>
      </c>
      <c r="E418" s="1" t="str">
        <f>_xlfn.CONCAT(tabE.Flux[[#This Row],[DATA]],"+",tabE.Flux[[#This Row],[MOTORISTA + MATRÍCULA A]],"+",tabE.Flux[[#This Row],[LINHA]])</f>
        <v>45902+JAME DOS SANTOS MOURA - 5332+FORTALEZA (CE) X SINOP (MT)</v>
      </c>
      <c r="F418" s="1" t="str">
        <f>_xlfn.CONCAT(tabE.Flux[[#This Row],[DATA]],"+",tabE.Flux[[#This Row],[MOTORISTA + MATRÍCULA B]],"+",tabE.Flux[[#This Row],[LINHA]])</f>
        <v>45902+FELIPE MORAIS MELO - 3077+FORTALEZA (CE) X SINOP (MT)</v>
      </c>
      <c r="G418" s="1" t="str">
        <f>_xlfn.CONCAT(tabE.Flux[[#This Row],[DATA]],"+",tabE.Flux[[#This Row],[LINHA]])</f>
        <v>45902+FORTALEZA (CE) X SINOP (MT)</v>
      </c>
      <c r="H418" s="125">
        <v>45902</v>
      </c>
      <c r="I418" s="1" t="s">
        <v>15</v>
      </c>
      <c r="J418" s="1">
        <v>20018</v>
      </c>
      <c r="K418" s="126">
        <v>0.8125</v>
      </c>
      <c r="L418" s="126">
        <v>0.85416666666666663</v>
      </c>
      <c r="M418" s="1" t="s">
        <v>16</v>
      </c>
      <c r="N418" s="1" t="s">
        <v>17</v>
      </c>
      <c r="O418" s="1" t="s">
        <v>103</v>
      </c>
      <c r="P418" s="1" t="s">
        <v>78</v>
      </c>
      <c r="Q418" s="1" t="s">
        <v>32</v>
      </c>
    </row>
    <row r="419" spans="3:17" x14ac:dyDescent="0.25">
      <c r="C419" s="1" t="str">
        <f>_xlfn.CONCAT(tabE.Flux[[#This Row],[DATA]],"+",tabE.Flux[[#This Row],[MOTORISTA + MATRÍCULA A]])</f>
        <v>45902+JOSE CARLOS DA SILVA - 979</v>
      </c>
      <c r="D419" s="1" t="str">
        <f>_xlfn.CONCAT(tabE.Flux[[#This Row],[DATA]],"+",tabE.Flux[[#This Row],[MOTORISTA + MATRÍCULA B]])</f>
        <v>45902+VALDIR ALVES MIRANDA - 1364</v>
      </c>
      <c r="E419" s="1" t="str">
        <f>_xlfn.CONCAT(tabE.Flux[[#This Row],[DATA]],"+",tabE.Flux[[#This Row],[MOTORISTA + MATRÍCULA A]],"+",tabE.Flux[[#This Row],[LINHA]])</f>
        <v>45902+JOSE CARLOS DA SILVA - 979+GOIANIA (GO) X BELEM (PA)</v>
      </c>
      <c r="F419" s="1" t="str">
        <f>_xlfn.CONCAT(tabE.Flux[[#This Row],[DATA]],"+",tabE.Flux[[#This Row],[MOTORISTA + MATRÍCULA B]],"+",tabE.Flux[[#This Row],[LINHA]])</f>
        <v>45902+VALDIR ALVES MIRANDA - 1364+GOIANIA (GO) X BELEM (PA)</v>
      </c>
      <c r="G419" s="1" t="str">
        <f>_xlfn.CONCAT(tabE.Flux[[#This Row],[DATA]],"+",tabE.Flux[[#This Row],[LINHA]])</f>
        <v>45902+GOIANIA (GO) X BELEM (PA)</v>
      </c>
      <c r="H419" s="125">
        <v>45902</v>
      </c>
      <c r="I419" s="1" t="s">
        <v>15</v>
      </c>
      <c r="J419" s="1">
        <v>19018</v>
      </c>
      <c r="K419" s="126">
        <v>0.84722222222222221</v>
      </c>
      <c r="L419" s="126">
        <v>0.87847222222222221</v>
      </c>
      <c r="M419" s="1" t="s">
        <v>16</v>
      </c>
      <c r="N419" s="1" t="s">
        <v>17</v>
      </c>
      <c r="O419" s="1" t="s">
        <v>228</v>
      </c>
      <c r="P419" s="1" t="s">
        <v>118</v>
      </c>
      <c r="Q419" s="1" t="s">
        <v>20</v>
      </c>
    </row>
    <row r="420" spans="3:17" x14ac:dyDescent="0.25">
      <c r="C420" s="1" t="str">
        <f>_xlfn.CONCAT(tabE.Flux[[#This Row],[DATA]],"+",tabE.Flux[[#This Row],[MOTORISTA + MATRÍCULA A]])</f>
        <v>+</v>
      </c>
      <c r="D420" s="1" t="str">
        <f>_xlfn.CONCAT(tabE.Flux[[#This Row],[DATA]],"+",tabE.Flux[[#This Row],[MOTORISTA + MATRÍCULA B]])</f>
        <v>+</v>
      </c>
      <c r="E420" s="1" t="str">
        <f>_xlfn.CONCAT(tabE.Flux[[#This Row],[DATA]],"+",tabE.Flux[[#This Row],[MOTORISTA + MATRÍCULA A]],"+",tabE.Flux[[#This Row],[LINHA]])</f>
        <v>++</v>
      </c>
      <c r="F420" s="1" t="str">
        <f>_xlfn.CONCAT(tabE.Flux[[#This Row],[DATA]],"+",tabE.Flux[[#This Row],[MOTORISTA + MATRÍCULA B]],"+",tabE.Flux[[#This Row],[LINHA]])</f>
        <v>++</v>
      </c>
      <c r="G420" s="1" t="str">
        <f>_xlfn.CONCAT(tabE.Flux[[#This Row],[DATA]],"+",tabE.Flux[[#This Row],[LINHA]])</f>
        <v>+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3:17" x14ac:dyDescent="0.25">
      <c r="C421" s="1" t="str">
        <f>_xlfn.CONCAT(tabE.Flux[[#This Row],[DATA]],"+",tabE.Flux[[#This Row],[MOTORISTA + MATRÍCULA A]])</f>
        <v>45903+EDILTON MONTEIRO GUNDIM - 6023</v>
      </c>
      <c r="D421" s="1" t="str">
        <f>_xlfn.CONCAT(tabE.Flux[[#This Row],[DATA]],"+",tabE.Flux[[#This Row],[MOTORISTA + MATRÍCULA B]])</f>
        <v>45903+WOLNEY EDUARDO DE OLIVEIRA - 5607</v>
      </c>
      <c r="E421" s="1" t="str">
        <f>_xlfn.CONCAT(tabE.Flux[[#This Row],[DATA]],"+",tabE.Flux[[#This Row],[MOTORISTA + MATRÍCULA A]],"+",tabE.Flux[[#This Row],[LINHA]])</f>
        <v>45903+EDILTON MONTEIRO GUNDIM - 6023+GOIANIA (GO) X BELEM (PA)</v>
      </c>
      <c r="F421" s="1" t="str">
        <f>_xlfn.CONCAT(tabE.Flux[[#This Row],[DATA]],"+",tabE.Flux[[#This Row],[MOTORISTA + MATRÍCULA B]],"+",tabE.Flux[[#This Row],[LINHA]])</f>
        <v>45903+WOLNEY EDUARDO DE OLIVEIRA - 5607+GOIANIA (GO) X BELEM (PA)</v>
      </c>
      <c r="G421" s="1" t="str">
        <f>_xlfn.CONCAT(tabE.Flux[[#This Row],[DATA]],"+",tabE.Flux[[#This Row],[LINHA]])</f>
        <v>45903+GOIANIA (GO) X BELEM (PA)</v>
      </c>
      <c r="H421" s="125">
        <v>45903</v>
      </c>
      <c r="I421" s="1" t="s">
        <v>15</v>
      </c>
      <c r="J421" s="1">
        <v>24009</v>
      </c>
      <c r="K421" s="126">
        <v>0.25486111111111109</v>
      </c>
      <c r="L421" s="126">
        <v>0.3</v>
      </c>
      <c r="M421" s="1" t="s">
        <v>16</v>
      </c>
      <c r="N421" s="1" t="s">
        <v>17</v>
      </c>
      <c r="O421" s="1" t="s">
        <v>199</v>
      </c>
      <c r="P421" s="1" t="s">
        <v>200</v>
      </c>
      <c r="Q421" s="1" t="s">
        <v>20</v>
      </c>
    </row>
    <row r="422" spans="3:17" x14ac:dyDescent="0.25">
      <c r="C422" s="1" t="str">
        <f>_xlfn.CONCAT(tabE.Flux[[#This Row],[DATA]],"+",tabE.Flux[[#This Row],[MOTORISTA + MATRÍCULA A]])</f>
        <v>45903+LUIZMAR FERREIRA - 6011</v>
      </c>
      <c r="D422" s="1" t="str">
        <f>_xlfn.CONCAT(tabE.Flux[[#This Row],[DATA]],"+",tabE.Flux[[#This Row],[MOTORISTA + MATRÍCULA B]])</f>
        <v>45903+WENDER PEDRO DA SILVA - 1596</v>
      </c>
      <c r="E422" s="1" t="str">
        <f>_xlfn.CONCAT(tabE.Flux[[#This Row],[DATA]],"+",tabE.Flux[[#This Row],[MOTORISTA + MATRÍCULA A]],"+",tabE.Flux[[#This Row],[LINHA]])</f>
        <v>45903+LUIZMAR FERREIRA - 6011+GOIANIA (GO) X SAO LUIS (MA)</v>
      </c>
      <c r="F422" s="1" t="str">
        <f>_xlfn.CONCAT(tabE.Flux[[#This Row],[DATA]],"+",tabE.Flux[[#This Row],[MOTORISTA + MATRÍCULA B]],"+",tabE.Flux[[#This Row],[LINHA]])</f>
        <v>45903+WENDER PEDRO DA SILVA - 1596+GOIANIA (GO) X SAO LUIS (MA)</v>
      </c>
      <c r="G422" s="1" t="str">
        <f>_xlfn.CONCAT(tabE.Flux[[#This Row],[DATA]],"+",tabE.Flux[[#This Row],[LINHA]])</f>
        <v>45903+GOIANIA (GO) X SAO LUIS (MA)</v>
      </c>
      <c r="H422" s="125">
        <v>45903</v>
      </c>
      <c r="I422" s="1" t="s">
        <v>15</v>
      </c>
      <c r="J422" s="1">
        <v>24005</v>
      </c>
      <c r="K422" s="126">
        <v>0.32291666666666669</v>
      </c>
      <c r="L422" s="126">
        <v>0.33333333333333331</v>
      </c>
      <c r="M422" s="1" t="s">
        <v>16</v>
      </c>
      <c r="N422" s="1" t="s">
        <v>17</v>
      </c>
      <c r="O422" s="1" t="s">
        <v>229</v>
      </c>
      <c r="P422" s="1" t="s">
        <v>207</v>
      </c>
      <c r="Q422" s="1" t="s">
        <v>23</v>
      </c>
    </row>
    <row r="423" spans="3:17" x14ac:dyDescent="0.25">
      <c r="C423" s="1" t="str">
        <f>_xlfn.CONCAT(tabE.Flux[[#This Row],[DATA]],"+",tabE.Flux[[#This Row],[MOTORISTA + MATRÍCULA A]])</f>
        <v>45903+LEON RODRIGUES LOPES - 5533</v>
      </c>
      <c r="D423" s="1" t="str">
        <f>_xlfn.CONCAT(tabE.Flux[[#This Row],[DATA]],"+",tabE.Flux[[#This Row],[MOTORISTA + MATRÍCULA B]])</f>
        <v>45903+ISMAEL ANTERO FARIAS - 6230</v>
      </c>
      <c r="E423" s="1" t="str">
        <f>_xlfn.CONCAT(tabE.Flux[[#This Row],[DATA]],"+",tabE.Flux[[#This Row],[MOTORISTA + MATRÍCULA A]],"+",tabE.Flux[[#This Row],[LINHA]])</f>
        <v>45903+LEON RODRIGUES LOPES - 5533+GOIANIA (GO) X TERESINA (PI) VIA STI</v>
      </c>
      <c r="F423" s="1" t="str">
        <f>_xlfn.CONCAT(tabE.Flux[[#This Row],[DATA]],"+",tabE.Flux[[#This Row],[MOTORISTA + MATRÍCULA B]],"+",tabE.Flux[[#This Row],[LINHA]])</f>
        <v>45903+ISMAEL ANTERO FARIAS - 6230+GOIANIA (GO) X TERESINA (PI) VIA STI</v>
      </c>
      <c r="G423" s="1" t="str">
        <f>_xlfn.CONCAT(tabE.Flux[[#This Row],[DATA]],"+",tabE.Flux[[#This Row],[LINHA]])</f>
        <v>45903+GOIANIA (GO) X TERESINA (PI) VIA STI</v>
      </c>
      <c r="H423" s="125">
        <v>45903</v>
      </c>
      <c r="I423" s="1" t="s">
        <v>15</v>
      </c>
      <c r="J423" s="1">
        <v>19008</v>
      </c>
      <c r="K423" s="126">
        <v>0.3888888888888889</v>
      </c>
      <c r="L423" s="126">
        <v>0.39583333333333331</v>
      </c>
      <c r="M423" s="1" t="s">
        <v>16</v>
      </c>
      <c r="N423" s="1" t="s">
        <v>17</v>
      </c>
      <c r="O423" s="1" t="s">
        <v>204</v>
      </c>
      <c r="P423" s="1" t="s">
        <v>205</v>
      </c>
      <c r="Q423" s="1" t="s">
        <v>26</v>
      </c>
    </row>
    <row r="424" spans="3:17" x14ac:dyDescent="0.25">
      <c r="C424" s="1" t="str">
        <f>_xlfn.CONCAT(tabE.Flux[[#This Row],[DATA]],"+",tabE.Flux[[#This Row],[MOTORISTA + MATRÍCULA A]])</f>
        <v>45903+CANCELADO</v>
      </c>
      <c r="D424" s="1" t="str">
        <f>_xlfn.CONCAT(tabE.Flux[[#This Row],[DATA]],"+",tabE.Flux[[#This Row],[MOTORISTA + MATRÍCULA B]])</f>
        <v>45903+CANCELADO</v>
      </c>
      <c r="E424" s="1" t="str">
        <f>_xlfn.CONCAT(tabE.Flux[[#This Row],[DATA]],"+",tabE.Flux[[#This Row],[MOTORISTA + MATRÍCULA A]],"+",tabE.Flux[[#This Row],[LINHA]])</f>
        <v>45903+CANCELADO+</v>
      </c>
      <c r="F424" s="1" t="str">
        <f>_xlfn.CONCAT(tabE.Flux[[#This Row],[DATA]],"+",tabE.Flux[[#This Row],[MOTORISTA + MATRÍCULA B]],"+",tabE.Flux[[#This Row],[LINHA]])</f>
        <v>45903+CANCELADO+</v>
      </c>
      <c r="G424" s="1" t="str">
        <f>_xlfn.CONCAT(tabE.Flux[[#This Row],[DATA]],"+",tabE.Flux[[#This Row],[LINHA]])</f>
        <v>45903+</v>
      </c>
      <c r="H424" s="125">
        <v>45903</v>
      </c>
      <c r="I424" s="1" t="s">
        <v>15</v>
      </c>
      <c r="J424" s="1" t="s">
        <v>27</v>
      </c>
      <c r="K424" s="126">
        <v>0.375</v>
      </c>
      <c r="L424" s="126">
        <v>0.41666666666666669</v>
      </c>
      <c r="M424" s="1" t="s">
        <v>16</v>
      </c>
      <c r="N424" s="1" t="s">
        <v>28</v>
      </c>
      <c r="O424" s="1" t="s">
        <v>27</v>
      </c>
      <c r="P424" s="1" t="s">
        <v>27</v>
      </c>
      <c r="Q424" s="1"/>
    </row>
    <row r="425" spans="3:17" x14ac:dyDescent="0.25">
      <c r="C425" s="1" t="str">
        <f>_xlfn.CONCAT(tabE.Flux[[#This Row],[DATA]],"+",tabE.Flux[[#This Row],[MOTORISTA + MATRÍCULA A]])</f>
        <v>45903+WESLEY SILVA PAIVA - 5638</v>
      </c>
      <c r="D425" s="1" t="str">
        <f>_xlfn.CONCAT(tabE.Flux[[#This Row],[DATA]],"+",tabE.Flux[[#This Row],[MOTORISTA + MATRÍCULA B]])</f>
        <v>45903+WASHINGTON ALVES BRITO - 1553</v>
      </c>
      <c r="E425" s="1" t="str">
        <f>_xlfn.CONCAT(tabE.Flux[[#This Row],[DATA]],"+",tabE.Flux[[#This Row],[MOTORISTA + MATRÍCULA A]],"+",tabE.Flux[[#This Row],[LINHA]])</f>
        <v>45903+WESLEY SILVA PAIVA - 5638+FORTALEZA (CE) X SINOP (MT)</v>
      </c>
      <c r="F425" s="1" t="str">
        <f>_xlfn.CONCAT(tabE.Flux[[#This Row],[DATA]],"+",tabE.Flux[[#This Row],[MOTORISTA + MATRÍCULA B]],"+",tabE.Flux[[#This Row],[LINHA]])</f>
        <v>45903+WASHINGTON ALVES BRITO - 1553+FORTALEZA (CE) X SINOP (MT)</v>
      </c>
      <c r="G425" s="1" t="str">
        <f>_xlfn.CONCAT(tabE.Flux[[#This Row],[DATA]],"+",tabE.Flux[[#This Row],[LINHA]])</f>
        <v>45903+FORTALEZA (CE) X SINOP (MT)</v>
      </c>
      <c r="H425" s="125">
        <v>45903</v>
      </c>
      <c r="I425" s="1" t="s">
        <v>15</v>
      </c>
      <c r="J425" s="1">
        <v>19020</v>
      </c>
      <c r="K425" s="126">
        <v>0.3888888888888889</v>
      </c>
      <c r="L425" s="126">
        <v>0.37708333333333333</v>
      </c>
      <c r="M425" s="1" t="s">
        <v>16</v>
      </c>
      <c r="N425" s="1" t="s">
        <v>29</v>
      </c>
      <c r="O425" s="1" t="s">
        <v>112</v>
      </c>
      <c r="P425" s="1" t="s">
        <v>201</v>
      </c>
      <c r="Q425" s="1" t="s">
        <v>32</v>
      </c>
    </row>
    <row r="426" spans="3:17" x14ac:dyDescent="0.25">
      <c r="C426" s="1" t="str">
        <f>_xlfn.CONCAT(tabE.Flux[[#This Row],[DATA]],"+",tabE.Flux[[#This Row],[MOTORISTA + MATRÍCULA A]])</f>
        <v>45903+JOAO FERREIRA COSTA - 5545</v>
      </c>
      <c r="D426" s="1" t="str">
        <f>_xlfn.CONCAT(tabE.Flux[[#This Row],[DATA]],"+",tabE.Flux[[#This Row],[MOTORISTA + MATRÍCULA B]])</f>
        <v>45903+LUIZ CARLOS MARIANO SIQUEIRA - 5634</v>
      </c>
      <c r="E426" s="1" t="str">
        <f>_xlfn.CONCAT(tabE.Flux[[#This Row],[DATA]],"+",tabE.Flux[[#This Row],[MOTORISTA + MATRÍCULA A]],"+",tabE.Flux[[#This Row],[LINHA]])</f>
        <v>45903+JOAO FERREIRA COSTA - 5545+GOIANIA (GO) X BELEM (PA)</v>
      </c>
      <c r="F426" s="1" t="str">
        <f>_xlfn.CONCAT(tabE.Flux[[#This Row],[DATA]],"+",tabE.Flux[[#This Row],[MOTORISTA + MATRÍCULA B]],"+",tabE.Flux[[#This Row],[LINHA]])</f>
        <v>45903+LUIZ CARLOS MARIANO SIQUEIRA - 5634+GOIANIA (GO) X BELEM (PA)</v>
      </c>
      <c r="G426" s="1" t="str">
        <f>_xlfn.CONCAT(tabE.Flux[[#This Row],[DATA]],"+",tabE.Flux[[#This Row],[LINHA]])</f>
        <v>45903+GOIANIA (GO) X BELEM (PA)</v>
      </c>
      <c r="H426" s="125">
        <v>45903</v>
      </c>
      <c r="I426" s="1" t="s">
        <v>15</v>
      </c>
      <c r="J426" s="1">
        <v>19005</v>
      </c>
      <c r="K426" s="126">
        <v>0.38958333333333334</v>
      </c>
      <c r="L426" s="126">
        <v>0.38541666666666669</v>
      </c>
      <c r="M426" s="1" t="s">
        <v>16</v>
      </c>
      <c r="N426" s="1" t="s">
        <v>33</v>
      </c>
      <c r="O426" s="1" t="s">
        <v>61</v>
      </c>
      <c r="P426" s="1" t="s">
        <v>51</v>
      </c>
      <c r="Q426" s="1" t="s">
        <v>20</v>
      </c>
    </row>
    <row r="427" spans="3:17" x14ac:dyDescent="0.25">
      <c r="C427" s="1" t="str">
        <f>_xlfn.CONCAT(tabE.Flux[[#This Row],[DATA]],"+",tabE.Flux[[#This Row],[MOTORISTA + MATRÍCULA A]])</f>
        <v>45903+LUIS ANTONIO FARIAS RIBEIRO - 2789</v>
      </c>
      <c r="D427" s="1" t="str">
        <f>_xlfn.CONCAT(tabE.Flux[[#This Row],[DATA]],"+",tabE.Flux[[#This Row],[MOTORISTA + MATRÍCULA B]])</f>
        <v>45903+0</v>
      </c>
      <c r="E427" s="1" t="str">
        <f>_xlfn.CONCAT(tabE.Flux[[#This Row],[DATA]],"+",tabE.Flux[[#This Row],[MOTORISTA + MATRÍCULA A]],"+",tabE.Flux[[#This Row],[LINHA]])</f>
        <v>45903+LUIS ANTONIO FARIAS RIBEIRO - 2789+GOIANIA (GO) X TERESINA (PI) VIA BC</v>
      </c>
      <c r="F427" s="1" t="str">
        <f>_xlfn.CONCAT(tabE.Flux[[#This Row],[DATA]],"+",tabE.Flux[[#This Row],[MOTORISTA + MATRÍCULA B]],"+",tabE.Flux[[#This Row],[LINHA]])</f>
        <v>45903+0+GOIANIA (GO) X TERESINA (PI) VIA BC</v>
      </c>
      <c r="G427" s="1" t="str">
        <f>_xlfn.CONCAT(tabE.Flux[[#This Row],[DATA]],"+",tabE.Flux[[#This Row],[LINHA]])</f>
        <v>45903+GOIANIA (GO) X TERESINA (PI) VIA BC</v>
      </c>
      <c r="H427" s="125">
        <v>45903</v>
      </c>
      <c r="I427" s="1" t="s">
        <v>15</v>
      </c>
      <c r="J427" s="1">
        <v>24015</v>
      </c>
      <c r="K427" s="126">
        <v>0.375</v>
      </c>
      <c r="L427" s="126">
        <v>0.39930555555555558</v>
      </c>
      <c r="M427" s="1" t="s">
        <v>36</v>
      </c>
      <c r="N427" s="1" t="s">
        <v>29</v>
      </c>
      <c r="O427" s="1" t="s">
        <v>124</v>
      </c>
      <c r="P427" s="1">
        <v>0</v>
      </c>
      <c r="Q427" s="1" t="s">
        <v>39</v>
      </c>
    </row>
    <row r="428" spans="3:17" x14ac:dyDescent="0.25">
      <c r="C428" s="1" t="str">
        <f>_xlfn.CONCAT(tabE.Flux[[#This Row],[DATA]],"+",tabE.Flux[[#This Row],[MOTORISTA + MATRÍCULA A]])</f>
        <v>45903+RAIMUNDO FERNANDES RIBEIRO - 907</v>
      </c>
      <c r="D428" s="1" t="str">
        <f>_xlfn.CONCAT(tabE.Flux[[#This Row],[DATA]],"+",tabE.Flux[[#This Row],[MOTORISTA + MATRÍCULA B]])</f>
        <v>45903+MANOEL MESSIAS SILVA DOS SANTOS - 1833</v>
      </c>
      <c r="E428" s="1" t="str">
        <f>_xlfn.CONCAT(tabE.Flux[[#This Row],[DATA]],"+",tabE.Flux[[#This Row],[MOTORISTA + MATRÍCULA A]],"+",tabE.Flux[[#This Row],[LINHA]])</f>
        <v>45903+RAIMUNDO FERNANDES RIBEIRO - 907+GOIANIA (GO) X BELEM (PA)</v>
      </c>
      <c r="F428" s="1" t="str">
        <f>_xlfn.CONCAT(tabE.Flux[[#This Row],[DATA]],"+",tabE.Flux[[#This Row],[MOTORISTA + MATRÍCULA B]],"+",tabE.Flux[[#This Row],[LINHA]])</f>
        <v>45903+MANOEL MESSIAS SILVA DOS SANTOS - 1833+GOIANIA (GO) X BELEM (PA)</v>
      </c>
      <c r="G428" s="1" t="str">
        <f>_xlfn.CONCAT(tabE.Flux[[#This Row],[DATA]],"+",tabE.Flux[[#This Row],[LINHA]])</f>
        <v>45903+GOIANIA (GO) X BELEM (PA)</v>
      </c>
      <c r="H428" s="125">
        <v>45903</v>
      </c>
      <c r="I428" s="1" t="s">
        <v>15</v>
      </c>
      <c r="J428" s="1">
        <v>19016</v>
      </c>
      <c r="K428" s="126">
        <v>0.375</v>
      </c>
      <c r="L428" s="126">
        <v>0.41666666666666669</v>
      </c>
      <c r="M428" s="1" t="s">
        <v>33</v>
      </c>
      <c r="N428" s="1" t="s">
        <v>16</v>
      </c>
      <c r="O428" s="1" t="s">
        <v>143</v>
      </c>
      <c r="P428" s="1" t="s">
        <v>173</v>
      </c>
      <c r="Q428" s="1" t="s">
        <v>20</v>
      </c>
    </row>
    <row r="429" spans="3:17" x14ac:dyDescent="0.25">
      <c r="C429" s="1" t="str">
        <f>_xlfn.CONCAT(tabE.Flux[[#This Row],[DATA]],"+",tabE.Flux[[#This Row],[MOTORISTA + MATRÍCULA A]])</f>
        <v>45903+CARLOS ADRIANO DE SOUZA DO NASCIMENTO - 6222</v>
      </c>
      <c r="D429" s="1" t="str">
        <f>_xlfn.CONCAT(tabE.Flux[[#This Row],[DATA]],"+",tabE.Flux[[#This Row],[MOTORISTA + MATRÍCULA B]])</f>
        <v>45903+ANTONIO JOSE PEREIRA SOARES - 1774</v>
      </c>
      <c r="E429" s="1" t="str">
        <f>_xlfn.CONCAT(tabE.Flux[[#This Row],[DATA]],"+",tabE.Flux[[#This Row],[MOTORISTA + MATRÍCULA A]],"+",tabE.Flux[[#This Row],[LINHA]])</f>
        <v>45903+CARLOS ADRIANO DE SOUZA DO NASCIMENTO - 6222+GOIANIA (GO) X SAO LUIS (MA)</v>
      </c>
      <c r="F429" s="1" t="str">
        <f>_xlfn.CONCAT(tabE.Flux[[#This Row],[DATA]],"+",tabE.Flux[[#This Row],[MOTORISTA + MATRÍCULA B]],"+",tabE.Flux[[#This Row],[LINHA]])</f>
        <v>45903+ANTONIO JOSE PEREIRA SOARES - 1774+GOIANIA (GO) X SAO LUIS (MA)</v>
      </c>
      <c r="G429" s="1" t="str">
        <f>_xlfn.CONCAT(tabE.Flux[[#This Row],[DATA]],"+",tabE.Flux[[#This Row],[LINHA]])</f>
        <v>45903+GOIANIA (GO) X SAO LUIS (MA)</v>
      </c>
      <c r="H429" s="125">
        <v>45903</v>
      </c>
      <c r="I429" s="1" t="s">
        <v>15</v>
      </c>
      <c r="J429" s="1">
        <v>19007</v>
      </c>
      <c r="K429" s="126">
        <v>0.25</v>
      </c>
      <c r="L429" s="126">
        <v>0.29166666666666669</v>
      </c>
      <c r="M429" s="1" t="s">
        <v>42</v>
      </c>
      <c r="N429" s="1" t="s">
        <v>16</v>
      </c>
      <c r="O429" s="1" t="s">
        <v>110</v>
      </c>
      <c r="P429" s="1" t="s">
        <v>52</v>
      </c>
      <c r="Q429" s="1" t="s">
        <v>23</v>
      </c>
    </row>
    <row r="430" spans="3:17" x14ac:dyDescent="0.25">
      <c r="C430" s="1" t="str">
        <f>_xlfn.CONCAT(tabE.Flux[[#This Row],[DATA]],"+",tabE.Flux[[#This Row],[MOTORISTA + MATRÍCULA A]])</f>
        <v>45903+RAIMUNDO COSTA SILVA - 6226</v>
      </c>
      <c r="D430" s="1" t="str">
        <f>_xlfn.CONCAT(tabE.Flux[[#This Row],[DATA]],"+",tabE.Flux[[#This Row],[MOTORISTA + MATRÍCULA B]])</f>
        <v>45903+KLEBSON ALVES FREIRES - 3060</v>
      </c>
      <c r="E430" s="1" t="str">
        <f>_xlfn.CONCAT(tabE.Flux[[#This Row],[DATA]],"+",tabE.Flux[[#This Row],[MOTORISTA + MATRÍCULA A]],"+",tabE.Flux[[#This Row],[LINHA]])</f>
        <v>45903+RAIMUNDO COSTA SILVA - 6226+GOIANIA (GO) X SAO LUIS (MA)</v>
      </c>
      <c r="F430" s="1" t="str">
        <f>_xlfn.CONCAT(tabE.Flux[[#This Row],[DATA]],"+",tabE.Flux[[#This Row],[MOTORISTA + MATRÍCULA B]],"+",tabE.Flux[[#This Row],[LINHA]])</f>
        <v>45903+KLEBSON ALVES FREIRES - 3060+GOIANIA (GO) X SAO LUIS (MA)</v>
      </c>
      <c r="G430" s="1" t="str">
        <f>_xlfn.CONCAT(tabE.Flux[[#This Row],[DATA]],"+",tabE.Flux[[#This Row],[LINHA]])</f>
        <v>45903+GOIANIA (GO) X SAO LUIS (MA)</v>
      </c>
      <c r="H430" s="125">
        <v>45903</v>
      </c>
      <c r="I430" s="1" t="s">
        <v>15</v>
      </c>
      <c r="J430" s="1">
        <v>24014</v>
      </c>
      <c r="K430" s="126">
        <v>0.75</v>
      </c>
      <c r="L430" s="126">
        <v>0.79166666666666663</v>
      </c>
      <c r="M430" s="1" t="s">
        <v>42</v>
      </c>
      <c r="N430" s="1" t="s">
        <v>16</v>
      </c>
      <c r="O430" s="1" t="s">
        <v>45</v>
      </c>
      <c r="P430" s="1" t="s">
        <v>161</v>
      </c>
      <c r="Q430" s="1" t="s">
        <v>23</v>
      </c>
    </row>
    <row r="431" spans="3:17" x14ac:dyDescent="0.25">
      <c r="C431" s="1" t="str">
        <f>_xlfn.CONCAT(tabE.Flux[[#This Row],[DATA]],"+",tabE.Flux[[#This Row],[MOTORISTA + MATRÍCULA A]])</f>
        <v>45903+CANCELADO</v>
      </c>
      <c r="D431" s="1" t="str">
        <f>_xlfn.CONCAT(tabE.Flux[[#This Row],[DATA]],"+",tabE.Flux[[#This Row],[MOTORISTA + MATRÍCULA B]])</f>
        <v>45903+CANCELADO</v>
      </c>
      <c r="E431" s="1" t="str">
        <f>_xlfn.CONCAT(tabE.Flux[[#This Row],[DATA]],"+",tabE.Flux[[#This Row],[MOTORISTA + MATRÍCULA A]],"+",tabE.Flux[[#This Row],[LINHA]])</f>
        <v>45903+CANCELADO+IMPERATRIZ (MA) X SÃO LUIS (MA)</v>
      </c>
      <c r="F431" s="1" t="str">
        <f>_xlfn.CONCAT(tabE.Flux[[#This Row],[DATA]],"+",tabE.Flux[[#This Row],[MOTORISTA + MATRÍCULA B]],"+",tabE.Flux[[#This Row],[LINHA]])</f>
        <v>45903+CANCELADO+IMPERATRIZ (MA) X SÃO LUIS (MA)</v>
      </c>
      <c r="G431" s="1" t="str">
        <f>_xlfn.CONCAT(tabE.Flux[[#This Row],[DATA]],"+",tabE.Flux[[#This Row],[LINHA]])</f>
        <v>45903+IMPERATRIZ (MA) X SÃO LUIS (MA)</v>
      </c>
      <c r="H431" s="125">
        <v>45903</v>
      </c>
      <c r="I431" s="1" t="s">
        <v>15</v>
      </c>
      <c r="J431" s="1" t="s">
        <v>27</v>
      </c>
      <c r="K431" s="126">
        <v>0.77083333333333337</v>
      </c>
      <c r="L431" s="126">
        <v>0.79513888888888884</v>
      </c>
      <c r="M431" s="1" t="s">
        <v>42</v>
      </c>
      <c r="N431" s="1" t="s">
        <v>16</v>
      </c>
      <c r="O431" s="1" t="s">
        <v>27</v>
      </c>
      <c r="P431" s="1" t="s">
        <v>27</v>
      </c>
      <c r="Q431" s="1" t="s">
        <v>47</v>
      </c>
    </row>
    <row r="432" spans="3:17" x14ac:dyDescent="0.25">
      <c r="C432" s="1" t="str">
        <f>_xlfn.CONCAT(tabE.Flux[[#This Row],[DATA]],"+",tabE.Flux[[#This Row],[MOTORISTA + MATRÍCULA A]])</f>
        <v>45903+ALCENILDE BARBOSA ARAUJO - 1745</v>
      </c>
      <c r="D432" s="1" t="str">
        <f>_xlfn.CONCAT(tabE.Flux[[#This Row],[DATA]],"+",tabE.Flux[[#This Row],[MOTORISTA + MATRÍCULA B]])</f>
        <v>45903+LUSIMAR SOARES ROCHA - 5987</v>
      </c>
      <c r="E432" s="1" t="str">
        <f>_xlfn.CONCAT(tabE.Flux[[#This Row],[DATA]],"+",tabE.Flux[[#This Row],[MOTORISTA + MATRÍCULA A]],"+",tabE.Flux[[#This Row],[LINHA]])</f>
        <v>45903+ALCENILDE BARBOSA ARAUJO - 1745+GOIANIA (GO) X TERESINA (PI) VIA BC</v>
      </c>
      <c r="F432" s="1" t="str">
        <f>_xlfn.CONCAT(tabE.Flux[[#This Row],[DATA]],"+",tabE.Flux[[#This Row],[MOTORISTA + MATRÍCULA B]],"+",tabE.Flux[[#This Row],[LINHA]])</f>
        <v>45903+LUSIMAR SOARES ROCHA - 5987+GOIANIA (GO) X TERESINA (PI) VIA BC</v>
      </c>
      <c r="G432" s="1" t="str">
        <f>_xlfn.CONCAT(tabE.Flux[[#This Row],[DATA]],"+",tabE.Flux[[#This Row],[LINHA]])</f>
        <v>45903+GOIANIA (GO) X TERESINA (PI) VIA BC</v>
      </c>
      <c r="H432" s="125">
        <v>45903</v>
      </c>
      <c r="I432" s="1" t="s">
        <v>15</v>
      </c>
      <c r="J432" s="1">
        <v>25005</v>
      </c>
      <c r="K432" s="126">
        <v>0.89583333333333337</v>
      </c>
      <c r="L432" s="126">
        <v>0.91666666666666663</v>
      </c>
      <c r="M432" s="1" t="s">
        <v>36</v>
      </c>
      <c r="N432" s="1" t="s">
        <v>17</v>
      </c>
      <c r="O432" s="1" t="s">
        <v>137</v>
      </c>
      <c r="P432" s="1" t="s">
        <v>214</v>
      </c>
      <c r="Q432" s="1" t="s">
        <v>39</v>
      </c>
    </row>
    <row r="433" spans="3:17" x14ac:dyDescent="0.25">
      <c r="C433" s="1" t="str">
        <f>_xlfn.CONCAT(tabE.Flux[[#This Row],[DATA]],"+",tabE.Flux[[#This Row],[MOTORISTA + MATRÍCULA A]])</f>
        <v>45903+NILSON CORTEZ MIRANDA - 5636</v>
      </c>
      <c r="D433" s="1" t="str">
        <f>_xlfn.CONCAT(tabE.Flux[[#This Row],[DATA]],"+",tabE.Flux[[#This Row],[MOTORISTA + MATRÍCULA B]])</f>
        <v>45903+BRUNO MATOS DA ROCHA - 6013</v>
      </c>
      <c r="E433" s="1" t="str">
        <f>_xlfn.CONCAT(tabE.Flux[[#This Row],[DATA]],"+",tabE.Flux[[#This Row],[MOTORISTA + MATRÍCULA A]],"+",tabE.Flux[[#This Row],[LINHA]])</f>
        <v>45903+NILSON CORTEZ MIRANDA - 5636+GOIANIA (GO) X BELEM (PA)</v>
      </c>
      <c r="F433" s="1" t="str">
        <f>_xlfn.CONCAT(tabE.Flux[[#This Row],[DATA]],"+",tabE.Flux[[#This Row],[MOTORISTA + MATRÍCULA B]],"+",tabE.Flux[[#This Row],[LINHA]])</f>
        <v>45903+BRUNO MATOS DA ROCHA - 6013+GOIANIA (GO) X BELEM (PA)</v>
      </c>
      <c r="G433" s="1" t="str">
        <f>_xlfn.CONCAT(tabE.Flux[[#This Row],[DATA]],"+",tabE.Flux[[#This Row],[LINHA]])</f>
        <v>45903+GOIANIA (GO) X BELEM (PA)</v>
      </c>
      <c r="H433" s="125">
        <v>45903</v>
      </c>
      <c r="I433" s="1" t="s">
        <v>15</v>
      </c>
      <c r="J433" s="1">
        <v>25010</v>
      </c>
      <c r="K433" s="126">
        <v>0.76041666666666663</v>
      </c>
      <c r="L433" s="126">
        <v>0.77083333333333337</v>
      </c>
      <c r="M433" s="1" t="s">
        <v>33</v>
      </c>
      <c r="N433" s="1" t="s">
        <v>16</v>
      </c>
      <c r="O433" s="1" t="s">
        <v>75</v>
      </c>
      <c r="P433" s="1" t="s">
        <v>147</v>
      </c>
      <c r="Q433" s="1" t="s">
        <v>20</v>
      </c>
    </row>
    <row r="434" spans="3:17" x14ac:dyDescent="0.25">
      <c r="C434" s="1" t="str">
        <f>_xlfn.CONCAT(tabE.Flux[[#This Row],[DATA]],"+",tabE.Flux[[#This Row],[MOTORISTA + MATRÍCULA A]])</f>
        <v>45903+LEANDRO DE OLIVEIRA MELO - 2151</v>
      </c>
      <c r="D434" s="1" t="str">
        <f>_xlfn.CONCAT(tabE.Flux[[#This Row],[DATA]],"+",tabE.Flux[[#This Row],[MOTORISTA + MATRÍCULA B]])</f>
        <v>45903+CLODOALDO PEREIRA DE LIMA - 4067</v>
      </c>
      <c r="E434" s="1" t="str">
        <f>_xlfn.CONCAT(tabE.Flux[[#This Row],[DATA]],"+",tabE.Flux[[#This Row],[MOTORISTA + MATRÍCULA A]],"+",tabE.Flux[[#This Row],[LINHA]])</f>
        <v>45903+LEANDRO DE OLIVEIRA MELO - 2151+GOIANIA (GO) X BELEM (PA)</v>
      </c>
      <c r="F434" s="1" t="str">
        <f>_xlfn.CONCAT(tabE.Flux[[#This Row],[DATA]],"+",tabE.Flux[[#This Row],[MOTORISTA + MATRÍCULA B]],"+",tabE.Flux[[#This Row],[LINHA]])</f>
        <v>45903+CLODOALDO PEREIRA DE LIMA - 4067+GOIANIA (GO) X BELEM (PA)</v>
      </c>
      <c r="G434" s="1" t="str">
        <f>_xlfn.CONCAT(tabE.Flux[[#This Row],[DATA]],"+",tabE.Flux[[#This Row],[LINHA]])</f>
        <v>45903+GOIANIA (GO) X BELEM (PA)</v>
      </c>
      <c r="H434" s="125">
        <v>45903</v>
      </c>
      <c r="I434" s="1" t="s">
        <v>15</v>
      </c>
      <c r="J434" s="1">
        <v>25006</v>
      </c>
      <c r="K434" s="126">
        <v>0.76041666666666663</v>
      </c>
      <c r="L434" s="126">
        <v>0.82777777777777772</v>
      </c>
      <c r="M434" s="1" t="s">
        <v>16</v>
      </c>
      <c r="N434" s="1" t="s">
        <v>33</v>
      </c>
      <c r="O434" s="1" t="s">
        <v>64</v>
      </c>
      <c r="P434" s="1" t="s">
        <v>109</v>
      </c>
      <c r="Q434" s="1" t="s">
        <v>20</v>
      </c>
    </row>
    <row r="435" spans="3:17" x14ac:dyDescent="0.25">
      <c r="C435" s="1" t="str">
        <f>_xlfn.CONCAT(tabE.Flux[[#This Row],[DATA]],"+",tabE.Flux[[#This Row],[MOTORISTA + MATRÍCULA A]])</f>
        <v>45903+JOSE CARLOS BEZERRA DA SILVA - 3034</v>
      </c>
      <c r="D435" s="1" t="str">
        <f>_xlfn.CONCAT(tabE.Flux[[#This Row],[DATA]],"+",tabE.Flux[[#This Row],[MOTORISTA + MATRÍCULA B]])</f>
        <v>45903+EDIVALDO DE ARAUJO - 6217</v>
      </c>
      <c r="E435" s="1" t="str">
        <f>_xlfn.CONCAT(tabE.Flux[[#This Row],[DATA]],"+",tabE.Flux[[#This Row],[MOTORISTA + MATRÍCULA A]],"+",tabE.Flux[[#This Row],[LINHA]])</f>
        <v>45903+JOSE CARLOS BEZERRA DA SILVA - 3034+GOIANIA (GO) X SAO LUIS (MA)</v>
      </c>
      <c r="F435" s="1" t="str">
        <f>_xlfn.CONCAT(tabE.Flux[[#This Row],[DATA]],"+",tabE.Flux[[#This Row],[MOTORISTA + MATRÍCULA B]],"+",tabE.Flux[[#This Row],[LINHA]])</f>
        <v>45903+EDIVALDO DE ARAUJO - 6217+GOIANIA (GO) X SAO LUIS (MA)</v>
      </c>
      <c r="G435" s="1" t="str">
        <f>_xlfn.CONCAT(tabE.Flux[[#This Row],[DATA]],"+",tabE.Flux[[#This Row],[LINHA]])</f>
        <v>45903+GOIANIA (GO) X SAO LUIS (MA)</v>
      </c>
      <c r="H435" s="125">
        <v>45903</v>
      </c>
      <c r="I435" s="1" t="s">
        <v>15</v>
      </c>
      <c r="J435" s="1">
        <v>19015</v>
      </c>
      <c r="K435" s="126">
        <v>0.40763888888888888</v>
      </c>
      <c r="L435" s="126">
        <v>0.47013888888888888</v>
      </c>
      <c r="M435" s="1" t="s">
        <v>16</v>
      </c>
      <c r="N435" s="1" t="s">
        <v>42</v>
      </c>
      <c r="O435" s="1" t="s">
        <v>76</v>
      </c>
      <c r="P435" s="1" t="s">
        <v>55</v>
      </c>
      <c r="Q435" s="1" t="s">
        <v>23</v>
      </c>
    </row>
    <row r="436" spans="3:17" x14ac:dyDescent="0.25">
      <c r="C436" s="1" t="str">
        <f>_xlfn.CONCAT(tabE.Flux[[#This Row],[DATA]],"+",tabE.Flux[[#This Row],[MOTORISTA + MATRÍCULA A]])</f>
        <v>45903+CANCELADO</v>
      </c>
      <c r="D436" s="1" t="str">
        <f>_xlfn.CONCAT(tabE.Flux[[#This Row],[DATA]],"+",tabE.Flux[[#This Row],[MOTORISTA + MATRÍCULA B]])</f>
        <v>45903+CANCELADO</v>
      </c>
      <c r="E436" s="1" t="str">
        <f>_xlfn.CONCAT(tabE.Flux[[#This Row],[DATA]],"+",tabE.Flux[[#This Row],[MOTORISTA + MATRÍCULA A]],"+",tabE.Flux[[#This Row],[LINHA]])</f>
        <v>45903+CANCELADO+IMPERATRIZ (MA) X SÃO LUIS (MA)</v>
      </c>
      <c r="F436" s="1" t="str">
        <f>_xlfn.CONCAT(tabE.Flux[[#This Row],[DATA]],"+",tabE.Flux[[#This Row],[MOTORISTA + MATRÍCULA B]],"+",tabE.Flux[[#This Row],[LINHA]])</f>
        <v>45903+CANCELADO+IMPERATRIZ (MA) X SÃO LUIS (MA)</v>
      </c>
      <c r="G436" s="1" t="str">
        <f>_xlfn.CONCAT(tabE.Flux[[#This Row],[DATA]],"+",tabE.Flux[[#This Row],[LINHA]])</f>
        <v>45903+IMPERATRIZ (MA) X SÃO LUIS (MA)</v>
      </c>
      <c r="H436" s="125">
        <v>45903</v>
      </c>
      <c r="I436" s="1" t="s">
        <v>15</v>
      </c>
      <c r="J436" s="1" t="s">
        <v>27</v>
      </c>
      <c r="K436" s="126">
        <v>0.77083333333333337</v>
      </c>
      <c r="L436" s="126">
        <v>0.8125</v>
      </c>
      <c r="M436" s="1" t="s">
        <v>16</v>
      </c>
      <c r="N436" s="1" t="s">
        <v>42</v>
      </c>
      <c r="O436" s="1" t="s">
        <v>27</v>
      </c>
      <c r="P436" s="1" t="s">
        <v>27</v>
      </c>
      <c r="Q436" s="1" t="s">
        <v>47</v>
      </c>
    </row>
    <row r="437" spans="3:17" x14ac:dyDescent="0.25">
      <c r="C437" s="1" t="str">
        <f>_xlfn.CONCAT(tabE.Flux[[#This Row],[DATA]],"+",tabE.Flux[[#This Row],[MOTORISTA + MATRÍCULA A]])</f>
        <v>45903+JOSE ALVES DA ROCHA - 5035</v>
      </c>
      <c r="D437" s="1" t="str">
        <f>_xlfn.CONCAT(tabE.Flux[[#This Row],[DATA]],"+",tabE.Flux[[#This Row],[MOTORISTA + MATRÍCULA B]])</f>
        <v>45903+CARLOS ADRIANO DE SOUZA DO NASCIMENTO - 6222</v>
      </c>
      <c r="E437" s="1" t="str">
        <f>_xlfn.CONCAT(tabE.Flux[[#This Row],[DATA]],"+",tabE.Flux[[#This Row],[MOTORISTA + MATRÍCULA A]],"+",tabE.Flux[[#This Row],[LINHA]])</f>
        <v>45903+JOSE ALVES DA ROCHA - 5035+GOIANIA (GO) X SAO LUIS (MA)</v>
      </c>
      <c r="F437" s="1" t="str">
        <f>_xlfn.CONCAT(tabE.Flux[[#This Row],[DATA]],"+",tabE.Flux[[#This Row],[MOTORISTA + MATRÍCULA B]],"+",tabE.Flux[[#This Row],[LINHA]])</f>
        <v>45903+CARLOS ADRIANO DE SOUZA DO NASCIMENTO - 6222+GOIANIA (GO) X SAO LUIS (MA)</v>
      </c>
      <c r="G437" s="1" t="str">
        <f>_xlfn.CONCAT(tabE.Flux[[#This Row],[DATA]],"+",tabE.Flux[[#This Row],[LINHA]])</f>
        <v>45903+GOIANIA (GO) X SAO LUIS (MA)</v>
      </c>
      <c r="H437" s="125">
        <v>45903</v>
      </c>
      <c r="I437" s="1" t="s">
        <v>15</v>
      </c>
      <c r="J437" s="1">
        <v>24006</v>
      </c>
      <c r="K437" s="126">
        <v>0.8125</v>
      </c>
      <c r="L437" s="126">
        <v>0.84375</v>
      </c>
      <c r="M437" s="1" t="s">
        <v>16</v>
      </c>
      <c r="N437" s="1" t="s">
        <v>42</v>
      </c>
      <c r="O437" s="1" t="s">
        <v>91</v>
      </c>
      <c r="P437" s="1" t="s">
        <v>110</v>
      </c>
      <c r="Q437" s="1" t="s">
        <v>23</v>
      </c>
    </row>
    <row r="438" spans="3:17" x14ac:dyDescent="0.25">
      <c r="C438" s="1" t="str">
        <f>_xlfn.CONCAT(tabE.Flux[[#This Row],[DATA]],"+",tabE.Flux[[#This Row],[MOTORISTA + MATRÍCULA A]])</f>
        <v>45903+JEFFERSON CARDOSO DOS SANTOS - 5837</v>
      </c>
      <c r="D438" s="1" t="str">
        <f>_xlfn.CONCAT(tabE.Flux[[#This Row],[DATA]],"+",tabE.Flux[[#This Row],[MOTORISTA + MATRÍCULA B]])</f>
        <v>45903+DANIEL PEREIRA DA ROCHA - 5298</v>
      </c>
      <c r="E438" s="1" t="str">
        <f>_xlfn.CONCAT(tabE.Flux[[#This Row],[DATA]],"+",tabE.Flux[[#This Row],[MOTORISTA + MATRÍCULA A]],"+",tabE.Flux[[#This Row],[LINHA]])</f>
        <v>45903+JEFFERSON CARDOSO DOS SANTOS - 5837+GOIANIA (GO) X TERESINA (PI) VIA STI</v>
      </c>
      <c r="F438" s="1" t="str">
        <f>_xlfn.CONCAT(tabE.Flux[[#This Row],[DATA]],"+",tabE.Flux[[#This Row],[MOTORISTA + MATRÍCULA B]],"+",tabE.Flux[[#This Row],[LINHA]])</f>
        <v>45903+DANIEL PEREIRA DA ROCHA - 5298+GOIANIA (GO) X TERESINA (PI) VIA STI</v>
      </c>
      <c r="G438" s="1" t="str">
        <f>_xlfn.CONCAT(tabE.Flux[[#This Row],[DATA]],"+",tabE.Flux[[#This Row],[LINHA]])</f>
        <v>45903+GOIANIA (GO) X TERESINA (PI) VIA STI</v>
      </c>
      <c r="H438" s="125">
        <v>45903</v>
      </c>
      <c r="I438" s="1" t="s">
        <v>15</v>
      </c>
      <c r="J438" s="1">
        <v>17700</v>
      </c>
      <c r="K438" s="126">
        <v>0.77083333333333337</v>
      </c>
      <c r="L438" s="126">
        <v>0.79861111111111116</v>
      </c>
      <c r="M438" s="1" t="s">
        <v>16</v>
      </c>
      <c r="N438" s="1" t="s">
        <v>29</v>
      </c>
      <c r="O438" s="1" t="s">
        <v>30</v>
      </c>
      <c r="P438" s="1" t="s">
        <v>184</v>
      </c>
      <c r="Q438" s="1" t="s">
        <v>26</v>
      </c>
    </row>
    <row r="439" spans="3:17" x14ac:dyDescent="0.25">
      <c r="C439" s="1" t="str">
        <f>_xlfn.CONCAT(tabE.Flux[[#This Row],[DATA]],"+",tabE.Flux[[#This Row],[MOTORISTA + MATRÍCULA A]])</f>
        <v>45903+RONNE RODRIGUES DE SOUSA - 5025</v>
      </c>
      <c r="D439" s="1" t="str">
        <f>_xlfn.CONCAT(tabE.Flux[[#This Row],[DATA]],"+",tabE.Flux[[#This Row],[MOTORISTA + MATRÍCULA B]])</f>
        <v>45903+JERZUALDO DA SILVA GOMES - 4077</v>
      </c>
      <c r="E439" s="1" t="str">
        <f>_xlfn.CONCAT(tabE.Flux[[#This Row],[DATA]],"+",tabE.Flux[[#This Row],[MOTORISTA + MATRÍCULA A]],"+",tabE.Flux[[#This Row],[LINHA]])</f>
        <v>45903+RONNE RODRIGUES DE SOUSA - 5025+GOIANIA (GO) X SAO LUIS (MA)</v>
      </c>
      <c r="F439" s="1" t="str">
        <f>_xlfn.CONCAT(tabE.Flux[[#This Row],[DATA]],"+",tabE.Flux[[#This Row],[MOTORISTA + MATRÍCULA B]],"+",tabE.Flux[[#This Row],[LINHA]])</f>
        <v>45903+JERZUALDO DA SILVA GOMES - 4077+GOIANIA (GO) X SAO LUIS (MA)</v>
      </c>
      <c r="G439" s="1" t="str">
        <f>_xlfn.CONCAT(tabE.Flux[[#This Row],[DATA]],"+",tabE.Flux[[#This Row],[LINHA]])</f>
        <v>45903+GOIANIA (GO) X SAO LUIS (MA)</v>
      </c>
      <c r="H439" s="125">
        <v>45903</v>
      </c>
      <c r="I439" s="1" t="s">
        <v>15</v>
      </c>
      <c r="J439" s="1">
        <v>19007</v>
      </c>
      <c r="K439" s="126">
        <v>0.8125</v>
      </c>
      <c r="L439" s="126">
        <v>0.84166666666666667</v>
      </c>
      <c r="M439" s="1" t="s">
        <v>16</v>
      </c>
      <c r="N439" s="1" t="s">
        <v>17</v>
      </c>
      <c r="O439" s="1" t="s">
        <v>85</v>
      </c>
      <c r="P439" s="1" t="s">
        <v>130</v>
      </c>
      <c r="Q439" s="1" t="s">
        <v>23</v>
      </c>
    </row>
    <row r="440" spans="3:17" x14ac:dyDescent="0.25">
      <c r="C440" s="1" t="str">
        <f>_xlfn.CONCAT(tabE.Flux[[#This Row],[DATA]],"+",tabE.Flux[[#This Row],[MOTORISTA + MATRÍCULA A]])</f>
        <v>45903+KLEBER OLIVEIRA LIMA - 5849</v>
      </c>
      <c r="D440" s="1" t="str">
        <f>_xlfn.CONCAT(tabE.Flux[[#This Row],[DATA]],"+",tabE.Flux[[#This Row],[MOTORISTA + MATRÍCULA B]])</f>
        <v>45903+ELIEZIO JOSE DOS SANTOS - 2645</v>
      </c>
      <c r="E440" s="1" t="str">
        <f>_xlfn.CONCAT(tabE.Flux[[#This Row],[DATA]],"+",tabE.Flux[[#This Row],[MOTORISTA + MATRÍCULA A]],"+",tabE.Flux[[#This Row],[LINHA]])</f>
        <v>45903+KLEBER OLIVEIRA LIMA - 5849+FORTALEZA (CE) X SINOP (MT)</v>
      </c>
      <c r="F440" s="1" t="str">
        <f>_xlfn.CONCAT(tabE.Flux[[#This Row],[DATA]],"+",tabE.Flux[[#This Row],[MOTORISTA + MATRÍCULA B]],"+",tabE.Flux[[#This Row],[LINHA]])</f>
        <v>45903+ELIEZIO JOSE DOS SANTOS - 2645+FORTALEZA (CE) X SINOP (MT)</v>
      </c>
      <c r="G440" s="1" t="str">
        <f>_xlfn.CONCAT(tabE.Flux[[#This Row],[DATA]],"+",tabE.Flux[[#This Row],[LINHA]])</f>
        <v>45903+FORTALEZA (CE) X SINOP (MT)</v>
      </c>
      <c r="H440" s="125">
        <v>45903</v>
      </c>
      <c r="I440" s="1" t="s">
        <v>15</v>
      </c>
      <c r="J440" s="1">
        <v>19022</v>
      </c>
      <c r="K440" s="126">
        <v>0.8125</v>
      </c>
      <c r="L440" s="126">
        <v>0.85416666666666663</v>
      </c>
      <c r="M440" s="1" t="s">
        <v>16</v>
      </c>
      <c r="N440" s="1" t="s">
        <v>17</v>
      </c>
      <c r="O440" s="1" t="s">
        <v>102</v>
      </c>
      <c r="P440" s="1" t="s">
        <v>53</v>
      </c>
      <c r="Q440" s="1" t="s">
        <v>32</v>
      </c>
    </row>
    <row r="441" spans="3:17" x14ac:dyDescent="0.25">
      <c r="C441" s="1" t="str">
        <f>_xlfn.CONCAT(tabE.Flux[[#This Row],[DATA]],"+",tabE.Flux[[#This Row],[MOTORISTA + MATRÍCULA A]])</f>
        <v>45903+JUSCELINO PIRES GONCALVES - 1343</v>
      </c>
      <c r="D441" s="1" t="str">
        <f>_xlfn.CONCAT(tabE.Flux[[#This Row],[DATA]],"+",tabE.Flux[[#This Row],[MOTORISTA + MATRÍCULA B]])</f>
        <v>45903+MANOEL SEVERINO DE SOUZA - 5200</v>
      </c>
      <c r="E441" s="1" t="str">
        <f>_xlfn.CONCAT(tabE.Flux[[#This Row],[DATA]],"+",tabE.Flux[[#This Row],[MOTORISTA + MATRÍCULA A]],"+",tabE.Flux[[#This Row],[LINHA]])</f>
        <v>45903+JUSCELINO PIRES GONCALVES - 1343+GOIANIA (GO) X BELEM (PA)</v>
      </c>
      <c r="F441" s="1" t="str">
        <f>_xlfn.CONCAT(tabE.Flux[[#This Row],[DATA]],"+",tabE.Flux[[#This Row],[MOTORISTA + MATRÍCULA B]],"+",tabE.Flux[[#This Row],[LINHA]])</f>
        <v>45903+MANOEL SEVERINO DE SOUZA - 5200+GOIANIA (GO) X BELEM (PA)</v>
      </c>
      <c r="G441" s="1" t="str">
        <f>_xlfn.CONCAT(tabE.Flux[[#This Row],[DATA]],"+",tabE.Flux[[#This Row],[LINHA]])</f>
        <v>45903+GOIANIA (GO) X BELEM (PA)</v>
      </c>
      <c r="H441" s="125">
        <v>45903</v>
      </c>
      <c r="I441" s="1" t="s">
        <v>15</v>
      </c>
      <c r="J441" s="1">
        <v>19016</v>
      </c>
      <c r="K441" s="126">
        <v>0.84722222222222221</v>
      </c>
      <c r="L441" s="126">
        <v>0.87847222222222221</v>
      </c>
      <c r="M441" s="1" t="s">
        <v>16</v>
      </c>
      <c r="N441" s="1" t="s">
        <v>17</v>
      </c>
      <c r="O441" s="1" t="s">
        <v>138</v>
      </c>
      <c r="P441" s="1" t="s">
        <v>119</v>
      </c>
      <c r="Q441" s="1" t="s">
        <v>20</v>
      </c>
    </row>
    <row r="442" spans="3:17" x14ac:dyDescent="0.25">
      <c r="C442" s="1" t="str">
        <f>_xlfn.CONCAT(tabE.Flux[[#This Row],[DATA]],"+",tabE.Flux[[#This Row],[MOTORISTA + MATRÍCULA A]])</f>
        <v>+</v>
      </c>
      <c r="D442" s="1" t="str">
        <f>_xlfn.CONCAT(tabE.Flux[[#This Row],[DATA]],"+",tabE.Flux[[#This Row],[MOTORISTA + MATRÍCULA B]])</f>
        <v>+</v>
      </c>
      <c r="E442" s="1" t="str">
        <f>_xlfn.CONCAT(tabE.Flux[[#This Row],[DATA]],"+",tabE.Flux[[#This Row],[MOTORISTA + MATRÍCULA A]],"+",tabE.Flux[[#This Row],[LINHA]])</f>
        <v>++</v>
      </c>
      <c r="F442" s="1" t="str">
        <f>_xlfn.CONCAT(tabE.Flux[[#This Row],[DATA]],"+",tabE.Flux[[#This Row],[MOTORISTA + MATRÍCULA B]],"+",tabE.Flux[[#This Row],[LINHA]])</f>
        <v>++</v>
      </c>
      <c r="G442" s="1" t="str">
        <f>_xlfn.CONCAT(tabE.Flux[[#This Row],[DATA]],"+",tabE.Flux[[#This Row],[LINHA]])</f>
        <v>+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3:17" x14ac:dyDescent="0.25">
      <c r="C443" s="1" t="str">
        <f>_xlfn.CONCAT(tabE.Flux[[#This Row],[DATA]],"+",tabE.Flux[[#This Row],[MOTORISTA + MATRÍCULA A]])</f>
        <v>45904+EDINANDES LUIZ DA SILVA - 2651</v>
      </c>
      <c r="D443" s="1" t="str">
        <f>_xlfn.CONCAT(tabE.Flux[[#This Row],[DATA]],"+",tabE.Flux[[#This Row],[MOTORISTA + MATRÍCULA B]])</f>
        <v>45904+IRISVAN DE JESUS - 5708</v>
      </c>
      <c r="E443" s="1" t="str">
        <f>_xlfn.CONCAT(tabE.Flux[[#This Row],[DATA]],"+",tabE.Flux[[#This Row],[MOTORISTA + MATRÍCULA A]],"+",tabE.Flux[[#This Row],[LINHA]])</f>
        <v>45904+EDINANDES LUIZ DA SILVA - 2651+GOIANIA (GO) X BELEM (PA)</v>
      </c>
      <c r="F443" s="1" t="str">
        <f>_xlfn.CONCAT(tabE.Flux[[#This Row],[DATA]],"+",tabE.Flux[[#This Row],[MOTORISTA + MATRÍCULA B]],"+",tabE.Flux[[#This Row],[LINHA]])</f>
        <v>45904+IRISVAN DE JESUS - 5708+GOIANIA (GO) X BELEM (PA)</v>
      </c>
      <c r="G443" s="1" t="str">
        <f>_xlfn.CONCAT(tabE.Flux[[#This Row],[DATA]],"+",tabE.Flux[[#This Row],[LINHA]])</f>
        <v>45904+GOIANIA (GO) X BELEM (PA)</v>
      </c>
      <c r="H443" s="125">
        <v>45904</v>
      </c>
      <c r="I443" s="1" t="s">
        <v>15</v>
      </c>
      <c r="J443" s="1">
        <v>25010</v>
      </c>
      <c r="K443" s="126">
        <v>0.25486111111111109</v>
      </c>
      <c r="L443" s="126">
        <v>0.3</v>
      </c>
      <c r="M443" s="1" t="s">
        <v>16</v>
      </c>
      <c r="N443" s="1" t="s">
        <v>17</v>
      </c>
      <c r="O443" s="1" t="s">
        <v>195</v>
      </c>
      <c r="P443" s="1" t="s">
        <v>96</v>
      </c>
      <c r="Q443" s="1" t="s">
        <v>20</v>
      </c>
    </row>
    <row r="444" spans="3:17" x14ac:dyDescent="0.25">
      <c r="C444" s="1" t="str">
        <f>_xlfn.CONCAT(tabE.Flux[[#This Row],[DATA]],"+",tabE.Flux[[#This Row],[MOTORISTA + MATRÍCULA A]])</f>
        <v>45904+EDIMAR FRANCISCO ALEIXO - 5593</v>
      </c>
      <c r="D444" s="1" t="str">
        <f>_xlfn.CONCAT(tabE.Flux[[#This Row],[DATA]],"+",tabE.Flux[[#This Row],[MOTORISTA + MATRÍCULA B]])</f>
        <v>45904+LUCIANO CARNEIRO ALVES - 5757</v>
      </c>
      <c r="E444" s="1" t="str">
        <f>_xlfn.CONCAT(tabE.Flux[[#This Row],[DATA]],"+",tabE.Flux[[#This Row],[MOTORISTA + MATRÍCULA A]],"+",tabE.Flux[[#This Row],[LINHA]])</f>
        <v>45904+EDIMAR FRANCISCO ALEIXO - 5593+GOIANIA (GO) X SAO LUIS (MA)</v>
      </c>
      <c r="F444" s="1" t="str">
        <f>_xlfn.CONCAT(tabE.Flux[[#This Row],[DATA]],"+",tabE.Flux[[#This Row],[MOTORISTA + MATRÍCULA B]],"+",tabE.Flux[[#This Row],[LINHA]])</f>
        <v>45904+LUCIANO CARNEIRO ALVES - 5757+GOIANIA (GO) X SAO LUIS (MA)</v>
      </c>
      <c r="G444" s="1" t="str">
        <f>_xlfn.CONCAT(tabE.Flux[[#This Row],[DATA]],"+",tabE.Flux[[#This Row],[LINHA]])</f>
        <v>45904+GOIANIA (GO) X SAO LUIS (MA)</v>
      </c>
      <c r="H444" s="125">
        <v>45904</v>
      </c>
      <c r="I444" s="1" t="s">
        <v>15</v>
      </c>
      <c r="J444" s="1">
        <v>24014</v>
      </c>
      <c r="K444" s="126">
        <v>0.32291666666666669</v>
      </c>
      <c r="L444" s="126">
        <v>0.33333333333333331</v>
      </c>
      <c r="M444" s="1" t="s">
        <v>16</v>
      </c>
      <c r="N444" s="1" t="s">
        <v>17</v>
      </c>
      <c r="O444" s="1" t="s">
        <v>212</v>
      </c>
      <c r="P444" s="1" t="s">
        <v>213</v>
      </c>
      <c r="Q444" s="1" t="s">
        <v>23</v>
      </c>
    </row>
    <row r="445" spans="3:17" x14ac:dyDescent="0.25">
      <c r="C445" s="1" t="str">
        <f>_xlfn.CONCAT(tabE.Flux[[#This Row],[DATA]],"+",tabE.Flux[[#This Row],[MOTORISTA + MATRÍCULA A]])</f>
        <v>45904+CLAUDIO JOSE DO NASCIMENTO - 549</v>
      </c>
      <c r="D445" s="1" t="str">
        <f>_xlfn.CONCAT(tabE.Flux[[#This Row],[DATA]],"+",tabE.Flux[[#This Row],[MOTORISTA + MATRÍCULA B]])</f>
        <v>45904+NELIO ALENCAR DOS SANTOS - 1759</v>
      </c>
      <c r="E445" s="1" t="str">
        <f>_xlfn.CONCAT(tabE.Flux[[#This Row],[DATA]],"+",tabE.Flux[[#This Row],[MOTORISTA + MATRÍCULA A]],"+",tabE.Flux[[#This Row],[LINHA]])</f>
        <v>45904+CLAUDIO JOSE DO NASCIMENTO - 549+GOIANIA (GO) X TERESINA (PI) VIA STI</v>
      </c>
      <c r="F445" s="1" t="str">
        <f>_xlfn.CONCAT(tabE.Flux[[#This Row],[DATA]],"+",tabE.Flux[[#This Row],[MOTORISTA + MATRÍCULA B]],"+",tabE.Flux[[#This Row],[LINHA]])</f>
        <v>45904+NELIO ALENCAR DOS SANTOS - 1759+GOIANIA (GO) X TERESINA (PI) VIA STI</v>
      </c>
      <c r="G445" s="1" t="str">
        <f>_xlfn.CONCAT(tabE.Flux[[#This Row],[DATA]],"+",tabE.Flux[[#This Row],[LINHA]])</f>
        <v>45904+GOIANIA (GO) X TERESINA (PI) VIA STI</v>
      </c>
      <c r="H445" s="125">
        <v>45904</v>
      </c>
      <c r="I445" s="1" t="s">
        <v>15</v>
      </c>
      <c r="J445" s="1">
        <v>20016</v>
      </c>
      <c r="K445" s="126">
        <v>0.3888888888888889</v>
      </c>
      <c r="L445" s="126">
        <v>0.39583333333333331</v>
      </c>
      <c r="M445" s="1" t="s">
        <v>16</v>
      </c>
      <c r="N445" s="1" t="s">
        <v>17</v>
      </c>
      <c r="O445" s="1" t="s">
        <v>48</v>
      </c>
      <c r="P445" s="1" t="s">
        <v>67</v>
      </c>
      <c r="Q445" s="1" t="s">
        <v>26</v>
      </c>
    </row>
    <row r="446" spans="3:17" x14ac:dyDescent="0.25">
      <c r="C446" s="1" t="str">
        <f>_xlfn.CONCAT(tabE.Flux[[#This Row],[DATA]],"+",tabE.Flux[[#This Row],[MOTORISTA + MATRÍCULA A]])</f>
        <v>45904+CANCELADO</v>
      </c>
      <c r="D446" s="1" t="str">
        <f>_xlfn.CONCAT(tabE.Flux[[#This Row],[DATA]],"+",tabE.Flux[[#This Row],[MOTORISTA + MATRÍCULA B]])</f>
        <v>45904+CANCELADO</v>
      </c>
      <c r="E446" s="1" t="str">
        <f>_xlfn.CONCAT(tabE.Flux[[#This Row],[DATA]],"+",tabE.Flux[[#This Row],[MOTORISTA + MATRÍCULA A]],"+",tabE.Flux[[#This Row],[LINHA]])</f>
        <v>45904+CANCELADO+</v>
      </c>
      <c r="F446" s="1" t="str">
        <f>_xlfn.CONCAT(tabE.Flux[[#This Row],[DATA]],"+",tabE.Flux[[#This Row],[MOTORISTA + MATRÍCULA B]],"+",tabE.Flux[[#This Row],[LINHA]])</f>
        <v>45904+CANCELADO+</v>
      </c>
      <c r="G446" s="1" t="str">
        <f>_xlfn.CONCAT(tabE.Flux[[#This Row],[DATA]],"+",tabE.Flux[[#This Row],[LINHA]])</f>
        <v>45904+</v>
      </c>
      <c r="H446" s="125">
        <v>45904</v>
      </c>
      <c r="I446" s="1" t="s">
        <v>15</v>
      </c>
      <c r="J446" s="1" t="s">
        <v>27</v>
      </c>
      <c r="K446" s="126">
        <v>0.375</v>
      </c>
      <c r="L446" s="126">
        <v>0.41666666666666669</v>
      </c>
      <c r="M446" s="1" t="s">
        <v>16</v>
      </c>
      <c r="N446" s="1" t="s">
        <v>28</v>
      </c>
      <c r="O446" s="1" t="s">
        <v>27</v>
      </c>
      <c r="P446" s="1" t="s">
        <v>27</v>
      </c>
      <c r="Q446" s="1"/>
    </row>
    <row r="447" spans="3:17" x14ac:dyDescent="0.25">
      <c r="C447" s="1" t="str">
        <f>_xlfn.CONCAT(tabE.Flux[[#This Row],[DATA]],"+",tabE.Flux[[#This Row],[MOTORISTA + MATRÍCULA A]])</f>
        <v>45904+ANTONIO MARQUES NETO DOS SANTOS - 1738</v>
      </c>
      <c r="D447" s="1" t="str">
        <f>_xlfn.CONCAT(tabE.Flux[[#This Row],[DATA]],"+",tabE.Flux[[#This Row],[MOTORISTA + MATRÍCULA B]])</f>
        <v>45904+FRANCISCO DAS CHAGAS SILVA - 5656</v>
      </c>
      <c r="E447" s="1" t="str">
        <f>_xlfn.CONCAT(tabE.Flux[[#This Row],[DATA]],"+",tabE.Flux[[#This Row],[MOTORISTA + MATRÍCULA A]],"+",tabE.Flux[[#This Row],[LINHA]])</f>
        <v>45904+ANTONIO MARQUES NETO DOS SANTOS - 1738+FORTALEZA (CE) X SINOP (MT)</v>
      </c>
      <c r="F447" s="1" t="str">
        <f>_xlfn.CONCAT(tabE.Flux[[#This Row],[DATA]],"+",tabE.Flux[[#This Row],[MOTORISTA + MATRÍCULA B]],"+",tabE.Flux[[#This Row],[LINHA]])</f>
        <v>45904+FRANCISCO DAS CHAGAS SILVA - 5656+FORTALEZA (CE) X SINOP (MT)</v>
      </c>
      <c r="G447" s="1" t="str">
        <f>_xlfn.CONCAT(tabE.Flux[[#This Row],[DATA]],"+",tabE.Flux[[#This Row],[LINHA]])</f>
        <v>45904+FORTALEZA (CE) X SINOP (MT)</v>
      </c>
      <c r="H447" s="125">
        <v>45904</v>
      </c>
      <c r="I447" s="1" t="s">
        <v>15</v>
      </c>
      <c r="J447" s="1">
        <v>19002</v>
      </c>
      <c r="K447" s="126">
        <v>0.3888888888888889</v>
      </c>
      <c r="L447" s="126">
        <v>0.37708333333333333</v>
      </c>
      <c r="M447" s="1" t="s">
        <v>16</v>
      </c>
      <c r="N447" s="1" t="s">
        <v>29</v>
      </c>
      <c r="O447" s="1" t="s">
        <v>73</v>
      </c>
      <c r="P447" s="1" t="s">
        <v>31</v>
      </c>
      <c r="Q447" s="1" t="s">
        <v>32</v>
      </c>
    </row>
    <row r="448" spans="3:17" x14ac:dyDescent="0.25">
      <c r="C448" s="1" t="str">
        <f>_xlfn.CONCAT(tabE.Flux[[#This Row],[DATA]],"+",tabE.Flux[[#This Row],[MOTORISTA + MATRÍCULA A]])</f>
        <v>45904+JAIRO VIEIRA FERREIRA - 5835</v>
      </c>
      <c r="D448" s="1" t="str">
        <f>_xlfn.CONCAT(tabE.Flux[[#This Row],[DATA]],"+",tabE.Flux[[#This Row],[MOTORISTA + MATRÍCULA B]])</f>
        <v>45904+RAIMUNDO GUIMARAES ARAUJO - 1920</v>
      </c>
      <c r="E448" s="1" t="str">
        <f>_xlfn.CONCAT(tabE.Flux[[#This Row],[DATA]],"+",tabE.Flux[[#This Row],[MOTORISTA + MATRÍCULA A]],"+",tabE.Flux[[#This Row],[LINHA]])</f>
        <v>45904+JAIRO VIEIRA FERREIRA - 5835+GOIANIA (GO) X BELEM (PA)</v>
      </c>
      <c r="F448" s="1" t="str">
        <f>_xlfn.CONCAT(tabE.Flux[[#This Row],[DATA]],"+",tabE.Flux[[#This Row],[MOTORISTA + MATRÍCULA B]],"+",tabE.Flux[[#This Row],[LINHA]])</f>
        <v>45904+RAIMUNDO GUIMARAES ARAUJO - 1920+GOIANIA (GO) X BELEM (PA)</v>
      </c>
      <c r="G448" s="1" t="str">
        <f>_xlfn.CONCAT(tabE.Flux[[#This Row],[DATA]],"+",tabE.Flux[[#This Row],[LINHA]])</f>
        <v>45904+GOIANIA (GO) X BELEM (PA)</v>
      </c>
      <c r="H448" s="125">
        <v>45904</v>
      </c>
      <c r="I448" s="1" t="s">
        <v>15</v>
      </c>
      <c r="J448" s="1">
        <v>19006</v>
      </c>
      <c r="K448" s="126">
        <v>0.38958333333333334</v>
      </c>
      <c r="L448" s="126">
        <v>0.38541666666666669</v>
      </c>
      <c r="M448" s="1" t="s">
        <v>16</v>
      </c>
      <c r="N448" s="1" t="s">
        <v>33</v>
      </c>
      <c r="O448" s="1" t="s">
        <v>230</v>
      </c>
      <c r="P448" s="1" t="s">
        <v>231</v>
      </c>
      <c r="Q448" s="1" t="s">
        <v>20</v>
      </c>
    </row>
    <row r="449" spans="3:17" x14ac:dyDescent="0.25">
      <c r="C449" s="1" t="str">
        <f>_xlfn.CONCAT(tabE.Flux[[#This Row],[DATA]],"+",tabE.Flux[[#This Row],[MOTORISTA + MATRÍCULA A]])</f>
        <v>45904+JWEBISON DE BRITO SOUZA - 2999</v>
      </c>
      <c r="D449" s="1" t="str">
        <f>_xlfn.CONCAT(tabE.Flux[[#This Row],[DATA]],"+",tabE.Flux[[#This Row],[MOTORISTA + MATRÍCULA B]])</f>
        <v>45904+ANTONIO LEONESIO CAMPELO DA SILVA - 5303</v>
      </c>
      <c r="E449" s="1" t="str">
        <f>_xlfn.CONCAT(tabE.Flux[[#This Row],[DATA]],"+",tabE.Flux[[#This Row],[MOTORISTA + MATRÍCULA A]],"+",tabE.Flux[[#This Row],[LINHA]])</f>
        <v>45904+JWEBISON DE BRITO SOUZA - 2999+GOIANIA (GO) X TERESINA (PI) VIA BC</v>
      </c>
      <c r="F449" s="1" t="str">
        <f>_xlfn.CONCAT(tabE.Flux[[#This Row],[DATA]],"+",tabE.Flux[[#This Row],[MOTORISTA + MATRÍCULA B]],"+",tabE.Flux[[#This Row],[LINHA]])</f>
        <v>45904+ANTONIO LEONESIO CAMPELO DA SILVA - 5303+GOIANIA (GO) X TERESINA (PI) VIA BC</v>
      </c>
      <c r="G449" s="1" t="str">
        <f>_xlfn.CONCAT(tabE.Flux[[#This Row],[DATA]],"+",tabE.Flux[[#This Row],[LINHA]])</f>
        <v>45904+GOIANIA (GO) X TERESINA (PI) VIA BC</v>
      </c>
      <c r="H449" s="125">
        <v>45904</v>
      </c>
      <c r="I449" s="1" t="s">
        <v>15</v>
      </c>
      <c r="J449" s="1">
        <v>24001</v>
      </c>
      <c r="K449" s="126">
        <v>0.375</v>
      </c>
      <c r="L449" s="126">
        <v>0.39930555555555558</v>
      </c>
      <c r="M449" s="1" t="s">
        <v>36</v>
      </c>
      <c r="N449" s="1" t="s">
        <v>29</v>
      </c>
      <c r="O449" s="1" t="s">
        <v>77</v>
      </c>
      <c r="P449" s="1" t="s">
        <v>111</v>
      </c>
      <c r="Q449" s="1" t="s">
        <v>39</v>
      </c>
    </row>
    <row r="450" spans="3:17" x14ac:dyDescent="0.25">
      <c r="C450" s="1" t="str">
        <f>_xlfn.CONCAT(tabE.Flux[[#This Row],[DATA]],"+",tabE.Flux[[#This Row],[MOTORISTA + MATRÍCULA A]])</f>
        <v>45904+JOSE ALVES DE FREITAS NETO - 5027</v>
      </c>
      <c r="D450" s="1" t="str">
        <f>_xlfn.CONCAT(tabE.Flux[[#This Row],[DATA]],"+",tabE.Flux[[#This Row],[MOTORISTA + MATRÍCULA B]])</f>
        <v>45904+MERVAL DE SOUSA - 2880</v>
      </c>
      <c r="E450" s="1" t="str">
        <f>_xlfn.CONCAT(tabE.Flux[[#This Row],[DATA]],"+",tabE.Flux[[#This Row],[MOTORISTA + MATRÍCULA A]],"+",tabE.Flux[[#This Row],[LINHA]])</f>
        <v>45904+JOSE ALVES DE FREITAS NETO - 5027+GOIANIA (GO) X BELEM (PA)</v>
      </c>
      <c r="F450" s="1" t="str">
        <f>_xlfn.CONCAT(tabE.Flux[[#This Row],[DATA]],"+",tabE.Flux[[#This Row],[MOTORISTA + MATRÍCULA B]],"+",tabE.Flux[[#This Row],[LINHA]])</f>
        <v>45904+MERVAL DE SOUSA - 2880+GOIANIA (GO) X BELEM (PA)</v>
      </c>
      <c r="G450" s="1" t="str">
        <f>_xlfn.CONCAT(tabE.Flux[[#This Row],[DATA]],"+",tabE.Flux[[#This Row],[LINHA]])</f>
        <v>45904+GOIANIA (GO) X BELEM (PA)</v>
      </c>
      <c r="H450" s="125">
        <v>45904</v>
      </c>
      <c r="I450" s="1" t="s">
        <v>15</v>
      </c>
      <c r="J450" s="1">
        <v>19019</v>
      </c>
      <c r="K450" s="126">
        <v>0.375</v>
      </c>
      <c r="L450" s="126">
        <v>0.41666666666666669</v>
      </c>
      <c r="M450" s="1" t="s">
        <v>33</v>
      </c>
      <c r="N450" s="1" t="s">
        <v>16</v>
      </c>
      <c r="O450" s="1" t="s">
        <v>90</v>
      </c>
      <c r="P450" s="1" t="s">
        <v>44</v>
      </c>
      <c r="Q450" s="1" t="s">
        <v>20</v>
      </c>
    </row>
    <row r="451" spans="3:17" x14ac:dyDescent="0.25">
      <c r="C451" s="1" t="str">
        <f>_xlfn.CONCAT(tabE.Flux[[#This Row],[DATA]],"+",tabE.Flux[[#This Row],[MOTORISTA + MATRÍCULA A]])</f>
        <v>45904+KAYLSON KLEYTON DA SILVA COSTA - 6224</v>
      </c>
      <c r="D451" s="1" t="str">
        <f>_xlfn.CONCAT(tabE.Flux[[#This Row],[DATA]],"+",tabE.Flux[[#This Row],[MOTORISTA + MATRÍCULA B]])</f>
        <v>45904+JOSE CARLOS BEZERRA DA SILVA - 3034</v>
      </c>
      <c r="E451" s="1" t="str">
        <f>_xlfn.CONCAT(tabE.Flux[[#This Row],[DATA]],"+",tabE.Flux[[#This Row],[MOTORISTA + MATRÍCULA A]],"+",tabE.Flux[[#This Row],[LINHA]])</f>
        <v>45904+KAYLSON KLEYTON DA SILVA COSTA - 6224+GOIANIA (GO) X SAO LUIS (MA)</v>
      </c>
      <c r="F451" s="1" t="str">
        <f>_xlfn.CONCAT(tabE.Flux[[#This Row],[DATA]],"+",tabE.Flux[[#This Row],[MOTORISTA + MATRÍCULA B]],"+",tabE.Flux[[#This Row],[LINHA]])</f>
        <v>45904+JOSE CARLOS BEZERRA DA SILVA - 3034+GOIANIA (GO) X SAO LUIS (MA)</v>
      </c>
      <c r="G451" s="1" t="str">
        <f>_xlfn.CONCAT(tabE.Flux[[#This Row],[DATA]],"+",tabE.Flux[[#This Row],[LINHA]])</f>
        <v>45904+GOIANIA (GO) X SAO LUIS (MA)</v>
      </c>
      <c r="H451" s="125">
        <v>45904</v>
      </c>
      <c r="I451" s="1" t="s">
        <v>15</v>
      </c>
      <c r="J451" s="1">
        <v>20014</v>
      </c>
      <c r="K451" s="126">
        <v>0.25</v>
      </c>
      <c r="L451" s="126">
        <v>0.29166666666666669</v>
      </c>
      <c r="M451" s="1" t="s">
        <v>42</v>
      </c>
      <c r="N451" s="1" t="s">
        <v>16</v>
      </c>
      <c r="O451" s="1" t="s">
        <v>80</v>
      </c>
      <c r="P451" s="1" t="s">
        <v>76</v>
      </c>
      <c r="Q451" s="1" t="s">
        <v>23</v>
      </c>
    </row>
    <row r="452" spans="3:17" x14ac:dyDescent="0.25">
      <c r="C452" s="1" t="str">
        <f>_xlfn.CONCAT(tabE.Flux[[#This Row],[DATA]],"+",tabE.Flux[[#This Row],[MOTORISTA + MATRÍCULA A]])</f>
        <v>45904+LAUCEANDO DA SILVA ROCHA - 6220</v>
      </c>
      <c r="D452" s="1" t="str">
        <f>_xlfn.CONCAT(tabE.Flux[[#This Row],[DATA]],"+",tabE.Flux[[#This Row],[MOTORISTA + MATRÍCULA B]])</f>
        <v>45904+JOSE ALVES DA ROCHA - 5035</v>
      </c>
      <c r="E452" s="1" t="str">
        <f>_xlfn.CONCAT(tabE.Flux[[#This Row],[DATA]],"+",tabE.Flux[[#This Row],[MOTORISTA + MATRÍCULA A]],"+",tabE.Flux[[#This Row],[LINHA]])</f>
        <v>45904+LAUCEANDO DA SILVA ROCHA - 6220+GOIANIA (GO) X SAO LUIS (MA)</v>
      </c>
      <c r="F452" s="1" t="str">
        <f>_xlfn.CONCAT(tabE.Flux[[#This Row],[DATA]],"+",tabE.Flux[[#This Row],[MOTORISTA + MATRÍCULA B]],"+",tabE.Flux[[#This Row],[LINHA]])</f>
        <v>45904+JOSE ALVES DA ROCHA - 5035+GOIANIA (GO) X SAO LUIS (MA)</v>
      </c>
      <c r="G452" s="1" t="str">
        <f>_xlfn.CONCAT(tabE.Flux[[#This Row],[DATA]],"+",tabE.Flux[[#This Row],[LINHA]])</f>
        <v>45904+GOIANIA (GO) X SAO LUIS (MA)</v>
      </c>
      <c r="H452" s="125">
        <v>45904</v>
      </c>
      <c r="I452" s="1" t="s">
        <v>15</v>
      </c>
      <c r="J452" s="1">
        <v>24006</v>
      </c>
      <c r="K452" s="126">
        <v>0.75</v>
      </c>
      <c r="L452" s="126">
        <v>0.79166666666666663</v>
      </c>
      <c r="M452" s="1" t="s">
        <v>42</v>
      </c>
      <c r="N452" s="1" t="s">
        <v>16</v>
      </c>
      <c r="O452" s="1" t="s">
        <v>86</v>
      </c>
      <c r="P452" s="1" t="s">
        <v>91</v>
      </c>
      <c r="Q452" s="1" t="s">
        <v>23</v>
      </c>
    </row>
    <row r="453" spans="3:17" x14ac:dyDescent="0.25">
      <c r="C453" s="1" t="str">
        <f>_xlfn.CONCAT(tabE.Flux[[#This Row],[DATA]],"+",tabE.Flux[[#This Row],[MOTORISTA + MATRÍCULA A]])</f>
        <v>45904+CANCELADO</v>
      </c>
      <c r="D453" s="1" t="str">
        <f>_xlfn.CONCAT(tabE.Flux[[#This Row],[DATA]],"+",tabE.Flux[[#This Row],[MOTORISTA + MATRÍCULA B]])</f>
        <v>45904+CANCELADO</v>
      </c>
      <c r="E453" s="1" t="str">
        <f>_xlfn.CONCAT(tabE.Flux[[#This Row],[DATA]],"+",tabE.Flux[[#This Row],[MOTORISTA + MATRÍCULA A]],"+",tabE.Flux[[#This Row],[LINHA]])</f>
        <v>45904+CANCELADO+IMPERATRIZ (MA) X SÃO LUIS (MA)</v>
      </c>
      <c r="F453" s="1" t="str">
        <f>_xlfn.CONCAT(tabE.Flux[[#This Row],[DATA]],"+",tabE.Flux[[#This Row],[MOTORISTA + MATRÍCULA B]],"+",tabE.Flux[[#This Row],[LINHA]])</f>
        <v>45904+CANCELADO+IMPERATRIZ (MA) X SÃO LUIS (MA)</v>
      </c>
      <c r="G453" s="1" t="str">
        <f>_xlfn.CONCAT(tabE.Flux[[#This Row],[DATA]],"+",tabE.Flux[[#This Row],[LINHA]])</f>
        <v>45904+IMPERATRIZ (MA) X SÃO LUIS (MA)</v>
      </c>
      <c r="H453" s="125">
        <v>45904</v>
      </c>
      <c r="I453" s="1" t="s">
        <v>15</v>
      </c>
      <c r="J453" s="1" t="s">
        <v>27</v>
      </c>
      <c r="K453" s="126">
        <v>0.77083333333333337</v>
      </c>
      <c r="L453" s="126">
        <v>0.79513888888888884</v>
      </c>
      <c r="M453" s="1" t="s">
        <v>42</v>
      </c>
      <c r="N453" s="1" t="s">
        <v>16</v>
      </c>
      <c r="O453" s="1" t="s">
        <v>27</v>
      </c>
      <c r="P453" s="1" t="s">
        <v>27</v>
      </c>
      <c r="Q453" s="1" t="s">
        <v>47</v>
      </c>
    </row>
    <row r="454" spans="3:17" x14ac:dyDescent="0.25">
      <c r="C454" s="1" t="str">
        <f>_xlfn.CONCAT(tabE.Flux[[#This Row],[DATA]],"+",tabE.Flux[[#This Row],[MOTORISTA + MATRÍCULA A]])</f>
        <v>45904+VALTERSON ANTONIO CORREIA - 3004</v>
      </c>
      <c r="D454" s="1" t="str">
        <f>_xlfn.CONCAT(tabE.Flux[[#This Row],[DATA]],"+",tabE.Flux[[#This Row],[MOTORISTA + MATRÍCULA B]])</f>
        <v>45904+JOAO AMARAL DA SILVA JUNIOR - 5290</v>
      </c>
      <c r="E454" s="1" t="str">
        <f>_xlfn.CONCAT(tabE.Flux[[#This Row],[DATA]],"+",tabE.Flux[[#This Row],[MOTORISTA + MATRÍCULA A]],"+",tabE.Flux[[#This Row],[LINHA]])</f>
        <v>45904+VALTERSON ANTONIO CORREIA - 3004+GOIANIA (GO) X TERESINA (PI) VIA BC</v>
      </c>
      <c r="F454" s="1" t="str">
        <f>_xlfn.CONCAT(tabE.Flux[[#This Row],[DATA]],"+",tabE.Flux[[#This Row],[MOTORISTA + MATRÍCULA B]],"+",tabE.Flux[[#This Row],[LINHA]])</f>
        <v>45904+JOAO AMARAL DA SILVA JUNIOR - 5290+GOIANIA (GO) X TERESINA (PI) VIA BC</v>
      </c>
      <c r="G454" s="1" t="str">
        <f>_xlfn.CONCAT(tabE.Flux[[#This Row],[DATA]],"+",tabE.Flux[[#This Row],[LINHA]])</f>
        <v>45904+GOIANIA (GO) X TERESINA (PI) VIA BC</v>
      </c>
      <c r="H454" s="125">
        <v>45904</v>
      </c>
      <c r="I454" s="1" t="s">
        <v>15</v>
      </c>
      <c r="J454" s="1">
        <v>24016</v>
      </c>
      <c r="K454" s="126">
        <v>0.89583333333333337</v>
      </c>
      <c r="L454" s="126">
        <v>0.91666666666666663</v>
      </c>
      <c r="M454" s="1" t="s">
        <v>36</v>
      </c>
      <c r="N454" s="1" t="s">
        <v>17</v>
      </c>
      <c r="O454" s="1" t="s">
        <v>71</v>
      </c>
      <c r="P454" s="1" t="s">
        <v>215</v>
      </c>
      <c r="Q454" s="1" t="s">
        <v>39</v>
      </c>
    </row>
    <row r="455" spans="3:17" x14ac:dyDescent="0.25">
      <c r="C455" s="1" t="str">
        <f>_xlfn.CONCAT(tabE.Flux[[#This Row],[DATA]],"+",tabE.Flux[[#This Row],[MOTORISTA + MATRÍCULA A]])</f>
        <v>45904+JOAO FERREIRA COSTA - 5545</v>
      </c>
      <c r="D455" s="1" t="str">
        <f>_xlfn.CONCAT(tabE.Flux[[#This Row],[DATA]],"+",tabE.Flux[[#This Row],[MOTORISTA + MATRÍCULA B]])</f>
        <v>45904+LUIZ CARLOS MARIANO SIQUEIRA - 5634</v>
      </c>
      <c r="E455" s="1" t="str">
        <f>_xlfn.CONCAT(tabE.Flux[[#This Row],[DATA]],"+",tabE.Flux[[#This Row],[MOTORISTA + MATRÍCULA A]],"+",tabE.Flux[[#This Row],[LINHA]])</f>
        <v>45904+JOAO FERREIRA COSTA - 5545+GOIANIA (GO) X BELEM (PA)</v>
      </c>
      <c r="F455" s="1" t="str">
        <f>_xlfn.CONCAT(tabE.Flux[[#This Row],[DATA]],"+",tabE.Flux[[#This Row],[MOTORISTA + MATRÍCULA B]],"+",tabE.Flux[[#This Row],[LINHA]])</f>
        <v>45904+LUIZ CARLOS MARIANO SIQUEIRA - 5634+GOIANIA (GO) X BELEM (PA)</v>
      </c>
      <c r="G455" s="1" t="str">
        <f>_xlfn.CONCAT(tabE.Flux[[#This Row],[DATA]],"+",tabE.Flux[[#This Row],[LINHA]])</f>
        <v>45904+GOIANIA (GO) X BELEM (PA)</v>
      </c>
      <c r="H455" s="125">
        <v>45904</v>
      </c>
      <c r="I455" s="1" t="s">
        <v>15</v>
      </c>
      <c r="J455" s="1">
        <v>25006</v>
      </c>
      <c r="K455" s="126">
        <v>0.76041666666666663</v>
      </c>
      <c r="L455" s="126">
        <v>0.77083333333333337</v>
      </c>
      <c r="M455" s="1" t="s">
        <v>33</v>
      </c>
      <c r="N455" s="1" t="s">
        <v>16</v>
      </c>
      <c r="O455" s="1" t="s">
        <v>61</v>
      </c>
      <c r="P455" s="1" t="s">
        <v>51</v>
      </c>
      <c r="Q455" s="1" t="s">
        <v>20</v>
      </c>
    </row>
    <row r="456" spans="3:17" x14ac:dyDescent="0.25">
      <c r="C456" s="1" t="str">
        <f>_xlfn.CONCAT(tabE.Flux[[#This Row],[DATA]],"+",tabE.Flux[[#This Row],[MOTORISTA + MATRÍCULA A]])</f>
        <v>45904+JOSE HAILTON PEREIRA DOS SANTOS - 6018</v>
      </c>
      <c r="D456" s="1" t="str">
        <f>_xlfn.CONCAT(tabE.Flux[[#This Row],[DATA]],"+",tabE.Flux[[#This Row],[MOTORISTA + MATRÍCULA B]])</f>
        <v>45904+ANDSON WAGNER NASCIMENTO SOUZA - 2902</v>
      </c>
      <c r="E456" s="1" t="str">
        <f>_xlfn.CONCAT(tabE.Flux[[#This Row],[DATA]],"+",tabE.Flux[[#This Row],[MOTORISTA + MATRÍCULA A]],"+",tabE.Flux[[#This Row],[LINHA]])</f>
        <v>45904+JOSE HAILTON PEREIRA DOS SANTOS - 6018+GOIANIA (GO) X BELEM (PA)</v>
      </c>
      <c r="F456" s="1" t="str">
        <f>_xlfn.CONCAT(tabE.Flux[[#This Row],[DATA]],"+",tabE.Flux[[#This Row],[MOTORISTA + MATRÍCULA B]],"+",tabE.Flux[[#This Row],[LINHA]])</f>
        <v>45904+ANDSON WAGNER NASCIMENTO SOUZA - 2902+GOIANIA (GO) X BELEM (PA)</v>
      </c>
      <c r="G456" s="1" t="str">
        <f>_xlfn.CONCAT(tabE.Flux[[#This Row],[DATA]],"+",tabE.Flux[[#This Row],[LINHA]])</f>
        <v>45904+GOIANIA (GO) X BELEM (PA)</v>
      </c>
      <c r="H456" s="125">
        <v>45904</v>
      </c>
      <c r="I456" s="1" t="s">
        <v>15</v>
      </c>
      <c r="J456" s="1">
        <v>24011</v>
      </c>
      <c r="K456" s="126">
        <v>0.76041666666666663</v>
      </c>
      <c r="L456" s="126">
        <v>0.82777777777777772</v>
      </c>
      <c r="M456" s="1" t="s">
        <v>16</v>
      </c>
      <c r="N456" s="1" t="s">
        <v>33</v>
      </c>
      <c r="O456" s="1" t="s">
        <v>141</v>
      </c>
      <c r="P456" s="1" t="s">
        <v>232</v>
      </c>
      <c r="Q456" s="1" t="s">
        <v>20</v>
      </c>
    </row>
    <row r="457" spans="3:17" x14ac:dyDescent="0.25">
      <c r="C457" s="1" t="str">
        <f>_xlfn.CONCAT(tabE.Flux[[#This Row],[DATA]],"+",tabE.Flux[[#This Row],[MOTORISTA + MATRÍCULA A]])</f>
        <v>45904+ANTONIO FRANCINALDO DE OLIVEIRA MARQUES - 5018</v>
      </c>
      <c r="D457" s="1" t="str">
        <f>_xlfn.CONCAT(tabE.Flux[[#This Row],[DATA]],"+",tabE.Flux[[#This Row],[MOTORISTA + MATRÍCULA B]])</f>
        <v>45904+RAIMUNDO COSTA SILVA - 6226</v>
      </c>
      <c r="E457" s="1" t="str">
        <f>_xlfn.CONCAT(tabE.Flux[[#This Row],[DATA]],"+",tabE.Flux[[#This Row],[MOTORISTA + MATRÍCULA A]],"+",tabE.Flux[[#This Row],[LINHA]])</f>
        <v>45904+ANTONIO FRANCINALDO DE OLIVEIRA MARQUES - 5018+GOIANIA (GO) X SAO LUIS (MA)</v>
      </c>
      <c r="F457" s="1" t="str">
        <f>_xlfn.CONCAT(tabE.Flux[[#This Row],[DATA]],"+",tabE.Flux[[#This Row],[MOTORISTA + MATRÍCULA B]],"+",tabE.Flux[[#This Row],[LINHA]])</f>
        <v>45904+RAIMUNDO COSTA SILVA - 6226+GOIANIA (GO) X SAO LUIS (MA)</v>
      </c>
      <c r="G457" s="1" t="str">
        <f>_xlfn.CONCAT(tabE.Flux[[#This Row],[DATA]],"+",tabE.Flux[[#This Row],[LINHA]])</f>
        <v>45904+GOIANIA (GO) X SAO LUIS (MA)</v>
      </c>
      <c r="H457" s="125">
        <v>45904</v>
      </c>
      <c r="I457" s="1" t="s">
        <v>15</v>
      </c>
      <c r="J457" s="1">
        <v>15600</v>
      </c>
      <c r="K457" s="126">
        <v>0.40763888888888888</v>
      </c>
      <c r="L457" s="126">
        <v>0.47013888888888888</v>
      </c>
      <c r="M457" s="1" t="s">
        <v>16</v>
      </c>
      <c r="N457" s="1" t="s">
        <v>42</v>
      </c>
      <c r="O457" s="1" t="s">
        <v>233</v>
      </c>
      <c r="P457" s="1" t="s">
        <v>45</v>
      </c>
      <c r="Q457" s="1" t="s">
        <v>23</v>
      </c>
    </row>
    <row r="458" spans="3:17" x14ac:dyDescent="0.25">
      <c r="C458" s="1" t="str">
        <f>_xlfn.CONCAT(tabE.Flux[[#This Row],[DATA]],"+",tabE.Flux[[#This Row],[MOTORISTA + MATRÍCULA A]])</f>
        <v>45904+CANCELADO</v>
      </c>
      <c r="D458" s="1" t="str">
        <f>_xlfn.CONCAT(tabE.Flux[[#This Row],[DATA]],"+",tabE.Flux[[#This Row],[MOTORISTA + MATRÍCULA B]])</f>
        <v>45904+CANCELADO</v>
      </c>
      <c r="E458" s="1" t="str">
        <f>_xlfn.CONCAT(tabE.Flux[[#This Row],[DATA]],"+",tabE.Flux[[#This Row],[MOTORISTA + MATRÍCULA A]],"+",tabE.Flux[[#This Row],[LINHA]])</f>
        <v>45904+CANCELADO+IMPERATRIZ (MA) X SÃO LUIS (MA)</v>
      </c>
      <c r="F458" s="1" t="str">
        <f>_xlfn.CONCAT(tabE.Flux[[#This Row],[DATA]],"+",tabE.Flux[[#This Row],[MOTORISTA + MATRÍCULA B]],"+",tabE.Flux[[#This Row],[LINHA]])</f>
        <v>45904+CANCELADO+IMPERATRIZ (MA) X SÃO LUIS (MA)</v>
      </c>
      <c r="G458" s="1" t="str">
        <f>_xlfn.CONCAT(tabE.Flux[[#This Row],[DATA]],"+",tabE.Flux[[#This Row],[LINHA]])</f>
        <v>45904+IMPERATRIZ (MA) X SÃO LUIS (MA)</v>
      </c>
      <c r="H458" s="125">
        <v>45904</v>
      </c>
      <c r="I458" s="1" t="s">
        <v>15</v>
      </c>
      <c r="J458" s="1" t="s">
        <v>27</v>
      </c>
      <c r="K458" s="126">
        <v>0.77083333333333337</v>
      </c>
      <c r="L458" s="126">
        <v>0.8125</v>
      </c>
      <c r="M458" s="1" t="s">
        <v>16</v>
      </c>
      <c r="N458" s="1" t="s">
        <v>42</v>
      </c>
      <c r="O458" s="1" t="s">
        <v>27</v>
      </c>
      <c r="P458" s="1" t="s">
        <v>27</v>
      </c>
      <c r="Q458" s="1" t="s">
        <v>47</v>
      </c>
    </row>
    <row r="459" spans="3:17" x14ac:dyDescent="0.25">
      <c r="C459" s="1" t="str">
        <f>_xlfn.CONCAT(tabE.Flux[[#This Row],[DATA]],"+",tabE.Flux[[#This Row],[MOTORISTA + MATRÍCULA A]])</f>
        <v>45904+FRANCISCO RAIMUNDO VIANA DE SOUSA - 5314</v>
      </c>
      <c r="D459" s="1" t="str">
        <f>_xlfn.CONCAT(tabE.Flux[[#This Row],[DATA]],"+",tabE.Flux[[#This Row],[MOTORISTA + MATRÍCULA B]])</f>
        <v>45904+KAYLSON KLEYTON DA SILVA COSTA - 6224</v>
      </c>
      <c r="E459" s="1" t="str">
        <f>_xlfn.CONCAT(tabE.Flux[[#This Row],[DATA]],"+",tabE.Flux[[#This Row],[MOTORISTA + MATRÍCULA A]],"+",tabE.Flux[[#This Row],[LINHA]])</f>
        <v>45904+FRANCISCO RAIMUNDO VIANA DE SOUSA - 5314+GOIANIA (GO) X SAO LUIS (MA)</v>
      </c>
      <c r="F459" s="1" t="str">
        <f>_xlfn.CONCAT(tabE.Flux[[#This Row],[DATA]],"+",tabE.Flux[[#This Row],[MOTORISTA + MATRÍCULA B]],"+",tabE.Flux[[#This Row],[LINHA]])</f>
        <v>45904+KAYLSON KLEYTON DA SILVA COSTA - 6224+GOIANIA (GO) X SAO LUIS (MA)</v>
      </c>
      <c r="G459" s="1" t="str">
        <f>_xlfn.CONCAT(tabE.Flux[[#This Row],[DATA]],"+",tabE.Flux[[#This Row],[LINHA]])</f>
        <v>45904+GOIANIA (GO) X SAO LUIS (MA)</v>
      </c>
      <c r="H459" s="125">
        <v>45904</v>
      </c>
      <c r="I459" s="1" t="s">
        <v>15</v>
      </c>
      <c r="J459" s="1">
        <v>24003</v>
      </c>
      <c r="K459" s="126">
        <v>0.8125</v>
      </c>
      <c r="L459" s="126">
        <v>0.84375</v>
      </c>
      <c r="M459" s="1" t="s">
        <v>16</v>
      </c>
      <c r="N459" s="1" t="s">
        <v>42</v>
      </c>
      <c r="O459" s="1" t="s">
        <v>87</v>
      </c>
      <c r="P459" s="1" t="s">
        <v>80</v>
      </c>
      <c r="Q459" s="1" t="s">
        <v>23</v>
      </c>
    </row>
    <row r="460" spans="3:17" x14ac:dyDescent="0.25">
      <c r="C460" s="1" t="str">
        <f>_xlfn.CONCAT(tabE.Flux[[#This Row],[DATA]],"+",tabE.Flux[[#This Row],[MOTORISTA + MATRÍCULA A]])</f>
        <v>45904+FRANCISCO ALVES DA PAZ JUNIOR - 1247</v>
      </c>
      <c r="D460" s="1" t="str">
        <f>_xlfn.CONCAT(tabE.Flux[[#This Row],[DATA]],"+",tabE.Flux[[#This Row],[MOTORISTA + MATRÍCULA B]])</f>
        <v>45904+FRANCISCO DAS CHAGAS DOS SANTOS ANGELO - 5299</v>
      </c>
      <c r="E460" s="1" t="str">
        <f>_xlfn.CONCAT(tabE.Flux[[#This Row],[DATA]],"+",tabE.Flux[[#This Row],[MOTORISTA + MATRÍCULA A]],"+",tabE.Flux[[#This Row],[LINHA]])</f>
        <v>45904+FRANCISCO ALVES DA PAZ JUNIOR - 1247+GOIANIA (GO) X TERESINA (PI) VIA STI</v>
      </c>
      <c r="F460" s="1" t="str">
        <f>_xlfn.CONCAT(tabE.Flux[[#This Row],[DATA]],"+",tabE.Flux[[#This Row],[MOTORISTA + MATRÍCULA B]],"+",tabE.Flux[[#This Row],[LINHA]])</f>
        <v>45904+FRANCISCO DAS CHAGAS DOS SANTOS ANGELO - 5299+GOIANIA (GO) X TERESINA (PI) VIA STI</v>
      </c>
      <c r="G460" s="1" t="str">
        <f>_xlfn.CONCAT(tabE.Flux[[#This Row],[DATA]],"+",tabE.Flux[[#This Row],[LINHA]])</f>
        <v>45904+GOIANIA (GO) X TERESINA (PI) VIA STI</v>
      </c>
      <c r="H460" s="125">
        <v>45904</v>
      </c>
      <c r="I460" s="1" t="s">
        <v>15</v>
      </c>
      <c r="J460" s="1">
        <v>19012</v>
      </c>
      <c r="K460" s="126">
        <v>0.77083333333333337</v>
      </c>
      <c r="L460" s="126">
        <v>0.79861111111111116</v>
      </c>
      <c r="M460" s="1" t="s">
        <v>16</v>
      </c>
      <c r="N460" s="1" t="s">
        <v>29</v>
      </c>
      <c r="O460" s="1" t="s">
        <v>144</v>
      </c>
      <c r="P460" s="1" t="s">
        <v>198</v>
      </c>
      <c r="Q460" s="1" t="s">
        <v>26</v>
      </c>
    </row>
    <row r="461" spans="3:17" x14ac:dyDescent="0.25">
      <c r="C461" s="1" t="str">
        <f>_xlfn.CONCAT(tabE.Flux[[#This Row],[DATA]],"+",tabE.Flux[[#This Row],[MOTORISTA + MATRÍCULA A]])</f>
        <v>45904+MARCOS ROBERTO DE SOUSA - 5236</v>
      </c>
      <c r="D461" s="1" t="str">
        <f>_xlfn.CONCAT(tabE.Flux[[#This Row],[DATA]],"+",tabE.Flux[[#This Row],[MOTORISTA + MATRÍCULA B]])</f>
        <v>45904+ANTONIO MARCIO DE SENA RIBEIRO CHAVES - 5061</v>
      </c>
      <c r="E461" s="1" t="str">
        <f>_xlfn.CONCAT(tabE.Flux[[#This Row],[DATA]],"+",tabE.Flux[[#This Row],[MOTORISTA + MATRÍCULA A]],"+",tabE.Flux[[#This Row],[LINHA]])</f>
        <v>45904+MARCOS ROBERTO DE SOUSA - 5236+GOIANIA (GO) X SAO LUIS (MA)</v>
      </c>
      <c r="F461" s="1" t="str">
        <f>_xlfn.CONCAT(tabE.Flux[[#This Row],[DATA]],"+",tabE.Flux[[#This Row],[MOTORISTA + MATRÍCULA B]],"+",tabE.Flux[[#This Row],[LINHA]])</f>
        <v>45904+ANTONIO MARCIO DE SENA RIBEIRO CHAVES - 5061+GOIANIA (GO) X SAO LUIS (MA)</v>
      </c>
      <c r="G461" s="1" t="str">
        <f>_xlfn.CONCAT(tabE.Flux[[#This Row],[DATA]],"+",tabE.Flux[[#This Row],[LINHA]])</f>
        <v>45904+GOIANIA (GO) X SAO LUIS (MA)</v>
      </c>
      <c r="H461" s="125">
        <v>45904</v>
      </c>
      <c r="I461" s="1" t="s">
        <v>15</v>
      </c>
      <c r="J461" s="1">
        <v>20014</v>
      </c>
      <c r="K461" s="126">
        <v>0.8125</v>
      </c>
      <c r="L461" s="126">
        <v>0.84166666666666667</v>
      </c>
      <c r="M461" s="1" t="s">
        <v>16</v>
      </c>
      <c r="N461" s="1" t="s">
        <v>17</v>
      </c>
      <c r="O461" s="1" t="s">
        <v>234</v>
      </c>
      <c r="P461" s="1" t="s">
        <v>235</v>
      </c>
      <c r="Q461" s="1" t="s">
        <v>23</v>
      </c>
    </row>
    <row r="462" spans="3:17" x14ac:dyDescent="0.25">
      <c r="C462" s="1" t="str">
        <f>_xlfn.CONCAT(tabE.Flux[[#This Row],[DATA]],"+",tabE.Flux[[#This Row],[MOTORISTA + MATRÍCULA A]])</f>
        <v>45904+JOAO DE JESUS GOUVEIA - 6016</v>
      </c>
      <c r="D462" s="1" t="str">
        <f>_xlfn.CONCAT(tabE.Flux[[#This Row],[DATA]],"+",tabE.Flux[[#This Row],[MOTORISTA + MATRÍCULA B]])</f>
        <v>45904+GILDEVAN DE ALMEIDA AGOSTINHO - 1924</v>
      </c>
      <c r="E462" s="1" t="str">
        <f>_xlfn.CONCAT(tabE.Flux[[#This Row],[DATA]],"+",tabE.Flux[[#This Row],[MOTORISTA + MATRÍCULA A]],"+",tabE.Flux[[#This Row],[LINHA]])</f>
        <v>45904+JOAO DE JESUS GOUVEIA - 6016+FORTALEZA (CE) X SINOP (MT)</v>
      </c>
      <c r="F462" s="1" t="str">
        <f>_xlfn.CONCAT(tabE.Flux[[#This Row],[DATA]],"+",tabE.Flux[[#This Row],[MOTORISTA + MATRÍCULA B]],"+",tabE.Flux[[#This Row],[LINHA]])</f>
        <v>45904+GILDEVAN DE ALMEIDA AGOSTINHO - 1924+FORTALEZA (CE) X SINOP (MT)</v>
      </c>
      <c r="G462" s="1" t="str">
        <f>_xlfn.CONCAT(tabE.Flux[[#This Row],[DATA]],"+",tabE.Flux[[#This Row],[LINHA]])</f>
        <v>45904+FORTALEZA (CE) X SINOP (MT)</v>
      </c>
      <c r="H462" s="125">
        <v>45904</v>
      </c>
      <c r="I462" s="1" t="s">
        <v>15</v>
      </c>
      <c r="J462" s="1">
        <v>19001</v>
      </c>
      <c r="K462" s="126">
        <v>0.8125</v>
      </c>
      <c r="L462" s="126">
        <v>0.85416666666666663</v>
      </c>
      <c r="M462" s="1" t="s">
        <v>16</v>
      </c>
      <c r="N462" s="1" t="s">
        <v>17</v>
      </c>
      <c r="O462" s="1" t="s">
        <v>58</v>
      </c>
      <c r="P462" s="1" t="s">
        <v>236</v>
      </c>
      <c r="Q462" s="1" t="s">
        <v>32</v>
      </c>
    </row>
    <row r="463" spans="3:17" x14ac:dyDescent="0.25">
      <c r="C463" s="1" t="str">
        <f>_xlfn.CONCAT(tabE.Flux[[#This Row],[DATA]],"+",tabE.Flux[[#This Row],[MOTORISTA + MATRÍCULA A]])</f>
        <v>45904+HERMENEGILDO JOSE LEITE DE BRITO NETO - 2653</v>
      </c>
      <c r="D463" s="1" t="str">
        <f>_xlfn.CONCAT(tabE.Flux[[#This Row],[DATA]],"+",tabE.Flux[[#This Row],[MOTORISTA + MATRÍCULA B]])</f>
        <v>45904+REGISMAR ANTONIO TEODORO DA COSTA - 2966</v>
      </c>
      <c r="E463" s="1" t="str">
        <f>_xlfn.CONCAT(tabE.Flux[[#This Row],[DATA]],"+",tabE.Flux[[#This Row],[MOTORISTA + MATRÍCULA A]],"+",tabE.Flux[[#This Row],[LINHA]])</f>
        <v>45904+HERMENEGILDO JOSE LEITE DE BRITO NETO - 2653+GOIANIA (GO) X BELEM (PA)</v>
      </c>
      <c r="F463" s="1" t="str">
        <f>_xlfn.CONCAT(tabE.Flux[[#This Row],[DATA]],"+",tabE.Flux[[#This Row],[MOTORISTA + MATRÍCULA B]],"+",tabE.Flux[[#This Row],[LINHA]])</f>
        <v>45904+REGISMAR ANTONIO TEODORO DA COSTA - 2966+GOIANIA (GO) X BELEM (PA)</v>
      </c>
      <c r="G463" s="1" t="str">
        <f>_xlfn.CONCAT(tabE.Flux[[#This Row],[DATA]],"+",tabE.Flux[[#This Row],[LINHA]])</f>
        <v>45904+GOIANIA (GO) X BELEM (PA)</v>
      </c>
      <c r="H463" s="125">
        <v>45904</v>
      </c>
      <c r="I463" s="1" t="s">
        <v>15</v>
      </c>
      <c r="J463" s="1">
        <v>19019</v>
      </c>
      <c r="K463" s="126">
        <v>0.84722222222222221</v>
      </c>
      <c r="L463" s="126">
        <v>0.87847222222222221</v>
      </c>
      <c r="M463" s="1" t="s">
        <v>16</v>
      </c>
      <c r="N463" s="1" t="s">
        <v>17</v>
      </c>
      <c r="O463" s="1" t="s">
        <v>224</v>
      </c>
      <c r="P463" s="1" t="s">
        <v>206</v>
      </c>
      <c r="Q463" s="1" t="s">
        <v>20</v>
      </c>
    </row>
    <row r="464" spans="3:17" x14ac:dyDescent="0.25">
      <c r="C464" s="1" t="str">
        <f>_xlfn.CONCAT(tabE.Flux[[#This Row],[DATA]],"+",tabE.Flux[[#This Row],[MOTORISTA + MATRÍCULA A]])</f>
        <v>+</v>
      </c>
      <c r="D464" s="1" t="str">
        <f>_xlfn.CONCAT(tabE.Flux[[#This Row],[DATA]],"+",tabE.Flux[[#This Row],[MOTORISTA + MATRÍCULA B]])</f>
        <v>+</v>
      </c>
      <c r="E464" s="1" t="str">
        <f>_xlfn.CONCAT(tabE.Flux[[#This Row],[DATA]],"+",tabE.Flux[[#This Row],[MOTORISTA + MATRÍCULA A]],"+",tabE.Flux[[#This Row],[LINHA]])</f>
        <v>++</v>
      </c>
      <c r="F464" s="1" t="str">
        <f>_xlfn.CONCAT(tabE.Flux[[#This Row],[DATA]],"+",tabE.Flux[[#This Row],[MOTORISTA + MATRÍCULA B]],"+",tabE.Flux[[#This Row],[LINHA]])</f>
        <v>++</v>
      </c>
      <c r="G464" s="1" t="str">
        <f>_xlfn.CONCAT(tabE.Flux[[#This Row],[DATA]],"+",tabE.Flux[[#This Row],[LINHA]])</f>
        <v>+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3:17" x14ac:dyDescent="0.25">
      <c r="C465" s="1" t="str">
        <f>_xlfn.CONCAT(tabE.Flux[[#This Row],[DATA]],"+",tabE.Flux[[#This Row],[MOTORISTA + MATRÍCULA A]])</f>
        <v>45905+GONCALO ALVES BEZERRA - 748</v>
      </c>
      <c r="D465" s="1" t="str">
        <f>_xlfn.CONCAT(tabE.Flux[[#This Row],[DATA]],"+",tabE.Flux[[#This Row],[MOTORISTA + MATRÍCULA B]])</f>
        <v>45905+DJALMA SOARES GUIMARAES - 1948</v>
      </c>
      <c r="E465" s="1" t="str">
        <f>_xlfn.CONCAT(tabE.Flux[[#This Row],[DATA]],"+",tabE.Flux[[#This Row],[MOTORISTA + MATRÍCULA A]],"+",tabE.Flux[[#This Row],[LINHA]])</f>
        <v>45905+GONCALO ALVES BEZERRA - 748+GOIANIA (GO) X BELEM (PA)</v>
      </c>
      <c r="F465" s="1" t="str">
        <f>_xlfn.CONCAT(tabE.Flux[[#This Row],[DATA]],"+",tabE.Flux[[#This Row],[MOTORISTA + MATRÍCULA B]],"+",tabE.Flux[[#This Row],[LINHA]])</f>
        <v>45905+DJALMA SOARES GUIMARAES - 1948+GOIANIA (GO) X BELEM (PA)</v>
      </c>
      <c r="G465" s="1" t="str">
        <f>_xlfn.CONCAT(tabE.Flux[[#This Row],[DATA]],"+",tabE.Flux[[#This Row],[LINHA]])</f>
        <v>45905+GOIANIA (GO) X BELEM (PA)</v>
      </c>
      <c r="H465" s="125">
        <v>45905</v>
      </c>
      <c r="I465" s="1" t="s">
        <v>15</v>
      </c>
      <c r="J465" s="1">
        <v>25006</v>
      </c>
      <c r="K465" s="126">
        <v>0.25486111111111109</v>
      </c>
      <c r="L465" s="126">
        <v>0.3</v>
      </c>
      <c r="M465" s="1" t="s">
        <v>16</v>
      </c>
      <c r="N465" s="1" t="s">
        <v>17</v>
      </c>
      <c r="O465" s="1" t="s">
        <v>216</v>
      </c>
      <c r="P465" s="1" t="s">
        <v>237</v>
      </c>
      <c r="Q465" s="1" t="s">
        <v>20</v>
      </c>
    </row>
    <row r="466" spans="3:17" x14ac:dyDescent="0.25">
      <c r="C466" s="1" t="str">
        <f>_xlfn.CONCAT(tabE.Flux[[#This Row],[DATA]],"+",tabE.Flux[[#This Row],[MOTORISTA + MATRÍCULA A]])</f>
        <v>45905+DIVINO FERREIRA DA SILVA - 1946</v>
      </c>
      <c r="D466" s="1" t="str">
        <f>_xlfn.CONCAT(tabE.Flux[[#This Row],[DATA]],"+",tabE.Flux[[#This Row],[MOTORISTA + MATRÍCULA B]])</f>
        <v>45905+JOSE PINHEIRO DA SILVA - 5628</v>
      </c>
      <c r="E466" s="1" t="str">
        <f>_xlfn.CONCAT(tabE.Flux[[#This Row],[DATA]],"+",tabE.Flux[[#This Row],[MOTORISTA + MATRÍCULA A]],"+",tabE.Flux[[#This Row],[LINHA]])</f>
        <v>45905+DIVINO FERREIRA DA SILVA - 1946+GOIANIA (GO) X SAO LUIS (MA)</v>
      </c>
      <c r="F466" s="1" t="str">
        <f>_xlfn.CONCAT(tabE.Flux[[#This Row],[DATA]],"+",tabE.Flux[[#This Row],[MOTORISTA + MATRÍCULA B]],"+",tabE.Flux[[#This Row],[LINHA]])</f>
        <v>45905+JOSE PINHEIRO DA SILVA - 5628+GOIANIA (GO) X SAO LUIS (MA)</v>
      </c>
      <c r="G466" s="1" t="str">
        <f>_xlfn.CONCAT(tabE.Flux[[#This Row],[DATA]],"+",tabE.Flux[[#This Row],[LINHA]])</f>
        <v>45905+GOIANIA (GO) X SAO LUIS (MA)</v>
      </c>
      <c r="H466" s="125">
        <v>45905</v>
      </c>
      <c r="I466" s="1" t="s">
        <v>15</v>
      </c>
      <c r="J466" s="1">
        <v>24006</v>
      </c>
      <c r="K466" s="126">
        <v>0.32291666666666669</v>
      </c>
      <c r="L466" s="126">
        <v>0.33333333333333331</v>
      </c>
      <c r="M466" s="1" t="s">
        <v>16</v>
      </c>
      <c r="N466" s="1" t="s">
        <v>17</v>
      </c>
      <c r="O466" s="1" t="s">
        <v>238</v>
      </c>
      <c r="P466" s="1" t="s">
        <v>162</v>
      </c>
      <c r="Q466" s="1" t="s">
        <v>23</v>
      </c>
    </row>
    <row r="467" spans="3:17" x14ac:dyDescent="0.25">
      <c r="C467" s="1" t="str">
        <f>_xlfn.CONCAT(tabE.Flux[[#This Row],[DATA]],"+",tabE.Flux[[#This Row],[MOTORISTA + MATRÍCULA A]])</f>
        <v>45905+WILSON MARTINS ROCHA - 105</v>
      </c>
      <c r="D467" s="1" t="str">
        <f>_xlfn.CONCAT(tabE.Flux[[#This Row],[DATA]],"+",tabE.Flux[[#This Row],[MOTORISTA + MATRÍCULA B]])</f>
        <v>45905+WILSON FERREIRA DE JESUS - 1407</v>
      </c>
      <c r="E467" s="1" t="str">
        <f>_xlfn.CONCAT(tabE.Flux[[#This Row],[DATA]],"+",tabE.Flux[[#This Row],[MOTORISTA + MATRÍCULA A]],"+",tabE.Flux[[#This Row],[LINHA]])</f>
        <v>45905+WILSON MARTINS ROCHA - 105+GOIANIA (GO) X TERESINA (PI) VIA STI</v>
      </c>
      <c r="F467" s="1" t="str">
        <f>_xlfn.CONCAT(tabE.Flux[[#This Row],[DATA]],"+",tabE.Flux[[#This Row],[MOTORISTA + MATRÍCULA B]],"+",tabE.Flux[[#This Row],[LINHA]])</f>
        <v>45905+WILSON FERREIRA DE JESUS - 1407+GOIANIA (GO) X TERESINA (PI) VIA STI</v>
      </c>
      <c r="G467" s="1" t="str">
        <f>_xlfn.CONCAT(tabE.Flux[[#This Row],[DATA]],"+",tabE.Flux[[#This Row],[LINHA]])</f>
        <v>45905+GOIANIA (GO) X TERESINA (PI) VIA STI</v>
      </c>
      <c r="H467" s="125">
        <v>45905</v>
      </c>
      <c r="I467" s="1" t="s">
        <v>15</v>
      </c>
      <c r="J467" s="1">
        <v>19005</v>
      </c>
      <c r="K467" s="126">
        <v>0.3888888888888889</v>
      </c>
      <c r="L467" s="126">
        <v>0.39583333333333331</v>
      </c>
      <c r="M467" s="1" t="s">
        <v>16</v>
      </c>
      <c r="N467" s="1" t="s">
        <v>17</v>
      </c>
      <c r="O467" s="1" t="s">
        <v>81</v>
      </c>
      <c r="P467" s="1" t="s">
        <v>82</v>
      </c>
      <c r="Q467" s="1" t="s">
        <v>26</v>
      </c>
    </row>
    <row r="468" spans="3:17" x14ac:dyDescent="0.25">
      <c r="C468" s="1" t="str">
        <f>_xlfn.CONCAT(tabE.Flux[[#This Row],[DATA]],"+",tabE.Flux[[#This Row],[MOTORISTA + MATRÍCULA A]])</f>
        <v>45905+CANCELADO</v>
      </c>
      <c r="D468" s="1" t="str">
        <f>_xlfn.CONCAT(tabE.Flux[[#This Row],[DATA]],"+",tabE.Flux[[#This Row],[MOTORISTA + MATRÍCULA B]])</f>
        <v>45905+CANCELADO</v>
      </c>
      <c r="E468" s="1" t="str">
        <f>_xlfn.CONCAT(tabE.Flux[[#This Row],[DATA]],"+",tabE.Flux[[#This Row],[MOTORISTA + MATRÍCULA A]],"+",tabE.Flux[[#This Row],[LINHA]])</f>
        <v>45905+CANCELADO+</v>
      </c>
      <c r="F468" s="1" t="str">
        <f>_xlfn.CONCAT(tabE.Flux[[#This Row],[DATA]],"+",tabE.Flux[[#This Row],[MOTORISTA + MATRÍCULA B]],"+",tabE.Flux[[#This Row],[LINHA]])</f>
        <v>45905+CANCELADO+</v>
      </c>
      <c r="G468" s="1" t="str">
        <f>_xlfn.CONCAT(tabE.Flux[[#This Row],[DATA]],"+",tabE.Flux[[#This Row],[LINHA]])</f>
        <v>45905+</v>
      </c>
      <c r="H468" s="125">
        <v>45905</v>
      </c>
      <c r="I468" s="1" t="s">
        <v>15</v>
      </c>
      <c r="J468" s="1" t="s">
        <v>27</v>
      </c>
      <c r="K468" s="126">
        <v>0.375</v>
      </c>
      <c r="L468" s="126">
        <v>0.41666666666666669</v>
      </c>
      <c r="M468" s="1" t="s">
        <v>16</v>
      </c>
      <c r="N468" s="1" t="s">
        <v>28</v>
      </c>
      <c r="O468" s="1" t="s">
        <v>27</v>
      </c>
      <c r="P468" s="1" t="s">
        <v>27</v>
      </c>
      <c r="Q468" s="1"/>
    </row>
    <row r="469" spans="3:17" x14ac:dyDescent="0.25">
      <c r="C469" s="1" t="str">
        <f>_xlfn.CONCAT(tabE.Flux[[#This Row],[DATA]],"+",tabE.Flux[[#This Row],[MOTORISTA + MATRÍCULA A]])</f>
        <v>45905+ESIEL COSTA RODRIGUES - 1749</v>
      </c>
      <c r="D469" s="1" t="str">
        <f>_xlfn.CONCAT(tabE.Flux[[#This Row],[DATA]],"+",tabE.Flux[[#This Row],[MOTORISTA + MATRÍCULA B]])</f>
        <v>45905+MARCOS ANTONIO ALVES DE SOUSA - 5278</v>
      </c>
      <c r="E469" s="1" t="str">
        <f>_xlfn.CONCAT(tabE.Flux[[#This Row],[DATA]],"+",tabE.Flux[[#This Row],[MOTORISTA + MATRÍCULA A]],"+",tabE.Flux[[#This Row],[LINHA]])</f>
        <v>45905+ESIEL COSTA RODRIGUES - 1749+FORTALEZA (CE) X SINOP (MT)</v>
      </c>
      <c r="F469" s="1" t="str">
        <f>_xlfn.CONCAT(tabE.Flux[[#This Row],[DATA]],"+",tabE.Flux[[#This Row],[MOTORISTA + MATRÍCULA B]],"+",tabE.Flux[[#This Row],[LINHA]])</f>
        <v>45905+MARCOS ANTONIO ALVES DE SOUSA - 5278+FORTALEZA (CE) X SINOP (MT)</v>
      </c>
      <c r="G469" s="1" t="str">
        <f>_xlfn.CONCAT(tabE.Flux[[#This Row],[DATA]],"+",tabE.Flux[[#This Row],[LINHA]])</f>
        <v>45905+FORTALEZA (CE) X SINOP (MT)</v>
      </c>
      <c r="H469" s="125">
        <v>45905</v>
      </c>
      <c r="I469" s="1" t="s">
        <v>15</v>
      </c>
      <c r="J469" s="1">
        <v>19003</v>
      </c>
      <c r="K469" s="126">
        <v>0.3888888888888889</v>
      </c>
      <c r="L469" s="126">
        <v>0.37708333333333333</v>
      </c>
      <c r="M469" s="1" t="s">
        <v>16</v>
      </c>
      <c r="N469" s="1" t="s">
        <v>29</v>
      </c>
      <c r="O469" s="1" t="s">
        <v>46</v>
      </c>
      <c r="P469" s="1" t="s">
        <v>210</v>
      </c>
      <c r="Q469" s="1" t="s">
        <v>32</v>
      </c>
    </row>
    <row r="470" spans="3:17" x14ac:dyDescent="0.25">
      <c r="C470" s="1" t="str">
        <f>_xlfn.CONCAT(tabE.Flux[[#This Row],[DATA]],"+",tabE.Flux[[#This Row],[MOTORISTA + MATRÍCULA A]])</f>
        <v>45905+MARCOS ATAIDE SILVA - 1352</v>
      </c>
      <c r="D470" s="1" t="str">
        <f>_xlfn.CONCAT(tabE.Flux[[#This Row],[DATA]],"+",tabE.Flux[[#This Row],[MOTORISTA + MATRÍCULA B]])</f>
        <v>45905+ANDRE SOUSA REIS - 2644</v>
      </c>
      <c r="E470" s="1" t="str">
        <f>_xlfn.CONCAT(tabE.Flux[[#This Row],[DATA]],"+",tabE.Flux[[#This Row],[MOTORISTA + MATRÍCULA A]],"+",tabE.Flux[[#This Row],[LINHA]])</f>
        <v>45905+MARCOS ATAIDE SILVA - 1352+GOIANIA (GO) X BELEM (PA)</v>
      </c>
      <c r="F470" s="1" t="str">
        <f>_xlfn.CONCAT(tabE.Flux[[#This Row],[DATA]],"+",tabE.Flux[[#This Row],[MOTORISTA + MATRÍCULA B]],"+",tabE.Flux[[#This Row],[LINHA]])</f>
        <v>45905+ANDRE SOUSA REIS - 2644+GOIANIA (GO) X BELEM (PA)</v>
      </c>
      <c r="G470" s="1" t="str">
        <f>_xlfn.CONCAT(tabE.Flux[[#This Row],[DATA]],"+",tabE.Flux[[#This Row],[LINHA]])</f>
        <v>45905+GOIANIA (GO) X BELEM (PA)</v>
      </c>
      <c r="H470" s="125">
        <v>45905</v>
      </c>
      <c r="I470" s="1" t="s">
        <v>15</v>
      </c>
      <c r="J470" s="1">
        <v>20017</v>
      </c>
      <c r="K470" s="126">
        <v>0.38958333333333334</v>
      </c>
      <c r="L470" s="126">
        <v>0.38541666666666669</v>
      </c>
      <c r="M470" s="1" t="s">
        <v>16</v>
      </c>
      <c r="N470" s="1" t="s">
        <v>33</v>
      </c>
      <c r="O470" s="1" t="s">
        <v>113</v>
      </c>
      <c r="P470" s="1" t="s">
        <v>63</v>
      </c>
      <c r="Q470" s="1" t="s">
        <v>20</v>
      </c>
    </row>
    <row r="471" spans="3:17" x14ac:dyDescent="0.25">
      <c r="C471" s="1" t="str">
        <f>_xlfn.CONCAT(tabE.Flux[[#This Row],[DATA]],"+",tabE.Flux[[#This Row],[MOTORISTA + MATRÍCULA A]])</f>
        <v>45905+JOSE ORLANDO RODRIGUES DE MIRANDA - 5838</v>
      </c>
      <c r="D471" s="1" t="str">
        <f>_xlfn.CONCAT(tabE.Flux[[#This Row],[DATA]],"+",tabE.Flux[[#This Row],[MOTORISTA + MATRÍCULA B]])</f>
        <v>45905+RAIMUNDO NONATO MAGALHAES DO NASCIMENTO - 5662</v>
      </c>
      <c r="E471" s="1" t="str">
        <f>_xlfn.CONCAT(tabE.Flux[[#This Row],[DATA]],"+",tabE.Flux[[#This Row],[MOTORISTA + MATRÍCULA A]],"+",tabE.Flux[[#This Row],[LINHA]])</f>
        <v>45905+JOSE ORLANDO RODRIGUES DE MIRANDA - 5838+GOIANIA (GO) X TERESINA (PI) VIA BC</v>
      </c>
      <c r="F471" s="1" t="str">
        <f>_xlfn.CONCAT(tabE.Flux[[#This Row],[DATA]],"+",tabE.Flux[[#This Row],[MOTORISTA + MATRÍCULA B]],"+",tabE.Flux[[#This Row],[LINHA]])</f>
        <v>45905+RAIMUNDO NONATO MAGALHAES DO NASCIMENTO - 5662+GOIANIA (GO) X TERESINA (PI) VIA BC</v>
      </c>
      <c r="G471" s="1" t="str">
        <f>_xlfn.CONCAT(tabE.Flux[[#This Row],[DATA]],"+",tabE.Flux[[#This Row],[LINHA]])</f>
        <v>45905+GOIANIA (GO) X TERESINA (PI) VIA BC</v>
      </c>
      <c r="H471" s="125">
        <v>45905</v>
      </c>
      <c r="I471" s="1" t="s">
        <v>15</v>
      </c>
      <c r="J471" s="1">
        <v>24013</v>
      </c>
      <c r="K471" s="126">
        <v>0.375</v>
      </c>
      <c r="L471" s="126">
        <v>0.39930555555555558</v>
      </c>
      <c r="M471" s="1" t="s">
        <v>36</v>
      </c>
      <c r="N471" s="1" t="s">
        <v>29</v>
      </c>
      <c r="O471" s="1" t="s">
        <v>37</v>
      </c>
      <c r="P471" s="1" t="s">
        <v>101</v>
      </c>
      <c r="Q471" s="1" t="s">
        <v>39</v>
      </c>
    </row>
    <row r="472" spans="3:17" x14ac:dyDescent="0.25">
      <c r="C472" s="1" t="str">
        <f>_xlfn.CONCAT(tabE.Flux[[#This Row],[DATA]],"+",tabE.Flux[[#This Row],[MOTORISTA + MATRÍCULA A]])</f>
        <v>45905+LEANDRO DE OLIVEIRA MELO - 2151</v>
      </c>
      <c r="D472" s="1" t="str">
        <f>_xlfn.CONCAT(tabE.Flux[[#This Row],[DATA]],"+",tabE.Flux[[#This Row],[MOTORISTA + MATRÍCULA B]])</f>
        <v>45905+CLODOALDO PEREIRA DE LIMA - 4067</v>
      </c>
      <c r="E472" s="1" t="str">
        <f>_xlfn.CONCAT(tabE.Flux[[#This Row],[DATA]],"+",tabE.Flux[[#This Row],[MOTORISTA + MATRÍCULA A]],"+",tabE.Flux[[#This Row],[LINHA]])</f>
        <v>45905+LEANDRO DE OLIVEIRA MELO - 2151+GOIANIA (GO) X BELEM (PA)</v>
      </c>
      <c r="F472" s="1" t="str">
        <f>_xlfn.CONCAT(tabE.Flux[[#This Row],[DATA]],"+",tabE.Flux[[#This Row],[MOTORISTA + MATRÍCULA B]],"+",tabE.Flux[[#This Row],[LINHA]])</f>
        <v>45905+CLODOALDO PEREIRA DE LIMA - 4067+GOIANIA (GO) X BELEM (PA)</v>
      </c>
      <c r="G472" s="1" t="str">
        <f>_xlfn.CONCAT(tabE.Flux[[#This Row],[DATA]],"+",tabE.Flux[[#This Row],[LINHA]])</f>
        <v>45905+GOIANIA (GO) X BELEM (PA)</v>
      </c>
      <c r="H472" s="125">
        <v>45905</v>
      </c>
      <c r="I472" s="1" t="s">
        <v>15</v>
      </c>
      <c r="J472" s="1">
        <v>19006</v>
      </c>
      <c r="K472" s="126">
        <v>0.375</v>
      </c>
      <c r="L472" s="126">
        <v>0.41666666666666669</v>
      </c>
      <c r="M472" s="1" t="s">
        <v>33</v>
      </c>
      <c r="N472" s="1" t="s">
        <v>16</v>
      </c>
      <c r="O472" s="1" t="s">
        <v>64</v>
      </c>
      <c r="P472" s="1" t="s">
        <v>109</v>
      </c>
      <c r="Q472" s="1" t="s">
        <v>20</v>
      </c>
    </row>
    <row r="473" spans="3:17" x14ac:dyDescent="0.25">
      <c r="C473" s="1" t="str">
        <f>_xlfn.CONCAT(tabE.Flux[[#This Row],[DATA]],"+",tabE.Flux[[#This Row],[MOTORISTA + MATRÍCULA A]])</f>
        <v>45905+ALTEMAR DO NASCIMENTO LIMA - 6225</v>
      </c>
      <c r="D473" s="1" t="str">
        <f>_xlfn.CONCAT(tabE.Flux[[#This Row],[DATA]],"+",tabE.Flux[[#This Row],[MOTORISTA + MATRÍCULA B]])</f>
        <v>45905+ANTONIO FRANCINALDO DE OLIVEIRA MARQUES - 5018</v>
      </c>
      <c r="E473" s="1" t="str">
        <f>_xlfn.CONCAT(tabE.Flux[[#This Row],[DATA]],"+",tabE.Flux[[#This Row],[MOTORISTA + MATRÍCULA A]],"+",tabE.Flux[[#This Row],[LINHA]])</f>
        <v>45905+ALTEMAR DO NASCIMENTO LIMA - 6225+GOIANIA (GO) X SAO LUIS (MA)</v>
      </c>
      <c r="F473" s="1" t="str">
        <f>_xlfn.CONCAT(tabE.Flux[[#This Row],[DATA]],"+",tabE.Flux[[#This Row],[MOTORISTA + MATRÍCULA B]],"+",tabE.Flux[[#This Row],[LINHA]])</f>
        <v>45905+ANTONIO FRANCINALDO DE OLIVEIRA MARQUES - 5018+GOIANIA (GO) X SAO LUIS (MA)</v>
      </c>
      <c r="G473" s="1" t="str">
        <f>_xlfn.CONCAT(tabE.Flux[[#This Row],[DATA]],"+",tabE.Flux[[#This Row],[LINHA]])</f>
        <v>45905+GOIANIA (GO) X SAO LUIS (MA)</v>
      </c>
      <c r="H473" s="125">
        <v>45905</v>
      </c>
      <c r="I473" s="1" t="s">
        <v>15</v>
      </c>
      <c r="J473" s="1">
        <v>19015</v>
      </c>
      <c r="K473" s="126">
        <v>0.25</v>
      </c>
      <c r="L473" s="126">
        <v>0.29166666666666669</v>
      </c>
      <c r="M473" s="1" t="s">
        <v>42</v>
      </c>
      <c r="N473" s="1" t="s">
        <v>16</v>
      </c>
      <c r="O473" s="1" t="s">
        <v>57</v>
      </c>
      <c r="P473" s="1" t="s">
        <v>233</v>
      </c>
      <c r="Q473" s="1" t="s">
        <v>23</v>
      </c>
    </row>
    <row r="474" spans="3:17" x14ac:dyDescent="0.25">
      <c r="C474" s="1" t="str">
        <f>_xlfn.CONCAT(tabE.Flux[[#This Row],[DATA]],"+",tabE.Flux[[#This Row],[MOTORISTA + MATRÍCULA A]])</f>
        <v>45905+PAULO ENEAS FARIAS ARAUJO - 6218</v>
      </c>
      <c r="D474" s="1" t="str">
        <f>_xlfn.CONCAT(tabE.Flux[[#This Row],[DATA]],"+",tabE.Flux[[#This Row],[MOTORISTA + MATRÍCULA B]])</f>
        <v>45905+FRANCISCO RAIMUNDO VIANA DE SOUSA - 5314</v>
      </c>
      <c r="E474" s="1" t="str">
        <f>_xlfn.CONCAT(tabE.Flux[[#This Row],[DATA]],"+",tabE.Flux[[#This Row],[MOTORISTA + MATRÍCULA A]],"+",tabE.Flux[[#This Row],[LINHA]])</f>
        <v>45905+PAULO ENEAS FARIAS ARAUJO - 6218+GOIANIA (GO) X SAO LUIS (MA)</v>
      </c>
      <c r="F474" s="1" t="str">
        <f>_xlfn.CONCAT(tabE.Flux[[#This Row],[DATA]],"+",tabE.Flux[[#This Row],[MOTORISTA + MATRÍCULA B]],"+",tabE.Flux[[#This Row],[LINHA]])</f>
        <v>45905+FRANCISCO RAIMUNDO VIANA DE SOUSA - 5314+GOIANIA (GO) X SAO LUIS (MA)</v>
      </c>
      <c r="G474" s="1" t="str">
        <f>_xlfn.CONCAT(tabE.Flux[[#This Row],[DATA]],"+",tabE.Flux[[#This Row],[LINHA]])</f>
        <v>45905+GOIANIA (GO) X SAO LUIS (MA)</v>
      </c>
      <c r="H474" s="125">
        <v>45905</v>
      </c>
      <c r="I474" s="1" t="s">
        <v>15</v>
      </c>
      <c r="J474" s="1">
        <v>24003</v>
      </c>
      <c r="K474" s="126">
        <v>0.75</v>
      </c>
      <c r="L474" s="126">
        <v>0.79166666666666663</v>
      </c>
      <c r="M474" s="1" t="s">
        <v>42</v>
      </c>
      <c r="N474" s="1" t="s">
        <v>16</v>
      </c>
      <c r="O474" s="1" t="s">
        <v>43</v>
      </c>
      <c r="P474" s="1" t="s">
        <v>87</v>
      </c>
      <c r="Q474" s="1" t="s">
        <v>23</v>
      </c>
    </row>
    <row r="475" spans="3:17" x14ac:dyDescent="0.25">
      <c r="C475" s="1" t="str">
        <f>_xlfn.CONCAT(tabE.Flux[[#This Row],[DATA]],"+",tabE.Flux[[#This Row],[MOTORISTA + MATRÍCULA A]])</f>
        <v>45905+CANCELADO</v>
      </c>
      <c r="D475" s="1" t="str">
        <f>_xlfn.CONCAT(tabE.Flux[[#This Row],[DATA]],"+",tabE.Flux[[#This Row],[MOTORISTA + MATRÍCULA B]])</f>
        <v>45905+CANCELADO</v>
      </c>
      <c r="E475" s="1" t="str">
        <f>_xlfn.CONCAT(tabE.Flux[[#This Row],[DATA]],"+",tabE.Flux[[#This Row],[MOTORISTA + MATRÍCULA A]],"+",tabE.Flux[[#This Row],[LINHA]])</f>
        <v>45905+CANCELADO+IMPERATRIZ (MA) X SÃO LUIS (MA)</v>
      </c>
      <c r="F475" s="1" t="str">
        <f>_xlfn.CONCAT(tabE.Flux[[#This Row],[DATA]],"+",tabE.Flux[[#This Row],[MOTORISTA + MATRÍCULA B]],"+",tabE.Flux[[#This Row],[LINHA]])</f>
        <v>45905+CANCELADO+IMPERATRIZ (MA) X SÃO LUIS (MA)</v>
      </c>
      <c r="G475" s="1" t="str">
        <f>_xlfn.CONCAT(tabE.Flux[[#This Row],[DATA]],"+",tabE.Flux[[#This Row],[LINHA]])</f>
        <v>45905+IMPERATRIZ (MA) X SÃO LUIS (MA)</v>
      </c>
      <c r="H475" s="125">
        <v>45905</v>
      </c>
      <c r="I475" s="1" t="s">
        <v>15</v>
      </c>
      <c r="J475" s="1" t="s">
        <v>27</v>
      </c>
      <c r="K475" s="126">
        <v>0.77083333333333337</v>
      </c>
      <c r="L475" s="126">
        <v>0.79513888888888884</v>
      </c>
      <c r="M475" s="1" t="s">
        <v>42</v>
      </c>
      <c r="N475" s="1" t="s">
        <v>16</v>
      </c>
      <c r="O475" s="1" t="s">
        <v>27</v>
      </c>
      <c r="P475" s="1" t="s">
        <v>27</v>
      </c>
      <c r="Q475" s="1" t="s">
        <v>47</v>
      </c>
    </row>
    <row r="476" spans="3:17" x14ac:dyDescent="0.25">
      <c r="C476" s="1" t="str">
        <f>_xlfn.CONCAT(tabE.Flux[[#This Row],[DATA]],"+",tabE.Flux[[#This Row],[MOTORISTA + MATRÍCULA A]])</f>
        <v>45905+COSME CAVALCANTE DA SILVA - 3002</v>
      </c>
      <c r="D476" s="1" t="str">
        <f>_xlfn.CONCAT(tabE.Flux[[#This Row],[DATA]],"+",tabE.Flux[[#This Row],[MOTORISTA + MATRÍCULA B]])</f>
        <v>45905+VILMAR JOSE CAMILO - 948</v>
      </c>
      <c r="E476" s="1" t="str">
        <f>_xlfn.CONCAT(tabE.Flux[[#This Row],[DATA]],"+",tabE.Flux[[#This Row],[MOTORISTA + MATRÍCULA A]],"+",tabE.Flux[[#This Row],[LINHA]])</f>
        <v>45905+COSME CAVALCANTE DA SILVA - 3002+GOIANIA (GO) X TERESINA (PI) VIA BC</v>
      </c>
      <c r="F476" s="1" t="str">
        <f>_xlfn.CONCAT(tabE.Flux[[#This Row],[DATA]],"+",tabE.Flux[[#This Row],[MOTORISTA + MATRÍCULA B]],"+",tabE.Flux[[#This Row],[LINHA]])</f>
        <v>45905+VILMAR JOSE CAMILO - 948+GOIANIA (GO) X TERESINA (PI) VIA BC</v>
      </c>
      <c r="G476" s="1" t="str">
        <f>_xlfn.CONCAT(tabE.Flux[[#This Row],[DATA]],"+",tabE.Flux[[#This Row],[LINHA]])</f>
        <v>45905+GOIANIA (GO) X TERESINA (PI) VIA BC</v>
      </c>
      <c r="H476" s="125">
        <v>45905</v>
      </c>
      <c r="I476" s="1" t="s">
        <v>15</v>
      </c>
      <c r="J476" s="1">
        <v>24015</v>
      </c>
      <c r="K476" s="126">
        <v>0.89583333333333337</v>
      </c>
      <c r="L476" s="126">
        <v>0.91666666666666663</v>
      </c>
      <c r="M476" s="1" t="s">
        <v>36</v>
      </c>
      <c r="N476" s="1" t="s">
        <v>17</v>
      </c>
      <c r="O476" s="1" t="s">
        <v>49</v>
      </c>
      <c r="P476" s="1" t="s">
        <v>95</v>
      </c>
      <c r="Q476" s="1" t="s">
        <v>39</v>
      </c>
    </row>
    <row r="477" spans="3:17" x14ac:dyDescent="0.25">
      <c r="C477" s="1" t="str">
        <f>_xlfn.CONCAT(tabE.Flux[[#This Row],[DATA]],"+",tabE.Flux[[#This Row],[MOTORISTA + MATRÍCULA A]])</f>
        <v>45905+JAIRO VIEIRA FERREIRA - 5835</v>
      </c>
      <c r="D477" s="1" t="str">
        <f>_xlfn.CONCAT(tabE.Flux[[#This Row],[DATA]],"+",tabE.Flux[[#This Row],[MOTORISTA + MATRÍCULA B]])</f>
        <v>45905+RAIMUNDO GUIMARAES ARAUJO - 1920</v>
      </c>
      <c r="E477" s="1" t="str">
        <f>_xlfn.CONCAT(tabE.Flux[[#This Row],[DATA]],"+",tabE.Flux[[#This Row],[MOTORISTA + MATRÍCULA A]],"+",tabE.Flux[[#This Row],[LINHA]])</f>
        <v>45905+JAIRO VIEIRA FERREIRA - 5835+GOIANIA (GO) X BELEM (PA)</v>
      </c>
      <c r="F477" s="1" t="str">
        <f>_xlfn.CONCAT(tabE.Flux[[#This Row],[DATA]],"+",tabE.Flux[[#This Row],[MOTORISTA + MATRÍCULA B]],"+",tabE.Flux[[#This Row],[LINHA]])</f>
        <v>45905+RAIMUNDO GUIMARAES ARAUJO - 1920+GOIANIA (GO) X BELEM (PA)</v>
      </c>
      <c r="G477" s="1" t="str">
        <f>_xlfn.CONCAT(tabE.Flux[[#This Row],[DATA]],"+",tabE.Flux[[#This Row],[LINHA]])</f>
        <v>45905+GOIANIA (GO) X BELEM (PA)</v>
      </c>
      <c r="H477" s="125">
        <v>45905</v>
      </c>
      <c r="I477" s="1" t="s">
        <v>15</v>
      </c>
      <c r="J477" s="1">
        <v>24011</v>
      </c>
      <c r="K477" s="126">
        <v>0.76041666666666663</v>
      </c>
      <c r="L477" s="126">
        <v>0.77083333333333337</v>
      </c>
      <c r="M477" s="1" t="s">
        <v>33</v>
      </c>
      <c r="N477" s="1" t="s">
        <v>16</v>
      </c>
      <c r="O477" s="1" t="s">
        <v>230</v>
      </c>
      <c r="P477" s="1" t="s">
        <v>231</v>
      </c>
      <c r="Q477" s="1" t="s">
        <v>20</v>
      </c>
    </row>
    <row r="478" spans="3:17" x14ac:dyDescent="0.25">
      <c r="C478" s="1" t="str">
        <f>_xlfn.CONCAT(tabE.Flux[[#This Row],[DATA]],"+",tabE.Flux[[#This Row],[MOTORISTA + MATRÍCULA A]])</f>
        <v>45905+JOSE POLICARPO DE SOUSA NETO - 1472</v>
      </c>
      <c r="D478" s="1" t="str">
        <f>_xlfn.CONCAT(tabE.Flux[[#This Row],[DATA]],"+",tabE.Flux[[#This Row],[MOTORISTA + MATRÍCULA B]])</f>
        <v>45905+EDUARDO SANTOS BEZERRA - 4066</v>
      </c>
      <c r="E478" s="1" t="str">
        <f>_xlfn.CONCAT(tabE.Flux[[#This Row],[DATA]],"+",tabE.Flux[[#This Row],[MOTORISTA + MATRÍCULA A]],"+",tabE.Flux[[#This Row],[LINHA]])</f>
        <v>45905+JOSE POLICARPO DE SOUSA NETO - 1472+GOIANIA (GO) X BELEM (PA)</v>
      </c>
      <c r="F478" s="1" t="str">
        <f>_xlfn.CONCAT(tabE.Flux[[#This Row],[DATA]],"+",tabE.Flux[[#This Row],[MOTORISTA + MATRÍCULA B]],"+",tabE.Flux[[#This Row],[LINHA]])</f>
        <v>45905+EDUARDO SANTOS BEZERRA - 4066+GOIANIA (GO) X BELEM (PA)</v>
      </c>
      <c r="G478" s="1" t="str">
        <f>_xlfn.CONCAT(tabE.Flux[[#This Row],[DATA]],"+",tabE.Flux[[#This Row],[LINHA]])</f>
        <v>45905+GOIANIA (GO) X BELEM (PA)</v>
      </c>
      <c r="H478" s="125">
        <v>45905</v>
      </c>
      <c r="I478" s="1" t="s">
        <v>15</v>
      </c>
      <c r="J478" s="1">
        <v>25009</v>
      </c>
      <c r="K478" s="126">
        <v>0.76041666666666663</v>
      </c>
      <c r="L478" s="126">
        <v>0.82777777777777772</v>
      </c>
      <c r="M478" s="1" t="s">
        <v>16</v>
      </c>
      <c r="N478" s="1" t="s">
        <v>33</v>
      </c>
      <c r="O478" s="1" t="s">
        <v>54</v>
      </c>
      <c r="P478" s="1" t="s">
        <v>148</v>
      </c>
      <c r="Q478" s="1" t="s">
        <v>20</v>
      </c>
    </row>
    <row r="479" spans="3:17" x14ac:dyDescent="0.25">
      <c r="C479" s="1" t="str">
        <f>_xlfn.CONCAT(tabE.Flux[[#This Row],[DATA]],"+",tabE.Flux[[#This Row],[MOTORISTA + MATRÍCULA A]])</f>
        <v>45905+MARCIO RODRIGUES DA COSTA - 5993</v>
      </c>
      <c r="D479" s="1" t="str">
        <f>_xlfn.CONCAT(tabE.Flux[[#This Row],[DATA]],"+",tabE.Flux[[#This Row],[MOTORISTA + MATRÍCULA B]])</f>
        <v>45905+LAUCEANDO DA SILVA ROCHA - 6220</v>
      </c>
      <c r="E479" s="1" t="str">
        <f>_xlfn.CONCAT(tabE.Flux[[#This Row],[DATA]],"+",tabE.Flux[[#This Row],[MOTORISTA + MATRÍCULA A]],"+",tabE.Flux[[#This Row],[LINHA]])</f>
        <v>45905+MARCIO RODRIGUES DA COSTA - 5993+GOIANIA (GO) X SAO LUIS (MA)</v>
      </c>
      <c r="F479" s="1" t="str">
        <f>_xlfn.CONCAT(tabE.Flux[[#This Row],[DATA]],"+",tabE.Flux[[#This Row],[MOTORISTA + MATRÍCULA B]],"+",tabE.Flux[[#This Row],[LINHA]])</f>
        <v>45905+LAUCEANDO DA SILVA ROCHA - 6220+GOIANIA (GO) X SAO LUIS (MA)</v>
      </c>
      <c r="G479" s="1" t="str">
        <f>_xlfn.CONCAT(tabE.Flux[[#This Row],[DATA]],"+",tabE.Flux[[#This Row],[LINHA]])</f>
        <v>45905+GOIANIA (GO) X SAO LUIS (MA)</v>
      </c>
      <c r="H479" s="125">
        <v>45905</v>
      </c>
      <c r="I479" s="1" t="s">
        <v>15</v>
      </c>
      <c r="J479" s="1">
        <v>20018</v>
      </c>
      <c r="K479" s="126">
        <v>0.40763888888888888</v>
      </c>
      <c r="L479" s="126">
        <v>0.47013888888888888</v>
      </c>
      <c r="M479" s="1" t="s">
        <v>16</v>
      </c>
      <c r="N479" s="1" t="s">
        <v>42</v>
      </c>
      <c r="O479" s="1" t="s">
        <v>107</v>
      </c>
      <c r="P479" s="1" t="s">
        <v>86</v>
      </c>
      <c r="Q479" s="1" t="s">
        <v>23</v>
      </c>
    </row>
    <row r="480" spans="3:17" x14ac:dyDescent="0.25">
      <c r="C480" s="1" t="str">
        <f>_xlfn.CONCAT(tabE.Flux[[#This Row],[DATA]],"+",tabE.Flux[[#This Row],[MOTORISTA + MATRÍCULA A]])</f>
        <v>45905+BERNARDO SOUZA LIMA - 1720</v>
      </c>
      <c r="D480" s="1" t="str">
        <f>_xlfn.CONCAT(tabE.Flux[[#This Row],[DATA]],"+",tabE.Flux[[#This Row],[MOTORISTA + MATRÍCULA B]])</f>
        <v>45905+EDIVALDO DE ARAUJO - 6217</v>
      </c>
      <c r="E480" s="1" t="str">
        <f>_xlfn.CONCAT(tabE.Flux[[#This Row],[DATA]],"+",tabE.Flux[[#This Row],[MOTORISTA + MATRÍCULA A]],"+",tabE.Flux[[#This Row],[LINHA]])</f>
        <v>45905+BERNARDO SOUZA LIMA - 1720+IMPERATRIZ (MA) X SÃO LUIS (MA)</v>
      </c>
      <c r="F480" s="1" t="str">
        <f>_xlfn.CONCAT(tabE.Flux[[#This Row],[DATA]],"+",tabE.Flux[[#This Row],[MOTORISTA + MATRÍCULA B]],"+",tabE.Flux[[#This Row],[LINHA]])</f>
        <v>45905+EDIVALDO DE ARAUJO - 6217+IMPERATRIZ (MA) X SÃO LUIS (MA)</v>
      </c>
      <c r="G480" s="1" t="str">
        <f>_xlfn.CONCAT(tabE.Flux[[#This Row],[DATA]],"+",tabE.Flux[[#This Row],[LINHA]])</f>
        <v>45905+IMPERATRIZ (MA) X SÃO LUIS (MA)</v>
      </c>
      <c r="H480" s="125">
        <v>45905</v>
      </c>
      <c r="I480" s="1" t="s">
        <v>15</v>
      </c>
      <c r="J480" s="1">
        <v>18008</v>
      </c>
      <c r="K480" s="126">
        <v>0.77083333333333337</v>
      </c>
      <c r="L480" s="126">
        <v>0.8125</v>
      </c>
      <c r="M480" s="1" t="s">
        <v>16</v>
      </c>
      <c r="N480" s="1" t="s">
        <v>42</v>
      </c>
      <c r="O480" s="1" t="s">
        <v>123</v>
      </c>
      <c r="P480" s="1" t="s">
        <v>55</v>
      </c>
      <c r="Q480" s="1" t="s">
        <v>47</v>
      </c>
    </row>
    <row r="481" spans="3:17" x14ac:dyDescent="0.25">
      <c r="C481" s="1" t="str">
        <f>_xlfn.CONCAT(tabE.Flux[[#This Row],[DATA]],"+",tabE.Flux[[#This Row],[MOTORISTA + MATRÍCULA A]])</f>
        <v>45905+MERVAL DE SOUSA - 2880</v>
      </c>
      <c r="D481" s="1" t="str">
        <f>_xlfn.CONCAT(tabE.Flux[[#This Row],[DATA]],"+",tabE.Flux[[#This Row],[MOTORISTA + MATRÍCULA B]])</f>
        <v>45905+ALTEMAR DO NASCIMENTO LIMA - 6225</v>
      </c>
      <c r="E481" s="1" t="str">
        <f>_xlfn.CONCAT(tabE.Flux[[#This Row],[DATA]],"+",tabE.Flux[[#This Row],[MOTORISTA + MATRÍCULA A]],"+",tabE.Flux[[#This Row],[LINHA]])</f>
        <v>45905+MERVAL DE SOUSA - 2880+GOIANIA (GO) X SAO LUIS (MA)</v>
      </c>
      <c r="F481" s="1" t="str">
        <f>_xlfn.CONCAT(tabE.Flux[[#This Row],[DATA]],"+",tabE.Flux[[#This Row],[MOTORISTA + MATRÍCULA B]],"+",tabE.Flux[[#This Row],[LINHA]])</f>
        <v>45905+ALTEMAR DO NASCIMENTO LIMA - 6225+GOIANIA (GO) X SAO LUIS (MA)</v>
      </c>
      <c r="G481" s="1" t="str">
        <f>_xlfn.CONCAT(tabE.Flux[[#This Row],[DATA]],"+",tabE.Flux[[#This Row],[LINHA]])</f>
        <v>45905+GOIANIA (GO) X SAO LUIS (MA)</v>
      </c>
      <c r="H481" s="125">
        <v>45905</v>
      </c>
      <c r="I481" s="1" t="s">
        <v>15</v>
      </c>
      <c r="J481" s="1">
        <v>24005</v>
      </c>
      <c r="K481" s="126">
        <v>0.8125</v>
      </c>
      <c r="L481" s="126">
        <v>0.84375</v>
      </c>
      <c r="M481" s="1" t="s">
        <v>16</v>
      </c>
      <c r="N481" s="1" t="s">
        <v>42</v>
      </c>
      <c r="O481" s="1" t="s">
        <v>44</v>
      </c>
      <c r="P481" s="1" t="s">
        <v>57</v>
      </c>
      <c r="Q481" s="1" t="s">
        <v>23</v>
      </c>
    </row>
    <row r="482" spans="3:17" x14ac:dyDescent="0.25">
      <c r="C482" s="1" t="str">
        <f>_xlfn.CONCAT(tabE.Flux[[#This Row],[DATA]],"+",tabE.Flux[[#This Row],[MOTORISTA + MATRÍCULA A]])</f>
        <v>45905+RAIMUNDO FERNANDES RIBEIRO - 907</v>
      </c>
      <c r="D482" s="1" t="str">
        <f>_xlfn.CONCAT(tabE.Flux[[#This Row],[DATA]],"+",tabE.Flux[[#This Row],[MOTORISTA + MATRÍCULA B]])</f>
        <v>45905+MARCOS AUGUSTO SILVA ROCHA - 5268</v>
      </c>
      <c r="E482" s="1" t="str">
        <f>_xlfn.CONCAT(tabE.Flux[[#This Row],[DATA]],"+",tabE.Flux[[#This Row],[MOTORISTA + MATRÍCULA A]],"+",tabE.Flux[[#This Row],[LINHA]])</f>
        <v>45905+RAIMUNDO FERNANDES RIBEIRO - 907+GOIANIA (GO) X TERESINA (PI) VIA STI</v>
      </c>
      <c r="F482" s="1" t="str">
        <f>_xlfn.CONCAT(tabE.Flux[[#This Row],[DATA]],"+",tabE.Flux[[#This Row],[MOTORISTA + MATRÍCULA B]],"+",tabE.Flux[[#This Row],[LINHA]])</f>
        <v>45905+MARCOS AUGUSTO SILVA ROCHA - 5268+GOIANIA (GO) X TERESINA (PI) VIA STI</v>
      </c>
      <c r="G482" s="1" t="str">
        <f>_xlfn.CONCAT(tabE.Flux[[#This Row],[DATA]],"+",tabE.Flux[[#This Row],[LINHA]])</f>
        <v>45905+GOIANIA (GO) X TERESINA (PI) VIA STI</v>
      </c>
      <c r="H482" s="125">
        <v>45905</v>
      </c>
      <c r="I482" s="1" t="s">
        <v>15</v>
      </c>
      <c r="J482" s="1">
        <v>17100</v>
      </c>
      <c r="K482" s="126">
        <v>0.77083333333333337</v>
      </c>
      <c r="L482" s="126">
        <v>0.79861111111111116</v>
      </c>
      <c r="M482" s="1" t="s">
        <v>16</v>
      </c>
      <c r="N482" s="1" t="s">
        <v>29</v>
      </c>
      <c r="O482" s="1" t="s">
        <v>143</v>
      </c>
      <c r="P482" s="1" t="s">
        <v>221</v>
      </c>
      <c r="Q482" s="1" t="s">
        <v>26</v>
      </c>
    </row>
    <row r="483" spans="3:17" x14ac:dyDescent="0.25">
      <c r="C483" s="1" t="str">
        <f>_xlfn.CONCAT(tabE.Flux[[#This Row],[DATA]],"+",tabE.Flux[[#This Row],[MOTORISTA + MATRÍCULA A]])</f>
        <v>45905+REGINALDO DE SOUSA OLIVEIRA - 5412</v>
      </c>
      <c r="D483" s="1" t="str">
        <f>_xlfn.CONCAT(tabE.Flux[[#This Row],[DATA]],"+",tabE.Flux[[#This Row],[MOTORISTA + MATRÍCULA B]])</f>
        <v>45905+MANOEL MESSIAS SILVA DOS SANTOS - 1833</v>
      </c>
      <c r="E483" s="1" t="str">
        <f>_xlfn.CONCAT(tabE.Flux[[#This Row],[DATA]],"+",tabE.Flux[[#This Row],[MOTORISTA + MATRÍCULA A]],"+",tabE.Flux[[#This Row],[LINHA]])</f>
        <v>45905+REGINALDO DE SOUSA OLIVEIRA - 5412+GOIANIA (GO) X SAO LUIS (MA)</v>
      </c>
      <c r="F483" s="1" t="str">
        <f>_xlfn.CONCAT(tabE.Flux[[#This Row],[DATA]],"+",tabE.Flux[[#This Row],[MOTORISTA + MATRÍCULA B]],"+",tabE.Flux[[#This Row],[LINHA]])</f>
        <v>45905+MANOEL MESSIAS SILVA DOS SANTOS - 1833+GOIANIA (GO) X SAO LUIS (MA)</v>
      </c>
      <c r="G483" s="1" t="str">
        <f>_xlfn.CONCAT(tabE.Flux[[#This Row],[DATA]],"+",tabE.Flux[[#This Row],[LINHA]])</f>
        <v>45905+GOIANIA (GO) X SAO LUIS (MA)</v>
      </c>
      <c r="H483" s="125">
        <v>45905</v>
      </c>
      <c r="I483" s="1" t="s">
        <v>15</v>
      </c>
      <c r="J483" s="1">
        <v>19015</v>
      </c>
      <c r="K483" s="126">
        <v>0.8125</v>
      </c>
      <c r="L483" s="126">
        <v>0.84166666666666667</v>
      </c>
      <c r="M483" s="1" t="s">
        <v>16</v>
      </c>
      <c r="N483" s="1" t="s">
        <v>17</v>
      </c>
      <c r="O483" s="1" t="s">
        <v>239</v>
      </c>
      <c r="P483" s="1" t="s">
        <v>173</v>
      </c>
      <c r="Q483" s="1" t="s">
        <v>23</v>
      </c>
    </row>
    <row r="484" spans="3:17" x14ac:dyDescent="0.25">
      <c r="C484" s="1" t="str">
        <f>_xlfn.CONCAT(tabE.Flux[[#This Row],[DATA]],"+",tabE.Flux[[#This Row],[MOTORISTA + MATRÍCULA A]])</f>
        <v>45905+ANTONIO JOSE PEREIRA SOARES - 1774</v>
      </c>
      <c r="D484" s="1" t="str">
        <f>_xlfn.CONCAT(tabE.Flux[[#This Row],[DATA]],"+",tabE.Flux[[#This Row],[MOTORISTA + MATRÍCULA B]])</f>
        <v>45905+LUIS ANTONIO FARIAS RIBEIRO - 2789</v>
      </c>
      <c r="E484" s="1" t="str">
        <f>_xlfn.CONCAT(tabE.Flux[[#This Row],[DATA]],"+",tabE.Flux[[#This Row],[MOTORISTA + MATRÍCULA A]],"+",tabE.Flux[[#This Row],[LINHA]])</f>
        <v>45905+ANTONIO JOSE PEREIRA SOARES - 1774+FORTALEZA (CE) X SINOP (MT)</v>
      </c>
      <c r="F484" s="1" t="str">
        <f>_xlfn.CONCAT(tabE.Flux[[#This Row],[DATA]],"+",tabE.Flux[[#This Row],[MOTORISTA + MATRÍCULA B]],"+",tabE.Flux[[#This Row],[LINHA]])</f>
        <v>45905+LUIS ANTONIO FARIAS RIBEIRO - 2789+FORTALEZA (CE) X SINOP (MT)</v>
      </c>
      <c r="G484" s="1" t="str">
        <f>_xlfn.CONCAT(tabE.Flux[[#This Row],[DATA]],"+",tabE.Flux[[#This Row],[LINHA]])</f>
        <v>45905+FORTALEZA (CE) X SINOP (MT)</v>
      </c>
      <c r="H484" s="125">
        <v>45905</v>
      </c>
      <c r="I484" s="1" t="s">
        <v>15</v>
      </c>
      <c r="J484" s="1">
        <v>19024</v>
      </c>
      <c r="K484" s="126">
        <v>0.8125</v>
      </c>
      <c r="L484" s="126">
        <v>0.85416666666666663</v>
      </c>
      <c r="M484" s="1" t="s">
        <v>16</v>
      </c>
      <c r="N484" s="1" t="s">
        <v>17</v>
      </c>
      <c r="O484" s="1" t="s">
        <v>52</v>
      </c>
      <c r="P484" s="1" t="s">
        <v>124</v>
      </c>
      <c r="Q484" s="1" t="s">
        <v>32</v>
      </c>
    </row>
    <row r="485" spans="3:17" x14ac:dyDescent="0.25">
      <c r="C485" s="1" t="str">
        <f>_xlfn.CONCAT(tabE.Flux[[#This Row],[DATA]],"+",tabE.Flux[[#This Row],[MOTORISTA + MATRÍCULA A]])</f>
        <v>45905+JOSE MARQUES DE SOUZA - 5771</v>
      </c>
      <c r="D485" s="1" t="str">
        <f>_xlfn.CONCAT(tabE.Flux[[#This Row],[DATA]],"+",tabE.Flux[[#This Row],[MOTORISTA + MATRÍCULA B]])</f>
        <v>45905+JANIO CEZAR DOS SANTOS - 6021</v>
      </c>
      <c r="E485" s="1" t="str">
        <f>_xlfn.CONCAT(tabE.Flux[[#This Row],[DATA]],"+",tabE.Flux[[#This Row],[MOTORISTA + MATRÍCULA A]],"+",tabE.Flux[[#This Row],[LINHA]])</f>
        <v>45905+JOSE MARQUES DE SOUZA - 5771+GOIANIA (GO) X BELEM (PA)</v>
      </c>
      <c r="F485" s="1" t="str">
        <f>_xlfn.CONCAT(tabE.Flux[[#This Row],[DATA]],"+",tabE.Flux[[#This Row],[MOTORISTA + MATRÍCULA B]],"+",tabE.Flux[[#This Row],[LINHA]])</f>
        <v>45905+JANIO CEZAR DOS SANTOS - 6021+GOIANIA (GO) X BELEM (PA)</v>
      </c>
      <c r="G485" s="1" t="str">
        <f>_xlfn.CONCAT(tabE.Flux[[#This Row],[DATA]],"+",tabE.Flux[[#This Row],[LINHA]])</f>
        <v>45905+GOIANIA (GO) X BELEM (PA)</v>
      </c>
      <c r="H485" s="125">
        <v>45905</v>
      </c>
      <c r="I485" s="1" t="s">
        <v>15</v>
      </c>
      <c r="J485" s="1">
        <v>19006</v>
      </c>
      <c r="K485" s="126">
        <v>0.84722222222222221</v>
      </c>
      <c r="L485" s="126">
        <v>0.87847222222222221</v>
      </c>
      <c r="M485" s="1" t="s">
        <v>16</v>
      </c>
      <c r="N485" s="1" t="s">
        <v>17</v>
      </c>
      <c r="O485" s="1" t="s">
        <v>97</v>
      </c>
      <c r="P485" s="1" t="s">
        <v>115</v>
      </c>
      <c r="Q485" s="1" t="s">
        <v>20</v>
      </c>
    </row>
    <row r="486" spans="3:17" x14ac:dyDescent="0.25">
      <c r="C486" s="1" t="str">
        <f>_xlfn.CONCAT(tabE.Flux[[#This Row],[DATA]],"+",tabE.Flux[[#This Row],[MOTORISTA + MATRÍCULA A]])</f>
        <v>+</v>
      </c>
      <c r="D486" s="1" t="str">
        <f>_xlfn.CONCAT(tabE.Flux[[#This Row],[DATA]],"+",tabE.Flux[[#This Row],[MOTORISTA + MATRÍCULA B]])</f>
        <v>+</v>
      </c>
      <c r="E486" s="1" t="str">
        <f>_xlfn.CONCAT(tabE.Flux[[#This Row],[DATA]],"+",tabE.Flux[[#This Row],[MOTORISTA + MATRÍCULA A]],"+",tabE.Flux[[#This Row],[LINHA]])</f>
        <v>++</v>
      </c>
      <c r="F486" s="1" t="str">
        <f>_xlfn.CONCAT(tabE.Flux[[#This Row],[DATA]],"+",tabE.Flux[[#This Row],[MOTORISTA + MATRÍCULA B]],"+",tabE.Flux[[#This Row],[LINHA]])</f>
        <v>++</v>
      </c>
      <c r="G486" s="1" t="str">
        <f>_xlfn.CONCAT(tabE.Flux[[#This Row],[DATA]],"+",tabE.Flux[[#This Row],[LINHA]])</f>
        <v>+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3:17" x14ac:dyDescent="0.25">
      <c r="C487" s="1" t="str">
        <f>_xlfn.CONCAT(tabE.Flux[[#This Row],[DATA]],"+",tabE.Flux[[#This Row],[MOTORISTA + MATRÍCULA A]])</f>
        <v>45906+VALDELY RIBEIRO CAETANO - 5743</v>
      </c>
      <c r="D487" s="1" t="str">
        <f>_xlfn.CONCAT(tabE.Flux[[#This Row],[DATA]],"+",tabE.Flux[[#This Row],[MOTORISTA + MATRÍCULA B]])</f>
        <v>45906+CORESTINO RODRIGUES CALDEIRA FILHO - 6035</v>
      </c>
      <c r="E487" s="1" t="str">
        <f>_xlfn.CONCAT(tabE.Flux[[#This Row],[DATA]],"+",tabE.Flux[[#This Row],[MOTORISTA + MATRÍCULA A]],"+",tabE.Flux[[#This Row],[LINHA]])</f>
        <v>45906+VALDELY RIBEIRO CAETANO - 5743+GOIANIA (GO) X BELEM (PA)</v>
      </c>
      <c r="F487" s="1" t="str">
        <f>_xlfn.CONCAT(tabE.Flux[[#This Row],[DATA]],"+",tabE.Flux[[#This Row],[MOTORISTA + MATRÍCULA B]],"+",tabE.Flux[[#This Row],[LINHA]])</f>
        <v>45906+CORESTINO RODRIGUES CALDEIRA FILHO - 6035+GOIANIA (GO) X BELEM (PA)</v>
      </c>
      <c r="G487" s="1" t="str">
        <f>_xlfn.CONCAT(tabE.Flux[[#This Row],[DATA]],"+",tabE.Flux[[#This Row],[LINHA]])</f>
        <v>45906+GOIANIA (GO) X BELEM (PA)</v>
      </c>
      <c r="H487" s="125">
        <v>45906</v>
      </c>
      <c r="I487" s="1" t="s">
        <v>15</v>
      </c>
      <c r="J487" s="1">
        <v>24011</v>
      </c>
      <c r="K487" s="126">
        <v>0.25486111111111109</v>
      </c>
      <c r="L487" s="126">
        <v>0.3</v>
      </c>
      <c r="M487" s="1" t="s">
        <v>16</v>
      </c>
      <c r="N487" s="1" t="s">
        <v>17</v>
      </c>
      <c r="O487" s="1" t="s">
        <v>98</v>
      </c>
      <c r="P487" s="1" t="s">
        <v>99</v>
      </c>
      <c r="Q487" s="1" t="s">
        <v>20</v>
      </c>
    </row>
    <row r="488" spans="3:17" x14ac:dyDescent="0.25">
      <c r="C488" s="1" t="str">
        <f>_xlfn.CONCAT(tabE.Flux[[#This Row],[DATA]],"+",tabE.Flux[[#This Row],[MOTORISTA + MATRÍCULA A]])</f>
        <v>45906+JOAO BATISTA DA SILVA - 1410</v>
      </c>
      <c r="D488" s="1" t="str">
        <f>_xlfn.CONCAT(tabE.Flux[[#This Row],[DATA]],"+",tabE.Flux[[#This Row],[MOTORISTA + MATRÍCULA B]])</f>
        <v>45906+WILLIAN DE SOUZA BANDEIRA - 2025</v>
      </c>
      <c r="E488" s="1" t="str">
        <f>_xlfn.CONCAT(tabE.Flux[[#This Row],[DATA]],"+",tabE.Flux[[#This Row],[MOTORISTA + MATRÍCULA A]],"+",tabE.Flux[[#This Row],[LINHA]])</f>
        <v>45906+JOAO BATISTA DA SILVA - 1410+GOIANIA (GO) X SAO LUIS (MA)</v>
      </c>
      <c r="F488" s="1" t="str">
        <f>_xlfn.CONCAT(tabE.Flux[[#This Row],[DATA]],"+",tabE.Flux[[#This Row],[MOTORISTA + MATRÍCULA B]],"+",tabE.Flux[[#This Row],[LINHA]])</f>
        <v>45906+WILLIAN DE SOUZA BANDEIRA - 2025+GOIANIA (GO) X SAO LUIS (MA)</v>
      </c>
      <c r="G488" s="1" t="str">
        <f>_xlfn.CONCAT(tabE.Flux[[#This Row],[DATA]],"+",tabE.Flux[[#This Row],[LINHA]])</f>
        <v>45906+GOIANIA (GO) X SAO LUIS (MA)</v>
      </c>
      <c r="H488" s="125">
        <v>45906</v>
      </c>
      <c r="I488" s="1" t="s">
        <v>15</v>
      </c>
      <c r="J488" s="1">
        <v>24003</v>
      </c>
      <c r="K488" s="126">
        <v>0.32291666666666669</v>
      </c>
      <c r="L488" s="126">
        <v>0.33333333333333331</v>
      </c>
      <c r="M488" s="1" t="s">
        <v>16</v>
      </c>
      <c r="N488" s="1" t="s">
        <v>17</v>
      </c>
      <c r="O488" s="1" t="s">
        <v>218</v>
      </c>
      <c r="P488" s="1" t="s">
        <v>219</v>
      </c>
      <c r="Q488" s="1" t="s">
        <v>23</v>
      </c>
    </row>
    <row r="489" spans="3:17" x14ac:dyDescent="0.25">
      <c r="C489" s="1" t="str">
        <f>_xlfn.CONCAT(tabE.Flux[[#This Row],[DATA]],"+",tabE.Flux[[#This Row],[MOTORISTA + MATRÍCULA A]])</f>
        <v>45906+ESLEI LOPES CHAVES - 2689</v>
      </c>
      <c r="D489" s="1" t="str">
        <f>_xlfn.CONCAT(tabE.Flux[[#This Row],[DATA]],"+",tabE.Flux[[#This Row],[MOTORISTA + MATRÍCULA B]])</f>
        <v>45906+RONALDO MANOEL TEIXEIRA - 2983</v>
      </c>
      <c r="E489" s="1" t="str">
        <f>_xlfn.CONCAT(tabE.Flux[[#This Row],[DATA]],"+",tabE.Flux[[#This Row],[MOTORISTA + MATRÍCULA A]],"+",tabE.Flux[[#This Row],[LINHA]])</f>
        <v>45906+ESLEI LOPES CHAVES - 2689+GOIANIA (GO) X TERESINA (PI) VIA STI</v>
      </c>
      <c r="F489" s="1" t="str">
        <f>_xlfn.CONCAT(tabE.Flux[[#This Row],[DATA]],"+",tabE.Flux[[#This Row],[MOTORISTA + MATRÍCULA B]],"+",tabE.Flux[[#This Row],[LINHA]])</f>
        <v>45906+RONALDO MANOEL TEIXEIRA - 2983+GOIANIA (GO) X TERESINA (PI) VIA STI</v>
      </c>
      <c r="G489" s="1" t="str">
        <f>_xlfn.CONCAT(tabE.Flux[[#This Row],[DATA]],"+",tabE.Flux[[#This Row],[LINHA]])</f>
        <v>45906+GOIANIA (GO) X TERESINA (PI) VIA STI</v>
      </c>
      <c r="H489" s="125">
        <v>45906</v>
      </c>
      <c r="I489" s="1" t="s">
        <v>15</v>
      </c>
      <c r="J489" s="1">
        <v>19002</v>
      </c>
      <c r="K489" s="126">
        <v>0.3888888888888889</v>
      </c>
      <c r="L489" s="126">
        <v>0.39583333333333331</v>
      </c>
      <c r="M489" s="1" t="s">
        <v>16</v>
      </c>
      <c r="N489" s="1" t="s">
        <v>17</v>
      </c>
      <c r="O489" s="1" t="s">
        <v>146</v>
      </c>
      <c r="P489" s="1" t="s">
        <v>240</v>
      </c>
      <c r="Q489" s="1" t="s">
        <v>26</v>
      </c>
    </row>
    <row r="490" spans="3:17" x14ac:dyDescent="0.25">
      <c r="C490" s="1" t="str">
        <f>_xlfn.CONCAT(tabE.Flux[[#This Row],[DATA]],"+",tabE.Flux[[#This Row],[MOTORISTA + MATRÍCULA A]])</f>
        <v>45906+CANCELADO</v>
      </c>
      <c r="D490" s="1" t="str">
        <f>_xlfn.CONCAT(tabE.Flux[[#This Row],[DATA]],"+",tabE.Flux[[#This Row],[MOTORISTA + MATRÍCULA B]])</f>
        <v>45906+CANCELADO</v>
      </c>
      <c r="E490" s="1" t="str">
        <f>_xlfn.CONCAT(tabE.Flux[[#This Row],[DATA]],"+",tabE.Flux[[#This Row],[MOTORISTA + MATRÍCULA A]],"+",tabE.Flux[[#This Row],[LINHA]])</f>
        <v>45906+CANCELADO+</v>
      </c>
      <c r="F490" s="1" t="str">
        <f>_xlfn.CONCAT(tabE.Flux[[#This Row],[DATA]],"+",tabE.Flux[[#This Row],[MOTORISTA + MATRÍCULA B]],"+",tabE.Flux[[#This Row],[LINHA]])</f>
        <v>45906+CANCELADO+</v>
      </c>
      <c r="G490" s="1" t="str">
        <f>_xlfn.CONCAT(tabE.Flux[[#This Row],[DATA]],"+",tabE.Flux[[#This Row],[LINHA]])</f>
        <v>45906+</v>
      </c>
      <c r="H490" s="125">
        <v>45906</v>
      </c>
      <c r="I490" s="1" t="s">
        <v>15</v>
      </c>
      <c r="J490" s="1" t="s">
        <v>27</v>
      </c>
      <c r="K490" s="126">
        <v>0.375</v>
      </c>
      <c r="L490" s="126">
        <v>0.41666666666666669</v>
      </c>
      <c r="M490" s="1" t="s">
        <v>16</v>
      </c>
      <c r="N490" s="1" t="s">
        <v>28</v>
      </c>
      <c r="O490" s="1" t="s">
        <v>27</v>
      </c>
      <c r="P490" s="1" t="s">
        <v>27</v>
      </c>
      <c r="Q490" s="1"/>
    </row>
    <row r="491" spans="3:17" x14ac:dyDescent="0.25">
      <c r="C491" s="1" t="str">
        <f>_xlfn.CONCAT(tabE.Flux[[#This Row],[DATA]],"+",tabE.Flux[[#This Row],[MOTORISTA + MATRÍCULA A]])</f>
        <v>45906+BRUNO MATOS DA ROCHA - 6013</v>
      </c>
      <c r="D491" s="1" t="str">
        <f>_xlfn.CONCAT(tabE.Flux[[#This Row],[DATA]],"+",tabE.Flux[[#This Row],[MOTORISTA + MATRÍCULA B]])</f>
        <v>45906+ANTONIO LEONESIO CAMPELO DA SILVA - 5303</v>
      </c>
      <c r="E491" s="1" t="str">
        <f>_xlfn.CONCAT(tabE.Flux[[#This Row],[DATA]],"+",tabE.Flux[[#This Row],[MOTORISTA + MATRÍCULA A]],"+",tabE.Flux[[#This Row],[LINHA]])</f>
        <v>45906+BRUNO MATOS DA ROCHA - 6013+FORTALEZA (CE) X SINOP (MT)</v>
      </c>
      <c r="F491" s="1" t="str">
        <f>_xlfn.CONCAT(tabE.Flux[[#This Row],[DATA]],"+",tabE.Flux[[#This Row],[MOTORISTA + MATRÍCULA B]],"+",tabE.Flux[[#This Row],[LINHA]])</f>
        <v>45906+ANTONIO LEONESIO CAMPELO DA SILVA - 5303+FORTALEZA (CE) X SINOP (MT)</v>
      </c>
      <c r="G491" s="1" t="str">
        <f>_xlfn.CONCAT(tabE.Flux[[#This Row],[DATA]],"+",tabE.Flux[[#This Row],[LINHA]])</f>
        <v>45906+FORTALEZA (CE) X SINOP (MT)</v>
      </c>
      <c r="H491" s="125">
        <v>45906</v>
      </c>
      <c r="I491" s="1" t="s">
        <v>15</v>
      </c>
      <c r="J491" s="1">
        <v>19009</v>
      </c>
      <c r="K491" s="126">
        <v>0.3888888888888889</v>
      </c>
      <c r="L491" s="126">
        <v>0.37708333333333333</v>
      </c>
      <c r="M491" s="1" t="s">
        <v>16</v>
      </c>
      <c r="N491" s="1" t="s">
        <v>29</v>
      </c>
      <c r="O491" s="1" t="s">
        <v>147</v>
      </c>
      <c r="P491" s="1" t="s">
        <v>111</v>
      </c>
      <c r="Q491" s="1" t="s">
        <v>32</v>
      </c>
    </row>
    <row r="492" spans="3:17" x14ac:dyDescent="0.25">
      <c r="C492" s="1" t="str">
        <f>_xlfn.CONCAT(tabE.Flux[[#This Row],[DATA]],"+",tabE.Flux[[#This Row],[MOTORISTA + MATRÍCULA A]])</f>
        <v>45906+RONALDO ADRIANO COSTA SANTOS - 5637</v>
      </c>
      <c r="D492" s="1" t="str">
        <f>_xlfn.CONCAT(tabE.Flux[[#This Row],[DATA]],"+",tabE.Flux[[#This Row],[MOTORISTA + MATRÍCULA B]])</f>
        <v>45906+VALDEY OLIVEIRA ARAUJO - 2790</v>
      </c>
      <c r="E492" s="1" t="str">
        <f>_xlfn.CONCAT(tabE.Flux[[#This Row],[DATA]],"+",tabE.Flux[[#This Row],[MOTORISTA + MATRÍCULA A]],"+",tabE.Flux[[#This Row],[LINHA]])</f>
        <v>45906+RONALDO ADRIANO COSTA SANTOS - 5637+GOIANIA (GO) X BELEM (PA)</v>
      </c>
      <c r="F492" s="1" t="str">
        <f>_xlfn.CONCAT(tabE.Flux[[#This Row],[DATA]],"+",tabE.Flux[[#This Row],[MOTORISTA + MATRÍCULA B]],"+",tabE.Flux[[#This Row],[LINHA]])</f>
        <v>45906+VALDEY OLIVEIRA ARAUJO - 2790+GOIANIA (GO) X BELEM (PA)</v>
      </c>
      <c r="G492" s="1" t="str">
        <f>_xlfn.CONCAT(tabE.Flux[[#This Row],[DATA]],"+",tabE.Flux[[#This Row],[LINHA]])</f>
        <v>45906+GOIANIA (GO) X BELEM (PA)</v>
      </c>
      <c r="H492" s="125">
        <v>45906</v>
      </c>
      <c r="I492" s="1" t="s">
        <v>15</v>
      </c>
      <c r="J492" s="1">
        <v>17700</v>
      </c>
      <c r="K492" s="126">
        <v>0.38958333333333334</v>
      </c>
      <c r="L492" s="126">
        <v>0.38541666666666669</v>
      </c>
      <c r="M492" s="1" t="s">
        <v>16</v>
      </c>
      <c r="N492" s="1" t="s">
        <v>33</v>
      </c>
      <c r="O492" s="1" t="s">
        <v>41</v>
      </c>
      <c r="P492" s="1" t="s">
        <v>34</v>
      </c>
      <c r="Q492" s="1" t="s">
        <v>20</v>
      </c>
    </row>
    <row r="493" spans="3:17" x14ac:dyDescent="0.25">
      <c r="C493" s="1" t="str">
        <f>_xlfn.CONCAT(tabE.Flux[[#This Row],[DATA]],"+",tabE.Flux[[#This Row],[MOTORISTA + MATRÍCULA A]])</f>
        <v>45906+JWEBISON DE BRITO SOUZA - 2999</v>
      </c>
      <c r="D493" s="1" t="str">
        <f>_xlfn.CONCAT(tabE.Flux[[#This Row],[DATA]],"+",tabE.Flux[[#This Row],[MOTORISTA + MATRÍCULA B]])</f>
        <v>45906+DAVID ALVES PEREIRA - 5300</v>
      </c>
      <c r="E493" s="1" t="str">
        <f>_xlfn.CONCAT(tabE.Flux[[#This Row],[DATA]],"+",tabE.Flux[[#This Row],[MOTORISTA + MATRÍCULA A]],"+",tabE.Flux[[#This Row],[LINHA]])</f>
        <v>45906+JWEBISON DE BRITO SOUZA - 2999+GOIANIA (GO) X TERESINA (PI) VIA BC</v>
      </c>
      <c r="F493" s="1" t="str">
        <f>_xlfn.CONCAT(tabE.Flux[[#This Row],[DATA]],"+",tabE.Flux[[#This Row],[MOTORISTA + MATRÍCULA B]],"+",tabE.Flux[[#This Row],[LINHA]])</f>
        <v>45906+DAVID ALVES PEREIRA - 5300+GOIANIA (GO) X TERESINA (PI) VIA BC</v>
      </c>
      <c r="G493" s="1" t="str">
        <f>_xlfn.CONCAT(tabE.Flux[[#This Row],[DATA]],"+",tabE.Flux[[#This Row],[LINHA]])</f>
        <v>45906+GOIANIA (GO) X TERESINA (PI) VIA BC</v>
      </c>
      <c r="H493" s="125">
        <v>45906</v>
      </c>
      <c r="I493" s="1" t="s">
        <v>15</v>
      </c>
      <c r="J493" s="1">
        <v>25007</v>
      </c>
      <c r="K493" s="126">
        <v>0.375</v>
      </c>
      <c r="L493" s="126">
        <v>0.39930555555555558</v>
      </c>
      <c r="M493" s="1" t="s">
        <v>36</v>
      </c>
      <c r="N493" s="1" t="s">
        <v>29</v>
      </c>
      <c r="O493" s="1" t="s">
        <v>77</v>
      </c>
      <c r="P493" s="1" t="s">
        <v>197</v>
      </c>
      <c r="Q493" s="1" t="s">
        <v>39</v>
      </c>
    </row>
    <row r="494" spans="3:17" x14ac:dyDescent="0.25">
      <c r="C494" s="1" t="str">
        <f>_xlfn.CONCAT(tabE.Flux[[#This Row],[DATA]],"+",tabE.Flux[[#This Row],[MOTORISTA + MATRÍCULA A]])</f>
        <v>45906+JOSE HAILTON PEREIRA DOS SANTOS - 6018</v>
      </c>
      <c r="D494" s="1" t="str">
        <f>_xlfn.CONCAT(tabE.Flux[[#This Row],[DATA]],"+",tabE.Flux[[#This Row],[MOTORISTA + MATRÍCULA B]])</f>
        <v>45906+ANDSON WAGNER NASCIMENTO SOUZA - 2902</v>
      </c>
      <c r="E494" s="1" t="str">
        <f>_xlfn.CONCAT(tabE.Flux[[#This Row],[DATA]],"+",tabE.Flux[[#This Row],[MOTORISTA + MATRÍCULA A]],"+",tabE.Flux[[#This Row],[LINHA]])</f>
        <v>45906+JOSE HAILTON PEREIRA DOS SANTOS - 6018+GOIANIA (GO) X BELEM (PA)</v>
      </c>
      <c r="F494" s="1" t="str">
        <f>_xlfn.CONCAT(tabE.Flux[[#This Row],[DATA]],"+",tabE.Flux[[#This Row],[MOTORISTA + MATRÍCULA B]],"+",tabE.Flux[[#This Row],[LINHA]])</f>
        <v>45906+ANDSON WAGNER NASCIMENTO SOUZA - 2902+GOIANIA (GO) X BELEM (PA)</v>
      </c>
      <c r="G494" s="1" t="str">
        <f>_xlfn.CONCAT(tabE.Flux[[#This Row],[DATA]],"+",tabE.Flux[[#This Row],[LINHA]])</f>
        <v>45906+GOIANIA (GO) X BELEM (PA)</v>
      </c>
      <c r="H494" s="125">
        <v>45906</v>
      </c>
      <c r="I494" s="1" t="s">
        <v>15</v>
      </c>
      <c r="J494" s="1">
        <v>20017</v>
      </c>
      <c r="K494" s="126">
        <v>0.375</v>
      </c>
      <c r="L494" s="126">
        <v>0.41666666666666669</v>
      </c>
      <c r="M494" s="1" t="s">
        <v>33</v>
      </c>
      <c r="N494" s="1" t="s">
        <v>16</v>
      </c>
      <c r="O494" s="1" t="s">
        <v>141</v>
      </c>
      <c r="P494" s="1" t="s">
        <v>232</v>
      </c>
      <c r="Q494" s="1" t="s">
        <v>20</v>
      </c>
    </row>
    <row r="495" spans="3:17" x14ac:dyDescent="0.25">
      <c r="C495" s="1" t="str">
        <f>_xlfn.CONCAT(tabE.Flux[[#This Row],[DATA]],"+",tabE.Flux[[#This Row],[MOTORISTA + MATRÍCULA A]])</f>
        <v>45906+CARLOS ADRIANO DE SOUZA DO NASCIMENTO - 6222</v>
      </c>
      <c r="D495" s="1" t="str">
        <f>_xlfn.CONCAT(tabE.Flux[[#This Row],[DATA]],"+",tabE.Flux[[#This Row],[MOTORISTA + MATRÍCULA B]])</f>
        <v>45906+MARCIO RODRIGUES DA COSTA - 5993</v>
      </c>
      <c r="E495" s="1" t="str">
        <f>_xlfn.CONCAT(tabE.Flux[[#This Row],[DATA]],"+",tabE.Flux[[#This Row],[MOTORISTA + MATRÍCULA A]],"+",tabE.Flux[[#This Row],[LINHA]])</f>
        <v>45906+CARLOS ADRIANO DE SOUZA DO NASCIMENTO - 6222+GOIANIA (GO) X SAO LUIS (MA)</v>
      </c>
      <c r="F495" s="1" t="str">
        <f>_xlfn.CONCAT(tabE.Flux[[#This Row],[DATA]],"+",tabE.Flux[[#This Row],[MOTORISTA + MATRÍCULA B]],"+",tabE.Flux[[#This Row],[LINHA]])</f>
        <v>45906+MARCIO RODRIGUES DA COSTA - 5993+GOIANIA (GO) X SAO LUIS (MA)</v>
      </c>
      <c r="G495" s="1" t="str">
        <f>_xlfn.CONCAT(tabE.Flux[[#This Row],[DATA]],"+",tabE.Flux[[#This Row],[LINHA]])</f>
        <v>45906+GOIANIA (GO) X SAO LUIS (MA)</v>
      </c>
      <c r="H495" s="125">
        <v>45906</v>
      </c>
      <c r="I495" s="1" t="s">
        <v>15</v>
      </c>
      <c r="J495" s="1">
        <v>15600</v>
      </c>
      <c r="K495" s="126">
        <v>0.25</v>
      </c>
      <c r="L495" s="126">
        <v>0.29166666666666669</v>
      </c>
      <c r="M495" s="1" t="s">
        <v>42</v>
      </c>
      <c r="N495" s="1" t="s">
        <v>16</v>
      </c>
      <c r="O495" s="1" t="s">
        <v>110</v>
      </c>
      <c r="P495" s="1" t="s">
        <v>107</v>
      </c>
      <c r="Q495" s="1" t="s">
        <v>23</v>
      </c>
    </row>
    <row r="496" spans="3:17" x14ac:dyDescent="0.25">
      <c r="C496" s="1" t="str">
        <f>_xlfn.CONCAT(tabE.Flux[[#This Row],[DATA]],"+",tabE.Flux[[#This Row],[MOTORISTA + MATRÍCULA A]])</f>
        <v>45906+RAIMUNDO COSTA SILVA - 6226</v>
      </c>
      <c r="D496" s="1" t="str">
        <f>_xlfn.CONCAT(tabE.Flux[[#This Row],[DATA]],"+",tabE.Flux[[#This Row],[MOTORISTA + MATRÍCULA B]])</f>
        <v>45906+MERVAL DE SOUSA - 2880</v>
      </c>
      <c r="E496" s="1" t="str">
        <f>_xlfn.CONCAT(tabE.Flux[[#This Row],[DATA]],"+",tabE.Flux[[#This Row],[MOTORISTA + MATRÍCULA A]],"+",tabE.Flux[[#This Row],[LINHA]])</f>
        <v>45906+RAIMUNDO COSTA SILVA - 6226+GOIANIA (GO) X SAO LUIS (MA)</v>
      </c>
      <c r="F496" s="1" t="str">
        <f>_xlfn.CONCAT(tabE.Flux[[#This Row],[DATA]],"+",tabE.Flux[[#This Row],[MOTORISTA + MATRÍCULA B]],"+",tabE.Flux[[#This Row],[LINHA]])</f>
        <v>45906+MERVAL DE SOUSA - 2880+GOIANIA (GO) X SAO LUIS (MA)</v>
      </c>
      <c r="G496" s="1" t="str">
        <f>_xlfn.CONCAT(tabE.Flux[[#This Row],[DATA]],"+",tabE.Flux[[#This Row],[LINHA]])</f>
        <v>45906+GOIANIA (GO) X SAO LUIS (MA)</v>
      </c>
      <c r="H496" s="125">
        <v>45906</v>
      </c>
      <c r="I496" s="1" t="s">
        <v>15</v>
      </c>
      <c r="J496" s="1">
        <v>24005</v>
      </c>
      <c r="K496" s="126">
        <v>0.75</v>
      </c>
      <c r="L496" s="126">
        <v>0.79166666666666663</v>
      </c>
      <c r="M496" s="1" t="s">
        <v>42</v>
      </c>
      <c r="N496" s="1" t="s">
        <v>16</v>
      </c>
      <c r="O496" s="1" t="s">
        <v>45</v>
      </c>
      <c r="P496" s="1" t="s">
        <v>44</v>
      </c>
      <c r="Q496" s="1" t="s">
        <v>23</v>
      </c>
    </row>
    <row r="497" spans="3:17" x14ac:dyDescent="0.25">
      <c r="C497" s="1" t="str">
        <f>_xlfn.CONCAT(tabE.Flux[[#This Row],[DATA]],"+",tabE.Flux[[#This Row],[MOTORISTA + MATRÍCULA A]])</f>
        <v>45906+CANCELADO</v>
      </c>
      <c r="D497" s="1" t="str">
        <f>_xlfn.CONCAT(tabE.Flux[[#This Row],[DATA]],"+",tabE.Flux[[#This Row],[MOTORISTA + MATRÍCULA B]])</f>
        <v>45906+CANCELADO</v>
      </c>
      <c r="E497" s="1" t="str">
        <f>_xlfn.CONCAT(tabE.Flux[[#This Row],[DATA]],"+",tabE.Flux[[#This Row],[MOTORISTA + MATRÍCULA A]],"+",tabE.Flux[[#This Row],[LINHA]])</f>
        <v>45906+CANCELADO+IMPERATRIZ (MA) X SÃO LUIS (MA)</v>
      </c>
      <c r="F497" s="1" t="str">
        <f>_xlfn.CONCAT(tabE.Flux[[#This Row],[DATA]],"+",tabE.Flux[[#This Row],[MOTORISTA + MATRÍCULA B]],"+",tabE.Flux[[#This Row],[LINHA]])</f>
        <v>45906+CANCELADO+IMPERATRIZ (MA) X SÃO LUIS (MA)</v>
      </c>
      <c r="G497" s="1" t="str">
        <f>_xlfn.CONCAT(tabE.Flux[[#This Row],[DATA]],"+",tabE.Flux[[#This Row],[LINHA]])</f>
        <v>45906+IMPERATRIZ (MA) X SÃO LUIS (MA)</v>
      </c>
      <c r="H497" s="125">
        <v>45906</v>
      </c>
      <c r="I497" s="1" t="s">
        <v>15</v>
      </c>
      <c r="J497" s="1" t="s">
        <v>27</v>
      </c>
      <c r="K497" s="126">
        <v>0.77083333333333337</v>
      </c>
      <c r="L497" s="126">
        <v>0.79513888888888884</v>
      </c>
      <c r="M497" s="1" t="s">
        <v>42</v>
      </c>
      <c r="N497" s="1" t="s">
        <v>16</v>
      </c>
      <c r="O497" s="1" t="s">
        <v>27</v>
      </c>
      <c r="P497" s="1" t="s">
        <v>27</v>
      </c>
      <c r="Q497" s="1" t="s">
        <v>47</v>
      </c>
    </row>
    <row r="498" spans="3:17" x14ac:dyDescent="0.25">
      <c r="C498" s="1" t="str">
        <f>_xlfn.CONCAT(tabE.Flux[[#This Row],[DATA]],"+",tabE.Flux[[#This Row],[MOTORISTA + MATRÍCULA A]])</f>
        <v>45906+LUIZ CARLOS DE ARAUJO - 1960</v>
      </c>
      <c r="D498" s="1" t="str">
        <f>_xlfn.CONCAT(tabE.Flux[[#This Row],[DATA]],"+",tabE.Flux[[#This Row],[MOTORISTA + MATRÍCULA B]])</f>
        <v>45906+LUIZ CARLOS GOMES DA SILVA - 1961</v>
      </c>
      <c r="E498" s="1" t="str">
        <f>_xlfn.CONCAT(tabE.Flux[[#This Row],[DATA]],"+",tabE.Flux[[#This Row],[MOTORISTA + MATRÍCULA A]],"+",tabE.Flux[[#This Row],[LINHA]])</f>
        <v>45906+LUIZ CARLOS DE ARAUJO - 1960+GOIANIA (GO) X TERESINA (PI) VIA BC</v>
      </c>
      <c r="F498" s="1" t="str">
        <f>_xlfn.CONCAT(tabE.Flux[[#This Row],[DATA]],"+",tabE.Flux[[#This Row],[MOTORISTA + MATRÍCULA B]],"+",tabE.Flux[[#This Row],[LINHA]])</f>
        <v>45906+LUIZ CARLOS GOMES DA SILVA - 1961+GOIANIA (GO) X TERESINA (PI) VIA BC</v>
      </c>
      <c r="G498" s="1" t="str">
        <f>_xlfn.CONCAT(tabE.Flux[[#This Row],[DATA]],"+",tabE.Flux[[#This Row],[LINHA]])</f>
        <v>45906+GOIANIA (GO) X TERESINA (PI) VIA BC</v>
      </c>
      <c r="H498" s="125">
        <v>45906</v>
      </c>
      <c r="I498" s="1" t="s">
        <v>15</v>
      </c>
      <c r="J498" s="1">
        <v>24001</v>
      </c>
      <c r="K498" s="126">
        <v>0.89583333333333337</v>
      </c>
      <c r="L498" s="126">
        <v>0.91666666666666663</v>
      </c>
      <c r="M498" s="1" t="s">
        <v>36</v>
      </c>
      <c r="N498" s="1" t="s">
        <v>17</v>
      </c>
      <c r="O498" s="1" t="s">
        <v>24</v>
      </c>
      <c r="P498" s="1" t="s">
        <v>25</v>
      </c>
      <c r="Q498" s="1" t="s">
        <v>39</v>
      </c>
    </row>
    <row r="499" spans="3:17" x14ac:dyDescent="0.25">
      <c r="C499" s="1" t="str">
        <f>_xlfn.CONCAT(tabE.Flux[[#This Row],[DATA]],"+",tabE.Flux[[#This Row],[MOTORISTA + MATRÍCULA A]])</f>
        <v>45906+MARCOS ATAIDE SILVA - 1352</v>
      </c>
      <c r="D499" s="1" t="str">
        <f>_xlfn.CONCAT(tabE.Flux[[#This Row],[DATA]],"+",tabE.Flux[[#This Row],[MOTORISTA + MATRÍCULA B]])</f>
        <v>45906+ANDRE SOUSA REIS - 2644</v>
      </c>
      <c r="E499" s="1" t="str">
        <f>_xlfn.CONCAT(tabE.Flux[[#This Row],[DATA]],"+",tabE.Flux[[#This Row],[MOTORISTA + MATRÍCULA A]],"+",tabE.Flux[[#This Row],[LINHA]])</f>
        <v>45906+MARCOS ATAIDE SILVA - 1352+GOIANIA (GO) X BELEM (PA)</v>
      </c>
      <c r="F499" s="1" t="str">
        <f>_xlfn.CONCAT(tabE.Flux[[#This Row],[DATA]],"+",tabE.Flux[[#This Row],[MOTORISTA + MATRÍCULA B]],"+",tabE.Flux[[#This Row],[LINHA]])</f>
        <v>45906+ANDRE SOUSA REIS - 2644+GOIANIA (GO) X BELEM (PA)</v>
      </c>
      <c r="G499" s="1" t="str">
        <f>_xlfn.CONCAT(tabE.Flux[[#This Row],[DATA]],"+",tabE.Flux[[#This Row],[LINHA]])</f>
        <v>45906+GOIANIA (GO) X BELEM (PA)</v>
      </c>
      <c r="H499" s="125">
        <v>45906</v>
      </c>
      <c r="I499" s="1" t="s">
        <v>15</v>
      </c>
      <c r="J499" s="1">
        <v>25009</v>
      </c>
      <c r="K499" s="126">
        <v>0.76041666666666663</v>
      </c>
      <c r="L499" s="126">
        <v>0.77083333333333337</v>
      </c>
      <c r="M499" s="1" t="s">
        <v>33</v>
      </c>
      <c r="N499" s="1" t="s">
        <v>16</v>
      </c>
      <c r="O499" s="1" t="s">
        <v>113</v>
      </c>
      <c r="P499" s="1" t="s">
        <v>63</v>
      </c>
      <c r="Q499" s="1" t="s">
        <v>20</v>
      </c>
    </row>
    <row r="500" spans="3:17" x14ac:dyDescent="0.25">
      <c r="C500" s="1" t="str">
        <f>_xlfn.CONCAT(tabE.Flux[[#This Row],[DATA]],"+",tabE.Flux[[#This Row],[MOTORISTA + MATRÍCULA A]])</f>
        <v>45906+WESLEY SILVA PAIVA - 5638</v>
      </c>
      <c r="D500" s="1" t="str">
        <f>_xlfn.CONCAT(tabE.Flux[[#This Row],[DATA]],"+",tabE.Flux[[#This Row],[MOTORISTA + MATRÍCULA B]])</f>
        <v>45906+ANTONIO RAMIRO WEBER - 5452</v>
      </c>
      <c r="E500" s="1" t="str">
        <f>_xlfn.CONCAT(tabE.Flux[[#This Row],[DATA]],"+",tabE.Flux[[#This Row],[MOTORISTA + MATRÍCULA A]],"+",tabE.Flux[[#This Row],[LINHA]])</f>
        <v>45906+WESLEY SILVA PAIVA - 5638+GOIANIA (GO) X BELEM (PA)</v>
      </c>
      <c r="F500" s="1" t="str">
        <f>_xlfn.CONCAT(tabE.Flux[[#This Row],[DATA]],"+",tabE.Flux[[#This Row],[MOTORISTA + MATRÍCULA B]],"+",tabE.Flux[[#This Row],[LINHA]])</f>
        <v>45906+ANTONIO RAMIRO WEBER - 5452+GOIANIA (GO) X BELEM (PA)</v>
      </c>
      <c r="G500" s="1" t="str">
        <f>_xlfn.CONCAT(tabE.Flux[[#This Row],[DATA]],"+",tabE.Flux[[#This Row],[LINHA]])</f>
        <v>45906+GOIANIA (GO) X BELEM (PA)</v>
      </c>
      <c r="H500" s="125">
        <v>45906</v>
      </c>
      <c r="I500" s="1" t="s">
        <v>15</v>
      </c>
      <c r="J500" s="1">
        <v>25005</v>
      </c>
      <c r="K500" s="126">
        <v>0.76041666666666663</v>
      </c>
      <c r="L500" s="126">
        <v>0.82777777777777772</v>
      </c>
      <c r="M500" s="1" t="s">
        <v>16</v>
      </c>
      <c r="N500" s="1" t="s">
        <v>33</v>
      </c>
      <c r="O500" s="1" t="s">
        <v>112</v>
      </c>
      <c r="P500" s="1" t="s">
        <v>79</v>
      </c>
      <c r="Q500" s="1" t="s">
        <v>20</v>
      </c>
    </row>
    <row r="501" spans="3:17" x14ac:dyDescent="0.25">
      <c r="C501" s="1" t="str">
        <f>_xlfn.CONCAT(tabE.Flux[[#This Row],[DATA]],"+",tabE.Flux[[#This Row],[MOTORISTA + MATRÍCULA A]])</f>
        <v>45906+FABIO MOREIRA DOS SANTOS - 3073</v>
      </c>
      <c r="D501" s="1" t="str">
        <f>_xlfn.CONCAT(tabE.Flux[[#This Row],[DATA]],"+",tabE.Flux[[#This Row],[MOTORISTA + MATRÍCULA B]])</f>
        <v>45906+PAULO ENEAS FARIAS ARAUJO - 6218</v>
      </c>
      <c r="E501" s="1" t="str">
        <f>_xlfn.CONCAT(tabE.Flux[[#This Row],[DATA]],"+",tabE.Flux[[#This Row],[MOTORISTA + MATRÍCULA A]],"+",tabE.Flux[[#This Row],[LINHA]])</f>
        <v>45906+FABIO MOREIRA DOS SANTOS - 3073+GOIANIA (GO) X SAO LUIS (MA)</v>
      </c>
      <c r="F501" s="1" t="str">
        <f>_xlfn.CONCAT(tabE.Flux[[#This Row],[DATA]],"+",tabE.Flux[[#This Row],[MOTORISTA + MATRÍCULA B]],"+",tabE.Flux[[#This Row],[LINHA]])</f>
        <v>45906+PAULO ENEAS FARIAS ARAUJO - 6218+GOIANIA (GO) X SAO LUIS (MA)</v>
      </c>
      <c r="G501" s="1" t="str">
        <f>_xlfn.CONCAT(tabE.Flux[[#This Row],[DATA]],"+",tabE.Flux[[#This Row],[LINHA]])</f>
        <v>45906+GOIANIA (GO) X SAO LUIS (MA)</v>
      </c>
      <c r="H501" s="125">
        <v>45906</v>
      </c>
      <c r="I501" s="1" t="s">
        <v>15</v>
      </c>
      <c r="J501" s="1">
        <v>19007</v>
      </c>
      <c r="K501" s="126">
        <v>0.40763888888888888</v>
      </c>
      <c r="L501" s="126">
        <v>0.47013888888888888</v>
      </c>
      <c r="M501" s="1" t="s">
        <v>16</v>
      </c>
      <c r="N501" s="1" t="s">
        <v>42</v>
      </c>
      <c r="O501" s="1" t="s">
        <v>50</v>
      </c>
      <c r="P501" s="1" t="s">
        <v>43</v>
      </c>
      <c r="Q501" s="1" t="s">
        <v>23</v>
      </c>
    </row>
    <row r="502" spans="3:17" x14ac:dyDescent="0.25">
      <c r="C502" s="1" t="str">
        <f>_xlfn.CONCAT(tabE.Flux[[#This Row],[DATA]],"+",tabE.Flux[[#This Row],[MOTORISTA + MATRÍCULA A]])</f>
        <v>45906+CANCELADO</v>
      </c>
      <c r="D502" s="1" t="str">
        <f>_xlfn.CONCAT(tabE.Flux[[#This Row],[DATA]],"+",tabE.Flux[[#This Row],[MOTORISTA + MATRÍCULA B]])</f>
        <v>45906+CANCELADO</v>
      </c>
      <c r="E502" s="1" t="str">
        <f>_xlfn.CONCAT(tabE.Flux[[#This Row],[DATA]],"+",tabE.Flux[[#This Row],[MOTORISTA + MATRÍCULA A]],"+",tabE.Flux[[#This Row],[LINHA]])</f>
        <v>45906+CANCELADO+IMPERATRIZ (MA) X SÃO LUIS (MA)</v>
      </c>
      <c r="F502" s="1" t="str">
        <f>_xlfn.CONCAT(tabE.Flux[[#This Row],[DATA]],"+",tabE.Flux[[#This Row],[MOTORISTA + MATRÍCULA B]],"+",tabE.Flux[[#This Row],[LINHA]])</f>
        <v>45906+CANCELADO+IMPERATRIZ (MA) X SÃO LUIS (MA)</v>
      </c>
      <c r="G502" s="1" t="str">
        <f>_xlfn.CONCAT(tabE.Flux[[#This Row],[DATA]],"+",tabE.Flux[[#This Row],[LINHA]])</f>
        <v>45906+IMPERATRIZ (MA) X SÃO LUIS (MA)</v>
      </c>
      <c r="H502" s="125">
        <v>45906</v>
      </c>
      <c r="I502" s="1" t="s">
        <v>15</v>
      </c>
      <c r="J502" s="1" t="s">
        <v>27</v>
      </c>
      <c r="K502" s="126">
        <v>0.77083333333333337</v>
      </c>
      <c r="L502" s="126">
        <v>0.8125</v>
      </c>
      <c r="M502" s="1" t="s">
        <v>16</v>
      </c>
      <c r="N502" s="1" t="s">
        <v>42</v>
      </c>
      <c r="O502" s="1" t="s">
        <v>27</v>
      </c>
      <c r="P502" s="1" t="s">
        <v>27</v>
      </c>
      <c r="Q502" s="1" t="s">
        <v>47</v>
      </c>
    </row>
    <row r="503" spans="3:17" x14ac:dyDescent="0.25">
      <c r="C503" s="1" t="str">
        <f>_xlfn.CONCAT(tabE.Flux[[#This Row],[DATA]],"+",tabE.Flux[[#This Row],[MOTORISTA + MATRÍCULA A]])</f>
        <v>45906+JOSE ALVES DE FREITAS NETO - 5027</v>
      </c>
      <c r="D503" s="1" t="str">
        <f>_xlfn.CONCAT(tabE.Flux[[#This Row],[DATA]],"+",tabE.Flux[[#This Row],[MOTORISTA + MATRÍCULA B]])</f>
        <v>45906+CARLOS ADRIANO DE SOUZA DO NASCIMENTO - 6222</v>
      </c>
      <c r="E503" s="1" t="str">
        <f>_xlfn.CONCAT(tabE.Flux[[#This Row],[DATA]],"+",tabE.Flux[[#This Row],[MOTORISTA + MATRÍCULA A]],"+",tabE.Flux[[#This Row],[LINHA]])</f>
        <v>45906+JOSE ALVES DE FREITAS NETO - 5027+GOIANIA (GO) X SAO LUIS (MA)</v>
      </c>
      <c r="F503" s="1" t="str">
        <f>_xlfn.CONCAT(tabE.Flux[[#This Row],[DATA]],"+",tabE.Flux[[#This Row],[MOTORISTA + MATRÍCULA B]],"+",tabE.Flux[[#This Row],[LINHA]])</f>
        <v>45906+CARLOS ADRIANO DE SOUZA DO NASCIMENTO - 6222+GOIANIA (GO) X SAO LUIS (MA)</v>
      </c>
      <c r="G503" s="1" t="str">
        <f>_xlfn.CONCAT(tabE.Flux[[#This Row],[DATA]],"+",tabE.Flux[[#This Row],[LINHA]])</f>
        <v>45906+GOIANIA (GO) X SAO LUIS (MA)</v>
      </c>
      <c r="H503" s="125">
        <v>45906</v>
      </c>
      <c r="I503" s="1" t="s">
        <v>15</v>
      </c>
      <c r="J503" s="1">
        <v>24014</v>
      </c>
      <c r="K503" s="126">
        <v>0.8125</v>
      </c>
      <c r="L503" s="126">
        <v>0.84375</v>
      </c>
      <c r="M503" s="1" t="s">
        <v>16</v>
      </c>
      <c r="N503" s="1" t="s">
        <v>42</v>
      </c>
      <c r="O503" s="1" t="s">
        <v>90</v>
      </c>
      <c r="P503" s="1" t="s">
        <v>110</v>
      </c>
      <c r="Q503" s="1" t="s">
        <v>23</v>
      </c>
    </row>
    <row r="504" spans="3:17" x14ac:dyDescent="0.25">
      <c r="C504" s="1" t="str">
        <f>_xlfn.CONCAT(tabE.Flux[[#This Row],[DATA]],"+",tabE.Flux[[#This Row],[MOTORISTA + MATRÍCULA A]])</f>
        <v>45906+NILSON CORTEZ MIRANDA - 5636</v>
      </c>
      <c r="D504" s="1" t="str">
        <f>_xlfn.CONCAT(tabE.Flux[[#This Row],[DATA]],"+",tabE.Flux[[#This Row],[MOTORISTA + MATRÍCULA B]])</f>
        <v>45906+PEDRO PAULO DO NASCIMENTO DO CARMO - 2559</v>
      </c>
      <c r="E504" s="1" t="str">
        <f>_xlfn.CONCAT(tabE.Flux[[#This Row],[DATA]],"+",tabE.Flux[[#This Row],[MOTORISTA + MATRÍCULA A]],"+",tabE.Flux[[#This Row],[LINHA]])</f>
        <v>45906+NILSON CORTEZ MIRANDA - 5636+GOIANIA (GO) X TERESINA (PI) VIA STI</v>
      </c>
      <c r="F504" s="1" t="str">
        <f>_xlfn.CONCAT(tabE.Flux[[#This Row],[DATA]],"+",tabE.Flux[[#This Row],[MOTORISTA + MATRÍCULA B]],"+",tabE.Flux[[#This Row],[LINHA]])</f>
        <v>45906+PEDRO PAULO DO NASCIMENTO DO CARMO - 2559+GOIANIA (GO) X TERESINA (PI) VIA STI</v>
      </c>
      <c r="G504" s="1" t="str">
        <f>_xlfn.CONCAT(tabE.Flux[[#This Row],[DATA]],"+",tabE.Flux[[#This Row],[LINHA]])</f>
        <v>45906+GOIANIA (GO) X TERESINA (PI) VIA STI</v>
      </c>
      <c r="H504" s="125">
        <v>45906</v>
      </c>
      <c r="I504" s="1" t="s">
        <v>15</v>
      </c>
      <c r="J504" s="1">
        <v>19017</v>
      </c>
      <c r="K504" s="126">
        <v>0.77083333333333337</v>
      </c>
      <c r="L504" s="126">
        <v>0.79861111111111116</v>
      </c>
      <c r="M504" s="1" t="s">
        <v>16</v>
      </c>
      <c r="N504" s="1" t="s">
        <v>29</v>
      </c>
      <c r="O504" s="1" t="s">
        <v>75</v>
      </c>
      <c r="P504" s="1" t="s">
        <v>175</v>
      </c>
      <c r="Q504" s="1" t="s">
        <v>26</v>
      </c>
    </row>
    <row r="505" spans="3:17" x14ac:dyDescent="0.25">
      <c r="C505" s="1" t="str">
        <f>_xlfn.CONCAT(tabE.Flux[[#This Row],[DATA]],"+",tabE.Flux[[#This Row],[MOTORISTA + MATRÍCULA A]])</f>
        <v>45906+JEFFERSON CARDOSO DOS SANTOS - 5837</v>
      </c>
      <c r="D505" s="1" t="str">
        <f>_xlfn.CONCAT(tabE.Flux[[#This Row],[DATA]],"+",tabE.Flux[[#This Row],[MOTORISTA + MATRÍCULA B]])</f>
        <v>45906+RICHARD SOUSA DA SILVA - 1271</v>
      </c>
      <c r="E505" s="1" t="str">
        <f>_xlfn.CONCAT(tabE.Flux[[#This Row],[DATA]],"+",tabE.Flux[[#This Row],[MOTORISTA + MATRÍCULA A]],"+",tabE.Flux[[#This Row],[LINHA]])</f>
        <v>45906+JEFFERSON CARDOSO DOS SANTOS - 5837+GOIANIA (GO) X SAO LUIS (MA)</v>
      </c>
      <c r="F505" s="1" t="str">
        <f>_xlfn.CONCAT(tabE.Flux[[#This Row],[DATA]],"+",tabE.Flux[[#This Row],[MOTORISTA + MATRÍCULA B]],"+",tabE.Flux[[#This Row],[LINHA]])</f>
        <v>45906+RICHARD SOUSA DA SILVA - 1271+GOIANIA (GO) X SAO LUIS (MA)</v>
      </c>
      <c r="G505" s="1" t="str">
        <f>_xlfn.CONCAT(tabE.Flux[[#This Row],[DATA]],"+",tabE.Flux[[#This Row],[LINHA]])</f>
        <v>45906+GOIANIA (GO) X SAO LUIS (MA)</v>
      </c>
      <c r="H505" s="125">
        <v>45906</v>
      </c>
      <c r="I505" s="1" t="s">
        <v>15</v>
      </c>
      <c r="J505" s="1">
        <v>15600</v>
      </c>
      <c r="K505" s="126">
        <v>0.8125</v>
      </c>
      <c r="L505" s="126">
        <v>0.84166666666666667</v>
      </c>
      <c r="M505" s="1" t="s">
        <v>16</v>
      </c>
      <c r="N505" s="1" t="s">
        <v>17</v>
      </c>
      <c r="O505" s="1" t="s">
        <v>30</v>
      </c>
      <c r="P505" s="1" t="s">
        <v>56</v>
      </c>
      <c r="Q505" s="1" t="s">
        <v>23</v>
      </c>
    </row>
    <row r="506" spans="3:17" x14ac:dyDescent="0.25">
      <c r="C506" s="1" t="str">
        <f>_xlfn.CONCAT(tabE.Flux[[#This Row],[DATA]],"+",tabE.Flux[[#This Row],[MOTORISTA + MATRÍCULA A]])</f>
        <v>45906+JOSE CARLOS BEZERRA DA SILVA - 3034</v>
      </c>
      <c r="D506" s="1" t="str">
        <f>_xlfn.CONCAT(tabE.Flux[[#This Row],[DATA]],"+",tabE.Flux[[#This Row],[MOTORISTA + MATRÍCULA B]])</f>
        <v>45906+JOSE ALVES DA ROCHA - 5035</v>
      </c>
      <c r="E506" s="1" t="str">
        <f>_xlfn.CONCAT(tabE.Flux[[#This Row],[DATA]],"+",tabE.Flux[[#This Row],[MOTORISTA + MATRÍCULA A]],"+",tabE.Flux[[#This Row],[LINHA]])</f>
        <v>45906+JOSE CARLOS BEZERRA DA SILVA - 3034+FORTALEZA (CE) X SINOP (MT)</v>
      </c>
      <c r="F506" s="1" t="str">
        <f>_xlfn.CONCAT(tabE.Flux[[#This Row],[DATA]],"+",tabE.Flux[[#This Row],[MOTORISTA + MATRÍCULA B]],"+",tabE.Flux[[#This Row],[LINHA]])</f>
        <v>45906+JOSE ALVES DA ROCHA - 5035+FORTALEZA (CE) X SINOP (MT)</v>
      </c>
      <c r="G506" s="1" t="str">
        <f>_xlfn.CONCAT(tabE.Flux[[#This Row],[DATA]],"+",tabE.Flux[[#This Row],[LINHA]])</f>
        <v>45906+FORTALEZA (CE) X SINOP (MT)</v>
      </c>
      <c r="H506" s="125">
        <v>45906</v>
      </c>
      <c r="I506" s="1" t="s">
        <v>15</v>
      </c>
      <c r="J506" s="1">
        <v>19011</v>
      </c>
      <c r="K506" s="126">
        <v>0.8125</v>
      </c>
      <c r="L506" s="126">
        <v>0.85416666666666663</v>
      </c>
      <c r="M506" s="1" t="s">
        <v>16</v>
      </c>
      <c r="N506" s="1" t="s">
        <v>17</v>
      </c>
      <c r="O506" s="1" t="s">
        <v>76</v>
      </c>
      <c r="P506" s="1" t="s">
        <v>91</v>
      </c>
      <c r="Q506" s="1" t="s">
        <v>32</v>
      </c>
    </row>
    <row r="507" spans="3:17" x14ac:dyDescent="0.25">
      <c r="C507" s="1" t="str">
        <f>_xlfn.CONCAT(tabE.Flux[[#This Row],[DATA]],"+",tabE.Flux[[#This Row],[MOTORISTA + MATRÍCULA A]])</f>
        <v>45906+ADAILTON DA SILVA RODRIGUES MENDONCA - 2662</v>
      </c>
      <c r="D507" s="1" t="str">
        <f>_xlfn.CONCAT(tabE.Flux[[#This Row],[DATA]],"+",tabE.Flux[[#This Row],[MOTORISTA + MATRÍCULA B]])</f>
        <v>45906+ENIO GOMES DE SOUZA - 5825</v>
      </c>
      <c r="E507" s="1" t="str">
        <f>_xlfn.CONCAT(tabE.Flux[[#This Row],[DATA]],"+",tabE.Flux[[#This Row],[MOTORISTA + MATRÍCULA A]],"+",tabE.Flux[[#This Row],[LINHA]])</f>
        <v>45906+ADAILTON DA SILVA RODRIGUES MENDONCA - 2662+GOIANIA (GO) X BELEM (PA)</v>
      </c>
      <c r="F507" s="1" t="str">
        <f>_xlfn.CONCAT(tabE.Flux[[#This Row],[DATA]],"+",tabE.Flux[[#This Row],[MOTORISTA + MATRÍCULA B]],"+",tabE.Flux[[#This Row],[LINHA]])</f>
        <v>45906+ENIO GOMES DE SOUZA - 5825+GOIANIA (GO) X BELEM (PA)</v>
      </c>
      <c r="G507" s="1" t="str">
        <f>_xlfn.CONCAT(tabE.Flux[[#This Row],[DATA]],"+",tabE.Flux[[#This Row],[LINHA]])</f>
        <v>45906+GOIANIA (GO) X BELEM (PA)</v>
      </c>
      <c r="H507" s="125">
        <v>45906</v>
      </c>
      <c r="I507" s="1" t="s">
        <v>15</v>
      </c>
      <c r="J507" s="1">
        <v>20017</v>
      </c>
      <c r="K507" s="126">
        <v>0.84722222222222221</v>
      </c>
      <c r="L507" s="126">
        <v>0.87847222222222221</v>
      </c>
      <c r="M507" s="1" t="s">
        <v>16</v>
      </c>
      <c r="N507" s="1" t="s">
        <v>17</v>
      </c>
      <c r="O507" s="1" t="s">
        <v>92</v>
      </c>
      <c r="P507" s="1" t="s">
        <v>93</v>
      </c>
      <c r="Q507" s="1" t="s">
        <v>20</v>
      </c>
    </row>
    <row r="508" spans="3:17" x14ac:dyDescent="0.25">
      <c r="C508" s="1" t="str">
        <f>_xlfn.CONCAT(tabE.Flux[[#This Row],[DATA]],"+",tabE.Flux[[#This Row],[MOTORISTA + MATRÍCULA A]])</f>
        <v>+</v>
      </c>
      <c r="D508" s="1" t="str">
        <f>_xlfn.CONCAT(tabE.Flux[[#This Row],[DATA]],"+",tabE.Flux[[#This Row],[MOTORISTA + MATRÍCULA B]])</f>
        <v>+</v>
      </c>
      <c r="E508" s="1" t="str">
        <f>_xlfn.CONCAT(tabE.Flux[[#This Row],[DATA]],"+",tabE.Flux[[#This Row],[MOTORISTA + MATRÍCULA A]],"+",tabE.Flux[[#This Row],[LINHA]])</f>
        <v>++</v>
      </c>
      <c r="F508" s="1" t="str">
        <f>_xlfn.CONCAT(tabE.Flux[[#This Row],[DATA]],"+",tabE.Flux[[#This Row],[MOTORISTA + MATRÍCULA B]],"+",tabE.Flux[[#This Row],[LINHA]])</f>
        <v>++</v>
      </c>
      <c r="G508" s="1" t="str">
        <f>_xlfn.CONCAT(tabE.Flux[[#This Row],[DATA]],"+",tabE.Flux[[#This Row],[LINHA]])</f>
        <v>+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3:17" x14ac:dyDescent="0.25">
      <c r="C509" s="1" t="str">
        <f>_xlfn.CONCAT(tabE.Flux[[#This Row],[DATA]],"+",tabE.Flux[[#This Row],[MOTORISTA + MATRÍCULA A]])</f>
        <v>45907+EURIPEDES BORGES DOS SANTOS - 5017</v>
      </c>
      <c r="D509" s="1" t="str">
        <f>_xlfn.CONCAT(tabE.Flux[[#This Row],[DATA]],"+",tabE.Flux[[#This Row],[MOTORISTA + MATRÍCULA B]])</f>
        <v>45907+SANDRO CARLOS DE SOUSA - 5181</v>
      </c>
      <c r="E509" s="1" t="str">
        <f>_xlfn.CONCAT(tabE.Flux[[#This Row],[DATA]],"+",tabE.Flux[[#This Row],[MOTORISTA + MATRÍCULA A]],"+",tabE.Flux[[#This Row],[LINHA]])</f>
        <v>45907+EURIPEDES BORGES DOS SANTOS - 5017+GOIANIA (GO) X BELEM (PA)</v>
      </c>
      <c r="F509" s="1" t="str">
        <f>_xlfn.CONCAT(tabE.Flux[[#This Row],[DATA]],"+",tabE.Flux[[#This Row],[MOTORISTA + MATRÍCULA B]],"+",tabE.Flux[[#This Row],[LINHA]])</f>
        <v>45907+SANDRO CARLOS DE SOUSA - 5181+GOIANIA (GO) X BELEM (PA)</v>
      </c>
      <c r="G509" s="1" t="str">
        <f>_xlfn.CONCAT(tabE.Flux[[#This Row],[DATA]],"+",tabE.Flux[[#This Row],[LINHA]])</f>
        <v>45907+GOIANIA (GO) X BELEM (PA)</v>
      </c>
      <c r="H509" s="125">
        <v>45907</v>
      </c>
      <c r="I509" s="1" t="s">
        <v>15</v>
      </c>
      <c r="J509" s="1">
        <v>25009</v>
      </c>
      <c r="K509" s="126">
        <v>0.25486111111111109</v>
      </c>
      <c r="L509" s="126">
        <v>0.3</v>
      </c>
      <c r="M509" s="1" t="s">
        <v>16</v>
      </c>
      <c r="N509" s="1" t="s">
        <v>17</v>
      </c>
      <c r="O509" s="1" t="s">
        <v>121</v>
      </c>
      <c r="P509" s="1" t="s">
        <v>120</v>
      </c>
      <c r="Q509" s="1" t="s">
        <v>20</v>
      </c>
    </row>
    <row r="510" spans="3:17" x14ac:dyDescent="0.25">
      <c r="C510" s="1" t="str">
        <f>_xlfn.CONCAT(tabE.Flux[[#This Row],[DATA]],"+",tabE.Flux[[#This Row],[MOTORISTA + MATRÍCULA A]])</f>
        <v>45907+MAURICIO CARLOS BARROSO - 901</v>
      </c>
      <c r="D510" s="1" t="str">
        <f>_xlfn.CONCAT(tabE.Flux[[#This Row],[DATA]],"+",tabE.Flux[[#This Row],[MOTORISTA + MATRÍCULA B]])</f>
        <v>45907+JOSE CARLOS DA SILVA - 979</v>
      </c>
      <c r="E510" s="1" t="str">
        <f>_xlfn.CONCAT(tabE.Flux[[#This Row],[DATA]],"+",tabE.Flux[[#This Row],[MOTORISTA + MATRÍCULA A]],"+",tabE.Flux[[#This Row],[LINHA]])</f>
        <v>45907+MAURICIO CARLOS BARROSO - 901+GOIANIA (GO) X SAO LUIS (MA)</v>
      </c>
      <c r="F510" s="1" t="str">
        <f>_xlfn.CONCAT(tabE.Flux[[#This Row],[DATA]],"+",tabE.Flux[[#This Row],[MOTORISTA + MATRÍCULA B]],"+",tabE.Flux[[#This Row],[LINHA]])</f>
        <v>45907+JOSE CARLOS DA SILVA - 979+GOIANIA (GO) X SAO LUIS (MA)</v>
      </c>
      <c r="G510" s="1" t="str">
        <f>_xlfn.CONCAT(tabE.Flux[[#This Row],[DATA]],"+",tabE.Flux[[#This Row],[LINHA]])</f>
        <v>45907+GOIANIA (GO) X SAO LUIS (MA)</v>
      </c>
      <c r="H510" s="125">
        <v>45907</v>
      </c>
      <c r="I510" s="1" t="s">
        <v>15</v>
      </c>
      <c r="J510" s="1">
        <v>24005</v>
      </c>
      <c r="K510" s="126">
        <v>0.32291666666666669</v>
      </c>
      <c r="L510" s="126">
        <v>0.33333333333333331</v>
      </c>
      <c r="M510" s="1" t="s">
        <v>16</v>
      </c>
      <c r="N510" s="1" t="s">
        <v>17</v>
      </c>
      <c r="O510" s="1" t="s">
        <v>241</v>
      </c>
      <c r="P510" s="1" t="s">
        <v>228</v>
      </c>
      <c r="Q510" s="1" t="s">
        <v>23</v>
      </c>
    </row>
    <row r="511" spans="3:17" x14ac:dyDescent="0.25">
      <c r="C511" s="1" t="str">
        <f>_xlfn.CONCAT(tabE.Flux[[#This Row],[DATA]],"+",tabE.Flux[[#This Row],[MOTORISTA + MATRÍCULA A]])</f>
        <v>45907+RAFAEL JOSE TOME DE LIMA - 5537</v>
      </c>
      <c r="D511" s="1" t="str">
        <f>_xlfn.CONCAT(tabE.Flux[[#This Row],[DATA]],"+",tabE.Flux[[#This Row],[MOTORISTA + MATRÍCULA B]])</f>
        <v>45907+JOAO DA SILVA MORAIS - 2978</v>
      </c>
      <c r="E511" s="1" t="str">
        <f>_xlfn.CONCAT(tabE.Flux[[#This Row],[DATA]],"+",tabE.Flux[[#This Row],[MOTORISTA + MATRÍCULA A]],"+",tabE.Flux[[#This Row],[LINHA]])</f>
        <v>45907+RAFAEL JOSE TOME DE LIMA - 5537+GOIANIA (GO) X TERESINA (PI) VIA STI</v>
      </c>
      <c r="F511" s="1" t="str">
        <f>_xlfn.CONCAT(tabE.Flux[[#This Row],[DATA]],"+",tabE.Flux[[#This Row],[MOTORISTA + MATRÍCULA B]],"+",tabE.Flux[[#This Row],[LINHA]])</f>
        <v>45907+JOAO DA SILVA MORAIS - 2978+GOIANIA (GO) X TERESINA (PI) VIA STI</v>
      </c>
      <c r="G511" s="1" t="str">
        <f>_xlfn.CONCAT(tabE.Flux[[#This Row],[DATA]],"+",tabE.Flux[[#This Row],[LINHA]])</f>
        <v>45907+GOIANIA (GO) X TERESINA (PI) VIA STI</v>
      </c>
      <c r="H511" s="125">
        <v>45907</v>
      </c>
      <c r="I511" s="1" t="s">
        <v>15</v>
      </c>
      <c r="J511" s="1">
        <v>19012</v>
      </c>
      <c r="K511" s="126">
        <v>0.3888888888888889</v>
      </c>
      <c r="L511" s="126">
        <v>0.39583333333333331</v>
      </c>
      <c r="M511" s="1" t="s">
        <v>16</v>
      </c>
      <c r="N511" s="1" t="s">
        <v>17</v>
      </c>
      <c r="O511" s="1" t="s">
        <v>181</v>
      </c>
      <c r="P511" s="1" t="s">
        <v>182</v>
      </c>
      <c r="Q511" s="1" t="s">
        <v>26</v>
      </c>
    </row>
    <row r="512" spans="3:17" x14ac:dyDescent="0.25">
      <c r="C512" s="1" t="str">
        <f>_xlfn.CONCAT(tabE.Flux[[#This Row],[DATA]],"+",tabE.Flux[[#This Row],[MOTORISTA + MATRÍCULA A]])</f>
        <v>45907+CANCELADO</v>
      </c>
      <c r="D512" s="1" t="str">
        <f>_xlfn.CONCAT(tabE.Flux[[#This Row],[DATA]],"+",tabE.Flux[[#This Row],[MOTORISTA + MATRÍCULA B]])</f>
        <v>45907+CANCELADO</v>
      </c>
      <c r="E512" s="1" t="str">
        <f>_xlfn.CONCAT(tabE.Flux[[#This Row],[DATA]],"+",tabE.Flux[[#This Row],[MOTORISTA + MATRÍCULA A]],"+",tabE.Flux[[#This Row],[LINHA]])</f>
        <v>45907+CANCELADO+IMPERATRIZ (MA) X VILA RICA (MT)</v>
      </c>
      <c r="F512" s="1" t="str">
        <f>_xlfn.CONCAT(tabE.Flux[[#This Row],[DATA]],"+",tabE.Flux[[#This Row],[MOTORISTA + MATRÍCULA B]],"+",tabE.Flux[[#This Row],[LINHA]])</f>
        <v>45907+CANCELADO+IMPERATRIZ (MA) X VILA RICA (MT)</v>
      </c>
      <c r="G512" s="1" t="str">
        <f>_xlfn.CONCAT(tabE.Flux[[#This Row],[DATA]],"+",tabE.Flux[[#This Row],[LINHA]])</f>
        <v>45907+IMPERATRIZ (MA) X VILA RICA (MT)</v>
      </c>
      <c r="H512" s="125">
        <v>45907</v>
      </c>
      <c r="I512" s="1" t="s">
        <v>15</v>
      </c>
      <c r="J512" s="1" t="s">
        <v>27</v>
      </c>
      <c r="K512" s="126">
        <v>0.375</v>
      </c>
      <c r="L512" s="126">
        <v>0.41666666666666669</v>
      </c>
      <c r="M512" s="1" t="s">
        <v>16</v>
      </c>
      <c r="N512" s="1" t="s">
        <v>28</v>
      </c>
      <c r="O512" s="1" t="s">
        <v>27</v>
      </c>
      <c r="P512" s="1" t="s">
        <v>27</v>
      </c>
      <c r="Q512" s="1" t="s">
        <v>100</v>
      </c>
    </row>
    <row r="513" spans="3:17" x14ac:dyDescent="0.25">
      <c r="C513" s="1" t="str">
        <f>_xlfn.CONCAT(tabE.Flux[[#This Row],[DATA]],"+",tabE.Flux[[#This Row],[MOTORISTA + MATRÍCULA A]])</f>
        <v>45907+JAME DOS SANTOS MOURA - 5332</v>
      </c>
      <c r="D513" s="1" t="str">
        <f>_xlfn.CONCAT(tabE.Flux[[#This Row],[DATA]],"+",tabE.Flux[[#This Row],[MOTORISTA + MATRÍCULA B]])</f>
        <v>45907+RAIMUNDO NONATO MAGALHAES DO NASCIMENTO - 5662</v>
      </c>
      <c r="E513" s="1" t="str">
        <f>_xlfn.CONCAT(tabE.Flux[[#This Row],[DATA]],"+",tabE.Flux[[#This Row],[MOTORISTA + MATRÍCULA A]],"+",tabE.Flux[[#This Row],[LINHA]])</f>
        <v>45907+JAME DOS SANTOS MOURA - 5332+FORTALEZA (CE) X SINOP (MT)</v>
      </c>
      <c r="F513" s="1" t="str">
        <f>_xlfn.CONCAT(tabE.Flux[[#This Row],[DATA]],"+",tabE.Flux[[#This Row],[MOTORISTA + MATRÍCULA B]],"+",tabE.Flux[[#This Row],[LINHA]])</f>
        <v>45907+RAIMUNDO NONATO MAGALHAES DO NASCIMENTO - 5662+FORTALEZA (CE) X SINOP (MT)</v>
      </c>
      <c r="G513" s="1" t="str">
        <f>_xlfn.CONCAT(tabE.Flux[[#This Row],[DATA]],"+",tabE.Flux[[#This Row],[LINHA]])</f>
        <v>45907+FORTALEZA (CE) X SINOP (MT)</v>
      </c>
      <c r="H513" s="125">
        <v>45907</v>
      </c>
      <c r="I513" s="1" t="s">
        <v>15</v>
      </c>
      <c r="J513" s="1">
        <v>19010</v>
      </c>
      <c r="K513" s="126">
        <v>0.3888888888888889</v>
      </c>
      <c r="L513" s="126">
        <v>0.37708333333333333</v>
      </c>
      <c r="M513" s="1" t="s">
        <v>16</v>
      </c>
      <c r="N513" s="1" t="s">
        <v>29</v>
      </c>
      <c r="O513" s="1" t="s">
        <v>103</v>
      </c>
      <c r="P513" s="1" t="s">
        <v>101</v>
      </c>
      <c r="Q513" s="1" t="s">
        <v>32</v>
      </c>
    </row>
    <row r="514" spans="3:17" x14ac:dyDescent="0.25">
      <c r="C514" s="1" t="str">
        <f>_xlfn.CONCAT(tabE.Flux[[#This Row],[DATA]],"+",tabE.Flux[[#This Row],[MOTORISTA + MATRÍCULA A]])</f>
        <v>45907+JARDEL DE SOUSA OLIVEIRA - 5992</v>
      </c>
      <c r="D514" s="1" t="str">
        <f>_xlfn.CONCAT(tabE.Flux[[#This Row],[DATA]],"+",tabE.Flux[[#This Row],[MOTORISTA + MATRÍCULA B]])</f>
        <v>45907+AELSON PEREIRA DO NASCIMENTO - 5682</v>
      </c>
      <c r="E514" s="1" t="str">
        <f>_xlfn.CONCAT(tabE.Flux[[#This Row],[DATA]],"+",tabE.Flux[[#This Row],[MOTORISTA + MATRÍCULA A]],"+",tabE.Flux[[#This Row],[LINHA]])</f>
        <v>45907+JARDEL DE SOUSA OLIVEIRA - 5992+GOIANIA (GO) X BELEM (PA)</v>
      </c>
      <c r="F514" s="1" t="str">
        <f>_xlfn.CONCAT(tabE.Flux[[#This Row],[DATA]],"+",tabE.Flux[[#This Row],[MOTORISTA + MATRÍCULA B]],"+",tabE.Flux[[#This Row],[LINHA]])</f>
        <v>45907+AELSON PEREIRA DO NASCIMENTO - 5682+GOIANIA (GO) X BELEM (PA)</v>
      </c>
      <c r="G514" s="1" t="str">
        <f>_xlfn.CONCAT(tabE.Flux[[#This Row],[DATA]],"+",tabE.Flux[[#This Row],[LINHA]])</f>
        <v>45907+GOIANIA (GO) X BELEM (PA)</v>
      </c>
      <c r="H514" s="125">
        <v>45907</v>
      </c>
      <c r="I514" s="1" t="s">
        <v>15</v>
      </c>
      <c r="J514" s="1">
        <v>20016</v>
      </c>
      <c r="K514" s="126">
        <v>0.38958333333333334</v>
      </c>
      <c r="L514" s="126">
        <v>0.38541666666666669</v>
      </c>
      <c r="M514" s="1" t="s">
        <v>16</v>
      </c>
      <c r="N514" s="1" t="s">
        <v>33</v>
      </c>
      <c r="O514" s="1" t="s">
        <v>150</v>
      </c>
      <c r="P514" s="1" t="s">
        <v>88</v>
      </c>
      <c r="Q514" s="1" t="s">
        <v>20</v>
      </c>
    </row>
    <row r="515" spans="3:17" x14ac:dyDescent="0.25">
      <c r="C515" s="1" t="str">
        <f>_xlfn.CONCAT(tabE.Flux[[#This Row],[DATA]],"+",tabE.Flux[[#This Row],[MOTORISTA + MATRÍCULA A]])</f>
        <v>45907+JOAO FERREIRA COSTA - 5545</v>
      </c>
      <c r="D515" s="1" t="str">
        <f>_xlfn.CONCAT(tabE.Flux[[#This Row],[DATA]],"+",tabE.Flux[[#This Row],[MOTORISTA + MATRÍCULA B]])</f>
        <v>45907+DANIEL PEREIRA DA ROCHA - 5298</v>
      </c>
      <c r="E515" s="1" t="str">
        <f>_xlfn.CONCAT(tabE.Flux[[#This Row],[DATA]],"+",tabE.Flux[[#This Row],[MOTORISTA + MATRÍCULA A]],"+",tabE.Flux[[#This Row],[LINHA]])</f>
        <v>45907+JOAO FERREIRA COSTA - 5545+GOIANIA (GO) X TERESINA (PI) VIA BC</v>
      </c>
      <c r="F515" s="1" t="str">
        <f>_xlfn.CONCAT(tabE.Flux[[#This Row],[DATA]],"+",tabE.Flux[[#This Row],[MOTORISTA + MATRÍCULA B]],"+",tabE.Flux[[#This Row],[LINHA]])</f>
        <v>45907+DANIEL PEREIRA DA ROCHA - 5298+GOIANIA (GO) X TERESINA (PI) VIA BC</v>
      </c>
      <c r="G515" s="1" t="str">
        <f>_xlfn.CONCAT(tabE.Flux[[#This Row],[DATA]],"+",tabE.Flux[[#This Row],[LINHA]])</f>
        <v>45907+GOIANIA (GO) X TERESINA (PI) VIA BC</v>
      </c>
      <c r="H515" s="125">
        <v>45907</v>
      </c>
      <c r="I515" s="1" t="s">
        <v>15</v>
      </c>
      <c r="J515" s="1">
        <v>25012</v>
      </c>
      <c r="K515" s="126">
        <v>0.375</v>
      </c>
      <c r="L515" s="126">
        <v>0.39930555555555558</v>
      </c>
      <c r="M515" s="1" t="s">
        <v>36</v>
      </c>
      <c r="N515" s="1" t="s">
        <v>29</v>
      </c>
      <c r="O515" s="1" t="s">
        <v>61</v>
      </c>
      <c r="P515" s="1" t="s">
        <v>184</v>
      </c>
      <c r="Q515" s="1" t="s">
        <v>39</v>
      </c>
    </row>
    <row r="516" spans="3:17" x14ac:dyDescent="0.25">
      <c r="C516" s="1" t="str">
        <f>_xlfn.CONCAT(tabE.Flux[[#This Row],[DATA]],"+",tabE.Flux[[#This Row],[MOTORISTA + MATRÍCULA A]])</f>
        <v>45907+CANCELADO</v>
      </c>
      <c r="D516" s="1" t="str">
        <f>_xlfn.CONCAT(tabE.Flux[[#This Row],[DATA]],"+",tabE.Flux[[#This Row],[MOTORISTA + MATRÍCULA B]])</f>
        <v>45907+CANCELADO</v>
      </c>
      <c r="E516" s="1" t="str">
        <f>_xlfn.CONCAT(tabE.Flux[[#This Row],[DATA]],"+",tabE.Flux[[#This Row],[MOTORISTA + MATRÍCULA A]],"+",tabE.Flux[[#This Row],[LINHA]])</f>
        <v>45907+CANCELADO+GOIANIA (GO) X BELEM (PA)</v>
      </c>
      <c r="F516" s="1" t="str">
        <f>_xlfn.CONCAT(tabE.Flux[[#This Row],[DATA]],"+",tabE.Flux[[#This Row],[MOTORISTA + MATRÍCULA B]],"+",tabE.Flux[[#This Row],[LINHA]])</f>
        <v>45907+CANCELADO+GOIANIA (GO) X BELEM (PA)</v>
      </c>
      <c r="G516" s="1" t="str">
        <f>_xlfn.CONCAT(tabE.Flux[[#This Row],[DATA]],"+",tabE.Flux[[#This Row],[LINHA]])</f>
        <v>45907+GOIANIA (GO) X BELEM (PA)</v>
      </c>
      <c r="H516" s="125">
        <v>45907</v>
      </c>
      <c r="I516" s="1" t="s">
        <v>15</v>
      </c>
      <c r="J516" s="1" t="s">
        <v>27</v>
      </c>
      <c r="K516" s="126">
        <v>0.375</v>
      </c>
      <c r="L516" s="126">
        <v>0.41666666666666669</v>
      </c>
      <c r="M516" s="1" t="s">
        <v>33</v>
      </c>
      <c r="N516" s="1" t="s">
        <v>16</v>
      </c>
      <c r="O516" s="1" t="s">
        <v>27</v>
      </c>
      <c r="P516" s="1" t="s">
        <v>27</v>
      </c>
      <c r="Q516" s="1" t="s">
        <v>20</v>
      </c>
    </row>
    <row r="517" spans="3:17" x14ac:dyDescent="0.25">
      <c r="C517" s="1" t="str">
        <f>_xlfn.CONCAT(tabE.Flux[[#This Row],[DATA]],"+",tabE.Flux[[#This Row],[MOTORISTA + MATRÍCULA A]])</f>
        <v>45907+CANCELADO</v>
      </c>
      <c r="D517" s="1" t="str">
        <f>_xlfn.CONCAT(tabE.Flux[[#This Row],[DATA]],"+",tabE.Flux[[#This Row],[MOTORISTA + MATRÍCULA B]])</f>
        <v>45907+CANCELADO</v>
      </c>
      <c r="E517" s="1" t="str">
        <f>_xlfn.CONCAT(tabE.Flux[[#This Row],[DATA]],"+",tabE.Flux[[#This Row],[MOTORISTA + MATRÍCULA A]],"+",tabE.Flux[[#This Row],[LINHA]])</f>
        <v>45907+CANCELADO+GOIANIA (GO) X SAO LUIS (MA)</v>
      </c>
      <c r="F517" s="1" t="str">
        <f>_xlfn.CONCAT(tabE.Flux[[#This Row],[DATA]],"+",tabE.Flux[[#This Row],[MOTORISTA + MATRÍCULA B]],"+",tabE.Flux[[#This Row],[LINHA]])</f>
        <v>45907+CANCELADO+GOIANIA (GO) X SAO LUIS (MA)</v>
      </c>
      <c r="G517" s="1" t="str">
        <f>_xlfn.CONCAT(tabE.Flux[[#This Row],[DATA]],"+",tabE.Flux[[#This Row],[LINHA]])</f>
        <v>45907+GOIANIA (GO) X SAO LUIS (MA)</v>
      </c>
      <c r="H517" s="125">
        <v>45907</v>
      </c>
      <c r="I517" s="1" t="s">
        <v>15</v>
      </c>
      <c r="J517" s="1" t="s">
        <v>27</v>
      </c>
      <c r="K517" s="126">
        <v>0.25</v>
      </c>
      <c r="L517" s="126">
        <v>0.29166666666666669</v>
      </c>
      <c r="M517" s="1" t="s">
        <v>42</v>
      </c>
      <c r="N517" s="1" t="s">
        <v>16</v>
      </c>
      <c r="O517" s="1" t="s">
        <v>27</v>
      </c>
      <c r="P517" s="1" t="s">
        <v>27</v>
      </c>
      <c r="Q517" s="1" t="s">
        <v>23</v>
      </c>
    </row>
    <row r="518" spans="3:17" x14ac:dyDescent="0.25">
      <c r="C518" s="1" t="str">
        <f>_xlfn.CONCAT(tabE.Flux[[#This Row],[DATA]],"+",tabE.Flux[[#This Row],[MOTORISTA + MATRÍCULA A]])</f>
        <v>45907+ALTEMAR DO NASCIMENTO LIMA - 6225</v>
      </c>
      <c r="D518" s="1" t="str">
        <f>_xlfn.CONCAT(tabE.Flux[[#This Row],[DATA]],"+",tabE.Flux[[#This Row],[MOTORISTA + MATRÍCULA B]])</f>
        <v>45907+JOSE ALVES DE FREITAS NETO - 5027</v>
      </c>
      <c r="E518" s="1" t="str">
        <f>_xlfn.CONCAT(tabE.Flux[[#This Row],[DATA]],"+",tabE.Flux[[#This Row],[MOTORISTA + MATRÍCULA A]],"+",tabE.Flux[[#This Row],[LINHA]])</f>
        <v>45907+ALTEMAR DO NASCIMENTO LIMA - 6225+GOIANIA (GO) X SAO LUIS (MA)</v>
      </c>
      <c r="F518" s="1" t="str">
        <f>_xlfn.CONCAT(tabE.Flux[[#This Row],[DATA]],"+",tabE.Flux[[#This Row],[MOTORISTA + MATRÍCULA B]],"+",tabE.Flux[[#This Row],[LINHA]])</f>
        <v>45907+JOSE ALVES DE FREITAS NETO - 5027+GOIANIA (GO) X SAO LUIS (MA)</v>
      </c>
      <c r="G518" s="1" t="str">
        <f>_xlfn.CONCAT(tabE.Flux[[#This Row],[DATA]],"+",tabE.Flux[[#This Row],[LINHA]])</f>
        <v>45907+GOIANIA (GO) X SAO LUIS (MA)</v>
      </c>
      <c r="H518" s="125">
        <v>45907</v>
      </c>
      <c r="I518" s="1" t="s">
        <v>15</v>
      </c>
      <c r="J518" s="1">
        <v>24014</v>
      </c>
      <c r="K518" s="126">
        <v>0.75</v>
      </c>
      <c r="L518" s="126">
        <v>0.79166666666666663</v>
      </c>
      <c r="M518" s="1" t="s">
        <v>42</v>
      </c>
      <c r="N518" s="1" t="s">
        <v>16</v>
      </c>
      <c r="O518" s="1" t="s">
        <v>57</v>
      </c>
      <c r="P518" s="1" t="s">
        <v>90</v>
      </c>
      <c r="Q518" s="1" t="s">
        <v>23</v>
      </c>
    </row>
    <row r="519" spans="3:17" x14ac:dyDescent="0.25">
      <c r="C519" s="1" t="str">
        <f>_xlfn.CONCAT(tabE.Flux[[#This Row],[DATA]],"+",tabE.Flux[[#This Row],[MOTORISTA + MATRÍCULA A]])</f>
        <v>45907+PAULO ENEAS FARIAS ARAUJO - 6218</v>
      </c>
      <c r="D519" s="1" t="str">
        <f>_xlfn.CONCAT(tabE.Flux[[#This Row],[DATA]],"+",tabE.Flux[[#This Row],[MOTORISTA + MATRÍCULA B]])</f>
        <v>45907+FABIO MOREIRA DOS SANTOS - 3073</v>
      </c>
      <c r="E519" s="1" t="str">
        <f>_xlfn.CONCAT(tabE.Flux[[#This Row],[DATA]],"+",tabE.Flux[[#This Row],[MOTORISTA + MATRÍCULA A]],"+",tabE.Flux[[#This Row],[LINHA]])</f>
        <v>45907+PAULO ENEAS FARIAS ARAUJO - 6218+IMPERATRIZ (MA) X SÃO LUIS (MA)</v>
      </c>
      <c r="F519" s="1" t="str">
        <f>_xlfn.CONCAT(tabE.Flux[[#This Row],[DATA]],"+",tabE.Flux[[#This Row],[MOTORISTA + MATRÍCULA B]],"+",tabE.Flux[[#This Row],[LINHA]])</f>
        <v>45907+FABIO MOREIRA DOS SANTOS - 3073+IMPERATRIZ (MA) X SÃO LUIS (MA)</v>
      </c>
      <c r="G519" s="1" t="str">
        <f>_xlfn.CONCAT(tabE.Flux[[#This Row],[DATA]],"+",tabE.Flux[[#This Row],[LINHA]])</f>
        <v>45907+IMPERATRIZ (MA) X SÃO LUIS (MA)</v>
      </c>
      <c r="H519" s="125">
        <v>45907</v>
      </c>
      <c r="I519" s="1" t="s">
        <v>15</v>
      </c>
      <c r="J519" s="1">
        <v>18008</v>
      </c>
      <c r="K519" s="126">
        <v>0.77083333333333337</v>
      </c>
      <c r="L519" s="126">
        <v>0.79513888888888884</v>
      </c>
      <c r="M519" s="1" t="s">
        <v>42</v>
      </c>
      <c r="N519" s="1" t="s">
        <v>16</v>
      </c>
      <c r="O519" s="1" t="s">
        <v>43</v>
      </c>
      <c r="P519" s="1" t="s">
        <v>50</v>
      </c>
      <c r="Q519" s="1" t="s">
        <v>47</v>
      </c>
    </row>
    <row r="520" spans="3:17" x14ac:dyDescent="0.25">
      <c r="C520" s="1" t="str">
        <f>_xlfn.CONCAT(tabE.Flux[[#This Row],[DATA]],"+",tabE.Flux[[#This Row],[MOTORISTA + MATRÍCULA A]])</f>
        <v>45907+VALDIR NUNES DA SILVA - 2989</v>
      </c>
      <c r="D520" s="1" t="str">
        <f>_xlfn.CONCAT(tabE.Flux[[#This Row],[DATA]],"+",tabE.Flux[[#This Row],[MOTORISTA + MATRÍCULA B]])</f>
        <v>45907+WILMAR JOSE DE SOUZA - 1763</v>
      </c>
      <c r="E520" s="1" t="str">
        <f>_xlfn.CONCAT(tabE.Flux[[#This Row],[DATA]],"+",tabE.Flux[[#This Row],[MOTORISTA + MATRÍCULA A]],"+",tabE.Flux[[#This Row],[LINHA]])</f>
        <v>45907+VALDIR NUNES DA SILVA - 2989+GOIANIA (GO) X TERESINA (PI) VIA BC</v>
      </c>
      <c r="F520" s="1" t="str">
        <f>_xlfn.CONCAT(tabE.Flux[[#This Row],[DATA]],"+",tabE.Flux[[#This Row],[MOTORISTA + MATRÍCULA B]],"+",tabE.Flux[[#This Row],[LINHA]])</f>
        <v>45907+WILMAR JOSE DE SOUZA - 1763+GOIANIA (GO) X TERESINA (PI) VIA BC</v>
      </c>
      <c r="G520" s="1" t="str">
        <f>_xlfn.CONCAT(tabE.Flux[[#This Row],[DATA]],"+",tabE.Flux[[#This Row],[LINHA]])</f>
        <v>45907+GOIANIA (GO) X TERESINA (PI) VIA BC</v>
      </c>
      <c r="H520" s="125">
        <v>45907</v>
      </c>
      <c r="I520" s="1" t="s">
        <v>15</v>
      </c>
      <c r="J520" s="1">
        <v>24013</v>
      </c>
      <c r="K520" s="126">
        <v>0.89583333333333337</v>
      </c>
      <c r="L520" s="126">
        <v>0.91666666666666663</v>
      </c>
      <c r="M520" s="1" t="s">
        <v>36</v>
      </c>
      <c r="N520" s="1" t="s">
        <v>17</v>
      </c>
      <c r="O520" s="1" t="s">
        <v>134</v>
      </c>
      <c r="P520" s="1" t="s">
        <v>94</v>
      </c>
      <c r="Q520" s="1" t="s">
        <v>39</v>
      </c>
    </row>
    <row r="521" spans="3:17" x14ac:dyDescent="0.25">
      <c r="C521" s="1" t="str">
        <f>_xlfn.CONCAT(tabE.Flux[[#This Row],[DATA]],"+",tabE.Flux[[#This Row],[MOTORISTA + MATRÍCULA A]])</f>
        <v>45907+RONALDO ADRIANO COSTA SANTOS - 5637</v>
      </c>
      <c r="D521" s="1" t="str">
        <f>_xlfn.CONCAT(tabE.Flux[[#This Row],[DATA]],"+",tabE.Flux[[#This Row],[MOTORISTA + MATRÍCULA B]])</f>
        <v>45907+VALDEY OLIVEIRA ARAUJO - 2790</v>
      </c>
      <c r="E521" s="1" t="str">
        <f>_xlfn.CONCAT(tabE.Flux[[#This Row],[DATA]],"+",tabE.Flux[[#This Row],[MOTORISTA + MATRÍCULA A]],"+",tabE.Flux[[#This Row],[LINHA]])</f>
        <v>45907+RONALDO ADRIANO COSTA SANTOS - 5637+GOIANIA (GO) X BELEM (PA)</v>
      </c>
      <c r="F521" s="1" t="str">
        <f>_xlfn.CONCAT(tabE.Flux[[#This Row],[DATA]],"+",tabE.Flux[[#This Row],[MOTORISTA + MATRÍCULA B]],"+",tabE.Flux[[#This Row],[LINHA]])</f>
        <v>45907+VALDEY OLIVEIRA ARAUJO - 2790+GOIANIA (GO) X BELEM (PA)</v>
      </c>
      <c r="G521" s="1" t="str">
        <f>_xlfn.CONCAT(tabE.Flux[[#This Row],[DATA]],"+",tabE.Flux[[#This Row],[LINHA]])</f>
        <v>45907+GOIANIA (GO) X BELEM (PA)</v>
      </c>
      <c r="H521" s="125">
        <v>45907</v>
      </c>
      <c r="I521" s="1" t="s">
        <v>15</v>
      </c>
      <c r="J521" s="1">
        <v>25005</v>
      </c>
      <c r="K521" s="126">
        <v>0.76041666666666663</v>
      </c>
      <c r="L521" s="126">
        <v>0.77083333333333337</v>
      </c>
      <c r="M521" s="1" t="s">
        <v>33</v>
      </c>
      <c r="N521" s="1" t="s">
        <v>16</v>
      </c>
      <c r="O521" s="1" t="s">
        <v>41</v>
      </c>
      <c r="P521" s="1" t="s">
        <v>34</v>
      </c>
      <c r="Q521" s="1" t="s">
        <v>20</v>
      </c>
    </row>
    <row r="522" spans="3:17" x14ac:dyDescent="0.25">
      <c r="C522" s="1" t="str">
        <f>_xlfn.CONCAT(tabE.Flux[[#This Row],[DATA]],"+",tabE.Flux[[#This Row],[MOTORISTA + MATRÍCULA A]])</f>
        <v>45907+FRANCISCO LINDONALDO DE SOUSA - 2971</v>
      </c>
      <c r="D522" s="1" t="str">
        <f>_xlfn.CONCAT(tabE.Flux[[#This Row],[DATA]],"+",tabE.Flux[[#This Row],[MOTORISTA + MATRÍCULA B]])</f>
        <v>45907+BERNARDO SOUZA LIMA - 1720</v>
      </c>
      <c r="E522" s="1" t="str">
        <f>_xlfn.CONCAT(tabE.Flux[[#This Row],[DATA]],"+",tabE.Flux[[#This Row],[MOTORISTA + MATRÍCULA A]],"+",tabE.Flux[[#This Row],[LINHA]])</f>
        <v>45907+FRANCISCO LINDONALDO DE SOUSA - 2971+GOIANIA (GO) X BELEM (PA)</v>
      </c>
      <c r="F522" s="1" t="str">
        <f>_xlfn.CONCAT(tabE.Flux[[#This Row],[DATA]],"+",tabE.Flux[[#This Row],[MOTORISTA + MATRÍCULA B]],"+",tabE.Flux[[#This Row],[LINHA]])</f>
        <v>45907+BERNARDO SOUZA LIMA - 1720+GOIANIA (GO) X BELEM (PA)</v>
      </c>
      <c r="G522" s="1" t="str">
        <f>_xlfn.CONCAT(tabE.Flux[[#This Row],[DATA]],"+",tabE.Flux[[#This Row],[LINHA]])</f>
        <v>45907+GOIANIA (GO) X BELEM (PA)</v>
      </c>
      <c r="H522" s="125">
        <v>45907</v>
      </c>
      <c r="I522" s="1" t="s">
        <v>15</v>
      </c>
      <c r="J522" s="1">
        <v>24012</v>
      </c>
      <c r="K522" s="126">
        <v>0.76041666666666663</v>
      </c>
      <c r="L522" s="126">
        <v>0.82777777777777772</v>
      </c>
      <c r="M522" s="1" t="s">
        <v>16</v>
      </c>
      <c r="N522" s="1" t="s">
        <v>33</v>
      </c>
      <c r="O522" s="1" t="s">
        <v>131</v>
      </c>
      <c r="P522" s="1" t="s">
        <v>123</v>
      </c>
      <c r="Q522" s="1" t="s">
        <v>20</v>
      </c>
    </row>
    <row r="523" spans="3:17" x14ac:dyDescent="0.25">
      <c r="C523" s="1" t="str">
        <f>_xlfn.CONCAT(tabE.Flux[[#This Row],[DATA]],"+",tabE.Flux[[#This Row],[MOTORISTA + MATRÍCULA A]])</f>
        <v>45907+LUIZ CARLOS MARIANO SIQUEIRA - 5634</v>
      </c>
      <c r="D523" s="1" t="str">
        <f>_xlfn.CONCAT(tabE.Flux[[#This Row],[DATA]],"+",tabE.Flux[[#This Row],[MOTORISTA + MATRÍCULA B]])</f>
        <v>45907+KAYLSON KLEYTON DA SILVA COSTA - 6224</v>
      </c>
      <c r="E523" s="1" t="str">
        <f>_xlfn.CONCAT(tabE.Flux[[#This Row],[DATA]],"+",tabE.Flux[[#This Row],[MOTORISTA + MATRÍCULA A]],"+",tabE.Flux[[#This Row],[LINHA]])</f>
        <v>45907+LUIZ CARLOS MARIANO SIQUEIRA - 5634+GOIANIA (GO) X SAO LUIS (MA)</v>
      </c>
      <c r="F523" s="1" t="str">
        <f>_xlfn.CONCAT(tabE.Flux[[#This Row],[DATA]],"+",tabE.Flux[[#This Row],[MOTORISTA + MATRÍCULA B]],"+",tabE.Flux[[#This Row],[LINHA]])</f>
        <v>45907+KAYLSON KLEYTON DA SILVA COSTA - 6224+GOIANIA (GO) X SAO LUIS (MA)</v>
      </c>
      <c r="G523" s="1" t="str">
        <f>_xlfn.CONCAT(tabE.Flux[[#This Row],[DATA]],"+",tabE.Flux[[#This Row],[LINHA]])</f>
        <v>45907+GOIANIA (GO) X SAO LUIS (MA)</v>
      </c>
      <c r="H523" s="125">
        <v>45907</v>
      </c>
      <c r="I523" s="1" t="s">
        <v>15</v>
      </c>
      <c r="J523" s="1">
        <v>20019</v>
      </c>
      <c r="K523" s="126">
        <v>0.40763888888888888</v>
      </c>
      <c r="L523" s="126">
        <v>0.47013888888888888</v>
      </c>
      <c r="M523" s="1" t="s">
        <v>16</v>
      </c>
      <c r="N523" s="1" t="s">
        <v>42</v>
      </c>
      <c r="O523" s="1" t="s">
        <v>51</v>
      </c>
      <c r="P523" s="1" t="s">
        <v>80</v>
      </c>
      <c r="Q523" s="1" t="s">
        <v>23</v>
      </c>
    </row>
    <row r="524" spans="3:17" x14ac:dyDescent="0.25">
      <c r="C524" s="1" t="str">
        <f>_xlfn.CONCAT(tabE.Flux[[#This Row],[DATA]],"+",tabE.Flux[[#This Row],[MOTORISTA + MATRÍCULA A]])</f>
        <v>45907+CANCELADO</v>
      </c>
      <c r="D524" s="1" t="str">
        <f>_xlfn.CONCAT(tabE.Flux[[#This Row],[DATA]],"+",tabE.Flux[[#This Row],[MOTORISTA + MATRÍCULA B]])</f>
        <v>45907+CANCELADO</v>
      </c>
      <c r="E524" s="1" t="str">
        <f>_xlfn.CONCAT(tabE.Flux[[#This Row],[DATA]],"+",tabE.Flux[[#This Row],[MOTORISTA + MATRÍCULA A]],"+",tabE.Flux[[#This Row],[LINHA]])</f>
        <v>45907+CANCELADO+IMPERATRIZ (MA) X SÃO LUIS (MA)</v>
      </c>
      <c r="F524" s="1" t="str">
        <f>_xlfn.CONCAT(tabE.Flux[[#This Row],[DATA]],"+",tabE.Flux[[#This Row],[MOTORISTA + MATRÍCULA B]],"+",tabE.Flux[[#This Row],[LINHA]])</f>
        <v>45907+CANCELADO+IMPERATRIZ (MA) X SÃO LUIS (MA)</v>
      </c>
      <c r="G524" s="1" t="str">
        <f>_xlfn.CONCAT(tabE.Flux[[#This Row],[DATA]],"+",tabE.Flux[[#This Row],[LINHA]])</f>
        <v>45907+IMPERATRIZ (MA) X SÃO LUIS (MA)</v>
      </c>
      <c r="H524" s="125">
        <v>45907</v>
      </c>
      <c r="I524" s="1" t="s">
        <v>15</v>
      </c>
      <c r="J524" s="1" t="s">
        <v>27</v>
      </c>
      <c r="K524" s="126">
        <v>0.77083333333333337</v>
      </c>
      <c r="L524" s="126">
        <v>0.8125</v>
      </c>
      <c r="M524" s="1" t="s">
        <v>16</v>
      </c>
      <c r="N524" s="1" t="s">
        <v>42</v>
      </c>
      <c r="O524" s="1" t="s">
        <v>27</v>
      </c>
      <c r="P524" s="1" t="s">
        <v>27</v>
      </c>
      <c r="Q524" s="1" t="s">
        <v>47</v>
      </c>
    </row>
    <row r="525" spans="3:17" x14ac:dyDescent="0.25">
      <c r="C525" s="1" t="str">
        <f>_xlfn.CONCAT(tabE.Flux[[#This Row],[DATA]],"+",tabE.Flux[[#This Row],[MOTORISTA + MATRÍCULA A]])</f>
        <v>45907+CLODOALDO PEREIRA DE LIMA - 4067</v>
      </c>
      <c r="D525" s="1" t="str">
        <f>_xlfn.CONCAT(tabE.Flux[[#This Row],[DATA]],"+",tabE.Flux[[#This Row],[MOTORISTA + MATRÍCULA B]])</f>
        <v>45907+RAIMUNDO COSTA SILVA - 6226</v>
      </c>
      <c r="E525" s="1" t="str">
        <f>_xlfn.CONCAT(tabE.Flux[[#This Row],[DATA]],"+",tabE.Flux[[#This Row],[MOTORISTA + MATRÍCULA A]],"+",tabE.Flux[[#This Row],[LINHA]])</f>
        <v>45907+CLODOALDO PEREIRA DE LIMA - 4067+GOIANIA (GO) X SAO LUIS (MA)</v>
      </c>
      <c r="F525" s="1" t="str">
        <f>_xlfn.CONCAT(tabE.Flux[[#This Row],[DATA]],"+",tabE.Flux[[#This Row],[MOTORISTA + MATRÍCULA B]],"+",tabE.Flux[[#This Row],[LINHA]])</f>
        <v>45907+RAIMUNDO COSTA SILVA - 6226+GOIANIA (GO) X SAO LUIS (MA)</v>
      </c>
      <c r="G525" s="1" t="str">
        <f>_xlfn.CONCAT(tabE.Flux[[#This Row],[DATA]],"+",tabE.Flux[[#This Row],[LINHA]])</f>
        <v>45907+GOIANIA (GO) X SAO LUIS (MA)</v>
      </c>
      <c r="H525" s="125">
        <v>45907</v>
      </c>
      <c r="I525" s="1" t="s">
        <v>15</v>
      </c>
      <c r="J525" s="1">
        <v>24016</v>
      </c>
      <c r="K525" s="126">
        <v>0.8125</v>
      </c>
      <c r="L525" s="126">
        <v>0.84375</v>
      </c>
      <c r="M525" s="1" t="s">
        <v>16</v>
      </c>
      <c r="N525" s="1" t="s">
        <v>42</v>
      </c>
      <c r="O525" s="1" t="s">
        <v>109</v>
      </c>
      <c r="P525" s="1" t="s">
        <v>45</v>
      </c>
      <c r="Q525" s="1" t="s">
        <v>23</v>
      </c>
    </row>
    <row r="526" spans="3:17" x14ac:dyDescent="0.25">
      <c r="C526" s="1" t="str">
        <f>_xlfn.CONCAT(tabE.Flux[[#This Row],[DATA]],"+",tabE.Flux[[#This Row],[MOTORISTA + MATRÍCULA A]])</f>
        <v>45907+FELIPE MORAIS MELO - 3077</v>
      </c>
      <c r="D526" s="1" t="str">
        <f>_xlfn.CONCAT(tabE.Flux[[#This Row],[DATA]],"+",tabE.Flux[[#This Row],[MOTORISTA + MATRÍCULA B]])</f>
        <v>45907+JOAO FLAVIO DE SOUSA SILVA - 5270</v>
      </c>
      <c r="E526" s="1" t="str">
        <f>_xlfn.CONCAT(tabE.Flux[[#This Row],[DATA]],"+",tabE.Flux[[#This Row],[MOTORISTA + MATRÍCULA A]],"+",tabE.Flux[[#This Row],[LINHA]])</f>
        <v>45907+FELIPE MORAIS MELO - 3077+GOIANIA (GO) X TERESINA (PI) VIA STI</v>
      </c>
      <c r="F526" s="1" t="str">
        <f>_xlfn.CONCAT(tabE.Flux[[#This Row],[DATA]],"+",tabE.Flux[[#This Row],[MOTORISTA + MATRÍCULA B]],"+",tabE.Flux[[#This Row],[LINHA]])</f>
        <v>45907+JOAO FLAVIO DE SOUSA SILVA - 5270+GOIANIA (GO) X TERESINA (PI) VIA STI</v>
      </c>
      <c r="G526" s="1" t="str">
        <f>_xlfn.CONCAT(tabE.Flux[[#This Row],[DATA]],"+",tabE.Flux[[#This Row],[LINHA]])</f>
        <v>45907+GOIANIA (GO) X TERESINA (PI) VIA STI</v>
      </c>
      <c r="H526" s="125">
        <v>45907</v>
      </c>
      <c r="I526" s="1" t="s">
        <v>15</v>
      </c>
      <c r="J526" s="1">
        <v>19001</v>
      </c>
      <c r="K526" s="126">
        <v>0.77083333333333337</v>
      </c>
      <c r="L526" s="126">
        <v>0.79861111111111116</v>
      </c>
      <c r="M526" s="1" t="s">
        <v>16</v>
      </c>
      <c r="N526" s="1" t="s">
        <v>29</v>
      </c>
      <c r="O526" s="1" t="s">
        <v>78</v>
      </c>
      <c r="P526" s="1" t="s">
        <v>222</v>
      </c>
      <c r="Q526" s="1" t="s">
        <v>26</v>
      </c>
    </row>
    <row r="527" spans="3:17" x14ac:dyDescent="0.25">
      <c r="C527" s="1" t="str">
        <f>_xlfn.CONCAT(tabE.Flux[[#This Row],[DATA]],"+",tabE.Flux[[#This Row],[MOTORISTA + MATRÍCULA A]])</f>
        <v>45907+CANCELADO</v>
      </c>
      <c r="D527" s="1" t="str">
        <f>_xlfn.CONCAT(tabE.Flux[[#This Row],[DATA]],"+",tabE.Flux[[#This Row],[MOTORISTA + MATRÍCULA B]])</f>
        <v>45907+CANCELADO</v>
      </c>
      <c r="E527" s="1" t="str">
        <f>_xlfn.CONCAT(tabE.Flux[[#This Row],[DATA]],"+",tabE.Flux[[#This Row],[MOTORISTA + MATRÍCULA A]],"+",tabE.Flux[[#This Row],[LINHA]])</f>
        <v>45907+CANCELADO+GOIANIA (GO) X SAO LUIS (MA)</v>
      </c>
      <c r="F527" s="1" t="str">
        <f>_xlfn.CONCAT(tabE.Flux[[#This Row],[DATA]],"+",tabE.Flux[[#This Row],[MOTORISTA + MATRÍCULA B]],"+",tabE.Flux[[#This Row],[LINHA]])</f>
        <v>45907+CANCELADO+GOIANIA (GO) X SAO LUIS (MA)</v>
      </c>
      <c r="G527" s="1" t="str">
        <f>_xlfn.CONCAT(tabE.Flux[[#This Row],[DATA]],"+",tabE.Flux[[#This Row],[LINHA]])</f>
        <v>45907+GOIANIA (GO) X SAO LUIS (MA)</v>
      </c>
      <c r="H527" s="125">
        <v>45907</v>
      </c>
      <c r="I527" s="1" t="s">
        <v>15</v>
      </c>
      <c r="J527" s="1" t="s">
        <v>27</v>
      </c>
      <c r="K527" s="126">
        <v>0.8125</v>
      </c>
      <c r="L527" s="126">
        <v>0.84166666666666667</v>
      </c>
      <c r="M527" s="1" t="s">
        <v>16</v>
      </c>
      <c r="N527" s="1" t="s">
        <v>17</v>
      </c>
      <c r="O527" s="1" t="s">
        <v>27</v>
      </c>
      <c r="P527" s="1" t="s">
        <v>27</v>
      </c>
      <c r="Q527" s="1" t="s">
        <v>23</v>
      </c>
    </row>
    <row r="528" spans="3:17" x14ac:dyDescent="0.25">
      <c r="C528" s="1" t="str">
        <f>_xlfn.CONCAT(tabE.Flux[[#This Row],[DATA]],"+",tabE.Flux[[#This Row],[MOTORISTA + MATRÍCULA A]])</f>
        <v>45907+ANTONIO FRANCINALDO DE OLIVEIRA MARQUES - 5018</v>
      </c>
      <c r="D528" s="1" t="str">
        <f>_xlfn.CONCAT(tabE.Flux[[#This Row],[DATA]],"+",tabE.Flux[[#This Row],[MOTORISTA + MATRÍCULA B]])</f>
        <v>45907+ANTONIO MARQUES NETO DOS SANTOS - 1738</v>
      </c>
      <c r="E528" s="1" t="str">
        <f>_xlfn.CONCAT(tabE.Flux[[#This Row],[DATA]],"+",tabE.Flux[[#This Row],[MOTORISTA + MATRÍCULA A]],"+",tabE.Flux[[#This Row],[LINHA]])</f>
        <v>45907+ANTONIO FRANCINALDO DE OLIVEIRA MARQUES - 5018+FORTALEZA (CE) X SINOP (MT)</v>
      </c>
      <c r="F528" s="1" t="str">
        <f>_xlfn.CONCAT(tabE.Flux[[#This Row],[DATA]],"+",tabE.Flux[[#This Row],[MOTORISTA + MATRÍCULA B]],"+",tabE.Flux[[#This Row],[LINHA]])</f>
        <v>45907+ANTONIO MARQUES NETO DOS SANTOS - 1738+FORTALEZA (CE) X SINOP (MT)</v>
      </c>
      <c r="G528" s="1" t="str">
        <f>_xlfn.CONCAT(tabE.Flux[[#This Row],[DATA]],"+",tabE.Flux[[#This Row],[LINHA]])</f>
        <v>45907+FORTALEZA (CE) X SINOP (MT)</v>
      </c>
      <c r="H528" s="125">
        <v>45907</v>
      </c>
      <c r="I528" s="1" t="s">
        <v>15</v>
      </c>
      <c r="J528" s="1">
        <v>17500</v>
      </c>
      <c r="K528" s="126">
        <v>0.8125</v>
      </c>
      <c r="L528" s="126">
        <v>0.85416666666666663</v>
      </c>
      <c r="M528" s="1" t="s">
        <v>16</v>
      </c>
      <c r="N528" s="1" t="s">
        <v>17</v>
      </c>
      <c r="O528" s="1" t="s">
        <v>233</v>
      </c>
      <c r="P528" s="1" t="s">
        <v>73</v>
      </c>
      <c r="Q528" s="1" t="s">
        <v>32</v>
      </c>
    </row>
    <row r="529" spans="3:17" x14ac:dyDescent="0.25">
      <c r="C529" s="1" t="str">
        <f>_xlfn.CONCAT(tabE.Flux[[#This Row],[DATA]],"+",tabE.Flux[[#This Row],[MOTORISTA + MATRÍCULA A]])</f>
        <v>45907+CANCELADO</v>
      </c>
      <c r="D529" s="1" t="str">
        <f>_xlfn.CONCAT(tabE.Flux[[#This Row],[DATA]],"+",tabE.Flux[[#This Row],[MOTORISTA + MATRÍCULA B]])</f>
        <v>45907+CANCELADO</v>
      </c>
      <c r="E529" s="1" t="str">
        <f>_xlfn.CONCAT(tabE.Flux[[#This Row],[DATA]],"+",tabE.Flux[[#This Row],[MOTORISTA + MATRÍCULA A]],"+",tabE.Flux[[#This Row],[LINHA]])</f>
        <v>45907+CANCELADO+GOIANIA (GO) X BELEM (PA)</v>
      </c>
      <c r="F529" s="1" t="str">
        <f>_xlfn.CONCAT(tabE.Flux[[#This Row],[DATA]],"+",tabE.Flux[[#This Row],[MOTORISTA + MATRÍCULA B]],"+",tabE.Flux[[#This Row],[LINHA]])</f>
        <v>45907+CANCELADO+GOIANIA (GO) X BELEM (PA)</v>
      </c>
      <c r="G529" s="1" t="str">
        <f>_xlfn.CONCAT(tabE.Flux[[#This Row],[DATA]],"+",tabE.Flux[[#This Row],[LINHA]])</f>
        <v>45907+GOIANIA (GO) X BELEM (PA)</v>
      </c>
      <c r="H529" s="125">
        <v>45907</v>
      </c>
      <c r="I529" s="1" t="s">
        <v>15</v>
      </c>
      <c r="J529" s="1" t="s">
        <v>27</v>
      </c>
      <c r="K529" s="126">
        <v>0.84722222222222221</v>
      </c>
      <c r="L529" s="126">
        <v>0.87847222222222221</v>
      </c>
      <c r="M529" s="1" t="s">
        <v>16</v>
      </c>
      <c r="N529" s="1" t="s">
        <v>17</v>
      </c>
      <c r="O529" s="1" t="s">
        <v>27</v>
      </c>
      <c r="P529" s="1" t="s">
        <v>27</v>
      </c>
      <c r="Q529" s="1" t="s">
        <v>20</v>
      </c>
    </row>
    <row r="530" spans="3:17" x14ac:dyDescent="0.25">
      <c r="C530" s="1" t="str">
        <f>_xlfn.CONCAT(tabE.Flux[[#This Row],[DATA]],"+",tabE.Flux[[#This Row],[MOTORISTA + MATRÍCULA A]])</f>
        <v>+</v>
      </c>
      <c r="D530" s="1" t="str">
        <f>_xlfn.CONCAT(tabE.Flux[[#This Row],[DATA]],"+",tabE.Flux[[#This Row],[MOTORISTA + MATRÍCULA B]])</f>
        <v>+</v>
      </c>
      <c r="E530" s="1" t="str">
        <f>_xlfn.CONCAT(tabE.Flux[[#This Row],[DATA]],"+",tabE.Flux[[#This Row],[MOTORISTA + MATRÍCULA A]],"+",tabE.Flux[[#This Row],[LINHA]])</f>
        <v>++</v>
      </c>
      <c r="F530" s="1" t="str">
        <f>_xlfn.CONCAT(tabE.Flux[[#This Row],[DATA]],"+",tabE.Flux[[#This Row],[MOTORISTA + MATRÍCULA B]],"+",tabE.Flux[[#This Row],[LINHA]])</f>
        <v>++</v>
      </c>
      <c r="G530" s="1" t="str">
        <f>_xlfn.CONCAT(tabE.Flux[[#This Row],[DATA]],"+",tabE.Flux[[#This Row],[LINHA]])</f>
        <v>+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3:17" x14ac:dyDescent="0.25">
      <c r="C531" s="1" t="str">
        <f>_xlfn.CONCAT(tabE.Flux[[#This Row],[DATA]],"+",tabE.Flux[[#This Row],[MOTORISTA + MATRÍCULA A]])</f>
        <v>45908+VALDINAR ALVES DE FRANÇA 5959</v>
      </c>
      <c r="D531" s="1" t="str">
        <f>_xlfn.CONCAT(tabE.Flux[[#This Row],[DATA]],"+",tabE.Flux[[#This Row],[MOTORISTA + MATRÍCULA B]])</f>
        <v>45908+CLEYTON CEZAR DA SILVA - 5741</v>
      </c>
      <c r="E531" s="1" t="str">
        <f>_xlfn.CONCAT(tabE.Flux[[#This Row],[DATA]],"+",tabE.Flux[[#This Row],[MOTORISTA + MATRÍCULA A]],"+",tabE.Flux[[#This Row],[LINHA]])</f>
        <v>45908+VALDINAR ALVES DE FRANÇA 5959+GOIANIA (GO) X BELEM (PA)</v>
      </c>
      <c r="F531" s="1" t="str">
        <f>_xlfn.CONCAT(tabE.Flux[[#This Row],[DATA]],"+",tabE.Flux[[#This Row],[MOTORISTA + MATRÍCULA B]],"+",tabE.Flux[[#This Row],[LINHA]])</f>
        <v>45908+CLEYTON CEZAR DA SILVA - 5741+GOIANIA (GO) X BELEM (PA)</v>
      </c>
      <c r="G531" s="1" t="str">
        <f>_xlfn.CONCAT(tabE.Flux[[#This Row],[DATA]],"+",tabE.Flux[[#This Row],[LINHA]])</f>
        <v>45908+GOIANIA (GO) X BELEM (PA)</v>
      </c>
      <c r="H531" s="125">
        <v>45908</v>
      </c>
      <c r="I531" s="1" t="s">
        <v>15</v>
      </c>
      <c r="J531" s="1">
        <v>25005</v>
      </c>
      <c r="K531" s="126">
        <v>0.25486111111111109</v>
      </c>
      <c r="L531" s="126">
        <v>0.3</v>
      </c>
      <c r="M531" s="1" t="s">
        <v>16</v>
      </c>
      <c r="N531" s="1" t="s">
        <v>17</v>
      </c>
      <c r="O531" s="1" t="s">
        <v>178</v>
      </c>
      <c r="P531" s="1" t="s">
        <v>155</v>
      </c>
      <c r="Q531" s="1" t="s">
        <v>20</v>
      </c>
    </row>
    <row r="532" spans="3:17" x14ac:dyDescent="0.25">
      <c r="C532" s="1" t="str">
        <f>_xlfn.CONCAT(tabE.Flux[[#This Row],[DATA]],"+",tabE.Flux[[#This Row],[MOTORISTA + MATRÍCULA A]])</f>
        <v>45908+RICARDO VIEIRA GERVASIO - 5297</v>
      </c>
      <c r="D532" s="1" t="str">
        <f>_xlfn.CONCAT(tabE.Flux[[#This Row],[DATA]],"+",tabE.Flux[[#This Row],[MOTORISTA + MATRÍCULA B]])</f>
        <v>45908+JOSE ATAZ QUINTINO - 6048</v>
      </c>
      <c r="E532" s="1" t="str">
        <f>_xlfn.CONCAT(tabE.Flux[[#This Row],[DATA]],"+",tabE.Flux[[#This Row],[MOTORISTA + MATRÍCULA A]],"+",tabE.Flux[[#This Row],[LINHA]])</f>
        <v>45908+RICARDO VIEIRA GERVASIO - 5297+GOIANIA (GO) X SAO LUIS (MA)</v>
      </c>
      <c r="F532" s="1" t="str">
        <f>_xlfn.CONCAT(tabE.Flux[[#This Row],[DATA]],"+",tabE.Flux[[#This Row],[MOTORISTA + MATRÍCULA B]],"+",tabE.Flux[[#This Row],[LINHA]])</f>
        <v>45908+JOSE ATAZ QUINTINO - 6048+GOIANIA (GO) X SAO LUIS (MA)</v>
      </c>
      <c r="G532" s="1" t="str">
        <f>_xlfn.CONCAT(tabE.Flux[[#This Row],[DATA]],"+",tabE.Flux[[#This Row],[LINHA]])</f>
        <v>45908+GOIANIA (GO) X SAO LUIS (MA)</v>
      </c>
      <c r="H532" s="125">
        <v>45908</v>
      </c>
      <c r="I532" s="1" t="s">
        <v>15</v>
      </c>
      <c r="J532" s="1">
        <v>24014</v>
      </c>
      <c r="K532" s="126">
        <v>0.32291666666666669</v>
      </c>
      <c r="L532" s="126">
        <v>0.33333333333333331</v>
      </c>
      <c r="M532" s="1" t="s">
        <v>16</v>
      </c>
      <c r="N532" s="1" t="s">
        <v>17</v>
      </c>
      <c r="O532" s="1" t="s">
        <v>203</v>
      </c>
      <c r="P532" s="1" t="s">
        <v>202</v>
      </c>
      <c r="Q532" s="1" t="s">
        <v>23</v>
      </c>
    </row>
    <row r="533" spans="3:17" x14ac:dyDescent="0.25">
      <c r="C533" s="1" t="str">
        <f>_xlfn.CONCAT(tabE.Flux[[#This Row],[DATA]],"+",tabE.Flux[[#This Row],[MOTORISTA + MATRÍCULA A]])</f>
        <v>45908+PAULO TRINDADE DE ALMEIDA - 5742</v>
      </c>
      <c r="D533" s="1" t="str">
        <f>_xlfn.CONCAT(tabE.Flux[[#This Row],[DATA]],"+",tabE.Flux[[#This Row],[MOTORISTA + MATRÍCULA B]])</f>
        <v>45908+JEZANIAS GOIS DOS SANTOS - 5573</v>
      </c>
      <c r="E533" s="1" t="str">
        <f>_xlfn.CONCAT(tabE.Flux[[#This Row],[DATA]],"+",tabE.Flux[[#This Row],[MOTORISTA + MATRÍCULA A]],"+",tabE.Flux[[#This Row],[LINHA]])</f>
        <v>45908+PAULO TRINDADE DE ALMEIDA - 5742+GOIANIA (GO) X TERESINA (PI) VIA STI</v>
      </c>
      <c r="F533" s="1" t="str">
        <f>_xlfn.CONCAT(tabE.Flux[[#This Row],[DATA]],"+",tabE.Flux[[#This Row],[MOTORISTA + MATRÍCULA B]],"+",tabE.Flux[[#This Row],[LINHA]])</f>
        <v>45908+JEZANIAS GOIS DOS SANTOS - 5573+GOIANIA (GO) X TERESINA (PI) VIA STI</v>
      </c>
      <c r="G533" s="1" t="str">
        <f>_xlfn.CONCAT(tabE.Flux[[#This Row],[DATA]],"+",tabE.Flux[[#This Row],[LINHA]])</f>
        <v>45908+GOIANIA (GO) X TERESINA (PI) VIA STI</v>
      </c>
      <c r="H533" s="125">
        <v>45908</v>
      </c>
      <c r="I533" s="1" t="s">
        <v>15</v>
      </c>
      <c r="J533" s="1">
        <v>19009</v>
      </c>
      <c r="K533" s="126">
        <v>0.3888888888888889</v>
      </c>
      <c r="L533" s="126">
        <v>0.39583333333333331</v>
      </c>
      <c r="M533" s="1" t="s">
        <v>16</v>
      </c>
      <c r="N533" s="1" t="s">
        <v>17</v>
      </c>
      <c r="O533" s="1" t="s">
        <v>153</v>
      </c>
      <c r="P533" s="1" t="s">
        <v>196</v>
      </c>
      <c r="Q533" s="1" t="s">
        <v>26</v>
      </c>
    </row>
    <row r="534" spans="3:17" x14ac:dyDescent="0.25">
      <c r="C534" s="1" t="str">
        <f>_xlfn.CONCAT(tabE.Flux[[#This Row],[DATA]],"+",tabE.Flux[[#This Row],[MOTORISTA + MATRÍCULA A]])</f>
        <v>45908+CANCELADO</v>
      </c>
      <c r="D534" s="1" t="str">
        <f>_xlfn.CONCAT(tabE.Flux[[#This Row],[DATA]],"+",tabE.Flux[[#This Row],[MOTORISTA + MATRÍCULA B]])</f>
        <v>45908+CANCELADO</v>
      </c>
      <c r="E534" s="1" t="str">
        <f>_xlfn.CONCAT(tabE.Flux[[#This Row],[DATA]],"+",tabE.Flux[[#This Row],[MOTORISTA + MATRÍCULA A]],"+",tabE.Flux[[#This Row],[LINHA]])</f>
        <v>45908+CANCELADO+</v>
      </c>
      <c r="F534" s="1" t="str">
        <f>_xlfn.CONCAT(tabE.Flux[[#This Row],[DATA]],"+",tabE.Flux[[#This Row],[MOTORISTA + MATRÍCULA B]],"+",tabE.Flux[[#This Row],[LINHA]])</f>
        <v>45908+CANCELADO+</v>
      </c>
      <c r="G534" s="1" t="str">
        <f>_xlfn.CONCAT(tabE.Flux[[#This Row],[DATA]],"+",tabE.Flux[[#This Row],[LINHA]])</f>
        <v>45908+</v>
      </c>
      <c r="H534" s="125">
        <v>45908</v>
      </c>
      <c r="I534" s="1" t="s">
        <v>15</v>
      </c>
      <c r="J534" s="1" t="s">
        <v>27</v>
      </c>
      <c r="K534" s="126">
        <v>0.375</v>
      </c>
      <c r="L534" s="126">
        <v>0.41666666666666669</v>
      </c>
      <c r="M534" s="1" t="s">
        <v>16</v>
      </c>
      <c r="N534" s="1" t="s">
        <v>28</v>
      </c>
      <c r="O534" s="1" t="s">
        <v>27</v>
      </c>
      <c r="P534" s="1" t="s">
        <v>27</v>
      </c>
      <c r="Q534" s="1"/>
    </row>
    <row r="535" spans="3:17" x14ac:dyDescent="0.25">
      <c r="C535" s="1" t="str">
        <f>_xlfn.CONCAT(tabE.Flux[[#This Row],[DATA]],"+",tabE.Flux[[#This Row],[MOTORISTA + MATRÍCULA A]])</f>
        <v>45908+KLEBER OLIVEIRA LIMA - 5849</v>
      </c>
      <c r="D535" s="1" t="str">
        <f>_xlfn.CONCAT(tabE.Flux[[#This Row],[DATA]],"+",tabE.Flux[[#This Row],[MOTORISTA + MATRÍCULA B]])</f>
        <v>45908+DAVID ALVES PEREIRA - 5300</v>
      </c>
      <c r="E535" s="1" t="str">
        <f>_xlfn.CONCAT(tabE.Flux[[#This Row],[DATA]],"+",tabE.Flux[[#This Row],[MOTORISTA + MATRÍCULA A]],"+",tabE.Flux[[#This Row],[LINHA]])</f>
        <v>45908+KLEBER OLIVEIRA LIMA - 5849+FORTALEZA (CE) X SINOP (MT)</v>
      </c>
      <c r="F535" s="1" t="str">
        <f>_xlfn.CONCAT(tabE.Flux[[#This Row],[DATA]],"+",tabE.Flux[[#This Row],[MOTORISTA + MATRÍCULA B]],"+",tabE.Flux[[#This Row],[LINHA]])</f>
        <v>45908+DAVID ALVES PEREIRA - 5300+FORTALEZA (CE) X SINOP (MT)</v>
      </c>
      <c r="G535" s="1" t="str">
        <f>_xlfn.CONCAT(tabE.Flux[[#This Row],[DATA]],"+",tabE.Flux[[#This Row],[LINHA]])</f>
        <v>45908+FORTALEZA (CE) X SINOP (MT)</v>
      </c>
      <c r="H535" s="125">
        <v>45908</v>
      </c>
      <c r="I535" s="1" t="s">
        <v>15</v>
      </c>
      <c r="J535" s="1">
        <v>20014</v>
      </c>
      <c r="K535" s="126">
        <v>0.3888888888888889</v>
      </c>
      <c r="L535" s="126">
        <v>0.37708333333333333</v>
      </c>
      <c r="M535" s="1" t="s">
        <v>16</v>
      </c>
      <c r="N535" s="1" t="s">
        <v>29</v>
      </c>
      <c r="O535" s="1" t="s">
        <v>102</v>
      </c>
      <c r="P535" s="1" t="s">
        <v>197</v>
      </c>
      <c r="Q535" s="1" t="s">
        <v>32</v>
      </c>
    </row>
    <row r="536" spans="3:17" x14ac:dyDescent="0.25">
      <c r="C536" s="1" t="str">
        <f>_xlfn.CONCAT(tabE.Flux[[#This Row],[DATA]],"+",tabE.Flux[[#This Row],[MOTORISTA + MATRÍCULA A]])</f>
        <v>45908+RONNE RODRIGUES DE SOUSA - 5025</v>
      </c>
      <c r="D536" s="1" t="str">
        <f>_xlfn.CONCAT(tabE.Flux[[#This Row],[DATA]],"+",tabE.Flux[[#This Row],[MOTORISTA + MATRÍCULA B]])</f>
        <v>45908+JERZUALDO DA SILVA GOMES - 4077</v>
      </c>
      <c r="E536" s="1" t="str">
        <f>_xlfn.CONCAT(tabE.Flux[[#This Row],[DATA]],"+",tabE.Flux[[#This Row],[MOTORISTA + MATRÍCULA A]],"+",tabE.Flux[[#This Row],[LINHA]])</f>
        <v>45908+RONNE RODRIGUES DE SOUSA - 5025+GOIANIA (GO) X BELEM (PA)</v>
      </c>
      <c r="F536" s="1" t="str">
        <f>_xlfn.CONCAT(tabE.Flux[[#This Row],[DATA]],"+",tabE.Flux[[#This Row],[MOTORISTA + MATRÍCULA B]],"+",tabE.Flux[[#This Row],[LINHA]])</f>
        <v>45908+JERZUALDO DA SILVA GOMES - 4077+GOIANIA (GO) X BELEM (PA)</v>
      </c>
      <c r="G536" s="1" t="str">
        <f>_xlfn.CONCAT(tabE.Flux[[#This Row],[DATA]],"+",tabE.Flux[[#This Row],[LINHA]])</f>
        <v>45908+GOIANIA (GO) X BELEM (PA)</v>
      </c>
      <c r="H536" s="125">
        <v>45908</v>
      </c>
      <c r="I536" s="1" t="s">
        <v>15</v>
      </c>
      <c r="J536" s="1">
        <v>19018</v>
      </c>
      <c r="K536" s="126">
        <v>0.38958333333333334</v>
      </c>
      <c r="L536" s="126">
        <v>0.38541666666666669</v>
      </c>
      <c r="M536" s="1" t="s">
        <v>16</v>
      </c>
      <c r="N536" s="1" t="s">
        <v>33</v>
      </c>
      <c r="O536" s="1" t="s">
        <v>85</v>
      </c>
      <c r="P536" s="1" t="s">
        <v>130</v>
      </c>
      <c r="Q536" s="1" t="s">
        <v>20</v>
      </c>
    </row>
    <row r="537" spans="3:17" x14ac:dyDescent="0.25">
      <c r="C537" s="1" t="str">
        <f>_xlfn.CONCAT(tabE.Flux[[#This Row],[DATA]],"+",tabE.Flux[[#This Row],[MOTORISTA + MATRÍCULA A]])</f>
        <v>45908+JOSE ORLANDO RODRIGUES DE MIRANDA - 5838</v>
      </c>
      <c r="D537" s="1" t="str">
        <f>_xlfn.CONCAT(tabE.Flux[[#This Row],[DATA]],"+",tabE.Flux[[#This Row],[MOTORISTA + MATRÍCULA B]])</f>
        <v>45908+ADRIASIO SOARES MENDES - 5440</v>
      </c>
      <c r="E537" s="1" t="str">
        <f>_xlfn.CONCAT(tabE.Flux[[#This Row],[DATA]],"+",tabE.Flux[[#This Row],[MOTORISTA + MATRÍCULA A]],"+",tabE.Flux[[#This Row],[LINHA]])</f>
        <v>45908+JOSE ORLANDO RODRIGUES DE MIRANDA - 5838+GOIANIA (GO) X TERESINA (PI) VIA BC</v>
      </c>
      <c r="F537" s="1" t="str">
        <f>_xlfn.CONCAT(tabE.Flux[[#This Row],[DATA]],"+",tabE.Flux[[#This Row],[MOTORISTA + MATRÍCULA B]],"+",tabE.Flux[[#This Row],[LINHA]])</f>
        <v>45908+ADRIASIO SOARES MENDES - 5440+GOIANIA (GO) X TERESINA (PI) VIA BC</v>
      </c>
      <c r="G537" s="1" t="str">
        <f>_xlfn.CONCAT(tabE.Flux[[#This Row],[DATA]],"+",tabE.Flux[[#This Row],[LINHA]])</f>
        <v>45908+GOIANIA (GO) X TERESINA (PI) VIA BC</v>
      </c>
      <c r="H537" s="125">
        <v>45908</v>
      </c>
      <c r="I537" s="1" t="s">
        <v>15</v>
      </c>
      <c r="J537" s="1">
        <v>25008</v>
      </c>
      <c r="K537" s="126">
        <v>0.375</v>
      </c>
      <c r="L537" s="126">
        <v>0.39930555555555558</v>
      </c>
      <c r="M537" s="1" t="s">
        <v>36</v>
      </c>
      <c r="N537" s="1" t="s">
        <v>29</v>
      </c>
      <c r="O537" s="1" t="s">
        <v>37</v>
      </c>
      <c r="P537" s="1" t="s">
        <v>242</v>
      </c>
      <c r="Q537" s="1" t="s">
        <v>39</v>
      </c>
    </row>
    <row r="538" spans="3:17" x14ac:dyDescent="0.25">
      <c r="C538" s="1" t="str">
        <f>_xlfn.CONCAT(tabE.Flux[[#This Row],[DATA]],"+",tabE.Flux[[#This Row],[MOTORISTA + MATRÍCULA A]])</f>
        <v>45908+WESLEY SILVA PAIVA - 5638</v>
      </c>
      <c r="D538" s="1" t="str">
        <f>_xlfn.CONCAT(tabE.Flux[[#This Row],[DATA]],"+",tabE.Flux[[#This Row],[MOTORISTA + MATRÍCULA B]])</f>
        <v>45908+ANTONIO RAMIRO WEBER - 5452</v>
      </c>
      <c r="E538" s="1" t="str">
        <f>_xlfn.CONCAT(tabE.Flux[[#This Row],[DATA]],"+",tabE.Flux[[#This Row],[MOTORISTA + MATRÍCULA A]],"+",tabE.Flux[[#This Row],[LINHA]])</f>
        <v>45908+WESLEY SILVA PAIVA - 5638+GOIANIA (GO) X BELEM (PA)</v>
      </c>
      <c r="F538" s="1" t="str">
        <f>_xlfn.CONCAT(tabE.Flux[[#This Row],[DATA]],"+",tabE.Flux[[#This Row],[MOTORISTA + MATRÍCULA B]],"+",tabE.Flux[[#This Row],[LINHA]])</f>
        <v>45908+ANTONIO RAMIRO WEBER - 5452+GOIANIA (GO) X BELEM (PA)</v>
      </c>
      <c r="G538" s="1" t="str">
        <f>_xlfn.CONCAT(tabE.Flux[[#This Row],[DATA]],"+",tabE.Flux[[#This Row],[LINHA]])</f>
        <v>45908+GOIANIA (GO) X BELEM (PA)</v>
      </c>
      <c r="H538" s="125">
        <v>45908</v>
      </c>
      <c r="I538" s="1" t="s">
        <v>15</v>
      </c>
      <c r="J538" s="1">
        <v>17700</v>
      </c>
      <c r="K538" s="126">
        <v>0.375</v>
      </c>
      <c r="L538" s="126">
        <v>0.41666666666666669</v>
      </c>
      <c r="M538" s="1" t="s">
        <v>33</v>
      </c>
      <c r="N538" s="1" t="s">
        <v>16</v>
      </c>
      <c r="O538" s="1" t="s">
        <v>112</v>
      </c>
      <c r="P538" s="1" t="s">
        <v>79</v>
      </c>
      <c r="Q538" s="1" t="s">
        <v>20</v>
      </c>
    </row>
    <row r="539" spans="3:17" x14ac:dyDescent="0.25">
      <c r="C539" s="1" t="str">
        <f>_xlfn.CONCAT(tabE.Flux[[#This Row],[DATA]],"+",tabE.Flux[[#This Row],[MOTORISTA + MATRÍCULA A]])</f>
        <v>45908+EDIVALDO DE ARAUJO - 6217</v>
      </c>
      <c r="D539" s="1" t="str">
        <f>_xlfn.CONCAT(tabE.Flux[[#This Row],[DATA]],"+",tabE.Flux[[#This Row],[MOTORISTA + MATRÍCULA B]])</f>
        <v>45908+LUIZ CARLOS MARIANO SIQUEIRA - 5634</v>
      </c>
      <c r="E539" s="1" t="str">
        <f>_xlfn.CONCAT(tabE.Flux[[#This Row],[DATA]],"+",tabE.Flux[[#This Row],[MOTORISTA + MATRÍCULA A]],"+",tabE.Flux[[#This Row],[LINHA]])</f>
        <v>45908+EDIVALDO DE ARAUJO - 6217+GOIANIA (GO) X SAO LUIS (MA)</v>
      </c>
      <c r="F539" s="1" t="str">
        <f>_xlfn.CONCAT(tabE.Flux[[#This Row],[DATA]],"+",tabE.Flux[[#This Row],[MOTORISTA + MATRÍCULA B]],"+",tabE.Flux[[#This Row],[LINHA]])</f>
        <v>45908+LUIZ CARLOS MARIANO SIQUEIRA - 5634+GOIANIA (GO) X SAO LUIS (MA)</v>
      </c>
      <c r="G539" s="1" t="str">
        <f>_xlfn.CONCAT(tabE.Flux[[#This Row],[DATA]],"+",tabE.Flux[[#This Row],[LINHA]])</f>
        <v>45908+GOIANIA (GO) X SAO LUIS (MA)</v>
      </c>
      <c r="H539" s="125">
        <v>45908</v>
      </c>
      <c r="I539" s="1" t="s">
        <v>15</v>
      </c>
      <c r="J539" s="1">
        <v>20018</v>
      </c>
      <c r="K539" s="126">
        <v>0.25</v>
      </c>
      <c r="L539" s="126">
        <v>0.29166666666666669</v>
      </c>
      <c r="M539" s="1" t="s">
        <v>42</v>
      </c>
      <c r="N539" s="1" t="s">
        <v>16</v>
      </c>
      <c r="O539" s="1" t="s">
        <v>55</v>
      </c>
      <c r="P539" s="1" t="s">
        <v>51</v>
      </c>
      <c r="Q539" s="1" t="s">
        <v>23</v>
      </c>
    </row>
    <row r="540" spans="3:17" x14ac:dyDescent="0.25">
      <c r="C540" s="1" t="str">
        <f>_xlfn.CONCAT(tabE.Flux[[#This Row],[DATA]],"+",tabE.Flux[[#This Row],[MOTORISTA + MATRÍCULA A]])</f>
        <v>45908+LAUCEANDO DA SILVA ROCHA - 6220</v>
      </c>
      <c r="D540" s="1" t="str">
        <f>_xlfn.CONCAT(tabE.Flux[[#This Row],[DATA]],"+",tabE.Flux[[#This Row],[MOTORISTA + MATRÍCULA B]])</f>
        <v>45908+CLODOALDO PEREIRA DE LIMA - 4067</v>
      </c>
      <c r="E540" s="1" t="str">
        <f>_xlfn.CONCAT(tabE.Flux[[#This Row],[DATA]],"+",tabE.Flux[[#This Row],[MOTORISTA + MATRÍCULA A]],"+",tabE.Flux[[#This Row],[LINHA]])</f>
        <v>45908+LAUCEANDO DA SILVA ROCHA - 6220+GOIANIA (GO) X SAO LUIS (MA)</v>
      </c>
      <c r="F540" s="1" t="str">
        <f>_xlfn.CONCAT(tabE.Flux[[#This Row],[DATA]],"+",tabE.Flux[[#This Row],[MOTORISTA + MATRÍCULA B]],"+",tabE.Flux[[#This Row],[LINHA]])</f>
        <v>45908+CLODOALDO PEREIRA DE LIMA - 4067+GOIANIA (GO) X SAO LUIS (MA)</v>
      </c>
      <c r="G540" s="1" t="str">
        <f>_xlfn.CONCAT(tabE.Flux[[#This Row],[DATA]],"+",tabE.Flux[[#This Row],[LINHA]])</f>
        <v>45908+GOIANIA (GO) X SAO LUIS (MA)</v>
      </c>
      <c r="H540" s="125">
        <v>45908</v>
      </c>
      <c r="I540" s="1" t="s">
        <v>15</v>
      </c>
      <c r="J540" s="1">
        <v>24016</v>
      </c>
      <c r="K540" s="126">
        <v>0.75</v>
      </c>
      <c r="L540" s="126">
        <v>0.79166666666666663</v>
      </c>
      <c r="M540" s="1" t="s">
        <v>42</v>
      </c>
      <c r="N540" s="1" t="s">
        <v>16</v>
      </c>
      <c r="O540" s="1" t="s">
        <v>86</v>
      </c>
      <c r="P540" s="1" t="s">
        <v>109</v>
      </c>
      <c r="Q540" s="1" t="s">
        <v>23</v>
      </c>
    </row>
    <row r="541" spans="3:17" x14ac:dyDescent="0.25">
      <c r="C541" s="1" t="str">
        <f>_xlfn.CONCAT(tabE.Flux[[#This Row],[DATA]],"+",tabE.Flux[[#This Row],[MOTORISTA + MATRÍCULA A]])</f>
        <v>45908+CANCELADO</v>
      </c>
      <c r="D541" s="1" t="str">
        <f>_xlfn.CONCAT(tabE.Flux[[#This Row],[DATA]],"+",tabE.Flux[[#This Row],[MOTORISTA + MATRÍCULA B]])</f>
        <v>45908+CANCELADO</v>
      </c>
      <c r="E541" s="1" t="str">
        <f>_xlfn.CONCAT(tabE.Flux[[#This Row],[DATA]],"+",tabE.Flux[[#This Row],[MOTORISTA + MATRÍCULA A]],"+",tabE.Flux[[#This Row],[LINHA]])</f>
        <v>45908+CANCELADO+IMPERATRIZ (MA) X SÃO LUIS (MA)</v>
      </c>
      <c r="F541" s="1" t="str">
        <f>_xlfn.CONCAT(tabE.Flux[[#This Row],[DATA]],"+",tabE.Flux[[#This Row],[MOTORISTA + MATRÍCULA B]],"+",tabE.Flux[[#This Row],[LINHA]])</f>
        <v>45908+CANCELADO+IMPERATRIZ (MA) X SÃO LUIS (MA)</v>
      </c>
      <c r="G541" s="1" t="str">
        <f>_xlfn.CONCAT(tabE.Flux[[#This Row],[DATA]],"+",tabE.Flux[[#This Row],[LINHA]])</f>
        <v>45908+IMPERATRIZ (MA) X SÃO LUIS (MA)</v>
      </c>
      <c r="H541" s="125">
        <v>45908</v>
      </c>
      <c r="I541" s="1" t="s">
        <v>15</v>
      </c>
      <c r="J541" s="1" t="s">
        <v>27</v>
      </c>
      <c r="K541" s="126">
        <v>0.77083333333333337</v>
      </c>
      <c r="L541" s="126">
        <v>0.79513888888888884</v>
      </c>
      <c r="M541" s="1" t="s">
        <v>42</v>
      </c>
      <c r="N541" s="1" t="s">
        <v>16</v>
      </c>
      <c r="O541" s="1" t="s">
        <v>27</v>
      </c>
      <c r="P541" s="1" t="s">
        <v>27</v>
      </c>
      <c r="Q541" s="1" t="s">
        <v>47</v>
      </c>
    </row>
    <row r="542" spans="3:17" x14ac:dyDescent="0.25">
      <c r="C542" s="1" t="str">
        <f>_xlfn.CONCAT(tabE.Flux[[#This Row],[DATA]],"+",tabE.Flux[[#This Row],[MOTORISTA + MATRÍCULA A]])</f>
        <v>45908+MARCELO RIZO SANTANA - 2048</v>
      </c>
      <c r="D542" s="1" t="str">
        <f>_xlfn.CONCAT(tabE.Flux[[#This Row],[DATA]],"+",tabE.Flux[[#This Row],[MOTORISTA + MATRÍCULA B]])</f>
        <v>45908+JOSIMAR CLAUDINO SILVA - 6019</v>
      </c>
      <c r="E542" s="1" t="str">
        <f>_xlfn.CONCAT(tabE.Flux[[#This Row],[DATA]],"+",tabE.Flux[[#This Row],[MOTORISTA + MATRÍCULA A]],"+",tabE.Flux[[#This Row],[LINHA]])</f>
        <v>45908+MARCELO RIZO SANTANA - 2048+GOIANIA (GO) X TERESINA (PI) VIA BC</v>
      </c>
      <c r="F542" s="1" t="str">
        <f>_xlfn.CONCAT(tabE.Flux[[#This Row],[DATA]],"+",tabE.Flux[[#This Row],[MOTORISTA + MATRÍCULA B]],"+",tabE.Flux[[#This Row],[LINHA]])</f>
        <v>45908+JOSIMAR CLAUDINO SILVA - 6019+GOIANIA (GO) X TERESINA (PI) VIA BC</v>
      </c>
      <c r="G542" s="1" t="str">
        <f>_xlfn.CONCAT(tabE.Flux[[#This Row],[DATA]],"+",tabE.Flux[[#This Row],[LINHA]])</f>
        <v>45908+GOIANIA (GO) X TERESINA (PI) VIA BC</v>
      </c>
      <c r="H542" s="125">
        <v>45908</v>
      </c>
      <c r="I542" s="1" t="s">
        <v>15</v>
      </c>
      <c r="J542" s="1">
        <v>25007</v>
      </c>
      <c r="K542" s="126">
        <v>0.89583333333333337</v>
      </c>
      <c r="L542" s="126">
        <v>0.91666666666666663</v>
      </c>
      <c r="M542" s="1" t="s">
        <v>36</v>
      </c>
      <c r="N542" s="1" t="s">
        <v>17</v>
      </c>
      <c r="O542" s="1" t="s">
        <v>127</v>
      </c>
      <c r="P542" s="1" t="s">
        <v>243</v>
      </c>
      <c r="Q542" s="1" t="s">
        <v>39</v>
      </c>
    </row>
    <row r="543" spans="3:17" x14ac:dyDescent="0.25">
      <c r="C543" s="1" t="str">
        <f>_xlfn.CONCAT(tabE.Flux[[#This Row],[DATA]],"+",tabE.Flux[[#This Row],[MOTORISTA + MATRÍCULA A]])</f>
        <v>45908+JARDEL DE SOUSA OLIVEIRA - 5992</v>
      </c>
      <c r="D543" s="1" t="str">
        <f>_xlfn.CONCAT(tabE.Flux[[#This Row],[DATA]],"+",tabE.Flux[[#This Row],[MOTORISTA + MATRÍCULA B]])</f>
        <v>45908+AELSON PEREIRA DO NASCIMENTO - 5682</v>
      </c>
      <c r="E543" s="1" t="str">
        <f>_xlfn.CONCAT(tabE.Flux[[#This Row],[DATA]],"+",tabE.Flux[[#This Row],[MOTORISTA + MATRÍCULA A]],"+",tabE.Flux[[#This Row],[LINHA]])</f>
        <v>45908+JARDEL DE SOUSA OLIVEIRA - 5992+GOIANIA (GO) X BELEM (PA)</v>
      </c>
      <c r="F543" s="1" t="str">
        <f>_xlfn.CONCAT(tabE.Flux[[#This Row],[DATA]],"+",tabE.Flux[[#This Row],[MOTORISTA + MATRÍCULA B]],"+",tabE.Flux[[#This Row],[LINHA]])</f>
        <v>45908+AELSON PEREIRA DO NASCIMENTO - 5682+GOIANIA (GO) X BELEM (PA)</v>
      </c>
      <c r="G543" s="1" t="str">
        <f>_xlfn.CONCAT(tabE.Flux[[#This Row],[DATA]],"+",tabE.Flux[[#This Row],[LINHA]])</f>
        <v>45908+GOIANIA (GO) X BELEM (PA)</v>
      </c>
      <c r="H543" s="125">
        <v>45908</v>
      </c>
      <c r="I543" s="1" t="s">
        <v>15</v>
      </c>
      <c r="J543" s="1">
        <v>24012</v>
      </c>
      <c r="K543" s="126">
        <v>0.76041666666666663</v>
      </c>
      <c r="L543" s="126">
        <v>0.77083333333333337</v>
      </c>
      <c r="M543" s="1" t="s">
        <v>33</v>
      </c>
      <c r="N543" s="1" t="s">
        <v>16</v>
      </c>
      <c r="O543" s="1" t="s">
        <v>150</v>
      </c>
      <c r="P543" s="1" t="s">
        <v>88</v>
      </c>
      <c r="Q543" s="1" t="s">
        <v>20</v>
      </c>
    </row>
    <row r="544" spans="3:17" x14ac:dyDescent="0.25">
      <c r="C544" s="1" t="str">
        <f>_xlfn.CONCAT(tabE.Flux[[#This Row],[DATA]],"+",tabE.Flux[[#This Row],[MOTORISTA + MATRÍCULA A]])</f>
        <v>45908+ESIEL COSTA RODRIGUES - 1749</v>
      </c>
      <c r="D544" s="1" t="str">
        <f>_xlfn.CONCAT(tabE.Flux[[#This Row],[DATA]],"+",tabE.Flux[[#This Row],[MOTORISTA + MATRÍCULA B]])</f>
        <v>45908+ELIEZIO JOSE DOS SANTOS - 2645</v>
      </c>
      <c r="E544" s="1" t="str">
        <f>_xlfn.CONCAT(tabE.Flux[[#This Row],[DATA]],"+",tabE.Flux[[#This Row],[MOTORISTA + MATRÍCULA A]],"+",tabE.Flux[[#This Row],[LINHA]])</f>
        <v>45908+ESIEL COSTA RODRIGUES - 1749+GOIANIA (GO) X BELEM (PA)</v>
      </c>
      <c r="F544" s="1" t="str">
        <f>_xlfn.CONCAT(tabE.Flux[[#This Row],[DATA]],"+",tabE.Flux[[#This Row],[MOTORISTA + MATRÍCULA B]],"+",tabE.Flux[[#This Row],[LINHA]])</f>
        <v>45908+ELIEZIO JOSE DOS SANTOS - 2645+GOIANIA (GO) X BELEM (PA)</v>
      </c>
      <c r="G544" s="1" t="str">
        <f>_xlfn.CONCAT(tabE.Flux[[#This Row],[DATA]],"+",tabE.Flux[[#This Row],[LINHA]])</f>
        <v>45908+GOIANIA (GO) X BELEM (PA)</v>
      </c>
      <c r="H544" s="125">
        <v>45908</v>
      </c>
      <c r="I544" s="1" t="s">
        <v>15</v>
      </c>
      <c r="J544" s="1">
        <v>24004</v>
      </c>
      <c r="K544" s="126">
        <v>0.76041666666666663</v>
      </c>
      <c r="L544" s="126">
        <v>0.82777777777777772</v>
      </c>
      <c r="M544" s="1" t="s">
        <v>16</v>
      </c>
      <c r="N544" s="1" t="s">
        <v>33</v>
      </c>
      <c r="O544" s="1" t="s">
        <v>46</v>
      </c>
      <c r="P544" s="1" t="s">
        <v>53</v>
      </c>
      <c r="Q544" s="1" t="s">
        <v>20</v>
      </c>
    </row>
    <row r="545" spans="3:17" x14ac:dyDescent="0.25">
      <c r="C545" s="1" t="str">
        <f>_xlfn.CONCAT(tabE.Flux[[#This Row],[DATA]],"+",tabE.Flux[[#This Row],[MOTORISTA + MATRÍCULA A]])</f>
        <v>45908+LEANDRO DE OLIVEIRA MELO - 2151</v>
      </c>
      <c r="D545" s="1" t="str">
        <f>_xlfn.CONCAT(tabE.Flux[[#This Row],[DATA]],"+",tabE.Flux[[#This Row],[MOTORISTA + MATRÍCULA B]])</f>
        <v>45908+ALTEMAR DO NASCIMENTO LIMA - 6225</v>
      </c>
      <c r="E545" s="1" t="str">
        <f>_xlfn.CONCAT(tabE.Flux[[#This Row],[DATA]],"+",tabE.Flux[[#This Row],[MOTORISTA + MATRÍCULA A]],"+",tabE.Flux[[#This Row],[LINHA]])</f>
        <v>45908+LEANDRO DE OLIVEIRA MELO - 2151+GOIANIA (GO) X SAO LUIS (MA)</v>
      </c>
      <c r="F545" s="1" t="str">
        <f>_xlfn.CONCAT(tabE.Flux[[#This Row],[DATA]],"+",tabE.Flux[[#This Row],[MOTORISTA + MATRÍCULA B]],"+",tabE.Flux[[#This Row],[LINHA]])</f>
        <v>45908+ALTEMAR DO NASCIMENTO LIMA - 6225+GOIANIA (GO) X SAO LUIS (MA)</v>
      </c>
      <c r="G545" s="1" t="str">
        <f>_xlfn.CONCAT(tabE.Flux[[#This Row],[DATA]],"+",tabE.Flux[[#This Row],[LINHA]])</f>
        <v>45908+GOIANIA (GO) X SAO LUIS (MA)</v>
      </c>
      <c r="H545" s="125">
        <v>45908</v>
      </c>
      <c r="I545" s="1" t="s">
        <v>15</v>
      </c>
      <c r="J545" s="1">
        <v>19019</v>
      </c>
      <c r="K545" s="126">
        <v>0.40763888888888888</v>
      </c>
      <c r="L545" s="126">
        <v>0.47013888888888888</v>
      </c>
      <c r="M545" s="1" t="s">
        <v>16</v>
      </c>
      <c r="N545" s="1" t="s">
        <v>42</v>
      </c>
      <c r="O545" s="1" t="s">
        <v>64</v>
      </c>
      <c r="P545" s="1" t="s">
        <v>57</v>
      </c>
      <c r="Q545" s="1" t="s">
        <v>23</v>
      </c>
    </row>
    <row r="546" spans="3:17" x14ac:dyDescent="0.25">
      <c r="C546" s="1" t="str">
        <f>_xlfn.CONCAT(tabE.Flux[[#This Row],[DATA]],"+",tabE.Flux[[#This Row],[MOTORISTA + MATRÍCULA A]])</f>
        <v>45908+CANCELADO</v>
      </c>
      <c r="D546" s="1" t="str">
        <f>_xlfn.CONCAT(tabE.Flux[[#This Row],[DATA]],"+",tabE.Flux[[#This Row],[MOTORISTA + MATRÍCULA B]])</f>
        <v>45908+CANCELADO</v>
      </c>
      <c r="E546" s="1" t="str">
        <f>_xlfn.CONCAT(tabE.Flux[[#This Row],[DATA]],"+",tabE.Flux[[#This Row],[MOTORISTA + MATRÍCULA A]],"+",tabE.Flux[[#This Row],[LINHA]])</f>
        <v>45908+CANCELADO+IMPERATRIZ (MA) X SÃO LUIS (MA)</v>
      </c>
      <c r="F546" s="1" t="str">
        <f>_xlfn.CONCAT(tabE.Flux[[#This Row],[DATA]],"+",tabE.Flux[[#This Row],[MOTORISTA + MATRÍCULA B]],"+",tabE.Flux[[#This Row],[LINHA]])</f>
        <v>45908+CANCELADO+IMPERATRIZ (MA) X SÃO LUIS (MA)</v>
      </c>
      <c r="G546" s="1" t="str">
        <f>_xlfn.CONCAT(tabE.Flux[[#This Row],[DATA]],"+",tabE.Flux[[#This Row],[LINHA]])</f>
        <v>45908+IMPERATRIZ (MA) X SÃO LUIS (MA)</v>
      </c>
      <c r="H546" s="125">
        <v>45908</v>
      </c>
      <c r="I546" s="1" t="s">
        <v>15</v>
      </c>
      <c r="J546" s="1" t="s">
        <v>27</v>
      </c>
      <c r="K546" s="126">
        <v>0.77083333333333337</v>
      </c>
      <c r="L546" s="126">
        <v>0.8125</v>
      </c>
      <c r="M546" s="1" t="s">
        <v>16</v>
      </c>
      <c r="N546" s="1" t="s">
        <v>42</v>
      </c>
      <c r="O546" s="1" t="s">
        <v>27</v>
      </c>
      <c r="P546" s="1" t="s">
        <v>27</v>
      </c>
      <c r="Q546" s="1" t="s">
        <v>47</v>
      </c>
    </row>
    <row r="547" spans="3:17" x14ac:dyDescent="0.25">
      <c r="C547" s="1" t="str">
        <f>_xlfn.CONCAT(tabE.Flux[[#This Row],[DATA]],"+",tabE.Flux[[#This Row],[MOTORISTA + MATRÍCULA A]])</f>
        <v>45908+MARCIO RODRIGUES DA COSTA - 5993</v>
      </c>
      <c r="D547" s="1" t="str">
        <f>_xlfn.CONCAT(tabE.Flux[[#This Row],[DATA]],"+",tabE.Flux[[#This Row],[MOTORISTA + MATRÍCULA B]])</f>
        <v>45908+EDIVALDO DE ARAUJO - 6217</v>
      </c>
      <c r="E547" s="1" t="str">
        <f>_xlfn.CONCAT(tabE.Flux[[#This Row],[DATA]],"+",tabE.Flux[[#This Row],[MOTORISTA + MATRÍCULA A]],"+",tabE.Flux[[#This Row],[LINHA]])</f>
        <v>45908+MARCIO RODRIGUES DA COSTA - 5993+GOIANIA (GO) X SAO LUIS (MA)</v>
      </c>
      <c r="F547" s="1" t="str">
        <f>_xlfn.CONCAT(tabE.Flux[[#This Row],[DATA]],"+",tabE.Flux[[#This Row],[MOTORISTA + MATRÍCULA B]],"+",tabE.Flux[[#This Row],[LINHA]])</f>
        <v>45908+EDIVALDO DE ARAUJO - 6217+GOIANIA (GO) X SAO LUIS (MA)</v>
      </c>
      <c r="G547" s="1" t="str">
        <f>_xlfn.CONCAT(tabE.Flux[[#This Row],[DATA]],"+",tabE.Flux[[#This Row],[LINHA]])</f>
        <v>45908+GOIANIA (GO) X SAO LUIS (MA)</v>
      </c>
      <c r="H547" s="125">
        <v>45908</v>
      </c>
      <c r="I547" s="1" t="s">
        <v>15</v>
      </c>
      <c r="J547" s="1">
        <v>24015</v>
      </c>
      <c r="K547" s="126">
        <v>0.8125</v>
      </c>
      <c r="L547" s="126">
        <v>0.84375</v>
      </c>
      <c r="M547" s="1" t="s">
        <v>16</v>
      </c>
      <c r="N547" s="1" t="s">
        <v>42</v>
      </c>
      <c r="O547" s="1" t="s">
        <v>107</v>
      </c>
      <c r="P547" s="1" t="s">
        <v>55</v>
      </c>
      <c r="Q547" s="1" t="s">
        <v>23</v>
      </c>
    </row>
    <row r="548" spans="3:17" x14ac:dyDescent="0.25">
      <c r="C548" s="1" t="str">
        <f>_xlfn.CONCAT(tabE.Flux[[#This Row],[DATA]],"+",tabE.Flux[[#This Row],[MOTORISTA + MATRÍCULA A]])</f>
        <v>45908+JOSE HAILTON PEREIRA DOS SANTOS - 6018</v>
      </c>
      <c r="D548" s="1" t="str">
        <f>_xlfn.CONCAT(tabE.Flux[[#This Row],[DATA]],"+",tabE.Flux[[#This Row],[MOTORISTA + MATRÍCULA B]])</f>
        <v>45908+SAIU 6h ONTEM DE THE/ESCALADO 3h HOJE EM STI</v>
      </c>
      <c r="E548" s="1" t="str">
        <f>_xlfn.CONCAT(tabE.Flux[[#This Row],[DATA]],"+",tabE.Flux[[#This Row],[MOTORISTA + MATRÍCULA A]],"+",tabE.Flux[[#This Row],[LINHA]])</f>
        <v>45908+JOSE HAILTON PEREIRA DOS SANTOS - 6018+GOIANIA (GO) X TERESINA (PI) VIA STI</v>
      </c>
      <c r="F548" s="1" t="str">
        <f>_xlfn.CONCAT(tabE.Flux[[#This Row],[DATA]],"+",tabE.Flux[[#This Row],[MOTORISTA + MATRÍCULA B]],"+",tabE.Flux[[#This Row],[LINHA]])</f>
        <v>45908+SAIU 6h ONTEM DE THE/ESCALADO 3h HOJE EM STI+GOIANIA (GO) X TERESINA (PI) VIA STI</v>
      </c>
      <c r="G548" s="1" t="str">
        <f>_xlfn.CONCAT(tabE.Flux[[#This Row],[DATA]],"+",tabE.Flux[[#This Row],[LINHA]])</f>
        <v>45908+GOIANIA (GO) X TERESINA (PI) VIA STI</v>
      </c>
      <c r="H548" s="125">
        <v>45908</v>
      </c>
      <c r="I548" s="1" t="s">
        <v>15</v>
      </c>
      <c r="J548" s="1">
        <v>19015</v>
      </c>
      <c r="K548" s="126">
        <v>0.77083333333333337</v>
      </c>
      <c r="L548" s="126">
        <v>0.79861111111111116</v>
      </c>
      <c r="M548" s="1" t="s">
        <v>16</v>
      </c>
      <c r="N548" s="1" t="s">
        <v>29</v>
      </c>
      <c r="O548" s="1" t="s">
        <v>141</v>
      </c>
      <c r="P548" s="1" t="s">
        <v>244</v>
      </c>
      <c r="Q548" s="1" t="s">
        <v>26</v>
      </c>
    </row>
    <row r="549" spans="3:17" x14ac:dyDescent="0.25">
      <c r="C549" s="1" t="str">
        <f>_xlfn.CONCAT(tabE.Flux[[#This Row],[DATA]],"+",tabE.Flux[[#This Row],[MOTORISTA + MATRÍCULA A]])</f>
        <v>45908+JAIRO VIEIRA FERREIRA - 5835</v>
      </c>
      <c r="D549" s="1" t="str">
        <f>_xlfn.CONCAT(tabE.Flux[[#This Row],[DATA]],"+",tabE.Flux[[#This Row],[MOTORISTA + MATRÍCULA B]])</f>
        <v>45908+RAIMUNDO GUIMARAES ARAUJO - 1920</v>
      </c>
      <c r="E549" s="1" t="str">
        <f>_xlfn.CONCAT(tabE.Flux[[#This Row],[DATA]],"+",tabE.Flux[[#This Row],[MOTORISTA + MATRÍCULA A]],"+",tabE.Flux[[#This Row],[LINHA]])</f>
        <v>45908+JAIRO VIEIRA FERREIRA - 5835+GOIANIA (GO) X SAO LUIS (MA)</v>
      </c>
      <c r="F549" s="1" t="str">
        <f>_xlfn.CONCAT(tabE.Flux[[#This Row],[DATA]],"+",tabE.Flux[[#This Row],[MOTORISTA + MATRÍCULA B]],"+",tabE.Flux[[#This Row],[LINHA]])</f>
        <v>45908+RAIMUNDO GUIMARAES ARAUJO - 1920+GOIANIA (GO) X SAO LUIS (MA)</v>
      </c>
      <c r="G549" s="1" t="str">
        <f>_xlfn.CONCAT(tabE.Flux[[#This Row],[DATA]],"+",tabE.Flux[[#This Row],[LINHA]])</f>
        <v>45908+GOIANIA (GO) X SAO LUIS (MA)</v>
      </c>
      <c r="H549" s="125">
        <v>45908</v>
      </c>
      <c r="I549" s="1" t="s">
        <v>15</v>
      </c>
      <c r="J549" s="1">
        <v>20018</v>
      </c>
      <c r="K549" s="126">
        <v>0.8125</v>
      </c>
      <c r="L549" s="126">
        <v>0.84166666666666667</v>
      </c>
      <c r="M549" s="1" t="s">
        <v>16</v>
      </c>
      <c r="N549" s="1" t="s">
        <v>17</v>
      </c>
      <c r="O549" s="1" t="s">
        <v>230</v>
      </c>
      <c r="P549" s="1" t="s">
        <v>231</v>
      </c>
      <c r="Q549" s="1" t="s">
        <v>23</v>
      </c>
    </row>
    <row r="550" spans="3:17" x14ac:dyDescent="0.25">
      <c r="C550" s="1" t="str">
        <f>_xlfn.CONCAT(tabE.Flux[[#This Row],[DATA]],"+",tabE.Flux[[#This Row],[MOTORISTA + MATRÍCULA A]])</f>
        <v>45908+FRANCISCO RAIMUNDO VIANA DE SOUSA - 5314</v>
      </c>
      <c r="D550" s="1" t="str">
        <f>_xlfn.CONCAT(tabE.Flux[[#This Row],[DATA]],"+",tabE.Flux[[#This Row],[MOTORISTA + MATRÍCULA B]])</f>
        <v>45908+FRANCISCO ALVES DA PAZ JUNIOR - 1247</v>
      </c>
      <c r="E550" s="1" t="str">
        <f>_xlfn.CONCAT(tabE.Flux[[#This Row],[DATA]],"+",tabE.Flux[[#This Row],[MOTORISTA + MATRÍCULA A]],"+",tabE.Flux[[#This Row],[LINHA]])</f>
        <v>45908+FRANCISCO RAIMUNDO VIANA DE SOUSA - 5314+FORTALEZA (CE) X SINOP (MT)</v>
      </c>
      <c r="F550" s="1" t="str">
        <f>_xlfn.CONCAT(tabE.Flux[[#This Row],[DATA]],"+",tabE.Flux[[#This Row],[MOTORISTA + MATRÍCULA B]],"+",tabE.Flux[[#This Row],[LINHA]])</f>
        <v>45908+FRANCISCO ALVES DA PAZ JUNIOR - 1247+FORTALEZA (CE) X SINOP (MT)</v>
      </c>
      <c r="G550" s="1" t="str">
        <f>_xlfn.CONCAT(tabE.Flux[[#This Row],[DATA]],"+",tabE.Flux[[#This Row],[LINHA]])</f>
        <v>45908+FORTALEZA (CE) X SINOP (MT)</v>
      </c>
      <c r="H550" s="125">
        <v>45908</v>
      </c>
      <c r="I550" s="1" t="s">
        <v>15</v>
      </c>
      <c r="J550" s="1">
        <v>19014</v>
      </c>
      <c r="K550" s="126">
        <v>0.8125</v>
      </c>
      <c r="L550" s="126">
        <v>0.85416666666666663</v>
      </c>
      <c r="M550" s="1" t="s">
        <v>16</v>
      </c>
      <c r="N550" s="1" t="s">
        <v>17</v>
      </c>
      <c r="O550" s="1" t="s">
        <v>87</v>
      </c>
      <c r="P550" s="1" t="s">
        <v>144</v>
      </c>
      <c r="Q550" s="1" t="s">
        <v>32</v>
      </c>
    </row>
    <row r="551" spans="3:17" x14ac:dyDescent="0.25">
      <c r="C551" s="1" t="str">
        <f>_xlfn.CONCAT(tabE.Flux[[#This Row],[DATA]],"+",tabE.Flux[[#This Row],[MOTORISTA + MATRÍCULA A]])</f>
        <v>45908+ADALTON ALMEIDA DE SOUZA - 1941</v>
      </c>
      <c r="D551" s="1" t="str">
        <f>_xlfn.CONCAT(tabE.Flux[[#This Row],[DATA]],"+",tabE.Flux[[#This Row],[MOTORISTA + MATRÍCULA B]])</f>
        <v>45908+  LAZARO VIEIRA DA SILVA- 5428</v>
      </c>
      <c r="E551" s="1" t="str">
        <f>_xlfn.CONCAT(tabE.Flux[[#This Row],[DATA]],"+",tabE.Flux[[#This Row],[MOTORISTA + MATRÍCULA A]],"+",tabE.Flux[[#This Row],[LINHA]])</f>
        <v>45908+ADALTON ALMEIDA DE SOUZA - 1941+GOIANIA (GO) X BELEM (PA)</v>
      </c>
      <c r="F551" s="1" t="str">
        <f>_xlfn.CONCAT(tabE.Flux[[#This Row],[DATA]],"+",tabE.Flux[[#This Row],[MOTORISTA + MATRÍCULA B]],"+",tabE.Flux[[#This Row],[LINHA]])</f>
        <v>45908+  LAZARO VIEIRA DA SILVA- 5428+GOIANIA (GO) X BELEM (PA)</v>
      </c>
      <c r="G551" s="1" t="str">
        <f>_xlfn.CONCAT(tabE.Flux[[#This Row],[DATA]],"+",tabE.Flux[[#This Row],[LINHA]])</f>
        <v>45908+GOIANIA (GO) X BELEM (PA)</v>
      </c>
      <c r="H551" s="125">
        <v>45908</v>
      </c>
      <c r="I551" s="1" t="s">
        <v>15</v>
      </c>
      <c r="J551" s="1">
        <v>17700</v>
      </c>
      <c r="K551" s="126">
        <v>0.84722222222222221</v>
      </c>
      <c r="L551" s="126">
        <v>0.87847222222222221</v>
      </c>
      <c r="M551" s="1" t="s">
        <v>16</v>
      </c>
      <c r="N551" s="1" t="s">
        <v>17</v>
      </c>
      <c r="O551" s="1" t="s">
        <v>132</v>
      </c>
      <c r="P551" s="1" t="s">
        <v>133</v>
      </c>
      <c r="Q551" s="1" t="s">
        <v>20</v>
      </c>
    </row>
    <row r="552" spans="3:17" x14ac:dyDescent="0.25">
      <c r="C552" s="1" t="str">
        <f>_xlfn.CONCAT(tabE.Flux[[#This Row],[DATA]],"+",tabE.Flux[[#This Row],[MOTORISTA + MATRÍCULA A]])</f>
        <v>+</v>
      </c>
      <c r="D552" s="1" t="str">
        <f>_xlfn.CONCAT(tabE.Flux[[#This Row],[DATA]],"+",tabE.Flux[[#This Row],[MOTORISTA + MATRÍCULA B]])</f>
        <v>+</v>
      </c>
      <c r="E552" s="1" t="str">
        <f>_xlfn.CONCAT(tabE.Flux[[#This Row],[DATA]],"+",tabE.Flux[[#This Row],[MOTORISTA + MATRÍCULA A]],"+",tabE.Flux[[#This Row],[LINHA]])</f>
        <v>++</v>
      </c>
      <c r="F552" s="1" t="str">
        <f>_xlfn.CONCAT(tabE.Flux[[#This Row],[DATA]],"+",tabE.Flux[[#This Row],[MOTORISTA + MATRÍCULA B]],"+",tabE.Flux[[#This Row],[LINHA]])</f>
        <v>++</v>
      </c>
      <c r="G552" s="1" t="str">
        <f>_xlfn.CONCAT(tabE.Flux[[#This Row],[DATA]],"+",tabE.Flux[[#This Row],[LINHA]])</f>
        <v>+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3:17" x14ac:dyDescent="0.25">
      <c r="C553" s="1" t="str">
        <f>_xlfn.CONCAT(tabE.Flux[[#This Row],[DATA]],"+",tabE.Flux[[#This Row],[MOTORISTA + MATRÍCULA A]])</f>
        <v>45909+EDILTON MONTEIRO GUNDIM - 6023</v>
      </c>
      <c r="D553" s="1" t="str">
        <f>_xlfn.CONCAT(tabE.Flux[[#This Row],[DATA]],"+",tabE.Flux[[#This Row],[MOTORISTA + MATRÍCULA B]])</f>
        <v>45909+WOLNEY EDUARDO DE OLIVEIRA - 5607</v>
      </c>
      <c r="E553" s="1" t="str">
        <f>_xlfn.CONCAT(tabE.Flux[[#This Row],[DATA]],"+",tabE.Flux[[#This Row],[MOTORISTA + MATRÍCULA A]],"+",tabE.Flux[[#This Row],[LINHA]])</f>
        <v>45909+EDILTON MONTEIRO GUNDIM - 6023+GOIANIA (GO) X BELEM (PA)</v>
      </c>
      <c r="F553" s="1" t="str">
        <f>_xlfn.CONCAT(tabE.Flux[[#This Row],[DATA]],"+",tabE.Flux[[#This Row],[MOTORISTA + MATRÍCULA B]],"+",tabE.Flux[[#This Row],[LINHA]])</f>
        <v>45909+WOLNEY EDUARDO DE OLIVEIRA - 5607+GOIANIA (GO) X BELEM (PA)</v>
      </c>
      <c r="G553" s="1" t="str">
        <f>_xlfn.CONCAT(tabE.Flux[[#This Row],[DATA]],"+",tabE.Flux[[#This Row],[LINHA]])</f>
        <v>45909+GOIANIA (GO) X BELEM (PA)</v>
      </c>
      <c r="H553" s="125">
        <v>45909</v>
      </c>
      <c r="I553" s="1" t="s">
        <v>15</v>
      </c>
      <c r="J553" s="1">
        <v>24012</v>
      </c>
      <c r="K553" s="126">
        <v>0.25486111111111109</v>
      </c>
      <c r="L553" s="126">
        <v>0.3</v>
      </c>
      <c r="M553" s="1" t="s">
        <v>16</v>
      </c>
      <c r="N553" s="1" t="s">
        <v>17</v>
      </c>
      <c r="O553" s="1" t="s">
        <v>199</v>
      </c>
      <c r="P553" s="1" t="s">
        <v>200</v>
      </c>
      <c r="Q553" s="1" t="s">
        <v>20</v>
      </c>
    </row>
    <row r="554" spans="3:17" x14ac:dyDescent="0.25">
      <c r="C554" s="1" t="str">
        <f>_xlfn.CONCAT(tabE.Flux[[#This Row],[DATA]],"+",tabE.Flux[[#This Row],[MOTORISTA + MATRÍCULA A]])</f>
        <v>45909+OLIVEIRA DE MELO ARRUDA - 5251</v>
      </c>
      <c r="D554" s="1" t="str">
        <f>_xlfn.CONCAT(tabE.Flux[[#This Row],[DATA]],"+",tabE.Flux[[#This Row],[MOTORISTA + MATRÍCULA B]])</f>
        <v>45909+VANDERSON GURGEL DO AMARAL - 2734</v>
      </c>
      <c r="E554" s="1" t="str">
        <f>_xlfn.CONCAT(tabE.Flux[[#This Row],[DATA]],"+",tabE.Flux[[#This Row],[MOTORISTA + MATRÍCULA A]],"+",tabE.Flux[[#This Row],[LINHA]])</f>
        <v>45909+OLIVEIRA DE MELO ARRUDA - 5251+GOIANIA (GO) X SAO LUIS (MA)</v>
      </c>
      <c r="F554" s="1" t="str">
        <f>_xlfn.CONCAT(tabE.Flux[[#This Row],[DATA]],"+",tabE.Flux[[#This Row],[MOTORISTA + MATRÍCULA B]],"+",tabE.Flux[[#This Row],[LINHA]])</f>
        <v>45909+VANDERSON GURGEL DO AMARAL - 2734+GOIANIA (GO) X SAO LUIS (MA)</v>
      </c>
      <c r="G554" s="1" t="str">
        <f>_xlfn.CONCAT(tabE.Flux[[#This Row],[DATA]],"+",tabE.Flux[[#This Row],[LINHA]])</f>
        <v>45909+GOIANIA (GO) X SAO LUIS (MA)</v>
      </c>
      <c r="H554" s="125">
        <v>45909</v>
      </c>
      <c r="I554" s="1" t="s">
        <v>15</v>
      </c>
      <c r="J554" s="1">
        <v>24016</v>
      </c>
      <c r="K554" s="126">
        <v>0.32291666666666669</v>
      </c>
      <c r="L554" s="126">
        <v>0.33333333333333331</v>
      </c>
      <c r="M554" s="1" t="s">
        <v>16</v>
      </c>
      <c r="N554" s="1" t="s">
        <v>17</v>
      </c>
      <c r="O554" s="1" t="s">
        <v>157</v>
      </c>
      <c r="P554" s="1" t="s">
        <v>158</v>
      </c>
      <c r="Q554" s="1" t="s">
        <v>23</v>
      </c>
    </row>
    <row r="555" spans="3:17" x14ac:dyDescent="0.25">
      <c r="C555" s="1" t="str">
        <f>_xlfn.CONCAT(tabE.Flux[[#This Row],[DATA]],"+",tabE.Flux[[#This Row],[MOTORISTA + MATRÍCULA A]])</f>
        <v>45909+JOSE EVANGELISTA DA SILVA - 5199</v>
      </c>
      <c r="D555" s="1" t="str">
        <f>_xlfn.CONCAT(tabE.Flux[[#This Row],[DATA]],"+",tabE.Flux[[#This Row],[MOTORISTA + MATRÍCULA B]])</f>
        <v>45909+  IVANILSON BARBOSA PEREIRA- 5434</v>
      </c>
      <c r="E555" s="1" t="str">
        <f>_xlfn.CONCAT(tabE.Flux[[#This Row],[DATA]],"+",tabE.Flux[[#This Row],[MOTORISTA + MATRÍCULA A]],"+",tabE.Flux[[#This Row],[LINHA]])</f>
        <v>45909+JOSE EVANGELISTA DA SILVA - 5199+GOIANIA (GO) X TERESINA (PI) VIA STI</v>
      </c>
      <c r="F555" s="1" t="str">
        <f>_xlfn.CONCAT(tabE.Flux[[#This Row],[DATA]],"+",tabE.Flux[[#This Row],[MOTORISTA + MATRÍCULA B]],"+",tabE.Flux[[#This Row],[LINHA]])</f>
        <v>45909+  IVANILSON BARBOSA PEREIRA- 5434+GOIANIA (GO) X TERESINA (PI) VIA STI</v>
      </c>
      <c r="G555" s="1" t="str">
        <f>_xlfn.CONCAT(tabE.Flux[[#This Row],[DATA]],"+",tabE.Flux[[#This Row],[LINHA]])</f>
        <v>45909+GOIANIA (GO) X TERESINA (PI) VIA STI</v>
      </c>
      <c r="H555" s="125">
        <v>45909</v>
      </c>
      <c r="I555" s="1" t="s">
        <v>15</v>
      </c>
      <c r="J555" s="1">
        <v>19001</v>
      </c>
      <c r="K555" s="126">
        <v>0.3888888888888889</v>
      </c>
      <c r="L555" s="126">
        <v>0.39583333333333331</v>
      </c>
      <c r="M555" s="1" t="s">
        <v>16</v>
      </c>
      <c r="N555" s="1" t="s">
        <v>17</v>
      </c>
      <c r="O555" s="1" t="s">
        <v>151</v>
      </c>
      <c r="P555" s="1" t="s">
        <v>152</v>
      </c>
      <c r="Q555" s="1" t="s">
        <v>26</v>
      </c>
    </row>
    <row r="556" spans="3:17" x14ac:dyDescent="0.25">
      <c r="C556" s="1" t="str">
        <f>_xlfn.CONCAT(tabE.Flux[[#This Row],[DATA]],"+",tabE.Flux[[#This Row],[MOTORISTA + MATRÍCULA A]])</f>
        <v>45909+CANCELADO</v>
      </c>
      <c r="D556" s="1" t="str">
        <f>_xlfn.CONCAT(tabE.Flux[[#This Row],[DATA]],"+",tabE.Flux[[#This Row],[MOTORISTA + MATRÍCULA B]])</f>
        <v>45909+CANCELADO</v>
      </c>
      <c r="E556" s="1" t="str">
        <f>_xlfn.CONCAT(tabE.Flux[[#This Row],[DATA]],"+",tabE.Flux[[#This Row],[MOTORISTA + MATRÍCULA A]],"+",tabE.Flux[[#This Row],[LINHA]])</f>
        <v>45909+CANCELADO+</v>
      </c>
      <c r="F556" s="1" t="str">
        <f>_xlfn.CONCAT(tabE.Flux[[#This Row],[DATA]],"+",tabE.Flux[[#This Row],[MOTORISTA + MATRÍCULA B]],"+",tabE.Flux[[#This Row],[LINHA]])</f>
        <v>45909+CANCELADO+</v>
      </c>
      <c r="G556" s="1" t="str">
        <f>_xlfn.CONCAT(tabE.Flux[[#This Row],[DATA]],"+",tabE.Flux[[#This Row],[LINHA]])</f>
        <v>45909+</v>
      </c>
      <c r="H556" s="125">
        <v>45909</v>
      </c>
      <c r="I556" s="1" t="s">
        <v>15</v>
      </c>
      <c r="J556" s="1" t="s">
        <v>27</v>
      </c>
      <c r="K556" s="126">
        <v>0.375</v>
      </c>
      <c r="L556" s="126">
        <v>0.41666666666666669</v>
      </c>
      <c r="M556" s="1" t="s">
        <v>16</v>
      </c>
      <c r="N556" s="1" t="s">
        <v>28</v>
      </c>
      <c r="O556" s="1" t="s">
        <v>27</v>
      </c>
      <c r="P556" s="1" t="s">
        <v>27</v>
      </c>
      <c r="Q556" s="1"/>
    </row>
    <row r="557" spans="3:17" x14ac:dyDescent="0.25">
      <c r="C557" s="1" t="str">
        <f>_xlfn.CONCAT(tabE.Flux[[#This Row],[DATA]],"+",tabE.Flux[[#This Row],[MOTORISTA + MATRÍCULA A]])</f>
        <v>45909+ANTONIO MARCIO DE SENA RIBEIRO CHAVES - 5061</v>
      </c>
      <c r="D557" s="1" t="str">
        <f>_xlfn.CONCAT(tabE.Flux[[#This Row],[DATA]],"+",tabE.Flux[[#This Row],[MOTORISTA + MATRÍCULA B]])</f>
        <v>45909+DANIEL PEREIRA DA ROCHA - 5298</v>
      </c>
      <c r="E557" s="1" t="str">
        <f>_xlfn.CONCAT(tabE.Flux[[#This Row],[DATA]],"+",tabE.Flux[[#This Row],[MOTORISTA + MATRÍCULA A]],"+",tabE.Flux[[#This Row],[LINHA]])</f>
        <v>45909+ANTONIO MARCIO DE SENA RIBEIRO CHAVES - 5061+FORTALEZA (CE) X SINOP (MT)</v>
      </c>
      <c r="F557" s="1" t="str">
        <f>_xlfn.CONCAT(tabE.Flux[[#This Row],[DATA]],"+",tabE.Flux[[#This Row],[MOTORISTA + MATRÍCULA B]],"+",tabE.Flux[[#This Row],[LINHA]])</f>
        <v>45909+DANIEL PEREIRA DA ROCHA - 5298+FORTALEZA (CE) X SINOP (MT)</v>
      </c>
      <c r="G557" s="1" t="str">
        <f>_xlfn.CONCAT(tabE.Flux[[#This Row],[DATA]],"+",tabE.Flux[[#This Row],[LINHA]])</f>
        <v>45909+FORTALEZA (CE) X SINOP (MT)</v>
      </c>
      <c r="H557" s="125">
        <v>45909</v>
      </c>
      <c r="I557" s="1" t="s">
        <v>15</v>
      </c>
      <c r="J557" s="1">
        <v>19006</v>
      </c>
      <c r="K557" s="126">
        <v>0.3888888888888889</v>
      </c>
      <c r="L557" s="126">
        <v>0.37708333333333333</v>
      </c>
      <c r="M557" s="1" t="s">
        <v>16</v>
      </c>
      <c r="N557" s="1" t="s">
        <v>29</v>
      </c>
      <c r="O557" s="1" t="s">
        <v>235</v>
      </c>
      <c r="P557" s="1" t="s">
        <v>184</v>
      </c>
      <c r="Q557" s="1" t="s">
        <v>32</v>
      </c>
    </row>
    <row r="558" spans="3:17" x14ac:dyDescent="0.25">
      <c r="C558" s="1" t="str">
        <f>_xlfn.CONCAT(tabE.Flux[[#This Row],[DATA]],"+",tabE.Flux[[#This Row],[MOTORISTA + MATRÍCULA A]])</f>
        <v>45909+CANCELADO</v>
      </c>
      <c r="D558" s="1" t="str">
        <f>_xlfn.CONCAT(tabE.Flux[[#This Row],[DATA]],"+",tabE.Flux[[#This Row],[MOTORISTA + MATRÍCULA B]])</f>
        <v>45909+CANCELADO</v>
      </c>
      <c r="E558" s="1" t="str">
        <f>_xlfn.CONCAT(tabE.Flux[[#This Row],[DATA]],"+",tabE.Flux[[#This Row],[MOTORISTA + MATRÍCULA A]],"+",tabE.Flux[[#This Row],[LINHA]])</f>
        <v>45909+CANCELADO+GOIANIA (GO) X BELEM (PA)</v>
      </c>
      <c r="F558" s="1" t="str">
        <f>_xlfn.CONCAT(tabE.Flux[[#This Row],[DATA]],"+",tabE.Flux[[#This Row],[MOTORISTA + MATRÍCULA B]],"+",tabE.Flux[[#This Row],[LINHA]])</f>
        <v>45909+CANCELADO+GOIANIA (GO) X BELEM (PA)</v>
      </c>
      <c r="G558" s="1" t="str">
        <f>_xlfn.CONCAT(tabE.Flux[[#This Row],[DATA]],"+",tabE.Flux[[#This Row],[LINHA]])</f>
        <v>45909+GOIANIA (GO) X BELEM (PA)</v>
      </c>
      <c r="H558" s="125">
        <v>45909</v>
      </c>
      <c r="I558" s="1" t="s">
        <v>15</v>
      </c>
      <c r="J558" s="1" t="s">
        <v>27</v>
      </c>
      <c r="K558" s="126">
        <v>0.38958333333333334</v>
      </c>
      <c r="L558" s="126">
        <v>0.38541666666666669</v>
      </c>
      <c r="M558" s="1" t="s">
        <v>16</v>
      </c>
      <c r="N558" s="1" t="s">
        <v>33</v>
      </c>
      <c r="O558" s="1" t="s">
        <v>27</v>
      </c>
      <c r="P558" s="1" t="s">
        <v>27</v>
      </c>
      <c r="Q558" s="1" t="s">
        <v>20</v>
      </c>
    </row>
    <row r="559" spans="3:17" x14ac:dyDescent="0.25">
      <c r="C559" s="1" t="str">
        <f>_xlfn.CONCAT(tabE.Flux[[#This Row],[DATA]],"+",tabE.Flux[[#This Row],[MOTORISTA + MATRÍCULA A]])</f>
        <v>45909+JWEBISON DE BRITO SOUZA - 2999</v>
      </c>
      <c r="D559" s="1" t="str">
        <f>_xlfn.CONCAT(tabE.Flux[[#This Row],[DATA]],"+",tabE.Flux[[#This Row],[MOTORISTA + MATRÍCULA B]])</f>
        <v>45909+MARCOS AUGUSTO SILVA ROCHA - 5268</v>
      </c>
      <c r="E559" s="1" t="str">
        <f>_xlfn.CONCAT(tabE.Flux[[#This Row],[DATA]],"+",tabE.Flux[[#This Row],[MOTORISTA + MATRÍCULA A]],"+",tabE.Flux[[#This Row],[LINHA]])</f>
        <v>45909+JWEBISON DE BRITO SOUZA - 2999+GOIANIA (GO) X TERESINA (PI) VIA BC</v>
      </c>
      <c r="F559" s="1" t="str">
        <f>_xlfn.CONCAT(tabE.Flux[[#This Row],[DATA]],"+",tabE.Flux[[#This Row],[MOTORISTA + MATRÍCULA B]],"+",tabE.Flux[[#This Row],[LINHA]])</f>
        <v>45909+MARCOS AUGUSTO SILVA ROCHA - 5268+GOIANIA (GO) X TERESINA (PI) VIA BC</v>
      </c>
      <c r="G559" s="1" t="str">
        <f>_xlfn.CONCAT(tabE.Flux[[#This Row],[DATA]],"+",tabE.Flux[[#This Row],[LINHA]])</f>
        <v>45909+GOIANIA (GO) X TERESINA (PI) VIA BC</v>
      </c>
      <c r="H559" s="125">
        <v>45909</v>
      </c>
      <c r="I559" s="1" t="s">
        <v>15</v>
      </c>
      <c r="J559" s="1">
        <v>24009</v>
      </c>
      <c r="K559" s="126">
        <v>0.375</v>
      </c>
      <c r="L559" s="126">
        <v>0.39930555555555558</v>
      </c>
      <c r="M559" s="1" t="s">
        <v>36</v>
      </c>
      <c r="N559" s="1" t="s">
        <v>29</v>
      </c>
      <c r="O559" s="1" t="s">
        <v>77</v>
      </c>
      <c r="P559" s="1" t="s">
        <v>221</v>
      </c>
      <c r="Q559" s="1" t="s">
        <v>39</v>
      </c>
    </row>
    <row r="560" spans="3:17" x14ac:dyDescent="0.25">
      <c r="C560" s="1" t="str">
        <f>_xlfn.CONCAT(tabE.Flux[[#This Row],[DATA]],"+",tabE.Flux[[#This Row],[MOTORISTA + MATRÍCULA A]])</f>
        <v>45909+FRANCISCO LINDONALDO DE SOUSA - 2971</v>
      </c>
      <c r="D560" s="1" t="str">
        <f>_xlfn.CONCAT(tabE.Flux[[#This Row],[DATA]],"+",tabE.Flux[[#This Row],[MOTORISTA + MATRÍCULA B]])</f>
        <v>45909+BERNARDO SOUZA LIMA - 1720</v>
      </c>
      <c r="E560" s="1" t="str">
        <f>_xlfn.CONCAT(tabE.Flux[[#This Row],[DATA]],"+",tabE.Flux[[#This Row],[MOTORISTA + MATRÍCULA A]],"+",tabE.Flux[[#This Row],[LINHA]])</f>
        <v>45909+FRANCISCO LINDONALDO DE SOUSA - 2971+GOIANIA (GO) X BELEM (PA)</v>
      </c>
      <c r="F560" s="1" t="str">
        <f>_xlfn.CONCAT(tabE.Flux[[#This Row],[DATA]],"+",tabE.Flux[[#This Row],[MOTORISTA + MATRÍCULA B]],"+",tabE.Flux[[#This Row],[LINHA]])</f>
        <v>45909+BERNARDO SOUZA LIMA - 1720+GOIANIA (GO) X BELEM (PA)</v>
      </c>
      <c r="G560" s="1" t="str">
        <f>_xlfn.CONCAT(tabE.Flux[[#This Row],[DATA]],"+",tabE.Flux[[#This Row],[LINHA]])</f>
        <v>45909+GOIANIA (GO) X BELEM (PA)</v>
      </c>
      <c r="H560" s="125">
        <v>45909</v>
      </c>
      <c r="I560" s="1" t="s">
        <v>15</v>
      </c>
      <c r="J560" s="1">
        <v>20016</v>
      </c>
      <c r="K560" s="126">
        <v>0.375</v>
      </c>
      <c r="L560" s="126">
        <v>0.41666666666666669</v>
      </c>
      <c r="M560" s="1" t="s">
        <v>33</v>
      </c>
      <c r="N560" s="1" t="s">
        <v>16</v>
      </c>
      <c r="O560" s="1" t="s">
        <v>131</v>
      </c>
      <c r="P560" s="1" t="s">
        <v>123</v>
      </c>
      <c r="Q560" s="1" t="s">
        <v>20</v>
      </c>
    </row>
    <row r="561" spans="3:17" x14ac:dyDescent="0.25">
      <c r="C561" s="1" t="str">
        <f>_xlfn.CONCAT(tabE.Flux[[#This Row],[DATA]],"+",tabE.Flux[[#This Row],[MOTORISTA + MATRÍCULA A]])</f>
        <v>45909+CARLOS ADRIANO DE SOUZA DO NASCIMENTO - 6222</v>
      </c>
      <c r="D561" s="1" t="str">
        <f>_xlfn.CONCAT(tabE.Flux[[#This Row],[DATA]],"+",tabE.Flux[[#This Row],[MOTORISTA + MATRÍCULA B]])</f>
        <v>45909+LEANDRO DE OLIVEIRA MELO - 2151</v>
      </c>
      <c r="E561" s="1" t="str">
        <f>_xlfn.CONCAT(tabE.Flux[[#This Row],[DATA]],"+",tabE.Flux[[#This Row],[MOTORISTA + MATRÍCULA A]],"+",tabE.Flux[[#This Row],[LINHA]])</f>
        <v>45909+CARLOS ADRIANO DE SOUZA DO NASCIMENTO - 6222+GOIANIA (GO) X SAO LUIS (MA)</v>
      </c>
      <c r="F561" s="1" t="str">
        <f>_xlfn.CONCAT(tabE.Flux[[#This Row],[DATA]],"+",tabE.Flux[[#This Row],[MOTORISTA + MATRÍCULA B]],"+",tabE.Flux[[#This Row],[LINHA]])</f>
        <v>45909+LEANDRO DE OLIVEIRA MELO - 2151+GOIANIA (GO) X SAO LUIS (MA)</v>
      </c>
      <c r="G561" s="1" t="str">
        <f>_xlfn.CONCAT(tabE.Flux[[#This Row],[DATA]],"+",tabE.Flux[[#This Row],[LINHA]])</f>
        <v>45909+GOIANIA (GO) X SAO LUIS (MA)</v>
      </c>
      <c r="H561" s="125">
        <v>45909</v>
      </c>
      <c r="I561" s="1" t="s">
        <v>15</v>
      </c>
      <c r="J561" s="1">
        <v>19007</v>
      </c>
      <c r="K561" s="126">
        <v>0.25</v>
      </c>
      <c r="L561" s="126">
        <v>0.29166666666666669</v>
      </c>
      <c r="M561" s="1" t="s">
        <v>42</v>
      </c>
      <c r="N561" s="1" t="s">
        <v>16</v>
      </c>
      <c r="O561" s="1" t="s">
        <v>110</v>
      </c>
      <c r="P561" s="1" t="s">
        <v>64</v>
      </c>
      <c r="Q561" s="1" t="s">
        <v>23</v>
      </c>
    </row>
    <row r="562" spans="3:17" x14ac:dyDescent="0.25">
      <c r="C562" s="1" t="str">
        <f>_xlfn.CONCAT(tabE.Flux[[#This Row],[DATA]],"+",tabE.Flux[[#This Row],[MOTORISTA + MATRÍCULA A]])</f>
        <v>45909+KAYLSON KLEYTON DA SILVA COSTA - 6224</v>
      </c>
      <c r="D562" s="1" t="str">
        <f>_xlfn.CONCAT(tabE.Flux[[#This Row],[DATA]],"+",tabE.Flux[[#This Row],[MOTORISTA + MATRÍCULA B]])</f>
        <v>45909+MARCIO RODRIGUES DA COSTA - 5993</v>
      </c>
      <c r="E562" s="1" t="str">
        <f>_xlfn.CONCAT(tabE.Flux[[#This Row],[DATA]],"+",tabE.Flux[[#This Row],[MOTORISTA + MATRÍCULA A]],"+",tabE.Flux[[#This Row],[LINHA]])</f>
        <v>45909+KAYLSON KLEYTON DA SILVA COSTA - 6224+GOIANIA (GO) X SAO LUIS (MA)</v>
      </c>
      <c r="F562" s="1" t="str">
        <f>_xlfn.CONCAT(tabE.Flux[[#This Row],[DATA]],"+",tabE.Flux[[#This Row],[MOTORISTA + MATRÍCULA B]],"+",tabE.Flux[[#This Row],[LINHA]])</f>
        <v>45909+MARCIO RODRIGUES DA COSTA - 5993+GOIANIA (GO) X SAO LUIS (MA)</v>
      </c>
      <c r="G562" s="1" t="str">
        <f>_xlfn.CONCAT(tabE.Flux[[#This Row],[DATA]],"+",tabE.Flux[[#This Row],[LINHA]])</f>
        <v>45909+GOIANIA (GO) X SAO LUIS (MA)</v>
      </c>
      <c r="H562" s="125">
        <v>45909</v>
      </c>
      <c r="I562" s="1" t="s">
        <v>15</v>
      </c>
      <c r="J562" s="1">
        <v>24015</v>
      </c>
      <c r="K562" s="126">
        <v>0.75</v>
      </c>
      <c r="L562" s="126">
        <v>0.79166666666666663</v>
      </c>
      <c r="M562" s="1" t="s">
        <v>42</v>
      </c>
      <c r="N562" s="1" t="s">
        <v>16</v>
      </c>
      <c r="O562" s="1" t="s">
        <v>80</v>
      </c>
      <c r="P562" s="1" t="s">
        <v>107</v>
      </c>
      <c r="Q562" s="1" t="s">
        <v>23</v>
      </c>
    </row>
    <row r="563" spans="3:17" x14ac:dyDescent="0.25">
      <c r="C563" s="1" t="str">
        <f>_xlfn.CONCAT(tabE.Flux[[#This Row],[DATA]],"+",tabE.Flux[[#This Row],[MOTORISTA + MATRÍCULA A]])</f>
        <v>45909+CANCELADO</v>
      </c>
      <c r="D563" s="1" t="str">
        <f>_xlfn.CONCAT(tabE.Flux[[#This Row],[DATA]],"+",tabE.Flux[[#This Row],[MOTORISTA + MATRÍCULA B]])</f>
        <v>45909+CANCELADO</v>
      </c>
      <c r="E563" s="1" t="str">
        <f>_xlfn.CONCAT(tabE.Flux[[#This Row],[DATA]],"+",tabE.Flux[[#This Row],[MOTORISTA + MATRÍCULA A]],"+",tabE.Flux[[#This Row],[LINHA]])</f>
        <v>45909+CANCELADO+IMPERATRIZ (MA) X SÃO LUIS (MA)</v>
      </c>
      <c r="F563" s="1" t="str">
        <f>_xlfn.CONCAT(tabE.Flux[[#This Row],[DATA]],"+",tabE.Flux[[#This Row],[MOTORISTA + MATRÍCULA B]],"+",tabE.Flux[[#This Row],[LINHA]])</f>
        <v>45909+CANCELADO+IMPERATRIZ (MA) X SÃO LUIS (MA)</v>
      </c>
      <c r="G563" s="1" t="str">
        <f>_xlfn.CONCAT(tabE.Flux[[#This Row],[DATA]],"+",tabE.Flux[[#This Row],[LINHA]])</f>
        <v>45909+IMPERATRIZ (MA) X SÃO LUIS (MA)</v>
      </c>
      <c r="H563" s="125">
        <v>45909</v>
      </c>
      <c r="I563" s="1" t="s">
        <v>15</v>
      </c>
      <c r="J563" s="1" t="s">
        <v>27</v>
      </c>
      <c r="K563" s="126">
        <v>0.77083333333333337</v>
      </c>
      <c r="L563" s="126">
        <v>0.79513888888888884</v>
      </c>
      <c r="M563" s="1" t="s">
        <v>42</v>
      </c>
      <c r="N563" s="1" t="s">
        <v>16</v>
      </c>
      <c r="O563" s="1" t="s">
        <v>27</v>
      </c>
      <c r="P563" s="1" t="s">
        <v>27</v>
      </c>
      <c r="Q563" s="1" t="s">
        <v>47</v>
      </c>
    </row>
    <row r="564" spans="3:17" x14ac:dyDescent="0.25">
      <c r="C564" s="1" t="str">
        <f>_xlfn.CONCAT(tabE.Flux[[#This Row],[DATA]],"+",tabE.Flux[[#This Row],[MOTORISTA + MATRÍCULA A]])</f>
        <v>45909+DIVINO EURIPEDES RIBEIRO - 5191</v>
      </c>
      <c r="D564" s="1" t="str">
        <f>_xlfn.CONCAT(tabE.Flux[[#This Row],[DATA]],"+",tabE.Flux[[#This Row],[MOTORISTA + MATRÍCULA B]])</f>
        <v>45909+VALDIVINO GONCALVES DA SILVA - 5724</v>
      </c>
      <c r="E564" s="1" t="str">
        <f>_xlfn.CONCAT(tabE.Flux[[#This Row],[DATA]],"+",tabE.Flux[[#This Row],[MOTORISTA + MATRÍCULA A]],"+",tabE.Flux[[#This Row],[LINHA]])</f>
        <v>45909+DIVINO EURIPEDES RIBEIRO - 5191+GOIANIA (GO) X TERESINA (PI) VIA BC</v>
      </c>
      <c r="F564" s="1" t="str">
        <f>_xlfn.CONCAT(tabE.Flux[[#This Row],[DATA]],"+",tabE.Flux[[#This Row],[MOTORISTA + MATRÍCULA B]],"+",tabE.Flux[[#This Row],[LINHA]])</f>
        <v>45909+VALDIVINO GONCALVES DA SILVA - 5724+GOIANIA (GO) X TERESINA (PI) VIA BC</v>
      </c>
      <c r="G564" s="1" t="str">
        <f>_xlfn.CONCAT(tabE.Flux[[#This Row],[DATA]],"+",tabE.Flux[[#This Row],[LINHA]])</f>
        <v>45909+GOIANIA (GO) X TERESINA (PI) VIA BC</v>
      </c>
      <c r="H564" s="125">
        <v>45909</v>
      </c>
      <c r="I564" s="1" t="s">
        <v>15</v>
      </c>
      <c r="J564" s="1">
        <v>25012</v>
      </c>
      <c r="K564" s="126">
        <v>0.89583333333333337</v>
      </c>
      <c r="L564" s="126">
        <v>0.91666666666666663</v>
      </c>
      <c r="M564" s="1" t="s">
        <v>36</v>
      </c>
      <c r="N564" s="1" t="s">
        <v>17</v>
      </c>
      <c r="O564" s="1" t="s">
        <v>167</v>
      </c>
      <c r="P564" s="1" t="s">
        <v>168</v>
      </c>
      <c r="Q564" s="1" t="s">
        <v>39</v>
      </c>
    </row>
    <row r="565" spans="3:17" x14ac:dyDescent="0.25">
      <c r="C565" s="1" t="str">
        <f>_xlfn.CONCAT(tabE.Flux[[#This Row],[DATA]],"+",tabE.Flux[[#This Row],[MOTORISTA + MATRÍCULA A]])</f>
        <v>45909+RONNE RODRIGUES DE SOUSA - 5025</v>
      </c>
      <c r="D565" s="1" t="str">
        <f>_xlfn.CONCAT(tabE.Flux[[#This Row],[DATA]],"+",tabE.Flux[[#This Row],[MOTORISTA + MATRÍCULA B]])</f>
        <v>45909+JERZUALDO DA SILVA GOMES - 4077</v>
      </c>
      <c r="E565" s="1" t="str">
        <f>_xlfn.CONCAT(tabE.Flux[[#This Row],[DATA]],"+",tabE.Flux[[#This Row],[MOTORISTA + MATRÍCULA A]],"+",tabE.Flux[[#This Row],[LINHA]])</f>
        <v>45909+RONNE RODRIGUES DE SOUSA - 5025+GOIANIA (GO) X BELEM (PA)</v>
      </c>
      <c r="F565" s="1" t="str">
        <f>_xlfn.CONCAT(tabE.Flux[[#This Row],[DATA]],"+",tabE.Flux[[#This Row],[MOTORISTA + MATRÍCULA B]],"+",tabE.Flux[[#This Row],[LINHA]])</f>
        <v>45909+JERZUALDO DA SILVA GOMES - 4077+GOIANIA (GO) X BELEM (PA)</v>
      </c>
      <c r="G565" s="1" t="str">
        <f>_xlfn.CONCAT(tabE.Flux[[#This Row],[DATA]],"+",tabE.Flux[[#This Row],[LINHA]])</f>
        <v>45909+GOIANIA (GO) X BELEM (PA)</v>
      </c>
      <c r="H565" s="125">
        <v>45909</v>
      </c>
      <c r="I565" s="1" t="s">
        <v>15</v>
      </c>
      <c r="J565" s="1">
        <v>24004</v>
      </c>
      <c r="K565" s="126">
        <v>0.76041666666666663</v>
      </c>
      <c r="L565" s="126">
        <v>0.77083333333333337</v>
      </c>
      <c r="M565" s="1" t="s">
        <v>33</v>
      </c>
      <c r="N565" s="1" t="s">
        <v>16</v>
      </c>
      <c r="O565" s="1" t="s">
        <v>85</v>
      </c>
      <c r="P565" s="1" t="s">
        <v>130</v>
      </c>
      <c r="Q565" s="1" t="s">
        <v>20</v>
      </c>
    </row>
    <row r="566" spans="3:17" x14ac:dyDescent="0.25">
      <c r="C566" s="1" t="str">
        <f>_xlfn.CONCAT(tabE.Flux[[#This Row],[DATA]],"+",tabE.Flux[[#This Row],[MOTORISTA + MATRÍCULA A]])</f>
        <v>45909+BRUNO MATOS DA ROCHA - 6013</v>
      </c>
      <c r="D566" s="1" t="str">
        <f>_xlfn.CONCAT(tabE.Flux[[#This Row],[DATA]],"+",tabE.Flux[[#This Row],[MOTORISTA + MATRÍCULA B]])</f>
        <v>45909+MARCOS ROBERTO DE SOUSA - 5236</v>
      </c>
      <c r="E566" s="1" t="str">
        <f>_xlfn.CONCAT(tabE.Flux[[#This Row],[DATA]],"+",tabE.Flux[[#This Row],[MOTORISTA + MATRÍCULA A]],"+",tabE.Flux[[#This Row],[LINHA]])</f>
        <v>45909+BRUNO MATOS DA ROCHA - 6013+GOIANIA (GO) X BELEM (PA)</v>
      </c>
      <c r="F566" s="1" t="str">
        <f>_xlfn.CONCAT(tabE.Flux[[#This Row],[DATA]],"+",tabE.Flux[[#This Row],[MOTORISTA + MATRÍCULA B]],"+",tabE.Flux[[#This Row],[LINHA]])</f>
        <v>45909+MARCOS ROBERTO DE SOUSA - 5236+GOIANIA (GO) X BELEM (PA)</v>
      </c>
      <c r="G566" s="1" t="str">
        <f>_xlfn.CONCAT(tabE.Flux[[#This Row],[DATA]],"+",tabE.Flux[[#This Row],[LINHA]])</f>
        <v>45909+GOIANIA (GO) X BELEM (PA)</v>
      </c>
      <c r="H566" s="125">
        <v>45909</v>
      </c>
      <c r="I566" s="1" t="s">
        <v>15</v>
      </c>
      <c r="J566" s="1">
        <v>25011</v>
      </c>
      <c r="K566" s="126">
        <v>0.76041666666666663</v>
      </c>
      <c r="L566" s="126">
        <v>0.82777777777777772</v>
      </c>
      <c r="M566" s="1" t="s">
        <v>16</v>
      </c>
      <c r="N566" s="1" t="s">
        <v>33</v>
      </c>
      <c r="O566" s="1" t="s">
        <v>147</v>
      </c>
      <c r="P566" s="1" t="s">
        <v>234</v>
      </c>
      <c r="Q566" s="1" t="s">
        <v>20</v>
      </c>
    </row>
    <row r="567" spans="3:17" x14ac:dyDescent="0.25">
      <c r="C567" s="1" t="str">
        <f>_xlfn.CONCAT(tabE.Flux[[#This Row],[DATA]],"+",tabE.Flux[[#This Row],[MOTORISTA + MATRÍCULA A]])</f>
        <v>45909+CANCELADO</v>
      </c>
      <c r="D567" s="1" t="str">
        <f>_xlfn.CONCAT(tabE.Flux[[#This Row],[DATA]],"+",tabE.Flux[[#This Row],[MOTORISTA + MATRÍCULA B]])</f>
        <v>45909+CANCELADO</v>
      </c>
      <c r="E567" s="1" t="str">
        <f>_xlfn.CONCAT(tabE.Flux[[#This Row],[DATA]],"+",tabE.Flux[[#This Row],[MOTORISTA + MATRÍCULA A]],"+",tabE.Flux[[#This Row],[LINHA]])</f>
        <v>45909+CANCELADO+GOIANIA (GO) X SAO LUIS (MA)</v>
      </c>
      <c r="F567" s="1" t="str">
        <f>_xlfn.CONCAT(tabE.Flux[[#This Row],[DATA]],"+",tabE.Flux[[#This Row],[MOTORISTA + MATRÍCULA B]],"+",tabE.Flux[[#This Row],[LINHA]])</f>
        <v>45909+CANCELADO+GOIANIA (GO) X SAO LUIS (MA)</v>
      </c>
      <c r="G567" s="1" t="str">
        <f>_xlfn.CONCAT(tabE.Flux[[#This Row],[DATA]],"+",tabE.Flux[[#This Row],[LINHA]])</f>
        <v>45909+GOIANIA (GO) X SAO LUIS (MA)</v>
      </c>
      <c r="H567" s="125">
        <v>45909</v>
      </c>
      <c r="I567" s="1" t="s">
        <v>15</v>
      </c>
      <c r="J567" s="1" t="s">
        <v>27</v>
      </c>
      <c r="K567" s="126">
        <v>0.40763888888888888</v>
      </c>
      <c r="L567" s="126">
        <v>0.47013888888888888</v>
      </c>
      <c r="M567" s="1" t="s">
        <v>16</v>
      </c>
      <c r="N567" s="1" t="s">
        <v>42</v>
      </c>
      <c r="O567" s="1" t="s">
        <v>27</v>
      </c>
      <c r="P567" s="1" t="s">
        <v>27</v>
      </c>
      <c r="Q567" s="1" t="s">
        <v>23</v>
      </c>
    </row>
    <row r="568" spans="3:17" x14ac:dyDescent="0.25">
      <c r="C568" s="1" t="str">
        <f>_xlfn.CONCAT(tabE.Flux[[#This Row],[DATA]],"+",tabE.Flux[[#This Row],[MOTORISTA + MATRÍCULA A]])</f>
        <v>45909+CANCELADO</v>
      </c>
      <c r="D568" s="1" t="str">
        <f>_xlfn.CONCAT(tabE.Flux[[#This Row],[DATA]],"+",tabE.Flux[[#This Row],[MOTORISTA + MATRÍCULA B]])</f>
        <v>45909+CANCELADO</v>
      </c>
      <c r="E568" s="1" t="str">
        <f>_xlfn.CONCAT(tabE.Flux[[#This Row],[DATA]],"+",tabE.Flux[[#This Row],[MOTORISTA + MATRÍCULA A]],"+",tabE.Flux[[#This Row],[LINHA]])</f>
        <v>45909+CANCELADO+IMPERATRIZ (MA) X SÃO LUIS (MA)</v>
      </c>
      <c r="F568" s="1" t="str">
        <f>_xlfn.CONCAT(tabE.Flux[[#This Row],[DATA]],"+",tabE.Flux[[#This Row],[MOTORISTA + MATRÍCULA B]],"+",tabE.Flux[[#This Row],[LINHA]])</f>
        <v>45909+CANCELADO+IMPERATRIZ (MA) X SÃO LUIS (MA)</v>
      </c>
      <c r="G568" s="1" t="str">
        <f>_xlfn.CONCAT(tabE.Flux[[#This Row],[DATA]],"+",tabE.Flux[[#This Row],[LINHA]])</f>
        <v>45909+IMPERATRIZ (MA) X SÃO LUIS (MA)</v>
      </c>
      <c r="H568" s="125">
        <v>45909</v>
      </c>
      <c r="I568" s="1" t="s">
        <v>15</v>
      </c>
      <c r="J568" s="1" t="s">
        <v>27</v>
      </c>
      <c r="K568" s="126">
        <v>0.77083333333333337</v>
      </c>
      <c r="L568" s="126">
        <v>0.8125</v>
      </c>
      <c r="M568" s="1" t="s">
        <v>16</v>
      </c>
      <c r="N568" s="1" t="s">
        <v>42</v>
      </c>
      <c r="O568" s="1" t="s">
        <v>27</v>
      </c>
      <c r="P568" s="1" t="s">
        <v>27</v>
      </c>
      <c r="Q568" s="1" t="s">
        <v>47</v>
      </c>
    </row>
    <row r="569" spans="3:17" x14ac:dyDescent="0.25">
      <c r="C569" s="1" t="str">
        <f>_xlfn.CONCAT(tabE.Flux[[#This Row],[DATA]],"+",tabE.Flux[[#This Row],[MOTORISTA + MATRÍCULA A]])</f>
        <v>45909+MARCOS ATAIDE SILVA - 1352</v>
      </c>
      <c r="D569" s="1" t="str">
        <f>_xlfn.CONCAT(tabE.Flux[[#This Row],[DATA]],"+",tabE.Flux[[#This Row],[MOTORISTA + MATRÍCULA B]])</f>
        <v>45909+CARLOS ADRIANO DE SOUZA DO NASCIMENTO - 6222</v>
      </c>
      <c r="E569" s="1" t="str">
        <f>_xlfn.CONCAT(tabE.Flux[[#This Row],[DATA]],"+",tabE.Flux[[#This Row],[MOTORISTA + MATRÍCULA A]],"+",tabE.Flux[[#This Row],[LINHA]])</f>
        <v>45909+MARCOS ATAIDE SILVA - 1352+GOIANIA (GO) X SAO LUIS (MA)</v>
      </c>
      <c r="F569" s="1" t="str">
        <f>_xlfn.CONCAT(tabE.Flux[[#This Row],[DATA]],"+",tabE.Flux[[#This Row],[MOTORISTA + MATRÍCULA B]],"+",tabE.Flux[[#This Row],[LINHA]])</f>
        <v>45909+CARLOS ADRIANO DE SOUZA DO NASCIMENTO - 6222+GOIANIA (GO) X SAO LUIS (MA)</v>
      </c>
      <c r="G569" s="1" t="str">
        <f>_xlfn.CONCAT(tabE.Flux[[#This Row],[DATA]],"+",tabE.Flux[[#This Row],[LINHA]])</f>
        <v>45909+GOIANIA (GO) X SAO LUIS (MA)</v>
      </c>
      <c r="H569" s="125">
        <v>45909</v>
      </c>
      <c r="I569" s="1" t="s">
        <v>15</v>
      </c>
      <c r="J569" s="1">
        <v>24001</v>
      </c>
      <c r="K569" s="126">
        <v>0.8125</v>
      </c>
      <c r="L569" s="126">
        <v>0.84375</v>
      </c>
      <c r="M569" s="1" t="s">
        <v>16</v>
      </c>
      <c r="N569" s="1" t="s">
        <v>42</v>
      </c>
      <c r="O569" s="1" t="s">
        <v>113</v>
      </c>
      <c r="P569" s="1" t="s">
        <v>110</v>
      </c>
      <c r="Q569" s="1" t="s">
        <v>23</v>
      </c>
    </row>
    <row r="570" spans="3:17" x14ac:dyDescent="0.25">
      <c r="C570" s="1" t="str">
        <f>_xlfn.CONCAT(tabE.Flux[[#This Row],[DATA]],"+",tabE.Flux[[#This Row],[MOTORISTA + MATRÍCULA A]])</f>
        <v>45909+JOSE POLICARPO DE SOUSA NETO - 1472</v>
      </c>
      <c r="D570" s="1" t="str">
        <f>_xlfn.CONCAT(tabE.Flux[[#This Row],[DATA]],"+",tabE.Flux[[#This Row],[MOTORISTA + MATRÍCULA B]])</f>
        <v>45909+GENIVAN LEAL TEIXEIRA - 5302</v>
      </c>
      <c r="E570" s="1" t="str">
        <f>_xlfn.CONCAT(tabE.Flux[[#This Row],[DATA]],"+",tabE.Flux[[#This Row],[MOTORISTA + MATRÍCULA A]],"+",tabE.Flux[[#This Row],[LINHA]])</f>
        <v>45909+JOSE POLICARPO DE SOUSA NETO - 1472+GOIANIA (GO) X TERESINA (PI) VIA STI</v>
      </c>
      <c r="F570" s="1" t="str">
        <f>_xlfn.CONCAT(tabE.Flux[[#This Row],[DATA]],"+",tabE.Flux[[#This Row],[MOTORISTA + MATRÍCULA B]],"+",tabE.Flux[[#This Row],[LINHA]])</f>
        <v>45909+GENIVAN LEAL TEIXEIRA - 5302+GOIANIA (GO) X TERESINA (PI) VIA STI</v>
      </c>
      <c r="G570" s="1" t="str">
        <f>_xlfn.CONCAT(tabE.Flux[[#This Row],[DATA]],"+",tabE.Flux[[#This Row],[LINHA]])</f>
        <v>45909+GOIANIA (GO) X TERESINA (PI) VIA STI</v>
      </c>
      <c r="H570" s="125">
        <v>45909</v>
      </c>
      <c r="I570" s="1" t="s">
        <v>15</v>
      </c>
      <c r="J570" s="1">
        <v>19016</v>
      </c>
      <c r="K570" s="126">
        <v>0.77083333333333337</v>
      </c>
      <c r="L570" s="126">
        <v>0.79861111111111116</v>
      </c>
      <c r="M570" s="1" t="s">
        <v>16</v>
      </c>
      <c r="N570" s="1" t="s">
        <v>29</v>
      </c>
      <c r="O570" s="1" t="s">
        <v>54</v>
      </c>
      <c r="P570" s="1" t="s">
        <v>38</v>
      </c>
      <c r="Q570" s="1" t="s">
        <v>26</v>
      </c>
    </row>
    <row r="571" spans="3:17" x14ac:dyDescent="0.25">
      <c r="C571" s="1" t="str">
        <f>_xlfn.CONCAT(tabE.Flux[[#This Row],[DATA]],"+",tabE.Flux[[#This Row],[MOTORISTA + MATRÍCULA A]])</f>
        <v>45909+RAIMUNDO FERNANDES RIBEIRO - 907</v>
      </c>
      <c r="D571" s="1" t="str">
        <f>_xlfn.CONCAT(tabE.Flux[[#This Row],[DATA]],"+",tabE.Flux[[#This Row],[MOTORISTA + MATRÍCULA B]])</f>
        <v>45909+KLEBSON ALVES FREIRES - 3060</v>
      </c>
      <c r="E571" s="1" t="str">
        <f>_xlfn.CONCAT(tabE.Flux[[#This Row],[DATA]],"+",tabE.Flux[[#This Row],[MOTORISTA + MATRÍCULA A]],"+",tabE.Flux[[#This Row],[LINHA]])</f>
        <v>45909+RAIMUNDO FERNANDES RIBEIRO - 907+GOIANIA (GO) X SAO LUIS (MA)</v>
      </c>
      <c r="F571" s="1" t="str">
        <f>_xlfn.CONCAT(tabE.Flux[[#This Row],[DATA]],"+",tabE.Flux[[#This Row],[MOTORISTA + MATRÍCULA B]],"+",tabE.Flux[[#This Row],[LINHA]])</f>
        <v>45909+KLEBSON ALVES FREIRES - 3060+GOIANIA (GO) X SAO LUIS (MA)</v>
      </c>
      <c r="G571" s="1" t="str">
        <f>_xlfn.CONCAT(tabE.Flux[[#This Row],[DATA]],"+",tabE.Flux[[#This Row],[LINHA]])</f>
        <v>45909+GOIANIA (GO) X SAO LUIS (MA)</v>
      </c>
      <c r="H571" s="125">
        <v>45909</v>
      </c>
      <c r="I571" s="1" t="s">
        <v>15</v>
      </c>
      <c r="J571" s="1">
        <v>19007</v>
      </c>
      <c r="K571" s="126">
        <v>0.8125</v>
      </c>
      <c r="L571" s="126">
        <v>0.84166666666666667</v>
      </c>
      <c r="M571" s="1" t="s">
        <v>16</v>
      </c>
      <c r="N571" s="1" t="s">
        <v>17</v>
      </c>
      <c r="O571" s="1" t="s">
        <v>143</v>
      </c>
      <c r="P571" s="1" t="s">
        <v>161</v>
      </c>
      <c r="Q571" s="1" t="s">
        <v>23</v>
      </c>
    </row>
    <row r="572" spans="3:17" x14ac:dyDescent="0.25">
      <c r="C572" s="1" t="str">
        <f>_xlfn.CONCAT(tabE.Flux[[#This Row],[DATA]],"+",tabE.Flux[[#This Row],[MOTORISTA + MATRÍCULA A]])</f>
        <v>45909+MERVAL DE SOUSA - 2880</v>
      </c>
      <c r="D572" s="1" t="str">
        <f>_xlfn.CONCAT(tabE.Flux[[#This Row],[DATA]],"+",tabE.Flux[[#This Row],[MOTORISTA + MATRÍCULA B]])</f>
        <v>45909+NILSON CORTEZ MIRANDA - 5636</v>
      </c>
      <c r="E572" s="1" t="str">
        <f>_xlfn.CONCAT(tabE.Flux[[#This Row],[DATA]],"+",tabE.Flux[[#This Row],[MOTORISTA + MATRÍCULA A]],"+",tabE.Flux[[#This Row],[LINHA]])</f>
        <v>45909+MERVAL DE SOUSA - 2880+FORTALEZA (CE) X SINOP (MT)</v>
      </c>
      <c r="F572" s="1" t="str">
        <f>_xlfn.CONCAT(tabE.Flux[[#This Row],[DATA]],"+",tabE.Flux[[#This Row],[MOTORISTA + MATRÍCULA B]],"+",tabE.Flux[[#This Row],[LINHA]])</f>
        <v>45909+NILSON CORTEZ MIRANDA - 5636+FORTALEZA (CE) X SINOP (MT)</v>
      </c>
      <c r="G572" s="1" t="str">
        <f>_xlfn.CONCAT(tabE.Flux[[#This Row],[DATA]],"+",tabE.Flux[[#This Row],[LINHA]])</f>
        <v>45909+FORTALEZA (CE) X SINOP (MT)</v>
      </c>
      <c r="H572" s="125">
        <v>45909</v>
      </c>
      <c r="I572" s="1" t="s">
        <v>15</v>
      </c>
      <c r="J572" s="1">
        <v>19003</v>
      </c>
      <c r="K572" s="126">
        <v>0.8125</v>
      </c>
      <c r="L572" s="126">
        <v>0.85416666666666663</v>
      </c>
      <c r="M572" s="1" t="s">
        <v>16</v>
      </c>
      <c r="N572" s="1" t="s">
        <v>17</v>
      </c>
      <c r="O572" s="1" t="s">
        <v>44</v>
      </c>
      <c r="P572" s="1" t="s">
        <v>75</v>
      </c>
      <c r="Q572" s="1" t="s">
        <v>32</v>
      </c>
    </row>
    <row r="573" spans="3:17" x14ac:dyDescent="0.25">
      <c r="C573" s="1" t="str">
        <f>_xlfn.CONCAT(tabE.Flux[[#This Row],[DATA]],"+",tabE.Flux[[#This Row],[MOTORISTA + MATRÍCULA A]])</f>
        <v>45909+CARLOS ALBERTO DE LIMA - 2777</v>
      </c>
      <c r="D573" s="1" t="str">
        <f>_xlfn.CONCAT(tabE.Flux[[#This Row],[DATA]],"+",tabE.Flux[[#This Row],[MOTORISTA + MATRÍCULA B]])</f>
        <v>45909+NEURI BISPO DA SILVA - 2682</v>
      </c>
      <c r="E573" s="1" t="str">
        <f>_xlfn.CONCAT(tabE.Flux[[#This Row],[DATA]],"+",tabE.Flux[[#This Row],[MOTORISTA + MATRÍCULA A]],"+",tabE.Flux[[#This Row],[LINHA]])</f>
        <v>45909+CARLOS ALBERTO DE LIMA - 2777+GOIANIA (GO) X BELEM (PA)</v>
      </c>
      <c r="F573" s="1" t="str">
        <f>_xlfn.CONCAT(tabE.Flux[[#This Row],[DATA]],"+",tabE.Flux[[#This Row],[MOTORISTA + MATRÍCULA B]],"+",tabE.Flux[[#This Row],[LINHA]])</f>
        <v>45909+NEURI BISPO DA SILVA - 2682+GOIANIA (GO) X BELEM (PA)</v>
      </c>
      <c r="G573" s="1" t="str">
        <f>_xlfn.CONCAT(tabE.Flux[[#This Row],[DATA]],"+",tabE.Flux[[#This Row],[LINHA]])</f>
        <v>45909+GOIANIA (GO) X BELEM (PA)</v>
      </c>
      <c r="H573" s="125">
        <v>45909</v>
      </c>
      <c r="I573" s="1" t="s">
        <v>15</v>
      </c>
      <c r="J573" s="1">
        <v>20016</v>
      </c>
      <c r="K573" s="126">
        <v>0.84722222222222221</v>
      </c>
      <c r="L573" s="126">
        <v>0.87847222222222221</v>
      </c>
      <c r="M573" s="1" t="s">
        <v>16</v>
      </c>
      <c r="N573" s="1" t="s">
        <v>17</v>
      </c>
      <c r="O573" s="1" t="s">
        <v>165</v>
      </c>
      <c r="P573" s="1" t="s">
        <v>166</v>
      </c>
      <c r="Q573" s="1" t="s">
        <v>20</v>
      </c>
    </row>
    <row r="574" spans="3:17" x14ac:dyDescent="0.25">
      <c r="C574" s="1" t="str">
        <f>_xlfn.CONCAT(tabE.Flux[[#This Row],[DATA]],"+",tabE.Flux[[#This Row],[MOTORISTA + MATRÍCULA A]])</f>
        <v>+</v>
      </c>
      <c r="D574" s="1" t="str">
        <f>_xlfn.CONCAT(tabE.Flux[[#This Row],[DATA]],"+",tabE.Flux[[#This Row],[MOTORISTA + MATRÍCULA B]])</f>
        <v>+</v>
      </c>
      <c r="E574" s="1" t="str">
        <f>_xlfn.CONCAT(tabE.Flux[[#This Row],[DATA]],"+",tabE.Flux[[#This Row],[MOTORISTA + MATRÍCULA A]],"+",tabE.Flux[[#This Row],[LINHA]])</f>
        <v>++</v>
      </c>
      <c r="F574" s="1" t="str">
        <f>_xlfn.CONCAT(tabE.Flux[[#This Row],[DATA]],"+",tabE.Flux[[#This Row],[MOTORISTA + MATRÍCULA B]],"+",tabE.Flux[[#This Row],[LINHA]])</f>
        <v>++</v>
      </c>
      <c r="G574" s="1" t="str">
        <f>_xlfn.CONCAT(tabE.Flux[[#This Row],[DATA]],"+",tabE.Flux[[#This Row],[LINHA]])</f>
        <v>+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3:17" x14ac:dyDescent="0.25">
      <c r="C575" s="1" t="str">
        <f>_xlfn.CONCAT(tabE.Flux[[#This Row],[DATA]],"+",tabE.Flux[[#This Row],[MOTORISTA + MATRÍCULA A]])</f>
        <v>45910+CLAUDIO JOSE DO NASCIMENTO - 549</v>
      </c>
      <c r="D575" s="1" t="str">
        <f>_xlfn.CONCAT(tabE.Flux[[#This Row],[DATA]],"+",tabE.Flux[[#This Row],[MOTORISTA + MATRÍCULA B]])</f>
        <v>45910+NELIO ALENCAR DOS SANTOS - 1759</v>
      </c>
      <c r="E575" s="1" t="str">
        <f>_xlfn.CONCAT(tabE.Flux[[#This Row],[DATA]],"+",tabE.Flux[[#This Row],[MOTORISTA + MATRÍCULA A]],"+",tabE.Flux[[#This Row],[LINHA]])</f>
        <v>45910+CLAUDIO JOSE DO NASCIMENTO - 549+GOIANIA (GO) X BELEM (PA)</v>
      </c>
      <c r="F575" s="1" t="str">
        <f>_xlfn.CONCAT(tabE.Flux[[#This Row],[DATA]],"+",tabE.Flux[[#This Row],[MOTORISTA + MATRÍCULA B]],"+",tabE.Flux[[#This Row],[LINHA]])</f>
        <v>45910+NELIO ALENCAR DOS SANTOS - 1759+GOIANIA (GO) X BELEM (PA)</v>
      </c>
      <c r="G575" s="1" t="str">
        <f>_xlfn.CONCAT(tabE.Flux[[#This Row],[DATA]],"+",tabE.Flux[[#This Row],[LINHA]])</f>
        <v>45910+GOIANIA (GO) X BELEM (PA)</v>
      </c>
      <c r="H575" s="125">
        <v>45910</v>
      </c>
      <c r="I575" s="1" t="s">
        <v>15</v>
      </c>
      <c r="J575" s="1">
        <v>24004</v>
      </c>
      <c r="K575" s="126">
        <v>0.25486111111111109</v>
      </c>
      <c r="L575" s="126">
        <v>0.3</v>
      </c>
      <c r="M575" s="1" t="s">
        <v>16</v>
      </c>
      <c r="N575" s="1" t="s">
        <v>17</v>
      </c>
      <c r="O575" s="1" t="s">
        <v>48</v>
      </c>
      <c r="P575" s="1" t="s">
        <v>67</v>
      </c>
      <c r="Q575" s="1" t="s">
        <v>20</v>
      </c>
    </row>
    <row r="576" spans="3:17" x14ac:dyDescent="0.25">
      <c r="C576" s="1" t="str">
        <f>_xlfn.CONCAT(tabE.Flux[[#This Row],[DATA]],"+",tabE.Flux[[#This Row],[MOTORISTA + MATRÍCULA A]])</f>
        <v>45910+GERALDO DE OLIVEIRA GOMES - 1360</v>
      </c>
      <c r="D576" s="1" t="str">
        <f>_xlfn.CONCAT(tabE.Flux[[#This Row],[DATA]],"+",tabE.Flux[[#This Row],[MOTORISTA + MATRÍCULA B]])</f>
        <v>45910+ANTONIO DIAS DE OLIVEIRA - 5309</v>
      </c>
      <c r="E576" s="1" t="str">
        <f>_xlfn.CONCAT(tabE.Flux[[#This Row],[DATA]],"+",tabE.Flux[[#This Row],[MOTORISTA + MATRÍCULA A]],"+",tabE.Flux[[#This Row],[LINHA]])</f>
        <v>45910+GERALDO DE OLIVEIRA GOMES - 1360+GOIANIA (GO) X SAO LUIS (MA)</v>
      </c>
      <c r="F576" s="1" t="str">
        <f>_xlfn.CONCAT(tabE.Flux[[#This Row],[DATA]],"+",tabE.Flux[[#This Row],[MOTORISTA + MATRÍCULA B]],"+",tabE.Flux[[#This Row],[LINHA]])</f>
        <v>45910+ANTONIO DIAS DE OLIVEIRA - 5309+GOIANIA (GO) X SAO LUIS (MA)</v>
      </c>
      <c r="G576" s="1" t="str">
        <f>_xlfn.CONCAT(tabE.Flux[[#This Row],[DATA]],"+",tabE.Flux[[#This Row],[LINHA]])</f>
        <v>45910+GOIANIA (GO) X SAO LUIS (MA)</v>
      </c>
      <c r="H576" s="125">
        <v>45910</v>
      </c>
      <c r="I576" s="1" t="s">
        <v>15</v>
      </c>
      <c r="J576" s="1">
        <v>24015</v>
      </c>
      <c r="K576" s="126">
        <v>0.32291666666666669</v>
      </c>
      <c r="L576" s="126">
        <v>0.33333333333333331</v>
      </c>
      <c r="M576" s="1" t="s">
        <v>16</v>
      </c>
      <c r="N576" s="1" t="s">
        <v>17</v>
      </c>
      <c r="O576" s="1" t="s">
        <v>245</v>
      </c>
      <c r="P576" s="1" t="s">
        <v>172</v>
      </c>
      <c r="Q576" s="1" t="s">
        <v>23</v>
      </c>
    </row>
    <row r="577" spans="3:17" x14ac:dyDescent="0.25">
      <c r="C577" s="1" t="str">
        <f>_xlfn.CONCAT(tabE.Flux[[#This Row],[DATA]],"+",tabE.Flux[[#This Row],[MOTORISTA + MATRÍCULA A]])</f>
        <v>45910+JULIO EDER NERES DA SILVA - 1767</v>
      </c>
      <c r="D577" s="1" t="str">
        <f>_xlfn.CONCAT(tabE.Flux[[#This Row],[DATA]],"+",tabE.Flux[[#This Row],[MOTORISTA + MATRÍCULA B]])</f>
        <v>45910+ELISEU TORRES DE OLIVEIRA - 561</v>
      </c>
      <c r="E577" s="1" t="str">
        <f>_xlfn.CONCAT(tabE.Flux[[#This Row],[DATA]],"+",tabE.Flux[[#This Row],[MOTORISTA + MATRÍCULA A]],"+",tabE.Flux[[#This Row],[LINHA]])</f>
        <v>45910+JULIO EDER NERES DA SILVA - 1767+GOIANIA (GO) X TERESINA (PI) VIA STI</v>
      </c>
      <c r="F577" s="1" t="str">
        <f>_xlfn.CONCAT(tabE.Flux[[#This Row],[DATA]],"+",tabE.Flux[[#This Row],[MOTORISTA + MATRÍCULA B]],"+",tabE.Flux[[#This Row],[LINHA]])</f>
        <v>45910+ELISEU TORRES DE OLIVEIRA - 561+GOIANIA (GO) X TERESINA (PI) VIA STI</v>
      </c>
      <c r="G577" s="1" t="str">
        <f>_xlfn.CONCAT(tabE.Flux[[#This Row],[DATA]],"+",tabE.Flux[[#This Row],[LINHA]])</f>
        <v>45910+GOIANIA (GO) X TERESINA (PI) VIA STI</v>
      </c>
      <c r="H577" s="125">
        <v>45910</v>
      </c>
      <c r="I577" s="1" t="s">
        <v>15</v>
      </c>
      <c r="J577" s="1">
        <v>19015</v>
      </c>
      <c r="K577" s="126">
        <v>0.3888888888888889</v>
      </c>
      <c r="L577" s="126">
        <v>0.39583333333333331</v>
      </c>
      <c r="M577" s="1" t="s">
        <v>16</v>
      </c>
      <c r="N577" s="1" t="s">
        <v>17</v>
      </c>
      <c r="O577" s="1" t="s">
        <v>170</v>
      </c>
      <c r="P577" s="1" t="s">
        <v>169</v>
      </c>
      <c r="Q577" s="1" t="s">
        <v>26</v>
      </c>
    </row>
    <row r="578" spans="3:17" x14ac:dyDescent="0.25">
      <c r="C578" s="1" t="str">
        <f>_xlfn.CONCAT(tabE.Flux[[#This Row],[DATA]],"+",tabE.Flux[[#This Row],[MOTORISTA + MATRÍCULA A]])</f>
        <v>45910+CANCELADO</v>
      </c>
      <c r="D578" s="1" t="str">
        <f>_xlfn.CONCAT(tabE.Flux[[#This Row],[DATA]],"+",tabE.Flux[[#This Row],[MOTORISTA + MATRÍCULA B]])</f>
        <v>45910+CANCELADO</v>
      </c>
      <c r="E578" s="1" t="str">
        <f>_xlfn.CONCAT(tabE.Flux[[#This Row],[DATA]],"+",tabE.Flux[[#This Row],[MOTORISTA + MATRÍCULA A]],"+",tabE.Flux[[#This Row],[LINHA]])</f>
        <v>45910+CANCELADO+</v>
      </c>
      <c r="F578" s="1" t="str">
        <f>_xlfn.CONCAT(tabE.Flux[[#This Row],[DATA]],"+",tabE.Flux[[#This Row],[MOTORISTA + MATRÍCULA B]],"+",tabE.Flux[[#This Row],[LINHA]])</f>
        <v>45910+CANCELADO+</v>
      </c>
      <c r="G578" s="1" t="str">
        <f>_xlfn.CONCAT(tabE.Flux[[#This Row],[DATA]],"+",tabE.Flux[[#This Row],[LINHA]])</f>
        <v>45910+</v>
      </c>
      <c r="H578" s="125">
        <v>45910</v>
      </c>
      <c r="I578" s="1" t="s">
        <v>15</v>
      </c>
      <c r="J578" s="1" t="s">
        <v>27</v>
      </c>
      <c r="K578" s="126">
        <v>0.375</v>
      </c>
      <c r="L578" s="126">
        <v>0.41666666666666669</v>
      </c>
      <c r="M578" s="1" t="s">
        <v>16</v>
      </c>
      <c r="N578" s="1" t="s">
        <v>28</v>
      </c>
      <c r="O578" s="1" t="s">
        <v>27</v>
      </c>
      <c r="P578" s="1" t="s">
        <v>27</v>
      </c>
      <c r="Q578" s="1"/>
    </row>
    <row r="579" spans="3:17" x14ac:dyDescent="0.25">
      <c r="C579" s="1" t="str">
        <f>_xlfn.CONCAT(tabE.Flux[[#This Row],[DATA]],"+",tabE.Flux[[#This Row],[MOTORISTA + MATRÍCULA A]])</f>
        <v>45910+ANTONIO JOSE PEREIRA SOARES - 1774</v>
      </c>
      <c r="D579" s="1" t="str">
        <f>_xlfn.CONCAT(tabE.Flux[[#This Row],[DATA]],"+",tabE.Flux[[#This Row],[MOTORISTA + MATRÍCULA B]])</f>
        <v>45910+ADRIASIO SOARES MENDES - 5440</v>
      </c>
      <c r="E579" s="1" t="str">
        <f>_xlfn.CONCAT(tabE.Flux[[#This Row],[DATA]],"+",tabE.Flux[[#This Row],[MOTORISTA + MATRÍCULA A]],"+",tabE.Flux[[#This Row],[LINHA]])</f>
        <v>45910+ANTONIO JOSE PEREIRA SOARES - 1774+FORTALEZA (CE) X SINOP (MT)</v>
      </c>
      <c r="F579" s="1" t="str">
        <f>_xlfn.CONCAT(tabE.Flux[[#This Row],[DATA]],"+",tabE.Flux[[#This Row],[MOTORISTA + MATRÍCULA B]],"+",tabE.Flux[[#This Row],[LINHA]])</f>
        <v>45910+ADRIASIO SOARES MENDES - 5440+FORTALEZA (CE) X SINOP (MT)</v>
      </c>
      <c r="G579" s="1" t="str">
        <f>_xlfn.CONCAT(tabE.Flux[[#This Row],[DATA]],"+",tabE.Flux[[#This Row],[LINHA]])</f>
        <v>45910+FORTALEZA (CE) X SINOP (MT)</v>
      </c>
      <c r="H579" s="125">
        <v>45910</v>
      </c>
      <c r="I579" s="1" t="s">
        <v>15</v>
      </c>
      <c r="J579" s="1">
        <v>19012</v>
      </c>
      <c r="K579" s="126">
        <v>0.3888888888888889</v>
      </c>
      <c r="L579" s="126">
        <v>0.37708333333333333</v>
      </c>
      <c r="M579" s="1" t="s">
        <v>16</v>
      </c>
      <c r="N579" s="1" t="s">
        <v>29</v>
      </c>
      <c r="O579" s="1" t="s">
        <v>52</v>
      </c>
      <c r="P579" s="1" t="s">
        <v>242</v>
      </c>
      <c r="Q579" s="1" t="s">
        <v>32</v>
      </c>
    </row>
    <row r="580" spans="3:17" x14ac:dyDescent="0.25">
      <c r="C580" s="1" t="str">
        <f>_xlfn.CONCAT(tabE.Flux[[#This Row],[DATA]],"+",tabE.Flux[[#This Row],[MOTORISTA + MATRÍCULA A]])</f>
        <v>45910+REGINALDO DE SOUSA OLIVEIRA - 5412</v>
      </c>
      <c r="D580" s="1" t="str">
        <f>_xlfn.CONCAT(tabE.Flux[[#This Row],[DATA]],"+",tabE.Flux[[#This Row],[MOTORISTA + MATRÍCULA B]])</f>
        <v>45910+MANOEL MESSIAS SILVA DOS SANTOS - 1833</v>
      </c>
      <c r="E580" s="1" t="str">
        <f>_xlfn.CONCAT(tabE.Flux[[#This Row],[DATA]],"+",tabE.Flux[[#This Row],[MOTORISTA + MATRÍCULA A]],"+",tabE.Flux[[#This Row],[LINHA]])</f>
        <v>45910+REGINALDO DE SOUSA OLIVEIRA - 5412+GOIANIA (GO) X BELEM (PA)</v>
      </c>
      <c r="F580" s="1" t="str">
        <f>_xlfn.CONCAT(tabE.Flux[[#This Row],[DATA]],"+",tabE.Flux[[#This Row],[MOTORISTA + MATRÍCULA B]],"+",tabE.Flux[[#This Row],[LINHA]])</f>
        <v>45910+MANOEL MESSIAS SILVA DOS SANTOS - 1833+GOIANIA (GO) X BELEM (PA)</v>
      </c>
      <c r="G580" s="1" t="str">
        <f>_xlfn.CONCAT(tabE.Flux[[#This Row],[DATA]],"+",tabE.Flux[[#This Row],[LINHA]])</f>
        <v>45910+GOIANIA (GO) X BELEM (PA)</v>
      </c>
      <c r="H580" s="125">
        <v>45910</v>
      </c>
      <c r="I580" s="1" t="s">
        <v>15</v>
      </c>
      <c r="J580" s="1">
        <v>20010</v>
      </c>
      <c r="K580" s="126">
        <v>0.38958333333333334</v>
      </c>
      <c r="L580" s="126">
        <v>0.38541666666666669</v>
      </c>
      <c r="M580" s="1" t="s">
        <v>16</v>
      </c>
      <c r="N580" s="1" t="s">
        <v>33</v>
      </c>
      <c r="O580" s="1" t="s">
        <v>239</v>
      </c>
      <c r="P580" s="1" t="s">
        <v>173</v>
      </c>
      <c r="Q580" s="1" t="s">
        <v>20</v>
      </c>
    </row>
    <row r="581" spans="3:17" x14ac:dyDescent="0.25">
      <c r="C581" s="1" t="str">
        <f>_xlfn.CONCAT(tabE.Flux[[#This Row],[DATA]],"+",tabE.Flux[[#This Row],[MOTORISTA + MATRÍCULA A]])</f>
        <v>45910+JOSE ORLANDO RODRIGUES DE MIRANDA - 5838</v>
      </c>
      <c r="D581" s="1" t="str">
        <f>_xlfn.CONCAT(tabE.Flux[[#This Row],[DATA]],"+",tabE.Flux[[#This Row],[MOTORISTA + MATRÍCULA B]])</f>
        <v>45910+PEDRO PAULO DO NASCIMENTO DO CARMO - 2559</v>
      </c>
      <c r="E581" s="1" t="str">
        <f>_xlfn.CONCAT(tabE.Flux[[#This Row],[DATA]],"+",tabE.Flux[[#This Row],[MOTORISTA + MATRÍCULA A]],"+",tabE.Flux[[#This Row],[LINHA]])</f>
        <v>45910+JOSE ORLANDO RODRIGUES DE MIRANDA - 5838+GOIANIA (GO) X TERESINA (PI) VIA BC</v>
      </c>
      <c r="F581" s="1" t="str">
        <f>_xlfn.CONCAT(tabE.Flux[[#This Row],[DATA]],"+",tabE.Flux[[#This Row],[MOTORISTA + MATRÍCULA B]],"+",tabE.Flux[[#This Row],[LINHA]])</f>
        <v>45910+PEDRO PAULO DO NASCIMENTO DO CARMO - 2559+GOIANIA (GO) X TERESINA (PI) VIA BC</v>
      </c>
      <c r="G581" s="1" t="str">
        <f>_xlfn.CONCAT(tabE.Flux[[#This Row],[DATA]],"+",tabE.Flux[[#This Row],[LINHA]])</f>
        <v>45910+GOIANIA (GO) X TERESINA (PI) VIA BC</v>
      </c>
      <c r="H581" s="125">
        <v>45910</v>
      </c>
      <c r="I581" s="1" t="s">
        <v>15</v>
      </c>
      <c r="J581" s="1">
        <v>25010</v>
      </c>
      <c r="K581" s="126">
        <v>0.375</v>
      </c>
      <c r="L581" s="126">
        <v>0.39930555555555558</v>
      </c>
      <c r="M581" s="1" t="s">
        <v>36</v>
      </c>
      <c r="N581" s="1" t="s">
        <v>29</v>
      </c>
      <c r="O581" s="1" t="s">
        <v>37</v>
      </c>
      <c r="P581" s="1" t="s">
        <v>175</v>
      </c>
      <c r="Q581" s="1" t="s">
        <v>39</v>
      </c>
    </row>
    <row r="582" spans="3:17" x14ac:dyDescent="0.25">
      <c r="C582" s="1" t="str">
        <f>_xlfn.CONCAT(tabE.Flux[[#This Row],[DATA]],"+",tabE.Flux[[#This Row],[MOTORISTA + MATRÍCULA A]])</f>
        <v>45910+ESIEL COSTA RODRIGUES - 1749</v>
      </c>
      <c r="D582" s="1" t="str">
        <f>_xlfn.CONCAT(tabE.Flux[[#This Row],[DATA]],"+",tabE.Flux[[#This Row],[MOTORISTA + MATRÍCULA B]])</f>
        <v>45910+ELIEZIO JOSE DOS SANTOS - 2645</v>
      </c>
      <c r="E582" s="1" t="str">
        <f>_xlfn.CONCAT(tabE.Flux[[#This Row],[DATA]],"+",tabE.Flux[[#This Row],[MOTORISTA + MATRÍCULA A]],"+",tabE.Flux[[#This Row],[LINHA]])</f>
        <v>45910+ESIEL COSTA RODRIGUES - 1749+GOIANIA (GO) X BELEM (PA)</v>
      </c>
      <c r="F582" s="1" t="str">
        <f>_xlfn.CONCAT(tabE.Flux[[#This Row],[DATA]],"+",tabE.Flux[[#This Row],[MOTORISTA + MATRÍCULA B]],"+",tabE.Flux[[#This Row],[LINHA]])</f>
        <v>45910+ELIEZIO JOSE DOS SANTOS - 2645+GOIANIA (GO) X BELEM (PA)</v>
      </c>
      <c r="G582" s="1" t="str">
        <f>_xlfn.CONCAT(tabE.Flux[[#This Row],[DATA]],"+",tabE.Flux[[#This Row],[LINHA]])</f>
        <v>45910+GOIANIA (GO) X BELEM (PA)</v>
      </c>
      <c r="H582" s="125">
        <v>45910</v>
      </c>
      <c r="I582" s="1" t="s">
        <v>15</v>
      </c>
      <c r="J582" s="1">
        <v>19018</v>
      </c>
      <c r="K582" s="126">
        <v>0.375</v>
      </c>
      <c r="L582" s="126">
        <v>0.41666666666666669</v>
      </c>
      <c r="M582" s="1" t="s">
        <v>33</v>
      </c>
      <c r="N582" s="1" t="s">
        <v>16</v>
      </c>
      <c r="O582" s="1" t="s">
        <v>46</v>
      </c>
      <c r="P582" s="1" t="s">
        <v>53</v>
      </c>
      <c r="Q582" s="1" t="s">
        <v>20</v>
      </c>
    </row>
    <row r="583" spans="3:17" x14ac:dyDescent="0.25">
      <c r="C583" s="1" t="str">
        <f>_xlfn.CONCAT(tabE.Flux[[#This Row],[DATA]],"+",tabE.Flux[[#This Row],[MOTORISTA + MATRÍCULA A]])</f>
        <v>45910+PAULO ENEAS FARIAS ARAUJO - 6218</v>
      </c>
      <c r="D583" s="1" t="str">
        <f>_xlfn.CONCAT(tabE.Flux[[#This Row],[DATA]],"+",tabE.Flux[[#This Row],[MOTORISTA + MATRÍCULA B]])</f>
        <v>45910+EDUARDO SANTOS BEZERRA - 4066</v>
      </c>
      <c r="E583" s="1" t="str">
        <f>_xlfn.CONCAT(tabE.Flux[[#This Row],[DATA]],"+",tabE.Flux[[#This Row],[MOTORISTA + MATRÍCULA A]],"+",tabE.Flux[[#This Row],[LINHA]])</f>
        <v>45910+PAULO ENEAS FARIAS ARAUJO - 6218+GOIANIA (GO) X SAO LUIS (MA)</v>
      </c>
      <c r="F583" s="1" t="str">
        <f>_xlfn.CONCAT(tabE.Flux[[#This Row],[DATA]],"+",tabE.Flux[[#This Row],[MOTORISTA + MATRÍCULA B]],"+",tabE.Flux[[#This Row],[LINHA]])</f>
        <v>45910+EDUARDO SANTOS BEZERRA - 4066+GOIANIA (GO) X SAO LUIS (MA)</v>
      </c>
      <c r="G583" s="1" t="str">
        <f>_xlfn.CONCAT(tabE.Flux[[#This Row],[DATA]],"+",tabE.Flux[[#This Row],[LINHA]])</f>
        <v>45910+GOIANIA (GO) X SAO LUIS (MA)</v>
      </c>
      <c r="H583" s="125">
        <v>45910</v>
      </c>
      <c r="I583" s="1" t="s">
        <v>15</v>
      </c>
      <c r="J583" s="1">
        <v>20019</v>
      </c>
      <c r="K583" s="126">
        <v>0.25</v>
      </c>
      <c r="L583" s="126">
        <v>0.29166666666666669</v>
      </c>
      <c r="M583" s="1" t="s">
        <v>42</v>
      </c>
      <c r="N583" s="1" t="s">
        <v>16</v>
      </c>
      <c r="O583" s="1" t="s">
        <v>43</v>
      </c>
      <c r="P583" s="1" t="s">
        <v>148</v>
      </c>
      <c r="Q583" s="1" t="s">
        <v>23</v>
      </c>
    </row>
    <row r="584" spans="3:17" x14ac:dyDescent="0.25">
      <c r="C584" s="1" t="str">
        <f>_xlfn.CONCAT(tabE.Flux[[#This Row],[DATA]],"+",tabE.Flux[[#This Row],[MOTORISTA + MATRÍCULA A]])</f>
        <v>45910+RAIMUNDO COSTA SILVA - 6226</v>
      </c>
      <c r="D584" s="1" t="str">
        <f>_xlfn.CONCAT(tabE.Flux[[#This Row],[DATA]],"+",tabE.Flux[[#This Row],[MOTORISTA + MATRÍCULA B]])</f>
        <v>45910+MARCOS ATAIDE SILVA - 1352</v>
      </c>
      <c r="E584" s="1" t="str">
        <f>_xlfn.CONCAT(tabE.Flux[[#This Row],[DATA]],"+",tabE.Flux[[#This Row],[MOTORISTA + MATRÍCULA A]],"+",tabE.Flux[[#This Row],[LINHA]])</f>
        <v>45910+RAIMUNDO COSTA SILVA - 6226+GOIANIA (GO) X SAO LUIS (MA)</v>
      </c>
      <c r="F584" s="1" t="str">
        <f>_xlfn.CONCAT(tabE.Flux[[#This Row],[DATA]],"+",tabE.Flux[[#This Row],[MOTORISTA + MATRÍCULA B]],"+",tabE.Flux[[#This Row],[LINHA]])</f>
        <v>45910+MARCOS ATAIDE SILVA - 1352+GOIANIA (GO) X SAO LUIS (MA)</v>
      </c>
      <c r="G584" s="1" t="str">
        <f>_xlfn.CONCAT(tabE.Flux[[#This Row],[DATA]],"+",tabE.Flux[[#This Row],[LINHA]])</f>
        <v>45910+GOIANIA (GO) X SAO LUIS (MA)</v>
      </c>
      <c r="H584" s="125">
        <v>45910</v>
      </c>
      <c r="I584" s="1" t="s">
        <v>15</v>
      </c>
      <c r="J584" s="1">
        <v>24001</v>
      </c>
      <c r="K584" s="126">
        <v>0.75</v>
      </c>
      <c r="L584" s="126">
        <v>0.79166666666666663</v>
      </c>
      <c r="M584" s="1" t="s">
        <v>42</v>
      </c>
      <c r="N584" s="1" t="s">
        <v>16</v>
      </c>
      <c r="O584" s="1" t="s">
        <v>45</v>
      </c>
      <c r="P584" s="1" t="s">
        <v>113</v>
      </c>
      <c r="Q584" s="1" t="s">
        <v>23</v>
      </c>
    </row>
    <row r="585" spans="3:17" x14ac:dyDescent="0.25">
      <c r="C585" s="1" t="str">
        <f>_xlfn.CONCAT(tabE.Flux[[#This Row],[DATA]],"+",tabE.Flux[[#This Row],[MOTORISTA + MATRÍCULA A]])</f>
        <v>45910+CANCELADO</v>
      </c>
      <c r="D585" s="1" t="str">
        <f>_xlfn.CONCAT(tabE.Flux[[#This Row],[DATA]],"+",tabE.Flux[[#This Row],[MOTORISTA + MATRÍCULA B]])</f>
        <v>45910+CANCELADO</v>
      </c>
      <c r="E585" s="1" t="str">
        <f>_xlfn.CONCAT(tabE.Flux[[#This Row],[DATA]],"+",tabE.Flux[[#This Row],[MOTORISTA + MATRÍCULA A]],"+",tabE.Flux[[#This Row],[LINHA]])</f>
        <v>45910+CANCELADO+IMPERATRIZ (MA) X SÃO LUIS (MA)</v>
      </c>
      <c r="F585" s="1" t="str">
        <f>_xlfn.CONCAT(tabE.Flux[[#This Row],[DATA]],"+",tabE.Flux[[#This Row],[MOTORISTA + MATRÍCULA B]],"+",tabE.Flux[[#This Row],[LINHA]])</f>
        <v>45910+CANCELADO+IMPERATRIZ (MA) X SÃO LUIS (MA)</v>
      </c>
      <c r="G585" s="1" t="str">
        <f>_xlfn.CONCAT(tabE.Flux[[#This Row],[DATA]],"+",tabE.Flux[[#This Row],[LINHA]])</f>
        <v>45910+IMPERATRIZ (MA) X SÃO LUIS (MA)</v>
      </c>
      <c r="H585" s="125">
        <v>45910</v>
      </c>
      <c r="I585" s="1" t="s">
        <v>15</v>
      </c>
      <c r="J585" s="1" t="s">
        <v>27</v>
      </c>
      <c r="K585" s="126">
        <v>0.77083333333333337</v>
      </c>
      <c r="L585" s="126">
        <v>0.79513888888888884</v>
      </c>
      <c r="M585" s="1" t="s">
        <v>42</v>
      </c>
      <c r="N585" s="1" t="s">
        <v>16</v>
      </c>
      <c r="O585" s="1" t="s">
        <v>27</v>
      </c>
      <c r="P585" s="1" t="s">
        <v>27</v>
      </c>
      <c r="Q585" s="1" t="s">
        <v>47</v>
      </c>
    </row>
    <row r="586" spans="3:17" x14ac:dyDescent="0.25">
      <c r="C586" s="1" t="str">
        <f>_xlfn.CONCAT(tabE.Flux[[#This Row],[DATA]],"+",tabE.Flux[[#This Row],[MOTORISTA + MATRÍCULA A]])</f>
        <v>45910+JADILSON LIMA VIEIRA - 1108</v>
      </c>
      <c r="D586" s="1" t="str">
        <f>_xlfn.CONCAT(tabE.Flux[[#This Row],[DATA]],"+",tabE.Flux[[#This Row],[MOTORISTA + MATRÍCULA B]])</f>
        <v>45910+JOSE CARLOS FERREIRA - 1202</v>
      </c>
      <c r="E586" s="1" t="str">
        <f>_xlfn.CONCAT(tabE.Flux[[#This Row],[DATA]],"+",tabE.Flux[[#This Row],[MOTORISTA + MATRÍCULA A]],"+",tabE.Flux[[#This Row],[LINHA]])</f>
        <v>45910+JADILSON LIMA VIEIRA - 1108+GOIANIA (GO) X TERESINA (PI) VIA BC</v>
      </c>
      <c r="F586" s="1" t="str">
        <f>_xlfn.CONCAT(tabE.Flux[[#This Row],[DATA]],"+",tabE.Flux[[#This Row],[MOTORISTA + MATRÍCULA B]],"+",tabE.Flux[[#This Row],[LINHA]])</f>
        <v>45910+JOSE CARLOS FERREIRA - 1202+GOIANIA (GO) X TERESINA (PI) VIA BC</v>
      </c>
      <c r="G586" s="1" t="str">
        <f>_xlfn.CONCAT(tabE.Flux[[#This Row],[DATA]],"+",tabE.Flux[[#This Row],[LINHA]])</f>
        <v>45910+GOIANIA (GO) X TERESINA (PI) VIA BC</v>
      </c>
      <c r="H586" s="125">
        <v>45910</v>
      </c>
      <c r="I586" s="1" t="s">
        <v>15</v>
      </c>
      <c r="J586" s="1">
        <v>25008</v>
      </c>
      <c r="K586" s="126">
        <v>0.89583333333333337</v>
      </c>
      <c r="L586" s="126">
        <v>0.91666666666666663</v>
      </c>
      <c r="M586" s="1" t="s">
        <v>36</v>
      </c>
      <c r="N586" s="1" t="s">
        <v>17</v>
      </c>
      <c r="O586" s="1" t="s">
        <v>66</v>
      </c>
      <c r="P586" s="1" t="s">
        <v>65</v>
      </c>
      <c r="Q586" s="1" t="s">
        <v>39</v>
      </c>
    </row>
    <row r="587" spans="3:17" x14ac:dyDescent="0.25">
      <c r="C587" s="1" t="str">
        <f>_xlfn.CONCAT(tabE.Flux[[#This Row],[DATA]],"+",tabE.Flux[[#This Row],[MOTORISTA + MATRÍCULA A]])</f>
        <v>45910+JOAO DE JESUS GOUVEIA - 6016</v>
      </c>
      <c r="D587" s="1" t="str">
        <f>_xlfn.CONCAT(tabE.Flux[[#This Row],[DATA]],"+",tabE.Flux[[#This Row],[MOTORISTA + MATRÍCULA B]])</f>
        <v>45910+GILDEVAN DE ALMEIDA AGOSTINHO - 1924</v>
      </c>
      <c r="E587" s="1" t="str">
        <f>_xlfn.CONCAT(tabE.Flux[[#This Row],[DATA]],"+",tabE.Flux[[#This Row],[MOTORISTA + MATRÍCULA A]],"+",tabE.Flux[[#This Row],[LINHA]])</f>
        <v>45910+JOAO DE JESUS GOUVEIA - 6016+GOIANIA (GO) X BELEM (PA)</v>
      </c>
      <c r="F587" s="1" t="str">
        <f>_xlfn.CONCAT(tabE.Flux[[#This Row],[DATA]],"+",tabE.Flux[[#This Row],[MOTORISTA + MATRÍCULA B]],"+",tabE.Flux[[#This Row],[LINHA]])</f>
        <v>45910+GILDEVAN DE ALMEIDA AGOSTINHO - 1924+GOIANIA (GO) X BELEM (PA)</v>
      </c>
      <c r="G587" s="1" t="str">
        <f>_xlfn.CONCAT(tabE.Flux[[#This Row],[DATA]],"+",tabE.Flux[[#This Row],[LINHA]])</f>
        <v>45910+GOIANIA (GO) X BELEM (PA)</v>
      </c>
      <c r="H587" s="125">
        <v>45910</v>
      </c>
      <c r="I587" s="1" t="s">
        <v>15</v>
      </c>
      <c r="J587" s="1">
        <v>25011</v>
      </c>
      <c r="K587" s="126">
        <v>0.76041666666666663</v>
      </c>
      <c r="L587" s="126">
        <v>0.77083333333333337</v>
      </c>
      <c r="M587" s="1" t="s">
        <v>33</v>
      </c>
      <c r="N587" s="1" t="s">
        <v>16</v>
      </c>
      <c r="O587" s="1" t="s">
        <v>58</v>
      </c>
      <c r="P587" s="1" t="s">
        <v>236</v>
      </c>
      <c r="Q587" s="1" t="s">
        <v>20</v>
      </c>
    </row>
    <row r="588" spans="3:17" x14ac:dyDescent="0.25">
      <c r="C588" s="1" t="str">
        <f>_xlfn.CONCAT(tabE.Flux[[#This Row],[DATA]],"+",tabE.Flux[[#This Row],[MOTORISTA + MATRÍCULA A]])</f>
        <v>45910+JAME DOS SANTOS MOURA - 5332</v>
      </c>
      <c r="D588" s="1" t="str">
        <f>_xlfn.CONCAT(tabE.Flux[[#This Row],[DATA]],"+",tabE.Flux[[#This Row],[MOTORISTA + MATRÍCULA B]])</f>
        <v>45910+LUIS ANTONIO FARIAS RIBEIRO - 2789</v>
      </c>
      <c r="E588" s="1" t="str">
        <f>_xlfn.CONCAT(tabE.Flux[[#This Row],[DATA]],"+",tabE.Flux[[#This Row],[MOTORISTA + MATRÍCULA A]],"+",tabE.Flux[[#This Row],[LINHA]])</f>
        <v>45910+JAME DOS SANTOS MOURA - 5332+GOIANIA (GO) X BELEM (PA)</v>
      </c>
      <c r="F588" s="1" t="str">
        <f>_xlfn.CONCAT(tabE.Flux[[#This Row],[DATA]],"+",tabE.Flux[[#This Row],[MOTORISTA + MATRÍCULA B]],"+",tabE.Flux[[#This Row],[LINHA]])</f>
        <v>45910+LUIS ANTONIO FARIAS RIBEIRO - 2789+GOIANIA (GO) X BELEM (PA)</v>
      </c>
      <c r="G588" s="1" t="str">
        <f>_xlfn.CONCAT(tabE.Flux[[#This Row],[DATA]],"+",tabE.Flux[[#This Row],[LINHA]])</f>
        <v>45910+GOIANIA (GO) X BELEM (PA)</v>
      </c>
      <c r="H588" s="125">
        <v>45910</v>
      </c>
      <c r="I588" s="1" t="s">
        <v>15</v>
      </c>
      <c r="J588" s="1">
        <v>24010</v>
      </c>
      <c r="K588" s="126">
        <v>0.76041666666666663</v>
      </c>
      <c r="L588" s="126">
        <v>0.82777777777777772</v>
      </c>
      <c r="M588" s="1" t="s">
        <v>16</v>
      </c>
      <c r="N588" s="1" t="s">
        <v>33</v>
      </c>
      <c r="O588" s="1" t="s">
        <v>103</v>
      </c>
      <c r="P588" s="1" t="s">
        <v>124</v>
      </c>
      <c r="Q588" s="1" t="s">
        <v>20</v>
      </c>
    </row>
    <row r="589" spans="3:17" x14ac:dyDescent="0.25">
      <c r="C589" s="1" t="str">
        <f>_xlfn.CONCAT(tabE.Flux[[#This Row],[DATA]],"+",tabE.Flux[[#This Row],[MOTORISTA + MATRÍCULA A]])</f>
        <v>45910+ANDRE SOUSA REIS - 2644</v>
      </c>
      <c r="D589" s="1" t="str">
        <f>_xlfn.CONCAT(tabE.Flux[[#This Row],[DATA]],"+",tabE.Flux[[#This Row],[MOTORISTA + MATRÍCULA B]])</f>
        <v>45910+KAYLSON KLEYTON DA SILVA COSTA - 6224</v>
      </c>
      <c r="E589" s="1" t="str">
        <f>_xlfn.CONCAT(tabE.Flux[[#This Row],[DATA]],"+",tabE.Flux[[#This Row],[MOTORISTA + MATRÍCULA A]],"+",tabE.Flux[[#This Row],[LINHA]])</f>
        <v>45910+ANDRE SOUSA REIS - 2644+GOIANIA (GO) X SAO LUIS (MA)</v>
      </c>
      <c r="F589" s="1" t="str">
        <f>_xlfn.CONCAT(tabE.Flux[[#This Row],[DATA]],"+",tabE.Flux[[#This Row],[MOTORISTA + MATRÍCULA B]],"+",tabE.Flux[[#This Row],[LINHA]])</f>
        <v>45910+KAYLSON KLEYTON DA SILVA COSTA - 6224+GOIANIA (GO) X SAO LUIS (MA)</v>
      </c>
      <c r="G589" s="1" t="str">
        <f>_xlfn.CONCAT(tabE.Flux[[#This Row],[DATA]],"+",tabE.Flux[[#This Row],[LINHA]])</f>
        <v>45910+GOIANIA (GO) X SAO LUIS (MA)</v>
      </c>
      <c r="H589" s="125">
        <v>45910</v>
      </c>
      <c r="I589" s="1" t="s">
        <v>15</v>
      </c>
      <c r="J589" s="1">
        <v>19011</v>
      </c>
      <c r="K589" s="126">
        <v>0.40763888888888888</v>
      </c>
      <c r="L589" s="126">
        <v>0.47013888888888888</v>
      </c>
      <c r="M589" s="1" t="s">
        <v>16</v>
      </c>
      <c r="N589" s="1" t="s">
        <v>42</v>
      </c>
      <c r="O589" s="1" t="s">
        <v>63</v>
      </c>
      <c r="P589" s="1" t="s">
        <v>80</v>
      </c>
      <c r="Q589" s="1" t="s">
        <v>23</v>
      </c>
    </row>
    <row r="590" spans="3:17" x14ac:dyDescent="0.25">
      <c r="C590" s="1" t="str">
        <f>_xlfn.CONCAT(tabE.Flux[[#This Row],[DATA]],"+",tabE.Flux[[#This Row],[MOTORISTA + MATRÍCULA A]])</f>
        <v>45910+CANCELADO</v>
      </c>
      <c r="D590" s="1" t="str">
        <f>_xlfn.CONCAT(tabE.Flux[[#This Row],[DATA]],"+",tabE.Flux[[#This Row],[MOTORISTA + MATRÍCULA B]])</f>
        <v>45910+CANCELADO</v>
      </c>
      <c r="E590" s="1" t="str">
        <f>_xlfn.CONCAT(tabE.Flux[[#This Row],[DATA]],"+",tabE.Flux[[#This Row],[MOTORISTA + MATRÍCULA A]],"+",tabE.Flux[[#This Row],[LINHA]])</f>
        <v>45910+CANCELADO+IMPERATRIZ (MA) X SÃO LUIS (MA)</v>
      </c>
      <c r="F590" s="1" t="str">
        <f>_xlfn.CONCAT(tabE.Flux[[#This Row],[DATA]],"+",tabE.Flux[[#This Row],[MOTORISTA + MATRÍCULA B]],"+",tabE.Flux[[#This Row],[LINHA]])</f>
        <v>45910+CANCELADO+IMPERATRIZ (MA) X SÃO LUIS (MA)</v>
      </c>
      <c r="G590" s="1" t="str">
        <f>_xlfn.CONCAT(tabE.Flux[[#This Row],[DATA]],"+",tabE.Flux[[#This Row],[LINHA]])</f>
        <v>45910+IMPERATRIZ (MA) X SÃO LUIS (MA)</v>
      </c>
      <c r="H590" s="125">
        <v>45910</v>
      </c>
      <c r="I590" s="1" t="s">
        <v>15</v>
      </c>
      <c r="J590" s="1" t="s">
        <v>27</v>
      </c>
      <c r="K590" s="126">
        <v>0.77083333333333337</v>
      </c>
      <c r="L590" s="126">
        <v>0.8125</v>
      </c>
      <c r="M590" s="1" t="s">
        <v>16</v>
      </c>
      <c r="N590" s="1" t="s">
        <v>42</v>
      </c>
      <c r="O590" s="1" t="s">
        <v>27</v>
      </c>
      <c r="P590" s="1" t="s">
        <v>27</v>
      </c>
      <c r="Q590" s="1" t="s">
        <v>47</v>
      </c>
    </row>
    <row r="591" spans="3:17" x14ac:dyDescent="0.25">
      <c r="C591" s="1" t="str">
        <f>_xlfn.CONCAT(tabE.Flux[[#This Row],[DATA]],"+",tabE.Flux[[#This Row],[MOTORISTA + MATRÍCULA A]])</f>
        <v>45910+WESLEY SILVA PAIVA - 5638</v>
      </c>
      <c r="D591" s="1" t="str">
        <f>_xlfn.CONCAT(tabE.Flux[[#This Row],[DATA]],"+",tabE.Flux[[#This Row],[MOTORISTA + MATRÍCULA B]])</f>
        <v>45910+PAULO ENEAS FARIAS ARAUJO - 6218</v>
      </c>
      <c r="E591" s="1" t="str">
        <f>_xlfn.CONCAT(tabE.Flux[[#This Row],[DATA]],"+",tabE.Flux[[#This Row],[MOTORISTA + MATRÍCULA A]],"+",tabE.Flux[[#This Row],[LINHA]])</f>
        <v>45910+WESLEY SILVA PAIVA - 5638+GOIANIA (GO) X SAO LUIS (MA)</v>
      </c>
      <c r="F591" s="1" t="str">
        <f>_xlfn.CONCAT(tabE.Flux[[#This Row],[DATA]],"+",tabE.Flux[[#This Row],[MOTORISTA + MATRÍCULA B]],"+",tabE.Flux[[#This Row],[LINHA]])</f>
        <v>45910+PAULO ENEAS FARIAS ARAUJO - 6218+GOIANIA (GO) X SAO LUIS (MA)</v>
      </c>
      <c r="G591" s="1" t="str">
        <f>_xlfn.CONCAT(tabE.Flux[[#This Row],[DATA]],"+",tabE.Flux[[#This Row],[LINHA]])</f>
        <v>45910+GOIANIA (GO) X SAO LUIS (MA)</v>
      </c>
      <c r="H591" s="125">
        <v>45910</v>
      </c>
      <c r="I591" s="1" t="s">
        <v>15</v>
      </c>
      <c r="J591" s="1">
        <v>24013</v>
      </c>
      <c r="K591" s="126">
        <v>0.8125</v>
      </c>
      <c r="L591" s="126">
        <v>0.84375</v>
      </c>
      <c r="M591" s="1" t="s">
        <v>16</v>
      </c>
      <c r="N591" s="1" t="s">
        <v>42</v>
      </c>
      <c r="O591" s="1" t="s">
        <v>112</v>
      </c>
      <c r="P591" s="1" t="s">
        <v>43</v>
      </c>
      <c r="Q591" s="1" t="s">
        <v>23</v>
      </c>
    </row>
    <row r="592" spans="3:17" x14ac:dyDescent="0.25">
      <c r="C592" s="1" t="str">
        <f>_xlfn.CONCAT(tabE.Flux[[#This Row],[DATA]],"+",tabE.Flux[[#This Row],[MOTORISTA + MATRÍCULA A]])</f>
        <v>45910+ANTONIO RAMIRO WEBER - 5452</v>
      </c>
      <c r="D592" s="1" t="str">
        <f>_xlfn.CONCAT(tabE.Flux[[#This Row],[DATA]],"+",tabE.Flux[[#This Row],[MOTORISTA + MATRÍCULA B]])</f>
        <v>45910+MARCIO DE SOUSA BRASILEIRO - 5828</v>
      </c>
      <c r="E592" s="1" t="str">
        <f>_xlfn.CONCAT(tabE.Flux[[#This Row],[DATA]],"+",tabE.Flux[[#This Row],[MOTORISTA + MATRÍCULA A]],"+",tabE.Flux[[#This Row],[LINHA]])</f>
        <v>45910+ANTONIO RAMIRO WEBER - 5452+GOIANIA (GO) X TERESINA (PI) VIA STI</v>
      </c>
      <c r="F592" s="1" t="str">
        <f>_xlfn.CONCAT(tabE.Flux[[#This Row],[DATA]],"+",tabE.Flux[[#This Row],[MOTORISTA + MATRÍCULA B]],"+",tabE.Flux[[#This Row],[LINHA]])</f>
        <v>45910+MARCIO DE SOUSA BRASILEIRO - 5828+GOIANIA (GO) X TERESINA (PI) VIA STI</v>
      </c>
      <c r="G592" s="1" t="str">
        <f>_xlfn.CONCAT(tabE.Flux[[#This Row],[DATA]],"+",tabE.Flux[[#This Row],[LINHA]])</f>
        <v>45910+GOIANIA (GO) X TERESINA (PI) VIA STI</v>
      </c>
      <c r="H592" s="125">
        <v>45910</v>
      </c>
      <c r="I592" s="1" t="s">
        <v>15</v>
      </c>
      <c r="J592" s="1">
        <v>19026</v>
      </c>
      <c r="K592" s="126">
        <v>0.77083333333333337</v>
      </c>
      <c r="L592" s="126">
        <v>0.79861111111111116</v>
      </c>
      <c r="M592" s="1" t="s">
        <v>16</v>
      </c>
      <c r="N592" s="1" t="s">
        <v>29</v>
      </c>
      <c r="O592" s="1" t="s">
        <v>79</v>
      </c>
      <c r="P592" s="1" t="s">
        <v>129</v>
      </c>
      <c r="Q592" s="1" t="s">
        <v>26</v>
      </c>
    </row>
    <row r="593" spans="3:17" x14ac:dyDescent="0.25">
      <c r="C593" s="1" t="str">
        <f>_xlfn.CONCAT(tabE.Flux[[#This Row],[DATA]],"+",tabE.Flux[[#This Row],[MOTORISTA + MATRÍCULA A]])</f>
        <v>45910+ANDSON WAGNER NASCIMENTO SOUZA - 2902</v>
      </c>
      <c r="D593" s="1" t="str">
        <f>_xlfn.CONCAT(tabE.Flux[[#This Row],[DATA]],"+",tabE.Flux[[#This Row],[MOTORISTA + MATRÍCULA B]])</f>
        <v>45910+RONALDO ADRIANO COSTA SANTOS - 5637</v>
      </c>
      <c r="E593" s="1" t="str">
        <f>_xlfn.CONCAT(tabE.Flux[[#This Row],[DATA]],"+",tabE.Flux[[#This Row],[MOTORISTA + MATRÍCULA A]],"+",tabE.Flux[[#This Row],[LINHA]])</f>
        <v>45910+ANDSON WAGNER NASCIMENTO SOUZA - 2902+GOIANIA (GO) X SAO LUIS (MA)</v>
      </c>
      <c r="F593" s="1" t="str">
        <f>_xlfn.CONCAT(tabE.Flux[[#This Row],[DATA]],"+",tabE.Flux[[#This Row],[MOTORISTA + MATRÍCULA B]],"+",tabE.Flux[[#This Row],[LINHA]])</f>
        <v>45910+RONALDO ADRIANO COSTA SANTOS - 5637+GOIANIA (GO) X SAO LUIS (MA)</v>
      </c>
      <c r="G593" s="1" t="str">
        <f>_xlfn.CONCAT(tabE.Flux[[#This Row],[DATA]],"+",tabE.Flux[[#This Row],[LINHA]])</f>
        <v>45910+GOIANIA (GO) X SAO LUIS (MA)</v>
      </c>
      <c r="H593" s="125">
        <v>45910</v>
      </c>
      <c r="I593" s="1" t="s">
        <v>15</v>
      </c>
      <c r="J593" s="1">
        <v>19013</v>
      </c>
      <c r="K593" s="126">
        <v>0.8125</v>
      </c>
      <c r="L593" s="126">
        <v>0.84166666666666667</v>
      </c>
      <c r="M593" s="1" t="s">
        <v>16</v>
      </c>
      <c r="N593" s="1" t="s">
        <v>17</v>
      </c>
      <c r="O593" s="1" t="s">
        <v>232</v>
      </c>
      <c r="P593" s="1" t="s">
        <v>41</v>
      </c>
      <c r="Q593" s="1" t="s">
        <v>23</v>
      </c>
    </row>
    <row r="594" spans="3:17" x14ac:dyDescent="0.25">
      <c r="C594" s="1" t="str">
        <f>_xlfn.CONCAT(tabE.Flux[[#This Row],[DATA]],"+",tabE.Flux[[#This Row],[MOTORISTA + MATRÍCULA A]])</f>
        <v>45910+JOAO FERREIRA COSTA - 5545</v>
      </c>
      <c r="D594" s="1" t="str">
        <f>_xlfn.CONCAT(tabE.Flux[[#This Row],[DATA]],"+",tabE.Flux[[#This Row],[MOTORISTA + MATRÍCULA B]])</f>
        <v>45910+JOSE ALVES DE FREITAS NETO - 5027</v>
      </c>
      <c r="E594" s="1" t="str">
        <f>_xlfn.CONCAT(tabE.Flux[[#This Row],[DATA]],"+",tabE.Flux[[#This Row],[MOTORISTA + MATRÍCULA A]],"+",tabE.Flux[[#This Row],[LINHA]])</f>
        <v>45910+JOAO FERREIRA COSTA - 5545+FORTALEZA (CE) X SINOP (MT)</v>
      </c>
      <c r="F594" s="1" t="str">
        <f>_xlfn.CONCAT(tabE.Flux[[#This Row],[DATA]],"+",tabE.Flux[[#This Row],[MOTORISTA + MATRÍCULA B]],"+",tabE.Flux[[#This Row],[LINHA]])</f>
        <v>45910+JOSE ALVES DE FREITAS NETO - 5027+FORTALEZA (CE) X SINOP (MT)</v>
      </c>
      <c r="G594" s="1" t="str">
        <f>_xlfn.CONCAT(tabE.Flux[[#This Row],[DATA]],"+",tabE.Flux[[#This Row],[LINHA]])</f>
        <v>45910+FORTALEZA (CE) X SINOP (MT)</v>
      </c>
      <c r="H594" s="125">
        <v>45910</v>
      </c>
      <c r="I594" s="1" t="s">
        <v>15</v>
      </c>
      <c r="J594" s="1">
        <v>19010</v>
      </c>
      <c r="K594" s="126">
        <v>0.8125</v>
      </c>
      <c r="L594" s="126">
        <v>0.85416666666666663</v>
      </c>
      <c r="M594" s="1" t="s">
        <v>16</v>
      </c>
      <c r="N594" s="1" t="s">
        <v>17</v>
      </c>
      <c r="O594" s="1" t="s">
        <v>61</v>
      </c>
      <c r="P594" s="1" t="s">
        <v>90</v>
      </c>
      <c r="Q594" s="1" t="s">
        <v>32</v>
      </c>
    </row>
    <row r="595" spans="3:17" x14ac:dyDescent="0.25">
      <c r="C595" s="1" t="str">
        <f>_xlfn.CONCAT(tabE.Flux[[#This Row],[DATA]],"+",tabE.Flux[[#This Row],[MOTORISTA + MATRÍCULA A]])</f>
        <v>45910+JOVENIR SOARES DE MATOS - 5173</v>
      </c>
      <c r="D595" s="1" t="str">
        <f>_xlfn.CONCAT(tabE.Flux[[#This Row],[DATA]],"+",tabE.Flux[[#This Row],[MOTORISTA + MATRÍCULA B]])</f>
        <v>45910+JOAO ANIVAIR DE QUEIROZ - 5608</v>
      </c>
      <c r="E595" s="1" t="str">
        <f>_xlfn.CONCAT(tabE.Flux[[#This Row],[DATA]],"+",tabE.Flux[[#This Row],[MOTORISTA + MATRÍCULA A]],"+",tabE.Flux[[#This Row],[LINHA]])</f>
        <v>45910+JOVENIR SOARES DE MATOS - 5173+GOIANIA (GO) X BELEM (PA)</v>
      </c>
      <c r="F595" s="1" t="str">
        <f>_xlfn.CONCAT(tabE.Flux[[#This Row],[DATA]],"+",tabE.Flux[[#This Row],[MOTORISTA + MATRÍCULA B]],"+",tabE.Flux[[#This Row],[LINHA]])</f>
        <v>45910+JOAO ANIVAIR DE QUEIROZ - 5608+GOIANIA (GO) X BELEM (PA)</v>
      </c>
      <c r="G595" s="1" t="str">
        <f>_xlfn.CONCAT(tabE.Flux[[#This Row],[DATA]],"+",tabE.Flux[[#This Row],[LINHA]])</f>
        <v>45910+GOIANIA (GO) X BELEM (PA)</v>
      </c>
      <c r="H595" s="125">
        <v>45910</v>
      </c>
      <c r="I595" s="1" t="s">
        <v>15</v>
      </c>
      <c r="J595" s="1">
        <v>19018</v>
      </c>
      <c r="K595" s="126">
        <v>0.84722222222222221</v>
      </c>
      <c r="L595" s="126">
        <v>0.87847222222222221</v>
      </c>
      <c r="M595" s="1" t="s">
        <v>16</v>
      </c>
      <c r="N595" s="1" t="s">
        <v>17</v>
      </c>
      <c r="O595" s="1" t="s">
        <v>246</v>
      </c>
      <c r="P595" s="1" t="s">
        <v>156</v>
      </c>
      <c r="Q595" s="1" t="s">
        <v>20</v>
      </c>
    </row>
    <row r="596" spans="3:17" x14ac:dyDescent="0.25">
      <c r="C596" s="1" t="str">
        <f>_xlfn.CONCAT(tabE.Flux[[#This Row],[DATA]],"+",tabE.Flux[[#This Row],[MOTORISTA + MATRÍCULA A]])</f>
        <v>+</v>
      </c>
      <c r="D596" s="1" t="str">
        <f>_xlfn.CONCAT(tabE.Flux[[#This Row],[DATA]],"+",tabE.Flux[[#This Row],[MOTORISTA + MATRÍCULA B]])</f>
        <v>+</v>
      </c>
      <c r="E596" s="1" t="str">
        <f>_xlfn.CONCAT(tabE.Flux[[#This Row],[DATA]],"+",tabE.Flux[[#This Row],[MOTORISTA + MATRÍCULA A]],"+",tabE.Flux[[#This Row],[LINHA]])</f>
        <v>++</v>
      </c>
      <c r="F596" s="1" t="str">
        <f>_xlfn.CONCAT(tabE.Flux[[#This Row],[DATA]],"+",tabE.Flux[[#This Row],[MOTORISTA + MATRÍCULA B]],"+",tabE.Flux[[#This Row],[LINHA]])</f>
        <v>++</v>
      </c>
      <c r="G596" s="1" t="str">
        <f>_xlfn.CONCAT(tabE.Flux[[#This Row],[DATA]],"+",tabE.Flux[[#This Row],[LINHA]])</f>
        <v>+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3:17" x14ac:dyDescent="0.25">
      <c r="C597" s="1" t="str">
        <f>_xlfn.CONCAT(tabE.Flux[[#This Row],[DATA]],"+",tabE.Flux[[#This Row],[MOTORISTA + MATRÍCULA A]])</f>
        <v>45911+GESMAR DE SOUZA - 574</v>
      </c>
      <c r="D597" s="1" t="str">
        <f>_xlfn.CONCAT(tabE.Flux[[#This Row],[DATA]],"+",tabE.Flux[[#This Row],[MOTORISTA + MATRÍCULA B]])</f>
        <v>45911+DELEY CARVALHO DE SOUZA - 5624</v>
      </c>
      <c r="E597" s="1" t="str">
        <f>_xlfn.CONCAT(tabE.Flux[[#This Row],[DATA]],"+",tabE.Flux[[#This Row],[MOTORISTA + MATRÍCULA A]],"+",tabE.Flux[[#This Row],[LINHA]])</f>
        <v>45911+GESMAR DE SOUZA - 574+GOIANIA (GO) X BELEM (PA)</v>
      </c>
      <c r="F597" s="1" t="str">
        <f>_xlfn.CONCAT(tabE.Flux[[#This Row],[DATA]],"+",tabE.Flux[[#This Row],[MOTORISTA + MATRÍCULA B]],"+",tabE.Flux[[#This Row],[LINHA]])</f>
        <v>45911+DELEY CARVALHO DE SOUZA - 5624+GOIANIA (GO) X BELEM (PA)</v>
      </c>
      <c r="G597" s="1" t="str">
        <f>_xlfn.CONCAT(tabE.Flux[[#This Row],[DATA]],"+",tabE.Flux[[#This Row],[LINHA]])</f>
        <v>45911+GOIANIA (GO) X BELEM (PA)</v>
      </c>
      <c r="H597" s="125">
        <v>45911</v>
      </c>
      <c r="I597" s="1" t="s">
        <v>15</v>
      </c>
      <c r="J597" s="1">
        <v>25011</v>
      </c>
      <c r="K597" s="126">
        <v>0.25486111111111109</v>
      </c>
      <c r="L597" s="126">
        <v>0.3</v>
      </c>
      <c r="M597" s="1" t="s">
        <v>16</v>
      </c>
      <c r="N597" s="1" t="s">
        <v>17</v>
      </c>
      <c r="O597" s="1" t="s">
        <v>21</v>
      </c>
      <c r="P597" s="1" t="s">
        <v>247</v>
      </c>
      <c r="Q597" s="1" t="s">
        <v>20</v>
      </c>
    </row>
    <row r="598" spans="3:17" x14ac:dyDescent="0.25">
      <c r="C598" s="1" t="str">
        <f>_xlfn.CONCAT(tabE.Flux[[#This Row],[DATA]],"+",tabE.Flux[[#This Row],[MOTORISTA + MATRÍCULA A]])</f>
        <v>45911+WALDIR DE ALMEIDA CORTE JUNIOR - 5960</v>
      </c>
      <c r="D598" s="1" t="str">
        <f>_xlfn.CONCAT(tabE.Flux[[#This Row],[DATA]],"+",tabE.Flux[[#This Row],[MOTORISTA + MATRÍCULA B]])</f>
        <v>45911+ALEF DA CRUZ VIEIRA - 5291</v>
      </c>
      <c r="E598" s="1" t="str">
        <f>_xlfn.CONCAT(tabE.Flux[[#This Row],[DATA]],"+",tabE.Flux[[#This Row],[MOTORISTA + MATRÍCULA A]],"+",tabE.Flux[[#This Row],[LINHA]])</f>
        <v>45911+WALDIR DE ALMEIDA CORTE JUNIOR - 5960+GOIANIA (GO) X SAO LUIS (MA)</v>
      </c>
      <c r="F598" s="1" t="str">
        <f>_xlfn.CONCAT(tabE.Flux[[#This Row],[DATA]],"+",tabE.Flux[[#This Row],[MOTORISTA + MATRÍCULA B]],"+",tabE.Flux[[#This Row],[LINHA]])</f>
        <v>45911+ALEF DA CRUZ VIEIRA - 5291+GOIANIA (GO) X SAO LUIS (MA)</v>
      </c>
      <c r="G598" s="1" t="str">
        <f>_xlfn.CONCAT(tabE.Flux[[#This Row],[DATA]],"+",tabE.Flux[[#This Row],[LINHA]])</f>
        <v>45911+GOIANIA (GO) X SAO LUIS (MA)</v>
      </c>
      <c r="H598" s="125">
        <v>45911</v>
      </c>
      <c r="I598" s="1" t="s">
        <v>15</v>
      </c>
      <c r="J598" s="1">
        <v>24001</v>
      </c>
      <c r="K598" s="126">
        <v>0.32291666666666669</v>
      </c>
      <c r="L598" s="126">
        <v>0.33333333333333331</v>
      </c>
      <c r="M598" s="1" t="s">
        <v>16</v>
      </c>
      <c r="N598" s="1" t="s">
        <v>17</v>
      </c>
      <c r="O598" s="1" t="s">
        <v>154</v>
      </c>
      <c r="P598" s="1" t="s">
        <v>248</v>
      </c>
      <c r="Q598" s="1" t="s">
        <v>23</v>
      </c>
    </row>
    <row r="599" spans="3:17" x14ac:dyDescent="0.25">
      <c r="C599" s="1" t="str">
        <f>_xlfn.CONCAT(tabE.Flux[[#This Row],[DATA]],"+",tabE.Flux[[#This Row],[MOTORISTA + MATRÍCULA A]])</f>
        <v>45911+TIAGO MARTINS BERNARDES - 5260</v>
      </c>
      <c r="D599" s="1" t="str">
        <f>_xlfn.CONCAT(tabE.Flux[[#This Row],[DATA]],"+",tabE.Flux[[#This Row],[MOTORISTA + MATRÍCULA B]])</f>
        <v>45911+ROBERTO PEREIRA DE MATOS - 5538</v>
      </c>
      <c r="E599" s="1" t="str">
        <f>_xlfn.CONCAT(tabE.Flux[[#This Row],[DATA]],"+",tabE.Flux[[#This Row],[MOTORISTA + MATRÍCULA A]],"+",tabE.Flux[[#This Row],[LINHA]])</f>
        <v>45911+TIAGO MARTINS BERNARDES - 5260+GOIANIA (GO) X TERESINA (PI) VIA STI</v>
      </c>
      <c r="F599" s="1" t="str">
        <f>_xlfn.CONCAT(tabE.Flux[[#This Row],[DATA]],"+",tabE.Flux[[#This Row],[MOTORISTA + MATRÍCULA B]],"+",tabE.Flux[[#This Row],[LINHA]])</f>
        <v>45911+ROBERTO PEREIRA DE MATOS - 5538+GOIANIA (GO) X TERESINA (PI) VIA STI</v>
      </c>
      <c r="G599" s="1" t="str">
        <f>_xlfn.CONCAT(tabE.Flux[[#This Row],[DATA]],"+",tabE.Flux[[#This Row],[LINHA]])</f>
        <v>45911+GOIANIA (GO) X TERESINA (PI) VIA STI</v>
      </c>
      <c r="H599" s="125">
        <v>45911</v>
      </c>
      <c r="I599" s="1" t="s">
        <v>15</v>
      </c>
      <c r="J599" s="1">
        <v>19016</v>
      </c>
      <c r="K599" s="126">
        <v>0.3888888888888889</v>
      </c>
      <c r="L599" s="126">
        <v>0.39583333333333331</v>
      </c>
      <c r="M599" s="1" t="s">
        <v>16</v>
      </c>
      <c r="N599" s="1" t="s">
        <v>17</v>
      </c>
      <c r="O599" s="1" t="s">
        <v>179</v>
      </c>
      <c r="P599" s="1" t="s">
        <v>180</v>
      </c>
      <c r="Q599" s="1" t="s">
        <v>26</v>
      </c>
    </row>
    <row r="600" spans="3:17" x14ac:dyDescent="0.25">
      <c r="C600" s="1" t="str">
        <f>_xlfn.CONCAT(tabE.Flux[[#This Row],[DATA]],"+",tabE.Flux[[#This Row],[MOTORISTA + MATRÍCULA A]])</f>
        <v>45911+CANCELADO</v>
      </c>
      <c r="D600" s="1" t="str">
        <f>_xlfn.CONCAT(tabE.Flux[[#This Row],[DATA]],"+",tabE.Flux[[#This Row],[MOTORISTA + MATRÍCULA B]])</f>
        <v>45911+CANCELADO</v>
      </c>
      <c r="E600" s="1" t="str">
        <f>_xlfn.CONCAT(tabE.Flux[[#This Row],[DATA]],"+",tabE.Flux[[#This Row],[MOTORISTA + MATRÍCULA A]],"+",tabE.Flux[[#This Row],[LINHA]])</f>
        <v>45911+CANCELADO+</v>
      </c>
      <c r="F600" s="1" t="str">
        <f>_xlfn.CONCAT(tabE.Flux[[#This Row],[DATA]],"+",tabE.Flux[[#This Row],[MOTORISTA + MATRÍCULA B]],"+",tabE.Flux[[#This Row],[LINHA]])</f>
        <v>45911+CANCELADO+</v>
      </c>
      <c r="G600" s="1" t="str">
        <f>_xlfn.CONCAT(tabE.Flux[[#This Row],[DATA]],"+",tabE.Flux[[#This Row],[LINHA]])</f>
        <v>45911+</v>
      </c>
      <c r="H600" s="125">
        <v>45911</v>
      </c>
      <c r="I600" s="1" t="s">
        <v>15</v>
      </c>
      <c r="J600" s="1" t="s">
        <v>27</v>
      </c>
      <c r="K600" s="126">
        <v>0.375</v>
      </c>
      <c r="L600" s="126">
        <v>0.41666666666666669</v>
      </c>
      <c r="M600" s="1" t="s">
        <v>16</v>
      </c>
      <c r="N600" s="1" t="s">
        <v>28</v>
      </c>
      <c r="O600" s="1" t="s">
        <v>27</v>
      </c>
      <c r="P600" s="1" t="s">
        <v>27</v>
      </c>
      <c r="Q600" s="1"/>
    </row>
    <row r="601" spans="3:17" x14ac:dyDescent="0.25">
      <c r="C601" s="1" t="str">
        <f>_xlfn.CONCAT(tabE.Flux[[#This Row],[DATA]],"+",tabE.Flux[[#This Row],[MOTORISTA + MATRÍCULA A]])</f>
        <v>45911+JERZUALDO DA SILVA GOMES - 4077</v>
      </c>
      <c r="D601" s="1" t="str">
        <f>_xlfn.CONCAT(tabE.Flux[[#This Row],[DATA]],"+",tabE.Flux[[#This Row],[MOTORISTA + MATRÍCULA B]])</f>
        <v>45911+PAULO MORAES DOS SANTOS - 1534</v>
      </c>
      <c r="E601" s="1" t="str">
        <f>_xlfn.CONCAT(tabE.Flux[[#This Row],[DATA]],"+",tabE.Flux[[#This Row],[MOTORISTA + MATRÍCULA A]],"+",tabE.Flux[[#This Row],[LINHA]])</f>
        <v>45911+JERZUALDO DA SILVA GOMES - 4077+FORTALEZA (CE) X SINOP (MT)</v>
      </c>
      <c r="F601" s="1" t="str">
        <f>_xlfn.CONCAT(tabE.Flux[[#This Row],[DATA]],"+",tabE.Flux[[#This Row],[MOTORISTA + MATRÍCULA B]],"+",tabE.Flux[[#This Row],[LINHA]])</f>
        <v>45911+PAULO MORAES DOS SANTOS - 1534+FORTALEZA (CE) X SINOP (MT)</v>
      </c>
      <c r="G601" s="1" t="str">
        <f>_xlfn.CONCAT(tabE.Flux[[#This Row],[DATA]],"+",tabE.Flux[[#This Row],[LINHA]])</f>
        <v>45911+FORTALEZA (CE) X SINOP (MT)</v>
      </c>
      <c r="H601" s="125">
        <v>45911</v>
      </c>
      <c r="I601" s="1" t="s">
        <v>15</v>
      </c>
      <c r="J601" s="1">
        <v>19022</v>
      </c>
      <c r="K601" s="126">
        <v>0.3888888888888889</v>
      </c>
      <c r="L601" s="126">
        <v>0.37708333333333333</v>
      </c>
      <c r="M601" s="1" t="s">
        <v>16</v>
      </c>
      <c r="N601" s="1" t="s">
        <v>29</v>
      </c>
      <c r="O601" s="1" t="s">
        <v>130</v>
      </c>
      <c r="P601" s="1" t="s">
        <v>225</v>
      </c>
      <c r="Q601" s="1" t="s">
        <v>32</v>
      </c>
    </row>
    <row r="602" spans="3:17" x14ac:dyDescent="0.25">
      <c r="C602" s="1" t="str">
        <f>_xlfn.CONCAT(tabE.Flux[[#This Row],[DATA]],"+",tabE.Flux[[#This Row],[MOTORISTA + MATRÍCULA A]])</f>
        <v>45911+LUIZ CARLOS MARIANO SIQUEIRA - 5634</v>
      </c>
      <c r="D602" s="1" t="str">
        <f>_xlfn.CONCAT(tabE.Flux[[#This Row],[DATA]],"+",tabE.Flux[[#This Row],[MOTORISTA + MATRÍCULA B]])</f>
        <v>45911+JEFFERSON CARDOSO DOS SANTOS - 5837</v>
      </c>
      <c r="E602" s="1" t="str">
        <f>_xlfn.CONCAT(tabE.Flux[[#This Row],[DATA]],"+",tabE.Flux[[#This Row],[MOTORISTA + MATRÍCULA A]],"+",tabE.Flux[[#This Row],[LINHA]])</f>
        <v>45911+LUIZ CARLOS MARIANO SIQUEIRA - 5634+GOIANIA (GO) X BELEM (PA)</v>
      </c>
      <c r="F602" s="1" t="str">
        <f>_xlfn.CONCAT(tabE.Flux[[#This Row],[DATA]],"+",tabE.Flux[[#This Row],[MOTORISTA + MATRÍCULA B]],"+",tabE.Flux[[#This Row],[LINHA]])</f>
        <v>45911+JEFFERSON CARDOSO DOS SANTOS - 5837+GOIANIA (GO) X BELEM (PA)</v>
      </c>
      <c r="G602" s="1" t="str">
        <f>_xlfn.CONCAT(tabE.Flux[[#This Row],[DATA]],"+",tabE.Flux[[#This Row],[LINHA]])</f>
        <v>45911+GOIANIA (GO) X BELEM (PA)</v>
      </c>
      <c r="H602" s="125">
        <v>45911</v>
      </c>
      <c r="I602" s="1" t="s">
        <v>15</v>
      </c>
      <c r="J602" s="1">
        <v>19009</v>
      </c>
      <c r="K602" s="126">
        <v>0.38958333333333334</v>
      </c>
      <c r="L602" s="126">
        <v>0.38541666666666669</v>
      </c>
      <c r="M602" s="1" t="s">
        <v>16</v>
      </c>
      <c r="N602" s="1" t="s">
        <v>33</v>
      </c>
      <c r="O602" s="1" t="s">
        <v>51</v>
      </c>
      <c r="P602" s="1" t="s">
        <v>30</v>
      </c>
      <c r="Q602" s="1" t="s">
        <v>20</v>
      </c>
    </row>
    <row r="603" spans="3:17" x14ac:dyDescent="0.25">
      <c r="C603" s="1" t="str">
        <f>_xlfn.CONCAT(tabE.Flux[[#This Row],[DATA]],"+",tabE.Flux[[#This Row],[MOTORISTA + MATRÍCULA A]])</f>
        <v>45911+JWEBISON DE BRITO SOUZA - 2999</v>
      </c>
      <c r="D603" s="1" t="str">
        <f>_xlfn.CONCAT(tabE.Flux[[#This Row],[DATA]],"+",tabE.Flux[[#This Row],[MOTORISTA + MATRÍCULA B]])</f>
        <v>45911+JOAO FLAVIO DE SOUSA SILVA - 5270</v>
      </c>
      <c r="E603" s="1" t="str">
        <f>_xlfn.CONCAT(tabE.Flux[[#This Row],[DATA]],"+",tabE.Flux[[#This Row],[MOTORISTA + MATRÍCULA A]],"+",tabE.Flux[[#This Row],[LINHA]])</f>
        <v>45911+JWEBISON DE BRITO SOUZA - 2999+GOIANIA (GO) X TERESINA (PI) VIA BC</v>
      </c>
      <c r="F603" s="1" t="str">
        <f>_xlfn.CONCAT(tabE.Flux[[#This Row],[DATA]],"+",tabE.Flux[[#This Row],[MOTORISTA + MATRÍCULA B]],"+",tabE.Flux[[#This Row],[LINHA]])</f>
        <v>45911+JOAO FLAVIO DE SOUSA SILVA - 5270+GOIANIA (GO) X TERESINA (PI) VIA BC</v>
      </c>
      <c r="G603" s="1" t="str">
        <f>_xlfn.CONCAT(tabE.Flux[[#This Row],[DATA]],"+",tabE.Flux[[#This Row],[LINHA]])</f>
        <v>45911+GOIANIA (GO) X TERESINA (PI) VIA BC</v>
      </c>
      <c r="H603" s="125">
        <v>45911</v>
      </c>
      <c r="I603" s="1" t="s">
        <v>15</v>
      </c>
      <c r="J603" s="1">
        <v>25007</v>
      </c>
      <c r="K603" s="126">
        <v>0.375</v>
      </c>
      <c r="L603" s="126">
        <v>0.39930555555555558</v>
      </c>
      <c r="M603" s="1" t="s">
        <v>36</v>
      </c>
      <c r="N603" s="1" t="s">
        <v>29</v>
      </c>
      <c r="O603" s="1" t="s">
        <v>77</v>
      </c>
      <c r="P603" s="1" t="s">
        <v>222</v>
      </c>
      <c r="Q603" s="1" t="s">
        <v>39</v>
      </c>
    </row>
    <row r="604" spans="3:17" x14ac:dyDescent="0.25">
      <c r="C604" s="1" t="str">
        <f>_xlfn.CONCAT(tabE.Flux[[#This Row],[DATA]],"+",tabE.Flux[[#This Row],[MOTORISTA + MATRÍCULA A]])</f>
        <v>45911+CANCELADO</v>
      </c>
      <c r="D604" s="1" t="str">
        <f>_xlfn.CONCAT(tabE.Flux[[#This Row],[DATA]],"+",tabE.Flux[[#This Row],[MOTORISTA + MATRÍCULA B]])</f>
        <v>45911+CANCELADO</v>
      </c>
      <c r="E604" s="1" t="str">
        <f>_xlfn.CONCAT(tabE.Flux[[#This Row],[DATA]],"+",tabE.Flux[[#This Row],[MOTORISTA + MATRÍCULA A]],"+",tabE.Flux[[#This Row],[LINHA]])</f>
        <v>45911+CANCELADO+GOIANIA (GO) X BELEM (PA)</v>
      </c>
      <c r="F604" s="1" t="str">
        <f>_xlfn.CONCAT(tabE.Flux[[#This Row],[DATA]],"+",tabE.Flux[[#This Row],[MOTORISTA + MATRÍCULA B]],"+",tabE.Flux[[#This Row],[LINHA]])</f>
        <v>45911+CANCELADO+GOIANIA (GO) X BELEM (PA)</v>
      </c>
      <c r="G604" s="1" t="str">
        <f>_xlfn.CONCAT(tabE.Flux[[#This Row],[DATA]],"+",tabE.Flux[[#This Row],[LINHA]])</f>
        <v>45911+GOIANIA (GO) X BELEM (PA)</v>
      </c>
      <c r="H604" s="125">
        <v>45911</v>
      </c>
      <c r="I604" s="1" t="s">
        <v>15</v>
      </c>
      <c r="J604" s="1" t="s">
        <v>27</v>
      </c>
      <c r="K604" s="126">
        <v>0.375</v>
      </c>
      <c r="L604" s="126">
        <v>0.41666666666666669</v>
      </c>
      <c r="M604" s="1" t="s">
        <v>33</v>
      </c>
      <c r="N604" s="1" t="s">
        <v>16</v>
      </c>
      <c r="O604" s="1" t="s">
        <v>27</v>
      </c>
      <c r="P604" s="1" t="s">
        <v>27</v>
      </c>
      <c r="Q604" s="1" t="s">
        <v>20</v>
      </c>
    </row>
    <row r="605" spans="3:17" x14ac:dyDescent="0.25">
      <c r="C605" s="1" t="str">
        <f>_xlfn.CONCAT(tabE.Flux[[#This Row],[DATA]],"+",tabE.Flux[[#This Row],[MOTORISTA + MATRÍCULA A]])</f>
        <v>45911+ALTEMAR DO NASCIMENTO LIMA - 6225</v>
      </c>
      <c r="D605" s="1" t="str">
        <f>_xlfn.CONCAT(tabE.Flux[[#This Row],[DATA]],"+",tabE.Flux[[#This Row],[MOTORISTA + MATRÍCULA B]])</f>
        <v>45911+ANDRE SOUSA REIS - 2644</v>
      </c>
      <c r="E605" s="1" t="str">
        <f>_xlfn.CONCAT(tabE.Flux[[#This Row],[DATA]],"+",tabE.Flux[[#This Row],[MOTORISTA + MATRÍCULA A]],"+",tabE.Flux[[#This Row],[LINHA]])</f>
        <v>45911+ALTEMAR DO NASCIMENTO LIMA - 6225+GOIANIA (GO) X SAO LUIS (MA)</v>
      </c>
      <c r="F605" s="1" t="str">
        <f>_xlfn.CONCAT(tabE.Flux[[#This Row],[DATA]],"+",tabE.Flux[[#This Row],[MOTORISTA + MATRÍCULA B]],"+",tabE.Flux[[#This Row],[LINHA]])</f>
        <v>45911+ANDRE SOUSA REIS - 2644+GOIANIA (GO) X SAO LUIS (MA)</v>
      </c>
      <c r="G605" s="1" t="str">
        <f>_xlfn.CONCAT(tabE.Flux[[#This Row],[DATA]],"+",tabE.Flux[[#This Row],[LINHA]])</f>
        <v>45911+GOIANIA (GO) X SAO LUIS (MA)</v>
      </c>
      <c r="H605" s="125">
        <v>45911</v>
      </c>
      <c r="I605" s="1" t="s">
        <v>15</v>
      </c>
      <c r="J605" s="1">
        <v>19019</v>
      </c>
      <c r="K605" s="126">
        <v>0.25</v>
      </c>
      <c r="L605" s="126">
        <v>0.29166666666666669</v>
      </c>
      <c r="M605" s="1" t="s">
        <v>42</v>
      </c>
      <c r="N605" s="1" t="s">
        <v>16</v>
      </c>
      <c r="O605" s="1" t="s">
        <v>57</v>
      </c>
      <c r="P605" s="1" t="s">
        <v>63</v>
      </c>
      <c r="Q605" s="1" t="s">
        <v>23</v>
      </c>
    </row>
    <row r="606" spans="3:17" x14ac:dyDescent="0.25">
      <c r="C606" s="1" t="str">
        <f>_xlfn.CONCAT(tabE.Flux[[#This Row],[DATA]],"+",tabE.Flux[[#This Row],[MOTORISTA + MATRÍCULA A]])</f>
        <v>45911+CARLOS ADRIANO DE SOUZA DO NASCIMENTO - 6222</v>
      </c>
      <c r="D606" s="1" t="str">
        <f>_xlfn.CONCAT(tabE.Flux[[#This Row],[DATA]],"+",tabE.Flux[[#This Row],[MOTORISTA + MATRÍCULA B]])</f>
        <v>45911+WESLEY SILVA PAIVA - 5638</v>
      </c>
      <c r="E606" s="1" t="str">
        <f>_xlfn.CONCAT(tabE.Flux[[#This Row],[DATA]],"+",tabE.Flux[[#This Row],[MOTORISTA + MATRÍCULA A]],"+",tabE.Flux[[#This Row],[LINHA]])</f>
        <v>45911+CARLOS ADRIANO DE SOUZA DO NASCIMENTO - 6222+GOIANIA (GO) X SAO LUIS (MA)</v>
      </c>
      <c r="F606" s="1" t="str">
        <f>_xlfn.CONCAT(tabE.Flux[[#This Row],[DATA]],"+",tabE.Flux[[#This Row],[MOTORISTA + MATRÍCULA B]],"+",tabE.Flux[[#This Row],[LINHA]])</f>
        <v>45911+WESLEY SILVA PAIVA - 5638+GOIANIA (GO) X SAO LUIS (MA)</v>
      </c>
      <c r="G606" s="1" t="str">
        <f>_xlfn.CONCAT(tabE.Flux[[#This Row],[DATA]],"+",tabE.Flux[[#This Row],[LINHA]])</f>
        <v>45911+GOIANIA (GO) X SAO LUIS (MA)</v>
      </c>
      <c r="H606" s="125">
        <v>45911</v>
      </c>
      <c r="I606" s="1" t="s">
        <v>15</v>
      </c>
      <c r="J606" s="1">
        <v>24013</v>
      </c>
      <c r="K606" s="126">
        <v>0.75</v>
      </c>
      <c r="L606" s="126">
        <v>0.79166666666666663</v>
      </c>
      <c r="M606" s="1" t="s">
        <v>42</v>
      </c>
      <c r="N606" s="1" t="s">
        <v>16</v>
      </c>
      <c r="O606" s="1" t="s">
        <v>110</v>
      </c>
      <c r="P606" s="1" t="s">
        <v>112</v>
      </c>
      <c r="Q606" s="1" t="s">
        <v>23</v>
      </c>
    </row>
    <row r="607" spans="3:17" x14ac:dyDescent="0.25">
      <c r="C607" s="1" t="str">
        <f>_xlfn.CONCAT(tabE.Flux[[#This Row],[DATA]],"+",tabE.Flux[[#This Row],[MOTORISTA + MATRÍCULA A]])</f>
        <v>45911+CANCELADO</v>
      </c>
      <c r="D607" s="1" t="str">
        <f>_xlfn.CONCAT(tabE.Flux[[#This Row],[DATA]],"+",tabE.Flux[[#This Row],[MOTORISTA + MATRÍCULA B]])</f>
        <v>45911+CANCELADO</v>
      </c>
      <c r="E607" s="1" t="str">
        <f>_xlfn.CONCAT(tabE.Flux[[#This Row],[DATA]],"+",tabE.Flux[[#This Row],[MOTORISTA + MATRÍCULA A]],"+",tabE.Flux[[#This Row],[LINHA]])</f>
        <v>45911+CANCELADO+IMPERATRIZ (MA) X SÃO LUIS (MA)</v>
      </c>
      <c r="F607" s="1" t="str">
        <f>_xlfn.CONCAT(tabE.Flux[[#This Row],[DATA]],"+",tabE.Flux[[#This Row],[MOTORISTA + MATRÍCULA B]],"+",tabE.Flux[[#This Row],[LINHA]])</f>
        <v>45911+CANCELADO+IMPERATRIZ (MA) X SÃO LUIS (MA)</v>
      </c>
      <c r="G607" s="1" t="str">
        <f>_xlfn.CONCAT(tabE.Flux[[#This Row],[DATA]],"+",tabE.Flux[[#This Row],[LINHA]])</f>
        <v>45911+IMPERATRIZ (MA) X SÃO LUIS (MA)</v>
      </c>
      <c r="H607" s="125">
        <v>45911</v>
      </c>
      <c r="I607" s="1" t="s">
        <v>15</v>
      </c>
      <c r="J607" s="1" t="s">
        <v>27</v>
      </c>
      <c r="K607" s="126">
        <v>0.77083333333333337</v>
      </c>
      <c r="L607" s="126">
        <v>0.79513888888888884</v>
      </c>
      <c r="M607" s="1" t="s">
        <v>42</v>
      </c>
      <c r="N607" s="1" t="s">
        <v>16</v>
      </c>
      <c r="O607" s="1" t="s">
        <v>27</v>
      </c>
      <c r="P607" s="1" t="s">
        <v>27</v>
      </c>
      <c r="Q607" s="1" t="s">
        <v>47</v>
      </c>
    </row>
    <row r="608" spans="3:17" x14ac:dyDescent="0.25">
      <c r="C608" s="1" t="str">
        <f>_xlfn.CONCAT(tabE.Flux[[#This Row],[DATA]],"+",tabE.Flux[[#This Row],[MOTORISTA + MATRÍCULA A]])</f>
        <v>45911+EURIPEDES BARSANULFO DIAS ROSA - 1951</v>
      </c>
      <c r="D608" s="1" t="str">
        <f>_xlfn.CONCAT(tabE.Flux[[#This Row],[DATA]],"+",tabE.Flux[[#This Row],[MOTORISTA + MATRÍCULA B]])</f>
        <v>45911+  NEIRIVAL MOREIRA PINTO- 5432</v>
      </c>
      <c r="E608" s="1" t="str">
        <f>_xlfn.CONCAT(tabE.Flux[[#This Row],[DATA]],"+",tabE.Flux[[#This Row],[MOTORISTA + MATRÍCULA A]],"+",tabE.Flux[[#This Row],[LINHA]])</f>
        <v>45911+EURIPEDES BARSANULFO DIAS ROSA - 1951+GOIANIA (GO) X TERESINA (PI) VIA BC</v>
      </c>
      <c r="F608" s="1" t="str">
        <f>_xlfn.CONCAT(tabE.Flux[[#This Row],[DATA]],"+",tabE.Flux[[#This Row],[MOTORISTA + MATRÍCULA B]],"+",tabE.Flux[[#This Row],[LINHA]])</f>
        <v>45911+  NEIRIVAL MOREIRA PINTO- 5432+GOIANIA (GO) X TERESINA (PI) VIA BC</v>
      </c>
      <c r="G608" s="1" t="str">
        <f>_xlfn.CONCAT(tabE.Flux[[#This Row],[DATA]],"+",tabE.Flux[[#This Row],[LINHA]])</f>
        <v>45911+GOIANIA (GO) X TERESINA (PI) VIA BC</v>
      </c>
      <c r="H608" s="125">
        <v>45911</v>
      </c>
      <c r="I608" s="1" t="s">
        <v>15</v>
      </c>
      <c r="J608" s="1">
        <v>24009</v>
      </c>
      <c r="K608" s="126">
        <v>0.89583333333333337</v>
      </c>
      <c r="L608" s="126">
        <v>0.91666666666666663</v>
      </c>
      <c r="M608" s="1" t="s">
        <v>36</v>
      </c>
      <c r="N608" s="1" t="s">
        <v>17</v>
      </c>
      <c r="O608" s="1" t="s">
        <v>227</v>
      </c>
      <c r="P608" s="1" t="s">
        <v>192</v>
      </c>
      <c r="Q608" s="1" t="s">
        <v>39</v>
      </c>
    </row>
    <row r="609" spans="3:17" x14ac:dyDescent="0.25">
      <c r="C609" s="1" t="str">
        <f>_xlfn.CONCAT(tabE.Flux[[#This Row],[DATA]],"+",tabE.Flux[[#This Row],[MOTORISTA + MATRÍCULA A]])</f>
        <v>45911+REGINALDO DE SOUSA OLIVEIRA - 5412</v>
      </c>
      <c r="D609" s="1" t="str">
        <f>_xlfn.CONCAT(tabE.Flux[[#This Row],[DATA]],"+",tabE.Flux[[#This Row],[MOTORISTA + MATRÍCULA B]])</f>
        <v>45911+MANOEL MESSIAS SILVA DOS SANTOS - 1833</v>
      </c>
      <c r="E609" s="1" t="str">
        <f>_xlfn.CONCAT(tabE.Flux[[#This Row],[DATA]],"+",tabE.Flux[[#This Row],[MOTORISTA + MATRÍCULA A]],"+",tabE.Flux[[#This Row],[LINHA]])</f>
        <v>45911+REGINALDO DE SOUSA OLIVEIRA - 5412+GOIANIA (GO) X BELEM (PA)</v>
      </c>
      <c r="F609" s="1" t="str">
        <f>_xlfn.CONCAT(tabE.Flux[[#This Row],[DATA]],"+",tabE.Flux[[#This Row],[MOTORISTA + MATRÍCULA B]],"+",tabE.Flux[[#This Row],[LINHA]])</f>
        <v>45911+MANOEL MESSIAS SILVA DOS SANTOS - 1833+GOIANIA (GO) X BELEM (PA)</v>
      </c>
      <c r="G609" s="1" t="str">
        <f>_xlfn.CONCAT(tabE.Flux[[#This Row],[DATA]],"+",tabE.Flux[[#This Row],[LINHA]])</f>
        <v>45911+GOIANIA (GO) X BELEM (PA)</v>
      </c>
      <c r="H609" s="125">
        <v>45911</v>
      </c>
      <c r="I609" s="1" t="s">
        <v>15</v>
      </c>
      <c r="J609" s="1">
        <v>24010</v>
      </c>
      <c r="K609" s="126">
        <v>0.76041666666666663</v>
      </c>
      <c r="L609" s="126">
        <v>0.77083333333333337</v>
      </c>
      <c r="M609" s="1" t="s">
        <v>33</v>
      </c>
      <c r="N609" s="1" t="s">
        <v>16</v>
      </c>
      <c r="O609" s="1" t="s">
        <v>239</v>
      </c>
      <c r="P609" s="1" t="s">
        <v>173</v>
      </c>
      <c r="Q609" s="1" t="s">
        <v>20</v>
      </c>
    </row>
    <row r="610" spans="3:17" x14ac:dyDescent="0.25">
      <c r="C610" s="1" t="str">
        <f>_xlfn.CONCAT(tabE.Flux[[#This Row],[DATA]],"+",tabE.Flux[[#This Row],[MOTORISTA + MATRÍCULA A]])</f>
        <v>45911+KLEBER OLIVEIRA LIMA - 5849</v>
      </c>
      <c r="D610" s="1" t="str">
        <f>_xlfn.CONCAT(tabE.Flux[[#This Row],[DATA]],"+",tabE.Flux[[#This Row],[MOTORISTA + MATRÍCULA B]])</f>
        <v>45911+ANTONIO MARCIO DE SENA RIBEIRO CHAVES - 5061</v>
      </c>
      <c r="E610" s="1" t="str">
        <f>_xlfn.CONCAT(tabE.Flux[[#This Row],[DATA]],"+",tabE.Flux[[#This Row],[MOTORISTA + MATRÍCULA A]],"+",tabE.Flux[[#This Row],[LINHA]])</f>
        <v>45911+KLEBER OLIVEIRA LIMA - 5849+GOIANIA (GO) X BELEM (PA)</v>
      </c>
      <c r="F610" s="1" t="str">
        <f>_xlfn.CONCAT(tabE.Flux[[#This Row],[DATA]],"+",tabE.Flux[[#This Row],[MOTORISTA + MATRÍCULA B]],"+",tabE.Flux[[#This Row],[LINHA]])</f>
        <v>45911+ANTONIO MARCIO DE SENA RIBEIRO CHAVES - 5061+GOIANIA (GO) X BELEM (PA)</v>
      </c>
      <c r="G610" s="1" t="str">
        <f>_xlfn.CONCAT(tabE.Flux[[#This Row],[DATA]],"+",tabE.Flux[[#This Row],[LINHA]])</f>
        <v>45911+GOIANIA (GO) X BELEM (PA)</v>
      </c>
      <c r="H610" s="125">
        <v>45911</v>
      </c>
      <c r="I610" s="1" t="s">
        <v>15</v>
      </c>
      <c r="J610" s="1">
        <v>24016</v>
      </c>
      <c r="K610" s="126">
        <v>0.76041666666666663</v>
      </c>
      <c r="L610" s="126">
        <v>0.82777777777777772</v>
      </c>
      <c r="M610" s="1" t="s">
        <v>16</v>
      </c>
      <c r="N610" s="1" t="s">
        <v>33</v>
      </c>
      <c r="O610" s="1" t="s">
        <v>102</v>
      </c>
      <c r="P610" s="1" t="s">
        <v>235</v>
      </c>
      <c r="Q610" s="1" t="s">
        <v>20</v>
      </c>
    </row>
    <row r="611" spans="3:17" x14ac:dyDescent="0.25">
      <c r="C611" s="1" t="str">
        <f>_xlfn.CONCAT(tabE.Flux[[#This Row],[DATA]],"+",tabE.Flux[[#This Row],[MOTORISTA + MATRÍCULA A]])</f>
        <v>45911+AELSON PEREIRA DO NASCIMENTO - 5682</v>
      </c>
      <c r="D611" s="1" t="str">
        <f>_xlfn.CONCAT(tabE.Flux[[#This Row],[DATA]],"+",tabE.Flux[[#This Row],[MOTORISTA + MATRÍCULA B]])</f>
        <v>45911+RAIMUNDO COSTA SILVA - 6226</v>
      </c>
      <c r="E611" s="1" t="str">
        <f>_xlfn.CONCAT(tabE.Flux[[#This Row],[DATA]],"+",tabE.Flux[[#This Row],[MOTORISTA + MATRÍCULA A]],"+",tabE.Flux[[#This Row],[LINHA]])</f>
        <v>45911+AELSON PEREIRA DO NASCIMENTO - 5682+GOIANIA (GO) X SAO LUIS (MA)</v>
      </c>
      <c r="F611" s="1" t="str">
        <f>_xlfn.CONCAT(tabE.Flux[[#This Row],[DATA]],"+",tabE.Flux[[#This Row],[MOTORISTA + MATRÍCULA B]],"+",tabE.Flux[[#This Row],[LINHA]])</f>
        <v>45911+RAIMUNDO COSTA SILVA - 6226+GOIANIA (GO) X SAO LUIS (MA)</v>
      </c>
      <c r="G611" s="1" t="str">
        <f>_xlfn.CONCAT(tabE.Flux[[#This Row],[DATA]],"+",tabE.Flux[[#This Row],[LINHA]])</f>
        <v>45911+GOIANIA (GO) X SAO LUIS (MA)</v>
      </c>
      <c r="H611" s="125">
        <v>45911</v>
      </c>
      <c r="I611" s="1" t="s">
        <v>15</v>
      </c>
      <c r="J611" s="1">
        <v>20017</v>
      </c>
      <c r="K611" s="126">
        <v>0.40763888888888888</v>
      </c>
      <c r="L611" s="126">
        <v>0.47013888888888888</v>
      </c>
      <c r="M611" s="1" t="s">
        <v>16</v>
      </c>
      <c r="N611" s="1" t="s">
        <v>42</v>
      </c>
      <c r="O611" s="1" t="s">
        <v>88</v>
      </c>
      <c r="P611" s="1" t="s">
        <v>45</v>
      </c>
      <c r="Q611" s="1" t="s">
        <v>23</v>
      </c>
    </row>
    <row r="612" spans="3:17" x14ac:dyDescent="0.25">
      <c r="C612" s="1" t="str">
        <f>_xlfn.CONCAT(tabE.Flux[[#This Row],[DATA]],"+",tabE.Flux[[#This Row],[MOTORISTA + MATRÍCULA A]])</f>
        <v>45911+CANCELADO</v>
      </c>
      <c r="D612" s="1" t="str">
        <f>_xlfn.CONCAT(tabE.Flux[[#This Row],[DATA]],"+",tabE.Flux[[#This Row],[MOTORISTA + MATRÍCULA B]])</f>
        <v>45911+CANCELADO</v>
      </c>
      <c r="E612" s="1" t="str">
        <f>_xlfn.CONCAT(tabE.Flux[[#This Row],[DATA]],"+",tabE.Flux[[#This Row],[MOTORISTA + MATRÍCULA A]],"+",tabE.Flux[[#This Row],[LINHA]])</f>
        <v>45911+CANCELADO+IMPERATRIZ (MA) X SÃO LUIS (MA)</v>
      </c>
      <c r="F612" s="1" t="str">
        <f>_xlfn.CONCAT(tabE.Flux[[#This Row],[DATA]],"+",tabE.Flux[[#This Row],[MOTORISTA + MATRÍCULA B]],"+",tabE.Flux[[#This Row],[LINHA]])</f>
        <v>45911+CANCELADO+IMPERATRIZ (MA) X SÃO LUIS (MA)</v>
      </c>
      <c r="G612" s="1" t="str">
        <f>_xlfn.CONCAT(tabE.Flux[[#This Row],[DATA]],"+",tabE.Flux[[#This Row],[LINHA]])</f>
        <v>45911+IMPERATRIZ (MA) X SÃO LUIS (MA)</v>
      </c>
      <c r="H612" s="125">
        <v>45911</v>
      </c>
      <c r="I612" s="1" t="s">
        <v>15</v>
      </c>
      <c r="J612" s="1" t="s">
        <v>27</v>
      </c>
      <c r="K612" s="126">
        <v>0.77083333333333337</v>
      </c>
      <c r="L612" s="126">
        <v>0.8125</v>
      </c>
      <c r="M612" s="1" t="s">
        <v>16</v>
      </c>
      <c r="N612" s="1" t="s">
        <v>42</v>
      </c>
      <c r="O612" s="1" t="s">
        <v>27</v>
      </c>
      <c r="P612" s="1" t="s">
        <v>27</v>
      </c>
      <c r="Q612" s="1" t="s">
        <v>47</v>
      </c>
    </row>
    <row r="613" spans="3:17" x14ac:dyDescent="0.25">
      <c r="C613" s="1" t="str">
        <f>_xlfn.CONCAT(tabE.Flux[[#This Row],[DATA]],"+",tabE.Flux[[#This Row],[MOTORISTA + MATRÍCULA A]])</f>
        <v>45911+RICHARD SOUSA DA SILVA - 1271</v>
      </c>
      <c r="D613" s="1" t="str">
        <f>_xlfn.CONCAT(tabE.Flux[[#This Row],[DATA]],"+",tabE.Flux[[#This Row],[MOTORISTA + MATRÍCULA B]])</f>
        <v>45911+ALTEMAR DO NASCIMENTO LIMA - 6225</v>
      </c>
      <c r="E613" s="1" t="str">
        <f>_xlfn.CONCAT(tabE.Flux[[#This Row],[DATA]],"+",tabE.Flux[[#This Row],[MOTORISTA + MATRÍCULA A]],"+",tabE.Flux[[#This Row],[LINHA]])</f>
        <v>45911+RICHARD SOUSA DA SILVA - 1271+GOIANIA (GO) X SAO LUIS (MA)</v>
      </c>
      <c r="F613" s="1" t="str">
        <f>_xlfn.CONCAT(tabE.Flux[[#This Row],[DATA]],"+",tabE.Flux[[#This Row],[MOTORISTA + MATRÍCULA B]],"+",tabE.Flux[[#This Row],[LINHA]])</f>
        <v>45911+ALTEMAR DO NASCIMENTO LIMA - 6225+GOIANIA (GO) X SAO LUIS (MA)</v>
      </c>
      <c r="G613" s="1" t="str">
        <f>_xlfn.CONCAT(tabE.Flux[[#This Row],[DATA]],"+",tabE.Flux[[#This Row],[LINHA]])</f>
        <v>45911+GOIANIA (GO) X SAO LUIS (MA)</v>
      </c>
      <c r="H613" s="125">
        <v>45911</v>
      </c>
      <c r="I613" s="1" t="s">
        <v>15</v>
      </c>
      <c r="J613" s="1">
        <v>24012</v>
      </c>
      <c r="K613" s="126">
        <v>0.8125</v>
      </c>
      <c r="L613" s="126">
        <v>0.84375</v>
      </c>
      <c r="M613" s="1" t="s">
        <v>16</v>
      </c>
      <c r="N613" s="1" t="s">
        <v>42</v>
      </c>
      <c r="O613" s="1" t="s">
        <v>56</v>
      </c>
      <c r="P613" s="1" t="s">
        <v>57</v>
      </c>
      <c r="Q613" s="1" t="s">
        <v>23</v>
      </c>
    </row>
    <row r="614" spans="3:17" x14ac:dyDescent="0.25">
      <c r="C614" s="1" t="str">
        <f>_xlfn.CONCAT(tabE.Flux[[#This Row],[DATA]],"+",tabE.Flux[[#This Row],[MOTORISTA + MATRÍCULA A]])</f>
        <v>45911+JARDEL DE SOUSA OLIVEIRA - 5992</v>
      </c>
      <c r="D614" s="1" t="str">
        <f>_xlfn.CONCAT(tabE.Flux[[#This Row],[DATA]],"+",tabE.Flux[[#This Row],[MOTORISTA + MATRÍCULA B]])</f>
        <v>45911+</v>
      </c>
      <c r="E614" s="1" t="str">
        <f>_xlfn.CONCAT(tabE.Flux[[#This Row],[DATA]],"+",tabE.Flux[[#This Row],[MOTORISTA + MATRÍCULA A]],"+",tabE.Flux[[#This Row],[LINHA]])</f>
        <v>45911+JARDEL DE SOUSA OLIVEIRA - 5992+GOIANIA (GO) X TERESINA (PI) VIA STI</v>
      </c>
      <c r="F614" s="1" t="str">
        <f>_xlfn.CONCAT(tabE.Flux[[#This Row],[DATA]],"+",tabE.Flux[[#This Row],[MOTORISTA + MATRÍCULA B]],"+",tabE.Flux[[#This Row],[LINHA]])</f>
        <v>45911++GOIANIA (GO) X TERESINA (PI) VIA STI</v>
      </c>
      <c r="G614" s="1" t="str">
        <f>_xlfn.CONCAT(tabE.Flux[[#This Row],[DATA]],"+",tabE.Flux[[#This Row],[LINHA]])</f>
        <v>45911+GOIANIA (GO) X TERESINA (PI) VIA STI</v>
      </c>
      <c r="H614" s="125">
        <v>45911</v>
      </c>
      <c r="I614" s="1" t="s">
        <v>15</v>
      </c>
      <c r="J614" s="1">
        <v>17600</v>
      </c>
      <c r="K614" s="126">
        <v>0.77083333333333337</v>
      </c>
      <c r="L614" s="126">
        <v>0.79861111111111116</v>
      </c>
      <c r="M614" s="1" t="s">
        <v>16</v>
      </c>
      <c r="N614" s="1" t="s">
        <v>29</v>
      </c>
      <c r="O614" s="1" t="s">
        <v>150</v>
      </c>
      <c r="P614" s="1"/>
      <c r="Q614" s="1" t="s">
        <v>26</v>
      </c>
    </row>
    <row r="615" spans="3:17" x14ac:dyDescent="0.25">
      <c r="C615" s="1" t="str">
        <f>_xlfn.CONCAT(tabE.Flux[[#This Row],[DATA]],"+",tabE.Flux[[#This Row],[MOTORISTA + MATRÍCULA A]])</f>
        <v>45911+BERNARDO SOUZA LIMA - 1720</v>
      </c>
      <c r="D615" s="1" t="str">
        <f>_xlfn.CONCAT(tabE.Flux[[#This Row],[DATA]],"+",tabE.Flux[[#This Row],[MOTORISTA + MATRÍCULA B]])</f>
        <v>45911+  CLODOALDO PEREIRA DE LIMA- 4067</v>
      </c>
      <c r="E615" s="1" t="str">
        <f>_xlfn.CONCAT(tabE.Flux[[#This Row],[DATA]],"+",tabE.Flux[[#This Row],[MOTORISTA + MATRÍCULA A]],"+",tabE.Flux[[#This Row],[LINHA]])</f>
        <v>45911+BERNARDO SOUZA LIMA - 1720+GOIANIA (GO) X SAO LUIS (MA)</v>
      </c>
      <c r="F615" s="1" t="str">
        <f>_xlfn.CONCAT(tabE.Flux[[#This Row],[DATA]],"+",tabE.Flux[[#This Row],[MOTORISTA + MATRÍCULA B]],"+",tabE.Flux[[#This Row],[LINHA]])</f>
        <v>45911+  CLODOALDO PEREIRA DE LIMA- 4067+GOIANIA (GO) X SAO LUIS (MA)</v>
      </c>
      <c r="G615" s="1" t="str">
        <f>_xlfn.CONCAT(tabE.Flux[[#This Row],[DATA]],"+",tabE.Flux[[#This Row],[LINHA]])</f>
        <v>45911+GOIANIA (GO) X SAO LUIS (MA)</v>
      </c>
      <c r="H615" s="125">
        <v>45911</v>
      </c>
      <c r="I615" s="1" t="s">
        <v>15</v>
      </c>
      <c r="J615" s="1">
        <v>19019</v>
      </c>
      <c r="K615" s="126">
        <v>0.8125</v>
      </c>
      <c r="L615" s="126">
        <v>0.84166666666666667</v>
      </c>
      <c r="M615" s="1" t="s">
        <v>16</v>
      </c>
      <c r="N615" s="1" t="s">
        <v>17</v>
      </c>
      <c r="O615" s="1" t="s">
        <v>123</v>
      </c>
      <c r="P615" s="1" t="s">
        <v>249</v>
      </c>
      <c r="Q615" s="1" t="s">
        <v>23</v>
      </c>
    </row>
    <row r="616" spans="3:17" x14ac:dyDescent="0.25">
      <c r="C616" s="1" t="str">
        <f>_xlfn.CONCAT(tabE.Flux[[#This Row],[DATA]],"+",tabE.Flux[[#This Row],[MOTORISTA + MATRÍCULA A]])</f>
        <v>45911+LEANDRO DE OLIVEIRA MELO - 2151</v>
      </c>
      <c r="D616" s="1" t="str">
        <f>_xlfn.CONCAT(tabE.Flux[[#This Row],[DATA]],"+",tabE.Flux[[#This Row],[MOTORISTA + MATRÍCULA B]])</f>
        <v>45911+FRANCISCO LINDONALDO DE SOUSA - 2971</v>
      </c>
      <c r="E616" s="1" t="str">
        <f>_xlfn.CONCAT(tabE.Flux[[#This Row],[DATA]],"+",tabE.Flux[[#This Row],[MOTORISTA + MATRÍCULA A]],"+",tabE.Flux[[#This Row],[LINHA]])</f>
        <v>45911+LEANDRO DE OLIVEIRA MELO - 2151+FORTALEZA (CE) X SINOP (MT)</v>
      </c>
      <c r="F616" s="1" t="str">
        <f>_xlfn.CONCAT(tabE.Flux[[#This Row],[DATA]],"+",tabE.Flux[[#This Row],[MOTORISTA + MATRÍCULA B]],"+",tabE.Flux[[#This Row],[LINHA]])</f>
        <v>45911+FRANCISCO LINDONALDO DE SOUSA - 2971+FORTALEZA (CE) X SINOP (MT)</v>
      </c>
      <c r="G616" s="1" t="str">
        <f>_xlfn.CONCAT(tabE.Flux[[#This Row],[DATA]],"+",tabE.Flux[[#This Row],[LINHA]])</f>
        <v>45911+FORTALEZA (CE) X SINOP (MT)</v>
      </c>
      <c r="H616" s="125">
        <v>45911</v>
      </c>
      <c r="I616" s="1" t="s">
        <v>15</v>
      </c>
      <c r="J616" s="1">
        <v>19017</v>
      </c>
      <c r="K616" s="126">
        <v>0.8125</v>
      </c>
      <c r="L616" s="126">
        <v>0.85416666666666663</v>
      </c>
      <c r="M616" s="1" t="s">
        <v>16</v>
      </c>
      <c r="N616" s="1" t="s">
        <v>17</v>
      </c>
      <c r="O616" s="1" t="s">
        <v>64</v>
      </c>
      <c r="P616" s="1" t="s">
        <v>131</v>
      </c>
      <c r="Q616" s="1" t="s">
        <v>32</v>
      </c>
    </row>
    <row r="617" spans="3:17" x14ac:dyDescent="0.25">
      <c r="C617" s="1" t="str">
        <f>_xlfn.CONCAT(tabE.Flux[[#This Row],[DATA]],"+",tabE.Flux[[#This Row],[MOTORISTA + MATRÍCULA A]])</f>
        <v>45911+CANCELADO</v>
      </c>
      <c r="D617" s="1" t="str">
        <f>_xlfn.CONCAT(tabE.Flux[[#This Row],[DATA]],"+",tabE.Flux[[#This Row],[MOTORISTA + MATRÍCULA B]])</f>
        <v>45911+CANCELADO</v>
      </c>
      <c r="E617" s="1" t="str">
        <f>_xlfn.CONCAT(tabE.Flux[[#This Row],[DATA]],"+",tabE.Flux[[#This Row],[MOTORISTA + MATRÍCULA A]],"+",tabE.Flux[[#This Row],[LINHA]])</f>
        <v>45911+CANCELADO+GOIANIA (GO) X BELEM (PA)</v>
      </c>
      <c r="F617" s="1" t="str">
        <f>_xlfn.CONCAT(tabE.Flux[[#This Row],[DATA]],"+",tabE.Flux[[#This Row],[MOTORISTA + MATRÍCULA B]],"+",tabE.Flux[[#This Row],[LINHA]])</f>
        <v>45911+CANCELADO+GOIANIA (GO) X BELEM (PA)</v>
      </c>
      <c r="G617" s="1" t="str">
        <f>_xlfn.CONCAT(tabE.Flux[[#This Row],[DATA]],"+",tabE.Flux[[#This Row],[LINHA]])</f>
        <v>45911+GOIANIA (GO) X BELEM (PA)</v>
      </c>
      <c r="H617" s="125">
        <v>45911</v>
      </c>
      <c r="I617" s="1" t="s">
        <v>15</v>
      </c>
      <c r="J617" s="1" t="s">
        <v>27</v>
      </c>
      <c r="K617" s="126">
        <v>0.84722222222222221</v>
      </c>
      <c r="L617" s="126">
        <v>0.87847222222222221</v>
      </c>
      <c r="M617" s="1" t="s">
        <v>16</v>
      </c>
      <c r="N617" s="1" t="s">
        <v>17</v>
      </c>
      <c r="O617" s="1" t="s">
        <v>27</v>
      </c>
      <c r="P617" s="1" t="s">
        <v>27</v>
      </c>
      <c r="Q617" s="1" t="s">
        <v>20</v>
      </c>
    </row>
    <row r="618" spans="3:17" x14ac:dyDescent="0.25">
      <c r="C618" s="1" t="str">
        <f>_xlfn.CONCAT(tabE.Flux[[#This Row],[DATA]],"+",tabE.Flux[[#This Row],[MOTORISTA + MATRÍCULA A]])</f>
        <v>+</v>
      </c>
      <c r="D618" s="1" t="str">
        <f>_xlfn.CONCAT(tabE.Flux[[#This Row],[DATA]],"+",tabE.Flux[[#This Row],[MOTORISTA + MATRÍCULA B]])</f>
        <v>+</v>
      </c>
      <c r="E618" s="1" t="str">
        <f>_xlfn.CONCAT(tabE.Flux[[#This Row],[DATA]],"+",tabE.Flux[[#This Row],[MOTORISTA + MATRÍCULA A]],"+",tabE.Flux[[#This Row],[LINHA]])</f>
        <v>++</v>
      </c>
      <c r="F618" s="1" t="str">
        <f>_xlfn.CONCAT(tabE.Flux[[#This Row],[DATA]],"+",tabE.Flux[[#This Row],[MOTORISTA + MATRÍCULA B]],"+",tabE.Flux[[#This Row],[LINHA]])</f>
        <v>++</v>
      </c>
      <c r="G618" s="1" t="str">
        <f>_xlfn.CONCAT(tabE.Flux[[#This Row],[DATA]],"+",tabE.Flux[[#This Row],[LINHA]])</f>
        <v>+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3:17" x14ac:dyDescent="0.25">
      <c r="C619" s="1" t="str">
        <f>_xlfn.CONCAT(tabE.Flux[[#This Row],[DATA]],"+",tabE.Flux[[#This Row],[MOTORISTA + MATRÍCULA A]])</f>
        <v>45912+VALTER PEREIRA MACIEL - 5630</v>
      </c>
      <c r="D619" s="1" t="str">
        <f>_xlfn.CONCAT(tabE.Flux[[#This Row],[DATA]],"+",tabE.Flux[[#This Row],[MOTORISTA + MATRÍCULA B]])</f>
        <v>45912+GERALDO MARTINS DOS SANTOS - 5610</v>
      </c>
      <c r="E619" s="1" t="str">
        <f>_xlfn.CONCAT(tabE.Flux[[#This Row],[DATA]],"+",tabE.Flux[[#This Row],[MOTORISTA + MATRÍCULA A]],"+",tabE.Flux[[#This Row],[LINHA]])</f>
        <v>45912+VALTER PEREIRA MACIEL - 5630+GOIANIA (GO) X BELEM (PA)</v>
      </c>
      <c r="F619" s="1" t="str">
        <f>_xlfn.CONCAT(tabE.Flux[[#This Row],[DATA]],"+",tabE.Flux[[#This Row],[MOTORISTA + MATRÍCULA B]],"+",tabE.Flux[[#This Row],[LINHA]])</f>
        <v>45912+GERALDO MARTINS DOS SANTOS - 5610+GOIANIA (GO) X BELEM (PA)</v>
      </c>
      <c r="G619" s="1" t="str">
        <f>_xlfn.CONCAT(tabE.Flux[[#This Row],[DATA]],"+",tabE.Flux[[#This Row],[LINHA]])</f>
        <v>45912+GOIANIA (GO) X BELEM (PA)</v>
      </c>
      <c r="H619" s="125">
        <v>45912</v>
      </c>
      <c r="I619" s="1" t="s">
        <v>15</v>
      </c>
      <c r="J619" s="1">
        <v>24010</v>
      </c>
      <c r="K619" s="126">
        <v>0.25486111111111109</v>
      </c>
      <c r="L619" s="126">
        <v>0.3</v>
      </c>
      <c r="M619" s="1" t="s">
        <v>16</v>
      </c>
      <c r="N619" s="1" t="s">
        <v>17</v>
      </c>
      <c r="O619" s="1" t="s">
        <v>208</v>
      </c>
      <c r="P619" s="1" t="s">
        <v>209</v>
      </c>
      <c r="Q619" s="1" t="s">
        <v>20</v>
      </c>
    </row>
    <row r="620" spans="3:17" x14ac:dyDescent="0.25">
      <c r="C620" s="1" t="str">
        <f>_xlfn.CONCAT(tabE.Flux[[#This Row],[DATA]],"+",tabE.Flux[[#This Row],[MOTORISTA + MATRÍCULA A]])</f>
        <v>45912+ELIAS ALVES DE FRANCA - 6046</v>
      </c>
      <c r="D620" s="1" t="str">
        <f>_xlfn.CONCAT(tabE.Flux[[#This Row],[DATA]],"+",tabE.Flux[[#This Row],[MOTORISTA + MATRÍCULA B]])</f>
        <v>45912+RAFAEL DA SILVA LIMA - 6215</v>
      </c>
      <c r="E620" s="1" t="str">
        <f>_xlfn.CONCAT(tabE.Flux[[#This Row],[DATA]],"+",tabE.Flux[[#This Row],[MOTORISTA + MATRÍCULA A]],"+",tabE.Flux[[#This Row],[LINHA]])</f>
        <v>45912+ELIAS ALVES DE FRANCA - 6046+GOIANIA (GO) X SAO LUIS (MA)</v>
      </c>
      <c r="F620" s="1" t="str">
        <f>_xlfn.CONCAT(tabE.Flux[[#This Row],[DATA]],"+",tabE.Flux[[#This Row],[MOTORISTA + MATRÍCULA B]],"+",tabE.Flux[[#This Row],[LINHA]])</f>
        <v>45912+RAFAEL DA SILVA LIMA - 6215+GOIANIA (GO) X SAO LUIS (MA)</v>
      </c>
      <c r="G620" s="1" t="str">
        <f>_xlfn.CONCAT(tabE.Flux[[#This Row],[DATA]],"+",tabE.Flux[[#This Row],[LINHA]])</f>
        <v>45912+GOIANIA (GO) X SAO LUIS (MA)</v>
      </c>
      <c r="H620" s="125">
        <v>45912</v>
      </c>
      <c r="I620" s="1" t="s">
        <v>15</v>
      </c>
      <c r="J620" s="1">
        <v>24013</v>
      </c>
      <c r="K620" s="126">
        <v>0.32291666666666669</v>
      </c>
      <c r="L620" s="126">
        <v>0.33333333333333331</v>
      </c>
      <c r="M620" s="1" t="s">
        <v>16</v>
      </c>
      <c r="N620" s="1" t="s">
        <v>17</v>
      </c>
      <c r="O620" s="1" t="s">
        <v>189</v>
      </c>
      <c r="P620" s="1" t="s">
        <v>190</v>
      </c>
      <c r="Q620" s="1" t="s">
        <v>23</v>
      </c>
    </row>
    <row r="621" spans="3:17" x14ac:dyDescent="0.25">
      <c r="C621" s="1" t="str">
        <f>_xlfn.CONCAT(tabE.Flux[[#This Row],[DATA]],"+",tabE.Flux[[#This Row],[MOTORISTA + MATRÍCULA A]])</f>
        <v>45912+AGNALDO ALVES DE CARVALHO - 5623</v>
      </c>
      <c r="D621" s="1" t="str">
        <f>_xlfn.CONCAT(tabE.Flux[[#This Row],[DATA]],"+",tabE.Flux[[#This Row],[MOTORISTA + MATRÍCULA B]])</f>
        <v>45912+GONCALO ALVES BEZERRA - 748</v>
      </c>
      <c r="E621" s="1" t="str">
        <f>_xlfn.CONCAT(tabE.Flux[[#This Row],[DATA]],"+",tabE.Flux[[#This Row],[MOTORISTA + MATRÍCULA A]],"+",tabE.Flux[[#This Row],[LINHA]])</f>
        <v>45912+AGNALDO ALVES DE CARVALHO - 5623+GOIANIA (GO) X TERESINA (PI) VIA STI</v>
      </c>
      <c r="F621" s="1" t="str">
        <f>_xlfn.CONCAT(tabE.Flux[[#This Row],[DATA]],"+",tabE.Flux[[#This Row],[MOTORISTA + MATRÍCULA B]],"+",tabE.Flux[[#This Row],[LINHA]])</f>
        <v>45912+GONCALO ALVES BEZERRA - 748+GOIANIA (GO) X TERESINA (PI) VIA STI</v>
      </c>
      <c r="G621" s="1" t="str">
        <f>_xlfn.CONCAT(tabE.Flux[[#This Row],[DATA]],"+",tabE.Flux[[#This Row],[LINHA]])</f>
        <v>45912+GOIANIA (GO) X TERESINA (PI) VIA STI</v>
      </c>
      <c r="H621" s="125">
        <v>45912</v>
      </c>
      <c r="I621" s="1" t="s">
        <v>15</v>
      </c>
      <c r="J621" s="1">
        <v>19026</v>
      </c>
      <c r="K621" s="126">
        <v>0.3888888888888889</v>
      </c>
      <c r="L621" s="126">
        <v>0.39583333333333331</v>
      </c>
      <c r="M621" s="1" t="s">
        <v>16</v>
      </c>
      <c r="N621" s="1" t="s">
        <v>17</v>
      </c>
      <c r="O621" s="1" t="s">
        <v>114</v>
      </c>
      <c r="P621" s="1" t="s">
        <v>216</v>
      </c>
      <c r="Q621" s="1" t="s">
        <v>26</v>
      </c>
    </row>
    <row r="622" spans="3:17" x14ac:dyDescent="0.25">
      <c r="C622" s="1" t="str">
        <f>_xlfn.CONCAT(tabE.Flux[[#This Row],[DATA]],"+",tabE.Flux[[#This Row],[MOTORISTA + MATRÍCULA A]])</f>
        <v>45912+CANCELADO</v>
      </c>
      <c r="D622" s="1" t="str">
        <f>_xlfn.CONCAT(tabE.Flux[[#This Row],[DATA]],"+",tabE.Flux[[#This Row],[MOTORISTA + MATRÍCULA B]])</f>
        <v>45912+CANCELADO</v>
      </c>
      <c r="E622" s="1" t="str">
        <f>_xlfn.CONCAT(tabE.Flux[[#This Row],[DATA]],"+",tabE.Flux[[#This Row],[MOTORISTA + MATRÍCULA A]],"+",tabE.Flux[[#This Row],[LINHA]])</f>
        <v>45912+CANCELADO+</v>
      </c>
      <c r="F622" s="1" t="str">
        <f>_xlfn.CONCAT(tabE.Flux[[#This Row],[DATA]],"+",tabE.Flux[[#This Row],[MOTORISTA + MATRÍCULA B]],"+",tabE.Flux[[#This Row],[LINHA]])</f>
        <v>45912+CANCELADO+</v>
      </c>
      <c r="G622" s="1" t="str">
        <f>_xlfn.CONCAT(tabE.Flux[[#This Row],[DATA]],"+",tabE.Flux[[#This Row],[LINHA]])</f>
        <v>45912+</v>
      </c>
      <c r="H622" s="125">
        <v>45912</v>
      </c>
      <c r="I622" s="1" t="s">
        <v>15</v>
      </c>
      <c r="J622" s="1" t="s">
        <v>27</v>
      </c>
      <c r="K622" s="126">
        <v>0.375</v>
      </c>
      <c r="L622" s="126">
        <v>0.41666666666666669</v>
      </c>
      <c r="M622" s="1" t="s">
        <v>16</v>
      </c>
      <c r="N622" s="1" t="s">
        <v>28</v>
      </c>
      <c r="O622" s="1" t="s">
        <v>27</v>
      </c>
      <c r="P622" s="1" t="s">
        <v>27</v>
      </c>
      <c r="Q622" s="1"/>
    </row>
    <row r="623" spans="3:17" x14ac:dyDescent="0.25">
      <c r="C623" s="1" t="str">
        <f>_xlfn.CONCAT(tabE.Flux[[#This Row],[DATA]],"+",tabE.Flux[[#This Row],[MOTORISTA + MATRÍCULA A]])</f>
        <v>45912+JOAO DE JESUS GOUVEIA - 6016</v>
      </c>
      <c r="D623" s="1" t="str">
        <f>_xlfn.CONCAT(tabE.Flux[[#This Row],[DATA]],"+",tabE.Flux[[#This Row],[MOTORISTA + MATRÍCULA B]])</f>
        <v>45912+FRANCISCO PESSOA DE CARVALHO - 5276</v>
      </c>
      <c r="E623" s="1" t="str">
        <f>_xlfn.CONCAT(tabE.Flux[[#This Row],[DATA]],"+",tabE.Flux[[#This Row],[MOTORISTA + MATRÍCULA A]],"+",tabE.Flux[[#This Row],[LINHA]])</f>
        <v>45912+JOAO DE JESUS GOUVEIA - 6016+FORTALEZA (CE) X SINOP (MT)</v>
      </c>
      <c r="F623" s="1" t="str">
        <f>_xlfn.CONCAT(tabE.Flux[[#This Row],[DATA]],"+",tabE.Flux[[#This Row],[MOTORISTA + MATRÍCULA B]],"+",tabE.Flux[[#This Row],[LINHA]])</f>
        <v>45912+FRANCISCO PESSOA DE CARVALHO - 5276+FORTALEZA (CE) X SINOP (MT)</v>
      </c>
      <c r="G623" s="1" t="str">
        <f>_xlfn.CONCAT(tabE.Flux[[#This Row],[DATA]],"+",tabE.Flux[[#This Row],[LINHA]])</f>
        <v>45912+FORTALEZA (CE) X SINOP (MT)</v>
      </c>
      <c r="H623" s="125">
        <v>45912</v>
      </c>
      <c r="I623" s="1" t="s">
        <v>15</v>
      </c>
      <c r="J623" s="1">
        <v>19014</v>
      </c>
      <c r="K623" s="126">
        <v>0.3888888888888889</v>
      </c>
      <c r="L623" s="126">
        <v>0.37708333333333333</v>
      </c>
      <c r="M623" s="1" t="s">
        <v>16</v>
      </c>
      <c r="N623" s="1" t="s">
        <v>29</v>
      </c>
      <c r="O623" s="1" t="s">
        <v>58</v>
      </c>
      <c r="P623" s="1" t="s">
        <v>188</v>
      </c>
      <c r="Q623" s="1" t="s">
        <v>32</v>
      </c>
    </row>
    <row r="624" spans="3:17" x14ac:dyDescent="0.25">
      <c r="C624" s="1" t="str">
        <f>_xlfn.CONCAT(tabE.Flux[[#This Row],[DATA]],"+",tabE.Flux[[#This Row],[MOTORISTA + MATRÍCULA A]])</f>
        <v>45912+ANTONIO FRANCINALDO DE OLIVEIRA MARQUES - 5018</v>
      </c>
      <c r="D624" s="1" t="str">
        <f>_xlfn.CONCAT(tabE.Flux[[#This Row],[DATA]],"+",tabE.Flux[[#This Row],[MOTORISTA + MATRÍCULA B]])</f>
        <v>45912+JOSE ALVES DA ROCHA - 5035</v>
      </c>
      <c r="E624" s="1" t="str">
        <f>_xlfn.CONCAT(tabE.Flux[[#This Row],[DATA]],"+",tabE.Flux[[#This Row],[MOTORISTA + MATRÍCULA A]],"+",tabE.Flux[[#This Row],[LINHA]])</f>
        <v>45912+ANTONIO FRANCINALDO DE OLIVEIRA MARQUES - 5018+GOIANIA (GO) X BELEM (PA)</v>
      </c>
      <c r="F624" s="1" t="str">
        <f>_xlfn.CONCAT(tabE.Flux[[#This Row],[DATA]],"+",tabE.Flux[[#This Row],[MOTORISTA + MATRÍCULA B]],"+",tabE.Flux[[#This Row],[LINHA]])</f>
        <v>45912+JOSE ALVES DA ROCHA - 5035+GOIANIA (GO) X BELEM (PA)</v>
      </c>
      <c r="G624" s="1" t="str">
        <f>_xlfn.CONCAT(tabE.Flux[[#This Row],[DATA]],"+",tabE.Flux[[#This Row],[LINHA]])</f>
        <v>45912+GOIANIA (GO) X BELEM (PA)</v>
      </c>
      <c r="H624" s="125">
        <v>45912</v>
      </c>
      <c r="I624" s="1" t="s">
        <v>15</v>
      </c>
      <c r="J624" s="1">
        <v>20019</v>
      </c>
      <c r="K624" s="126">
        <v>0.38958333333333334</v>
      </c>
      <c r="L624" s="126">
        <v>0.38541666666666669</v>
      </c>
      <c r="M624" s="1" t="s">
        <v>16</v>
      </c>
      <c r="N624" s="1" t="s">
        <v>33</v>
      </c>
      <c r="O624" s="1" t="s">
        <v>233</v>
      </c>
      <c r="P624" s="1" t="s">
        <v>91</v>
      </c>
      <c r="Q624" s="1" t="s">
        <v>20</v>
      </c>
    </row>
    <row r="625" spans="3:17" x14ac:dyDescent="0.25">
      <c r="C625" s="1" t="str">
        <f>_xlfn.CONCAT(tabE.Flux[[#This Row],[DATA]],"+",tabE.Flux[[#This Row],[MOTORISTA + MATRÍCULA A]])</f>
        <v>45912+ELIEZIO JOSE DOS SANTOS - 2645</v>
      </c>
      <c r="D625" s="1" t="str">
        <f>_xlfn.CONCAT(tabE.Flux[[#This Row],[DATA]],"+",tabE.Flux[[#This Row],[MOTORISTA + MATRÍCULA B]])</f>
        <v>45912+MARCIO DE SOUSA BRASILEIRO - 5828</v>
      </c>
      <c r="E625" s="1" t="str">
        <f>_xlfn.CONCAT(tabE.Flux[[#This Row],[DATA]],"+",tabE.Flux[[#This Row],[MOTORISTA + MATRÍCULA A]],"+",tabE.Flux[[#This Row],[LINHA]])</f>
        <v>45912+ELIEZIO JOSE DOS SANTOS - 2645+GOIANIA (GO) X TERESINA (PI) VIA BC</v>
      </c>
      <c r="F625" s="1" t="str">
        <f>_xlfn.CONCAT(tabE.Flux[[#This Row],[DATA]],"+",tabE.Flux[[#This Row],[MOTORISTA + MATRÍCULA B]],"+",tabE.Flux[[#This Row],[LINHA]])</f>
        <v>45912+MARCIO DE SOUSA BRASILEIRO - 5828+GOIANIA (GO) X TERESINA (PI) VIA BC</v>
      </c>
      <c r="G625" s="1" t="str">
        <f>_xlfn.CONCAT(tabE.Flux[[#This Row],[DATA]],"+",tabE.Flux[[#This Row],[LINHA]])</f>
        <v>45912+GOIANIA (GO) X TERESINA (PI) VIA BC</v>
      </c>
      <c r="H625" s="125">
        <v>45912</v>
      </c>
      <c r="I625" s="1" t="s">
        <v>15</v>
      </c>
      <c r="J625" s="1">
        <v>24003</v>
      </c>
      <c r="K625" s="126">
        <v>0.375</v>
      </c>
      <c r="L625" s="126">
        <v>0.39930555555555558</v>
      </c>
      <c r="M625" s="1" t="s">
        <v>36</v>
      </c>
      <c r="N625" s="1" t="s">
        <v>29</v>
      </c>
      <c r="O625" s="1" t="s">
        <v>53</v>
      </c>
      <c r="P625" s="1" t="s">
        <v>129</v>
      </c>
      <c r="Q625" s="1" t="s">
        <v>39</v>
      </c>
    </row>
    <row r="626" spans="3:17" x14ac:dyDescent="0.25">
      <c r="C626" s="1" t="str">
        <f>_xlfn.CONCAT(tabE.Flux[[#This Row],[DATA]],"+",tabE.Flux[[#This Row],[MOTORISTA + MATRÍCULA A]])</f>
        <v>45912+JAME DOS SANTOS MOURA - 5332</v>
      </c>
      <c r="D626" s="1" t="str">
        <f>_xlfn.CONCAT(tabE.Flux[[#This Row],[DATA]],"+",tabE.Flux[[#This Row],[MOTORISTA + MATRÍCULA B]])</f>
        <v>45912+LUIS ANTONIO FARIAS RIBEIRO - 2789</v>
      </c>
      <c r="E626" s="1" t="str">
        <f>_xlfn.CONCAT(tabE.Flux[[#This Row],[DATA]],"+",tabE.Flux[[#This Row],[MOTORISTA + MATRÍCULA A]],"+",tabE.Flux[[#This Row],[LINHA]])</f>
        <v>45912+JAME DOS SANTOS MOURA - 5332+GOIANIA (GO) X BELEM (PA)</v>
      </c>
      <c r="F626" s="1" t="str">
        <f>_xlfn.CONCAT(tabE.Flux[[#This Row],[DATA]],"+",tabE.Flux[[#This Row],[MOTORISTA + MATRÍCULA B]],"+",tabE.Flux[[#This Row],[LINHA]])</f>
        <v>45912+LUIS ANTONIO FARIAS RIBEIRO - 2789+GOIANIA (GO) X BELEM (PA)</v>
      </c>
      <c r="G626" s="1" t="str">
        <f>_xlfn.CONCAT(tabE.Flux[[#This Row],[DATA]],"+",tabE.Flux[[#This Row],[LINHA]])</f>
        <v>45912+GOIANIA (GO) X BELEM (PA)</v>
      </c>
      <c r="H626" s="125">
        <v>45912</v>
      </c>
      <c r="I626" s="1" t="s">
        <v>15</v>
      </c>
      <c r="J626" s="1">
        <v>20010</v>
      </c>
      <c r="K626" s="126">
        <v>0.375</v>
      </c>
      <c r="L626" s="126">
        <v>0.41666666666666669</v>
      </c>
      <c r="M626" s="1" t="s">
        <v>33</v>
      </c>
      <c r="N626" s="1" t="s">
        <v>16</v>
      </c>
      <c r="O626" s="1" t="s">
        <v>103</v>
      </c>
      <c r="P626" s="1" t="s">
        <v>124</v>
      </c>
      <c r="Q626" s="1" t="s">
        <v>20</v>
      </c>
    </row>
    <row r="627" spans="3:17" x14ac:dyDescent="0.25">
      <c r="C627" s="1" t="str">
        <f>_xlfn.CONCAT(tabE.Flux[[#This Row],[DATA]],"+",tabE.Flux[[#This Row],[MOTORISTA + MATRÍCULA A]])</f>
        <v>45912+LAUCEANDO DA SILVA ROCHA - 6220</v>
      </c>
      <c r="D627" s="1" t="str">
        <f>_xlfn.CONCAT(tabE.Flux[[#This Row],[DATA]],"+",tabE.Flux[[#This Row],[MOTORISTA + MATRÍCULA B]])</f>
        <v>45912+AELSON PEREIRA DO NASCIMENTO - 5682</v>
      </c>
      <c r="E627" s="1" t="str">
        <f>_xlfn.CONCAT(tabE.Flux[[#This Row],[DATA]],"+",tabE.Flux[[#This Row],[MOTORISTA + MATRÍCULA A]],"+",tabE.Flux[[#This Row],[LINHA]])</f>
        <v>45912+LAUCEANDO DA SILVA ROCHA - 6220+GOIANIA (GO) X SAO LUIS (MA)</v>
      </c>
      <c r="F627" s="1" t="str">
        <f>_xlfn.CONCAT(tabE.Flux[[#This Row],[DATA]],"+",tabE.Flux[[#This Row],[MOTORISTA + MATRÍCULA B]],"+",tabE.Flux[[#This Row],[LINHA]])</f>
        <v>45912+AELSON PEREIRA DO NASCIMENTO - 5682+GOIANIA (GO) X SAO LUIS (MA)</v>
      </c>
      <c r="G627" s="1" t="str">
        <f>_xlfn.CONCAT(tabE.Flux[[#This Row],[DATA]],"+",tabE.Flux[[#This Row],[LINHA]])</f>
        <v>45912+GOIANIA (GO) X SAO LUIS (MA)</v>
      </c>
      <c r="H627" s="125">
        <v>45912</v>
      </c>
      <c r="I627" s="1" t="s">
        <v>15</v>
      </c>
      <c r="J627" s="1">
        <v>19011</v>
      </c>
      <c r="K627" s="126">
        <v>0.25</v>
      </c>
      <c r="L627" s="126">
        <v>0.29166666666666669</v>
      </c>
      <c r="M627" s="1" t="s">
        <v>42</v>
      </c>
      <c r="N627" s="1" t="s">
        <v>16</v>
      </c>
      <c r="O627" s="1" t="s">
        <v>86</v>
      </c>
      <c r="P627" s="1" t="s">
        <v>88</v>
      </c>
      <c r="Q627" s="1" t="s">
        <v>23</v>
      </c>
    </row>
    <row r="628" spans="3:17" x14ac:dyDescent="0.25">
      <c r="C628" s="1" t="str">
        <f>_xlfn.CONCAT(tabE.Flux[[#This Row],[DATA]],"+",tabE.Flux[[#This Row],[MOTORISTA + MATRÍCULA A]])</f>
        <v>45912+KAYLSON KLEYTON DA SILVA COSTA - 6224</v>
      </c>
      <c r="D628" s="1" t="str">
        <f>_xlfn.CONCAT(tabE.Flux[[#This Row],[DATA]],"+",tabE.Flux[[#This Row],[MOTORISTA + MATRÍCULA B]])</f>
        <v>45912+RICHARD SOUSA DA SILVA - 1271</v>
      </c>
      <c r="E628" s="1" t="str">
        <f>_xlfn.CONCAT(tabE.Flux[[#This Row],[DATA]],"+",tabE.Flux[[#This Row],[MOTORISTA + MATRÍCULA A]],"+",tabE.Flux[[#This Row],[LINHA]])</f>
        <v>45912+KAYLSON KLEYTON DA SILVA COSTA - 6224+GOIANIA (GO) X SAO LUIS (MA)</v>
      </c>
      <c r="F628" s="1" t="str">
        <f>_xlfn.CONCAT(tabE.Flux[[#This Row],[DATA]],"+",tabE.Flux[[#This Row],[MOTORISTA + MATRÍCULA B]],"+",tabE.Flux[[#This Row],[LINHA]])</f>
        <v>45912+RICHARD SOUSA DA SILVA - 1271+GOIANIA (GO) X SAO LUIS (MA)</v>
      </c>
      <c r="G628" s="1" t="str">
        <f>_xlfn.CONCAT(tabE.Flux[[#This Row],[DATA]],"+",tabE.Flux[[#This Row],[LINHA]])</f>
        <v>45912+GOIANIA (GO) X SAO LUIS (MA)</v>
      </c>
      <c r="H628" s="125">
        <v>45912</v>
      </c>
      <c r="I628" s="1" t="s">
        <v>15</v>
      </c>
      <c r="J628" s="1">
        <v>24012</v>
      </c>
      <c r="K628" s="126">
        <v>0.75</v>
      </c>
      <c r="L628" s="126">
        <v>0.79166666666666663</v>
      </c>
      <c r="M628" s="1" t="s">
        <v>42</v>
      </c>
      <c r="N628" s="1" t="s">
        <v>16</v>
      </c>
      <c r="O628" s="1" t="s">
        <v>80</v>
      </c>
      <c r="P628" s="1" t="s">
        <v>56</v>
      </c>
      <c r="Q628" s="1" t="s">
        <v>23</v>
      </c>
    </row>
    <row r="629" spans="3:17" x14ac:dyDescent="0.25">
      <c r="C629" s="1" t="str">
        <f>_xlfn.CONCAT(tabE.Flux[[#This Row],[DATA]],"+",tabE.Flux[[#This Row],[MOTORISTA + MATRÍCULA A]])</f>
        <v>45912+CANCELADO</v>
      </c>
      <c r="D629" s="1" t="str">
        <f>_xlfn.CONCAT(tabE.Flux[[#This Row],[DATA]],"+",tabE.Flux[[#This Row],[MOTORISTA + MATRÍCULA B]])</f>
        <v>45912+CANCELADO</v>
      </c>
      <c r="E629" s="1" t="str">
        <f>_xlfn.CONCAT(tabE.Flux[[#This Row],[DATA]],"+",tabE.Flux[[#This Row],[MOTORISTA + MATRÍCULA A]],"+",tabE.Flux[[#This Row],[LINHA]])</f>
        <v>45912+CANCELADO+IMPERATRIZ (MA) X SÃO LUIS (MA)</v>
      </c>
      <c r="F629" s="1" t="str">
        <f>_xlfn.CONCAT(tabE.Flux[[#This Row],[DATA]],"+",tabE.Flux[[#This Row],[MOTORISTA + MATRÍCULA B]],"+",tabE.Flux[[#This Row],[LINHA]])</f>
        <v>45912+CANCELADO+IMPERATRIZ (MA) X SÃO LUIS (MA)</v>
      </c>
      <c r="G629" s="1" t="str">
        <f>_xlfn.CONCAT(tabE.Flux[[#This Row],[DATA]],"+",tabE.Flux[[#This Row],[LINHA]])</f>
        <v>45912+IMPERATRIZ (MA) X SÃO LUIS (MA)</v>
      </c>
      <c r="H629" s="125">
        <v>45912</v>
      </c>
      <c r="I629" s="1" t="s">
        <v>15</v>
      </c>
      <c r="J629" s="1" t="s">
        <v>27</v>
      </c>
      <c r="K629" s="126">
        <v>0.77083333333333337</v>
      </c>
      <c r="L629" s="126">
        <v>0.79513888888888884</v>
      </c>
      <c r="M629" s="1" t="s">
        <v>42</v>
      </c>
      <c r="N629" s="1" t="s">
        <v>16</v>
      </c>
      <c r="O629" s="1" t="s">
        <v>27</v>
      </c>
      <c r="P629" s="1" t="s">
        <v>27</v>
      </c>
      <c r="Q629" s="1" t="s">
        <v>47</v>
      </c>
    </row>
    <row r="630" spans="3:17" x14ac:dyDescent="0.25">
      <c r="C630" s="1" t="str">
        <f>_xlfn.CONCAT(tabE.Flux[[#This Row],[DATA]],"+",tabE.Flux[[#This Row],[MOTORISTA + MATRÍCULA A]])</f>
        <v>45912+CLEOMAR ANTONIO SIMOES - 2988</v>
      </c>
      <c r="D630" s="1" t="str">
        <f>_xlfn.CONCAT(tabE.Flux[[#This Row],[DATA]],"+",tabE.Flux[[#This Row],[MOTORISTA + MATRÍCULA B]])</f>
        <v>45912+ISMAEL ANTERO FARIAS - 6230</v>
      </c>
      <c r="E630" s="1" t="str">
        <f>_xlfn.CONCAT(tabE.Flux[[#This Row],[DATA]],"+",tabE.Flux[[#This Row],[MOTORISTA + MATRÍCULA A]],"+",tabE.Flux[[#This Row],[LINHA]])</f>
        <v>45912+CLEOMAR ANTONIO SIMOES - 2988+GOIANIA (GO) X TERESINA (PI) VIA BC</v>
      </c>
      <c r="F630" s="1" t="str">
        <f>_xlfn.CONCAT(tabE.Flux[[#This Row],[DATA]],"+",tabE.Flux[[#This Row],[MOTORISTA + MATRÍCULA B]],"+",tabE.Flux[[#This Row],[LINHA]])</f>
        <v>45912+ISMAEL ANTERO FARIAS - 6230+GOIANIA (GO) X TERESINA (PI) VIA BC</v>
      </c>
      <c r="G630" s="1" t="str">
        <f>_xlfn.CONCAT(tabE.Flux[[#This Row],[DATA]],"+",tabE.Flux[[#This Row],[LINHA]])</f>
        <v>45912+GOIANIA (GO) X TERESINA (PI) VIA BC</v>
      </c>
      <c r="H630" s="125">
        <v>45912</v>
      </c>
      <c r="I630" s="1" t="s">
        <v>15</v>
      </c>
      <c r="J630" s="1">
        <v>25010</v>
      </c>
      <c r="K630" s="126">
        <v>0.89583333333333337</v>
      </c>
      <c r="L630" s="126">
        <v>0.91666666666666663</v>
      </c>
      <c r="M630" s="1" t="s">
        <v>36</v>
      </c>
      <c r="N630" s="1" t="s">
        <v>17</v>
      </c>
      <c r="O630" s="1" t="s">
        <v>250</v>
      </c>
      <c r="P630" s="1" t="s">
        <v>205</v>
      </c>
      <c r="Q630" s="1" t="s">
        <v>39</v>
      </c>
    </row>
    <row r="631" spans="3:17" x14ac:dyDescent="0.25">
      <c r="C631" s="1" t="str">
        <f>_xlfn.CONCAT(tabE.Flux[[#This Row],[DATA]],"+",tabE.Flux[[#This Row],[MOTORISTA + MATRÍCULA A]])</f>
        <v>45912+LUIZ CARLOS MARIANO SIQUEIRA - 5634</v>
      </c>
      <c r="D631" s="1" t="str">
        <f>_xlfn.CONCAT(tabE.Flux[[#This Row],[DATA]],"+",tabE.Flux[[#This Row],[MOTORISTA + MATRÍCULA B]])</f>
        <v>45912+JEFFERSON CARDOSO DOS SANTOS - 5837</v>
      </c>
      <c r="E631" s="1" t="str">
        <f>_xlfn.CONCAT(tabE.Flux[[#This Row],[DATA]],"+",tabE.Flux[[#This Row],[MOTORISTA + MATRÍCULA A]],"+",tabE.Flux[[#This Row],[LINHA]])</f>
        <v>45912+LUIZ CARLOS MARIANO SIQUEIRA - 5634+GOIANIA (GO) X BELEM (PA)</v>
      </c>
      <c r="F631" s="1" t="str">
        <f>_xlfn.CONCAT(tabE.Flux[[#This Row],[DATA]],"+",tabE.Flux[[#This Row],[MOTORISTA + MATRÍCULA B]],"+",tabE.Flux[[#This Row],[LINHA]])</f>
        <v>45912+JEFFERSON CARDOSO DOS SANTOS - 5837+GOIANIA (GO) X BELEM (PA)</v>
      </c>
      <c r="G631" s="1" t="str">
        <f>_xlfn.CONCAT(tabE.Flux[[#This Row],[DATA]],"+",tabE.Flux[[#This Row],[LINHA]])</f>
        <v>45912+GOIANIA (GO) X BELEM (PA)</v>
      </c>
      <c r="H631" s="125">
        <v>45912</v>
      </c>
      <c r="I631" s="1" t="s">
        <v>15</v>
      </c>
      <c r="J631" s="1">
        <v>24016</v>
      </c>
      <c r="K631" s="126">
        <v>0.76041666666666663</v>
      </c>
      <c r="L631" s="126">
        <v>0.77083333333333337</v>
      </c>
      <c r="M631" s="1" t="s">
        <v>33</v>
      </c>
      <c r="N631" s="1" t="s">
        <v>16</v>
      </c>
      <c r="O631" s="1" t="s">
        <v>51</v>
      </c>
      <c r="P631" s="1" t="s">
        <v>30</v>
      </c>
      <c r="Q631" s="1" t="s">
        <v>20</v>
      </c>
    </row>
    <row r="632" spans="3:17" x14ac:dyDescent="0.25">
      <c r="C632" s="1" t="str">
        <f>_xlfn.CONCAT(tabE.Flux[[#This Row],[DATA]],"+",tabE.Flux[[#This Row],[MOTORISTA + MATRÍCULA A]])</f>
        <v>45912+ANTONIO JOSE PEREIRA SOARES - 1774</v>
      </c>
      <c r="D632" s="1" t="str">
        <f>_xlfn.CONCAT(tabE.Flux[[#This Row],[DATA]],"+",tabE.Flux[[#This Row],[MOTORISTA + MATRÍCULA B]])</f>
        <v>45912+JOSE CARLOS BEZERRA DA SILVA - 3034</v>
      </c>
      <c r="E632" s="1" t="str">
        <f>_xlfn.CONCAT(tabE.Flux[[#This Row],[DATA]],"+",tabE.Flux[[#This Row],[MOTORISTA + MATRÍCULA A]],"+",tabE.Flux[[#This Row],[LINHA]])</f>
        <v>45912+ANTONIO JOSE PEREIRA SOARES - 1774+GOIANIA (GO) X BELEM (PA)</v>
      </c>
      <c r="F632" s="1" t="str">
        <f>_xlfn.CONCAT(tabE.Flux[[#This Row],[DATA]],"+",tabE.Flux[[#This Row],[MOTORISTA + MATRÍCULA B]],"+",tabE.Flux[[#This Row],[LINHA]])</f>
        <v>45912+JOSE CARLOS BEZERRA DA SILVA - 3034+GOIANIA (GO) X BELEM (PA)</v>
      </c>
      <c r="G632" s="1" t="str">
        <f>_xlfn.CONCAT(tabE.Flux[[#This Row],[DATA]],"+",tabE.Flux[[#This Row],[LINHA]])</f>
        <v>45912+GOIANIA (GO) X BELEM (PA)</v>
      </c>
      <c r="H632" s="125">
        <v>45912</v>
      </c>
      <c r="I632" s="1" t="s">
        <v>15</v>
      </c>
      <c r="J632" s="1">
        <v>24004</v>
      </c>
      <c r="K632" s="126">
        <v>0.76041666666666663</v>
      </c>
      <c r="L632" s="126">
        <v>0.82777777777777772</v>
      </c>
      <c r="M632" s="1" t="s">
        <v>16</v>
      </c>
      <c r="N632" s="1" t="s">
        <v>33</v>
      </c>
      <c r="O632" s="1" t="s">
        <v>52</v>
      </c>
      <c r="P632" s="1" t="s">
        <v>76</v>
      </c>
      <c r="Q632" s="1" t="s">
        <v>20</v>
      </c>
    </row>
    <row r="633" spans="3:17" x14ac:dyDescent="0.25">
      <c r="C633" s="1" t="str">
        <f>_xlfn.CONCAT(tabE.Flux[[#This Row],[DATA]],"+",tabE.Flux[[#This Row],[MOTORISTA + MATRÍCULA A]])</f>
        <v>45912+  VALDEY OLIVEIRA ARAUJO- 2790</v>
      </c>
      <c r="D633" s="1" t="str">
        <f>_xlfn.CONCAT(tabE.Flux[[#This Row],[DATA]],"+",tabE.Flux[[#This Row],[MOTORISTA + MATRÍCULA B]])</f>
        <v>45912+CARLOS ADRIANO DE SOUZA DO NASCIMENTO - 6222</v>
      </c>
      <c r="E633" s="1" t="str">
        <f>_xlfn.CONCAT(tabE.Flux[[#This Row],[DATA]],"+",tabE.Flux[[#This Row],[MOTORISTA + MATRÍCULA A]],"+",tabE.Flux[[#This Row],[LINHA]])</f>
        <v>45912+  VALDEY OLIVEIRA ARAUJO- 2790+GOIANIA (GO) X SAO LUIS (MA)</v>
      </c>
      <c r="F633" s="1" t="str">
        <f>_xlfn.CONCAT(tabE.Flux[[#This Row],[DATA]],"+",tabE.Flux[[#This Row],[MOTORISTA + MATRÍCULA B]],"+",tabE.Flux[[#This Row],[LINHA]])</f>
        <v>45912+CARLOS ADRIANO DE SOUZA DO NASCIMENTO - 6222+GOIANIA (GO) X SAO LUIS (MA)</v>
      </c>
      <c r="G633" s="1" t="str">
        <f>_xlfn.CONCAT(tabE.Flux[[#This Row],[DATA]],"+",tabE.Flux[[#This Row],[LINHA]])</f>
        <v>45912+GOIANIA (GO) X SAO LUIS (MA)</v>
      </c>
      <c r="H633" s="125">
        <v>45912</v>
      </c>
      <c r="I633" s="1" t="s">
        <v>15</v>
      </c>
      <c r="J633" s="1">
        <v>20018</v>
      </c>
      <c r="K633" s="126">
        <v>0.40763888888888888</v>
      </c>
      <c r="L633" s="126">
        <v>0.47013888888888888</v>
      </c>
      <c r="M633" s="1" t="s">
        <v>16</v>
      </c>
      <c r="N633" s="1" t="s">
        <v>42</v>
      </c>
      <c r="O633" s="1" t="s">
        <v>251</v>
      </c>
      <c r="P633" s="1" t="s">
        <v>110</v>
      </c>
      <c r="Q633" s="1" t="s">
        <v>23</v>
      </c>
    </row>
    <row r="634" spans="3:17" x14ac:dyDescent="0.25">
      <c r="C634" s="1" t="str">
        <f>_xlfn.CONCAT(tabE.Flux[[#This Row],[DATA]],"+",tabE.Flux[[#This Row],[MOTORISTA + MATRÍCULA A]])</f>
        <v>45912+ANTONIO MARQUES NETO DOS SANTOS - 1738</v>
      </c>
      <c r="D634" s="1" t="str">
        <f>_xlfn.CONCAT(tabE.Flux[[#This Row],[DATA]],"+",tabE.Flux[[#This Row],[MOTORISTA + MATRÍCULA B]])</f>
        <v>45912+PAULO ENEAS FARIAS ARAUJO - 6218</v>
      </c>
      <c r="E634" s="1" t="str">
        <f>_xlfn.CONCAT(tabE.Flux[[#This Row],[DATA]],"+",tabE.Flux[[#This Row],[MOTORISTA + MATRÍCULA A]],"+",tabE.Flux[[#This Row],[LINHA]])</f>
        <v>45912+ANTONIO MARQUES NETO DOS SANTOS - 1738+IMPERATRIZ (MA) X SÃO LUIS (MA)</v>
      </c>
      <c r="F634" s="1" t="str">
        <f>_xlfn.CONCAT(tabE.Flux[[#This Row],[DATA]],"+",tabE.Flux[[#This Row],[MOTORISTA + MATRÍCULA B]],"+",tabE.Flux[[#This Row],[LINHA]])</f>
        <v>45912+PAULO ENEAS FARIAS ARAUJO - 6218+IMPERATRIZ (MA) X SÃO LUIS (MA)</v>
      </c>
      <c r="G634" s="1" t="str">
        <f>_xlfn.CONCAT(tabE.Flux[[#This Row],[DATA]],"+",tabE.Flux[[#This Row],[LINHA]])</f>
        <v>45912+IMPERATRIZ (MA) X SÃO LUIS (MA)</v>
      </c>
      <c r="H634" s="125">
        <v>45912</v>
      </c>
      <c r="I634" s="1" t="s">
        <v>15</v>
      </c>
      <c r="J634" s="1">
        <v>18016</v>
      </c>
      <c r="K634" s="126">
        <v>0.77083333333333337</v>
      </c>
      <c r="L634" s="126">
        <v>0.8125</v>
      </c>
      <c r="M634" s="1" t="s">
        <v>16</v>
      </c>
      <c r="N634" s="1" t="s">
        <v>42</v>
      </c>
      <c r="O634" s="1" t="s">
        <v>73</v>
      </c>
      <c r="P634" s="1" t="s">
        <v>43</v>
      </c>
      <c r="Q634" s="1" t="s">
        <v>47</v>
      </c>
    </row>
    <row r="635" spans="3:17" x14ac:dyDescent="0.25">
      <c r="C635" s="1" t="str">
        <f>_xlfn.CONCAT(tabE.Flux[[#This Row],[DATA]],"+",tabE.Flux[[#This Row],[MOTORISTA + MATRÍCULA A]])</f>
        <v>45912+RONNE RODRIGUES DE SOUSA - 5025</v>
      </c>
      <c r="D635" s="1" t="str">
        <f>_xlfn.CONCAT(tabE.Flux[[#This Row],[DATA]],"+",tabE.Flux[[#This Row],[MOTORISTA + MATRÍCULA B]])</f>
        <v>45912+LAUCEANDO DA SILVA ROCHA - 6220</v>
      </c>
      <c r="E635" s="1" t="str">
        <f>_xlfn.CONCAT(tabE.Flux[[#This Row],[DATA]],"+",tabE.Flux[[#This Row],[MOTORISTA + MATRÍCULA A]],"+",tabE.Flux[[#This Row],[LINHA]])</f>
        <v>45912+RONNE RODRIGUES DE SOUSA - 5025+GOIANIA (GO) X SAO LUIS (MA)</v>
      </c>
      <c r="F635" s="1" t="str">
        <f>_xlfn.CONCAT(tabE.Flux[[#This Row],[DATA]],"+",tabE.Flux[[#This Row],[MOTORISTA + MATRÍCULA B]],"+",tabE.Flux[[#This Row],[LINHA]])</f>
        <v>45912+LAUCEANDO DA SILVA ROCHA - 6220+GOIANIA (GO) X SAO LUIS (MA)</v>
      </c>
      <c r="G635" s="1" t="str">
        <f>_xlfn.CONCAT(tabE.Flux[[#This Row],[DATA]],"+",tabE.Flux[[#This Row],[LINHA]])</f>
        <v>45912+GOIANIA (GO) X SAO LUIS (MA)</v>
      </c>
      <c r="H635" s="125">
        <v>45912</v>
      </c>
      <c r="I635" s="1" t="s">
        <v>15</v>
      </c>
      <c r="J635" s="1">
        <v>24015</v>
      </c>
      <c r="K635" s="126">
        <v>0.8125</v>
      </c>
      <c r="L635" s="126">
        <v>0.84375</v>
      </c>
      <c r="M635" s="1" t="s">
        <v>16</v>
      </c>
      <c r="N635" s="1" t="s">
        <v>42</v>
      </c>
      <c r="O635" s="1" t="s">
        <v>85</v>
      </c>
      <c r="P635" s="1" t="s">
        <v>86</v>
      </c>
      <c r="Q635" s="1" t="s">
        <v>23</v>
      </c>
    </row>
    <row r="636" spans="3:17" x14ac:dyDescent="0.25">
      <c r="C636" s="1" t="str">
        <f>_xlfn.CONCAT(tabE.Flux[[#This Row],[DATA]],"+",tabE.Flux[[#This Row],[MOTORISTA + MATRÍCULA A]])</f>
        <v>45912+GILDEVAN DE ALMEIDA AGOSTINHO - 1924</v>
      </c>
      <c r="D636" s="1" t="str">
        <f>_xlfn.CONCAT(tabE.Flux[[#This Row],[DATA]],"+",tabE.Flux[[#This Row],[MOTORISTA + MATRÍCULA B]])</f>
        <v>45912+FRANCISCO CARLOS MELO - 5306</v>
      </c>
      <c r="E636" s="1" t="str">
        <f>_xlfn.CONCAT(tabE.Flux[[#This Row],[DATA]],"+",tabE.Flux[[#This Row],[MOTORISTA + MATRÍCULA A]],"+",tabE.Flux[[#This Row],[LINHA]])</f>
        <v>45912+GILDEVAN DE ALMEIDA AGOSTINHO - 1924+GOIANIA (GO) X TERESINA (PI) VIA STI</v>
      </c>
      <c r="F636" s="1" t="str">
        <f>_xlfn.CONCAT(tabE.Flux[[#This Row],[DATA]],"+",tabE.Flux[[#This Row],[MOTORISTA + MATRÍCULA B]],"+",tabE.Flux[[#This Row],[LINHA]])</f>
        <v>45912+FRANCISCO CARLOS MELO - 5306+GOIANIA (GO) X TERESINA (PI) VIA STI</v>
      </c>
      <c r="G636" s="1" t="str">
        <f>_xlfn.CONCAT(tabE.Flux[[#This Row],[DATA]],"+",tabE.Flux[[#This Row],[LINHA]])</f>
        <v>45912+GOIANIA (GO) X TERESINA (PI) VIA STI</v>
      </c>
      <c r="H636" s="125">
        <v>45912</v>
      </c>
      <c r="I636" s="1" t="s">
        <v>15</v>
      </c>
      <c r="J636" s="1">
        <v>19002</v>
      </c>
      <c r="K636" s="126">
        <v>0.77083333333333337</v>
      </c>
      <c r="L636" s="126">
        <v>0.79861111111111116</v>
      </c>
      <c r="M636" s="1" t="s">
        <v>16</v>
      </c>
      <c r="N636" s="1" t="s">
        <v>29</v>
      </c>
      <c r="O636" s="1" t="s">
        <v>236</v>
      </c>
      <c r="P636" s="1" t="s">
        <v>142</v>
      </c>
      <c r="Q636" s="1" t="s">
        <v>26</v>
      </c>
    </row>
    <row r="637" spans="3:17" x14ac:dyDescent="0.25">
      <c r="C637" s="1" t="str">
        <f>_xlfn.CONCAT(tabE.Flux[[#This Row],[DATA]],"+",tabE.Flux[[#This Row],[MOTORISTA + MATRÍCULA A]])</f>
        <v>45912+JOSE HAILTON PEREIRA DOS SANTOS - 6018</v>
      </c>
      <c r="D637" s="1" t="str">
        <f>_xlfn.CONCAT(tabE.Flux[[#This Row],[DATA]],"+",tabE.Flux[[#This Row],[MOTORISTA + MATRÍCULA B]])</f>
        <v>45912+BRUNO MATOS DA ROCHA - 6013</v>
      </c>
      <c r="E637" s="1" t="str">
        <f>_xlfn.CONCAT(tabE.Flux[[#This Row],[DATA]],"+",tabE.Flux[[#This Row],[MOTORISTA + MATRÍCULA A]],"+",tabE.Flux[[#This Row],[LINHA]])</f>
        <v>45912+JOSE HAILTON PEREIRA DOS SANTOS - 6018+GOIANIA (GO) X SAO LUIS (MA)</v>
      </c>
      <c r="F637" s="1" t="str">
        <f>_xlfn.CONCAT(tabE.Flux[[#This Row],[DATA]],"+",tabE.Flux[[#This Row],[MOTORISTA + MATRÍCULA B]],"+",tabE.Flux[[#This Row],[LINHA]])</f>
        <v>45912+BRUNO MATOS DA ROCHA - 6013+GOIANIA (GO) X SAO LUIS (MA)</v>
      </c>
      <c r="G637" s="1" t="str">
        <f>_xlfn.CONCAT(tabE.Flux[[#This Row],[DATA]],"+",tabE.Flux[[#This Row],[LINHA]])</f>
        <v>45912+GOIANIA (GO) X SAO LUIS (MA)</v>
      </c>
      <c r="H637" s="125">
        <v>45912</v>
      </c>
      <c r="I637" s="1" t="s">
        <v>15</v>
      </c>
      <c r="J637" s="1">
        <v>19011</v>
      </c>
      <c r="K637" s="126">
        <v>0.8125</v>
      </c>
      <c r="L637" s="126">
        <v>0.84166666666666667</v>
      </c>
      <c r="M637" s="1" t="s">
        <v>16</v>
      </c>
      <c r="N637" s="1" t="s">
        <v>17</v>
      </c>
      <c r="O637" s="1" t="s">
        <v>141</v>
      </c>
      <c r="P637" s="1" t="s">
        <v>147</v>
      </c>
      <c r="Q637" s="1" t="s">
        <v>23</v>
      </c>
    </row>
    <row r="638" spans="3:17" x14ac:dyDescent="0.25">
      <c r="C638" s="1" t="str">
        <f>_xlfn.CONCAT(tabE.Flux[[#This Row],[DATA]],"+",tabE.Flux[[#This Row],[MOTORISTA + MATRÍCULA A]])</f>
        <v>45912+MARCIO RODRIGUES DA COSTA - 5993</v>
      </c>
      <c r="D638" s="1" t="str">
        <f>_xlfn.CONCAT(tabE.Flux[[#This Row],[DATA]],"+",tabE.Flux[[#This Row],[MOTORISTA + MATRÍCULA B]])</f>
        <v>45912+EDUARDO SANTOS BEZERRA - 4066</v>
      </c>
      <c r="E638" s="1" t="str">
        <f>_xlfn.CONCAT(tabE.Flux[[#This Row],[DATA]],"+",tabE.Flux[[#This Row],[MOTORISTA + MATRÍCULA A]],"+",tabE.Flux[[#This Row],[LINHA]])</f>
        <v>45912+MARCIO RODRIGUES DA COSTA - 5993+FORTALEZA (CE) X SINOP (MT)</v>
      </c>
      <c r="F638" s="1" t="str">
        <f>_xlfn.CONCAT(tabE.Flux[[#This Row],[DATA]],"+",tabE.Flux[[#This Row],[MOTORISTA + MATRÍCULA B]],"+",tabE.Flux[[#This Row],[LINHA]])</f>
        <v>45912+EDUARDO SANTOS BEZERRA - 4066+FORTALEZA (CE) X SINOP (MT)</v>
      </c>
      <c r="G638" s="1" t="str">
        <f>_xlfn.CONCAT(tabE.Flux[[#This Row],[DATA]],"+",tabE.Flux[[#This Row],[LINHA]])</f>
        <v>45912+FORTALEZA (CE) X SINOP (MT)</v>
      </c>
      <c r="H638" s="125">
        <v>45912</v>
      </c>
      <c r="I638" s="1" t="s">
        <v>15</v>
      </c>
      <c r="J638" s="1">
        <v>20014</v>
      </c>
      <c r="K638" s="126">
        <v>0.8125</v>
      </c>
      <c r="L638" s="126">
        <v>0.85416666666666663</v>
      </c>
      <c r="M638" s="1" t="s">
        <v>16</v>
      </c>
      <c r="N638" s="1" t="s">
        <v>17</v>
      </c>
      <c r="O638" s="1" t="s">
        <v>107</v>
      </c>
      <c r="P638" s="1" t="s">
        <v>148</v>
      </c>
      <c r="Q638" s="1" t="s">
        <v>32</v>
      </c>
    </row>
    <row r="639" spans="3:17" x14ac:dyDescent="0.25">
      <c r="C639" s="1" t="str">
        <f>_xlfn.CONCAT(tabE.Flux[[#This Row],[DATA]],"+",tabE.Flux[[#This Row],[MOTORISTA + MATRÍCULA A]])</f>
        <v>45912+GENIVALDO ANTONIO DE SOUZA - 1082</v>
      </c>
      <c r="D639" s="1" t="str">
        <f>_xlfn.CONCAT(tabE.Flux[[#This Row],[DATA]],"+",tabE.Flux[[#This Row],[MOTORISTA + MATRÍCULA B]])</f>
        <v>45912+GISLE RODRIGUES DE SOUSA - 6047</v>
      </c>
      <c r="E639" s="1" t="str">
        <f>_xlfn.CONCAT(tabE.Flux[[#This Row],[DATA]],"+",tabE.Flux[[#This Row],[MOTORISTA + MATRÍCULA A]],"+",tabE.Flux[[#This Row],[LINHA]])</f>
        <v>45912+GENIVALDO ANTONIO DE SOUZA - 1082+GOIANIA (GO) X BELEM (PA)</v>
      </c>
      <c r="F639" s="1" t="str">
        <f>_xlfn.CONCAT(tabE.Flux[[#This Row],[DATA]],"+",tabE.Flux[[#This Row],[MOTORISTA + MATRÍCULA B]],"+",tabE.Flux[[#This Row],[LINHA]])</f>
        <v>45912+GISLE RODRIGUES DE SOUSA - 6047+GOIANIA (GO) X BELEM (PA)</v>
      </c>
      <c r="G639" s="1" t="str">
        <f>_xlfn.CONCAT(tabE.Flux[[#This Row],[DATA]],"+",tabE.Flux[[#This Row],[LINHA]])</f>
        <v>45912+GOIANIA (GO) X BELEM (PA)</v>
      </c>
      <c r="H639" s="125">
        <v>45912</v>
      </c>
      <c r="I639" s="1" t="s">
        <v>15</v>
      </c>
      <c r="J639" s="1">
        <v>20010</v>
      </c>
      <c r="K639" s="126">
        <v>0.84722222222222221</v>
      </c>
      <c r="L639" s="126">
        <v>0.87847222222222221</v>
      </c>
      <c r="M639" s="1" t="s">
        <v>16</v>
      </c>
      <c r="N639" s="1" t="s">
        <v>17</v>
      </c>
      <c r="O639" s="1" t="s">
        <v>185</v>
      </c>
      <c r="P639" s="1" t="s">
        <v>186</v>
      </c>
      <c r="Q639" s="1" t="s">
        <v>20</v>
      </c>
    </row>
    <row r="640" spans="3:17" x14ac:dyDescent="0.25">
      <c r="C640" s="1" t="str">
        <f>_xlfn.CONCAT(tabE.Flux[[#This Row],[DATA]],"+",tabE.Flux[[#This Row],[MOTORISTA + MATRÍCULA A]])</f>
        <v>+</v>
      </c>
      <c r="D640" s="1" t="str">
        <f>_xlfn.CONCAT(tabE.Flux[[#This Row],[DATA]],"+",tabE.Flux[[#This Row],[MOTORISTA + MATRÍCULA B]])</f>
        <v>+</v>
      </c>
      <c r="E640" s="1" t="str">
        <f>_xlfn.CONCAT(tabE.Flux[[#This Row],[DATA]],"+",tabE.Flux[[#This Row],[MOTORISTA + MATRÍCULA A]],"+",tabE.Flux[[#This Row],[LINHA]])</f>
        <v>++</v>
      </c>
      <c r="F640" s="1" t="str">
        <f>_xlfn.CONCAT(tabE.Flux[[#This Row],[DATA]],"+",tabE.Flux[[#This Row],[MOTORISTA + MATRÍCULA B]],"+",tabE.Flux[[#This Row],[LINHA]])</f>
        <v>++</v>
      </c>
      <c r="G640" s="1" t="str">
        <f>_xlfn.CONCAT(tabE.Flux[[#This Row],[DATA]],"+",tabE.Flux[[#This Row],[LINHA]])</f>
        <v>+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3:17" x14ac:dyDescent="0.25">
      <c r="C641" s="1" t="str">
        <f>_xlfn.CONCAT(tabE.Flux[[#This Row],[DATA]],"+",tabE.Flux[[#This Row],[MOTORISTA + MATRÍCULA A]])</f>
        <v>45913+GENIVAL MIRANDA LEITE - 1953</v>
      </c>
      <c r="D641" s="1" t="str">
        <f>_xlfn.CONCAT(tabE.Flux[[#This Row],[DATA]],"+",tabE.Flux[[#This Row],[MOTORISTA + MATRÍCULA B]])</f>
        <v>45913+JOAO BATISTA DA SILVA - 1823</v>
      </c>
      <c r="E641" s="1" t="str">
        <f>_xlfn.CONCAT(tabE.Flux[[#This Row],[DATA]],"+",tabE.Flux[[#This Row],[MOTORISTA + MATRÍCULA A]],"+",tabE.Flux[[#This Row],[LINHA]])</f>
        <v>45913+GENIVAL MIRANDA LEITE - 1953+GOIANIA (GO) X BELEM (PA)</v>
      </c>
      <c r="F641" s="1" t="str">
        <f>_xlfn.CONCAT(tabE.Flux[[#This Row],[DATA]],"+",tabE.Flux[[#This Row],[MOTORISTA + MATRÍCULA B]],"+",tabE.Flux[[#This Row],[LINHA]])</f>
        <v>45913+JOAO BATISTA DA SILVA - 1823+GOIANIA (GO) X BELEM (PA)</v>
      </c>
      <c r="G641" s="1" t="str">
        <f>_xlfn.CONCAT(tabE.Flux[[#This Row],[DATA]],"+",tabE.Flux[[#This Row],[LINHA]])</f>
        <v>45913+GOIANIA (GO) X BELEM (PA)</v>
      </c>
      <c r="H641" s="125">
        <v>45913</v>
      </c>
      <c r="I641" s="1" t="s">
        <v>15</v>
      </c>
      <c r="J641" s="1">
        <v>24016</v>
      </c>
      <c r="K641" s="126">
        <v>0.25486111111111109</v>
      </c>
      <c r="L641" s="126">
        <v>0.3</v>
      </c>
      <c r="M641" s="1" t="s">
        <v>16</v>
      </c>
      <c r="N641" s="1" t="s">
        <v>17</v>
      </c>
      <c r="O641" s="1" t="s">
        <v>252</v>
      </c>
      <c r="P641" s="1" t="s">
        <v>253</v>
      </c>
      <c r="Q641" s="1" t="s">
        <v>20</v>
      </c>
    </row>
    <row r="642" spans="3:17" x14ac:dyDescent="0.25">
      <c r="C642" s="1" t="str">
        <f>_xlfn.CONCAT(tabE.Flux[[#This Row],[DATA]],"+",tabE.Flux[[#This Row],[MOTORISTA + MATRÍCULA A]])</f>
        <v>45913+VALDIR ALVES MIRANDA - 1364</v>
      </c>
      <c r="D642" s="1" t="str">
        <f>_xlfn.CONCAT(tabE.Flux[[#This Row],[DATA]],"+",tabE.Flux[[#This Row],[MOTORISTA + MATRÍCULA B]])</f>
        <v>45913+MANOEL SEVERINO DE SOUZA - 5200</v>
      </c>
      <c r="E642" s="1" t="str">
        <f>_xlfn.CONCAT(tabE.Flux[[#This Row],[DATA]],"+",tabE.Flux[[#This Row],[MOTORISTA + MATRÍCULA A]],"+",tabE.Flux[[#This Row],[LINHA]])</f>
        <v>45913+VALDIR ALVES MIRANDA - 1364+GOIANIA (GO) X SAO LUIS (MA)</v>
      </c>
      <c r="F642" s="1" t="str">
        <f>_xlfn.CONCAT(tabE.Flux[[#This Row],[DATA]],"+",tabE.Flux[[#This Row],[MOTORISTA + MATRÍCULA B]],"+",tabE.Flux[[#This Row],[LINHA]])</f>
        <v>45913+MANOEL SEVERINO DE SOUZA - 5200+GOIANIA (GO) X SAO LUIS (MA)</v>
      </c>
      <c r="G642" s="1" t="str">
        <f>_xlfn.CONCAT(tabE.Flux[[#This Row],[DATA]],"+",tabE.Flux[[#This Row],[LINHA]])</f>
        <v>45913+GOIANIA (GO) X SAO LUIS (MA)</v>
      </c>
      <c r="H642" s="125">
        <v>45913</v>
      </c>
      <c r="I642" s="1" t="s">
        <v>15</v>
      </c>
      <c r="J642" s="1">
        <v>24012</v>
      </c>
      <c r="K642" s="126">
        <v>0.32291666666666669</v>
      </c>
      <c r="L642" s="126">
        <v>0.33333333333333331</v>
      </c>
      <c r="M642" s="1" t="s">
        <v>16</v>
      </c>
      <c r="N642" s="1" t="s">
        <v>17</v>
      </c>
      <c r="O642" s="1" t="s">
        <v>118</v>
      </c>
      <c r="P642" s="1" t="s">
        <v>119</v>
      </c>
      <c r="Q642" s="1" t="s">
        <v>23</v>
      </c>
    </row>
    <row r="643" spans="3:17" x14ac:dyDescent="0.25">
      <c r="C643" s="1" t="str">
        <f>_xlfn.CONCAT(tabE.Flux[[#This Row],[DATA]],"+",tabE.Flux[[#This Row],[MOTORISTA + MATRÍCULA A]])</f>
        <v>45913+  WENDER PEDRO DA SILVA- 1596</v>
      </c>
      <c r="D643" s="1" t="str">
        <f>_xlfn.CONCAT(tabE.Flux[[#This Row],[DATA]],"+",tabE.Flux[[#This Row],[MOTORISTA + MATRÍCULA B]])</f>
        <v>45913+LEON RODRIGUES LOPES - 5533</v>
      </c>
      <c r="E643" s="1" t="str">
        <f>_xlfn.CONCAT(tabE.Flux[[#This Row],[DATA]],"+",tabE.Flux[[#This Row],[MOTORISTA + MATRÍCULA A]],"+",tabE.Flux[[#This Row],[LINHA]])</f>
        <v>45913+  WENDER PEDRO DA SILVA- 1596+GOIANIA (GO) X TERESINA (PI) VIA STI</v>
      </c>
      <c r="F643" s="1" t="str">
        <f>_xlfn.CONCAT(tabE.Flux[[#This Row],[DATA]],"+",tabE.Flux[[#This Row],[MOTORISTA + MATRÍCULA B]],"+",tabE.Flux[[#This Row],[LINHA]])</f>
        <v>45913+LEON RODRIGUES LOPES - 5533+GOIANIA (GO) X TERESINA (PI) VIA STI</v>
      </c>
      <c r="G643" s="1" t="str">
        <f>_xlfn.CONCAT(tabE.Flux[[#This Row],[DATA]],"+",tabE.Flux[[#This Row],[LINHA]])</f>
        <v>45913+GOIANIA (GO) X TERESINA (PI) VIA STI</v>
      </c>
      <c r="H643" s="125">
        <v>45913</v>
      </c>
      <c r="I643" s="1" t="s">
        <v>15</v>
      </c>
      <c r="J643" s="1">
        <v>19020</v>
      </c>
      <c r="K643" s="126">
        <v>0.3888888888888889</v>
      </c>
      <c r="L643" s="126">
        <v>0.39583333333333331</v>
      </c>
      <c r="M643" s="1" t="s">
        <v>16</v>
      </c>
      <c r="N643" s="1" t="s">
        <v>17</v>
      </c>
      <c r="O643" s="1" t="s">
        <v>254</v>
      </c>
      <c r="P643" s="1" t="s">
        <v>204</v>
      </c>
      <c r="Q643" s="1" t="s">
        <v>26</v>
      </c>
    </row>
    <row r="644" spans="3:17" x14ac:dyDescent="0.25">
      <c r="C644" s="1" t="str">
        <f>_xlfn.CONCAT(tabE.Flux[[#This Row],[DATA]],"+",tabE.Flux[[#This Row],[MOTORISTA + MATRÍCULA A]])</f>
        <v>45913+CANCELADO</v>
      </c>
      <c r="D644" s="1" t="str">
        <f>_xlfn.CONCAT(tabE.Flux[[#This Row],[DATA]],"+",tabE.Flux[[#This Row],[MOTORISTA + MATRÍCULA B]])</f>
        <v>45913+CANCELADO</v>
      </c>
      <c r="E644" s="1" t="str">
        <f>_xlfn.CONCAT(tabE.Flux[[#This Row],[DATA]],"+",tabE.Flux[[#This Row],[MOTORISTA + MATRÍCULA A]],"+",tabE.Flux[[#This Row],[LINHA]])</f>
        <v>45913+CANCELADO+</v>
      </c>
      <c r="F644" s="1" t="str">
        <f>_xlfn.CONCAT(tabE.Flux[[#This Row],[DATA]],"+",tabE.Flux[[#This Row],[MOTORISTA + MATRÍCULA B]],"+",tabE.Flux[[#This Row],[LINHA]])</f>
        <v>45913+CANCELADO+</v>
      </c>
      <c r="G644" s="1" t="str">
        <f>_xlfn.CONCAT(tabE.Flux[[#This Row],[DATA]],"+",tabE.Flux[[#This Row],[LINHA]])</f>
        <v>45913+</v>
      </c>
      <c r="H644" s="125">
        <v>45913</v>
      </c>
      <c r="I644" s="1" t="s">
        <v>15</v>
      </c>
      <c r="J644" s="1" t="s">
        <v>27</v>
      </c>
      <c r="K644" s="126">
        <v>0.375</v>
      </c>
      <c r="L644" s="126">
        <v>0.41666666666666669</v>
      </c>
      <c r="M644" s="1" t="s">
        <v>16</v>
      </c>
      <c r="N644" s="1" t="s">
        <v>28</v>
      </c>
      <c r="O644" s="1" t="s">
        <v>27</v>
      </c>
      <c r="P644" s="1" t="s">
        <v>27</v>
      </c>
      <c r="Q644" s="1"/>
    </row>
    <row r="645" spans="3:17" x14ac:dyDescent="0.25">
      <c r="C645" s="1" t="str">
        <f>_xlfn.CONCAT(tabE.Flux[[#This Row],[DATA]],"+",tabE.Flux[[#This Row],[MOTORISTA + MATRÍCULA A]])</f>
        <v>45913+MERVAL DE SOUSA - 2880</v>
      </c>
      <c r="D645" s="1" t="str">
        <f>_xlfn.CONCAT(tabE.Flux[[#This Row],[DATA]],"+",tabE.Flux[[#This Row],[MOTORISTA + MATRÍCULA B]])</f>
        <v>45913+PEDRO PAULO DO NASCIMENTO DO CARMO - 2559</v>
      </c>
      <c r="E645" s="1" t="str">
        <f>_xlfn.CONCAT(tabE.Flux[[#This Row],[DATA]],"+",tabE.Flux[[#This Row],[MOTORISTA + MATRÍCULA A]],"+",tabE.Flux[[#This Row],[LINHA]])</f>
        <v>45913+MERVAL DE SOUSA - 2880+FORTALEZA (CE) X SINOP (MT)</v>
      </c>
      <c r="F645" s="1" t="str">
        <f>_xlfn.CONCAT(tabE.Flux[[#This Row],[DATA]],"+",tabE.Flux[[#This Row],[MOTORISTA + MATRÍCULA B]],"+",tabE.Flux[[#This Row],[LINHA]])</f>
        <v>45913+PEDRO PAULO DO NASCIMENTO DO CARMO - 2559+FORTALEZA (CE) X SINOP (MT)</v>
      </c>
      <c r="G645" s="1" t="str">
        <f>_xlfn.CONCAT(tabE.Flux[[#This Row],[DATA]],"+",tabE.Flux[[#This Row],[LINHA]])</f>
        <v>45913+FORTALEZA (CE) X SINOP (MT)</v>
      </c>
      <c r="H645" s="125">
        <v>45913</v>
      </c>
      <c r="I645" s="1" t="s">
        <v>15</v>
      </c>
      <c r="J645" s="1">
        <v>20016</v>
      </c>
      <c r="K645" s="126">
        <v>0.3888888888888889</v>
      </c>
      <c r="L645" s="126">
        <v>0.37708333333333333</v>
      </c>
      <c r="M645" s="1" t="s">
        <v>16</v>
      </c>
      <c r="N645" s="1" t="s">
        <v>29</v>
      </c>
      <c r="O645" s="1" t="s">
        <v>44</v>
      </c>
      <c r="P645" s="1" t="s">
        <v>175</v>
      </c>
      <c r="Q645" s="1" t="s">
        <v>32</v>
      </c>
    </row>
    <row r="646" spans="3:17" x14ac:dyDescent="0.25">
      <c r="C646" s="1" t="str">
        <f>_xlfn.CONCAT(tabE.Flux[[#This Row],[DATA]],"+",tabE.Flux[[#This Row],[MOTORISTA + MATRÍCULA A]])</f>
        <v>45913+FRANCISCO RAIMUNDO VIANA DE SOUSA - 5314</v>
      </c>
      <c r="D646" s="1" t="str">
        <f>_xlfn.CONCAT(tabE.Flux[[#This Row],[DATA]],"+",tabE.Flux[[#This Row],[MOTORISTA + MATRÍCULA B]])</f>
        <v>45913+MARCOS ROBERTO DE SOUSA - 5236</v>
      </c>
      <c r="E646" s="1" t="str">
        <f>_xlfn.CONCAT(tabE.Flux[[#This Row],[DATA]],"+",tabE.Flux[[#This Row],[MOTORISTA + MATRÍCULA A]],"+",tabE.Flux[[#This Row],[LINHA]])</f>
        <v>45913+FRANCISCO RAIMUNDO VIANA DE SOUSA - 5314+GOIANIA (GO) X BELEM (PA)</v>
      </c>
      <c r="F646" s="1" t="str">
        <f>_xlfn.CONCAT(tabE.Flux[[#This Row],[DATA]],"+",tabE.Flux[[#This Row],[MOTORISTA + MATRÍCULA B]],"+",tabE.Flux[[#This Row],[LINHA]])</f>
        <v>45913+MARCOS ROBERTO DE SOUSA - 5236+GOIANIA (GO) X BELEM (PA)</v>
      </c>
      <c r="G646" s="1" t="str">
        <f>_xlfn.CONCAT(tabE.Flux[[#This Row],[DATA]],"+",tabE.Flux[[#This Row],[LINHA]])</f>
        <v>45913+GOIANIA (GO) X BELEM (PA)</v>
      </c>
      <c r="H646" s="125">
        <v>45913</v>
      </c>
      <c r="I646" s="1" t="s">
        <v>15</v>
      </c>
      <c r="J646" s="1">
        <v>19015</v>
      </c>
      <c r="K646" s="126">
        <v>0.38958333333333334</v>
      </c>
      <c r="L646" s="126">
        <v>0.38541666666666669</v>
      </c>
      <c r="M646" s="1" t="s">
        <v>16</v>
      </c>
      <c r="N646" s="1" t="s">
        <v>33</v>
      </c>
      <c r="O646" s="1" t="s">
        <v>87</v>
      </c>
      <c r="P646" s="1" t="s">
        <v>234</v>
      </c>
      <c r="Q646" s="1" t="s">
        <v>20</v>
      </c>
    </row>
    <row r="647" spans="3:17" x14ac:dyDescent="0.25">
      <c r="C647" s="1" t="str">
        <f>_xlfn.CONCAT(tabE.Flux[[#This Row],[DATA]],"+",tabE.Flux[[#This Row],[MOTORISTA + MATRÍCULA A]])</f>
        <v>45913+JOSE ORLANDO RODRIGUES DE MIRANDA - 5838</v>
      </c>
      <c r="D647" s="1" t="str">
        <f>_xlfn.CONCAT(tabE.Flux[[#This Row],[DATA]],"+",tabE.Flux[[#This Row],[MOTORISTA + MATRÍCULA B]])</f>
        <v>45913+FRANK HUDSON MACHADO DE BRITO - 5267</v>
      </c>
      <c r="E647" s="1" t="str">
        <f>_xlfn.CONCAT(tabE.Flux[[#This Row],[DATA]],"+",tabE.Flux[[#This Row],[MOTORISTA + MATRÍCULA A]],"+",tabE.Flux[[#This Row],[LINHA]])</f>
        <v>45913+JOSE ORLANDO RODRIGUES DE MIRANDA - 5838+GOIANIA (GO) X TERESINA (PI) VIA BC</v>
      </c>
      <c r="F647" s="1" t="str">
        <f>_xlfn.CONCAT(tabE.Flux[[#This Row],[DATA]],"+",tabE.Flux[[#This Row],[MOTORISTA + MATRÍCULA B]],"+",tabE.Flux[[#This Row],[LINHA]])</f>
        <v>45913+FRANK HUDSON MACHADO DE BRITO - 5267+GOIANIA (GO) X TERESINA (PI) VIA BC</v>
      </c>
      <c r="G647" s="1" t="str">
        <f>_xlfn.CONCAT(tabE.Flux[[#This Row],[DATA]],"+",tabE.Flux[[#This Row],[LINHA]])</f>
        <v>45913+GOIANIA (GO) X TERESINA (PI) VIA BC</v>
      </c>
      <c r="H647" s="125">
        <v>45913</v>
      </c>
      <c r="I647" s="1" t="s">
        <v>15</v>
      </c>
      <c r="J647" s="1">
        <v>25009</v>
      </c>
      <c r="K647" s="126">
        <v>0.375</v>
      </c>
      <c r="L647" s="126">
        <v>0.39930555555555558</v>
      </c>
      <c r="M647" s="1" t="s">
        <v>36</v>
      </c>
      <c r="N647" s="1" t="s">
        <v>29</v>
      </c>
      <c r="O647" s="1" t="s">
        <v>37</v>
      </c>
      <c r="P647" s="1" t="s">
        <v>160</v>
      </c>
      <c r="Q647" s="1" t="s">
        <v>39</v>
      </c>
    </row>
    <row r="648" spans="3:17" x14ac:dyDescent="0.25">
      <c r="C648" s="1" t="str">
        <f>_xlfn.CONCAT(tabE.Flux[[#This Row],[DATA]],"+",tabE.Flux[[#This Row],[MOTORISTA + MATRÍCULA A]])</f>
        <v>45913+KLEBER OLIVEIRA LIMA - 5849</v>
      </c>
      <c r="D648" s="1" t="str">
        <f>_xlfn.CONCAT(tabE.Flux[[#This Row],[DATA]],"+",tabE.Flux[[#This Row],[MOTORISTA + MATRÍCULA B]])</f>
        <v>45913+ANTONIO MARCIO DE SENA RIBEIRO CHAVES - 5061</v>
      </c>
      <c r="E648" s="1" t="str">
        <f>_xlfn.CONCAT(tabE.Flux[[#This Row],[DATA]],"+",tabE.Flux[[#This Row],[MOTORISTA + MATRÍCULA A]],"+",tabE.Flux[[#This Row],[LINHA]])</f>
        <v>45913+KLEBER OLIVEIRA LIMA - 5849+GOIANIA (GO) X BELEM (PA)</v>
      </c>
      <c r="F648" s="1" t="str">
        <f>_xlfn.CONCAT(tabE.Flux[[#This Row],[DATA]],"+",tabE.Flux[[#This Row],[MOTORISTA + MATRÍCULA B]],"+",tabE.Flux[[#This Row],[LINHA]])</f>
        <v>45913+ANTONIO MARCIO DE SENA RIBEIRO CHAVES - 5061+GOIANIA (GO) X BELEM (PA)</v>
      </c>
      <c r="G648" s="1" t="str">
        <f>_xlfn.CONCAT(tabE.Flux[[#This Row],[DATA]],"+",tabE.Flux[[#This Row],[LINHA]])</f>
        <v>45913+GOIANIA (GO) X BELEM (PA)</v>
      </c>
      <c r="H648" s="125">
        <v>45913</v>
      </c>
      <c r="I648" s="1" t="s">
        <v>15</v>
      </c>
      <c r="J648" s="1">
        <v>19009</v>
      </c>
      <c r="K648" s="126">
        <v>0.375</v>
      </c>
      <c r="L648" s="126">
        <v>0.41666666666666669</v>
      </c>
      <c r="M648" s="1" t="s">
        <v>33</v>
      </c>
      <c r="N648" s="1" t="s">
        <v>16</v>
      </c>
      <c r="O648" s="1" t="s">
        <v>102</v>
      </c>
      <c r="P648" s="1" t="s">
        <v>235</v>
      </c>
      <c r="Q648" s="1" t="s">
        <v>20</v>
      </c>
    </row>
    <row r="649" spans="3:17" x14ac:dyDescent="0.25">
      <c r="C649" s="1" t="str">
        <f>_xlfn.CONCAT(tabE.Flux[[#This Row],[DATA]],"+",tabE.Flux[[#This Row],[MOTORISTA + MATRÍCULA A]])</f>
        <v>45913+ALTEMAR DO NASCIMENTO LIMA - 6225</v>
      </c>
      <c r="D649" s="1" t="str">
        <f>_xlfn.CONCAT(tabE.Flux[[#This Row],[DATA]],"+",tabE.Flux[[#This Row],[MOTORISTA + MATRÍCULA B]])</f>
        <v>45913+VALDEY OLIVEIRA ARAUJO - 2790</v>
      </c>
      <c r="E649" s="1" t="str">
        <f>_xlfn.CONCAT(tabE.Flux[[#This Row],[DATA]],"+",tabE.Flux[[#This Row],[MOTORISTA + MATRÍCULA A]],"+",tabE.Flux[[#This Row],[LINHA]])</f>
        <v>45913+ALTEMAR DO NASCIMENTO LIMA - 6225+GOIANIA (GO) X SAO LUIS (MA)</v>
      </c>
      <c r="F649" s="1" t="str">
        <f>_xlfn.CONCAT(tabE.Flux[[#This Row],[DATA]],"+",tabE.Flux[[#This Row],[MOTORISTA + MATRÍCULA B]],"+",tabE.Flux[[#This Row],[LINHA]])</f>
        <v>45913+VALDEY OLIVEIRA ARAUJO - 2790+GOIANIA (GO) X SAO LUIS (MA)</v>
      </c>
      <c r="G649" s="1" t="str">
        <f>_xlfn.CONCAT(tabE.Flux[[#This Row],[DATA]],"+",tabE.Flux[[#This Row],[LINHA]])</f>
        <v>45913+GOIANIA (GO) X SAO LUIS (MA)</v>
      </c>
      <c r="H649" s="125">
        <v>45913</v>
      </c>
      <c r="I649" s="1" t="s">
        <v>15</v>
      </c>
      <c r="J649" s="1">
        <v>20018</v>
      </c>
      <c r="K649" s="126">
        <v>0.25</v>
      </c>
      <c r="L649" s="126">
        <v>0.29166666666666669</v>
      </c>
      <c r="M649" s="1" t="s">
        <v>42</v>
      </c>
      <c r="N649" s="1" t="s">
        <v>16</v>
      </c>
      <c r="O649" s="1" t="s">
        <v>57</v>
      </c>
      <c r="P649" s="1" t="s">
        <v>34</v>
      </c>
      <c r="Q649" s="1" t="s">
        <v>23</v>
      </c>
    </row>
    <row r="650" spans="3:17" x14ac:dyDescent="0.25">
      <c r="C650" s="1" t="str">
        <f>_xlfn.CONCAT(tabE.Flux[[#This Row],[DATA]],"+",tabE.Flux[[#This Row],[MOTORISTA + MATRÍCULA A]])</f>
        <v>45913+EDIVALDO DE ARAUJO - 6217</v>
      </c>
      <c r="D650" s="1" t="str">
        <f>_xlfn.CONCAT(tabE.Flux[[#This Row],[DATA]],"+",tabE.Flux[[#This Row],[MOTORISTA + MATRÍCULA B]])</f>
        <v>45913+RONNE RODRIGUES DE SOUSA - 5025</v>
      </c>
      <c r="E650" s="1" t="str">
        <f>_xlfn.CONCAT(tabE.Flux[[#This Row],[DATA]],"+",tabE.Flux[[#This Row],[MOTORISTA + MATRÍCULA A]],"+",tabE.Flux[[#This Row],[LINHA]])</f>
        <v>45913+EDIVALDO DE ARAUJO - 6217+GOIANIA (GO) X SAO LUIS (MA)</v>
      </c>
      <c r="F650" s="1" t="str">
        <f>_xlfn.CONCAT(tabE.Flux[[#This Row],[DATA]],"+",tabE.Flux[[#This Row],[MOTORISTA + MATRÍCULA B]],"+",tabE.Flux[[#This Row],[LINHA]])</f>
        <v>45913+RONNE RODRIGUES DE SOUSA - 5025+GOIANIA (GO) X SAO LUIS (MA)</v>
      </c>
      <c r="G650" s="1" t="str">
        <f>_xlfn.CONCAT(tabE.Flux[[#This Row],[DATA]],"+",tabE.Flux[[#This Row],[LINHA]])</f>
        <v>45913+GOIANIA (GO) X SAO LUIS (MA)</v>
      </c>
      <c r="H650" s="125">
        <v>45913</v>
      </c>
      <c r="I650" s="1" t="s">
        <v>15</v>
      </c>
      <c r="J650" s="1">
        <v>24015</v>
      </c>
      <c r="K650" s="126">
        <v>0.75</v>
      </c>
      <c r="L650" s="126">
        <v>0.79166666666666663</v>
      </c>
      <c r="M650" s="1" t="s">
        <v>42</v>
      </c>
      <c r="N650" s="1" t="s">
        <v>16</v>
      </c>
      <c r="O650" s="1" t="s">
        <v>55</v>
      </c>
      <c r="P650" s="1" t="s">
        <v>85</v>
      </c>
      <c r="Q650" s="1" t="s">
        <v>23</v>
      </c>
    </row>
    <row r="651" spans="3:17" x14ac:dyDescent="0.25">
      <c r="C651" s="1" t="str">
        <f>_xlfn.CONCAT(tabE.Flux[[#This Row],[DATA]],"+",tabE.Flux[[#This Row],[MOTORISTA + MATRÍCULA A]])</f>
        <v>45913+CANCELADO</v>
      </c>
      <c r="D651" s="1" t="str">
        <f>_xlfn.CONCAT(tabE.Flux[[#This Row],[DATA]],"+",tabE.Flux[[#This Row],[MOTORISTA + MATRÍCULA B]])</f>
        <v>45913+CANCELADO</v>
      </c>
      <c r="E651" s="1" t="str">
        <f>_xlfn.CONCAT(tabE.Flux[[#This Row],[DATA]],"+",tabE.Flux[[#This Row],[MOTORISTA + MATRÍCULA A]],"+",tabE.Flux[[#This Row],[LINHA]])</f>
        <v>45913+CANCELADO+IMPERATRIZ (MA) X SÃO LUIS (MA)</v>
      </c>
      <c r="F651" s="1" t="str">
        <f>_xlfn.CONCAT(tabE.Flux[[#This Row],[DATA]],"+",tabE.Flux[[#This Row],[MOTORISTA + MATRÍCULA B]],"+",tabE.Flux[[#This Row],[LINHA]])</f>
        <v>45913+CANCELADO+IMPERATRIZ (MA) X SÃO LUIS (MA)</v>
      </c>
      <c r="G651" s="1" t="str">
        <f>_xlfn.CONCAT(tabE.Flux[[#This Row],[DATA]],"+",tabE.Flux[[#This Row],[LINHA]])</f>
        <v>45913+IMPERATRIZ (MA) X SÃO LUIS (MA)</v>
      </c>
      <c r="H651" s="125">
        <v>45913</v>
      </c>
      <c r="I651" s="1" t="s">
        <v>15</v>
      </c>
      <c r="J651" s="1" t="s">
        <v>27</v>
      </c>
      <c r="K651" s="126">
        <v>0.77083333333333337</v>
      </c>
      <c r="L651" s="126">
        <v>0.79513888888888884</v>
      </c>
      <c r="M651" s="1" t="s">
        <v>42</v>
      </c>
      <c r="N651" s="1" t="s">
        <v>16</v>
      </c>
      <c r="O651" s="1" t="s">
        <v>27</v>
      </c>
      <c r="P651" s="1" t="s">
        <v>27</v>
      </c>
      <c r="Q651" s="1" t="s">
        <v>47</v>
      </c>
    </row>
    <row r="652" spans="3:17" x14ac:dyDescent="0.25">
      <c r="C652" s="1" t="str">
        <f>_xlfn.CONCAT(tabE.Flux[[#This Row],[DATA]],"+",tabE.Flux[[#This Row],[MOTORISTA + MATRÍCULA A]])</f>
        <v>45913+HERMENEGILDO JOSE LEITE DE BRITO NETO - 2653</v>
      </c>
      <c r="D652" s="1" t="str">
        <f>_xlfn.CONCAT(tabE.Flux[[#This Row],[DATA]],"+",tabE.Flux[[#This Row],[MOTORISTA + MATRÍCULA B]])</f>
        <v>45913+REGISMAR ANTONIO TEODORO DA COSTA - 2966</v>
      </c>
      <c r="E652" s="1" t="str">
        <f>_xlfn.CONCAT(tabE.Flux[[#This Row],[DATA]],"+",tabE.Flux[[#This Row],[MOTORISTA + MATRÍCULA A]],"+",tabE.Flux[[#This Row],[LINHA]])</f>
        <v>45913+HERMENEGILDO JOSE LEITE DE BRITO NETO - 2653+GOIANIA (GO) X TERESINA (PI) VIA BC</v>
      </c>
      <c r="F652" s="1" t="str">
        <f>_xlfn.CONCAT(tabE.Flux[[#This Row],[DATA]],"+",tabE.Flux[[#This Row],[MOTORISTA + MATRÍCULA B]],"+",tabE.Flux[[#This Row],[LINHA]])</f>
        <v>45913+REGISMAR ANTONIO TEODORO DA COSTA - 2966+GOIANIA (GO) X TERESINA (PI) VIA BC</v>
      </c>
      <c r="G652" s="1" t="str">
        <f>_xlfn.CONCAT(tabE.Flux[[#This Row],[DATA]],"+",tabE.Flux[[#This Row],[LINHA]])</f>
        <v>45913+GOIANIA (GO) X TERESINA (PI) VIA BC</v>
      </c>
      <c r="H652" s="125">
        <v>45913</v>
      </c>
      <c r="I652" s="1" t="s">
        <v>15</v>
      </c>
      <c r="J652" s="1">
        <v>25007</v>
      </c>
      <c r="K652" s="126">
        <v>0.89583333333333337</v>
      </c>
      <c r="L652" s="126">
        <v>0.91666666666666663</v>
      </c>
      <c r="M652" s="1" t="s">
        <v>36</v>
      </c>
      <c r="N652" s="1" t="s">
        <v>17</v>
      </c>
      <c r="O652" s="1" t="s">
        <v>224</v>
      </c>
      <c r="P652" s="1" t="s">
        <v>206</v>
      </c>
      <c r="Q652" s="1" t="s">
        <v>39</v>
      </c>
    </row>
    <row r="653" spans="3:17" x14ac:dyDescent="0.25">
      <c r="C653" s="1" t="str">
        <f>_xlfn.CONCAT(tabE.Flux[[#This Row],[DATA]],"+",tabE.Flux[[#This Row],[MOTORISTA + MATRÍCULA A]])</f>
        <v>45913+ANTONIO FRANCINALDO DE OLIVEIRA MARQUES - 5018</v>
      </c>
      <c r="D653" s="1" t="str">
        <f>_xlfn.CONCAT(tabE.Flux[[#This Row],[DATA]],"+",tabE.Flux[[#This Row],[MOTORISTA + MATRÍCULA B]])</f>
        <v>45913+JOSE ALVES DA ROCHA - 5035</v>
      </c>
      <c r="E653" s="1" t="str">
        <f>_xlfn.CONCAT(tabE.Flux[[#This Row],[DATA]],"+",tabE.Flux[[#This Row],[MOTORISTA + MATRÍCULA A]],"+",tabE.Flux[[#This Row],[LINHA]])</f>
        <v>45913+ANTONIO FRANCINALDO DE OLIVEIRA MARQUES - 5018+GOIANIA (GO) X BELEM (PA)</v>
      </c>
      <c r="F653" s="1" t="str">
        <f>_xlfn.CONCAT(tabE.Flux[[#This Row],[DATA]],"+",tabE.Flux[[#This Row],[MOTORISTA + MATRÍCULA B]],"+",tabE.Flux[[#This Row],[LINHA]])</f>
        <v>45913+JOSE ALVES DA ROCHA - 5035+GOIANIA (GO) X BELEM (PA)</v>
      </c>
      <c r="G653" s="1" t="str">
        <f>_xlfn.CONCAT(tabE.Flux[[#This Row],[DATA]],"+",tabE.Flux[[#This Row],[LINHA]])</f>
        <v>45913+GOIANIA (GO) X BELEM (PA)</v>
      </c>
      <c r="H653" s="125">
        <v>45913</v>
      </c>
      <c r="I653" s="1" t="s">
        <v>15</v>
      </c>
      <c r="J653" s="1">
        <v>24004</v>
      </c>
      <c r="K653" s="126">
        <v>0.76041666666666663</v>
      </c>
      <c r="L653" s="126">
        <v>0.77083333333333337</v>
      </c>
      <c r="M653" s="1" t="s">
        <v>33</v>
      </c>
      <c r="N653" s="1" t="s">
        <v>16</v>
      </c>
      <c r="O653" s="1" t="s">
        <v>233</v>
      </c>
      <c r="P653" s="1" t="s">
        <v>91</v>
      </c>
      <c r="Q653" s="1" t="s">
        <v>20</v>
      </c>
    </row>
    <row r="654" spans="3:17" x14ac:dyDescent="0.25">
      <c r="C654" s="1" t="str">
        <f>_xlfn.CONCAT(tabE.Flux[[#This Row],[DATA]],"+",tabE.Flux[[#This Row],[MOTORISTA + MATRÍCULA A]])</f>
        <v>45913+FRANCISCO ALVES DA PAZ JUNIOR - 1247</v>
      </c>
      <c r="D654" s="1" t="str">
        <f>_xlfn.CONCAT(tabE.Flux[[#This Row],[DATA]],"+",tabE.Flux[[#This Row],[MOTORISTA + MATRÍCULA B]])</f>
        <v>45913+RAIMUNDO FERNANDES RIBEIRO - 907</v>
      </c>
      <c r="E654" s="1" t="str">
        <f>_xlfn.CONCAT(tabE.Flux[[#This Row],[DATA]],"+",tabE.Flux[[#This Row],[MOTORISTA + MATRÍCULA A]],"+",tabE.Flux[[#This Row],[LINHA]])</f>
        <v>45913+FRANCISCO ALVES DA PAZ JUNIOR - 1247+GOIANIA (GO) X BELEM (PA)</v>
      </c>
      <c r="F654" s="1" t="str">
        <f>_xlfn.CONCAT(tabE.Flux[[#This Row],[DATA]],"+",tabE.Flux[[#This Row],[MOTORISTA + MATRÍCULA B]],"+",tabE.Flux[[#This Row],[LINHA]])</f>
        <v>45913+RAIMUNDO FERNANDES RIBEIRO - 907+GOIANIA (GO) X BELEM (PA)</v>
      </c>
      <c r="G654" s="1" t="str">
        <f>_xlfn.CONCAT(tabE.Flux[[#This Row],[DATA]],"+",tabE.Flux[[#This Row],[LINHA]])</f>
        <v>45913+GOIANIA (GO) X BELEM (PA)</v>
      </c>
      <c r="H654" s="125">
        <v>45913</v>
      </c>
      <c r="I654" s="1" t="s">
        <v>15</v>
      </c>
      <c r="J654" s="1">
        <v>25011</v>
      </c>
      <c r="K654" s="126">
        <v>0.76041666666666663</v>
      </c>
      <c r="L654" s="126">
        <v>0.82777777777777772</v>
      </c>
      <c r="M654" s="1" t="s">
        <v>16</v>
      </c>
      <c r="N654" s="1" t="s">
        <v>33</v>
      </c>
      <c r="O654" s="1" t="s">
        <v>144</v>
      </c>
      <c r="P654" s="1" t="s">
        <v>143</v>
      </c>
      <c r="Q654" s="1" t="s">
        <v>20</v>
      </c>
    </row>
    <row r="655" spans="3:17" x14ac:dyDescent="0.25">
      <c r="C655" s="1" t="str">
        <f>_xlfn.CONCAT(tabE.Flux[[#This Row],[DATA]],"+",tabE.Flux[[#This Row],[MOTORISTA + MATRÍCULA A]])</f>
        <v>45913+RAIMUNDO GUIMARAES ARAUJO - 1920</v>
      </c>
      <c r="D655" s="1" t="str">
        <f>_xlfn.CONCAT(tabE.Flux[[#This Row],[DATA]],"+",tabE.Flux[[#This Row],[MOTORISTA + MATRÍCULA B]])</f>
        <v>45913+KAYLSON KLEYTON DA SILVA COSTA - 6224</v>
      </c>
      <c r="E655" s="1" t="str">
        <f>_xlfn.CONCAT(tabE.Flux[[#This Row],[DATA]],"+",tabE.Flux[[#This Row],[MOTORISTA + MATRÍCULA A]],"+",tabE.Flux[[#This Row],[LINHA]])</f>
        <v>45913+RAIMUNDO GUIMARAES ARAUJO - 1920+GOIANIA (GO) X SAO LUIS (MA)</v>
      </c>
      <c r="F655" s="1" t="str">
        <f>_xlfn.CONCAT(tabE.Flux[[#This Row],[DATA]],"+",tabE.Flux[[#This Row],[MOTORISTA + MATRÍCULA B]],"+",tabE.Flux[[#This Row],[LINHA]])</f>
        <v>45913+KAYLSON KLEYTON DA SILVA COSTA - 6224+GOIANIA (GO) X SAO LUIS (MA)</v>
      </c>
      <c r="G655" s="1" t="str">
        <f>_xlfn.CONCAT(tabE.Flux[[#This Row],[DATA]],"+",tabE.Flux[[#This Row],[LINHA]])</f>
        <v>45913+GOIANIA (GO) X SAO LUIS (MA)</v>
      </c>
      <c r="H655" s="125">
        <v>45913</v>
      </c>
      <c r="I655" s="1" t="s">
        <v>15</v>
      </c>
      <c r="J655" s="1">
        <v>19007</v>
      </c>
      <c r="K655" s="126">
        <v>0.40763888888888888</v>
      </c>
      <c r="L655" s="126">
        <v>0.47013888888888888</v>
      </c>
      <c r="M655" s="1" t="s">
        <v>16</v>
      </c>
      <c r="N655" s="1" t="s">
        <v>42</v>
      </c>
      <c r="O655" s="1" t="s">
        <v>231</v>
      </c>
      <c r="P655" s="1" t="s">
        <v>80</v>
      </c>
      <c r="Q655" s="1" t="s">
        <v>23</v>
      </c>
    </row>
    <row r="656" spans="3:17" x14ac:dyDescent="0.25">
      <c r="C656" s="1" t="str">
        <f>_xlfn.CONCAT(tabE.Flux[[#This Row],[DATA]],"+",tabE.Flux[[#This Row],[MOTORISTA + MATRÍCULA A]])</f>
        <v>45913+CANCELADO</v>
      </c>
      <c r="D656" s="1" t="str">
        <f>_xlfn.CONCAT(tabE.Flux[[#This Row],[DATA]],"+",tabE.Flux[[#This Row],[MOTORISTA + MATRÍCULA B]])</f>
        <v>45913+CANCELADO</v>
      </c>
      <c r="E656" s="1" t="str">
        <f>_xlfn.CONCAT(tabE.Flux[[#This Row],[DATA]],"+",tabE.Flux[[#This Row],[MOTORISTA + MATRÍCULA A]],"+",tabE.Flux[[#This Row],[LINHA]])</f>
        <v>45913+CANCELADO+IMPERATRIZ (MA) X SÃO LUIS (MA)</v>
      </c>
      <c r="F656" s="1" t="str">
        <f>_xlfn.CONCAT(tabE.Flux[[#This Row],[DATA]],"+",tabE.Flux[[#This Row],[MOTORISTA + MATRÍCULA B]],"+",tabE.Flux[[#This Row],[LINHA]])</f>
        <v>45913+CANCELADO+IMPERATRIZ (MA) X SÃO LUIS (MA)</v>
      </c>
      <c r="G656" s="1" t="str">
        <f>_xlfn.CONCAT(tabE.Flux[[#This Row],[DATA]],"+",tabE.Flux[[#This Row],[LINHA]])</f>
        <v>45913+IMPERATRIZ (MA) X SÃO LUIS (MA)</v>
      </c>
      <c r="H656" s="125">
        <v>45913</v>
      </c>
      <c r="I656" s="1" t="s">
        <v>15</v>
      </c>
      <c r="J656" s="1" t="s">
        <v>27</v>
      </c>
      <c r="K656" s="126">
        <v>0.77083333333333337</v>
      </c>
      <c r="L656" s="126">
        <v>0.8125</v>
      </c>
      <c r="M656" s="1" t="s">
        <v>16</v>
      </c>
      <c r="N656" s="1" t="s">
        <v>42</v>
      </c>
      <c r="O656" s="1" t="s">
        <v>27</v>
      </c>
      <c r="P656" s="1" t="s">
        <v>27</v>
      </c>
      <c r="Q656" s="1" t="s">
        <v>47</v>
      </c>
    </row>
    <row r="657" spans="3:17" x14ac:dyDescent="0.25">
      <c r="C657" s="1" t="str">
        <f>_xlfn.CONCAT(tabE.Flux[[#This Row],[DATA]],"+",tabE.Flux[[#This Row],[MOTORISTA + MATRÍCULA A]])</f>
        <v>45913+MANOEL MESSIAS SILVA DOS SANTOS - 1833</v>
      </c>
      <c r="D657" s="1" t="str">
        <f>_xlfn.CONCAT(tabE.Flux[[#This Row],[DATA]],"+",tabE.Flux[[#This Row],[MOTORISTA + MATRÍCULA B]])</f>
        <v>45913+ALTEMAR DO NASCIMENTO LIMA - 6225</v>
      </c>
      <c r="E657" s="1" t="str">
        <f>_xlfn.CONCAT(tabE.Flux[[#This Row],[DATA]],"+",tabE.Flux[[#This Row],[MOTORISTA + MATRÍCULA A]],"+",tabE.Flux[[#This Row],[LINHA]])</f>
        <v>45913+MANOEL MESSIAS SILVA DOS SANTOS - 1833+GOIANIA (GO) X SAO LUIS (MA)</v>
      </c>
      <c r="F657" s="1" t="str">
        <f>_xlfn.CONCAT(tabE.Flux[[#This Row],[DATA]],"+",tabE.Flux[[#This Row],[MOTORISTA + MATRÍCULA B]],"+",tabE.Flux[[#This Row],[LINHA]])</f>
        <v>45913+ALTEMAR DO NASCIMENTO LIMA - 6225+GOIANIA (GO) X SAO LUIS (MA)</v>
      </c>
      <c r="G657" s="1" t="str">
        <f>_xlfn.CONCAT(tabE.Flux[[#This Row],[DATA]],"+",tabE.Flux[[#This Row],[LINHA]])</f>
        <v>45913+GOIANIA (GO) X SAO LUIS (MA)</v>
      </c>
      <c r="H657" s="125">
        <v>45913</v>
      </c>
      <c r="I657" s="1" t="s">
        <v>15</v>
      </c>
      <c r="J657" s="1">
        <v>25008</v>
      </c>
      <c r="K657" s="126">
        <v>0.8125</v>
      </c>
      <c r="L657" s="126">
        <v>0.84375</v>
      </c>
      <c r="M657" s="1" t="s">
        <v>16</v>
      </c>
      <c r="N657" s="1" t="s">
        <v>42</v>
      </c>
      <c r="O657" s="1" t="s">
        <v>173</v>
      </c>
      <c r="P657" s="1" t="s">
        <v>57</v>
      </c>
      <c r="Q657" s="1" t="s">
        <v>23</v>
      </c>
    </row>
    <row r="658" spans="3:17" x14ac:dyDescent="0.25">
      <c r="C658" s="1" t="str">
        <f>_xlfn.CONCAT(tabE.Flux[[#This Row],[DATA]],"+",tabE.Flux[[#This Row],[MOTORISTA + MATRÍCULA A]])</f>
        <v>45913+LUIS ANTONIO FARIAS RIBEIRO - 2789</v>
      </c>
      <c r="D658" s="1" t="str">
        <f>_xlfn.CONCAT(tabE.Flux[[#This Row],[DATA]],"+",tabE.Flux[[#This Row],[MOTORISTA + MATRÍCULA B]])</f>
        <v>45913+EDIMILSON LUIS FRANÇA - 5442</v>
      </c>
      <c r="E658" s="1" t="str">
        <f>_xlfn.CONCAT(tabE.Flux[[#This Row],[DATA]],"+",tabE.Flux[[#This Row],[MOTORISTA + MATRÍCULA A]],"+",tabE.Flux[[#This Row],[LINHA]])</f>
        <v>45913+LUIS ANTONIO FARIAS RIBEIRO - 2789+GOIANIA (GO) X TERESINA (PI) VIA STI</v>
      </c>
      <c r="F658" s="1" t="str">
        <f>_xlfn.CONCAT(tabE.Flux[[#This Row],[DATA]],"+",tabE.Flux[[#This Row],[MOTORISTA + MATRÍCULA B]],"+",tabE.Flux[[#This Row],[LINHA]])</f>
        <v>45913+EDIMILSON LUIS FRANÇA - 5442+GOIANIA (GO) X TERESINA (PI) VIA STI</v>
      </c>
      <c r="G658" s="1" t="str">
        <f>_xlfn.CONCAT(tabE.Flux[[#This Row],[DATA]],"+",tabE.Flux[[#This Row],[LINHA]])</f>
        <v>45913+GOIANIA (GO) X TERESINA (PI) VIA STI</v>
      </c>
      <c r="H658" s="125">
        <v>45913</v>
      </c>
      <c r="I658" s="1" t="s">
        <v>15</v>
      </c>
      <c r="J658" s="1">
        <v>19024</v>
      </c>
      <c r="K658" s="126">
        <v>0.77083333333333337</v>
      </c>
      <c r="L658" s="126">
        <v>0.79861111111111116</v>
      </c>
      <c r="M658" s="1" t="s">
        <v>16</v>
      </c>
      <c r="N658" s="1" t="s">
        <v>29</v>
      </c>
      <c r="O658" s="1" t="s">
        <v>124</v>
      </c>
      <c r="P658" s="1" t="s">
        <v>89</v>
      </c>
      <c r="Q658" s="1" t="s">
        <v>26</v>
      </c>
    </row>
    <row r="659" spans="3:17" x14ac:dyDescent="0.25">
      <c r="C659" s="1" t="str">
        <f>_xlfn.CONCAT(tabE.Flux[[#This Row],[DATA]],"+",tabE.Flux[[#This Row],[MOTORISTA + MATRÍCULA A]])</f>
        <v>45913+AELSON PEREIRA DO NASCIMENTO - 5682</v>
      </c>
      <c r="D659" s="1" t="str">
        <f>_xlfn.CONCAT(tabE.Flux[[#This Row],[DATA]],"+",tabE.Flux[[#This Row],[MOTORISTA + MATRÍCULA B]])</f>
        <v>45913+MARCOS ATAIDE SILVA - 1352</v>
      </c>
      <c r="E659" s="1" t="str">
        <f>_xlfn.CONCAT(tabE.Flux[[#This Row],[DATA]],"+",tabE.Flux[[#This Row],[MOTORISTA + MATRÍCULA A]],"+",tabE.Flux[[#This Row],[LINHA]])</f>
        <v>45913+AELSON PEREIRA DO NASCIMENTO - 5682+GOIANIA (GO) X SAO LUIS (MA)</v>
      </c>
      <c r="F659" s="1" t="str">
        <f>_xlfn.CONCAT(tabE.Flux[[#This Row],[DATA]],"+",tabE.Flux[[#This Row],[MOTORISTA + MATRÍCULA B]],"+",tabE.Flux[[#This Row],[LINHA]])</f>
        <v>45913+MARCOS ATAIDE SILVA - 1352+GOIANIA (GO) X SAO LUIS (MA)</v>
      </c>
      <c r="G659" s="1" t="str">
        <f>_xlfn.CONCAT(tabE.Flux[[#This Row],[DATA]],"+",tabE.Flux[[#This Row],[LINHA]])</f>
        <v>45913+GOIANIA (GO) X SAO LUIS (MA)</v>
      </c>
      <c r="H659" s="125">
        <v>45913</v>
      </c>
      <c r="I659" s="1" t="s">
        <v>15</v>
      </c>
      <c r="J659" s="1">
        <v>20018</v>
      </c>
      <c r="K659" s="126">
        <v>0.8125</v>
      </c>
      <c r="L659" s="126">
        <v>0.84166666666666667</v>
      </c>
      <c r="M659" s="1" t="s">
        <v>16</v>
      </c>
      <c r="N659" s="1" t="s">
        <v>17</v>
      </c>
      <c r="O659" s="1" t="s">
        <v>88</v>
      </c>
      <c r="P659" s="1" t="s">
        <v>113</v>
      </c>
      <c r="Q659" s="1" t="s">
        <v>23</v>
      </c>
    </row>
    <row r="660" spans="3:17" x14ac:dyDescent="0.25">
      <c r="C660" s="1" t="str">
        <f>_xlfn.CONCAT(tabE.Flux[[#This Row],[DATA]],"+",tabE.Flux[[#This Row],[MOTORISTA + MATRÍCULA A]])</f>
        <v>45913+JOSE POLICARPO DE SOUSA NETO - 1472</v>
      </c>
      <c r="D660" s="1" t="str">
        <f>_xlfn.CONCAT(tabE.Flux[[#This Row],[DATA]],"+",tabE.Flux[[#This Row],[MOTORISTA + MATRÍCULA B]])</f>
        <v>45913+ANDRE SOUSA REIS - 2644</v>
      </c>
      <c r="E660" s="1" t="str">
        <f>_xlfn.CONCAT(tabE.Flux[[#This Row],[DATA]],"+",tabE.Flux[[#This Row],[MOTORISTA + MATRÍCULA A]],"+",tabE.Flux[[#This Row],[LINHA]])</f>
        <v>45913+JOSE POLICARPO DE SOUSA NETO - 1472+FORTALEZA (CE) X SINOP (MT)</v>
      </c>
      <c r="F660" s="1" t="str">
        <f>_xlfn.CONCAT(tabE.Flux[[#This Row],[DATA]],"+",tabE.Flux[[#This Row],[MOTORISTA + MATRÍCULA B]],"+",tabE.Flux[[#This Row],[LINHA]])</f>
        <v>45913+ANDRE SOUSA REIS - 2644+FORTALEZA (CE) X SINOP (MT)</v>
      </c>
      <c r="G660" s="1" t="str">
        <f>_xlfn.CONCAT(tabE.Flux[[#This Row],[DATA]],"+",tabE.Flux[[#This Row],[LINHA]])</f>
        <v>45913+FORTALEZA (CE) X SINOP (MT)</v>
      </c>
      <c r="H660" s="125">
        <v>45913</v>
      </c>
      <c r="I660" s="1" t="s">
        <v>15</v>
      </c>
      <c r="J660" s="1">
        <v>19006</v>
      </c>
      <c r="K660" s="126">
        <v>0.8125</v>
      </c>
      <c r="L660" s="126">
        <v>0.85416666666666663</v>
      </c>
      <c r="M660" s="1" t="s">
        <v>16</v>
      </c>
      <c r="N660" s="1" t="s">
        <v>17</v>
      </c>
      <c r="O660" s="1" t="s">
        <v>54</v>
      </c>
      <c r="P660" s="1" t="s">
        <v>63</v>
      </c>
      <c r="Q660" s="1" t="s">
        <v>32</v>
      </c>
    </row>
    <row r="661" spans="3:17" x14ac:dyDescent="0.25">
      <c r="C661" s="1" t="str">
        <f>_xlfn.CONCAT(tabE.Flux[[#This Row],[DATA]],"+",tabE.Flux[[#This Row],[MOTORISTA + MATRÍCULA A]])</f>
        <v>45913+PAULO TRINDADE DE ALMEIDA - 5742</v>
      </c>
      <c r="D661" s="1" t="str">
        <f>_xlfn.CONCAT(tabE.Flux[[#This Row],[DATA]],"+",tabE.Flux[[#This Row],[MOTORISTA + MATRÍCULA B]])</f>
        <v>45913+JEZANIAS GOIS DOS SANTOS - 5573</v>
      </c>
      <c r="E661" s="1" t="str">
        <f>_xlfn.CONCAT(tabE.Flux[[#This Row],[DATA]],"+",tabE.Flux[[#This Row],[MOTORISTA + MATRÍCULA A]],"+",tabE.Flux[[#This Row],[LINHA]])</f>
        <v>45913+PAULO TRINDADE DE ALMEIDA - 5742+GOIANIA (GO) X BELEM (PA)</v>
      </c>
      <c r="F661" s="1" t="str">
        <f>_xlfn.CONCAT(tabE.Flux[[#This Row],[DATA]],"+",tabE.Flux[[#This Row],[MOTORISTA + MATRÍCULA B]],"+",tabE.Flux[[#This Row],[LINHA]])</f>
        <v>45913+JEZANIAS GOIS DOS SANTOS - 5573+GOIANIA (GO) X BELEM (PA)</v>
      </c>
      <c r="G661" s="1" t="str">
        <f>_xlfn.CONCAT(tabE.Flux[[#This Row],[DATA]],"+",tabE.Flux[[#This Row],[LINHA]])</f>
        <v>45913+GOIANIA (GO) X BELEM (PA)</v>
      </c>
      <c r="H661" s="125">
        <v>45913</v>
      </c>
      <c r="I661" s="1" t="s">
        <v>15</v>
      </c>
      <c r="J661" s="1">
        <v>19009</v>
      </c>
      <c r="K661" s="126">
        <v>0.84722222222222221</v>
      </c>
      <c r="L661" s="126">
        <v>0.87847222222222221</v>
      </c>
      <c r="M661" s="1" t="s">
        <v>16</v>
      </c>
      <c r="N661" s="1" t="s">
        <v>17</v>
      </c>
      <c r="O661" s="1" t="s">
        <v>153</v>
      </c>
      <c r="P661" s="1" t="s">
        <v>196</v>
      </c>
      <c r="Q661" s="1" t="s">
        <v>20</v>
      </c>
    </row>
    <row r="662" spans="3:17" x14ac:dyDescent="0.25">
      <c r="C662" s="1" t="str">
        <f>_xlfn.CONCAT(tabE.Flux[[#This Row],[DATA]],"+",tabE.Flux[[#This Row],[MOTORISTA + MATRÍCULA A]])</f>
        <v>+</v>
      </c>
      <c r="D662" s="1" t="str">
        <f>_xlfn.CONCAT(tabE.Flux[[#This Row],[DATA]],"+",tabE.Flux[[#This Row],[MOTORISTA + MATRÍCULA B]])</f>
        <v>+</v>
      </c>
      <c r="E662" s="1" t="str">
        <f>_xlfn.CONCAT(tabE.Flux[[#This Row],[DATA]],"+",tabE.Flux[[#This Row],[MOTORISTA + MATRÍCULA A]],"+",tabE.Flux[[#This Row],[LINHA]])</f>
        <v>++</v>
      </c>
      <c r="F662" s="1" t="str">
        <f>_xlfn.CONCAT(tabE.Flux[[#This Row],[DATA]],"+",tabE.Flux[[#This Row],[MOTORISTA + MATRÍCULA B]],"+",tabE.Flux[[#This Row],[LINHA]])</f>
        <v>++</v>
      </c>
      <c r="G662" s="1" t="str">
        <f>_xlfn.CONCAT(tabE.Flux[[#This Row],[DATA]],"+",tabE.Flux[[#This Row],[LINHA]])</f>
        <v>+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3:17" x14ac:dyDescent="0.25">
      <c r="C663" s="1" t="str">
        <f>_xlfn.CONCAT(tabE.Flux[[#This Row],[DATA]],"+",tabE.Flux[[#This Row],[MOTORISTA + MATRÍCULA A]])</f>
        <v>45914+ALCENILDE BARBOSA ARAUJO - 1745</v>
      </c>
      <c r="D663" s="1" t="str">
        <f>_xlfn.CONCAT(tabE.Flux[[#This Row],[DATA]],"+",tabE.Flux[[#This Row],[MOTORISTA + MATRÍCULA B]])</f>
        <v>45914+LUSIMAR SOARES ROCHA - 5987</v>
      </c>
      <c r="E663" s="1" t="str">
        <f>_xlfn.CONCAT(tabE.Flux[[#This Row],[DATA]],"+",tabE.Flux[[#This Row],[MOTORISTA + MATRÍCULA A]],"+",tabE.Flux[[#This Row],[LINHA]])</f>
        <v>45914+ALCENILDE BARBOSA ARAUJO - 1745+GOIANIA (GO) X BELEM (PA)</v>
      </c>
      <c r="F663" s="1" t="str">
        <f>_xlfn.CONCAT(tabE.Flux[[#This Row],[DATA]],"+",tabE.Flux[[#This Row],[MOTORISTA + MATRÍCULA B]],"+",tabE.Flux[[#This Row],[LINHA]])</f>
        <v>45914+LUSIMAR SOARES ROCHA - 5987+GOIANIA (GO) X BELEM (PA)</v>
      </c>
      <c r="G663" s="1" t="str">
        <f>_xlfn.CONCAT(tabE.Flux[[#This Row],[DATA]],"+",tabE.Flux[[#This Row],[LINHA]])</f>
        <v>45914+GOIANIA (GO) X BELEM (PA)</v>
      </c>
      <c r="H663" s="125">
        <v>45914</v>
      </c>
      <c r="I663" s="1" t="s">
        <v>15</v>
      </c>
      <c r="J663" s="1">
        <v>24004</v>
      </c>
      <c r="K663" s="126">
        <v>0.25486111111111109</v>
      </c>
      <c r="L663" s="126">
        <v>0.3</v>
      </c>
      <c r="M663" s="1" t="s">
        <v>16</v>
      </c>
      <c r="N663" s="1" t="s">
        <v>17</v>
      </c>
      <c r="O663" s="1" t="s">
        <v>137</v>
      </c>
      <c r="P663" s="1" t="s">
        <v>214</v>
      </c>
      <c r="Q663" s="1" t="s">
        <v>20</v>
      </c>
    </row>
    <row r="664" spans="3:17" x14ac:dyDescent="0.25">
      <c r="C664" s="1" t="str">
        <f>_xlfn.CONCAT(tabE.Flux[[#This Row],[DATA]],"+",tabE.Flux[[#This Row],[MOTORISTA + MATRÍCULA A]])</f>
        <v>45914+OLIVEIRA DE MELO ARRUDA - 5251</v>
      </c>
      <c r="D664" s="1" t="str">
        <f>_xlfn.CONCAT(tabE.Flux[[#This Row],[DATA]],"+",tabE.Flux[[#This Row],[MOTORISTA + MATRÍCULA B]])</f>
        <v>45914+VANDERSON GURGEL DO AMARAL - 2734</v>
      </c>
      <c r="E664" s="1" t="str">
        <f>_xlfn.CONCAT(tabE.Flux[[#This Row],[DATA]],"+",tabE.Flux[[#This Row],[MOTORISTA + MATRÍCULA A]],"+",tabE.Flux[[#This Row],[LINHA]])</f>
        <v>45914+OLIVEIRA DE MELO ARRUDA - 5251+GOIANIA (GO) X SAO LUIS (MA)</v>
      </c>
      <c r="F664" s="1" t="str">
        <f>_xlfn.CONCAT(tabE.Flux[[#This Row],[DATA]],"+",tabE.Flux[[#This Row],[MOTORISTA + MATRÍCULA B]],"+",tabE.Flux[[#This Row],[LINHA]])</f>
        <v>45914+VANDERSON GURGEL DO AMARAL - 2734+GOIANIA (GO) X SAO LUIS (MA)</v>
      </c>
      <c r="G664" s="1" t="str">
        <f>_xlfn.CONCAT(tabE.Flux[[#This Row],[DATA]],"+",tabE.Flux[[#This Row],[LINHA]])</f>
        <v>45914+GOIANIA (GO) X SAO LUIS (MA)</v>
      </c>
      <c r="H664" s="125">
        <v>45914</v>
      </c>
      <c r="I664" s="1" t="s">
        <v>15</v>
      </c>
      <c r="J664" s="1">
        <v>24015</v>
      </c>
      <c r="K664" s="126">
        <v>0.32291666666666669</v>
      </c>
      <c r="L664" s="126">
        <v>0.33333333333333331</v>
      </c>
      <c r="M664" s="1" t="s">
        <v>16</v>
      </c>
      <c r="N664" s="1" t="s">
        <v>17</v>
      </c>
      <c r="O664" s="1" t="s">
        <v>157</v>
      </c>
      <c r="P664" s="1" t="s">
        <v>158</v>
      </c>
      <c r="Q664" s="1" t="s">
        <v>23</v>
      </c>
    </row>
    <row r="665" spans="3:17" x14ac:dyDescent="0.25">
      <c r="C665" s="1" t="str">
        <f>_xlfn.CONCAT(tabE.Flux[[#This Row],[DATA]],"+",tabE.Flux[[#This Row],[MOTORISTA + MATRÍCULA A]])</f>
        <v>45914+CLEITON ALENCAR DA ROCHA - 1146</v>
      </c>
      <c r="D665" s="1" t="str">
        <f>_xlfn.CONCAT(tabE.Flux[[#This Row],[DATA]],"+",tabE.Flux[[#This Row],[MOTORISTA + MATRÍCULA B]])</f>
        <v>45914+DJALMA SOARES GUIMARAES - 1948</v>
      </c>
      <c r="E665" s="1" t="str">
        <f>_xlfn.CONCAT(tabE.Flux[[#This Row],[DATA]],"+",tabE.Flux[[#This Row],[MOTORISTA + MATRÍCULA A]],"+",tabE.Flux[[#This Row],[LINHA]])</f>
        <v>45914+CLEITON ALENCAR DA ROCHA - 1146+GOIANIA (GO) X TERESINA (PI) VIA STI</v>
      </c>
      <c r="F665" s="1" t="str">
        <f>_xlfn.CONCAT(tabE.Flux[[#This Row],[DATA]],"+",tabE.Flux[[#This Row],[MOTORISTA + MATRÍCULA B]],"+",tabE.Flux[[#This Row],[LINHA]])</f>
        <v>45914+DJALMA SOARES GUIMARAES - 1948+GOIANIA (GO) X TERESINA (PI) VIA STI</v>
      </c>
      <c r="G665" s="1" t="str">
        <f>_xlfn.CONCAT(tabE.Flux[[#This Row],[DATA]],"+",tabE.Flux[[#This Row],[LINHA]])</f>
        <v>45914+GOIANIA (GO) X TERESINA (PI) VIA STI</v>
      </c>
      <c r="H665" s="125">
        <v>45914</v>
      </c>
      <c r="I665" s="1" t="s">
        <v>15</v>
      </c>
      <c r="J665" s="1">
        <v>19014</v>
      </c>
      <c r="K665" s="126">
        <v>0.3888888888888889</v>
      </c>
      <c r="L665" s="126">
        <v>0.39583333333333331</v>
      </c>
      <c r="M665" s="1" t="s">
        <v>16</v>
      </c>
      <c r="N665" s="1" t="s">
        <v>17</v>
      </c>
      <c r="O665" s="1" t="s">
        <v>105</v>
      </c>
      <c r="P665" s="1" t="s">
        <v>237</v>
      </c>
      <c r="Q665" s="1" t="s">
        <v>26</v>
      </c>
    </row>
    <row r="666" spans="3:17" x14ac:dyDescent="0.25">
      <c r="C666" s="1" t="str">
        <f>_xlfn.CONCAT(tabE.Flux[[#This Row],[DATA]],"+",tabE.Flux[[#This Row],[MOTORISTA + MATRÍCULA A]])</f>
        <v>45914+CANCELADO</v>
      </c>
      <c r="D666" s="1" t="str">
        <f>_xlfn.CONCAT(tabE.Flux[[#This Row],[DATA]],"+",tabE.Flux[[#This Row],[MOTORISTA + MATRÍCULA B]])</f>
        <v>45914+CANCELADO</v>
      </c>
      <c r="E666" s="1" t="str">
        <f>_xlfn.CONCAT(tabE.Flux[[#This Row],[DATA]],"+",tabE.Flux[[#This Row],[MOTORISTA + MATRÍCULA A]],"+",tabE.Flux[[#This Row],[LINHA]])</f>
        <v>45914+CANCELADO+IMPERATRIZ (MA) X VILA RICA (MT)</v>
      </c>
      <c r="F666" s="1" t="str">
        <f>_xlfn.CONCAT(tabE.Flux[[#This Row],[DATA]],"+",tabE.Flux[[#This Row],[MOTORISTA + MATRÍCULA B]],"+",tabE.Flux[[#This Row],[LINHA]])</f>
        <v>45914+CANCELADO+IMPERATRIZ (MA) X VILA RICA (MT)</v>
      </c>
      <c r="G666" s="1" t="str">
        <f>_xlfn.CONCAT(tabE.Flux[[#This Row],[DATA]],"+",tabE.Flux[[#This Row],[LINHA]])</f>
        <v>45914+IMPERATRIZ (MA) X VILA RICA (MT)</v>
      </c>
      <c r="H666" s="125">
        <v>45914</v>
      </c>
      <c r="I666" s="1" t="s">
        <v>15</v>
      </c>
      <c r="J666" s="1" t="s">
        <v>27</v>
      </c>
      <c r="K666" s="126">
        <v>0.375</v>
      </c>
      <c r="L666" s="126">
        <v>0.41666666666666669</v>
      </c>
      <c r="M666" s="1" t="s">
        <v>16</v>
      </c>
      <c r="N666" s="1" t="s">
        <v>28</v>
      </c>
      <c r="O666" s="1" t="s">
        <v>27</v>
      </c>
      <c r="P666" s="1" t="s">
        <v>27</v>
      </c>
      <c r="Q666" s="1" t="s">
        <v>100</v>
      </c>
    </row>
    <row r="667" spans="3:17" x14ac:dyDescent="0.25">
      <c r="C667" s="1" t="str">
        <f>_xlfn.CONCAT(tabE.Flux[[#This Row],[DATA]],"+",tabE.Flux[[#This Row],[MOTORISTA + MATRÍCULA A]])</f>
        <v>45914+ESIEL COSTA RODRIGUES - 1749</v>
      </c>
      <c r="D667" s="1" t="str">
        <f>_xlfn.CONCAT(tabE.Flux[[#This Row],[DATA]],"+",tabE.Flux[[#This Row],[MOTORISTA + MATRÍCULA B]])</f>
        <v>45914+JOAO FLAVIO DE SOUSA SILVA - 5270</v>
      </c>
      <c r="E667" s="1" t="str">
        <f>_xlfn.CONCAT(tabE.Flux[[#This Row],[DATA]],"+",tabE.Flux[[#This Row],[MOTORISTA + MATRÍCULA A]],"+",tabE.Flux[[#This Row],[LINHA]])</f>
        <v>45914+ESIEL COSTA RODRIGUES - 1749+FORTALEZA (CE) X SINOP (MT)</v>
      </c>
      <c r="F667" s="1" t="str">
        <f>_xlfn.CONCAT(tabE.Flux[[#This Row],[DATA]],"+",tabE.Flux[[#This Row],[MOTORISTA + MATRÍCULA B]],"+",tabE.Flux[[#This Row],[LINHA]])</f>
        <v>45914+JOAO FLAVIO DE SOUSA SILVA - 5270+FORTALEZA (CE) X SINOP (MT)</v>
      </c>
      <c r="G667" s="1" t="str">
        <f>_xlfn.CONCAT(tabE.Flux[[#This Row],[DATA]],"+",tabE.Flux[[#This Row],[LINHA]])</f>
        <v>45914+FORTALEZA (CE) X SINOP (MT)</v>
      </c>
      <c r="H667" s="125">
        <v>45914</v>
      </c>
      <c r="I667" s="1" t="s">
        <v>15</v>
      </c>
      <c r="J667" s="1">
        <v>19003</v>
      </c>
      <c r="K667" s="126">
        <v>0.3888888888888889</v>
      </c>
      <c r="L667" s="126">
        <v>0.37708333333333333</v>
      </c>
      <c r="M667" s="1" t="s">
        <v>16</v>
      </c>
      <c r="N667" s="1" t="s">
        <v>29</v>
      </c>
      <c r="O667" s="1" t="s">
        <v>46</v>
      </c>
      <c r="P667" s="1" t="s">
        <v>222</v>
      </c>
      <c r="Q667" s="1" t="s">
        <v>32</v>
      </c>
    </row>
    <row r="668" spans="3:17" x14ac:dyDescent="0.25">
      <c r="C668" s="1" t="str">
        <f>_xlfn.CONCAT(tabE.Flux[[#This Row],[DATA]],"+",tabE.Flux[[#This Row],[MOTORISTA + MATRÍCULA A]])</f>
        <v>45914+JOAO FERREIRA COSTA - 5545</v>
      </c>
      <c r="D668" s="1" t="str">
        <f>_xlfn.CONCAT(tabE.Flux[[#This Row],[DATA]],"+",tabE.Flux[[#This Row],[MOTORISTA + MATRÍCULA B]])</f>
        <v>45914+NILSON CORTEZ MIRANDA - 5636</v>
      </c>
      <c r="E668" s="1" t="str">
        <f>_xlfn.CONCAT(tabE.Flux[[#This Row],[DATA]],"+",tabE.Flux[[#This Row],[MOTORISTA + MATRÍCULA A]],"+",tabE.Flux[[#This Row],[LINHA]])</f>
        <v>45914+JOAO FERREIRA COSTA - 5545+GOIANIA (GO) X BELEM (PA)</v>
      </c>
      <c r="F668" s="1" t="str">
        <f>_xlfn.CONCAT(tabE.Flux[[#This Row],[DATA]],"+",tabE.Flux[[#This Row],[MOTORISTA + MATRÍCULA B]],"+",tabE.Flux[[#This Row],[LINHA]])</f>
        <v>45914+NILSON CORTEZ MIRANDA - 5636+GOIANIA (GO) X BELEM (PA)</v>
      </c>
      <c r="G668" s="1" t="str">
        <f>_xlfn.CONCAT(tabE.Flux[[#This Row],[DATA]],"+",tabE.Flux[[#This Row],[LINHA]])</f>
        <v>45914+GOIANIA (GO) X BELEM (PA)</v>
      </c>
      <c r="H668" s="125">
        <v>45914</v>
      </c>
      <c r="I668" s="1" t="s">
        <v>15</v>
      </c>
      <c r="J668" s="1">
        <v>19005</v>
      </c>
      <c r="K668" s="126">
        <v>0.38958333333333334</v>
      </c>
      <c r="L668" s="126">
        <v>0.38541666666666669</v>
      </c>
      <c r="M668" s="1" t="s">
        <v>16</v>
      </c>
      <c r="N668" s="1" t="s">
        <v>33</v>
      </c>
      <c r="O668" s="1" t="s">
        <v>61</v>
      </c>
      <c r="P668" s="1" t="s">
        <v>75</v>
      </c>
      <c r="Q668" s="1" t="s">
        <v>20</v>
      </c>
    </row>
    <row r="669" spans="3:17" x14ac:dyDescent="0.25">
      <c r="C669" s="1" t="str">
        <f>_xlfn.CONCAT(tabE.Flux[[#This Row],[DATA]],"+",tabE.Flux[[#This Row],[MOTORISTA + MATRÍCULA A]])</f>
        <v>45914+JWEBISON DE BRITO SOUZA - 2999</v>
      </c>
      <c r="D669" s="1" t="str">
        <f>_xlfn.CONCAT(tabE.Flux[[#This Row],[DATA]],"+",tabE.Flux[[#This Row],[MOTORISTA + MATRÍCULA B]])</f>
        <v>45914+FRANCISCO CARLOS MELO - 5306</v>
      </c>
      <c r="E669" s="1" t="str">
        <f>_xlfn.CONCAT(tabE.Flux[[#This Row],[DATA]],"+",tabE.Flux[[#This Row],[MOTORISTA + MATRÍCULA A]],"+",tabE.Flux[[#This Row],[LINHA]])</f>
        <v>45914+JWEBISON DE BRITO SOUZA - 2999+GOIANIA (GO) X TERESINA (PI) VIA BC</v>
      </c>
      <c r="F669" s="1" t="str">
        <f>_xlfn.CONCAT(tabE.Flux[[#This Row],[DATA]],"+",tabE.Flux[[#This Row],[MOTORISTA + MATRÍCULA B]],"+",tabE.Flux[[#This Row],[LINHA]])</f>
        <v>45914+FRANCISCO CARLOS MELO - 5306+GOIANIA (GO) X TERESINA (PI) VIA BC</v>
      </c>
      <c r="G669" s="1" t="str">
        <f>_xlfn.CONCAT(tabE.Flux[[#This Row],[DATA]],"+",tabE.Flux[[#This Row],[LINHA]])</f>
        <v>45914+GOIANIA (GO) X TERESINA (PI) VIA BC</v>
      </c>
      <c r="H669" s="125">
        <v>45914</v>
      </c>
      <c r="I669" s="1" t="s">
        <v>15</v>
      </c>
      <c r="J669" s="1">
        <v>24009</v>
      </c>
      <c r="K669" s="126">
        <v>0.375</v>
      </c>
      <c r="L669" s="126">
        <v>0.39930555555555558</v>
      </c>
      <c r="M669" s="1" t="s">
        <v>36</v>
      </c>
      <c r="N669" s="1" t="s">
        <v>29</v>
      </c>
      <c r="O669" s="1" t="s">
        <v>77</v>
      </c>
      <c r="P669" s="1" t="s">
        <v>142</v>
      </c>
      <c r="Q669" s="1" t="s">
        <v>39</v>
      </c>
    </row>
    <row r="670" spans="3:17" x14ac:dyDescent="0.25">
      <c r="C670" s="1" t="str">
        <f>_xlfn.CONCAT(tabE.Flux[[#This Row],[DATA]],"+",tabE.Flux[[#This Row],[MOTORISTA + MATRÍCULA A]])</f>
        <v>45914+CANCELADO</v>
      </c>
      <c r="D670" s="1" t="str">
        <f>_xlfn.CONCAT(tabE.Flux[[#This Row],[DATA]],"+",tabE.Flux[[#This Row],[MOTORISTA + MATRÍCULA B]])</f>
        <v>45914+CANCELADO</v>
      </c>
      <c r="E670" s="1" t="str">
        <f>_xlfn.CONCAT(tabE.Flux[[#This Row],[DATA]],"+",tabE.Flux[[#This Row],[MOTORISTA + MATRÍCULA A]],"+",tabE.Flux[[#This Row],[LINHA]])</f>
        <v>45914+CANCELADO+GOIANIA (GO) X BELEM (PA)</v>
      </c>
      <c r="F670" s="1" t="str">
        <f>_xlfn.CONCAT(tabE.Flux[[#This Row],[DATA]],"+",tabE.Flux[[#This Row],[MOTORISTA + MATRÍCULA B]],"+",tabE.Flux[[#This Row],[LINHA]])</f>
        <v>45914+CANCELADO+GOIANIA (GO) X BELEM (PA)</v>
      </c>
      <c r="G670" s="1" t="str">
        <f>_xlfn.CONCAT(tabE.Flux[[#This Row],[DATA]],"+",tabE.Flux[[#This Row],[LINHA]])</f>
        <v>45914+GOIANIA (GO) X BELEM (PA)</v>
      </c>
      <c r="H670" s="125">
        <v>45914</v>
      </c>
      <c r="I670" s="1" t="s">
        <v>15</v>
      </c>
      <c r="J670" s="1" t="s">
        <v>27</v>
      </c>
      <c r="K670" s="126">
        <v>0.375</v>
      </c>
      <c r="L670" s="126">
        <v>0.41666666666666669</v>
      </c>
      <c r="M670" s="1" t="s">
        <v>33</v>
      </c>
      <c r="N670" s="1" t="s">
        <v>16</v>
      </c>
      <c r="O670" s="1" t="s">
        <v>27</v>
      </c>
      <c r="P670" s="1" t="s">
        <v>27</v>
      </c>
      <c r="Q670" s="1" t="s">
        <v>20</v>
      </c>
    </row>
    <row r="671" spans="3:17" x14ac:dyDescent="0.25">
      <c r="C671" s="1" t="str">
        <f>_xlfn.CONCAT(tabE.Flux[[#This Row],[DATA]],"+",tabE.Flux[[#This Row],[MOTORISTA + MATRÍCULA A]])</f>
        <v>45914+CANCELADO</v>
      </c>
      <c r="D671" s="1" t="str">
        <f>_xlfn.CONCAT(tabE.Flux[[#This Row],[DATA]],"+",tabE.Flux[[#This Row],[MOTORISTA + MATRÍCULA B]])</f>
        <v>45914+CANCELADO</v>
      </c>
      <c r="E671" s="1" t="str">
        <f>_xlfn.CONCAT(tabE.Flux[[#This Row],[DATA]],"+",tabE.Flux[[#This Row],[MOTORISTA + MATRÍCULA A]],"+",tabE.Flux[[#This Row],[LINHA]])</f>
        <v>45914+CANCELADO+GOIANIA (GO) X SAO LUIS (MA)</v>
      </c>
      <c r="F671" s="1" t="str">
        <f>_xlfn.CONCAT(tabE.Flux[[#This Row],[DATA]],"+",tabE.Flux[[#This Row],[MOTORISTA + MATRÍCULA B]],"+",tabE.Flux[[#This Row],[LINHA]])</f>
        <v>45914+CANCELADO+GOIANIA (GO) X SAO LUIS (MA)</v>
      </c>
      <c r="G671" s="1" t="str">
        <f>_xlfn.CONCAT(tabE.Flux[[#This Row],[DATA]],"+",tabE.Flux[[#This Row],[LINHA]])</f>
        <v>45914+GOIANIA (GO) X SAO LUIS (MA)</v>
      </c>
      <c r="H671" s="125">
        <v>45914</v>
      </c>
      <c r="I671" s="1" t="s">
        <v>15</v>
      </c>
      <c r="J671" s="1" t="s">
        <v>27</v>
      </c>
      <c r="K671" s="126">
        <v>0.25</v>
      </c>
      <c r="L671" s="126">
        <v>0.29166666666666669</v>
      </c>
      <c r="M671" s="1" t="s">
        <v>42</v>
      </c>
      <c r="N671" s="1" t="s">
        <v>16</v>
      </c>
      <c r="O671" s="1" t="s">
        <v>27</v>
      </c>
      <c r="P671" s="1" t="s">
        <v>27</v>
      </c>
      <c r="Q671" s="1" t="s">
        <v>23</v>
      </c>
    </row>
    <row r="672" spans="3:17" x14ac:dyDescent="0.25">
      <c r="C672" s="1" t="str">
        <f>_xlfn.CONCAT(tabE.Flux[[#This Row],[DATA]],"+",tabE.Flux[[#This Row],[MOTORISTA + MATRÍCULA A]])</f>
        <v>45914+LAUCEANDO DA SILVA ROCHA - 6220</v>
      </c>
      <c r="D672" s="1" t="str">
        <f>_xlfn.CONCAT(tabE.Flux[[#This Row],[DATA]],"+",tabE.Flux[[#This Row],[MOTORISTA + MATRÍCULA B]])</f>
        <v>45914+RAIMUNDO GUIMARAES ARAUJO - 1920</v>
      </c>
      <c r="E672" s="1" t="str">
        <f>_xlfn.CONCAT(tabE.Flux[[#This Row],[DATA]],"+",tabE.Flux[[#This Row],[MOTORISTA + MATRÍCULA A]],"+",tabE.Flux[[#This Row],[LINHA]])</f>
        <v>45914+LAUCEANDO DA SILVA ROCHA - 6220+GOIANIA (GO) X SAO LUIS (MA)</v>
      </c>
      <c r="F672" s="1" t="str">
        <f>_xlfn.CONCAT(tabE.Flux[[#This Row],[DATA]],"+",tabE.Flux[[#This Row],[MOTORISTA + MATRÍCULA B]],"+",tabE.Flux[[#This Row],[LINHA]])</f>
        <v>45914+RAIMUNDO GUIMARAES ARAUJO - 1920+GOIANIA (GO) X SAO LUIS (MA)</v>
      </c>
      <c r="G672" s="1" t="str">
        <f>_xlfn.CONCAT(tabE.Flux[[#This Row],[DATA]],"+",tabE.Flux[[#This Row],[LINHA]])</f>
        <v>45914+GOIANIA (GO) X SAO LUIS (MA)</v>
      </c>
      <c r="H672" s="125">
        <v>45914</v>
      </c>
      <c r="I672" s="1" t="s">
        <v>15</v>
      </c>
      <c r="J672" s="1">
        <v>25008</v>
      </c>
      <c r="K672" s="126">
        <v>0.75</v>
      </c>
      <c r="L672" s="126">
        <v>0.79166666666666663</v>
      </c>
      <c r="M672" s="1" t="s">
        <v>42</v>
      </c>
      <c r="N672" s="1" t="s">
        <v>16</v>
      </c>
      <c r="O672" s="1" t="s">
        <v>86</v>
      </c>
      <c r="P672" s="1" t="s">
        <v>231</v>
      </c>
      <c r="Q672" s="1" t="s">
        <v>23</v>
      </c>
    </row>
    <row r="673" spans="3:17" x14ac:dyDescent="0.25">
      <c r="C673" s="1" t="str">
        <f>_xlfn.CONCAT(tabE.Flux[[#This Row],[DATA]],"+",tabE.Flux[[#This Row],[MOTORISTA + MATRÍCULA A]])</f>
        <v>45914+CARLOS ADRIANO DE SOUZA DO NASCIMENTO - 6222</v>
      </c>
      <c r="D673" s="1" t="str">
        <f>_xlfn.CONCAT(tabE.Flux[[#This Row],[DATA]],"+",tabE.Flux[[#This Row],[MOTORISTA + MATRÍCULA B]])</f>
        <v>45914+RAIMUNDO GUIMARAES ARAUJO - 1920</v>
      </c>
      <c r="E673" s="1" t="str">
        <f>_xlfn.CONCAT(tabE.Flux[[#This Row],[DATA]],"+",tabE.Flux[[#This Row],[MOTORISTA + MATRÍCULA A]],"+",tabE.Flux[[#This Row],[LINHA]])</f>
        <v>45914+CARLOS ADRIANO DE SOUZA DO NASCIMENTO - 6222+IMPERATRIZ (MA) X SÃO LUIS (MA)</v>
      </c>
      <c r="F673" s="1" t="str">
        <f>_xlfn.CONCAT(tabE.Flux[[#This Row],[DATA]],"+",tabE.Flux[[#This Row],[MOTORISTA + MATRÍCULA B]],"+",tabE.Flux[[#This Row],[LINHA]])</f>
        <v>45914+RAIMUNDO GUIMARAES ARAUJO - 1920+IMPERATRIZ (MA) X SÃO LUIS (MA)</v>
      </c>
      <c r="G673" s="1" t="str">
        <f>_xlfn.CONCAT(tabE.Flux[[#This Row],[DATA]],"+",tabE.Flux[[#This Row],[LINHA]])</f>
        <v>45914+IMPERATRIZ (MA) X SÃO LUIS (MA)</v>
      </c>
      <c r="H673" s="125">
        <v>45914</v>
      </c>
      <c r="I673" s="1" t="s">
        <v>15</v>
      </c>
      <c r="J673" s="1">
        <v>18016</v>
      </c>
      <c r="K673" s="126">
        <v>0.77083333333333337</v>
      </c>
      <c r="L673" s="126">
        <v>0.79513888888888884</v>
      </c>
      <c r="M673" s="1" t="s">
        <v>42</v>
      </c>
      <c r="N673" s="1" t="s">
        <v>16</v>
      </c>
      <c r="O673" s="1" t="s">
        <v>110</v>
      </c>
      <c r="P673" s="1" t="s">
        <v>231</v>
      </c>
      <c r="Q673" s="1" t="s">
        <v>47</v>
      </c>
    </row>
    <row r="674" spans="3:17" x14ac:dyDescent="0.25">
      <c r="C674" s="1" t="str">
        <f>_xlfn.CONCAT(tabE.Flux[[#This Row],[DATA]],"+",tabE.Flux[[#This Row],[MOTORISTA + MATRÍCULA A]])</f>
        <v>45914+VALDELY RIBEIRO CAETANO - 5743</v>
      </c>
      <c r="D674" s="1" t="str">
        <f>_xlfn.CONCAT(tabE.Flux[[#This Row],[DATA]],"+",tabE.Flux[[#This Row],[MOTORISTA + MATRÍCULA B]])</f>
        <v>45914+CORESTINO RODRIGUES CALDEIRA FILHO - 6035</v>
      </c>
      <c r="E674" s="1" t="str">
        <f>_xlfn.CONCAT(tabE.Flux[[#This Row],[DATA]],"+",tabE.Flux[[#This Row],[MOTORISTA + MATRÍCULA A]],"+",tabE.Flux[[#This Row],[LINHA]])</f>
        <v>45914+VALDELY RIBEIRO CAETANO - 5743+GOIANIA (GO) X TERESINA (PI) VIA BC</v>
      </c>
      <c r="F674" s="1" t="str">
        <f>_xlfn.CONCAT(tabE.Flux[[#This Row],[DATA]],"+",tabE.Flux[[#This Row],[MOTORISTA + MATRÍCULA B]],"+",tabE.Flux[[#This Row],[LINHA]])</f>
        <v>45914+CORESTINO RODRIGUES CALDEIRA FILHO - 6035+GOIANIA (GO) X TERESINA (PI) VIA BC</v>
      </c>
      <c r="G674" s="1" t="str">
        <f>_xlfn.CONCAT(tabE.Flux[[#This Row],[DATA]],"+",tabE.Flux[[#This Row],[LINHA]])</f>
        <v>45914+GOIANIA (GO) X TERESINA (PI) VIA BC</v>
      </c>
      <c r="H674" s="125">
        <v>45914</v>
      </c>
      <c r="I674" s="1" t="s">
        <v>15</v>
      </c>
      <c r="J674" s="1">
        <v>24003</v>
      </c>
      <c r="K674" s="126">
        <v>0.89583333333333337</v>
      </c>
      <c r="L674" s="126">
        <v>0.91666666666666663</v>
      </c>
      <c r="M674" s="1" t="s">
        <v>36</v>
      </c>
      <c r="N674" s="1" t="s">
        <v>17</v>
      </c>
      <c r="O674" s="1" t="s">
        <v>98</v>
      </c>
      <c r="P674" s="1" t="s">
        <v>99</v>
      </c>
      <c r="Q674" s="1" t="s">
        <v>39</v>
      </c>
    </row>
    <row r="675" spans="3:17" x14ac:dyDescent="0.25">
      <c r="C675" s="1" t="str">
        <f>_xlfn.CONCAT(tabE.Flux[[#This Row],[DATA]],"+",tabE.Flux[[#This Row],[MOTORISTA + MATRÍCULA A]])</f>
        <v>45914+FRANCISCO RAIMUNDO VIANA DE SOUSA - 5314</v>
      </c>
      <c r="D675" s="1" t="str">
        <f>_xlfn.CONCAT(tabE.Flux[[#This Row],[DATA]],"+",tabE.Flux[[#This Row],[MOTORISTA + MATRÍCULA B]])</f>
        <v>45914+MARCOS ROBERTO DE SOUSA - 5236</v>
      </c>
      <c r="E675" s="1" t="str">
        <f>_xlfn.CONCAT(tabE.Flux[[#This Row],[DATA]],"+",tabE.Flux[[#This Row],[MOTORISTA + MATRÍCULA A]],"+",tabE.Flux[[#This Row],[LINHA]])</f>
        <v>45914+FRANCISCO RAIMUNDO VIANA DE SOUSA - 5314+GOIANIA (GO) X BELEM (PA)</v>
      </c>
      <c r="F675" s="1" t="str">
        <f>_xlfn.CONCAT(tabE.Flux[[#This Row],[DATA]],"+",tabE.Flux[[#This Row],[MOTORISTA + MATRÍCULA B]],"+",tabE.Flux[[#This Row],[LINHA]])</f>
        <v>45914+MARCOS ROBERTO DE SOUSA - 5236+GOIANIA (GO) X BELEM (PA)</v>
      </c>
      <c r="G675" s="1" t="str">
        <f>_xlfn.CONCAT(tabE.Flux[[#This Row],[DATA]],"+",tabE.Flux[[#This Row],[LINHA]])</f>
        <v>45914+GOIANIA (GO) X BELEM (PA)</v>
      </c>
      <c r="H675" s="125">
        <v>45914</v>
      </c>
      <c r="I675" s="1" t="s">
        <v>15</v>
      </c>
      <c r="J675" s="1">
        <v>25011</v>
      </c>
      <c r="K675" s="126">
        <v>0.76041666666666663</v>
      </c>
      <c r="L675" s="126">
        <v>0.77083333333333337</v>
      </c>
      <c r="M675" s="1" t="s">
        <v>33</v>
      </c>
      <c r="N675" s="1" t="s">
        <v>16</v>
      </c>
      <c r="O675" s="1" t="s">
        <v>87</v>
      </c>
      <c r="P675" s="1" t="s">
        <v>234</v>
      </c>
      <c r="Q675" s="1" t="s">
        <v>20</v>
      </c>
    </row>
    <row r="676" spans="3:17" x14ac:dyDescent="0.25">
      <c r="C676" s="1" t="str">
        <f>_xlfn.CONCAT(tabE.Flux[[#This Row],[DATA]],"+",tabE.Flux[[#This Row],[MOTORISTA + MATRÍCULA A]])</f>
        <v>45914+JERZUALDO DA SILVA GOMES - 4077</v>
      </c>
      <c r="D676" s="1" t="str">
        <f>_xlfn.CONCAT(tabE.Flux[[#This Row],[DATA]],"+",tabE.Flux[[#This Row],[MOTORISTA + MATRÍCULA B]])</f>
        <v>45914+ANTONIO MARQUES NETO DOS SANTOS - 1738</v>
      </c>
      <c r="E676" s="1" t="str">
        <f>_xlfn.CONCAT(tabE.Flux[[#This Row],[DATA]],"+",tabE.Flux[[#This Row],[MOTORISTA + MATRÍCULA A]],"+",tabE.Flux[[#This Row],[LINHA]])</f>
        <v>45914+JERZUALDO DA SILVA GOMES - 4077+GOIANIA (GO) X BELEM (PA)</v>
      </c>
      <c r="F676" s="1" t="str">
        <f>_xlfn.CONCAT(tabE.Flux[[#This Row],[DATA]],"+",tabE.Flux[[#This Row],[MOTORISTA + MATRÍCULA B]],"+",tabE.Flux[[#This Row],[LINHA]])</f>
        <v>45914+ANTONIO MARQUES NETO DOS SANTOS - 1738+GOIANIA (GO) X BELEM (PA)</v>
      </c>
      <c r="G676" s="1" t="str">
        <f>_xlfn.CONCAT(tabE.Flux[[#This Row],[DATA]],"+",tabE.Flux[[#This Row],[LINHA]])</f>
        <v>45914+GOIANIA (GO) X BELEM (PA)</v>
      </c>
      <c r="H676" s="125">
        <v>45914</v>
      </c>
      <c r="I676" s="1" t="s">
        <v>15</v>
      </c>
      <c r="J676" s="1">
        <v>24014</v>
      </c>
      <c r="K676" s="126">
        <v>0.76041666666666663</v>
      </c>
      <c r="L676" s="126">
        <v>0.82777777777777772</v>
      </c>
      <c r="M676" s="1" t="s">
        <v>16</v>
      </c>
      <c r="N676" s="1" t="s">
        <v>33</v>
      </c>
      <c r="O676" s="1" t="s">
        <v>130</v>
      </c>
      <c r="P676" s="1" t="s">
        <v>73</v>
      </c>
      <c r="Q676" s="1" t="s">
        <v>20</v>
      </c>
    </row>
    <row r="677" spans="3:17" x14ac:dyDescent="0.25">
      <c r="C677" s="1" t="str">
        <f>_xlfn.CONCAT(tabE.Flux[[#This Row],[DATA]],"+",tabE.Flux[[#This Row],[MOTORISTA + MATRÍCULA A]])</f>
        <v>45914+LUIZ CARLOS MARIANO SIQUEIRA - 5634</v>
      </c>
      <c r="D677" s="1" t="str">
        <f>_xlfn.CONCAT(tabE.Flux[[#This Row],[DATA]],"+",tabE.Flux[[#This Row],[MOTORISTA + MATRÍCULA B]])</f>
        <v>45914+RAIMUNDO COSTA SILVA - 6226</v>
      </c>
      <c r="E677" s="1" t="str">
        <f>_xlfn.CONCAT(tabE.Flux[[#This Row],[DATA]],"+",tabE.Flux[[#This Row],[MOTORISTA + MATRÍCULA A]],"+",tabE.Flux[[#This Row],[LINHA]])</f>
        <v>45914+LUIZ CARLOS MARIANO SIQUEIRA - 5634+GOIANIA (GO) X SAO LUIS (MA)</v>
      </c>
      <c r="F677" s="1" t="str">
        <f>_xlfn.CONCAT(tabE.Flux[[#This Row],[DATA]],"+",tabE.Flux[[#This Row],[MOTORISTA + MATRÍCULA B]],"+",tabE.Flux[[#This Row],[LINHA]])</f>
        <v>45914+RAIMUNDO COSTA SILVA - 6226+GOIANIA (GO) X SAO LUIS (MA)</v>
      </c>
      <c r="G677" s="1" t="str">
        <f>_xlfn.CONCAT(tabE.Flux[[#This Row],[DATA]],"+",tabE.Flux[[#This Row],[LINHA]])</f>
        <v>45914+GOIANIA (GO) X SAO LUIS (MA)</v>
      </c>
      <c r="H677" s="125">
        <v>45914</v>
      </c>
      <c r="I677" s="1" t="s">
        <v>15</v>
      </c>
      <c r="J677" s="1">
        <v>17300</v>
      </c>
      <c r="K677" s="126">
        <v>0.40763888888888888</v>
      </c>
      <c r="L677" s="126">
        <v>0.47013888888888888</v>
      </c>
      <c r="M677" s="1" t="s">
        <v>16</v>
      </c>
      <c r="N677" s="1" t="s">
        <v>42</v>
      </c>
      <c r="O677" s="1" t="s">
        <v>51</v>
      </c>
      <c r="P677" s="1" t="s">
        <v>45</v>
      </c>
      <c r="Q677" s="1" t="s">
        <v>23</v>
      </c>
    </row>
    <row r="678" spans="3:17" x14ac:dyDescent="0.25">
      <c r="C678" s="1" t="str">
        <f>_xlfn.CONCAT(tabE.Flux[[#This Row],[DATA]],"+",tabE.Flux[[#This Row],[MOTORISTA + MATRÍCULA A]])</f>
        <v>45914+CANCELADO</v>
      </c>
      <c r="D678" s="1" t="str">
        <f>_xlfn.CONCAT(tabE.Flux[[#This Row],[DATA]],"+",tabE.Flux[[#This Row],[MOTORISTA + MATRÍCULA B]])</f>
        <v>45914+CANCELADO</v>
      </c>
      <c r="E678" s="1" t="str">
        <f>_xlfn.CONCAT(tabE.Flux[[#This Row],[DATA]],"+",tabE.Flux[[#This Row],[MOTORISTA + MATRÍCULA A]],"+",tabE.Flux[[#This Row],[LINHA]])</f>
        <v>45914+CANCELADO+IMPERATRIZ (MA) X SÃO LUIS (MA)</v>
      </c>
      <c r="F678" s="1" t="str">
        <f>_xlfn.CONCAT(tabE.Flux[[#This Row],[DATA]],"+",tabE.Flux[[#This Row],[MOTORISTA + MATRÍCULA B]],"+",tabE.Flux[[#This Row],[LINHA]])</f>
        <v>45914+CANCELADO+IMPERATRIZ (MA) X SÃO LUIS (MA)</v>
      </c>
      <c r="G678" s="1" t="str">
        <f>_xlfn.CONCAT(tabE.Flux[[#This Row],[DATA]],"+",tabE.Flux[[#This Row],[LINHA]])</f>
        <v>45914+IMPERATRIZ (MA) X SÃO LUIS (MA)</v>
      </c>
      <c r="H678" s="125">
        <v>45914</v>
      </c>
      <c r="I678" s="1" t="s">
        <v>15</v>
      </c>
      <c r="J678" s="1" t="s">
        <v>27</v>
      </c>
      <c r="K678" s="126">
        <v>0.77083333333333337</v>
      </c>
      <c r="L678" s="126">
        <v>0.8125</v>
      </c>
      <c r="M678" s="1" t="s">
        <v>16</v>
      </c>
      <c r="N678" s="1" t="s">
        <v>42</v>
      </c>
      <c r="O678" s="1" t="s">
        <v>27</v>
      </c>
      <c r="P678" s="1" t="s">
        <v>27</v>
      </c>
      <c r="Q678" s="1" t="s">
        <v>47</v>
      </c>
    </row>
    <row r="679" spans="3:17" x14ac:dyDescent="0.25">
      <c r="C679" s="1" t="str">
        <f>_xlfn.CONCAT(tabE.Flux[[#This Row],[DATA]],"+",tabE.Flux[[#This Row],[MOTORISTA + MATRÍCULA A]])</f>
        <v>45914+  KLEBSON ALVES FREIRES- 3060</v>
      </c>
      <c r="D679" s="1" t="str">
        <f>_xlfn.CONCAT(tabE.Flux[[#This Row],[DATA]],"+",tabE.Flux[[#This Row],[MOTORISTA + MATRÍCULA B]])</f>
        <v>45914+EDIVALDO DE ARAUJO - 6217</v>
      </c>
      <c r="E679" s="1" t="str">
        <f>_xlfn.CONCAT(tabE.Flux[[#This Row],[DATA]],"+",tabE.Flux[[#This Row],[MOTORISTA + MATRÍCULA A]],"+",tabE.Flux[[#This Row],[LINHA]])</f>
        <v>45914+  KLEBSON ALVES FREIRES- 3060+GOIANIA (GO) X SAO LUIS (MA)</v>
      </c>
      <c r="F679" s="1" t="str">
        <f>_xlfn.CONCAT(tabE.Flux[[#This Row],[DATA]],"+",tabE.Flux[[#This Row],[MOTORISTA + MATRÍCULA B]],"+",tabE.Flux[[#This Row],[LINHA]])</f>
        <v>45914+EDIVALDO DE ARAUJO - 6217+GOIANIA (GO) X SAO LUIS (MA)</v>
      </c>
      <c r="G679" s="1" t="str">
        <f>_xlfn.CONCAT(tabE.Flux[[#This Row],[DATA]],"+",tabE.Flux[[#This Row],[LINHA]])</f>
        <v>45914+GOIANIA (GO) X SAO LUIS (MA)</v>
      </c>
      <c r="H679" s="125">
        <v>45914</v>
      </c>
      <c r="I679" s="1" t="s">
        <v>15</v>
      </c>
      <c r="J679" s="1">
        <v>24011</v>
      </c>
      <c r="K679" s="126">
        <v>0.8125</v>
      </c>
      <c r="L679" s="126">
        <v>0.84375</v>
      </c>
      <c r="M679" s="1" t="s">
        <v>16</v>
      </c>
      <c r="N679" s="1" t="s">
        <v>42</v>
      </c>
      <c r="O679" s="1" t="s">
        <v>217</v>
      </c>
      <c r="P679" s="1" t="s">
        <v>55</v>
      </c>
      <c r="Q679" s="1" t="s">
        <v>23</v>
      </c>
    </row>
    <row r="680" spans="3:17" x14ac:dyDescent="0.25">
      <c r="C680" s="1" t="str">
        <f>_xlfn.CONCAT(tabE.Flux[[#This Row],[DATA]],"+",tabE.Flux[[#This Row],[MOTORISTA + MATRÍCULA A]])</f>
        <v>45914+REGINALDO DE SOUSA OLIVEIRA - 5412</v>
      </c>
      <c r="D680" s="1" t="str">
        <f>_xlfn.CONCAT(tabE.Flux[[#This Row],[DATA]],"+",tabE.Flux[[#This Row],[MOTORISTA + MATRÍCULA B]])</f>
        <v>45914+WASHINGTON ALVES BRITO - 1553</v>
      </c>
      <c r="E680" s="1" t="str">
        <f>_xlfn.CONCAT(tabE.Flux[[#This Row],[DATA]],"+",tabE.Flux[[#This Row],[MOTORISTA + MATRÍCULA A]],"+",tabE.Flux[[#This Row],[LINHA]])</f>
        <v>45914+REGINALDO DE SOUSA OLIVEIRA - 5412+GOIANIA (GO) X TERESINA (PI) VIA STI</v>
      </c>
      <c r="F680" s="1" t="str">
        <f>_xlfn.CONCAT(tabE.Flux[[#This Row],[DATA]],"+",tabE.Flux[[#This Row],[MOTORISTA + MATRÍCULA B]],"+",tabE.Flux[[#This Row],[LINHA]])</f>
        <v>45914+WASHINGTON ALVES BRITO - 1553+GOIANIA (GO) X TERESINA (PI) VIA STI</v>
      </c>
      <c r="G680" s="1" t="str">
        <f>_xlfn.CONCAT(tabE.Flux[[#This Row],[DATA]],"+",tabE.Flux[[#This Row],[LINHA]])</f>
        <v>45914+GOIANIA (GO) X TERESINA (PI) VIA STI</v>
      </c>
      <c r="H680" s="125">
        <v>45914</v>
      </c>
      <c r="I680" s="1" t="s">
        <v>15</v>
      </c>
      <c r="J680" s="1">
        <v>19019</v>
      </c>
      <c r="K680" s="126">
        <v>0.77083333333333337</v>
      </c>
      <c r="L680" s="126">
        <v>0.79861111111111116</v>
      </c>
      <c r="M680" s="1" t="s">
        <v>16</v>
      </c>
      <c r="N680" s="1" t="s">
        <v>29</v>
      </c>
      <c r="O680" s="1" t="s">
        <v>239</v>
      </c>
      <c r="P680" s="1" t="s">
        <v>201</v>
      </c>
      <c r="Q680" s="1" t="s">
        <v>26</v>
      </c>
    </row>
    <row r="681" spans="3:17" x14ac:dyDescent="0.25">
      <c r="C681" s="1" t="str">
        <f>_xlfn.CONCAT(tabE.Flux[[#This Row],[DATA]],"+",tabE.Flux[[#This Row],[MOTORISTA + MATRÍCULA A]])</f>
        <v>45914+CANCELADO</v>
      </c>
      <c r="D681" s="1" t="str">
        <f>_xlfn.CONCAT(tabE.Flux[[#This Row],[DATA]],"+",tabE.Flux[[#This Row],[MOTORISTA + MATRÍCULA B]])</f>
        <v>45914+CANCELADO</v>
      </c>
      <c r="E681" s="1" t="str">
        <f>_xlfn.CONCAT(tabE.Flux[[#This Row],[DATA]],"+",tabE.Flux[[#This Row],[MOTORISTA + MATRÍCULA A]],"+",tabE.Flux[[#This Row],[LINHA]])</f>
        <v>45914+CANCELADO+GOIANIA (GO) X SAO LUIS (MA)</v>
      </c>
      <c r="F681" s="1" t="str">
        <f>_xlfn.CONCAT(tabE.Flux[[#This Row],[DATA]],"+",tabE.Flux[[#This Row],[MOTORISTA + MATRÍCULA B]],"+",tabE.Flux[[#This Row],[LINHA]])</f>
        <v>45914+CANCELADO+GOIANIA (GO) X SAO LUIS (MA)</v>
      </c>
      <c r="G681" s="1" t="str">
        <f>_xlfn.CONCAT(tabE.Flux[[#This Row],[DATA]],"+",tabE.Flux[[#This Row],[LINHA]])</f>
        <v>45914+GOIANIA (GO) X SAO LUIS (MA)</v>
      </c>
      <c r="H681" s="125">
        <v>45914</v>
      </c>
      <c r="I681" s="1" t="s">
        <v>15</v>
      </c>
      <c r="J681" s="1" t="s">
        <v>27</v>
      </c>
      <c r="K681" s="126">
        <v>0.8125</v>
      </c>
      <c r="L681" s="126">
        <v>0.84166666666666667</v>
      </c>
      <c r="M681" s="1" t="s">
        <v>16</v>
      </c>
      <c r="N681" s="1" t="s">
        <v>17</v>
      </c>
      <c r="O681" s="1" t="s">
        <v>27</v>
      </c>
      <c r="P681" s="1" t="s">
        <v>27</v>
      </c>
      <c r="Q681" s="1" t="s">
        <v>23</v>
      </c>
    </row>
    <row r="682" spans="3:17" x14ac:dyDescent="0.25">
      <c r="C682" s="1" t="str">
        <f>_xlfn.CONCAT(tabE.Flux[[#This Row],[DATA]],"+",tabE.Flux[[#This Row],[MOTORISTA + MATRÍCULA A]])</f>
        <v>45914+WESLEY SILVA PAIVA - 5638</v>
      </c>
      <c r="D682" s="1" t="str">
        <f>_xlfn.CONCAT(tabE.Flux[[#This Row],[DATA]],"+",tabE.Flux[[#This Row],[MOTORISTA + MATRÍCULA B]])</f>
        <v>45914+ANTONIO RAMIRO WEBER - 5452</v>
      </c>
      <c r="E682" s="1" t="str">
        <f>_xlfn.CONCAT(tabE.Flux[[#This Row],[DATA]],"+",tabE.Flux[[#This Row],[MOTORISTA + MATRÍCULA A]],"+",tabE.Flux[[#This Row],[LINHA]])</f>
        <v>45914+WESLEY SILVA PAIVA - 5638+FORTALEZA (CE) X SINOP (MT)</v>
      </c>
      <c r="F682" s="1" t="str">
        <f>_xlfn.CONCAT(tabE.Flux[[#This Row],[DATA]],"+",tabE.Flux[[#This Row],[MOTORISTA + MATRÍCULA B]],"+",tabE.Flux[[#This Row],[LINHA]])</f>
        <v>45914+ANTONIO RAMIRO WEBER - 5452+FORTALEZA (CE) X SINOP (MT)</v>
      </c>
      <c r="G682" s="1" t="str">
        <f>_xlfn.CONCAT(tabE.Flux[[#This Row],[DATA]],"+",tabE.Flux[[#This Row],[LINHA]])</f>
        <v>45914+FORTALEZA (CE) X SINOP (MT)</v>
      </c>
      <c r="H682" s="125">
        <v>45914</v>
      </c>
      <c r="I682" s="1" t="s">
        <v>15</v>
      </c>
      <c r="J682" s="1">
        <v>19021</v>
      </c>
      <c r="K682" s="126">
        <v>0.8125</v>
      </c>
      <c r="L682" s="126">
        <v>0.85416666666666663</v>
      </c>
      <c r="M682" s="1" t="s">
        <v>16</v>
      </c>
      <c r="N682" s="1" t="s">
        <v>17</v>
      </c>
      <c r="O682" s="1" t="s">
        <v>112</v>
      </c>
      <c r="P682" s="1" t="s">
        <v>79</v>
      </c>
      <c r="Q682" s="1" t="s">
        <v>32</v>
      </c>
    </row>
    <row r="683" spans="3:17" x14ac:dyDescent="0.25">
      <c r="C683" s="1" t="str">
        <f>_xlfn.CONCAT(tabE.Flux[[#This Row],[DATA]],"+",tabE.Flux[[#This Row],[MOTORISTA + MATRÍCULA A]])</f>
        <v>45914+CANCELADO</v>
      </c>
      <c r="D683" s="1" t="str">
        <f>_xlfn.CONCAT(tabE.Flux[[#This Row],[DATA]],"+",tabE.Flux[[#This Row],[MOTORISTA + MATRÍCULA B]])</f>
        <v>45914+CANCELADO</v>
      </c>
      <c r="E683" s="1" t="str">
        <f>_xlfn.CONCAT(tabE.Flux[[#This Row],[DATA]],"+",tabE.Flux[[#This Row],[MOTORISTA + MATRÍCULA A]],"+",tabE.Flux[[#This Row],[LINHA]])</f>
        <v>45914+CANCELADO+GOIANIA (GO) X BELEM (PA)</v>
      </c>
      <c r="F683" s="1" t="str">
        <f>_xlfn.CONCAT(tabE.Flux[[#This Row],[DATA]],"+",tabE.Flux[[#This Row],[MOTORISTA + MATRÍCULA B]],"+",tabE.Flux[[#This Row],[LINHA]])</f>
        <v>45914+CANCELADO+GOIANIA (GO) X BELEM (PA)</v>
      </c>
      <c r="G683" s="1" t="str">
        <f>_xlfn.CONCAT(tabE.Flux[[#This Row],[DATA]],"+",tabE.Flux[[#This Row],[LINHA]])</f>
        <v>45914+GOIANIA (GO) X BELEM (PA)</v>
      </c>
      <c r="H683" s="125">
        <v>45914</v>
      </c>
      <c r="I683" s="1" t="s">
        <v>15</v>
      </c>
      <c r="J683" s="1" t="s">
        <v>27</v>
      </c>
      <c r="K683" s="126">
        <v>0.84722222222222221</v>
      </c>
      <c r="L683" s="126">
        <v>0.87847222222222221</v>
      </c>
      <c r="M683" s="1" t="s">
        <v>16</v>
      </c>
      <c r="N683" s="1" t="s">
        <v>17</v>
      </c>
      <c r="O683" s="1" t="s">
        <v>27</v>
      </c>
      <c r="P683" s="1" t="s">
        <v>27</v>
      </c>
      <c r="Q683" s="1" t="s">
        <v>20</v>
      </c>
    </row>
    <row r="684" spans="3:17" x14ac:dyDescent="0.25">
      <c r="C684" s="1" t="str">
        <f>_xlfn.CONCAT(tabE.Flux[[#This Row],[DATA]],"+",tabE.Flux[[#This Row],[MOTORISTA + MATRÍCULA A]])</f>
        <v>+</v>
      </c>
      <c r="D684" s="1" t="str">
        <f>_xlfn.CONCAT(tabE.Flux[[#This Row],[DATA]],"+",tabE.Flux[[#This Row],[MOTORISTA + MATRÍCULA B]])</f>
        <v>+</v>
      </c>
      <c r="E684" s="1" t="str">
        <f>_xlfn.CONCAT(tabE.Flux[[#This Row],[DATA]],"+",tabE.Flux[[#This Row],[MOTORISTA + MATRÍCULA A]],"+",tabE.Flux[[#This Row],[LINHA]])</f>
        <v>++</v>
      </c>
      <c r="F684" s="1" t="str">
        <f>_xlfn.CONCAT(tabE.Flux[[#This Row],[DATA]],"+",tabE.Flux[[#This Row],[MOTORISTA + MATRÍCULA B]],"+",tabE.Flux[[#This Row],[LINHA]])</f>
        <v>++</v>
      </c>
      <c r="G684" s="1" t="str">
        <f>_xlfn.CONCAT(tabE.Flux[[#This Row],[DATA]],"+",tabE.Flux[[#This Row],[LINHA]])</f>
        <v>+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3:17" x14ac:dyDescent="0.25">
      <c r="C685" s="1" t="str">
        <f>_xlfn.CONCAT(tabE.Flux[[#This Row],[DATA]],"+",tabE.Flux[[#This Row],[MOTORISTA + MATRÍCULA A]])</f>
        <v>45915+VALTERSON ANTONIO CORREIA - 3004</v>
      </c>
      <c r="D685" s="1" t="str">
        <f>_xlfn.CONCAT(tabE.Flux[[#This Row],[DATA]],"+",tabE.Flux[[#This Row],[MOTORISTA + MATRÍCULA B]])</f>
        <v>45915+  JOAO AMARAL DA SILVA JUNIOR- 5290</v>
      </c>
      <c r="E685" s="1" t="str">
        <f>_xlfn.CONCAT(tabE.Flux[[#This Row],[DATA]],"+",tabE.Flux[[#This Row],[MOTORISTA + MATRÍCULA A]],"+",tabE.Flux[[#This Row],[LINHA]])</f>
        <v>45915+VALTERSON ANTONIO CORREIA - 3004+GOIANIA (GO) X BELEM (PA)</v>
      </c>
      <c r="F685" s="1" t="str">
        <f>_xlfn.CONCAT(tabE.Flux[[#This Row],[DATA]],"+",tabE.Flux[[#This Row],[MOTORISTA + MATRÍCULA B]],"+",tabE.Flux[[#This Row],[LINHA]])</f>
        <v>45915+  JOAO AMARAL DA SILVA JUNIOR- 5290+GOIANIA (GO) X BELEM (PA)</v>
      </c>
      <c r="G685" s="1" t="str">
        <f>_xlfn.CONCAT(tabE.Flux[[#This Row],[DATA]],"+",tabE.Flux[[#This Row],[LINHA]])</f>
        <v>45915+GOIANIA (GO) X BELEM (PA)</v>
      </c>
      <c r="H685" s="125">
        <v>45915</v>
      </c>
      <c r="I685" s="1" t="s">
        <v>15</v>
      </c>
      <c r="J685" s="1">
        <v>25011</v>
      </c>
      <c r="K685" s="126">
        <v>0.25486111111111109</v>
      </c>
      <c r="L685" s="126">
        <v>0.3</v>
      </c>
      <c r="M685" s="1" t="s">
        <v>16</v>
      </c>
      <c r="N685" s="1" t="s">
        <v>17</v>
      </c>
      <c r="O685" s="1" t="s">
        <v>71</v>
      </c>
      <c r="P685" s="1" t="s">
        <v>72</v>
      </c>
      <c r="Q685" s="1" t="s">
        <v>20</v>
      </c>
    </row>
    <row r="686" spans="3:17" x14ac:dyDescent="0.25">
      <c r="C686" s="1" t="str">
        <f>_xlfn.CONCAT(tabE.Flux[[#This Row],[DATA]],"+",tabE.Flux[[#This Row],[MOTORISTA + MATRÍCULA A]])</f>
        <v>45915+EDIMAR FRANCISCO ALEIXO - 5593</v>
      </c>
      <c r="D686" s="1" t="str">
        <f>_xlfn.CONCAT(tabE.Flux[[#This Row],[DATA]],"+",tabE.Flux[[#This Row],[MOTORISTA + MATRÍCULA B]])</f>
        <v>45915+VALDINAR ALVES DE FRANÇA 5959</v>
      </c>
      <c r="E686" s="1" t="str">
        <f>_xlfn.CONCAT(tabE.Flux[[#This Row],[DATA]],"+",tabE.Flux[[#This Row],[MOTORISTA + MATRÍCULA A]],"+",tabE.Flux[[#This Row],[LINHA]])</f>
        <v>45915+EDIMAR FRANCISCO ALEIXO - 5593+GOIANIA (GO) X SAO LUIS (MA)</v>
      </c>
      <c r="F686" s="1" t="str">
        <f>_xlfn.CONCAT(tabE.Flux[[#This Row],[DATA]],"+",tabE.Flux[[#This Row],[MOTORISTA + MATRÍCULA B]],"+",tabE.Flux[[#This Row],[LINHA]])</f>
        <v>45915+VALDINAR ALVES DE FRANÇA 5959+GOIANIA (GO) X SAO LUIS (MA)</v>
      </c>
      <c r="G686" s="1" t="str">
        <f>_xlfn.CONCAT(tabE.Flux[[#This Row],[DATA]],"+",tabE.Flux[[#This Row],[LINHA]])</f>
        <v>45915+GOIANIA (GO) X SAO LUIS (MA)</v>
      </c>
      <c r="H686" s="125">
        <v>45915</v>
      </c>
      <c r="I686" s="1" t="s">
        <v>15</v>
      </c>
      <c r="J686" s="1">
        <v>25008</v>
      </c>
      <c r="K686" s="126">
        <v>0.32291666666666669</v>
      </c>
      <c r="L686" s="126">
        <v>0.33333333333333331</v>
      </c>
      <c r="M686" s="1" t="s">
        <v>16</v>
      </c>
      <c r="N686" s="1" t="s">
        <v>17</v>
      </c>
      <c r="O686" s="1" t="s">
        <v>212</v>
      </c>
      <c r="P686" s="1" t="s">
        <v>178</v>
      </c>
      <c r="Q686" s="1" t="s">
        <v>23</v>
      </c>
    </row>
    <row r="687" spans="3:17" x14ac:dyDescent="0.25">
      <c r="C687" s="1" t="str">
        <f>_xlfn.CONCAT(tabE.Flux[[#This Row],[DATA]],"+",tabE.Flux[[#This Row],[MOTORISTA + MATRÍCULA A]])</f>
        <v>45915+DIVINO FERREIRA DA SILVA - 1946</v>
      </c>
      <c r="D687" s="1" t="str">
        <f>_xlfn.CONCAT(tabE.Flux[[#This Row],[DATA]],"+",tabE.Flux[[#This Row],[MOTORISTA + MATRÍCULA B]])</f>
        <v>45915+JOSE PINHEIRO DA SILVA - 5628</v>
      </c>
      <c r="E687" s="1" t="str">
        <f>_xlfn.CONCAT(tabE.Flux[[#This Row],[DATA]],"+",tabE.Flux[[#This Row],[MOTORISTA + MATRÍCULA A]],"+",tabE.Flux[[#This Row],[LINHA]])</f>
        <v>45915+DIVINO FERREIRA DA SILVA - 1946+GOIANIA (GO) X TERESINA (PI) VIA STI</v>
      </c>
      <c r="F687" s="1" t="str">
        <f>_xlfn.CONCAT(tabE.Flux[[#This Row],[DATA]],"+",tabE.Flux[[#This Row],[MOTORISTA + MATRÍCULA B]],"+",tabE.Flux[[#This Row],[LINHA]])</f>
        <v>45915+JOSE PINHEIRO DA SILVA - 5628+GOIANIA (GO) X TERESINA (PI) VIA STI</v>
      </c>
      <c r="G687" s="1" t="str">
        <f>_xlfn.CONCAT(tabE.Flux[[#This Row],[DATA]],"+",tabE.Flux[[#This Row],[LINHA]])</f>
        <v>45915+GOIANIA (GO) X TERESINA (PI) VIA STI</v>
      </c>
      <c r="H687" s="125">
        <v>45915</v>
      </c>
      <c r="I687" s="1" t="s">
        <v>15</v>
      </c>
      <c r="J687" s="1">
        <v>19024</v>
      </c>
      <c r="K687" s="126">
        <v>0.3888888888888889</v>
      </c>
      <c r="L687" s="126">
        <v>0.39583333333333331</v>
      </c>
      <c r="M687" s="1" t="s">
        <v>16</v>
      </c>
      <c r="N687" s="1" t="s">
        <v>17</v>
      </c>
      <c r="O687" s="1" t="s">
        <v>238</v>
      </c>
      <c r="P687" s="1" t="s">
        <v>162</v>
      </c>
      <c r="Q687" s="1" t="s">
        <v>26</v>
      </c>
    </row>
    <row r="688" spans="3:17" x14ac:dyDescent="0.25">
      <c r="C688" s="1" t="str">
        <f>_xlfn.CONCAT(tabE.Flux[[#This Row],[DATA]],"+",tabE.Flux[[#This Row],[MOTORISTA + MATRÍCULA A]])</f>
        <v>45915+CANCELADO</v>
      </c>
      <c r="D688" s="1" t="str">
        <f>_xlfn.CONCAT(tabE.Flux[[#This Row],[DATA]],"+",tabE.Flux[[#This Row],[MOTORISTA + MATRÍCULA B]])</f>
        <v>45915+CANCELADO</v>
      </c>
      <c r="E688" s="1" t="str">
        <f>_xlfn.CONCAT(tabE.Flux[[#This Row],[DATA]],"+",tabE.Flux[[#This Row],[MOTORISTA + MATRÍCULA A]],"+",tabE.Flux[[#This Row],[LINHA]])</f>
        <v>45915+CANCELADO+</v>
      </c>
      <c r="F688" s="1" t="str">
        <f>_xlfn.CONCAT(tabE.Flux[[#This Row],[DATA]],"+",tabE.Flux[[#This Row],[MOTORISTA + MATRÍCULA B]],"+",tabE.Flux[[#This Row],[LINHA]])</f>
        <v>45915+CANCELADO+</v>
      </c>
      <c r="G688" s="1" t="str">
        <f>_xlfn.CONCAT(tabE.Flux[[#This Row],[DATA]],"+",tabE.Flux[[#This Row],[LINHA]])</f>
        <v>45915+</v>
      </c>
      <c r="H688" s="125">
        <v>45915</v>
      </c>
      <c r="I688" s="1" t="s">
        <v>15</v>
      </c>
      <c r="J688" s="1" t="s">
        <v>27</v>
      </c>
      <c r="K688" s="126">
        <v>0.375</v>
      </c>
      <c r="L688" s="126">
        <v>0.41666666666666669</v>
      </c>
      <c r="M688" s="1" t="s">
        <v>16</v>
      </c>
      <c r="N688" s="1" t="s">
        <v>28</v>
      </c>
      <c r="O688" s="1" t="s">
        <v>27</v>
      </c>
      <c r="P688" s="1" t="s">
        <v>27</v>
      </c>
      <c r="Q688" s="1"/>
    </row>
    <row r="689" spans="3:17" x14ac:dyDescent="0.25">
      <c r="C689" s="1" t="str">
        <f>_xlfn.CONCAT(tabE.Flux[[#This Row],[DATA]],"+",tabE.Flux[[#This Row],[MOTORISTA + MATRÍCULA A]])</f>
        <v>45915+ANTONIO FRANCINALDO DE OLIVEIRA MARQUES - 5018</v>
      </c>
      <c r="D689" s="1" t="str">
        <f>_xlfn.CONCAT(tabE.Flux[[#This Row],[DATA]],"+",tabE.Flux[[#This Row],[MOTORISTA + MATRÍCULA B]])</f>
        <v>45915+MARCIO DE SOUSA BRASILEIRO - 5828</v>
      </c>
      <c r="E689" s="1" t="str">
        <f>_xlfn.CONCAT(tabE.Flux[[#This Row],[DATA]],"+",tabE.Flux[[#This Row],[MOTORISTA + MATRÍCULA A]],"+",tabE.Flux[[#This Row],[LINHA]])</f>
        <v>45915+ANTONIO FRANCINALDO DE OLIVEIRA MARQUES - 5018+FORTALEZA (CE) X SINOP (MT)</v>
      </c>
      <c r="F689" s="1" t="str">
        <f>_xlfn.CONCAT(tabE.Flux[[#This Row],[DATA]],"+",tabE.Flux[[#This Row],[MOTORISTA + MATRÍCULA B]],"+",tabE.Flux[[#This Row],[LINHA]])</f>
        <v>45915+MARCIO DE SOUSA BRASILEIRO - 5828+FORTALEZA (CE) X SINOP (MT)</v>
      </c>
      <c r="G689" s="1" t="str">
        <f>_xlfn.CONCAT(tabE.Flux[[#This Row],[DATA]],"+",tabE.Flux[[#This Row],[LINHA]])</f>
        <v>45915+FORTALEZA (CE) X SINOP (MT)</v>
      </c>
      <c r="H689" s="125">
        <v>45915</v>
      </c>
      <c r="I689" s="1" t="s">
        <v>15</v>
      </c>
      <c r="J689" s="1">
        <v>19016</v>
      </c>
      <c r="K689" s="126">
        <v>0.3888888888888889</v>
      </c>
      <c r="L689" s="126">
        <v>0.37708333333333333</v>
      </c>
      <c r="M689" s="1" t="s">
        <v>16</v>
      </c>
      <c r="N689" s="1" t="s">
        <v>29</v>
      </c>
      <c r="O689" s="1" t="s">
        <v>233</v>
      </c>
      <c r="P689" s="1" t="s">
        <v>129</v>
      </c>
      <c r="Q689" s="1" t="s">
        <v>32</v>
      </c>
    </row>
    <row r="690" spans="3:17" x14ac:dyDescent="0.25">
      <c r="C690" s="1" t="str">
        <f>_xlfn.CONCAT(tabE.Flux[[#This Row],[DATA]],"+",tabE.Flux[[#This Row],[MOTORISTA + MATRÍCULA A]])</f>
        <v>45915+FELIPE MORAIS MELO - 3077</v>
      </c>
      <c r="D690" s="1" t="str">
        <f>_xlfn.CONCAT(tabE.Flux[[#This Row],[DATA]],"+",tabE.Flux[[#This Row],[MOTORISTA + MATRÍCULA B]])</f>
        <v>45915+JAIRO VIEIRA FERREIRA - 5835</v>
      </c>
      <c r="E690" s="1" t="str">
        <f>_xlfn.CONCAT(tabE.Flux[[#This Row],[DATA]],"+",tabE.Flux[[#This Row],[MOTORISTA + MATRÍCULA A]],"+",tabE.Flux[[#This Row],[LINHA]])</f>
        <v>45915+FELIPE MORAIS MELO - 3077+GOIANIA (GO) X BELEM (PA)</v>
      </c>
      <c r="F690" s="1" t="str">
        <f>_xlfn.CONCAT(tabE.Flux[[#This Row],[DATA]],"+",tabE.Flux[[#This Row],[MOTORISTA + MATRÍCULA B]],"+",tabE.Flux[[#This Row],[LINHA]])</f>
        <v>45915+JAIRO VIEIRA FERREIRA - 5835+GOIANIA (GO) X BELEM (PA)</v>
      </c>
      <c r="G690" s="1" t="str">
        <f>_xlfn.CONCAT(tabE.Flux[[#This Row],[DATA]],"+",tabE.Flux[[#This Row],[LINHA]])</f>
        <v>45915+GOIANIA (GO) X BELEM (PA)</v>
      </c>
      <c r="H690" s="125">
        <v>45915</v>
      </c>
      <c r="I690" s="1" t="s">
        <v>15</v>
      </c>
      <c r="J690" s="1">
        <v>19013</v>
      </c>
      <c r="K690" s="126">
        <v>0.38958333333333334</v>
      </c>
      <c r="L690" s="126">
        <v>0.38541666666666669</v>
      </c>
      <c r="M690" s="1" t="s">
        <v>16</v>
      </c>
      <c r="N690" s="1" t="s">
        <v>33</v>
      </c>
      <c r="O690" s="1" t="s">
        <v>78</v>
      </c>
      <c r="P690" s="1" t="s">
        <v>230</v>
      </c>
      <c r="Q690" s="1" t="s">
        <v>20</v>
      </c>
    </row>
    <row r="691" spans="3:17" x14ac:dyDescent="0.25">
      <c r="C691" s="1" t="str">
        <f>_xlfn.CONCAT(tabE.Flux[[#This Row],[DATA]],"+",tabE.Flux[[#This Row],[MOTORISTA + MATRÍCULA A]])</f>
        <v>45915+JOSE ORLANDO RODRIGUES DE MIRANDA - 5838</v>
      </c>
      <c r="D691" s="1" t="str">
        <f>_xlfn.CONCAT(tabE.Flux[[#This Row],[DATA]],"+",tabE.Flux[[#This Row],[MOTORISTA + MATRÍCULA B]])</f>
        <v>45915+FRANCISCO CARLOS MELO - 5306</v>
      </c>
      <c r="E691" s="1" t="str">
        <f>_xlfn.CONCAT(tabE.Flux[[#This Row],[DATA]],"+",tabE.Flux[[#This Row],[MOTORISTA + MATRÍCULA A]],"+",tabE.Flux[[#This Row],[LINHA]])</f>
        <v>45915+JOSE ORLANDO RODRIGUES DE MIRANDA - 5838+GOIANIA (GO) X TERESINA (PI) VIA BC</v>
      </c>
      <c r="F691" s="1" t="str">
        <f>_xlfn.CONCAT(tabE.Flux[[#This Row],[DATA]],"+",tabE.Flux[[#This Row],[MOTORISTA + MATRÍCULA B]],"+",tabE.Flux[[#This Row],[LINHA]])</f>
        <v>45915+FRANCISCO CARLOS MELO - 5306+GOIANIA (GO) X TERESINA (PI) VIA BC</v>
      </c>
      <c r="G691" s="1" t="str">
        <f>_xlfn.CONCAT(tabE.Flux[[#This Row],[DATA]],"+",tabE.Flux[[#This Row],[LINHA]])</f>
        <v>45915+GOIANIA (GO) X TERESINA (PI) VIA BC</v>
      </c>
      <c r="H691" s="125">
        <v>45915</v>
      </c>
      <c r="I691" s="1" t="s">
        <v>15</v>
      </c>
      <c r="J691" s="1">
        <v>24001</v>
      </c>
      <c r="K691" s="126">
        <v>0.375</v>
      </c>
      <c r="L691" s="126">
        <v>0.39930555555555558</v>
      </c>
      <c r="M691" s="1" t="s">
        <v>36</v>
      </c>
      <c r="N691" s="1" t="s">
        <v>29</v>
      </c>
      <c r="O691" s="1" t="s">
        <v>37</v>
      </c>
      <c r="P691" s="1" t="s">
        <v>142</v>
      </c>
      <c r="Q691" s="1" t="s">
        <v>39</v>
      </c>
    </row>
    <row r="692" spans="3:17" x14ac:dyDescent="0.25">
      <c r="C692" s="1" t="str">
        <f>_xlfn.CONCAT(tabE.Flux[[#This Row],[DATA]],"+",tabE.Flux[[#This Row],[MOTORISTA + MATRÍCULA A]])</f>
        <v>45915+FRANCISCO ALVES DA PAZ JUNIOR - 1247</v>
      </c>
      <c r="D692" s="1" t="str">
        <f>_xlfn.CONCAT(tabE.Flux[[#This Row],[DATA]],"+",tabE.Flux[[#This Row],[MOTORISTA + MATRÍCULA B]])</f>
        <v>45915+RAIMUNDO FERNANDES RIBEIRO - 907</v>
      </c>
      <c r="E692" s="1" t="str">
        <f>_xlfn.CONCAT(tabE.Flux[[#This Row],[DATA]],"+",tabE.Flux[[#This Row],[MOTORISTA + MATRÍCULA A]],"+",tabE.Flux[[#This Row],[LINHA]])</f>
        <v>45915+FRANCISCO ALVES DA PAZ JUNIOR - 1247+GOIANIA (GO) X BELEM (PA)</v>
      </c>
      <c r="F692" s="1" t="str">
        <f>_xlfn.CONCAT(tabE.Flux[[#This Row],[DATA]],"+",tabE.Flux[[#This Row],[MOTORISTA + MATRÍCULA B]],"+",tabE.Flux[[#This Row],[LINHA]])</f>
        <v>45915+RAIMUNDO FERNANDES RIBEIRO - 907+GOIANIA (GO) X BELEM (PA)</v>
      </c>
      <c r="G692" s="1" t="str">
        <f>_xlfn.CONCAT(tabE.Flux[[#This Row],[DATA]],"+",tabE.Flux[[#This Row],[LINHA]])</f>
        <v>45915+GOIANIA (GO) X BELEM (PA)</v>
      </c>
      <c r="H692" s="125">
        <v>45915</v>
      </c>
      <c r="I692" s="1" t="s">
        <v>15</v>
      </c>
      <c r="J692" s="1">
        <v>20019</v>
      </c>
      <c r="K692" s="126">
        <v>0.375</v>
      </c>
      <c r="L692" s="126">
        <v>0.41666666666666669</v>
      </c>
      <c r="M692" s="1" t="s">
        <v>33</v>
      </c>
      <c r="N692" s="1" t="s">
        <v>16</v>
      </c>
      <c r="O692" s="1" t="s">
        <v>144</v>
      </c>
      <c r="P692" s="1" t="s">
        <v>143</v>
      </c>
      <c r="Q692" s="1" t="s">
        <v>20</v>
      </c>
    </row>
    <row r="693" spans="3:17" x14ac:dyDescent="0.25">
      <c r="C693" s="1" t="str">
        <f>_xlfn.CONCAT(tabE.Flux[[#This Row],[DATA]],"+",tabE.Flux[[#This Row],[MOTORISTA + MATRÍCULA A]])</f>
        <v>45915+PAULO ENEAS FARIAS ARAUJO - 6218</v>
      </c>
      <c r="D693" s="1" t="str">
        <f>_xlfn.CONCAT(tabE.Flux[[#This Row],[DATA]],"+",tabE.Flux[[#This Row],[MOTORISTA + MATRÍCULA B]])</f>
        <v>45915+LUIZ CARLOS MARIANO SIQUEIRA - 5634</v>
      </c>
      <c r="E693" s="1" t="str">
        <f>_xlfn.CONCAT(tabE.Flux[[#This Row],[DATA]],"+",tabE.Flux[[#This Row],[MOTORISTA + MATRÍCULA A]],"+",tabE.Flux[[#This Row],[LINHA]])</f>
        <v>45915+PAULO ENEAS FARIAS ARAUJO - 6218+GOIANIA (GO) X SAO LUIS (MA)</v>
      </c>
      <c r="F693" s="1" t="str">
        <f>_xlfn.CONCAT(tabE.Flux[[#This Row],[DATA]],"+",tabE.Flux[[#This Row],[MOTORISTA + MATRÍCULA B]],"+",tabE.Flux[[#This Row],[LINHA]])</f>
        <v>45915+LUIZ CARLOS MARIANO SIQUEIRA - 5634+GOIANIA (GO) X SAO LUIS (MA)</v>
      </c>
      <c r="G693" s="1" t="str">
        <f>_xlfn.CONCAT(tabE.Flux[[#This Row],[DATA]],"+",tabE.Flux[[#This Row],[LINHA]])</f>
        <v>45915+GOIANIA (GO) X SAO LUIS (MA)</v>
      </c>
      <c r="H693" s="125">
        <v>45915</v>
      </c>
      <c r="I693" s="1" t="s">
        <v>15</v>
      </c>
      <c r="J693" s="1">
        <v>19007</v>
      </c>
      <c r="K693" s="126">
        <v>0.25</v>
      </c>
      <c r="L693" s="126">
        <v>0.29166666666666669</v>
      </c>
      <c r="M693" s="1" t="s">
        <v>42</v>
      </c>
      <c r="N693" s="1" t="s">
        <v>16</v>
      </c>
      <c r="O693" s="1" t="s">
        <v>43</v>
      </c>
      <c r="P693" s="1" t="s">
        <v>51</v>
      </c>
      <c r="Q693" s="1" t="s">
        <v>23</v>
      </c>
    </row>
    <row r="694" spans="3:17" x14ac:dyDescent="0.25">
      <c r="C694" s="1" t="str">
        <f>_xlfn.CONCAT(tabE.Flux[[#This Row],[DATA]],"+",tabE.Flux[[#This Row],[MOTORISTA + MATRÍCULA A]])</f>
        <v>45915+KAYLSON KLEYTON DA SILVA COSTA - 6224</v>
      </c>
      <c r="D694" s="1" t="str">
        <f>_xlfn.CONCAT(tabE.Flux[[#This Row],[DATA]],"+",tabE.Flux[[#This Row],[MOTORISTA + MATRÍCULA B]])</f>
        <v>45915+KLEBSON ALVES FREIRES - 3060</v>
      </c>
      <c r="E694" s="1" t="str">
        <f>_xlfn.CONCAT(tabE.Flux[[#This Row],[DATA]],"+",tabE.Flux[[#This Row],[MOTORISTA + MATRÍCULA A]],"+",tabE.Flux[[#This Row],[LINHA]])</f>
        <v>45915+KAYLSON KLEYTON DA SILVA COSTA - 6224+GOIANIA (GO) X SAO LUIS (MA)</v>
      </c>
      <c r="F694" s="1" t="str">
        <f>_xlfn.CONCAT(tabE.Flux[[#This Row],[DATA]],"+",tabE.Flux[[#This Row],[MOTORISTA + MATRÍCULA B]],"+",tabE.Flux[[#This Row],[LINHA]])</f>
        <v>45915+KLEBSON ALVES FREIRES - 3060+GOIANIA (GO) X SAO LUIS (MA)</v>
      </c>
      <c r="G694" s="1" t="str">
        <f>_xlfn.CONCAT(tabE.Flux[[#This Row],[DATA]],"+",tabE.Flux[[#This Row],[LINHA]])</f>
        <v>45915+GOIANIA (GO) X SAO LUIS (MA)</v>
      </c>
      <c r="H694" s="125">
        <v>45915</v>
      </c>
      <c r="I694" s="1" t="s">
        <v>15</v>
      </c>
      <c r="J694" s="1">
        <v>24011</v>
      </c>
      <c r="K694" s="126">
        <v>0.75</v>
      </c>
      <c r="L694" s="126">
        <v>0.79166666666666663</v>
      </c>
      <c r="M694" s="1" t="s">
        <v>42</v>
      </c>
      <c r="N694" s="1" t="s">
        <v>16</v>
      </c>
      <c r="O694" s="1" t="s">
        <v>80</v>
      </c>
      <c r="P694" s="1" t="s">
        <v>161</v>
      </c>
      <c r="Q694" s="1" t="s">
        <v>23</v>
      </c>
    </row>
    <row r="695" spans="3:17" x14ac:dyDescent="0.25">
      <c r="C695" s="1" t="str">
        <f>_xlfn.CONCAT(tabE.Flux[[#This Row],[DATA]],"+",tabE.Flux[[#This Row],[MOTORISTA + MATRÍCULA A]])</f>
        <v>45915+CANCELADO</v>
      </c>
      <c r="D695" s="1" t="str">
        <f>_xlfn.CONCAT(tabE.Flux[[#This Row],[DATA]],"+",tabE.Flux[[#This Row],[MOTORISTA + MATRÍCULA B]])</f>
        <v>45915+CANCELADO</v>
      </c>
      <c r="E695" s="1" t="str">
        <f>_xlfn.CONCAT(tabE.Flux[[#This Row],[DATA]],"+",tabE.Flux[[#This Row],[MOTORISTA + MATRÍCULA A]],"+",tabE.Flux[[#This Row],[LINHA]])</f>
        <v>45915+CANCELADO+IMPERATRIZ (MA) X SÃO LUIS (MA)</v>
      </c>
      <c r="F695" s="1" t="str">
        <f>_xlfn.CONCAT(tabE.Flux[[#This Row],[DATA]],"+",tabE.Flux[[#This Row],[MOTORISTA + MATRÍCULA B]],"+",tabE.Flux[[#This Row],[LINHA]])</f>
        <v>45915+CANCELADO+IMPERATRIZ (MA) X SÃO LUIS (MA)</v>
      </c>
      <c r="G695" s="1" t="str">
        <f>_xlfn.CONCAT(tabE.Flux[[#This Row],[DATA]],"+",tabE.Flux[[#This Row],[LINHA]])</f>
        <v>45915+IMPERATRIZ (MA) X SÃO LUIS (MA)</v>
      </c>
      <c r="H695" s="125">
        <v>45915</v>
      </c>
      <c r="I695" s="1" t="s">
        <v>15</v>
      </c>
      <c r="J695" s="1" t="s">
        <v>27</v>
      </c>
      <c r="K695" s="126">
        <v>0.77083333333333337</v>
      </c>
      <c r="L695" s="126">
        <v>0.79513888888888884</v>
      </c>
      <c r="M695" s="1" t="s">
        <v>42</v>
      </c>
      <c r="N695" s="1" t="s">
        <v>16</v>
      </c>
      <c r="O695" s="1" t="s">
        <v>27</v>
      </c>
      <c r="P695" s="1" t="s">
        <v>27</v>
      </c>
      <c r="Q695" s="1" t="s">
        <v>47</v>
      </c>
    </row>
    <row r="696" spans="3:17" x14ac:dyDescent="0.25">
      <c r="C696" s="1" t="str">
        <f>_xlfn.CONCAT(tabE.Flux[[#This Row],[DATA]],"+",tabE.Flux[[#This Row],[MOTORISTA + MATRÍCULA A]])</f>
        <v>45915+VILMAR JOSE CAMILO - 948</v>
      </c>
      <c r="D696" s="1" t="str">
        <f>_xlfn.CONCAT(tabE.Flux[[#This Row],[DATA]],"+",tabE.Flux[[#This Row],[MOTORISTA + MATRÍCULA B]])</f>
        <v>45915+NELIO ALENCAR DOS SANTOS - 1759</v>
      </c>
      <c r="E696" s="1" t="str">
        <f>_xlfn.CONCAT(tabE.Flux[[#This Row],[DATA]],"+",tabE.Flux[[#This Row],[MOTORISTA + MATRÍCULA A]],"+",tabE.Flux[[#This Row],[LINHA]])</f>
        <v>45915+VILMAR JOSE CAMILO - 948+GOIANIA (GO) X TERESINA (PI) VIA BC</v>
      </c>
      <c r="F696" s="1" t="str">
        <f>_xlfn.CONCAT(tabE.Flux[[#This Row],[DATA]],"+",tabE.Flux[[#This Row],[MOTORISTA + MATRÍCULA B]],"+",tabE.Flux[[#This Row],[LINHA]])</f>
        <v>45915+NELIO ALENCAR DOS SANTOS - 1759+GOIANIA (GO) X TERESINA (PI) VIA BC</v>
      </c>
      <c r="G696" s="1" t="str">
        <f>_xlfn.CONCAT(tabE.Flux[[#This Row],[DATA]],"+",tabE.Flux[[#This Row],[LINHA]])</f>
        <v>45915+GOIANIA (GO) X TERESINA (PI) VIA BC</v>
      </c>
      <c r="H696" s="125">
        <v>45915</v>
      </c>
      <c r="I696" s="1" t="s">
        <v>15</v>
      </c>
      <c r="J696" s="1">
        <v>25009</v>
      </c>
      <c r="K696" s="126">
        <v>0.89583333333333337</v>
      </c>
      <c r="L696" s="126">
        <v>0.91666666666666663</v>
      </c>
      <c r="M696" s="1" t="s">
        <v>36</v>
      </c>
      <c r="N696" s="1" t="s">
        <v>17</v>
      </c>
      <c r="O696" s="1" t="s">
        <v>95</v>
      </c>
      <c r="P696" s="1" t="s">
        <v>67</v>
      </c>
      <c r="Q696" s="1" t="s">
        <v>39</v>
      </c>
    </row>
    <row r="697" spans="3:17" x14ac:dyDescent="0.25">
      <c r="C697" s="1" t="str">
        <f>_xlfn.CONCAT(tabE.Flux[[#This Row],[DATA]],"+",tabE.Flux[[#This Row],[MOTORISTA + MATRÍCULA A]])</f>
        <v>45915+JOAO FERREIRA COSTA - 5545</v>
      </c>
      <c r="D697" s="1" t="str">
        <f>_xlfn.CONCAT(tabE.Flux[[#This Row],[DATA]],"+",tabE.Flux[[#This Row],[MOTORISTA + MATRÍCULA B]])</f>
        <v>45915+NILSON CORTEZ MIRANDA - 5636</v>
      </c>
      <c r="E697" s="1" t="str">
        <f>_xlfn.CONCAT(tabE.Flux[[#This Row],[DATA]],"+",tabE.Flux[[#This Row],[MOTORISTA + MATRÍCULA A]],"+",tabE.Flux[[#This Row],[LINHA]])</f>
        <v>45915+JOAO FERREIRA COSTA - 5545+GOIANIA (GO) X BELEM (PA)</v>
      </c>
      <c r="F697" s="1" t="str">
        <f>_xlfn.CONCAT(tabE.Flux[[#This Row],[DATA]],"+",tabE.Flux[[#This Row],[MOTORISTA + MATRÍCULA B]],"+",tabE.Flux[[#This Row],[LINHA]])</f>
        <v>45915+NILSON CORTEZ MIRANDA - 5636+GOIANIA (GO) X BELEM (PA)</v>
      </c>
      <c r="G697" s="1" t="str">
        <f>_xlfn.CONCAT(tabE.Flux[[#This Row],[DATA]],"+",tabE.Flux[[#This Row],[LINHA]])</f>
        <v>45915+GOIANIA (GO) X BELEM (PA)</v>
      </c>
      <c r="H697" s="125">
        <v>45915</v>
      </c>
      <c r="I697" s="1" t="s">
        <v>15</v>
      </c>
      <c r="J697" s="1">
        <v>24014</v>
      </c>
      <c r="K697" s="126">
        <v>0.76041666666666663</v>
      </c>
      <c r="L697" s="126">
        <v>0.77083333333333337</v>
      </c>
      <c r="M697" s="1" t="s">
        <v>33</v>
      </c>
      <c r="N697" s="1" t="s">
        <v>16</v>
      </c>
      <c r="O697" s="1" t="s">
        <v>61</v>
      </c>
      <c r="P697" s="1" t="s">
        <v>75</v>
      </c>
      <c r="Q697" s="1" t="s">
        <v>20</v>
      </c>
    </row>
    <row r="698" spans="3:17" x14ac:dyDescent="0.25">
      <c r="C698" s="1" t="str">
        <f>_xlfn.CONCAT(tabE.Flux[[#This Row],[DATA]],"+",tabE.Flux[[#This Row],[MOTORISTA + MATRÍCULA A]])</f>
        <v>45915+RICHARD SOUSA DA SILVA - 1271</v>
      </c>
      <c r="D698" s="1" t="str">
        <f>_xlfn.CONCAT(tabE.Flux[[#This Row],[DATA]],"+",tabE.Flux[[#This Row],[MOTORISTA + MATRÍCULA B]])</f>
        <v>45915+RONALDO ADRIANO COSTA SANTOS - 5637</v>
      </c>
      <c r="E698" s="1" t="str">
        <f>_xlfn.CONCAT(tabE.Flux[[#This Row],[DATA]],"+",tabE.Flux[[#This Row],[MOTORISTA + MATRÍCULA A]],"+",tabE.Flux[[#This Row],[LINHA]])</f>
        <v>45915+RICHARD SOUSA DA SILVA - 1271+GOIANIA (GO) X BELEM (PA)</v>
      </c>
      <c r="F698" s="1" t="str">
        <f>_xlfn.CONCAT(tabE.Flux[[#This Row],[DATA]],"+",tabE.Flux[[#This Row],[MOTORISTA + MATRÍCULA B]],"+",tabE.Flux[[#This Row],[LINHA]])</f>
        <v>45915+RONALDO ADRIANO COSTA SANTOS - 5637+GOIANIA (GO) X BELEM (PA)</v>
      </c>
      <c r="G698" s="1" t="str">
        <f>_xlfn.CONCAT(tabE.Flux[[#This Row],[DATA]],"+",tabE.Flux[[#This Row],[LINHA]])</f>
        <v>45915+GOIANIA (GO) X BELEM (PA)</v>
      </c>
      <c r="H698" s="125">
        <v>45915</v>
      </c>
      <c r="I698" s="1" t="s">
        <v>15</v>
      </c>
      <c r="J698" s="1">
        <v>25006</v>
      </c>
      <c r="K698" s="126">
        <v>0.76041666666666663</v>
      </c>
      <c r="L698" s="126">
        <v>0.82777777777777772</v>
      </c>
      <c r="M698" s="1" t="s">
        <v>16</v>
      </c>
      <c r="N698" s="1" t="s">
        <v>33</v>
      </c>
      <c r="O698" s="1" t="s">
        <v>56</v>
      </c>
      <c r="P698" s="1" t="s">
        <v>41</v>
      </c>
      <c r="Q698" s="1" t="s">
        <v>20</v>
      </c>
    </row>
    <row r="699" spans="3:17" x14ac:dyDescent="0.25">
      <c r="C699" s="1" t="str">
        <f>_xlfn.CONCAT(tabE.Flux[[#This Row],[DATA]],"+",tabE.Flux[[#This Row],[MOTORISTA + MATRÍCULA A]])</f>
        <v>45915+GILDEVAN DE ALMEIDA AGOSTINHO - 1924</v>
      </c>
      <c r="D699" s="1" t="str">
        <f>_xlfn.CONCAT(tabE.Flux[[#This Row],[DATA]],"+",tabE.Flux[[#This Row],[MOTORISTA + MATRÍCULA B]])</f>
        <v>45915+LAUCEANDO DA SILVA ROCHA - 6220</v>
      </c>
      <c r="E699" s="1" t="str">
        <f>_xlfn.CONCAT(tabE.Flux[[#This Row],[DATA]],"+",tabE.Flux[[#This Row],[MOTORISTA + MATRÍCULA A]],"+",tabE.Flux[[#This Row],[LINHA]])</f>
        <v>45915+GILDEVAN DE ALMEIDA AGOSTINHO - 1924+GOIANIA (GO) X SAO LUIS (MA)</v>
      </c>
      <c r="F699" s="1" t="str">
        <f>_xlfn.CONCAT(tabE.Flux[[#This Row],[DATA]],"+",tabE.Flux[[#This Row],[MOTORISTA + MATRÍCULA B]],"+",tabE.Flux[[#This Row],[LINHA]])</f>
        <v>45915+LAUCEANDO DA SILVA ROCHA - 6220+GOIANIA (GO) X SAO LUIS (MA)</v>
      </c>
      <c r="G699" s="1" t="str">
        <f>_xlfn.CONCAT(tabE.Flux[[#This Row],[DATA]],"+",tabE.Flux[[#This Row],[LINHA]])</f>
        <v>45915+GOIANIA (GO) X SAO LUIS (MA)</v>
      </c>
      <c r="H699" s="125">
        <v>45915</v>
      </c>
      <c r="I699" s="1" t="s">
        <v>15</v>
      </c>
      <c r="J699" s="1">
        <v>19017</v>
      </c>
      <c r="K699" s="126">
        <v>0.40763888888888888</v>
      </c>
      <c r="L699" s="126">
        <v>0.47013888888888888</v>
      </c>
      <c r="M699" s="1" t="s">
        <v>16</v>
      </c>
      <c r="N699" s="1" t="s">
        <v>42</v>
      </c>
      <c r="O699" s="1" t="s">
        <v>236</v>
      </c>
      <c r="P699" s="1" t="s">
        <v>86</v>
      </c>
      <c r="Q699" s="1" t="s">
        <v>23</v>
      </c>
    </row>
    <row r="700" spans="3:17" x14ac:dyDescent="0.25">
      <c r="C700" s="1" t="str">
        <f>_xlfn.CONCAT(tabE.Flux[[#This Row],[DATA]],"+",tabE.Flux[[#This Row],[MOTORISTA + MATRÍCULA A]])</f>
        <v>45915+CANCELADO</v>
      </c>
      <c r="D700" s="1" t="str">
        <f>_xlfn.CONCAT(tabE.Flux[[#This Row],[DATA]],"+",tabE.Flux[[#This Row],[MOTORISTA + MATRÍCULA B]])</f>
        <v>45915+CANCELADO</v>
      </c>
      <c r="E700" s="1" t="str">
        <f>_xlfn.CONCAT(tabE.Flux[[#This Row],[DATA]],"+",tabE.Flux[[#This Row],[MOTORISTA + MATRÍCULA A]],"+",tabE.Flux[[#This Row],[LINHA]])</f>
        <v>45915+CANCELADO+IMPERATRIZ (MA) X SÃO LUIS (MA)</v>
      </c>
      <c r="F700" s="1" t="str">
        <f>_xlfn.CONCAT(tabE.Flux[[#This Row],[DATA]],"+",tabE.Flux[[#This Row],[MOTORISTA + MATRÍCULA B]],"+",tabE.Flux[[#This Row],[LINHA]])</f>
        <v>45915+CANCELADO+IMPERATRIZ (MA) X SÃO LUIS (MA)</v>
      </c>
      <c r="G700" s="1" t="str">
        <f>_xlfn.CONCAT(tabE.Flux[[#This Row],[DATA]],"+",tabE.Flux[[#This Row],[LINHA]])</f>
        <v>45915+IMPERATRIZ (MA) X SÃO LUIS (MA)</v>
      </c>
      <c r="H700" s="125">
        <v>45915</v>
      </c>
      <c r="I700" s="1" t="s">
        <v>15</v>
      </c>
      <c r="J700" s="1" t="s">
        <v>27</v>
      </c>
      <c r="K700" s="126">
        <v>0.77083333333333337</v>
      </c>
      <c r="L700" s="126">
        <v>0.8125</v>
      </c>
      <c r="M700" s="1" t="s">
        <v>16</v>
      </c>
      <c r="N700" s="1" t="s">
        <v>42</v>
      </c>
      <c r="O700" s="1" t="s">
        <v>27</v>
      </c>
      <c r="P700" s="1" t="s">
        <v>27</v>
      </c>
      <c r="Q700" s="1" t="s">
        <v>47</v>
      </c>
    </row>
    <row r="701" spans="3:17" x14ac:dyDescent="0.25">
      <c r="C701" s="1" t="str">
        <f>_xlfn.CONCAT(tabE.Flux[[#This Row],[DATA]],"+",tabE.Flux[[#This Row],[MOTORISTA + MATRÍCULA A]])</f>
        <v>45915+JOAO DE JESUS GOUVEIA - 6016</v>
      </c>
      <c r="D701" s="1" t="str">
        <f>_xlfn.CONCAT(tabE.Flux[[#This Row],[DATA]],"+",tabE.Flux[[#This Row],[MOTORISTA + MATRÍCULA B]])</f>
        <v>45915+PAULO ENEAS FARIAS ARAUJO - 6218</v>
      </c>
      <c r="E701" s="1" t="str">
        <f>_xlfn.CONCAT(tabE.Flux[[#This Row],[DATA]],"+",tabE.Flux[[#This Row],[MOTORISTA + MATRÍCULA A]],"+",tabE.Flux[[#This Row],[LINHA]])</f>
        <v>45915+JOAO DE JESUS GOUVEIA - 6016+GOIANIA (GO) X SAO LUIS (MA)</v>
      </c>
      <c r="F701" s="1" t="str">
        <f>_xlfn.CONCAT(tabE.Flux[[#This Row],[DATA]],"+",tabE.Flux[[#This Row],[MOTORISTA + MATRÍCULA B]],"+",tabE.Flux[[#This Row],[LINHA]])</f>
        <v>45915+PAULO ENEAS FARIAS ARAUJO - 6218+GOIANIA (GO) X SAO LUIS (MA)</v>
      </c>
      <c r="G701" s="1" t="str">
        <f>_xlfn.CONCAT(tabE.Flux[[#This Row],[DATA]],"+",tabE.Flux[[#This Row],[LINHA]])</f>
        <v>45915+GOIANIA (GO) X SAO LUIS (MA)</v>
      </c>
      <c r="H701" s="125">
        <v>45915</v>
      </c>
      <c r="I701" s="1" t="s">
        <v>15</v>
      </c>
      <c r="J701" s="1">
        <v>24002</v>
      </c>
      <c r="K701" s="126">
        <v>0.8125</v>
      </c>
      <c r="L701" s="126">
        <v>0.84375</v>
      </c>
      <c r="M701" s="1" t="s">
        <v>16</v>
      </c>
      <c r="N701" s="1" t="s">
        <v>42</v>
      </c>
      <c r="O701" s="1" t="s">
        <v>58</v>
      </c>
      <c r="P701" s="1" t="s">
        <v>43</v>
      </c>
      <c r="Q701" s="1" t="s">
        <v>23</v>
      </c>
    </row>
    <row r="702" spans="3:17" x14ac:dyDescent="0.25">
      <c r="C702" s="1" t="str">
        <f>_xlfn.CONCAT(tabE.Flux[[#This Row],[DATA]],"+",tabE.Flux[[#This Row],[MOTORISTA + MATRÍCULA A]])</f>
        <v>45915+ANTONIO MARCIO DE SENA RIBEIRO CHAVES - 5061</v>
      </c>
      <c r="D702" s="1" t="str">
        <f>_xlfn.CONCAT(tabE.Flux[[#This Row],[DATA]],"+",tabE.Flux[[#This Row],[MOTORISTA + MATRÍCULA B]])</f>
        <v>45915+PAULO MORAES DOS SANTOS - 1534</v>
      </c>
      <c r="E702" s="1" t="str">
        <f>_xlfn.CONCAT(tabE.Flux[[#This Row],[DATA]],"+",tabE.Flux[[#This Row],[MOTORISTA + MATRÍCULA A]],"+",tabE.Flux[[#This Row],[LINHA]])</f>
        <v>45915+ANTONIO MARCIO DE SENA RIBEIRO CHAVES - 5061+GOIANIA (GO) X TERESINA (PI) VIA STI</v>
      </c>
      <c r="F702" s="1" t="str">
        <f>_xlfn.CONCAT(tabE.Flux[[#This Row],[DATA]],"+",tabE.Flux[[#This Row],[MOTORISTA + MATRÍCULA B]],"+",tabE.Flux[[#This Row],[LINHA]])</f>
        <v>45915+PAULO MORAES DOS SANTOS - 1534+GOIANIA (GO) X TERESINA (PI) VIA STI</v>
      </c>
      <c r="G702" s="1" t="str">
        <f>_xlfn.CONCAT(tabE.Flux[[#This Row],[DATA]],"+",tabE.Flux[[#This Row],[LINHA]])</f>
        <v>45915+GOIANIA (GO) X TERESINA (PI) VIA STI</v>
      </c>
      <c r="H702" s="125">
        <v>45915</v>
      </c>
      <c r="I702" s="1" t="s">
        <v>15</v>
      </c>
      <c r="J702" s="1">
        <v>20020</v>
      </c>
      <c r="K702" s="126">
        <v>0.77083333333333337</v>
      </c>
      <c r="L702" s="126">
        <v>0.79861111111111116</v>
      </c>
      <c r="M702" s="1" t="s">
        <v>16</v>
      </c>
      <c r="N702" s="1" t="s">
        <v>29</v>
      </c>
      <c r="O702" s="1" t="s">
        <v>235</v>
      </c>
      <c r="P702" s="1" t="s">
        <v>225</v>
      </c>
      <c r="Q702" s="1" t="s">
        <v>26</v>
      </c>
    </row>
    <row r="703" spans="3:17" x14ac:dyDescent="0.25">
      <c r="C703" s="1" t="str">
        <f>_xlfn.CONCAT(tabE.Flux[[#This Row],[DATA]],"+",tabE.Flux[[#This Row],[MOTORISTA + MATRÍCULA A]])</f>
        <v>45915+KLEBER OLIVEIRA LIMA - 5849</v>
      </c>
      <c r="D703" s="1" t="str">
        <f>_xlfn.CONCAT(tabE.Flux[[#This Row],[DATA]],"+",tabE.Flux[[#This Row],[MOTORISTA + MATRÍCULA B]])</f>
        <v>45915+VALDEY OLIVEIRA ARAUJO - 2790</v>
      </c>
      <c r="E703" s="1" t="str">
        <f>_xlfn.CONCAT(tabE.Flux[[#This Row],[DATA]],"+",tabE.Flux[[#This Row],[MOTORISTA + MATRÍCULA A]],"+",tabE.Flux[[#This Row],[LINHA]])</f>
        <v>45915+KLEBER OLIVEIRA LIMA - 5849+GOIANIA (GO) X SAO LUIS (MA)</v>
      </c>
      <c r="F703" s="1" t="str">
        <f>_xlfn.CONCAT(tabE.Flux[[#This Row],[DATA]],"+",tabE.Flux[[#This Row],[MOTORISTA + MATRÍCULA B]],"+",tabE.Flux[[#This Row],[LINHA]])</f>
        <v>45915+VALDEY OLIVEIRA ARAUJO - 2790+GOIANIA (GO) X SAO LUIS (MA)</v>
      </c>
      <c r="G703" s="1" t="str">
        <f>_xlfn.CONCAT(tabE.Flux[[#This Row],[DATA]],"+",tabE.Flux[[#This Row],[LINHA]])</f>
        <v>45915+GOIANIA (GO) X SAO LUIS (MA)</v>
      </c>
      <c r="H703" s="125">
        <v>45915</v>
      </c>
      <c r="I703" s="1" t="s">
        <v>15</v>
      </c>
      <c r="J703" s="1">
        <v>19007</v>
      </c>
      <c r="K703" s="126">
        <v>0.8125</v>
      </c>
      <c r="L703" s="126">
        <v>0.84166666666666667</v>
      </c>
      <c r="M703" s="1" t="s">
        <v>16</v>
      </c>
      <c r="N703" s="1" t="s">
        <v>17</v>
      </c>
      <c r="O703" s="1" t="s">
        <v>102</v>
      </c>
      <c r="P703" s="1" t="s">
        <v>34</v>
      </c>
      <c r="Q703" s="1" t="s">
        <v>23</v>
      </c>
    </row>
    <row r="704" spans="3:17" x14ac:dyDescent="0.25">
      <c r="C704" s="1" t="str">
        <f>_xlfn.CONCAT(tabE.Flux[[#This Row],[DATA]],"+",tabE.Flux[[#This Row],[MOTORISTA + MATRÍCULA A]])</f>
        <v>45915+ELIEZIO JOSE DOS SANTOS - 2645</v>
      </c>
      <c r="D704" s="1" t="str">
        <f>_xlfn.CONCAT(tabE.Flux[[#This Row],[DATA]],"+",tabE.Flux[[#This Row],[MOTORISTA + MATRÍCULA B]])</f>
        <v>45915+JARDEL DE SOUSA OLIVEIRA - 5992</v>
      </c>
      <c r="E704" s="1" t="str">
        <f>_xlfn.CONCAT(tabE.Flux[[#This Row],[DATA]],"+",tabE.Flux[[#This Row],[MOTORISTA + MATRÍCULA A]],"+",tabE.Flux[[#This Row],[LINHA]])</f>
        <v>45915+ELIEZIO JOSE DOS SANTOS - 2645+FORTALEZA (CE) X SINOP (MT)</v>
      </c>
      <c r="F704" s="1" t="str">
        <f>_xlfn.CONCAT(tabE.Flux[[#This Row],[DATA]],"+",tabE.Flux[[#This Row],[MOTORISTA + MATRÍCULA B]],"+",tabE.Flux[[#This Row],[LINHA]])</f>
        <v>45915+JARDEL DE SOUSA OLIVEIRA - 5992+FORTALEZA (CE) X SINOP (MT)</v>
      </c>
      <c r="G704" s="1" t="str">
        <f>_xlfn.CONCAT(tabE.Flux[[#This Row],[DATA]],"+",tabE.Flux[[#This Row],[LINHA]])</f>
        <v>45915+FORTALEZA (CE) X SINOP (MT)</v>
      </c>
      <c r="H704" s="125">
        <v>45915</v>
      </c>
      <c r="I704" s="1" t="s">
        <v>15</v>
      </c>
      <c r="J704" s="1">
        <v>19022</v>
      </c>
      <c r="K704" s="126">
        <v>0.8125</v>
      </c>
      <c r="L704" s="126">
        <v>0.85416666666666663</v>
      </c>
      <c r="M704" s="1" t="s">
        <v>16</v>
      </c>
      <c r="N704" s="1" t="s">
        <v>17</v>
      </c>
      <c r="O704" s="1" t="s">
        <v>53</v>
      </c>
      <c r="P704" s="1" t="s">
        <v>150</v>
      </c>
      <c r="Q704" s="1" t="s">
        <v>32</v>
      </c>
    </row>
    <row r="705" spans="3:17" x14ac:dyDescent="0.25">
      <c r="C705" s="4" t="str">
        <f>_xlfn.CONCAT(tabE.Flux[[#This Row],[DATA]],"+",tabE.Flux[[#This Row],[MOTORISTA + MATRÍCULA A]])</f>
        <v>45915+WILSON MARTINS ROCHA - 105</v>
      </c>
      <c r="D705" s="4" t="str">
        <f>_xlfn.CONCAT(tabE.Flux[[#This Row],[DATA]],"+",tabE.Flux[[#This Row],[MOTORISTA + MATRÍCULA B]])</f>
        <v>45915+WILSON FERREIRA DE JESUS - 1407</v>
      </c>
      <c r="E705" s="4" t="str">
        <f>_xlfn.CONCAT(tabE.Flux[[#This Row],[DATA]],"+",tabE.Flux[[#This Row],[MOTORISTA + MATRÍCULA A]],"+",tabE.Flux[[#This Row],[LINHA]])</f>
        <v>45915+WILSON MARTINS ROCHA - 105+GOIANIA (GO) X BELEM (PA)</v>
      </c>
      <c r="F705" s="4" t="str">
        <f>_xlfn.CONCAT(tabE.Flux[[#This Row],[DATA]],"+",tabE.Flux[[#This Row],[MOTORISTA + MATRÍCULA B]],"+",tabE.Flux[[#This Row],[LINHA]])</f>
        <v>45915+WILSON FERREIRA DE JESUS - 1407+GOIANIA (GO) X BELEM (PA)</v>
      </c>
      <c r="G705" s="4" t="str">
        <f>_xlfn.CONCAT(tabE.Flux[[#This Row],[DATA]],"+",tabE.Flux[[#This Row],[LINHA]])</f>
        <v>45915+GOIANIA (GO) X BELEM (PA)</v>
      </c>
      <c r="H705" s="127">
        <v>45915</v>
      </c>
      <c r="I705" s="4" t="s">
        <v>15</v>
      </c>
      <c r="J705" s="4">
        <v>20019</v>
      </c>
      <c r="K705" s="128">
        <v>0.84722222222222221</v>
      </c>
      <c r="L705" s="128">
        <v>0.87847222222222221</v>
      </c>
      <c r="M705" s="4" t="s">
        <v>16</v>
      </c>
      <c r="N705" s="4" t="s">
        <v>17</v>
      </c>
      <c r="O705" s="4" t="s">
        <v>81</v>
      </c>
      <c r="P705" s="4" t="s">
        <v>82</v>
      </c>
      <c r="Q705" s="4" t="s">
        <v>20</v>
      </c>
    </row>
    <row r="706" spans="3:17" x14ac:dyDescent="0.25">
      <c r="C706" s="1" t="str">
        <f>_xlfn.CONCAT(tabE.Flux[[#This Row],[DATA]],"+",tabE.Flux[[#This Row],[MOTORISTA + MATRÍCULA A]])</f>
        <v>+</v>
      </c>
      <c r="D706" s="1" t="str">
        <f>_xlfn.CONCAT(tabE.Flux[[#This Row],[DATA]],"+",tabE.Flux[[#This Row],[MOTORISTA + MATRÍCULA B]])</f>
        <v>+</v>
      </c>
      <c r="E706" s="1" t="str">
        <f>_xlfn.CONCAT(tabE.Flux[[#This Row],[DATA]],"+",tabE.Flux[[#This Row],[MOTORISTA + MATRÍCULA A]],"+",tabE.Flux[[#This Row],[LINHA]])</f>
        <v>++</v>
      </c>
      <c r="F706" s="1" t="str">
        <f>_xlfn.CONCAT(tabE.Flux[[#This Row],[DATA]],"+",tabE.Flux[[#This Row],[MOTORISTA + MATRÍCULA B]],"+",tabE.Flux[[#This Row],[LINHA]])</f>
        <v>++</v>
      </c>
      <c r="G706" s="1" t="str">
        <f>_xlfn.CONCAT(tabE.Flux[[#This Row],[DATA]],"+",tabE.Flux[[#This Row],[LINHA]])</f>
        <v>+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3:17" x14ac:dyDescent="0.25">
      <c r="C707" s="1" t="str">
        <f>_xlfn.CONCAT(tabE.Flux[[#This Row],[DATA]],"+",tabE.Flux[[#This Row],[MOTORISTA + MATRÍCULA A]])</f>
        <v>45916+GERALDO DE OLIVEIRA GOMES - 1360</v>
      </c>
      <c r="D707" s="1" t="str">
        <f>_xlfn.CONCAT(tabE.Flux[[#This Row],[DATA]],"+",tabE.Flux[[#This Row],[MOTORISTA + MATRÍCULA B]])</f>
        <v>45916+ANTONIO DIAS DE OLIVEIRA - 5309</v>
      </c>
      <c r="E707" s="1" t="str">
        <f>_xlfn.CONCAT(tabE.Flux[[#This Row],[DATA]],"+",tabE.Flux[[#This Row],[MOTORISTA + MATRÍCULA A]],"+",tabE.Flux[[#This Row],[LINHA]])</f>
        <v>45916+GERALDO DE OLIVEIRA GOMES - 1360+GOIANIA (GO) X BELEM (PA)</v>
      </c>
      <c r="F707" s="1" t="str">
        <f>_xlfn.CONCAT(tabE.Flux[[#This Row],[DATA]],"+",tabE.Flux[[#This Row],[MOTORISTA + MATRÍCULA B]],"+",tabE.Flux[[#This Row],[LINHA]])</f>
        <v>45916+ANTONIO DIAS DE OLIVEIRA - 5309+GOIANIA (GO) X BELEM (PA)</v>
      </c>
      <c r="G707" s="1" t="str">
        <f>_xlfn.CONCAT(tabE.Flux[[#This Row],[DATA]],"+",tabE.Flux[[#This Row],[LINHA]])</f>
        <v>45916+GOIANIA (GO) X BELEM (PA)</v>
      </c>
      <c r="H707" s="125">
        <v>45916</v>
      </c>
      <c r="I707" s="1" t="s">
        <v>15</v>
      </c>
      <c r="J707" s="1">
        <v>24014</v>
      </c>
      <c r="K707" s="126">
        <v>0.25486111111111109</v>
      </c>
      <c r="L707" s="126">
        <v>0.3</v>
      </c>
      <c r="M707" s="1" t="s">
        <v>16</v>
      </c>
      <c r="N707" s="1" t="s">
        <v>17</v>
      </c>
      <c r="O707" s="1" t="s">
        <v>245</v>
      </c>
      <c r="P707" s="1" t="s">
        <v>172</v>
      </c>
      <c r="Q707" s="1" t="s">
        <v>20</v>
      </c>
    </row>
    <row r="708" spans="3:17" x14ac:dyDescent="0.25">
      <c r="C708" s="1" t="str">
        <f>_xlfn.CONCAT(tabE.Flux[[#This Row],[DATA]],"+",tabE.Flux[[#This Row],[MOTORISTA + MATRÍCULA A]])</f>
        <v>45916+CLAUDIO JOSE DO NASCIMENTO - 549</v>
      </c>
      <c r="D708" s="1" t="str">
        <f>_xlfn.CONCAT(tabE.Flux[[#This Row],[DATA]],"+",tabE.Flux[[#This Row],[MOTORISTA + MATRÍCULA B]])</f>
        <v>45916+COSME CAVALCANTE DA SILVA - 3002</v>
      </c>
      <c r="E708" s="1" t="str">
        <f>_xlfn.CONCAT(tabE.Flux[[#This Row],[DATA]],"+",tabE.Flux[[#This Row],[MOTORISTA + MATRÍCULA A]],"+",tabE.Flux[[#This Row],[LINHA]])</f>
        <v>45916+CLAUDIO JOSE DO NASCIMENTO - 549+GOIANIA (GO) X SAO LUIS (MA)</v>
      </c>
      <c r="F708" s="1" t="str">
        <f>_xlfn.CONCAT(tabE.Flux[[#This Row],[DATA]],"+",tabE.Flux[[#This Row],[MOTORISTA + MATRÍCULA B]],"+",tabE.Flux[[#This Row],[LINHA]])</f>
        <v>45916+COSME CAVALCANTE DA SILVA - 3002+GOIANIA (GO) X SAO LUIS (MA)</v>
      </c>
      <c r="G708" s="1" t="str">
        <f>_xlfn.CONCAT(tabE.Flux[[#This Row],[DATA]],"+",tabE.Flux[[#This Row],[LINHA]])</f>
        <v>45916+GOIANIA (GO) X SAO LUIS (MA)</v>
      </c>
      <c r="H708" s="125">
        <v>45916</v>
      </c>
      <c r="I708" s="1" t="s">
        <v>15</v>
      </c>
      <c r="J708" s="1">
        <v>24011</v>
      </c>
      <c r="K708" s="126">
        <v>0.32291666666666669</v>
      </c>
      <c r="L708" s="126">
        <v>0.33333333333333331</v>
      </c>
      <c r="M708" s="1" t="s">
        <v>16</v>
      </c>
      <c r="N708" s="1" t="s">
        <v>17</v>
      </c>
      <c r="O708" s="1" t="s">
        <v>48</v>
      </c>
      <c r="P708" s="1" t="s">
        <v>49</v>
      </c>
      <c r="Q708" s="1" t="s">
        <v>23</v>
      </c>
    </row>
    <row r="709" spans="3:17" x14ac:dyDescent="0.25">
      <c r="C709" s="1" t="str">
        <f>_xlfn.CONCAT(tabE.Flux[[#This Row],[DATA]],"+",tabE.Flux[[#This Row],[MOTORISTA + MATRÍCULA A]])</f>
        <v>45916+JOSE MARQUES DE SOUZA - 5771</v>
      </c>
      <c r="D709" s="1" t="str">
        <f>_xlfn.CONCAT(tabE.Flux[[#This Row],[DATA]],"+",tabE.Flux[[#This Row],[MOTORISTA + MATRÍCULA B]])</f>
        <v>45916+JANIO CEZAR DOS SANTOS - 6021</v>
      </c>
      <c r="E709" s="1" t="str">
        <f>_xlfn.CONCAT(tabE.Flux[[#This Row],[DATA]],"+",tabE.Flux[[#This Row],[MOTORISTA + MATRÍCULA A]],"+",tabE.Flux[[#This Row],[LINHA]])</f>
        <v>45916+JOSE MARQUES DE SOUZA - 5771+GOIANIA (GO) X TERESINA (PI) VIA STI</v>
      </c>
      <c r="F709" s="1" t="str">
        <f>_xlfn.CONCAT(tabE.Flux[[#This Row],[DATA]],"+",tabE.Flux[[#This Row],[MOTORISTA + MATRÍCULA B]],"+",tabE.Flux[[#This Row],[LINHA]])</f>
        <v>45916+JANIO CEZAR DOS SANTOS - 6021+GOIANIA (GO) X TERESINA (PI) VIA STI</v>
      </c>
      <c r="G709" s="1" t="str">
        <f>_xlfn.CONCAT(tabE.Flux[[#This Row],[DATA]],"+",tabE.Flux[[#This Row],[LINHA]])</f>
        <v>45916+GOIANIA (GO) X TERESINA (PI) VIA STI</v>
      </c>
      <c r="H709" s="125">
        <v>45916</v>
      </c>
      <c r="I709" s="1" t="s">
        <v>15</v>
      </c>
      <c r="J709" s="1">
        <v>19002</v>
      </c>
      <c r="K709" s="126">
        <v>0.3888888888888889</v>
      </c>
      <c r="L709" s="126">
        <v>0.39583333333333331</v>
      </c>
      <c r="M709" s="1" t="s">
        <v>16</v>
      </c>
      <c r="N709" s="1" t="s">
        <v>17</v>
      </c>
      <c r="O709" s="1" t="s">
        <v>97</v>
      </c>
      <c r="P709" s="1" t="s">
        <v>115</v>
      </c>
      <c r="Q709" s="1" t="s">
        <v>26</v>
      </c>
    </row>
    <row r="710" spans="3:17" x14ac:dyDescent="0.25">
      <c r="C710" s="1" t="str">
        <f>_xlfn.CONCAT(tabE.Flux[[#This Row],[DATA]],"+",tabE.Flux[[#This Row],[MOTORISTA + MATRÍCULA A]])</f>
        <v>45916+CANCELADO</v>
      </c>
      <c r="D710" s="1" t="str">
        <f>_xlfn.CONCAT(tabE.Flux[[#This Row],[DATA]],"+",tabE.Flux[[#This Row],[MOTORISTA + MATRÍCULA B]])</f>
        <v>45916+CANCELADO</v>
      </c>
      <c r="E710" s="1" t="str">
        <f>_xlfn.CONCAT(tabE.Flux[[#This Row],[DATA]],"+",tabE.Flux[[#This Row],[MOTORISTA + MATRÍCULA A]],"+",tabE.Flux[[#This Row],[LINHA]])</f>
        <v>45916+CANCELADO+</v>
      </c>
      <c r="F710" s="1" t="str">
        <f>_xlfn.CONCAT(tabE.Flux[[#This Row],[DATA]],"+",tabE.Flux[[#This Row],[MOTORISTA + MATRÍCULA B]],"+",tabE.Flux[[#This Row],[LINHA]])</f>
        <v>45916+CANCELADO+</v>
      </c>
      <c r="G710" s="1" t="str">
        <f>_xlfn.CONCAT(tabE.Flux[[#This Row],[DATA]],"+",tabE.Flux[[#This Row],[LINHA]])</f>
        <v>45916+</v>
      </c>
      <c r="H710" s="125">
        <v>45916</v>
      </c>
      <c r="I710" s="1" t="s">
        <v>15</v>
      </c>
      <c r="J710" s="1" t="s">
        <v>27</v>
      </c>
      <c r="K710" s="126">
        <v>0.375</v>
      </c>
      <c r="L710" s="126">
        <v>0.41666666666666669</v>
      </c>
      <c r="M710" s="1" t="s">
        <v>16</v>
      </c>
      <c r="N710" s="1" t="s">
        <v>28</v>
      </c>
      <c r="O710" s="1" t="s">
        <v>27</v>
      </c>
      <c r="P710" s="1" t="s">
        <v>27</v>
      </c>
      <c r="Q710" s="1"/>
    </row>
    <row r="711" spans="3:17" x14ac:dyDescent="0.25">
      <c r="C711" s="1" t="str">
        <f>_xlfn.CONCAT(tabE.Flux[[#This Row],[DATA]],"+",tabE.Flux[[#This Row],[MOTORISTA + MATRÍCULA A]])</f>
        <v>45916+JOSE ALVES DE FREITAS NETO - 5027</v>
      </c>
      <c r="D711" s="1" t="str">
        <f>_xlfn.CONCAT(tabE.Flux[[#This Row],[DATA]],"+",tabE.Flux[[#This Row],[MOTORISTA + MATRÍCULA B]])</f>
        <v>45916+FRANK HUDSON MACHADO DE BRITO - 5267</v>
      </c>
      <c r="E711" s="1" t="str">
        <f>_xlfn.CONCAT(tabE.Flux[[#This Row],[DATA]],"+",tabE.Flux[[#This Row],[MOTORISTA + MATRÍCULA A]],"+",tabE.Flux[[#This Row],[LINHA]])</f>
        <v>45916+JOSE ALVES DE FREITAS NETO - 5027+FORTALEZA (CE) X SINOP (MT)</v>
      </c>
      <c r="F711" s="1" t="str">
        <f>_xlfn.CONCAT(tabE.Flux[[#This Row],[DATA]],"+",tabE.Flux[[#This Row],[MOTORISTA + MATRÍCULA B]],"+",tabE.Flux[[#This Row],[LINHA]])</f>
        <v>45916+FRANK HUDSON MACHADO DE BRITO - 5267+FORTALEZA (CE) X SINOP (MT)</v>
      </c>
      <c r="G711" s="1" t="str">
        <f>_xlfn.CONCAT(tabE.Flux[[#This Row],[DATA]],"+",tabE.Flux[[#This Row],[LINHA]])</f>
        <v>45916+FORTALEZA (CE) X SINOP (MT)</v>
      </c>
      <c r="H711" s="125">
        <v>45916</v>
      </c>
      <c r="I711" s="1" t="s">
        <v>15</v>
      </c>
      <c r="J711" s="1">
        <v>19020</v>
      </c>
      <c r="K711" s="126">
        <v>0.3888888888888889</v>
      </c>
      <c r="L711" s="126">
        <v>0.37708333333333333</v>
      </c>
      <c r="M711" s="1" t="s">
        <v>16</v>
      </c>
      <c r="N711" s="1" t="s">
        <v>29</v>
      </c>
      <c r="O711" s="1" t="s">
        <v>90</v>
      </c>
      <c r="P711" s="1" t="s">
        <v>160</v>
      </c>
      <c r="Q711" s="1" t="s">
        <v>32</v>
      </c>
    </row>
    <row r="712" spans="3:17" x14ac:dyDescent="0.25">
      <c r="C712" s="1" t="str">
        <f>_xlfn.CONCAT(tabE.Flux[[#This Row],[DATA]],"+",tabE.Flux[[#This Row],[MOTORISTA + MATRÍCULA A]])</f>
        <v>45916+CANCELADO</v>
      </c>
      <c r="D712" s="1" t="str">
        <f>_xlfn.CONCAT(tabE.Flux[[#This Row],[DATA]],"+",tabE.Flux[[#This Row],[MOTORISTA + MATRÍCULA B]])</f>
        <v>45916+CANCELADO</v>
      </c>
      <c r="E712" s="1" t="str">
        <f>_xlfn.CONCAT(tabE.Flux[[#This Row],[DATA]],"+",tabE.Flux[[#This Row],[MOTORISTA + MATRÍCULA A]],"+",tabE.Flux[[#This Row],[LINHA]])</f>
        <v>45916+CANCELADO+GOIANIA (GO) X BELEM (PA)</v>
      </c>
      <c r="F712" s="1" t="str">
        <f>_xlfn.CONCAT(tabE.Flux[[#This Row],[DATA]],"+",tabE.Flux[[#This Row],[MOTORISTA + MATRÍCULA B]],"+",tabE.Flux[[#This Row],[LINHA]])</f>
        <v>45916+CANCELADO+GOIANIA (GO) X BELEM (PA)</v>
      </c>
      <c r="G712" s="1" t="str">
        <f>_xlfn.CONCAT(tabE.Flux[[#This Row],[DATA]],"+",tabE.Flux[[#This Row],[LINHA]])</f>
        <v>45916+GOIANIA (GO) X BELEM (PA)</v>
      </c>
      <c r="H712" s="125">
        <v>45916</v>
      </c>
      <c r="I712" s="1" t="s">
        <v>15</v>
      </c>
      <c r="J712" s="1" t="s">
        <v>27</v>
      </c>
      <c r="K712" s="126">
        <v>0.38958333333333334</v>
      </c>
      <c r="L712" s="126">
        <v>0.38541666666666669</v>
      </c>
      <c r="M712" s="1" t="s">
        <v>16</v>
      </c>
      <c r="N712" s="1" t="s">
        <v>33</v>
      </c>
      <c r="O712" s="1" t="s">
        <v>27</v>
      </c>
      <c r="P712" s="1" t="s">
        <v>27</v>
      </c>
      <c r="Q712" s="1" t="s">
        <v>20</v>
      </c>
    </row>
    <row r="713" spans="3:17" x14ac:dyDescent="0.25">
      <c r="C713" s="1" t="str">
        <f>_xlfn.CONCAT(tabE.Flux[[#This Row],[DATA]],"+",tabE.Flux[[#This Row],[MOTORISTA + MATRÍCULA A]])</f>
        <v>45916+JWEBISON DE BRITO SOUZA - 2999</v>
      </c>
      <c r="D713" s="1" t="str">
        <f>_xlfn.CONCAT(tabE.Flux[[#This Row],[DATA]],"+",tabE.Flux[[#This Row],[MOTORISTA + MATRÍCULA B]])</f>
        <v>45916+EDIMILSON LUIS FRANÇA - 5442</v>
      </c>
      <c r="E713" s="1" t="str">
        <f>_xlfn.CONCAT(tabE.Flux[[#This Row],[DATA]],"+",tabE.Flux[[#This Row],[MOTORISTA + MATRÍCULA A]],"+",tabE.Flux[[#This Row],[LINHA]])</f>
        <v>45916+JWEBISON DE BRITO SOUZA - 2999+GOIANIA (GO) X TERESINA (PI) VIA BC</v>
      </c>
      <c r="F713" s="1" t="str">
        <f>_xlfn.CONCAT(tabE.Flux[[#This Row],[DATA]],"+",tabE.Flux[[#This Row],[MOTORISTA + MATRÍCULA B]],"+",tabE.Flux[[#This Row],[LINHA]])</f>
        <v>45916+EDIMILSON LUIS FRANÇA - 5442+GOIANIA (GO) X TERESINA (PI) VIA BC</v>
      </c>
      <c r="G713" s="1" t="str">
        <f>_xlfn.CONCAT(tabE.Flux[[#This Row],[DATA]],"+",tabE.Flux[[#This Row],[LINHA]])</f>
        <v>45916+GOIANIA (GO) X TERESINA (PI) VIA BC</v>
      </c>
      <c r="H713" s="125">
        <v>45916</v>
      </c>
      <c r="I713" s="1" t="s">
        <v>15</v>
      </c>
      <c r="J713" s="1">
        <v>25012</v>
      </c>
      <c r="K713" s="126">
        <v>0.375</v>
      </c>
      <c r="L713" s="126">
        <v>0.39930555555555558</v>
      </c>
      <c r="M713" s="1" t="s">
        <v>36</v>
      </c>
      <c r="N713" s="1" t="s">
        <v>29</v>
      </c>
      <c r="O713" s="1" t="s">
        <v>77</v>
      </c>
      <c r="P713" s="1" t="s">
        <v>89</v>
      </c>
      <c r="Q713" s="1" t="s">
        <v>39</v>
      </c>
    </row>
    <row r="714" spans="3:17" x14ac:dyDescent="0.25">
      <c r="C714" s="1" t="str">
        <f>_xlfn.CONCAT(tabE.Flux[[#This Row],[DATA]],"+",tabE.Flux[[#This Row],[MOTORISTA + MATRÍCULA A]])</f>
        <v>45916+JERZUALDO DA SILVA GOMES - 4077</v>
      </c>
      <c r="D714" s="1" t="str">
        <f>_xlfn.CONCAT(tabE.Flux[[#This Row],[DATA]],"+",tabE.Flux[[#This Row],[MOTORISTA + MATRÍCULA B]])</f>
        <v>45916+ANTONIO MARQUES NETO DOS SANTOS - 1738</v>
      </c>
      <c r="E714" s="1" t="str">
        <f>_xlfn.CONCAT(tabE.Flux[[#This Row],[DATA]],"+",tabE.Flux[[#This Row],[MOTORISTA + MATRÍCULA A]],"+",tabE.Flux[[#This Row],[LINHA]])</f>
        <v>45916+JERZUALDO DA SILVA GOMES - 4077+GOIANIA (GO) X BELEM (PA)</v>
      </c>
      <c r="F714" s="1" t="str">
        <f>_xlfn.CONCAT(tabE.Flux[[#This Row],[DATA]],"+",tabE.Flux[[#This Row],[MOTORISTA + MATRÍCULA B]],"+",tabE.Flux[[#This Row],[LINHA]])</f>
        <v>45916+ANTONIO MARQUES NETO DOS SANTOS - 1738+GOIANIA (GO) X BELEM (PA)</v>
      </c>
      <c r="G714" s="1" t="str">
        <f>_xlfn.CONCAT(tabE.Flux[[#This Row],[DATA]],"+",tabE.Flux[[#This Row],[LINHA]])</f>
        <v>45916+GOIANIA (GO) X BELEM (PA)</v>
      </c>
      <c r="H714" s="125">
        <v>45916</v>
      </c>
      <c r="I714" s="1" t="s">
        <v>15</v>
      </c>
      <c r="J714" s="1">
        <v>19015</v>
      </c>
      <c r="K714" s="126">
        <v>0.375</v>
      </c>
      <c r="L714" s="126">
        <v>0.41666666666666669</v>
      </c>
      <c r="M714" s="1" t="s">
        <v>33</v>
      </c>
      <c r="N714" s="1" t="s">
        <v>16</v>
      </c>
      <c r="O714" s="1" t="s">
        <v>130</v>
      </c>
      <c r="P714" s="1" t="s">
        <v>73</v>
      </c>
      <c r="Q714" s="1" t="s">
        <v>20</v>
      </c>
    </row>
    <row r="715" spans="3:17" x14ac:dyDescent="0.25">
      <c r="C715" s="1" t="str">
        <f>_xlfn.CONCAT(tabE.Flux[[#This Row],[DATA]],"+",tabE.Flux[[#This Row],[MOTORISTA + MATRÍCULA A]])</f>
        <v>45916+ALTEMAR DO NASCIMENTO LIMA - 6225</v>
      </c>
      <c r="D715" s="1" t="str">
        <f>_xlfn.CONCAT(tabE.Flux[[#This Row],[DATA]],"+",tabE.Flux[[#This Row],[MOTORISTA + MATRÍCULA B]])</f>
        <v>45916+</v>
      </c>
      <c r="E715" s="1" t="str">
        <f>_xlfn.CONCAT(tabE.Flux[[#This Row],[DATA]],"+",tabE.Flux[[#This Row],[MOTORISTA + MATRÍCULA A]],"+",tabE.Flux[[#This Row],[LINHA]])</f>
        <v>45916+ALTEMAR DO NASCIMENTO LIMA - 6225+GOIANIA (GO) X SAO LUIS (MA)</v>
      </c>
      <c r="F715" s="1" t="str">
        <f>_xlfn.CONCAT(tabE.Flux[[#This Row],[DATA]],"+",tabE.Flux[[#This Row],[MOTORISTA + MATRÍCULA B]],"+",tabE.Flux[[#This Row],[LINHA]])</f>
        <v>45916++GOIANIA (GO) X SAO LUIS (MA)</v>
      </c>
      <c r="G715" s="1" t="str">
        <f>_xlfn.CONCAT(tabE.Flux[[#This Row],[DATA]],"+",tabE.Flux[[#This Row],[LINHA]])</f>
        <v>45916+GOIANIA (GO) X SAO LUIS (MA)</v>
      </c>
      <c r="H715" s="125">
        <v>45916</v>
      </c>
      <c r="I715" s="1" t="s">
        <v>15</v>
      </c>
      <c r="J715" s="1">
        <v>17300</v>
      </c>
      <c r="K715" s="126">
        <v>0.25</v>
      </c>
      <c r="L715" s="126">
        <v>0.29166666666666669</v>
      </c>
      <c r="M715" s="1" t="s">
        <v>42</v>
      </c>
      <c r="N715" s="1" t="s">
        <v>16</v>
      </c>
      <c r="O715" s="1" t="s">
        <v>57</v>
      </c>
      <c r="P715" s="1"/>
      <c r="Q715" s="1" t="s">
        <v>23</v>
      </c>
    </row>
    <row r="716" spans="3:17" x14ac:dyDescent="0.25">
      <c r="C716" s="1" t="str">
        <f>_xlfn.CONCAT(tabE.Flux[[#This Row],[DATA]],"+",tabE.Flux[[#This Row],[MOTORISTA + MATRÍCULA A]])</f>
        <v>45916+RAIMUNDO COSTA SILVA - 6226</v>
      </c>
      <c r="D716" s="1" t="str">
        <f>_xlfn.CONCAT(tabE.Flux[[#This Row],[DATA]],"+",tabE.Flux[[#This Row],[MOTORISTA + MATRÍCULA B]])</f>
        <v>45916+JOAO DE JESUS GOUVEIA - 6016</v>
      </c>
      <c r="E716" s="1" t="str">
        <f>_xlfn.CONCAT(tabE.Flux[[#This Row],[DATA]],"+",tabE.Flux[[#This Row],[MOTORISTA + MATRÍCULA A]],"+",tabE.Flux[[#This Row],[LINHA]])</f>
        <v>45916+RAIMUNDO COSTA SILVA - 6226+GOIANIA (GO) X SAO LUIS (MA)</v>
      </c>
      <c r="F716" s="1" t="str">
        <f>_xlfn.CONCAT(tabE.Flux[[#This Row],[DATA]],"+",tabE.Flux[[#This Row],[MOTORISTA + MATRÍCULA B]],"+",tabE.Flux[[#This Row],[LINHA]])</f>
        <v>45916+JOAO DE JESUS GOUVEIA - 6016+GOIANIA (GO) X SAO LUIS (MA)</v>
      </c>
      <c r="G716" s="1" t="str">
        <f>_xlfn.CONCAT(tabE.Flux[[#This Row],[DATA]],"+",tabE.Flux[[#This Row],[LINHA]])</f>
        <v>45916+GOIANIA (GO) X SAO LUIS (MA)</v>
      </c>
      <c r="H716" s="125">
        <v>45916</v>
      </c>
      <c r="I716" s="1" t="s">
        <v>15</v>
      </c>
      <c r="J716" s="1">
        <v>24002</v>
      </c>
      <c r="K716" s="126">
        <v>0.75</v>
      </c>
      <c r="L716" s="126">
        <v>0.79166666666666663</v>
      </c>
      <c r="M716" s="1" t="s">
        <v>42</v>
      </c>
      <c r="N716" s="1" t="s">
        <v>16</v>
      </c>
      <c r="O716" s="1" t="s">
        <v>45</v>
      </c>
      <c r="P716" s="1" t="s">
        <v>58</v>
      </c>
      <c r="Q716" s="1" t="s">
        <v>23</v>
      </c>
    </row>
    <row r="717" spans="3:17" x14ac:dyDescent="0.25">
      <c r="C717" s="1" t="str">
        <f>_xlfn.CONCAT(tabE.Flux[[#This Row],[DATA]],"+",tabE.Flux[[#This Row],[MOTORISTA + MATRÍCULA A]])</f>
        <v>45916+CANCELADO</v>
      </c>
      <c r="D717" s="1" t="str">
        <f>_xlfn.CONCAT(tabE.Flux[[#This Row],[DATA]],"+",tabE.Flux[[#This Row],[MOTORISTA + MATRÍCULA B]])</f>
        <v>45916+CANCELADO</v>
      </c>
      <c r="E717" s="1" t="str">
        <f>_xlfn.CONCAT(tabE.Flux[[#This Row],[DATA]],"+",tabE.Flux[[#This Row],[MOTORISTA + MATRÍCULA A]],"+",tabE.Flux[[#This Row],[LINHA]])</f>
        <v>45916+CANCELADO+IMPERATRIZ (MA) X SÃO LUIS (MA)</v>
      </c>
      <c r="F717" s="1" t="str">
        <f>_xlfn.CONCAT(tabE.Flux[[#This Row],[DATA]],"+",tabE.Flux[[#This Row],[MOTORISTA + MATRÍCULA B]],"+",tabE.Flux[[#This Row],[LINHA]])</f>
        <v>45916+CANCELADO+IMPERATRIZ (MA) X SÃO LUIS (MA)</v>
      </c>
      <c r="G717" s="1" t="str">
        <f>_xlfn.CONCAT(tabE.Flux[[#This Row],[DATA]],"+",tabE.Flux[[#This Row],[LINHA]])</f>
        <v>45916+IMPERATRIZ (MA) X SÃO LUIS (MA)</v>
      </c>
      <c r="H717" s="125">
        <v>45916</v>
      </c>
      <c r="I717" s="1" t="s">
        <v>15</v>
      </c>
      <c r="J717" s="1" t="s">
        <v>27</v>
      </c>
      <c r="K717" s="126">
        <v>0.77083333333333337</v>
      </c>
      <c r="L717" s="126">
        <v>0.79513888888888884</v>
      </c>
      <c r="M717" s="1" t="s">
        <v>42</v>
      </c>
      <c r="N717" s="1" t="s">
        <v>16</v>
      </c>
      <c r="O717" s="1" t="s">
        <v>27</v>
      </c>
      <c r="P717" s="1" t="s">
        <v>27</v>
      </c>
      <c r="Q717" s="1" t="s">
        <v>47</v>
      </c>
    </row>
    <row r="718" spans="3:17" x14ac:dyDescent="0.25">
      <c r="C718" s="1" t="str">
        <f>_xlfn.CONCAT(tabE.Flux[[#This Row],[DATA]],"+",tabE.Flux[[#This Row],[MOTORISTA + MATRÍCULA A]])</f>
        <v>45916+RAFAEL JOSE TOME DE LIMA - 5537</v>
      </c>
      <c r="D718" s="1" t="str">
        <f>_xlfn.CONCAT(tabE.Flux[[#This Row],[DATA]],"+",tabE.Flux[[#This Row],[MOTORISTA + MATRÍCULA B]])</f>
        <v>45916+JOAO DA SILVA MORAIS - 2978</v>
      </c>
      <c r="E718" s="1" t="str">
        <f>_xlfn.CONCAT(tabE.Flux[[#This Row],[DATA]],"+",tabE.Flux[[#This Row],[MOTORISTA + MATRÍCULA A]],"+",tabE.Flux[[#This Row],[LINHA]])</f>
        <v>45916+RAFAEL JOSE TOME DE LIMA - 5537+GOIANIA (GO) X TERESINA (PI) VIA BC</v>
      </c>
      <c r="F718" s="1" t="str">
        <f>_xlfn.CONCAT(tabE.Flux[[#This Row],[DATA]],"+",tabE.Flux[[#This Row],[MOTORISTA + MATRÍCULA B]],"+",tabE.Flux[[#This Row],[LINHA]])</f>
        <v>45916+JOAO DA SILVA MORAIS - 2978+GOIANIA (GO) X TERESINA (PI) VIA BC</v>
      </c>
      <c r="G718" s="1" t="str">
        <f>_xlfn.CONCAT(tabE.Flux[[#This Row],[DATA]],"+",tabE.Flux[[#This Row],[LINHA]])</f>
        <v>45916+GOIANIA (GO) X TERESINA (PI) VIA BC</v>
      </c>
      <c r="H718" s="125">
        <v>45916</v>
      </c>
      <c r="I718" s="1" t="s">
        <v>15</v>
      </c>
      <c r="J718" s="1" t="s">
        <v>255</v>
      </c>
      <c r="K718" s="126">
        <v>0.89583333333333337</v>
      </c>
      <c r="L718" s="126">
        <v>0.91666666666666663</v>
      </c>
      <c r="M718" s="1" t="s">
        <v>36</v>
      </c>
      <c r="N718" s="1" t="s">
        <v>17</v>
      </c>
      <c r="O718" s="1" t="s">
        <v>181</v>
      </c>
      <c r="P718" s="1" t="s">
        <v>182</v>
      </c>
      <c r="Q718" s="1" t="s">
        <v>39</v>
      </c>
    </row>
    <row r="719" spans="3:17" x14ac:dyDescent="0.25">
      <c r="C719" s="1" t="str">
        <f>_xlfn.CONCAT(tabE.Flux[[#This Row],[DATA]],"+",tabE.Flux[[#This Row],[MOTORISTA + MATRÍCULA A]])</f>
        <v>45916+FELIPE MORAIS MELO - 3077</v>
      </c>
      <c r="D719" s="1" t="str">
        <f>_xlfn.CONCAT(tabE.Flux[[#This Row],[DATA]],"+",tabE.Flux[[#This Row],[MOTORISTA + MATRÍCULA B]])</f>
        <v>45916+JAIRO VIEIRA FERREIRA - 5835</v>
      </c>
      <c r="E719" s="1" t="str">
        <f>_xlfn.CONCAT(tabE.Flux[[#This Row],[DATA]],"+",tabE.Flux[[#This Row],[MOTORISTA + MATRÍCULA A]],"+",tabE.Flux[[#This Row],[LINHA]])</f>
        <v>45916+FELIPE MORAIS MELO - 3077+GOIANIA (GO) X BELEM (PA)</v>
      </c>
      <c r="F719" s="1" t="str">
        <f>_xlfn.CONCAT(tabE.Flux[[#This Row],[DATA]],"+",tabE.Flux[[#This Row],[MOTORISTA + MATRÍCULA B]],"+",tabE.Flux[[#This Row],[LINHA]])</f>
        <v>45916+JAIRO VIEIRA FERREIRA - 5835+GOIANIA (GO) X BELEM (PA)</v>
      </c>
      <c r="G719" s="1" t="str">
        <f>_xlfn.CONCAT(tabE.Flux[[#This Row],[DATA]],"+",tabE.Flux[[#This Row],[LINHA]])</f>
        <v>45916+GOIANIA (GO) X BELEM (PA)</v>
      </c>
      <c r="H719" s="125">
        <v>45916</v>
      </c>
      <c r="I719" s="1" t="s">
        <v>15</v>
      </c>
      <c r="J719" s="1">
        <v>25006</v>
      </c>
      <c r="K719" s="126">
        <v>0.76041666666666663</v>
      </c>
      <c r="L719" s="126">
        <v>0.77083333333333337</v>
      </c>
      <c r="M719" s="1" t="s">
        <v>33</v>
      </c>
      <c r="N719" s="1" t="s">
        <v>16</v>
      </c>
      <c r="O719" s="1" t="s">
        <v>78</v>
      </c>
      <c r="P719" s="1" t="s">
        <v>230</v>
      </c>
      <c r="Q719" s="1" t="s">
        <v>20</v>
      </c>
    </row>
    <row r="720" spans="3:17" x14ac:dyDescent="0.25">
      <c r="C720" s="1" t="str">
        <f>_xlfn.CONCAT(tabE.Flux[[#This Row],[DATA]],"+",tabE.Flux[[#This Row],[MOTORISTA + MATRÍCULA A]])</f>
        <v>45916+MERVAL DE SOUSA - 2880</v>
      </c>
      <c r="D720" s="1" t="str">
        <f>_xlfn.CONCAT(tabE.Flux[[#This Row],[DATA]],"+",tabE.Flux[[#This Row],[MOTORISTA + MATRÍCULA B]])</f>
        <v>45916+CLODOALDO PEREIRA DE LIMA - 4067</v>
      </c>
      <c r="E720" s="1" t="str">
        <f>_xlfn.CONCAT(tabE.Flux[[#This Row],[DATA]],"+",tabE.Flux[[#This Row],[MOTORISTA + MATRÍCULA A]],"+",tabE.Flux[[#This Row],[LINHA]])</f>
        <v>45916+MERVAL DE SOUSA - 2880+GOIANIA (GO) X BELEM (PA)</v>
      </c>
      <c r="F720" s="1" t="str">
        <f>_xlfn.CONCAT(tabE.Flux[[#This Row],[DATA]],"+",tabE.Flux[[#This Row],[MOTORISTA + MATRÍCULA B]],"+",tabE.Flux[[#This Row],[LINHA]])</f>
        <v>45916+CLODOALDO PEREIRA DE LIMA - 4067+GOIANIA (GO) X BELEM (PA)</v>
      </c>
      <c r="G720" s="1" t="str">
        <f>_xlfn.CONCAT(tabE.Flux[[#This Row],[DATA]],"+",tabE.Flux[[#This Row],[LINHA]])</f>
        <v>45916+GOIANIA (GO) X BELEM (PA)</v>
      </c>
      <c r="H720" s="125">
        <v>45916</v>
      </c>
      <c r="I720" s="1" t="s">
        <v>15</v>
      </c>
      <c r="J720" s="1">
        <v>25007</v>
      </c>
      <c r="K720" s="126">
        <v>0.76041666666666663</v>
      </c>
      <c r="L720" s="126">
        <v>0.82777777777777772</v>
      </c>
      <c r="M720" s="1" t="s">
        <v>16</v>
      </c>
      <c r="N720" s="1" t="s">
        <v>33</v>
      </c>
      <c r="O720" s="1" t="s">
        <v>44</v>
      </c>
      <c r="P720" s="1" t="s">
        <v>109</v>
      </c>
      <c r="Q720" s="1" t="s">
        <v>20</v>
      </c>
    </row>
    <row r="721" spans="3:17" x14ac:dyDescent="0.25">
      <c r="C721" s="1" t="str">
        <f>_xlfn.CONCAT(tabE.Flux[[#This Row],[DATA]],"+",tabE.Flux[[#This Row],[MOTORISTA + MATRÍCULA A]])</f>
        <v>45916+CANCELADO</v>
      </c>
      <c r="D721" s="1" t="str">
        <f>_xlfn.CONCAT(tabE.Flux[[#This Row],[DATA]],"+",tabE.Flux[[#This Row],[MOTORISTA + MATRÍCULA B]])</f>
        <v>45916+CANCELADO</v>
      </c>
      <c r="E721" s="1" t="str">
        <f>_xlfn.CONCAT(tabE.Flux[[#This Row],[DATA]],"+",tabE.Flux[[#This Row],[MOTORISTA + MATRÍCULA A]],"+",tabE.Flux[[#This Row],[LINHA]])</f>
        <v>45916+CANCELADO+GOIANIA (GO) X SAO LUIS (MA)</v>
      </c>
      <c r="F721" s="1" t="str">
        <f>_xlfn.CONCAT(tabE.Flux[[#This Row],[DATA]],"+",tabE.Flux[[#This Row],[MOTORISTA + MATRÍCULA B]],"+",tabE.Flux[[#This Row],[LINHA]])</f>
        <v>45916+CANCELADO+GOIANIA (GO) X SAO LUIS (MA)</v>
      </c>
      <c r="G721" s="1" t="str">
        <f>_xlfn.CONCAT(tabE.Flux[[#This Row],[DATA]],"+",tabE.Flux[[#This Row],[LINHA]])</f>
        <v>45916+GOIANIA (GO) X SAO LUIS (MA)</v>
      </c>
      <c r="H721" s="125">
        <v>45916</v>
      </c>
      <c r="I721" s="1" t="s">
        <v>15</v>
      </c>
      <c r="J721" s="1" t="s">
        <v>27</v>
      </c>
      <c r="K721" s="126">
        <v>0.40763888888888888</v>
      </c>
      <c r="L721" s="126">
        <v>0.47013888888888888</v>
      </c>
      <c r="M721" s="1" t="s">
        <v>16</v>
      </c>
      <c r="N721" s="1" t="s">
        <v>42</v>
      </c>
      <c r="O721" s="1" t="s">
        <v>27</v>
      </c>
      <c r="P721" s="1" t="s">
        <v>27</v>
      </c>
      <c r="Q721" s="1" t="s">
        <v>23</v>
      </c>
    </row>
    <row r="722" spans="3:17" x14ac:dyDescent="0.25">
      <c r="C722" s="1" t="str">
        <f>_xlfn.CONCAT(tabE.Flux[[#This Row],[DATA]],"+",tabE.Flux[[#This Row],[MOTORISTA + MATRÍCULA A]])</f>
        <v>45916+CANCELADO</v>
      </c>
      <c r="D722" s="1" t="str">
        <f>_xlfn.CONCAT(tabE.Flux[[#This Row],[DATA]],"+",tabE.Flux[[#This Row],[MOTORISTA + MATRÍCULA B]])</f>
        <v>45916+CANCELADO</v>
      </c>
      <c r="E722" s="1" t="str">
        <f>_xlfn.CONCAT(tabE.Flux[[#This Row],[DATA]],"+",tabE.Flux[[#This Row],[MOTORISTA + MATRÍCULA A]],"+",tabE.Flux[[#This Row],[LINHA]])</f>
        <v>45916+CANCELADO+IMPERATRIZ (MA) X SÃO LUIS (MA)</v>
      </c>
      <c r="F722" s="1" t="str">
        <f>_xlfn.CONCAT(tabE.Flux[[#This Row],[DATA]],"+",tabE.Flux[[#This Row],[MOTORISTA + MATRÍCULA B]],"+",tabE.Flux[[#This Row],[LINHA]])</f>
        <v>45916+CANCELADO+IMPERATRIZ (MA) X SÃO LUIS (MA)</v>
      </c>
      <c r="G722" s="1" t="str">
        <f>_xlfn.CONCAT(tabE.Flux[[#This Row],[DATA]],"+",tabE.Flux[[#This Row],[LINHA]])</f>
        <v>45916+IMPERATRIZ (MA) X SÃO LUIS (MA)</v>
      </c>
      <c r="H722" s="125">
        <v>45916</v>
      </c>
      <c r="I722" s="1" t="s">
        <v>15</v>
      </c>
      <c r="J722" s="1" t="s">
        <v>27</v>
      </c>
      <c r="K722" s="126">
        <v>0.77083333333333337</v>
      </c>
      <c r="L722" s="126">
        <v>0.8125</v>
      </c>
      <c r="M722" s="1" t="s">
        <v>16</v>
      </c>
      <c r="N722" s="1" t="s">
        <v>42</v>
      </c>
      <c r="O722" s="1" t="s">
        <v>27</v>
      </c>
      <c r="P722" s="1" t="s">
        <v>27</v>
      </c>
      <c r="Q722" s="1" t="s">
        <v>47</v>
      </c>
    </row>
    <row r="723" spans="3:17" x14ac:dyDescent="0.25">
      <c r="C723" s="1" t="str">
        <f>_xlfn.CONCAT(tabE.Flux[[#This Row],[DATA]],"+",tabE.Flux[[#This Row],[MOTORISTA + MATRÍCULA A]])</f>
        <v>45916+ANTONIO JOSE PEREIRA SOARES - 1774</v>
      </c>
      <c r="D723" s="1" t="str">
        <f>_xlfn.CONCAT(tabE.Flux[[#This Row],[DATA]],"+",tabE.Flux[[#This Row],[MOTORISTA + MATRÍCULA B]])</f>
        <v>45916+ALTEMAR DO NASCIMENTO LIMA - 6225</v>
      </c>
      <c r="E723" s="1" t="str">
        <f>_xlfn.CONCAT(tabE.Flux[[#This Row],[DATA]],"+",tabE.Flux[[#This Row],[MOTORISTA + MATRÍCULA A]],"+",tabE.Flux[[#This Row],[LINHA]])</f>
        <v>45916+ANTONIO JOSE PEREIRA SOARES - 1774+GOIANIA (GO) X SAO LUIS (MA)</v>
      </c>
      <c r="F723" s="1" t="str">
        <f>_xlfn.CONCAT(tabE.Flux[[#This Row],[DATA]],"+",tabE.Flux[[#This Row],[MOTORISTA + MATRÍCULA B]],"+",tabE.Flux[[#This Row],[LINHA]])</f>
        <v>45916+ALTEMAR DO NASCIMENTO LIMA - 6225+GOIANIA (GO) X SAO LUIS (MA)</v>
      </c>
      <c r="G723" s="1" t="str">
        <f>_xlfn.CONCAT(tabE.Flux[[#This Row],[DATA]],"+",tabE.Flux[[#This Row],[LINHA]])</f>
        <v>45916+GOIANIA (GO) X SAO LUIS (MA)</v>
      </c>
      <c r="H723" s="125">
        <v>45916</v>
      </c>
      <c r="I723" s="1" t="s">
        <v>15</v>
      </c>
      <c r="J723" s="1">
        <v>25005</v>
      </c>
      <c r="K723" s="126">
        <v>0.8125</v>
      </c>
      <c r="L723" s="126">
        <v>0.84375</v>
      </c>
      <c r="M723" s="1" t="s">
        <v>16</v>
      </c>
      <c r="N723" s="1" t="s">
        <v>42</v>
      </c>
      <c r="O723" s="1" t="s">
        <v>52</v>
      </c>
      <c r="P723" s="1" t="s">
        <v>57</v>
      </c>
      <c r="Q723" s="1" t="s">
        <v>23</v>
      </c>
    </row>
    <row r="724" spans="3:17" x14ac:dyDescent="0.25">
      <c r="C724" s="1" t="str">
        <f>_xlfn.CONCAT(tabE.Flux[[#This Row],[DATA]],"+",tabE.Flux[[#This Row],[MOTORISTA + MATRÍCULA A]])</f>
        <v>45916+ANDSON WAGNER NASCIMENTO SOUZA - 2902</v>
      </c>
      <c r="D724" s="1" t="str">
        <f>_xlfn.CONCAT(tabE.Flux[[#This Row],[DATA]],"+",tabE.Flux[[#This Row],[MOTORISTA + MATRÍCULA B]])</f>
        <v>45916+DANYLSON BATISTA SANTANA - 5829</v>
      </c>
      <c r="E724" s="1" t="str">
        <f>_xlfn.CONCAT(tabE.Flux[[#This Row],[DATA]],"+",tabE.Flux[[#This Row],[MOTORISTA + MATRÍCULA A]],"+",tabE.Flux[[#This Row],[LINHA]])</f>
        <v>45916+ANDSON WAGNER NASCIMENTO SOUZA - 2902+GOIANIA (GO) X TERESINA (PI) VIA STI</v>
      </c>
      <c r="F724" s="1" t="str">
        <f>_xlfn.CONCAT(tabE.Flux[[#This Row],[DATA]],"+",tabE.Flux[[#This Row],[MOTORISTA + MATRÍCULA B]],"+",tabE.Flux[[#This Row],[LINHA]])</f>
        <v>45916+DANYLSON BATISTA SANTANA - 5829+GOIANIA (GO) X TERESINA (PI) VIA STI</v>
      </c>
      <c r="G724" s="1" t="str">
        <f>_xlfn.CONCAT(tabE.Flux[[#This Row],[DATA]],"+",tabE.Flux[[#This Row],[LINHA]])</f>
        <v>45916+GOIANIA (GO) X TERESINA (PI) VIA STI</v>
      </c>
      <c r="H724" s="125">
        <v>45916</v>
      </c>
      <c r="I724" s="1" t="s">
        <v>15</v>
      </c>
      <c r="J724" s="1">
        <v>20014</v>
      </c>
      <c r="K724" s="126">
        <v>0.77083333333333337</v>
      </c>
      <c r="L724" s="126">
        <v>0.79861111111111116</v>
      </c>
      <c r="M724" s="1" t="s">
        <v>16</v>
      </c>
      <c r="N724" s="1" t="s">
        <v>29</v>
      </c>
      <c r="O724" s="1" t="s">
        <v>232</v>
      </c>
      <c r="P724" s="1" t="s">
        <v>60</v>
      </c>
      <c r="Q724" s="1" t="s">
        <v>26</v>
      </c>
    </row>
    <row r="725" spans="3:17" x14ac:dyDescent="0.25">
      <c r="C725" s="1" t="str">
        <f>_xlfn.CONCAT(tabE.Flux[[#This Row],[DATA]],"+",tabE.Flux[[#This Row],[MOTORISTA + MATRÍCULA A]])</f>
        <v>45916+CANCELADO</v>
      </c>
      <c r="D725" s="1" t="str">
        <f>_xlfn.CONCAT(tabE.Flux[[#This Row],[DATA]],"+",tabE.Flux[[#This Row],[MOTORISTA + MATRÍCULA B]])</f>
        <v>45916+CANCELADO</v>
      </c>
      <c r="E725" s="1" t="str">
        <f>_xlfn.CONCAT(tabE.Flux[[#This Row],[DATA]],"+",tabE.Flux[[#This Row],[MOTORISTA + MATRÍCULA A]],"+",tabE.Flux[[#This Row],[LINHA]])</f>
        <v>45916+CANCELADO+GOIANIA (GO) X SAO LUIS (MA)</v>
      </c>
      <c r="F725" s="1" t="str">
        <f>_xlfn.CONCAT(tabE.Flux[[#This Row],[DATA]],"+",tabE.Flux[[#This Row],[MOTORISTA + MATRÍCULA B]],"+",tabE.Flux[[#This Row],[LINHA]])</f>
        <v>45916+CANCELADO+GOIANIA (GO) X SAO LUIS (MA)</v>
      </c>
      <c r="G725" s="1" t="str">
        <f>_xlfn.CONCAT(tabE.Flux[[#This Row],[DATA]],"+",tabE.Flux[[#This Row],[LINHA]])</f>
        <v>45916+GOIANIA (GO) X SAO LUIS (MA)</v>
      </c>
      <c r="H725" s="125">
        <v>45916</v>
      </c>
      <c r="I725" s="1" t="s">
        <v>15</v>
      </c>
      <c r="J725" s="1" t="s">
        <v>27</v>
      </c>
      <c r="K725" s="126">
        <v>0.8125</v>
      </c>
      <c r="L725" s="126">
        <v>0.84166666666666667</v>
      </c>
      <c r="M725" s="1" t="s">
        <v>16</v>
      </c>
      <c r="N725" s="1" t="s">
        <v>17</v>
      </c>
      <c r="O725" s="1" t="s">
        <v>27</v>
      </c>
      <c r="P725" s="1" t="s">
        <v>27</v>
      </c>
      <c r="Q725" s="1" t="s">
        <v>23</v>
      </c>
    </row>
    <row r="726" spans="3:17" x14ac:dyDescent="0.25">
      <c r="C726" s="1" t="str">
        <f>_xlfn.CONCAT(tabE.Flux[[#This Row],[DATA]],"+",tabE.Flux[[#This Row],[MOTORISTA + MATRÍCULA A]])</f>
        <v>45916+RONNE RODRIGUES DE SOUSA - 5025</v>
      </c>
      <c r="D726" s="1" t="str">
        <f>_xlfn.CONCAT(tabE.Flux[[#This Row],[DATA]],"+",tabE.Flux[[#This Row],[MOTORISTA + MATRÍCULA B]])</f>
        <v>45916+JOSE CARLOS BEZERRA DA SILVA - 3034</v>
      </c>
      <c r="E726" s="1" t="str">
        <f>_xlfn.CONCAT(tabE.Flux[[#This Row],[DATA]],"+",tabE.Flux[[#This Row],[MOTORISTA + MATRÍCULA A]],"+",tabE.Flux[[#This Row],[LINHA]])</f>
        <v>45916+RONNE RODRIGUES DE SOUSA - 5025+FORTALEZA (CE) X SINOP (MT)</v>
      </c>
      <c r="F726" s="1" t="str">
        <f>_xlfn.CONCAT(tabE.Flux[[#This Row],[DATA]],"+",tabE.Flux[[#This Row],[MOTORISTA + MATRÍCULA B]],"+",tabE.Flux[[#This Row],[LINHA]])</f>
        <v>45916+JOSE CARLOS BEZERRA DA SILVA - 3034+FORTALEZA (CE) X SINOP (MT)</v>
      </c>
      <c r="G726" s="1" t="str">
        <f>_xlfn.CONCAT(tabE.Flux[[#This Row],[DATA]],"+",tabE.Flux[[#This Row],[LINHA]])</f>
        <v>45916+FORTALEZA (CE) X SINOP (MT)</v>
      </c>
      <c r="H726" s="125">
        <v>45916</v>
      </c>
      <c r="I726" s="1" t="s">
        <v>15</v>
      </c>
      <c r="J726" s="1">
        <v>19012</v>
      </c>
      <c r="K726" s="126">
        <v>0.8125</v>
      </c>
      <c r="L726" s="126">
        <v>0.85416666666666663</v>
      </c>
      <c r="M726" s="1" t="s">
        <v>16</v>
      </c>
      <c r="N726" s="1" t="s">
        <v>17</v>
      </c>
      <c r="O726" s="1" t="s">
        <v>85</v>
      </c>
      <c r="P726" s="1" t="s">
        <v>76</v>
      </c>
      <c r="Q726" s="1" t="s">
        <v>32</v>
      </c>
    </row>
    <row r="727" spans="3:17" x14ac:dyDescent="0.25">
      <c r="C727" s="4" t="str">
        <f>_xlfn.CONCAT(tabE.Flux[[#This Row],[DATA]],"+",tabE.Flux[[#This Row],[MOTORISTA + MATRÍCULA A]])</f>
        <v>45916+JOAO BATISTA DA SILVA - 1410</v>
      </c>
      <c r="D727" s="4" t="str">
        <f>_xlfn.CONCAT(tabE.Flux[[#This Row],[DATA]],"+",tabE.Flux[[#This Row],[MOTORISTA + MATRÍCULA B]])</f>
        <v>45916+WILLIAN DE SOUZA BANDEIRA - 2025</v>
      </c>
      <c r="E727" s="4" t="str">
        <f>_xlfn.CONCAT(tabE.Flux[[#This Row],[DATA]],"+",tabE.Flux[[#This Row],[MOTORISTA + MATRÍCULA A]],"+",tabE.Flux[[#This Row],[LINHA]])</f>
        <v>45916+JOAO BATISTA DA SILVA - 1410+GOIANIA (GO) X BELEM (PA)</v>
      </c>
      <c r="F727" s="4" t="str">
        <f>_xlfn.CONCAT(tabE.Flux[[#This Row],[DATA]],"+",tabE.Flux[[#This Row],[MOTORISTA + MATRÍCULA B]],"+",tabE.Flux[[#This Row],[LINHA]])</f>
        <v>45916+WILLIAN DE SOUZA BANDEIRA - 2025+GOIANIA (GO) X BELEM (PA)</v>
      </c>
      <c r="G727" s="4" t="str">
        <f>_xlfn.CONCAT(tabE.Flux[[#This Row],[DATA]],"+",tabE.Flux[[#This Row],[LINHA]])</f>
        <v>45916+GOIANIA (GO) X BELEM (PA)</v>
      </c>
      <c r="H727" s="127">
        <v>45916</v>
      </c>
      <c r="I727" s="4" t="s">
        <v>15</v>
      </c>
      <c r="J727" s="4">
        <v>19015</v>
      </c>
      <c r="K727" s="128">
        <v>0.84722222222222221</v>
      </c>
      <c r="L727" s="128">
        <v>0.87847222222222221</v>
      </c>
      <c r="M727" s="4" t="s">
        <v>16</v>
      </c>
      <c r="N727" s="4" t="s">
        <v>17</v>
      </c>
      <c r="O727" s="4" t="s">
        <v>218</v>
      </c>
      <c r="P727" s="4" t="s">
        <v>219</v>
      </c>
      <c r="Q727" s="4" t="s">
        <v>20</v>
      </c>
    </row>
    <row r="728" spans="3:17" x14ac:dyDescent="0.25">
      <c r="C728" s="1" t="str">
        <f>_xlfn.CONCAT(tabE.Flux[[#This Row],[DATA]],"+",tabE.Flux[[#This Row],[MOTORISTA + MATRÍCULA A]])</f>
        <v>+</v>
      </c>
      <c r="D728" s="1" t="str">
        <f>_xlfn.CONCAT(tabE.Flux[[#This Row],[DATA]],"+",tabE.Flux[[#This Row],[MOTORISTA + MATRÍCULA B]])</f>
        <v>+</v>
      </c>
      <c r="E728" s="1" t="str">
        <f>_xlfn.CONCAT(tabE.Flux[[#This Row],[DATA]],"+",tabE.Flux[[#This Row],[MOTORISTA + MATRÍCULA A]],"+",tabE.Flux[[#This Row],[LINHA]])</f>
        <v>++</v>
      </c>
      <c r="F728" s="1" t="str">
        <f>_xlfn.CONCAT(tabE.Flux[[#This Row],[DATA]],"+",tabE.Flux[[#This Row],[MOTORISTA + MATRÍCULA B]],"+",tabE.Flux[[#This Row],[LINHA]])</f>
        <v>++</v>
      </c>
      <c r="G728" s="1" t="str">
        <f>_xlfn.CONCAT(tabE.Flux[[#This Row],[DATA]],"+",tabE.Flux[[#This Row],[LINHA]])</f>
        <v>+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3:17" x14ac:dyDescent="0.25">
      <c r="C729" s="1" t="str">
        <f>_xlfn.CONCAT(tabE.Flux[[#This Row],[DATA]],"+",tabE.Flux[[#This Row],[MOTORISTA + MATRÍCULA A]])</f>
        <v>45917+WALDIR DE ALMEIDA CORTE JUNIOR - 5960</v>
      </c>
      <c r="D729" s="1" t="str">
        <f>_xlfn.CONCAT(tabE.Flux[[#This Row],[DATA]],"+",tabE.Flux[[#This Row],[MOTORISTA + MATRÍCULA B]])</f>
        <v>45917+ALEF DA CRUZ VIEIRA - 5291</v>
      </c>
      <c r="E729" s="1" t="str">
        <f>_xlfn.CONCAT(tabE.Flux[[#This Row],[DATA]],"+",tabE.Flux[[#This Row],[MOTORISTA + MATRÍCULA A]],"+",tabE.Flux[[#This Row],[LINHA]])</f>
        <v>45917+WALDIR DE ALMEIDA CORTE JUNIOR - 5960+GOIANIA (GO) X BELEM (PA)</v>
      </c>
      <c r="F729" s="1" t="str">
        <f>_xlfn.CONCAT(tabE.Flux[[#This Row],[DATA]],"+",tabE.Flux[[#This Row],[MOTORISTA + MATRÍCULA B]],"+",tabE.Flux[[#This Row],[LINHA]])</f>
        <v>45917+ALEF DA CRUZ VIEIRA - 5291+GOIANIA (GO) X BELEM (PA)</v>
      </c>
      <c r="G729" s="1" t="str">
        <f>_xlfn.CONCAT(tabE.Flux[[#This Row],[DATA]],"+",tabE.Flux[[#This Row],[LINHA]])</f>
        <v>45917+GOIANIA (GO) X BELEM (PA)</v>
      </c>
      <c r="H729" s="125">
        <v>45917</v>
      </c>
      <c r="I729" s="1" t="s">
        <v>15</v>
      </c>
      <c r="J729" s="1">
        <v>25006</v>
      </c>
      <c r="K729" s="126">
        <v>0.25486111111111109</v>
      </c>
      <c r="L729" s="126">
        <v>0.3</v>
      </c>
      <c r="M729" s="1" t="s">
        <v>16</v>
      </c>
      <c r="N729" s="1" t="s">
        <v>17</v>
      </c>
      <c r="O729" s="1" t="s">
        <v>154</v>
      </c>
      <c r="P729" s="1" t="s">
        <v>248</v>
      </c>
      <c r="Q729" s="1" t="s">
        <v>20</v>
      </c>
    </row>
    <row r="730" spans="3:17" x14ac:dyDescent="0.25">
      <c r="C730" s="1" t="str">
        <f>_xlfn.CONCAT(tabE.Flux[[#This Row],[DATA]],"+",tabE.Flux[[#This Row],[MOTORISTA + MATRÍCULA A]])</f>
        <v>45917+MARCELO RIZO SANTANA - 2048</v>
      </c>
      <c r="D730" s="1" t="str">
        <f>_xlfn.CONCAT(tabE.Flux[[#This Row],[DATA]],"+",tabE.Flux[[#This Row],[MOTORISTA + MATRÍCULA B]])</f>
        <v>45917+JOSIMAR CLAUDINO SILVA - 6019</v>
      </c>
      <c r="E730" s="1" t="str">
        <f>_xlfn.CONCAT(tabE.Flux[[#This Row],[DATA]],"+",tabE.Flux[[#This Row],[MOTORISTA + MATRÍCULA A]],"+",tabE.Flux[[#This Row],[LINHA]])</f>
        <v>45917+MARCELO RIZO SANTANA - 2048+GOIANIA (GO) X SAO LUIS (MA)</v>
      </c>
      <c r="F730" s="1" t="str">
        <f>_xlfn.CONCAT(tabE.Flux[[#This Row],[DATA]],"+",tabE.Flux[[#This Row],[MOTORISTA + MATRÍCULA B]],"+",tabE.Flux[[#This Row],[LINHA]])</f>
        <v>45917+JOSIMAR CLAUDINO SILVA - 6019+GOIANIA (GO) X SAO LUIS (MA)</v>
      </c>
      <c r="G730" s="1" t="str">
        <f>_xlfn.CONCAT(tabE.Flux[[#This Row],[DATA]],"+",tabE.Flux[[#This Row],[LINHA]])</f>
        <v>45917+GOIANIA (GO) X SAO LUIS (MA)</v>
      </c>
      <c r="H730" s="125">
        <v>45917</v>
      </c>
      <c r="I730" s="1" t="s">
        <v>15</v>
      </c>
      <c r="J730" s="1">
        <v>24002</v>
      </c>
      <c r="K730" s="126">
        <v>0.32291666666666669</v>
      </c>
      <c r="L730" s="126">
        <v>0.33333333333333331</v>
      </c>
      <c r="M730" s="1" t="s">
        <v>16</v>
      </c>
      <c r="N730" s="1" t="s">
        <v>17</v>
      </c>
      <c r="O730" s="1" t="s">
        <v>127</v>
      </c>
      <c r="P730" s="1" t="s">
        <v>243</v>
      </c>
      <c r="Q730" s="1" t="s">
        <v>23</v>
      </c>
    </row>
    <row r="731" spans="3:17" x14ac:dyDescent="0.25">
      <c r="C731" s="1" t="str">
        <f>_xlfn.CONCAT(tabE.Flux[[#This Row],[DATA]],"+",tabE.Flux[[#This Row],[MOTORISTA + MATRÍCULA A]])</f>
        <v>45917+EURIPEDES BORGES DOS SANTOS - 5017</v>
      </c>
      <c r="D731" s="1" t="str">
        <f>_xlfn.CONCAT(tabE.Flux[[#This Row],[DATA]],"+",tabE.Flux[[#This Row],[MOTORISTA + MATRÍCULA B]])</f>
        <v>45917+SANDRO CARLOS DE SOUSA - 5181</v>
      </c>
      <c r="E731" s="1" t="str">
        <f>_xlfn.CONCAT(tabE.Flux[[#This Row],[DATA]],"+",tabE.Flux[[#This Row],[MOTORISTA + MATRÍCULA A]],"+",tabE.Flux[[#This Row],[LINHA]])</f>
        <v>45917+EURIPEDES BORGES DOS SANTOS - 5017+GOIANIA (GO) X TERESINA (PI) VIA STI</v>
      </c>
      <c r="F731" s="1" t="str">
        <f>_xlfn.CONCAT(tabE.Flux[[#This Row],[DATA]],"+",tabE.Flux[[#This Row],[MOTORISTA + MATRÍCULA B]],"+",tabE.Flux[[#This Row],[LINHA]])</f>
        <v>45917+SANDRO CARLOS DE SOUSA - 5181+GOIANIA (GO) X TERESINA (PI) VIA STI</v>
      </c>
      <c r="G731" s="1" t="str">
        <f>_xlfn.CONCAT(tabE.Flux[[#This Row],[DATA]],"+",tabE.Flux[[#This Row],[LINHA]])</f>
        <v>45917+GOIANIA (GO) X TERESINA (PI) VIA STI</v>
      </c>
      <c r="H731" s="125">
        <v>45917</v>
      </c>
      <c r="I731" s="1" t="s">
        <v>15</v>
      </c>
      <c r="J731" s="1">
        <v>19016</v>
      </c>
      <c r="K731" s="126">
        <v>0.3888888888888889</v>
      </c>
      <c r="L731" s="126">
        <v>0.39583333333333331</v>
      </c>
      <c r="M731" s="1" t="s">
        <v>16</v>
      </c>
      <c r="N731" s="1" t="s">
        <v>17</v>
      </c>
      <c r="O731" s="1" t="s">
        <v>121</v>
      </c>
      <c r="P731" s="1" t="s">
        <v>120</v>
      </c>
      <c r="Q731" s="1" t="s">
        <v>26</v>
      </c>
    </row>
    <row r="732" spans="3:17" x14ac:dyDescent="0.25">
      <c r="C732" s="1" t="str">
        <f>_xlfn.CONCAT(tabE.Flux[[#This Row],[DATA]],"+",tabE.Flux[[#This Row],[MOTORISTA + MATRÍCULA A]])</f>
        <v>45917+CANCELADO</v>
      </c>
      <c r="D732" s="1" t="str">
        <f>_xlfn.CONCAT(tabE.Flux[[#This Row],[DATA]],"+",tabE.Flux[[#This Row],[MOTORISTA + MATRÍCULA B]])</f>
        <v>45917+CANCELADO</v>
      </c>
      <c r="E732" s="1" t="str">
        <f>_xlfn.CONCAT(tabE.Flux[[#This Row],[DATA]],"+",tabE.Flux[[#This Row],[MOTORISTA + MATRÍCULA A]],"+",tabE.Flux[[#This Row],[LINHA]])</f>
        <v>45917+CANCELADO+</v>
      </c>
      <c r="F732" s="1" t="str">
        <f>_xlfn.CONCAT(tabE.Flux[[#This Row],[DATA]],"+",tabE.Flux[[#This Row],[MOTORISTA + MATRÍCULA B]],"+",tabE.Flux[[#This Row],[LINHA]])</f>
        <v>45917+CANCELADO+</v>
      </c>
      <c r="G732" s="1" t="str">
        <f>_xlfn.CONCAT(tabE.Flux[[#This Row],[DATA]],"+",tabE.Flux[[#This Row],[LINHA]])</f>
        <v>45917+</v>
      </c>
      <c r="H732" s="125">
        <v>45917</v>
      </c>
      <c r="I732" s="1" t="s">
        <v>15</v>
      </c>
      <c r="J732" s="1" t="s">
        <v>27</v>
      </c>
      <c r="K732" s="126">
        <v>0.375</v>
      </c>
      <c r="L732" s="126">
        <v>0.41666666666666669</v>
      </c>
      <c r="M732" s="1" t="s">
        <v>16</v>
      </c>
      <c r="N732" s="1" t="s">
        <v>28</v>
      </c>
      <c r="O732" s="1" t="s">
        <v>27</v>
      </c>
      <c r="P732" s="1" t="s">
        <v>27</v>
      </c>
      <c r="Q732" s="1"/>
    </row>
    <row r="733" spans="3:17" x14ac:dyDescent="0.25">
      <c r="C733" s="1" t="str">
        <f>_xlfn.CONCAT(tabE.Flux[[#This Row],[DATA]],"+",tabE.Flux[[#This Row],[MOTORISTA + MATRÍCULA A]])</f>
        <v>45917+JOSE HAILTON PEREIRA DOS SANTOS - 6018</v>
      </c>
      <c r="D733" s="1" t="str">
        <f>_xlfn.CONCAT(tabE.Flux[[#This Row],[DATA]],"+",tabE.Flux[[#This Row],[MOTORISTA + MATRÍCULA B]])</f>
        <v>45917+EDIMILSON LUIS FRANÇA - 5442</v>
      </c>
      <c r="E733" s="1" t="str">
        <f>_xlfn.CONCAT(tabE.Flux[[#This Row],[DATA]],"+",tabE.Flux[[#This Row],[MOTORISTA + MATRÍCULA A]],"+",tabE.Flux[[#This Row],[LINHA]])</f>
        <v>45917+JOSE HAILTON PEREIRA DOS SANTOS - 6018+FORTALEZA (CE) X SINOP (MT)</v>
      </c>
      <c r="F733" s="1" t="str">
        <f>_xlfn.CONCAT(tabE.Flux[[#This Row],[DATA]],"+",tabE.Flux[[#This Row],[MOTORISTA + MATRÍCULA B]],"+",tabE.Flux[[#This Row],[LINHA]])</f>
        <v>45917+EDIMILSON LUIS FRANÇA - 5442+FORTALEZA (CE) X SINOP (MT)</v>
      </c>
      <c r="G733" s="1" t="str">
        <f>_xlfn.CONCAT(tabE.Flux[[#This Row],[DATA]],"+",tabE.Flux[[#This Row],[LINHA]])</f>
        <v>45917+FORTALEZA (CE) X SINOP (MT)</v>
      </c>
      <c r="H733" s="125">
        <v>45917</v>
      </c>
      <c r="I733" s="1" t="s">
        <v>15</v>
      </c>
      <c r="J733" s="1">
        <v>20017</v>
      </c>
      <c r="K733" s="126">
        <v>0.3888888888888889</v>
      </c>
      <c r="L733" s="126">
        <v>0.37708333333333333</v>
      </c>
      <c r="M733" s="1" t="s">
        <v>16</v>
      </c>
      <c r="N733" s="1" t="s">
        <v>29</v>
      </c>
      <c r="O733" s="1" t="s">
        <v>141</v>
      </c>
      <c r="P733" s="1" t="s">
        <v>89</v>
      </c>
      <c r="Q733" s="1" t="s">
        <v>32</v>
      </c>
    </row>
    <row r="734" spans="3:17" x14ac:dyDescent="0.25">
      <c r="C734" s="1" t="str">
        <f>_xlfn.CONCAT(tabE.Flux[[#This Row],[DATA]],"+",tabE.Flux[[#This Row],[MOTORISTA + MATRÍCULA A]])</f>
        <v>45917+EDUARDO SANTOS BEZERRA - 4066</v>
      </c>
      <c r="D734" s="1" t="str">
        <f>_xlfn.CONCAT(tabE.Flux[[#This Row],[DATA]],"+",tabE.Flux[[#This Row],[MOTORISTA + MATRÍCULA B]])</f>
        <v>45917+MARCIO RODRIGUES DA COSTA - 5993</v>
      </c>
      <c r="E734" s="1" t="str">
        <f>_xlfn.CONCAT(tabE.Flux[[#This Row],[DATA]],"+",tabE.Flux[[#This Row],[MOTORISTA + MATRÍCULA A]],"+",tabE.Flux[[#This Row],[LINHA]])</f>
        <v>45917+EDUARDO SANTOS BEZERRA - 4066+GOIANIA (GO) X BELEM (PA)</v>
      </c>
      <c r="F734" s="1" t="str">
        <f>_xlfn.CONCAT(tabE.Flux[[#This Row],[DATA]],"+",tabE.Flux[[#This Row],[MOTORISTA + MATRÍCULA B]],"+",tabE.Flux[[#This Row],[LINHA]])</f>
        <v>45917+MARCIO RODRIGUES DA COSTA - 5993+GOIANIA (GO) X BELEM (PA)</v>
      </c>
      <c r="G734" s="1" t="str">
        <f>_xlfn.CONCAT(tabE.Flux[[#This Row],[DATA]],"+",tabE.Flux[[#This Row],[LINHA]])</f>
        <v>45917+GOIANIA (GO) X BELEM (PA)</v>
      </c>
      <c r="H734" s="125">
        <v>45917</v>
      </c>
      <c r="I734" s="1" t="s">
        <v>15</v>
      </c>
      <c r="J734" s="1">
        <v>19009</v>
      </c>
      <c r="K734" s="126">
        <v>0.38958333333333334</v>
      </c>
      <c r="L734" s="126">
        <v>0.38541666666666669</v>
      </c>
      <c r="M734" s="1" t="s">
        <v>16</v>
      </c>
      <c r="N734" s="1" t="s">
        <v>33</v>
      </c>
      <c r="O734" s="1" t="s">
        <v>148</v>
      </c>
      <c r="P734" s="1" t="s">
        <v>107</v>
      </c>
      <c r="Q734" s="1" t="s">
        <v>20</v>
      </c>
    </row>
    <row r="735" spans="3:17" x14ac:dyDescent="0.25">
      <c r="C735" s="1" t="str">
        <f>_xlfn.CONCAT(tabE.Flux[[#This Row],[DATA]],"+",tabE.Flux[[#This Row],[MOTORISTA + MATRÍCULA A]])</f>
        <v>45917+JOSE ORLANDO RODRIGUES DE MIRANDA - 5838</v>
      </c>
      <c r="D735" s="1" t="str">
        <f>_xlfn.CONCAT(tabE.Flux[[#This Row],[DATA]],"+",tabE.Flux[[#This Row],[MOTORISTA + MATRÍCULA B]])</f>
        <v>45917+PAULO MORAES DOS SANTOS - 1534</v>
      </c>
      <c r="E735" s="1" t="str">
        <f>_xlfn.CONCAT(tabE.Flux[[#This Row],[DATA]],"+",tabE.Flux[[#This Row],[MOTORISTA + MATRÍCULA A]],"+",tabE.Flux[[#This Row],[LINHA]])</f>
        <v>45917+JOSE ORLANDO RODRIGUES DE MIRANDA - 5838+GOIANIA (GO) X TERESINA (PI) VIA BC</v>
      </c>
      <c r="F735" s="1" t="str">
        <f>_xlfn.CONCAT(tabE.Flux[[#This Row],[DATA]],"+",tabE.Flux[[#This Row],[MOTORISTA + MATRÍCULA B]],"+",tabE.Flux[[#This Row],[LINHA]])</f>
        <v>45917+PAULO MORAES DOS SANTOS - 1534+GOIANIA (GO) X TERESINA (PI) VIA BC</v>
      </c>
      <c r="G735" s="1" t="str">
        <f>_xlfn.CONCAT(tabE.Flux[[#This Row],[DATA]],"+",tabE.Flux[[#This Row],[LINHA]])</f>
        <v>45917+GOIANIA (GO) X TERESINA (PI) VIA BC</v>
      </c>
      <c r="H735" s="125">
        <v>45917</v>
      </c>
      <c r="I735" s="1" t="s">
        <v>15</v>
      </c>
      <c r="J735" s="1">
        <v>24006</v>
      </c>
      <c r="K735" s="126">
        <v>0.375</v>
      </c>
      <c r="L735" s="126">
        <v>0.39930555555555558</v>
      </c>
      <c r="M735" s="1" t="s">
        <v>36</v>
      </c>
      <c r="N735" s="1" t="s">
        <v>29</v>
      </c>
      <c r="O735" s="1" t="s">
        <v>37</v>
      </c>
      <c r="P735" s="1" t="s">
        <v>225</v>
      </c>
      <c r="Q735" s="1" t="s">
        <v>39</v>
      </c>
    </row>
    <row r="736" spans="3:17" x14ac:dyDescent="0.25">
      <c r="C736" s="1" t="str">
        <f>_xlfn.CONCAT(tabE.Flux[[#This Row],[DATA]],"+",tabE.Flux[[#This Row],[MOTORISTA + MATRÍCULA A]])</f>
        <v>45917+RICHARD SOUSA DA SILVA - 1271</v>
      </c>
      <c r="D736" s="1" t="str">
        <f>_xlfn.CONCAT(tabE.Flux[[#This Row],[DATA]],"+",tabE.Flux[[#This Row],[MOTORISTA + MATRÍCULA B]])</f>
        <v>45917+RONALDO ADRIANO COSTA SANTOS - 5637</v>
      </c>
      <c r="E736" s="1" t="str">
        <f>_xlfn.CONCAT(tabE.Flux[[#This Row],[DATA]],"+",tabE.Flux[[#This Row],[MOTORISTA + MATRÍCULA A]],"+",tabE.Flux[[#This Row],[LINHA]])</f>
        <v>45917+RICHARD SOUSA DA SILVA - 1271+GOIANIA (GO) X BELEM (PA)</v>
      </c>
      <c r="F736" s="1" t="str">
        <f>_xlfn.CONCAT(tabE.Flux[[#This Row],[DATA]],"+",tabE.Flux[[#This Row],[MOTORISTA + MATRÍCULA B]],"+",tabE.Flux[[#This Row],[LINHA]])</f>
        <v>45917+RONALDO ADRIANO COSTA SANTOS - 5637+GOIANIA (GO) X BELEM (PA)</v>
      </c>
      <c r="G736" s="1" t="str">
        <f>_xlfn.CONCAT(tabE.Flux[[#This Row],[DATA]],"+",tabE.Flux[[#This Row],[LINHA]])</f>
        <v>45917+GOIANIA (GO) X BELEM (PA)</v>
      </c>
      <c r="H736" s="125">
        <v>45917</v>
      </c>
      <c r="I736" s="1" t="s">
        <v>15</v>
      </c>
      <c r="J736" s="1">
        <v>19005</v>
      </c>
      <c r="K736" s="126">
        <v>0.375</v>
      </c>
      <c r="L736" s="126">
        <v>0.41666666666666669</v>
      </c>
      <c r="M736" s="1" t="s">
        <v>33</v>
      </c>
      <c r="N736" s="1" t="s">
        <v>16</v>
      </c>
      <c r="O736" s="1" t="s">
        <v>56</v>
      </c>
      <c r="P736" s="1" t="s">
        <v>41</v>
      </c>
      <c r="Q736" s="1" t="s">
        <v>20</v>
      </c>
    </row>
    <row r="737" spans="3:17" x14ac:dyDescent="0.25">
      <c r="C737" s="1" t="str">
        <f>_xlfn.CONCAT(tabE.Flux[[#This Row],[DATA]],"+",tabE.Flux[[#This Row],[MOTORISTA + MATRÍCULA A]])</f>
        <v>45917+CARLOS ADRIANO DE SOUZA DO NASCIMENTO - 6222</v>
      </c>
      <c r="D737" s="1" t="str">
        <f>_xlfn.CONCAT(tabE.Flux[[#This Row],[DATA]],"+",tabE.Flux[[#This Row],[MOTORISTA + MATRÍCULA B]])</f>
        <v>45917+JOSE ALVES DA ROCHA - 5035</v>
      </c>
      <c r="E737" s="1" t="str">
        <f>_xlfn.CONCAT(tabE.Flux[[#This Row],[DATA]],"+",tabE.Flux[[#This Row],[MOTORISTA + MATRÍCULA A]],"+",tabE.Flux[[#This Row],[LINHA]])</f>
        <v>45917+CARLOS ADRIANO DE SOUZA DO NASCIMENTO - 6222+GOIANIA (GO) X SAO LUIS (MA)</v>
      </c>
      <c r="F737" s="1" t="str">
        <f>_xlfn.CONCAT(tabE.Flux[[#This Row],[DATA]],"+",tabE.Flux[[#This Row],[MOTORISTA + MATRÍCULA B]],"+",tabE.Flux[[#This Row],[LINHA]])</f>
        <v>45917+JOSE ALVES DA ROCHA - 5035+GOIANIA (GO) X SAO LUIS (MA)</v>
      </c>
      <c r="G737" s="1" t="str">
        <f>_xlfn.CONCAT(tabE.Flux[[#This Row],[DATA]],"+",tabE.Flux[[#This Row],[LINHA]])</f>
        <v>45917+GOIANIA (GO) X SAO LUIS (MA)</v>
      </c>
      <c r="H737" s="125">
        <v>45917</v>
      </c>
      <c r="I737" s="1" t="s">
        <v>15</v>
      </c>
      <c r="J737" s="1">
        <v>24012</v>
      </c>
      <c r="K737" s="126">
        <v>0.25</v>
      </c>
      <c r="L737" s="126">
        <v>0.29166666666666669</v>
      </c>
      <c r="M737" s="1" t="s">
        <v>42</v>
      </c>
      <c r="N737" s="1" t="s">
        <v>16</v>
      </c>
      <c r="O737" s="1" t="s">
        <v>110</v>
      </c>
      <c r="P737" s="1" t="s">
        <v>91</v>
      </c>
      <c r="Q737" s="1" t="s">
        <v>23</v>
      </c>
    </row>
    <row r="738" spans="3:17" x14ac:dyDescent="0.25">
      <c r="C738" s="1" t="str">
        <f>_xlfn.CONCAT(tabE.Flux[[#This Row],[DATA]],"+",tabE.Flux[[#This Row],[MOTORISTA + MATRÍCULA A]])</f>
        <v>45917+EDIVALDO DE ARAUJO - 6217</v>
      </c>
      <c r="D738" s="1" t="str">
        <f>_xlfn.CONCAT(tabE.Flux[[#This Row],[DATA]],"+",tabE.Flux[[#This Row],[MOTORISTA + MATRÍCULA B]])</f>
        <v>45917+LEANDRO DE OLIVEIRA MELO - 2151</v>
      </c>
      <c r="E738" s="1" t="str">
        <f>_xlfn.CONCAT(tabE.Flux[[#This Row],[DATA]],"+",tabE.Flux[[#This Row],[MOTORISTA + MATRÍCULA A]],"+",tabE.Flux[[#This Row],[LINHA]])</f>
        <v>45917+EDIVALDO DE ARAUJO - 6217+GOIANIA (GO) X SAO LUIS (MA)</v>
      </c>
      <c r="F738" s="1" t="str">
        <f>_xlfn.CONCAT(tabE.Flux[[#This Row],[DATA]],"+",tabE.Flux[[#This Row],[MOTORISTA + MATRÍCULA B]],"+",tabE.Flux[[#This Row],[LINHA]])</f>
        <v>45917+LEANDRO DE OLIVEIRA MELO - 2151+GOIANIA (GO) X SAO LUIS (MA)</v>
      </c>
      <c r="G738" s="1" t="str">
        <f>_xlfn.CONCAT(tabE.Flux[[#This Row],[DATA]],"+",tabE.Flux[[#This Row],[LINHA]])</f>
        <v>45917+GOIANIA (GO) X SAO LUIS (MA)</v>
      </c>
      <c r="H738" s="125">
        <v>45917</v>
      </c>
      <c r="I738" s="1" t="s">
        <v>15</v>
      </c>
      <c r="J738" s="1">
        <v>25005</v>
      </c>
      <c r="K738" s="126">
        <v>0.75</v>
      </c>
      <c r="L738" s="126">
        <v>0.79166666666666663</v>
      </c>
      <c r="M738" s="1" t="s">
        <v>42</v>
      </c>
      <c r="N738" s="1" t="s">
        <v>16</v>
      </c>
      <c r="O738" s="1" t="s">
        <v>55</v>
      </c>
      <c r="P738" s="1" t="s">
        <v>64</v>
      </c>
      <c r="Q738" s="1" t="s">
        <v>23</v>
      </c>
    </row>
    <row r="739" spans="3:17" x14ac:dyDescent="0.25">
      <c r="C739" s="1" t="str">
        <f>_xlfn.CONCAT(tabE.Flux[[#This Row],[DATA]],"+",tabE.Flux[[#This Row],[MOTORISTA + MATRÍCULA A]])</f>
        <v>45917+CANCELADO</v>
      </c>
      <c r="D739" s="1" t="str">
        <f>_xlfn.CONCAT(tabE.Flux[[#This Row],[DATA]],"+",tabE.Flux[[#This Row],[MOTORISTA + MATRÍCULA B]])</f>
        <v>45917+CANCELADO</v>
      </c>
      <c r="E739" s="1" t="str">
        <f>_xlfn.CONCAT(tabE.Flux[[#This Row],[DATA]],"+",tabE.Flux[[#This Row],[MOTORISTA + MATRÍCULA A]],"+",tabE.Flux[[#This Row],[LINHA]])</f>
        <v>45917+CANCELADO+IMPERATRIZ (MA) X SÃO LUIS (MA)</v>
      </c>
      <c r="F739" s="1" t="str">
        <f>_xlfn.CONCAT(tabE.Flux[[#This Row],[DATA]],"+",tabE.Flux[[#This Row],[MOTORISTA + MATRÍCULA B]],"+",tabE.Flux[[#This Row],[LINHA]])</f>
        <v>45917+CANCELADO+IMPERATRIZ (MA) X SÃO LUIS (MA)</v>
      </c>
      <c r="G739" s="1" t="str">
        <f>_xlfn.CONCAT(tabE.Flux[[#This Row],[DATA]],"+",tabE.Flux[[#This Row],[LINHA]])</f>
        <v>45917+IMPERATRIZ (MA) X SÃO LUIS (MA)</v>
      </c>
      <c r="H739" s="125">
        <v>45917</v>
      </c>
      <c r="I739" s="1" t="s">
        <v>15</v>
      </c>
      <c r="J739" s="1" t="s">
        <v>27</v>
      </c>
      <c r="K739" s="126">
        <v>0.77083333333333337</v>
      </c>
      <c r="L739" s="126">
        <v>0.79513888888888884</v>
      </c>
      <c r="M739" s="1" t="s">
        <v>42</v>
      </c>
      <c r="N739" s="1" t="s">
        <v>16</v>
      </c>
      <c r="O739" s="1" t="s">
        <v>27</v>
      </c>
      <c r="P739" s="1" t="s">
        <v>27</v>
      </c>
      <c r="Q739" s="1" t="s">
        <v>47</v>
      </c>
    </row>
    <row r="740" spans="3:17" x14ac:dyDescent="0.25">
      <c r="C740" s="1" t="str">
        <f>_xlfn.CONCAT(tabE.Flux[[#This Row],[DATA]],"+",tabE.Flux[[#This Row],[MOTORISTA + MATRÍCULA A]])</f>
        <v>45917+ADAILTON DA SILVA RODRIGUES MENDONCA - 2662</v>
      </c>
      <c r="D740" s="1" t="str">
        <f>_xlfn.CONCAT(tabE.Flux[[#This Row],[DATA]],"+",tabE.Flux[[#This Row],[MOTORISTA + MATRÍCULA B]])</f>
        <v>45917+ENIO GOMES DE SOUZA - 5825</v>
      </c>
      <c r="E740" s="1" t="str">
        <f>_xlfn.CONCAT(tabE.Flux[[#This Row],[DATA]],"+",tabE.Flux[[#This Row],[MOTORISTA + MATRÍCULA A]],"+",tabE.Flux[[#This Row],[LINHA]])</f>
        <v>45917+ADAILTON DA SILVA RODRIGUES MENDONCA - 2662+GOIANIA (GO) X TERESINA (PI) VIA BC</v>
      </c>
      <c r="F740" s="1" t="str">
        <f>_xlfn.CONCAT(tabE.Flux[[#This Row],[DATA]],"+",tabE.Flux[[#This Row],[MOTORISTA + MATRÍCULA B]],"+",tabE.Flux[[#This Row],[LINHA]])</f>
        <v>45917+ENIO GOMES DE SOUZA - 5825+GOIANIA (GO) X TERESINA (PI) VIA BC</v>
      </c>
      <c r="G740" s="1" t="str">
        <f>_xlfn.CONCAT(tabE.Flux[[#This Row],[DATA]],"+",tabE.Flux[[#This Row],[LINHA]])</f>
        <v>45917+GOIANIA (GO) X TERESINA (PI) VIA BC</v>
      </c>
      <c r="H740" s="125">
        <v>45917</v>
      </c>
      <c r="I740" s="1" t="s">
        <v>15</v>
      </c>
      <c r="J740" s="1">
        <v>24001</v>
      </c>
      <c r="K740" s="126">
        <v>0.89583333333333337</v>
      </c>
      <c r="L740" s="126">
        <v>0.91666666666666663</v>
      </c>
      <c r="M740" s="1" t="s">
        <v>36</v>
      </c>
      <c r="N740" s="1" t="s">
        <v>17</v>
      </c>
      <c r="O740" s="1" t="s">
        <v>92</v>
      </c>
      <c r="P740" s="1" t="s">
        <v>93</v>
      </c>
      <c r="Q740" s="1" t="s">
        <v>39</v>
      </c>
    </row>
    <row r="741" spans="3:17" x14ac:dyDescent="0.25">
      <c r="C741" s="1" t="str">
        <f>_xlfn.CONCAT(tabE.Flux[[#This Row],[DATA]],"+",tabE.Flux[[#This Row],[MOTORISTA + MATRÍCULA A]])</f>
        <v>45917+BERNARDO SOUZA LIMA - 1720</v>
      </c>
      <c r="D741" s="1" t="str">
        <f>_xlfn.CONCAT(tabE.Flux[[#This Row],[DATA]],"+",tabE.Flux[[#This Row],[MOTORISTA + MATRÍCULA B]])</f>
        <v>45917+FRANCISCO LINDONALDO DE SOUSA - 2971</v>
      </c>
      <c r="E741" s="1" t="str">
        <f>_xlfn.CONCAT(tabE.Flux[[#This Row],[DATA]],"+",tabE.Flux[[#This Row],[MOTORISTA + MATRÍCULA A]],"+",tabE.Flux[[#This Row],[LINHA]])</f>
        <v>45917+BERNARDO SOUZA LIMA - 1720+GOIANIA (GO) X BELEM (PA)</v>
      </c>
      <c r="F741" s="1" t="str">
        <f>_xlfn.CONCAT(tabE.Flux[[#This Row],[DATA]],"+",tabE.Flux[[#This Row],[MOTORISTA + MATRÍCULA B]],"+",tabE.Flux[[#This Row],[LINHA]])</f>
        <v>45917+FRANCISCO LINDONALDO DE SOUSA - 2971+GOIANIA (GO) X BELEM (PA)</v>
      </c>
      <c r="G741" s="1" t="str">
        <f>_xlfn.CONCAT(tabE.Flux[[#This Row],[DATA]],"+",tabE.Flux[[#This Row],[LINHA]])</f>
        <v>45917+GOIANIA (GO) X BELEM (PA)</v>
      </c>
      <c r="H741" s="125">
        <v>45917</v>
      </c>
      <c r="I741" s="1" t="s">
        <v>15</v>
      </c>
      <c r="J741" s="1">
        <v>25007</v>
      </c>
      <c r="K741" s="126">
        <v>0.76041666666666663</v>
      </c>
      <c r="L741" s="126">
        <v>0.77083333333333337</v>
      </c>
      <c r="M741" s="1" t="s">
        <v>33</v>
      </c>
      <c r="N741" s="1" t="s">
        <v>16</v>
      </c>
      <c r="O741" s="1" t="s">
        <v>123</v>
      </c>
      <c r="P741" s="1" t="s">
        <v>131</v>
      </c>
      <c r="Q741" s="1" t="s">
        <v>20</v>
      </c>
    </row>
    <row r="742" spans="3:17" x14ac:dyDescent="0.25">
      <c r="C742" s="1" t="str">
        <f>_xlfn.CONCAT(tabE.Flux[[#This Row],[DATA]],"+",tabE.Flux[[#This Row],[MOTORISTA + MATRÍCULA A]])</f>
        <v>45917+ESIEL COSTA RODRIGUES - 1749</v>
      </c>
      <c r="D742" s="1" t="str">
        <f>_xlfn.CONCAT(tabE.Flux[[#This Row],[DATA]],"+",tabE.Flux[[#This Row],[MOTORISTA + MATRÍCULA B]])</f>
        <v>45917+FABIO MOREIRA DOS SANTOS - 3073</v>
      </c>
      <c r="E742" s="1" t="str">
        <f>_xlfn.CONCAT(tabE.Flux[[#This Row],[DATA]],"+",tabE.Flux[[#This Row],[MOTORISTA + MATRÍCULA A]],"+",tabE.Flux[[#This Row],[LINHA]])</f>
        <v>45917+ESIEL COSTA RODRIGUES - 1749+GOIANIA (GO) X BELEM (PA)</v>
      </c>
      <c r="F742" s="1" t="str">
        <f>_xlfn.CONCAT(tabE.Flux[[#This Row],[DATA]],"+",tabE.Flux[[#This Row],[MOTORISTA + MATRÍCULA B]],"+",tabE.Flux[[#This Row],[LINHA]])</f>
        <v>45917+FABIO MOREIRA DOS SANTOS - 3073+GOIANIA (GO) X BELEM (PA)</v>
      </c>
      <c r="G742" s="1" t="str">
        <f>_xlfn.CONCAT(tabE.Flux[[#This Row],[DATA]],"+",tabE.Flux[[#This Row],[LINHA]])</f>
        <v>45917+GOIANIA (GO) X BELEM (PA)</v>
      </c>
      <c r="H742" s="125">
        <v>45917</v>
      </c>
      <c r="I742" s="1" t="s">
        <v>15</v>
      </c>
      <c r="J742" s="1">
        <v>25011</v>
      </c>
      <c r="K742" s="126">
        <v>0.76041666666666663</v>
      </c>
      <c r="L742" s="126">
        <v>0.82777777777777772</v>
      </c>
      <c r="M742" s="1" t="s">
        <v>16</v>
      </c>
      <c r="N742" s="1" t="s">
        <v>33</v>
      </c>
      <c r="O742" s="1" t="s">
        <v>46</v>
      </c>
      <c r="P742" s="1" t="s">
        <v>50</v>
      </c>
      <c r="Q742" s="1" t="s">
        <v>20</v>
      </c>
    </row>
    <row r="743" spans="3:17" x14ac:dyDescent="0.25">
      <c r="C743" s="1" t="str">
        <f>_xlfn.CONCAT(tabE.Flux[[#This Row],[DATA]],"+",tabE.Flux[[#This Row],[MOTORISTA + MATRÍCULA A]])</f>
        <v>45917+BRUNO MATOS DA ROCHA - 6013</v>
      </c>
      <c r="D743" s="1" t="str">
        <f>_xlfn.CONCAT(tabE.Flux[[#This Row],[DATA]],"+",tabE.Flux[[#This Row],[MOTORISTA + MATRÍCULA B]])</f>
        <v>45917+RAIMUNDO COSTA SILVA - 6226</v>
      </c>
      <c r="E743" s="1" t="str">
        <f>_xlfn.CONCAT(tabE.Flux[[#This Row],[DATA]],"+",tabE.Flux[[#This Row],[MOTORISTA + MATRÍCULA A]],"+",tabE.Flux[[#This Row],[LINHA]])</f>
        <v>45917+BRUNO MATOS DA ROCHA - 6013+GOIANIA (GO) X SAO LUIS (MA)</v>
      </c>
      <c r="F743" s="1" t="str">
        <f>_xlfn.CONCAT(tabE.Flux[[#This Row],[DATA]],"+",tabE.Flux[[#This Row],[MOTORISTA + MATRÍCULA B]],"+",tabE.Flux[[#This Row],[LINHA]])</f>
        <v>45917+RAIMUNDO COSTA SILVA - 6226+GOIANIA (GO) X SAO LUIS (MA)</v>
      </c>
      <c r="G743" s="1" t="str">
        <f>_xlfn.CONCAT(tabE.Flux[[#This Row],[DATA]],"+",tabE.Flux[[#This Row],[LINHA]])</f>
        <v>45917+GOIANIA (GO) X SAO LUIS (MA)</v>
      </c>
      <c r="H743" s="125">
        <v>45917</v>
      </c>
      <c r="I743" s="1" t="s">
        <v>15</v>
      </c>
      <c r="J743" s="1">
        <v>19006</v>
      </c>
      <c r="K743" s="126">
        <v>0.40763888888888888</v>
      </c>
      <c r="L743" s="126">
        <v>0.47013888888888888</v>
      </c>
      <c r="M743" s="1" t="s">
        <v>16</v>
      </c>
      <c r="N743" s="1" t="s">
        <v>42</v>
      </c>
      <c r="O743" s="1" t="s">
        <v>147</v>
      </c>
      <c r="P743" s="1" t="s">
        <v>45</v>
      </c>
      <c r="Q743" s="1" t="s">
        <v>23</v>
      </c>
    </row>
    <row r="744" spans="3:17" x14ac:dyDescent="0.25">
      <c r="C744" s="1" t="str">
        <f>_xlfn.CONCAT(tabE.Flux[[#This Row],[DATA]],"+",tabE.Flux[[#This Row],[MOTORISTA + MATRÍCULA A]])</f>
        <v>45917+CANCELADO</v>
      </c>
      <c r="D744" s="1" t="str">
        <f>_xlfn.CONCAT(tabE.Flux[[#This Row],[DATA]],"+",tabE.Flux[[#This Row],[MOTORISTA + MATRÍCULA B]])</f>
        <v>45917+CANCELADO</v>
      </c>
      <c r="E744" s="1" t="str">
        <f>_xlfn.CONCAT(tabE.Flux[[#This Row],[DATA]],"+",tabE.Flux[[#This Row],[MOTORISTA + MATRÍCULA A]],"+",tabE.Flux[[#This Row],[LINHA]])</f>
        <v>45917+CANCELADO+IMPERATRIZ (MA) X SÃO LUIS (MA)</v>
      </c>
      <c r="F744" s="1" t="str">
        <f>_xlfn.CONCAT(tabE.Flux[[#This Row],[DATA]],"+",tabE.Flux[[#This Row],[MOTORISTA + MATRÍCULA B]],"+",tabE.Flux[[#This Row],[LINHA]])</f>
        <v>45917+CANCELADO+IMPERATRIZ (MA) X SÃO LUIS (MA)</v>
      </c>
      <c r="G744" s="1" t="str">
        <f>_xlfn.CONCAT(tabE.Flux[[#This Row],[DATA]],"+",tabE.Flux[[#This Row],[LINHA]])</f>
        <v>45917+IMPERATRIZ (MA) X SÃO LUIS (MA)</v>
      </c>
      <c r="H744" s="125">
        <v>45917</v>
      </c>
      <c r="I744" s="1" t="s">
        <v>15</v>
      </c>
      <c r="J744" s="1" t="s">
        <v>27</v>
      </c>
      <c r="K744" s="126">
        <v>0.77083333333333337</v>
      </c>
      <c r="L744" s="126">
        <v>0.8125</v>
      </c>
      <c r="M744" s="1" t="s">
        <v>16</v>
      </c>
      <c r="N744" s="1" t="s">
        <v>42</v>
      </c>
      <c r="O744" s="1" t="s">
        <v>27</v>
      </c>
      <c r="P744" s="1" t="s">
        <v>27</v>
      </c>
      <c r="Q744" s="1" t="s">
        <v>47</v>
      </c>
    </row>
    <row r="745" spans="3:17" x14ac:dyDescent="0.25">
      <c r="C745" s="1" t="str">
        <f>_xlfn.CONCAT(tabE.Flux[[#This Row],[DATA]],"+",tabE.Flux[[#This Row],[MOTORISTA + MATRÍCULA A]])</f>
        <v>45917+FRANCISCO RAIMUNDO VIANA DE SOUSA - 5314</v>
      </c>
      <c r="D745" s="1" t="str">
        <f>_xlfn.CONCAT(tabE.Flux[[#This Row],[DATA]],"+",tabE.Flux[[#This Row],[MOTORISTA + MATRÍCULA B]])</f>
        <v>45917+CARLOS ADRIANO DE SOUZA DO NASCIMENTO - 6222</v>
      </c>
      <c r="E745" s="1" t="str">
        <f>_xlfn.CONCAT(tabE.Flux[[#This Row],[DATA]],"+",tabE.Flux[[#This Row],[MOTORISTA + MATRÍCULA A]],"+",tabE.Flux[[#This Row],[LINHA]])</f>
        <v>45917+FRANCISCO RAIMUNDO VIANA DE SOUSA - 5314+GOIANIA (GO) X SAO LUIS (MA)</v>
      </c>
      <c r="F745" s="1" t="str">
        <f>_xlfn.CONCAT(tabE.Flux[[#This Row],[DATA]],"+",tabE.Flux[[#This Row],[MOTORISTA + MATRÍCULA B]],"+",tabE.Flux[[#This Row],[LINHA]])</f>
        <v>45917+CARLOS ADRIANO DE SOUZA DO NASCIMENTO - 6222+GOIANIA (GO) X SAO LUIS (MA)</v>
      </c>
      <c r="G745" s="1" t="str">
        <f>_xlfn.CONCAT(tabE.Flux[[#This Row],[DATA]],"+",tabE.Flux[[#This Row],[LINHA]])</f>
        <v>45917+GOIANIA (GO) X SAO LUIS (MA)</v>
      </c>
      <c r="H745" s="125">
        <v>45917</v>
      </c>
      <c r="I745" s="1" t="s">
        <v>15</v>
      </c>
      <c r="J745" s="1">
        <v>24003</v>
      </c>
      <c r="K745" s="126">
        <v>0.8125</v>
      </c>
      <c r="L745" s="126">
        <v>0.84375</v>
      </c>
      <c r="M745" s="1" t="s">
        <v>16</v>
      </c>
      <c r="N745" s="1" t="s">
        <v>42</v>
      </c>
      <c r="O745" s="1" t="s">
        <v>87</v>
      </c>
      <c r="P745" s="1" t="s">
        <v>110</v>
      </c>
      <c r="Q745" s="1" t="s">
        <v>23</v>
      </c>
    </row>
    <row r="746" spans="3:17" x14ac:dyDescent="0.25">
      <c r="C746" s="1" t="str">
        <f>_xlfn.CONCAT(tabE.Flux[[#This Row],[DATA]],"+",tabE.Flux[[#This Row],[MOTORISTA + MATRÍCULA A]])</f>
        <v>45917+FRANCISCO ALVES DA PAZ JUNIOR - 1247</v>
      </c>
      <c r="D746" s="1" t="str">
        <f>_xlfn.CONCAT(tabE.Flux[[#This Row],[DATA]],"+",tabE.Flux[[#This Row],[MOTORISTA + MATRÍCULA B]])</f>
        <v>45917+FRANCISCO DAS CHAGAS DOS SANTOS ANGELO - 5299</v>
      </c>
      <c r="E746" s="1" t="str">
        <f>_xlfn.CONCAT(tabE.Flux[[#This Row],[DATA]],"+",tabE.Flux[[#This Row],[MOTORISTA + MATRÍCULA A]],"+",tabE.Flux[[#This Row],[LINHA]])</f>
        <v>45917+FRANCISCO ALVES DA PAZ JUNIOR - 1247+GOIANIA (GO) X TERESINA (PI) VIA STI</v>
      </c>
      <c r="F746" s="1" t="str">
        <f>_xlfn.CONCAT(tabE.Flux[[#This Row],[DATA]],"+",tabE.Flux[[#This Row],[MOTORISTA + MATRÍCULA B]],"+",tabE.Flux[[#This Row],[LINHA]])</f>
        <v>45917+FRANCISCO DAS CHAGAS DOS SANTOS ANGELO - 5299+GOIANIA (GO) X TERESINA (PI) VIA STI</v>
      </c>
      <c r="G746" s="1" t="str">
        <f>_xlfn.CONCAT(tabE.Flux[[#This Row],[DATA]],"+",tabE.Flux[[#This Row],[LINHA]])</f>
        <v>45917+GOIANIA (GO) X TERESINA (PI) VIA STI</v>
      </c>
      <c r="H746" s="125">
        <v>45917</v>
      </c>
      <c r="I746" s="1" t="s">
        <v>15</v>
      </c>
      <c r="J746" s="1">
        <v>20018</v>
      </c>
      <c r="K746" s="126">
        <v>0.77083333333333337</v>
      </c>
      <c r="L746" s="126">
        <v>0.79861111111111116</v>
      </c>
      <c r="M746" s="1" t="s">
        <v>16</v>
      </c>
      <c r="N746" s="1" t="s">
        <v>29</v>
      </c>
      <c r="O746" s="1" t="s">
        <v>144</v>
      </c>
      <c r="P746" s="1" t="s">
        <v>198</v>
      </c>
      <c r="Q746" s="1" t="s">
        <v>26</v>
      </c>
    </row>
    <row r="747" spans="3:17" x14ac:dyDescent="0.25">
      <c r="C747" s="1" t="str">
        <f>_xlfn.CONCAT(tabE.Flux[[#This Row],[DATA]],"+",tabE.Flux[[#This Row],[MOTORISTA + MATRÍCULA A]])</f>
        <v>45917+MANOEL MESSIAS SILVA DOS SANTOS - 1833</v>
      </c>
      <c r="D747" s="1" t="str">
        <f>_xlfn.CONCAT(tabE.Flux[[#This Row],[DATA]],"+",tabE.Flux[[#This Row],[MOTORISTA + MATRÍCULA B]])</f>
        <v>45917+LUIZ CARLOS MARIANO SIQUEIRA - 5634</v>
      </c>
      <c r="E747" s="1" t="str">
        <f>_xlfn.CONCAT(tabE.Flux[[#This Row],[DATA]],"+",tabE.Flux[[#This Row],[MOTORISTA + MATRÍCULA A]],"+",tabE.Flux[[#This Row],[LINHA]])</f>
        <v>45917+MANOEL MESSIAS SILVA DOS SANTOS - 1833+GOIANIA (GO) X SAO LUIS (MA)</v>
      </c>
      <c r="F747" s="1" t="str">
        <f>_xlfn.CONCAT(tabE.Flux[[#This Row],[DATA]],"+",tabE.Flux[[#This Row],[MOTORISTA + MATRÍCULA B]],"+",tabE.Flux[[#This Row],[LINHA]])</f>
        <v>45917+LUIZ CARLOS MARIANO SIQUEIRA - 5634+GOIANIA (GO) X SAO LUIS (MA)</v>
      </c>
      <c r="G747" s="1" t="str">
        <f>_xlfn.CONCAT(tabE.Flux[[#This Row],[DATA]],"+",tabE.Flux[[#This Row],[LINHA]])</f>
        <v>45917+GOIANIA (GO) X SAO LUIS (MA)</v>
      </c>
      <c r="H747" s="125">
        <v>45917</v>
      </c>
      <c r="I747" s="1" t="s">
        <v>15</v>
      </c>
      <c r="J747" s="1">
        <v>24012</v>
      </c>
      <c r="K747" s="126">
        <v>0.8125</v>
      </c>
      <c r="L747" s="126">
        <v>0.84166666666666667</v>
      </c>
      <c r="M747" s="1" t="s">
        <v>16</v>
      </c>
      <c r="N747" s="1" t="s">
        <v>17</v>
      </c>
      <c r="O747" s="1" t="s">
        <v>173</v>
      </c>
      <c r="P747" s="1" t="s">
        <v>51</v>
      </c>
      <c r="Q747" s="1" t="s">
        <v>23</v>
      </c>
    </row>
    <row r="748" spans="3:17" x14ac:dyDescent="0.25">
      <c r="C748" s="1" t="str">
        <f>_xlfn.CONCAT(tabE.Flux[[#This Row],[DATA]],"+",tabE.Flux[[#This Row],[MOTORISTA + MATRÍCULA A]])</f>
        <v>45917+MARCOS ROBERTO DE SOUSA - 5236</v>
      </c>
      <c r="D748" s="1" t="str">
        <f>_xlfn.CONCAT(tabE.Flux[[#This Row],[DATA]],"+",tabE.Flux[[#This Row],[MOTORISTA + MATRÍCULA B]])</f>
        <v>45917+LUIS ANTONIO FARIAS RIBEIRO - 2789</v>
      </c>
      <c r="E748" s="1" t="str">
        <f>_xlfn.CONCAT(tabE.Flux[[#This Row],[DATA]],"+",tabE.Flux[[#This Row],[MOTORISTA + MATRÍCULA A]],"+",tabE.Flux[[#This Row],[LINHA]])</f>
        <v>45917+MARCOS ROBERTO DE SOUSA - 5236+FORTALEZA (CE) X SINOP (MT)</v>
      </c>
      <c r="F748" s="1" t="str">
        <f>_xlfn.CONCAT(tabE.Flux[[#This Row],[DATA]],"+",tabE.Flux[[#This Row],[MOTORISTA + MATRÍCULA B]],"+",tabE.Flux[[#This Row],[LINHA]])</f>
        <v>45917+LUIS ANTONIO FARIAS RIBEIRO - 2789+FORTALEZA (CE) X SINOP (MT)</v>
      </c>
      <c r="G748" s="1" t="str">
        <f>_xlfn.CONCAT(tabE.Flux[[#This Row],[DATA]],"+",tabE.Flux[[#This Row],[LINHA]])</f>
        <v>45917+FORTALEZA (CE) X SINOP (MT)</v>
      </c>
      <c r="H748" s="125">
        <v>45917</v>
      </c>
      <c r="I748" s="1" t="s">
        <v>15</v>
      </c>
      <c r="J748" s="1">
        <v>17200</v>
      </c>
      <c r="K748" s="126">
        <v>0.8125</v>
      </c>
      <c r="L748" s="126">
        <v>0.85416666666666663</v>
      </c>
      <c r="M748" s="1" t="s">
        <v>16</v>
      </c>
      <c r="N748" s="1" t="s">
        <v>17</v>
      </c>
      <c r="O748" s="1" t="s">
        <v>234</v>
      </c>
      <c r="P748" s="1" t="s">
        <v>124</v>
      </c>
      <c r="Q748" s="1" t="s">
        <v>32</v>
      </c>
    </row>
    <row r="749" spans="3:17" x14ac:dyDescent="0.25">
      <c r="C749" s="1" t="str">
        <f>_xlfn.CONCAT(tabE.Flux[[#This Row],[DATA]],"+",tabE.Flux[[#This Row],[MOTORISTA + MATRÍCULA A]])</f>
        <v>45917+AGNALDO ALVES DE CARVALHO - 5623</v>
      </c>
      <c r="D749" s="1" t="str">
        <f>_xlfn.CONCAT(tabE.Flux[[#This Row],[DATA]],"+",tabE.Flux[[#This Row],[MOTORISTA + MATRÍCULA B]])</f>
        <v>45917+GONCALO ALVES BEZERRA - 748</v>
      </c>
      <c r="E749" s="1" t="str">
        <f>_xlfn.CONCAT(tabE.Flux[[#This Row],[DATA]],"+",tabE.Flux[[#This Row],[MOTORISTA + MATRÍCULA A]],"+",tabE.Flux[[#This Row],[LINHA]])</f>
        <v>45917+AGNALDO ALVES DE CARVALHO - 5623+GOIANIA (GO) X BELEM (PA)</v>
      </c>
      <c r="F749" s="1" t="str">
        <f>_xlfn.CONCAT(tabE.Flux[[#This Row],[DATA]],"+",tabE.Flux[[#This Row],[MOTORISTA + MATRÍCULA B]],"+",tabE.Flux[[#This Row],[LINHA]])</f>
        <v>45917+GONCALO ALVES BEZERRA - 748+GOIANIA (GO) X BELEM (PA)</v>
      </c>
      <c r="G749" s="1" t="str">
        <f>_xlfn.CONCAT(tabE.Flux[[#This Row],[DATA]],"+",tabE.Flux[[#This Row],[LINHA]])</f>
        <v>45917+GOIANIA (GO) X BELEM (PA)</v>
      </c>
      <c r="H749" s="125">
        <v>45917</v>
      </c>
      <c r="I749" s="1" t="s">
        <v>15</v>
      </c>
      <c r="J749" s="1">
        <v>19005</v>
      </c>
      <c r="K749" s="126">
        <v>0.84722222222222221</v>
      </c>
      <c r="L749" s="126">
        <v>0.87847222222222221</v>
      </c>
      <c r="M749" s="1" t="s">
        <v>16</v>
      </c>
      <c r="N749" s="1" t="s">
        <v>17</v>
      </c>
      <c r="O749" s="1" t="s">
        <v>114</v>
      </c>
      <c r="P749" s="1" t="s">
        <v>216</v>
      </c>
      <c r="Q749" s="1" t="s">
        <v>20</v>
      </c>
    </row>
    <row r="750" spans="3:17" x14ac:dyDescent="0.25">
      <c r="C750" s="1" t="str">
        <f>_xlfn.CONCAT(tabE.Flux[[#This Row],[DATA]],"+",tabE.Flux[[#This Row],[MOTORISTA + MATRÍCULA A]])</f>
        <v>+</v>
      </c>
      <c r="D750" s="1" t="str">
        <f>_xlfn.CONCAT(tabE.Flux[[#This Row],[DATA]],"+",tabE.Flux[[#This Row],[MOTORISTA + MATRÍCULA B]])</f>
        <v>+</v>
      </c>
      <c r="E750" s="1" t="str">
        <f>_xlfn.CONCAT(tabE.Flux[[#This Row],[DATA]],"+",tabE.Flux[[#This Row],[MOTORISTA + MATRÍCULA A]],"+",tabE.Flux[[#This Row],[LINHA]])</f>
        <v>++</v>
      </c>
      <c r="F750" s="1" t="str">
        <f>_xlfn.CONCAT(tabE.Flux[[#This Row],[DATA]],"+",tabE.Flux[[#This Row],[MOTORISTA + MATRÍCULA B]],"+",tabE.Flux[[#This Row],[LINHA]])</f>
        <v>++</v>
      </c>
      <c r="G750" s="1" t="str">
        <f>_xlfn.CONCAT(tabE.Flux[[#This Row],[DATA]],"+",tabE.Flux[[#This Row],[LINHA]])</f>
        <v>+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3:17" x14ac:dyDescent="0.25">
      <c r="C751" s="1" t="str">
        <f>_xlfn.CONCAT(tabE.Flux[[#This Row],[DATA]],"+",tabE.Flux[[#This Row],[MOTORISTA + MATRÍCULA A]])</f>
        <v>45918+VALDIR NUNES DA SILVA - 2989</v>
      </c>
      <c r="D751" s="1" t="str">
        <f>_xlfn.CONCAT(tabE.Flux[[#This Row],[DATA]],"+",tabE.Flux[[#This Row],[MOTORISTA + MATRÍCULA B]])</f>
        <v>45918+WILMAR JOSE DE SOUZA - 1763</v>
      </c>
      <c r="E751" s="1" t="str">
        <f>_xlfn.CONCAT(tabE.Flux[[#This Row],[DATA]],"+",tabE.Flux[[#This Row],[MOTORISTA + MATRÍCULA A]],"+",tabE.Flux[[#This Row],[LINHA]])</f>
        <v>45918+VALDIR NUNES DA SILVA - 2989+GOIANIA (GO) X BELEM (PA)</v>
      </c>
      <c r="F751" s="1" t="str">
        <f>_xlfn.CONCAT(tabE.Flux[[#This Row],[DATA]],"+",tabE.Flux[[#This Row],[MOTORISTA + MATRÍCULA B]],"+",tabE.Flux[[#This Row],[LINHA]])</f>
        <v>45918+WILMAR JOSE DE SOUZA - 1763+GOIANIA (GO) X BELEM (PA)</v>
      </c>
      <c r="G751" s="1" t="str">
        <f>_xlfn.CONCAT(tabE.Flux[[#This Row],[DATA]],"+",tabE.Flux[[#This Row],[LINHA]])</f>
        <v>45918+GOIANIA (GO) X BELEM (PA)</v>
      </c>
      <c r="H751" s="125">
        <v>45918</v>
      </c>
      <c r="I751" s="1" t="s">
        <v>15</v>
      </c>
      <c r="J751" s="1">
        <v>25007</v>
      </c>
      <c r="K751" s="126">
        <v>0.25486111111111109</v>
      </c>
      <c r="L751" s="126">
        <v>0.3</v>
      </c>
      <c r="M751" s="1" t="s">
        <v>16</v>
      </c>
      <c r="N751" s="1" t="s">
        <v>17</v>
      </c>
      <c r="O751" s="1" t="s">
        <v>134</v>
      </c>
      <c r="P751" s="1" t="s">
        <v>94</v>
      </c>
      <c r="Q751" s="1" t="s">
        <v>20</v>
      </c>
    </row>
    <row r="752" spans="3:17" x14ac:dyDescent="0.25">
      <c r="C752" s="1" t="str">
        <f>_xlfn.CONCAT(tabE.Flux[[#This Row],[DATA]],"+",tabE.Flux[[#This Row],[MOTORISTA + MATRÍCULA A]])</f>
        <v>45918+REGINALDO DE SOUSA OLIVEIRA - 5412</v>
      </c>
      <c r="D752" s="1" t="str">
        <f>_xlfn.CONCAT(tabE.Flux[[#This Row],[DATA]],"+",tabE.Flux[[#This Row],[MOTORISTA + MATRÍCULA B]])</f>
        <v>45918+CLAUDIOMAR ALENCAR DO NASCIMENTO - 2970</v>
      </c>
      <c r="E752" s="1" t="str">
        <f>_xlfn.CONCAT(tabE.Flux[[#This Row],[DATA]],"+",tabE.Flux[[#This Row],[MOTORISTA + MATRÍCULA A]],"+",tabE.Flux[[#This Row],[LINHA]])</f>
        <v>45918+REGINALDO DE SOUSA OLIVEIRA - 5412+GOIANIA (GO) X SAO LUIS (MA)</v>
      </c>
      <c r="F752" s="1" t="str">
        <f>_xlfn.CONCAT(tabE.Flux[[#This Row],[DATA]],"+",tabE.Flux[[#This Row],[MOTORISTA + MATRÍCULA B]],"+",tabE.Flux[[#This Row],[LINHA]])</f>
        <v>45918+CLAUDIOMAR ALENCAR DO NASCIMENTO - 2970+GOIANIA (GO) X SAO LUIS (MA)</v>
      </c>
      <c r="G752" s="1" t="str">
        <f>_xlfn.CONCAT(tabE.Flux[[#This Row],[DATA]],"+",tabE.Flux[[#This Row],[LINHA]])</f>
        <v>45918+GOIANIA (GO) X SAO LUIS (MA)</v>
      </c>
      <c r="H752" s="125">
        <v>45918</v>
      </c>
      <c r="I752" s="1" t="s">
        <v>15</v>
      </c>
      <c r="J752" s="1">
        <v>25005</v>
      </c>
      <c r="K752" s="126">
        <v>0.32291666666666669</v>
      </c>
      <c r="L752" s="126">
        <v>0.33333333333333331</v>
      </c>
      <c r="M752" s="1" t="s">
        <v>16</v>
      </c>
      <c r="N752" s="1" t="s">
        <v>17</v>
      </c>
      <c r="O752" s="1" t="s">
        <v>239</v>
      </c>
      <c r="P752" s="1" t="s">
        <v>211</v>
      </c>
      <c r="Q752" s="1" t="s">
        <v>23</v>
      </c>
    </row>
    <row r="753" spans="3:17" x14ac:dyDescent="0.25">
      <c r="C753" s="1" t="str">
        <f>_xlfn.CONCAT(tabE.Flux[[#This Row],[DATA]],"+",tabE.Flux[[#This Row],[MOTORISTA + MATRÍCULA A]])</f>
        <v>45918+RAIMUNDO GUIMARAES ARAUJO - 1920</v>
      </c>
      <c r="D753" s="1" t="str">
        <f>_xlfn.CONCAT(tabE.Flux[[#This Row],[DATA]],"+",tabE.Flux[[#This Row],[MOTORISTA + MATRÍCULA B]])</f>
        <v>45918+NILSON CORTEZ MIRANDA - 5636</v>
      </c>
      <c r="E753" s="1" t="str">
        <f>_xlfn.CONCAT(tabE.Flux[[#This Row],[DATA]],"+",tabE.Flux[[#This Row],[MOTORISTA + MATRÍCULA A]],"+",tabE.Flux[[#This Row],[LINHA]])</f>
        <v>45918+RAIMUNDO GUIMARAES ARAUJO - 1920+GOIANIA (GO) X TERESINA (PI) VIA STI</v>
      </c>
      <c r="F753" s="1" t="str">
        <f>_xlfn.CONCAT(tabE.Flux[[#This Row],[DATA]],"+",tabE.Flux[[#This Row],[MOTORISTA + MATRÍCULA B]],"+",tabE.Flux[[#This Row],[LINHA]])</f>
        <v>45918+NILSON CORTEZ MIRANDA - 5636+GOIANIA (GO) X TERESINA (PI) VIA STI</v>
      </c>
      <c r="G753" s="1" t="str">
        <f>_xlfn.CONCAT(tabE.Flux[[#This Row],[DATA]],"+",tabE.Flux[[#This Row],[LINHA]])</f>
        <v>45918+GOIANIA (GO) X TERESINA (PI) VIA STI</v>
      </c>
      <c r="H753" s="125">
        <v>45918</v>
      </c>
      <c r="I753" s="1" t="s">
        <v>15</v>
      </c>
      <c r="J753" s="1">
        <v>19020</v>
      </c>
      <c r="K753" s="126">
        <v>0.3888888888888889</v>
      </c>
      <c r="L753" s="126">
        <v>0.39583333333333331</v>
      </c>
      <c r="M753" s="1" t="s">
        <v>16</v>
      </c>
      <c r="N753" s="1" t="s">
        <v>17</v>
      </c>
      <c r="O753" s="1" t="s">
        <v>231</v>
      </c>
      <c r="P753" s="1" t="s">
        <v>75</v>
      </c>
      <c r="Q753" s="1" t="s">
        <v>26</v>
      </c>
    </row>
    <row r="754" spans="3:17" x14ac:dyDescent="0.25">
      <c r="C754" s="1" t="str">
        <f>_xlfn.CONCAT(tabE.Flux[[#This Row],[DATA]],"+",tabE.Flux[[#This Row],[MOTORISTA + MATRÍCULA A]])</f>
        <v>45918+CANCELADO</v>
      </c>
      <c r="D754" s="1" t="str">
        <f>_xlfn.CONCAT(tabE.Flux[[#This Row],[DATA]],"+",tabE.Flux[[#This Row],[MOTORISTA + MATRÍCULA B]])</f>
        <v>45918+CANCELADO</v>
      </c>
      <c r="E754" s="1" t="str">
        <f>_xlfn.CONCAT(tabE.Flux[[#This Row],[DATA]],"+",tabE.Flux[[#This Row],[MOTORISTA + MATRÍCULA A]],"+",tabE.Flux[[#This Row],[LINHA]])</f>
        <v>45918+CANCELADO+</v>
      </c>
      <c r="F754" s="1" t="str">
        <f>_xlfn.CONCAT(tabE.Flux[[#This Row],[DATA]],"+",tabE.Flux[[#This Row],[MOTORISTA + MATRÍCULA B]],"+",tabE.Flux[[#This Row],[LINHA]])</f>
        <v>45918+CANCELADO+</v>
      </c>
      <c r="G754" s="1" t="str">
        <f>_xlfn.CONCAT(tabE.Flux[[#This Row],[DATA]],"+",tabE.Flux[[#This Row],[LINHA]])</f>
        <v>45918+</v>
      </c>
      <c r="H754" s="125">
        <v>45918</v>
      </c>
      <c r="I754" s="1" t="s">
        <v>15</v>
      </c>
      <c r="J754" s="1" t="s">
        <v>27</v>
      </c>
      <c r="K754" s="126">
        <v>0.375</v>
      </c>
      <c r="L754" s="126">
        <v>0.41666666666666669</v>
      </c>
      <c r="M754" s="1" t="s">
        <v>16</v>
      </c>
      <c r="N754" s="1" t="s">
        <v>28</v>
      </c>
      <c r="O754" s="1" t="s">
        <v>27</v>
      </c>
      <c r="P754" s="1" t="s">
        <v>27</v>
      </c>
      <c r="Q754" s="1"/>
    </row>
    <row r="755" spans="3:17" x14ac:dyDescent="0.25">
      <c r="C755" s="1" t="str">
        <f>_xlfn.CONCAT(tabE.Flux[[#This Row],[DATA]],"+",tabE.Flux[[#This Row],[MOTORISTA + MATRÍCULA A]])</f>
        <v>45918+JOAO FERREIRA COSTA - 5545</v>
      </c>
      <c r="D755" s="1" t="str">
        <f>_xlfn.CONCAT(tabE.Flux[[#This Row],[DATA]],"+",tabE.Flux[[#This Row],[MOTORISTA + MATRÍCULA B]])</f>
        <v>45918+WASHINGTON ALVES BRITO - 1553</v>
      </c>
      <c r="E755" s="1" t="str">
        <f>_xlfn.CONCAT(tabE.Flux[[#This Row],[DATA]],"+",tabE.Flux[[#This Row],[MOTORISTA + MATRÍCULA A]],"+",tabE.Flux[[#This Row],[LINHA]])</f>
        <v>45918+JOAO FERREIRA COSTA - 5545+FORTALEZA (CE) X SINOP (MT)</v>
      </c>
      <c r="F755" s="1" t="str">
        <f>_xlfn.CONCAT(tabE.Flux[[#This Row],[DATA]],"+",tabE.Flux[[#This Row],[MOTORISTA + MATRÍCULA B]],"+",tabE.Flux[[#This Row],[LINHA]])</f>
        <v>45918+WASHINGTON ALVES BRITO - 1553+FORTALEZA (CE) X SINOP (MT)</v>
      </c>
      <c r="G755" s="1" t="str">
        <f>_xlfn.CONCAT(tabE.Flux[[#This Row],[DATA]],"+",tabE.Flux[[#This Row],[LINHA]])</f>
        <v>45918+FORTALEZA (CE) X SINOP (MT)</v>
      </c>
      <c r="H755" s="125">
        <v>45918</v>
      </c>
      <c r="I755" s="1" t="s">
        <v>15</v>
      </c>
      <c r="J755" s="1">
        <v>19008</v>
      </c>
      <c r="K755" s="126">
        <v>0.3888888888888889</v>
      </c>
      <c r="L755" s="126">
        <v>0.37708333333333333</v>
      </c>
      <c r="M755" s="1" t="s">
        <v>16</v>
      </c>
      <c r="N755" s="1" t="s">
        <v>29</v>
      </c>
      <c r="O755" s="1" t="s">
        <v>61</v>
      </c>
      <c r="P755" s="1" t="s">
        <v>201</v>
      </c>
      <c r="Q755" s="1" t="s">
        <v>32</v>
      </c>
    </row>
    <row r="756" spans="3:17" x14ac:dyDescent="0.25">
      <c r="C756" s="1" t="str">
        <f>_xlfn.CONCAT(tabE.Flux[[#This Row],[DATA]],"+",tabE.Flux[[#This Row],[MOTORISTA + MATRÍCULA A]])</f>
        <v>45918+MARCOS ATAIDE SILVA - 1352</v>
      </c>
      <c r="D756" s="1" t="str">
        <f>_xlfn.CONCAT(tabE.Flux[[#This Row],[DATA]],"+",tabE.Flux[[#This Row],[MOTORISTA + MATRÍCULA B]])</f>
        <v>45918+AELSON PEREIRA DO NASCIMENTO - 5682</v>
      </c>
      <c r="E756" s="1" t="str">
        <f>_xlfn.CONCAT(tabE.Flux[[#This Row],[DATA]],"+",tabE.Flux[[#This Row],[MOTORISTA + MATRÍCULA A]],"+",tabE.Flux[[#This Row],[LINHA]])</f>
        <v>45918+MARCOS ATAIDE SILVA - 1352+GOIANIA (GO) X BELEM (PA)</v>
      </c>
      <c r="F756" s="1" t="str">
        <f>_xlfn.CONCAT(tabE.Flux[[#This Row],[DATA]],"+",tabE.Flux[[#This Row],[MOTORISTA + MATRÍCULA B]],"+",tabE.Flux[[#This Row],[LINHA]])</f>
        <v>45918+AELSON PEREIRA DO NASCIMENTO - 5682+GOIANIA (GO) X BELEM (PA)</v>
      </c>
      <c r="G756" s="1" t="str">
        <f>_xlfn.CONCAT(tabE.Flux[[#This Row],[DATA]],"+",tabE.Flux[[#This Row],[LINHA]])</f>
        <v>45918+GOIANIA (GO) X BELEM (PA)</v>
      </c>
      <c r="H756" s="125">
        <v>45918</v>
      </c>
      <c r="I756" s="1" t="s">
        <v>15</v>
      </c>
      <c r="J756" s="1">
        <v>19021</v>
      </c>
      <c r="K756" s="126">
        <v>0.38958333333333334</v>
      </c>
      <c r="L756" s="126">
        <v>0.38541666666666669</v>
      </c>
      <c r="M756" s="1" t="s">
        <v>16</v>
      </c>
      <c r="N756" s="1" t="s">
        <v>33</v>
      </c>
      <c r="O756" s="1" t="s">
        <v>113</v>
      </c>
      <c r="P756" s="1" t="s">
        <v>88</v>
      </c>
      <c r="Q756" s="1" t="s">
        <v>20</v>
      </c>
    </row>
    <row r="757" spans="3:17" x14ac:dyDescent="0.25">
      <c r="C757" s="1" t="str">
        <f>_xlfn.CONCAT(tabE.Flux[[#This Row],[DATA]],"+",tabE.Flux[[#This Row],[MOTORISTA + MATRÍCULA A]])</f>
        <v>45918+JWEBISON DE BRITO SOUZA - 2999</v>
      </c>
      <c r="D757" s="1" t="str">
        <f>_xlfn.CONCAT(tabE.Flux[[#This Row],[DATA]],"+",tabE.Flux[[#This Row],[MOTORISTA + MATRÍCULA B]])</f>
        <v>45918+DANYLSON BATISTA SANTANA - 5829</v>
      </c>
      <c r="E757" s="1" t="str">
        <f>_xlfn.CONCAT(tabE.Flux[[#This Row],[DATA]],"+",tabE.Flux[[#This Row],[MOTORISTA + MATRÍCULA A]],"+",tabE.Flux[[#This Row],[LINHA]])</f>
        <v>45918+JWEBISON DE BRITO SOUZA - 2999+GOIANIA (GO) X TERESINA (PI) VIA BC</v>
      </c>
      <c r="F757" s="1" t="str">
        <f>_xlfn.CONCAT(tabE.Flux[[#This Row],[DATA]],"+",tabE.Flux[[#This Row],[MOTORISTA + MATRÍCULA B]],"+",tabE.Flux[[#This Row],[LINHA]])</f>
        <v>45918+DANYLSON BATISTA SANTANA - 5829+GOIANIA (GO) X TERESINA (PI) VIA BC</v>
      </c>
      <c r="G757" s="1" t="str">
        <f>_xlfn.CONCAT(tabE.Flux[[#This Row],[DATA]],"+",tabE.Flux[[#This Row],[LINHA]])</f>
        <v>45918+GOIANIA (GO) X TERESINA (PI) VIA BC</v>
      </c>
      <c r="H757" s="125">
        <v>45918</v>
      </c>
      <c r="I757" s="1" t="s">
        <v>15</v>
      </c>
      <c r="J757" s="1">
        <v>24013</v>
      </c>
      <c r="K757" s="126">
        <v>0.375</v>
      </c>
      <c r="L757" s="126">
        <v>0.39930555555555558</v>
      </c>
      <c r="M757" s="1" t="s">
        <v>36</v>
      </c>
      <c r="N757" s="1" t="s">
        <v>29</v>
      </c>
      <c r="O757" s="1" t="s">
        <v>77</v>
      </c>
      <c r="P757" s="1" t="s">
        <v>60</v>
      </c>
      <c r="Q757" s="1" t="s">
        <v>39</v>
      </c>
    </row>
    <row r="758" spans="3:17" x14ac:dyDescent="0.25">
      <c r="C758" s="1" t="str">
        <f>_xlfn.CONCAT(tabE.Flux[[#This Row],[DATA]],"+",tabE.Flux[[#This Row],[MOTORISTA + MATRÍCULA A]])</f>
        <v>45918+MERVAL DE SOUSA - 2880</v>
      </c>
      <c r="D758" s="1" t="str">
        <f>_xlfn.CONCAT(tabE.Flux[[#This Row],[DATA]],"+",tabE.Flux[[#This Row],[MOTORISTA + MATRÍCULA B]])</f>
        <v>45918+CLODOALDO PEREIRA DE LIMA - 4067</v>
      </c>
      <c r="E758" s="1" t="str">
        <f>_xlfn.CONCAT(tabE.Flux[[#This Row],[DATA]],"+",tabE.Flux[[#This Row],[MOTORISTA + MATRÍCULA A]],"+",tabE.Flux[[#This Row],[LINHA]])</f>
        <v>45918+MERVAL DE SOUSA - 2880+GOIANIA (GO) X BELEM (PA)</v>
      </c>
      <c r="F758" s="1" t="str">
        <f>_xlfn.CONCAT(tabE.Flux[[#This Row],[DATA]],"+",tabE.Flux[[#This Row],[MOTORISTA + MATRÍCULA B]],"+",tabE.Flux[[#This Row],[LINHA]])</f>
        <v>45918+CLODOALDO PEREIRA DE LIMA - 4067+GOIANIA (GO) X BELEM (PA)</v>
      </c>
      <c r="G758" s="1" t="str">
        <f>_xlfn.CONCAT(tabE.Flux[[#This Row],[DATA]],"+",tabE.Flux[[#This Row],[LINHA]])</f>
        <v>45918+GOIANIA (GO) X BELEM (PA)</v>
      </c>
      <c r="H758" s="125">
        <v>45918</v>
      </c>
      <c r="I758" s="1" t="s">
        <v>15</v>
      </c>
      <c r="J758" s="1">
        <v>19009</v>
      </c>
      <c r="K758" s="126">
        <v>0.375</v>
      </c>
      <c r="L758" s="126">
        <v>0.41666666666666669</v>
      </c>
      <c r="M758" s="1" t="s">
        <v>33</v>
      </c>
      <c r="N758" s="1" t="s">
        <v>16</v>
      </c>
      <c r="O758" s="1" t="s">
        <v>44</v>
      </c>
      <c r="P758" s="1" t="s">
        <v>109</v>
      </c>
      <c r="Q758" s="1" t="s">
        <v>20</v>
      </c>
    </row>
    <row r="759" spans="3:17" x14ac:dyDescent="0.25">
      <c r="C759" s="1" t="str">
        <f>_xlfn.CONCAT(tabE.Flux[[#This Row],[DATA]],"+",tabE.Flux[[#This Row],[MOTORISTA + MATRÍCULA A]])</f>
        <v>45918+PAULO ENEAS FARIAS ARAUJO - 6218</v>
      </c>
      <c r="D759" s="1" t="str">
        <f>_xlfn.CONCAT(tabE.Flux[[#This Row],[DATA]],"+",tabE.Flux[[#This Row],[MOTORISTA + MATRÍCULA B]])</f>
        <v>45918+BRUNO MATOS DA ROCHA - 6013</v>
      </c>
      <c r="E759" s="1" t="str">
        <f>_xlfn.CONCAT(tabE.Flux[[#This Row],[DATA]],"+",tabE.Flux[[#This Row],[MOTORISTA + MATRÍCULA A]],"+",tabE.Flux[[#This Row],[LINHA]])</f>
        <v>45918+PAULO ENEAS FARIAS ARAUJO - 6218+GOIANIA (GO) X SAO LUIS (MA)</v>
      </c>
      <c r="F759" s="1" t="str">
        <f>_xlfn.CONCAT(tabE.Flux[[#This Row],[DATA]],"+",tabE.Flux[[#This Row],[MOTORISTA + MATRÍCULA B]],"+",tabE.Flux[[#This Row],[LINHA]])</f>
        <v>45918+BRUNO MATOS DA ROCHA - 6013+GOIANIA (GO) X SAO LUIS (MA)</v>
      </c>
      <c r="G759" s="1" t="str">
        <f>_xlfn.CONCAT(tabE.Flux[[#This Row],[DATA]],"+",tabE.Flux[[#This Row],[LINHA]])</f>
        <v>45918+GOIANIA (GO) X SAO LUIS (MA)</v>
      </c>
      <c r="H759" s="125">
        <v>45918</v>
      </c>
      <c r="I759" s="1" t="s">
        <v>15</v>
      </c>
      <c r="J759" s="1">
        <v>19017</v>
      </c>
      <c r="K759" s="126">
        <v>0.25</v>
      </c>
      <c r="L759" s="126">
        <v>0.29166666666666669</v>
      </c>
      <c r="M759" s="1" t="s">
        <v>42</v>
      </c>
      <c r="N759" s="1" t="s">
        <v>16</v>
      </c>
      <c r="O759" s="1" t="s">
        <v>43</v>
      </c>
      <c r="P759" s="1" t="s">
        <v>147</v>
      </c>
      <c r="Q759" s="1" t="s">
        <v>23</v>
      </c>
    </row>
    <row r="760" spans="3:17" x14ac:dyDescent="0.25">
      <c r="C760" s="1" t="str">
        <f>_xlfn.CONCAT(tabE.Flux[[#This Row],[DATA]],"+",tabE.Flux[[#This Row],[MOTORISTA + MATRÍCULA A]])</f>
        <v>45918+LAUCEANDO DA SILVA ROCHA - 6220</v>
      </c>
      <c r="D760" s="1" t="str">
        <f>_xlfn.CONCAT(tabE.Flux[[#This Row],[DATA]],"+",tabE.Flux[[#This Row],[MOTORISTA + MATRÍCULA B]])</f>
        <v>45918+FRANCISCO RAIMUNDO VIANA DE SOUSA - 5314</v>
      </c>
      <c r="E760" s="1" t="str">
        <f>_xlfn.CONCAT(tabE.Flux[[#This Row],[DATA]],"+",tabE.Flux[[#This Row],[MOTORISTA + MATRÍCULA A]],"+",tabE.Flux[[#This Row],[LINHA]])</f>
        <v>45918+LAUCEANDO DA SILVA ROCHA - 6220+GOIANIA (GO) X SAO LUIS (MA)</v>
      </c>
      <c r="F760" s="1" t="str">
        <f>_xlfn.CONCAT(tabE.Flux[[#This Row],[DATA]],"+",tabE.Flux[[#This Row],[MOTORISTA + MATRÍCULA B]],"+",tabE.Flux[[#This Row],[LINHA]])</f>
        <v>45918+FRANCISCO RAIMUNDO VIANA DE SOUSA - 5314+GOIANIA (GO) X SAO LUIS (MA)</v>
      </c>
      <c r="G760" s="1" t="str">
        <f>_xlfn.CONCAT(tabE.Flux[[#This Row],[DATA]],"+",tabE.Flux[[#This Row],[LINHA]])</f>
        <v>45918+GOIANIA (GO) X SAO LUIS (MA)</v>
      </c>
      <c r="H760" s="125">
        <v>45918</v>
      </c>
      <c r="I760" s="1" t="s">
        <v>15</v>
      </c>
      <c r="J760" s="1">
        <v>24003</v>
      </c>
      <c r="K760" s="126">
        <v>0.75</v>
      </c>
      <c r="L760" s="126">
        <v>0.79166666666666663</v>
      </c>
      <c r="M760" s="1" t="s">
        <v>42</v>
      </c>
      <c r="N760" s="1" t="s">
        <v>16</v>
      </c>
      <c r="O760" s="1" t="s">
        <v>86</v>
      </c>
      <c r="P760" s="1" t="s">
        <v>87</v>
      </c>
      <c r="Q760" s="1" t="s">
        <v>23</v>
      </c>
    </row>
    <row r="761" spans="3:17" x14ac:dyDescent="0.25">
      <c r="C761" s="1" t="str">
        <f>_xlfn.CONCAT(tabE.Flux[[#This Row],[DATA]],"+",tabE.Flux[[#This Row],[MOTORISTA + MATRÍCULA A]])</f>
        <v>45918+CANCELADO</v>
      </c>
      <c r="D761" s="1" t="str">
        <f>_xlfn.CONCAT(tabE.Flux[[#This Row],[DATA]],"+",tabE.Flux[[#This Row],[MOTORISTA + MATRÍCULA B]])</f>
        <v>45918+CANCELADO</v>
      </c>
      <c r="E761" s="1" t="str">
        <f>_xlfn.CONCAT(tabE.Flux[[#This Row],[DATA]],"+",tabE.Flux[[#This Row],[MOTORISTA + MATRÍCULA A]],"+",tabE.Flux[[#This Row],[LINHA]])</f>
        <v>45918+CANCELADO+IMPERATRIZ (MA) X SÃO LUIS (MA)</v>
      </c>
      <c r="F761" s="1" t="str">
        <f>_xlfn.CONCAT(tabE.Flux[[#This Row],[DATA]],"+",tabE.Flux[[#This Row],[MOTORISTA + MATRÍCULA B]],"+",tabE.Flux[[#This Row],[LINHA]])</f>
        <v>45918+CANCELADO+IMPERATRIZ (MA) X SÃO LUIS (MA)</v>
      </c>
      <c r="G761" s="1" t="str">
        <f>_xlfn.CONCAT(tabE.Flux[[#This Row],[DATA]],"+",tabE.Flux[[#This Row],[LINHA]])</f>
        <v>45918+IMPERATRIZ (MA) X SÃO LUIS (MA)</v>
      </c>
      <c r="H761" s="125">
        <v>45918</v>
      </c>
      <c r="I761" s="1" t="s">
        <v>15</v>
      </c>
      <c r="J761" s="1" t="s">
        <v>27</v>
      </c>
      <c r="K761" s="126">
        <v>0.77083333333333337</v>
      </c>
      <c r="L761" s="126">
        <v>0.79513888888888884</v>
      </c>
      <c r="M761" s="1" t="s">
        <v>42</v>
      </c>
      <c r="N761" s="1" t="s">
        <v>16</v>
      </c>
      <c r="O761" s="1" t="s">
        <v>27</v>
      </c>
      <c r="P761" s="1" t="s">
        <v>27</v>
      </c>
      <c r="Q761" s="1" t="s">
        <v>47</v>
      </c>
    </row>
    <row r="762" spans="3:17" x14ac:dyDescent="0.25">
      <c r="C762" s="1" t="str">
        <f>_xlfn.CONCAT(tabE.Flux[[#This Row],[DATA]],"+",tabE.Flux[[#This Row],[MOTORISTA + MATRÍCULA A]])</f>
        <v>45918+ADALTON ALMEIDA DE SOUZA - 1941</v>
      </c>
      <c r="D762" s="1" t="str">
        <f>_xlfn.CONCAT(tabE.Flux[[#This Row],[DATA]],"+",tabE.Flux[[#This Row],[MOTORISTA + MATRÍCULA B]])</f>
        <v>45918+  LAZARO VIEIRA DA SILVA- 5428</v>
      </c>
      <c r="E762" s="1" t="str">
        <f>_xlfn.CONCAT(tabE.Flux[[#This Row],[DATA]],"+",tabE.Flux[[#This Row],[MOTORISTA + MATRÍCULA A]],"+",tabE.Flux[[#This Row],[LINHA]])</f>
        <v>45918+ADALTON ALMEIDA DE SOUZA - 1941+GOIANIA (GO) X TERESINA (PI) VIA BC</v>
      </c>
      <c r="F762" s="1" t="str">
        <f>_xlfn.CONCAT(tabE.Flux[[#This Row],[DATA]],"+",tabE.Flux[[#This Row],[MOTORISTA + MATRÍCULA B]],"+",tabE.Flux[[#This Row],[LINHA]])</f>
        <v>45918+  LAZARO VIEIRA DA SILVA- 5428+GOIANIA (GO) X TERESINA (PI) VIA BC</v>
      </c>
      <c r="G762" s="1" t="str">
        <f>_xlfn.CONCAT(tabE.Flux[[#This Row],[DATA]],"+",tabE.Flux[[#This Row],[LINHA]])</f>
        <v>45918+GOIANIA (GO) X TERESINA (PI) VIA BC</v>
      </c>
      <c r="H762" s="125">
        <v>45918</v>
      </c>
      <c r="I762" s="1" t="s">
        <v>15</v>
      </c>
      <c r="J762" s="1">
        <v>25012</v>
      </c>
      <c r="K762" s="126">
        <v>0.89583333333333337</v>
      </c>
      <c r="L762" s="126">
        <v>0.91666666666666663</v>
      </c>
      <c r="M762" s="1" t="s">
        <v>36</v>
      </c>
      <c r="N762" s="1" t="s">
        <v>17</v>
      </c>
      <c r="O762" s="1" t="s">
        <v>132</v>
      </c>
      <c r="P762" s="1" t="s">
        <v>133</v>
      </c>
      <c r="Q762" s="1" t="s">
        <v>39</v>
      </c>
    </row>
    <row r="763" spans="3:17" x14ac:dyDescent="0.25">
      <c r="C763" s="1" t="str">
        <f>_xlfn.CONCAT(tabE.Flux[[#This Row],[DATA]],"+",tabE.Flux[[#This Row],[MOTORISTA + MATRÍCULA A]])</f>
        <v>45918+EDUARDO SANTOS BEZERRA - 4066</v>
      </c>
      <c r="D763" s="1" t="str">
        <f>_xlfn.CONCAT(tabE.Flux[[#This Row],[DATA]],"+",tabE.Flux[[#This Row],[MOTORISTA + MATRÍCULA B]])</f>
        <v>45918+MARCIO RODRIGUES DA COSTA - 5993</v>
      </c>
      <c r="E763" s="1" t="str">
        <f>_xlfn.CONCAT(tabE.Flux[[#This Row],[DATA]],"+",tabE.Flux[[#This Row],[MOTORISTA + MATRÍCULA A]],"+",tabE.Flux[[#This Row],[LINHA]])</f>
        <v>45918+EDUARDO SANTOS BEZERRA - 4066+GOIANIA (GO) X BELEM (PA)</v>
      </c>
      <c r="F763" s="1" t="str">
        <f>_xlfn.CONCAT(tabE.Flux[[#This Row],[DATA]],"+",tabE.Flux[[#This Row],[MOTORISTA + MATRÍCULA B]],"+",tabE.Flux[[#This Row],[LINHA]])</f>
        <v>45918+MARCIO RODRIGUES DA COSTA - 5993+GOIANIA (GO) X BELEM (PA)</v>
      </c>
      <c r="G763" s="1" t="str">
        <f>_xlfn.CONCAT(tabE.Flux[[#This Row],[DATA]],"+",tabE.Flux[[#This Row],[LINHA]])</f>
        <v>45918+GOIANIA (GO) X BELEM (PA)</v>
      </c>
      <c r="H763" s="125">
        <v>45918</v>
      </c>
      <c r="I763" s="1" t="s">
        <v>15</v>
      </c>
      <c r="J763" s="1">
        <v>25011</v>
      </c>
      <c r="K763" s="126">
        <v>0.76041666666666663</v>
      </c>
      <c r="L763" s="126">
        <v>0.77083333333333337</v>
      </c>
      <c r="M763" s="1" t="s">
        <v>33</v>
      </c>
      <c r="N763" s="1" t="s">
        <v>16</v>
      </c>
      <c r="O763" s="1" t="s">
        <v>148</v>
      </c>
      <c r="P763" s="1" t="s">
        <v>107</v>
      </c>
      <c r="Q763" s="1" t="s">
        <v>20</v>
      </c>
    </row>
    <row r="764" spans="3:17" x14ac:dyDescent="0.25">
      <c r="C764" s="1" t="str">
        <f>_xlfn.CONCAT(tabE.Flux[[#This Row],[DATA]],"+",tabE.Flux[[#This Row],[MOTORISTA + MATRÍCULA A]])</f>
        <v>45918+GILDEVAN DE ALMEIDA AGOSTINHO - 1924</v>
      </c>
      <c r="D764" s="1" t="str">
        <f>_xlfn.CONCAT(tabE.Flux[[#This Row],[DATA]],"+",tabE.Flux[[#This Row],[MOTORISTA + MATRÍCULA B]])</f>
        <v>45918+JOSE ALVES DA ROCHA - 5035</v>
      </c>
      <c r="E764" s="1" t="str">
        <f>_xlfn.CONCAT(tabE.Flux[[#This Row],[DATA]],"+",tabE.Flux[[#This Row],[MOTORISTA + MATRÍCULA A]],"+",tabE.Flux[[#This Row],[LINHA]])</f>
        <v>45918+GILDEVAN DE ALMEIDA AGOSTINHO - 1924+GOIANIA (GO) X BELEM (PA)</v>
      </c>
      <c r="F764" s="1" t="str">
        <f>_xlfn.CONCAT(tabE.Flux[[#This Row],[DATA]],"+",tabE.Flux[[#This Row],[MOTORISTA + MATRÍCULA B]],"+",tabE.Flux[[#This Row],[LINHA]])</f>
        <v>45918+JOSE ALVES DA ROCHA - 5035+GOIANIA (GO) X BELEM (PA)</v>
      </c>
      <c r="G764" s="1" t="str">
        <f>_xlfn.CONCAT(tabE.Flux[[#This Row],[DATA]],"+",tabE.Flux[[#This Row],[LINHA]])</f>
        <v>45918+GOIANIA (GO) X BELEM (PA)</v>
      </c>
      <c r="H764" s="125">
        <v>45918</v>
      </c>
      <c r="I764" s="1" t="s">
        <v>15</v>
      </c>
      <c r="J764" s="1">
        <v>24016</v>
      </c>
      <c r="K764" s="126">
        <v>0.76041666666666663</v>
      </c>
      <c r="L764" s="126">
        <v>0.82777777777777772</v>
      </c>
      <c r="M764" s="1" t="s">
        <v>16</v>
      </c>
      <c r="N764" s="1" t="s">
        <v>33</v>
      </c>
      <c r="O764" s="1" t="s">
        <v>236</v>
      </c>
      <c r="P764" s="1" t="s">
        <v>91</v>
      </c>
      <c r="Q764" s="1" t="s">
        <v>20</v>
      </c>
    </row>
    <row r="765" spans="3:17" x14ac:dyDescent="0.25">
      <c r="C765" s="1" t="str">
        <f>_xlfn.CONCAT(tabE.Flux[[#This Row],[DATA]],"+",tabE.Flux[[#This Row],[MOTORISTA + MATRÍCULA A]])</f>
        <v>45918+JEFFERSON CARDOSO DOS SANTOS - 5837</v>
      </c>
      <c r="D765" s="1" t="str">
        <f>_xlfn.CONCAT(tabE.Flux[[#This Row],[DATA]],"+",tabE.Flux[[#This Row],[MOTORISTA + MATRÍCULA B]])</f>
        <v>45918+EDIVALDO DE ARAUJO - 6217</v>
      </c>
      <c r="E765" s="1" t="str">
        <f>_xlfn.CONCAT(tabE.Flux[[#This Row],[DATA]],"+",tabE.Flux[[#This Row],[MOTORISTA + MATRÍCULA A]],"+",tabE.Flux[[#This Row],[LINHA]])</f>
        <v>45918+JEFFERSON CARDOSO DOS SANTOS - 5837+GOIANIA (GO) X SAO LUIS (MA)</v>
      </c>
      <c r="F765" s="1" t="str">
        <f>_xlfn.CONCAT(tabE.Flux[[#This Row],[DATA]],"+",tabE.Flux[[#This Row],[MOTORISTA + MATRÍCULA B]],"+",tabE.Flux[[#This Row],[LINHA]])</f>
        <v>45918+EDIVALDO DE ARAUJO - 6217+GOIANIA (GO) X SAO LUIS (MA)</v>
      </c>
      <c r="G765" s="1" t="str">
        <f>_xlfn.CONCAT(tabE.Flux[[#This Row],[DATA]],"+",tabE.Flux[[#This Row],[LINHA]])</f>
        <v>45918+GOIANIA (GO) X SAO LUIS (MA)</v>
      </c>
      <c r="H765" s="125">
        <v>45918</v>
      </c>
      <c r="I765" s="1" t="s">
        <v>15</v>
      </c>
      <c r="J765" s="1">
        <v>19024</v>
      </c>
      <c r="K765" s="126">
        <v>0.40763888888888888</v>
      </c>
      <c r="L765" s="126">
        <v>0.47013888888888888</v>
      </c>
      <c r="M765" s="1" t="s">
        <v>16</v>
      </c>
      <c r="N765" s="1" t="s">
        <v>42</v>
      </c>
      <c r="O765" s="1" t="s">
        <v>30</v>
      </c>
      <c r="P765" s="1" t="s">
        <v>55</v>
      </c>
      <c r="Q765" s="1" t="s">
        <v>23</v>
      </c>
    </row>
    <row r="766" spans="3:17" x14ac:dyDescent="0.25">
      <c r="C766" s="1" t="str">
        <f>_xlfn.CONCAT(tabE.Flux[[#This Row],[DATA]],"+",tabE.Flux[[#This Row],[MOTORISTA + MATRÍCULA A]])</f>
        <v>45918+CANCELADO</v>
      </c>
      <c r="D766" s="1" t="str">
        <f>_xlfn.CONCAT(tabE.Flux[[#This Row],[DATA]],"+",tabE.Flux[[#This Row],[MOTORISTA + MATRÍCULA B]])</f>
        <v>45918+CANCELADO</v>
      </c>
      <c r="E766" s="1" t="str">
        <f>_xlfn.CONCAT(tabE.Flux[[#This Row],[DATA]],"+",tabE.Flux[[#This Row],[MOTORISTA + MATRÍCULA A]],"+",tabE.Flux[[#This Row],[LINHA]])</f>
        <v>45918+CANCELADO+IMPERATRIZ (MA) X SÃO LUIS (MA)</v>
      </c>
      <c r="F766" s="1" t="str">
        <f>_xlfn.CONCAT(tabE.Flux[[#This Row],[DATA]],"+",tabE.Flux[[#This Row],[MOTORISTA + MATRÍCULA B]],"+",tabE.Flux[[#This Row],[LINHA]])</f>
        <v>45918+CANCELADO+IMPERATRIZ (MA) X SÃO LUIS (MA)</v>
      </c>
      <c r="G766" s="1" t="str">
        <f>_xlfn.CONCAT(tabE.Flux[[#This Row],[DATA]],"+",tabE.Flux[[#This Row],[LINHA]])</f>
        <v>45918+IMPERATRIZ (MA) X SÃO LUIS (MA)</v>
      </c>
      <c r="H766" s="125">
        <v>45918</v>
      </c>
      <c r="I766" s="1" t="s">
        <v>15</v>
      </c>
      <c r="J766" s="1" t="s">
        <v>27</v>
      </c>
      <c r="K766" s="126">
        <v>0.77083333333333337</v>
      </c>
      <c r="L766" s="126">
        <v>0.8125</v>
      </c>
      <c r="M766" s="1" t="s">
        <v>16</v>
      </c>
      <c r="N766" s="1" t="s">
        <v>42</v>
      </c>
      <c r="O766" s="1" t="s">
        <v>27</v>
      </c>
      <c r="P766" s="1" t="s">
        <v>27</v>
      </c>
      <c r="Q766" s="1" t="s">
        <v>47</v>
      </c>
    </row>
    <row r="767" spans="3:17" x14ac:dyDescent="0.25">
      <c r="C767" s="1" t="str">
        <f>_xlfn.CONCAT(tabE.Flux[[#This Row],[DATA]],"+",tabE.Flux[[#This Row],[MOTORISTA + MATRÍCULA A]])</f>
        <v>45918+ANTONIO MARQUES NETO DOS SANTOS - 1738</v>
      </c>
      <c r="D767" s="1" t="str">
        <f>_xlfn.CONCAT(tabE.Flux[[#This Row],[DATA]],"+",tabE.Flux[[#This Row],[MOTORISTA + MATRÍCULA B]])</f>
        <v>45918+PAULO ENEAS FARIAS ARAUJO - 6218</v>
      </c>
      <c r="E767" s="1" t="str">
        <f>_xlfn.CONCAT(tabE.Flux[[#This Row],[DATA]],"+",tabE.Flux[[#This Row],[MOTORISTA + MATRÍCULA A]],"+",tabE.Flux[[#This Row],[LINHA]])</f>
        <v>45918+ANTONIO MARQUES NETO DOS SANTOS - 1738+GOIANIA (GO) X SAO LUIS (MA)</v>
      </c>
      <c r="F767" s="1" t="str">
        <f>_xlfn.CONCAT(tabE.Flux[[#This Row],[DATA]],"+",tabE.Flux[[#This Row],[MOTORISTA + MATRÍCULA B]],"+",tabE.Flux[[#This Row],[LINHA]])</f>
        <v>45918+PAULO ENEAS FARIAS ARAUJO - 6218+GOIANIA (GO) X SAO LUIS (MA)</v>
      </c>
      <c r="G767" s="1" t="str">
        <f>_xlfn.CONCAT(tabE.Flux[[#This Row],[DATA]],"+",tabE.Flux[[#This Row],[LINHA]])</f>
        <v>45918+GOIANIA (GO) X SAO LUIS (MA)</v>
      </c>
      <c r="H767" s="125">
        <v>45918</v>
      </c>
      <c r="I767" s="1" t="s">
        <v>15</v>
      </c>
      <c r="J767" s="1">
        <v>24014</v>
      </c>
      <c r="K767" s="126">
        <v>0.8125</v>
      </c>
      <c r="L767" s="126">
        <v>0.84375</v>
      </c>
      <c r="M767" s="1" t="s">
        <v>16</v>
      </c>
      <c r="N767" s="1" t="s">
        <v>42</v>
      </c>
      <c r="O767" s="1" t="s">
        <v>73</v>
      </c>
      <c r="P767" s="1" t="s">
        <v>43</v>
      </c>
      <c r="Q767" s="1" t="s">
        <v>23</v>
      </c>
    </row>
    <row r="768" spans="3:17" x14ac:dyDescent="0.25">
      <c r="C768" s="1" t="str">
        <f>_xlfn.CONCAT(tabE.Flux[[#This Row],[DATA]],"+",tabE.Flux[[#This Row],[MOTORISTA + MATRÍCULA A]])</f>
        <v>45918+JERZUALDO DA SILVA GOMES - 4077</v>
      </c>
      <c r="D768" s="1" t="str">
        <f>_xlfn.CONCAT(tabE.Flux[[#This Row],[DATA]],"+",tabE.Flux[[#This Row],[MOTORISTA + MATRÍCULA B]])</f>
        <v>45918+FRANCISCO DAS CHAGAS DOS SANTOS ANGELO - 5299</v>
      </c>
      <c r="E768" s="1" t="str">
        <f>_xlfn.CONCAT(tabE.Flux[[#This Row],[DATA]],"+",tabE.Flux[[#This Row],[MOTORISTA + MATRÍCULA A]],"+",tabE.Flux[[#This Row],[LINHA]])</f>
        <v>45918+JERZUALDO DA SILVA GOMES - 4077+GOIANIA (GO) X TERESINA (PI) VIA STI</v>
      </c>
      <c r="F768" s="1" t="str">
        <f>_xlfn.CONCAT(tabE.Flux[[#This Row],[DATA]],"+",tabE.Flux[[#This Row],[MOTORISTA + MATRÍCULA B]],"+",tabE.Flux[[#This Row],[LINHA]])</f>
        <v>45918+FRANCISCO DAS CHAGAS DOS SANTOS ANGELO - 5299+GOIANIA (GO) X TERESINA (PI) VIA STI</v>
      </c>
      <c r="G768" s="1" t="str">
        <f>_xlfn.CONCAT(tabE.Flux[[#This Row],[DATA]],"+",tabE.Flux[[#This Row],[LINHA]])</f>
        <v>45918+GOIANIA (GO) X TERESINA (PI) VIA STI</v>
      </c>
      <c r="H768" s="125">
        <v>45918</v>
      </c>
      <c r="I768" s="1" t="s">
        <v>15</v>
      </c>
      <c r="J768" s="1">
        <v>19014</v>
      </c>
      <c r="K768" s="126">
        <v>0.77083333333333337</v>
      </c>
      <c r="L768" s="126">
        <v>0.79861111111111116</v>
      </c>
      <c r="M768" s="1" t="s">
        <v>16</v>
      </c>
      <c r="N768" s="1" t="s">
        <v>29</v>
      </c>
      <c r="O768" s="1" t="s">
        <v>130</v>
      </c>
      <c r="P768" s="1" t="s">
        <v>198</v>
      </c>
      <c r="Q768" s="1" t="s">
        <v>26</v>
      </c>
    </row>
    <row r="769" spans="3:17" x14ac:dyDescent="0.25">
      <c r="C769" s="1" t="str">
        <f>_xlfn.CONCAT(tabE.Flux[[#This Row],[DATA]],"+",tabE.Flux[[#This Row],[MOTORISTA + MATRÍCULA A]])</f>
        <v>45918+LUIZ CARLOS DE ARAUJO - 1960</v>
      </c>
      <c r="D769" s="1" t="str">
        <f>_xlfn.CONCAT(tabE.Flux[[#This Row],[DATA]],"+",tabE.Flux[[#This Row],[MOTORISTA + MATRÍCULA B]])</f>
        <v>45918+LUIZ CARLOS GOMES DA SILVA - 1961</v>
      </c>
      <c r="E769" s="1" t="str">
        <f>_xlfn.CONCAT(tabE.Flux[[#This Row],[DATA]],"+",tabE.Flux[[#This Row],[MOTORISTA + MATRÍCULA A]],"+",tabE.Flux[[#This Row],[LINHA]])</f>
        <v>45918+LUIZ CARLOS DE ARAUJO - 1960+GOIANIA (GO) X SAO LUIS (MA)</v>
      </c>
      <c r="F769" s="1" t="str">
        <f>_xlfn.CONCAT(tabE.Flux[[#This Row],[DATA]],"+",tabE.Flux[[#This Row],[MOTORISTA + MATRÍCULA B]],"+",tabE.Flux[[#This Row],[LINHA]])</f>
        <v>45918+LUIZ CARLOS GOMES DA SILVA - 1961+GOIANIA (GO) X SAO LUIS (MA)</v>
      </c>
      <c r="G769" s="1" t="str">
        <f>_xlfn.CONCAT(tabE.Flux[[#This Row],[DATA]],"+",tabE.Flux[[#This Row],[LINHA]])</f>
        <v>45918+GOIANIA (GO) X SAO LUIS (MA)</v>
      </c>
      <c r="H769" s="125">
        <v>45918</v>
      </c>
      <c r="I769" s="1" t="s">
        <v>15</v>
      </c>
      <c r="J769" s="1">
        <v>19017</v>
      </c>
      <c r="K769" s="126">
        <v>0.8125</v>
      </c>
      <c r="L769" s="126">
        <v>0.84166666666666667</v>
      </c>
      <c r="M769" s="1" t="s">
        <v>16</v>
      </c>
      <c r="N769" s="1" t="s">
        <v>17</v>
      </c>
      <c r="O769" s="1" t="s">
        <v>24</v>
      </c>
      <c r="P769" s="1" t="s">
        <v>25</v>
      </c>
      <c r="Q769" s="1" t="s">
        <v>23</v>
      </c>
    </row>
    <row r="770" spans="3:17" x14ac:dyDescent="0.25">
      <c r="C770" s="1" t="str">
        <f>_xlfn.CONCAT(tabE.Flux[[#This Row],[DATA]],"+",tabE.Flux[[#This Row],[MOTORISTA + MATRÍCULA A]])</f>
        <v>45918+RONALDO MANOEL TEIXEIRA - 5308</v>
      </c>
      <c r="D770" s="1" t="str">
        <f>_xlfn.CONCAT(tabE.Flux[[#This Row],[DATA]],"+",tabE.Flux[[#This Row],[MOTORISTA + MATRÍCULA B]])</f>
        <v>45918+CLEYTON CEZAR DA SILVA - 5741</v>
      </c>
      <c r="E770" s="1" t="str">
        <f>_xlfn.CONCAT(tabE.Flux[[#This Row],[DATA]],"+",tabE.Flux[[#This Row],[MOTORISTA + MATRÍCULA A]],"+",tabE.Flux[[#This Row],[LINHA]])</f>
        <v>45918+RONALDO MANOEL TEIXEIRA - 5308+FORTALEZA (CE) X SINOP (MT)</v>
      </c>
      <c r="F770" s="1" t="str">
        <f>_xlfn.CONCAT(tabE.Flux[[#This Row],[DATA]],"+",tabE.Flux[[#This Row],[MOTORISTA + MATRÍCULA B]],"+",tabE.Flux[[#This Row],[LINHA]])</f>
        <v>45918+CLEYTON CEZAR DA SILVA - 5741+FORTALEZA (CE) X SINOP (MT)</v>
      </c>
      <c r="G770" s="1" t="str">
        <f>_xlfn.CONCAT(tabE.Flux[[#This Row],[DATA]],"+",tabE.Flux[[#This Row],[LINHA]])</f>
        <v>45918+FORTALEZA (CE) X SINOP (MT)</v>
      </c>
      <c r="H770" s="125">
        <v>45918</v>
      </c>
      <c r="I770" s="1" t="s">
        <v>15</v>
      </c>
      <c r="J770" s="1">
        <v>20016</v>
      </c>
      <c r="K770" s="126">
        <v>0.8125</v>
      </c>
      <c r="L770" s="126">
        <v>0.85416666666666663</v>
      </c>
      <c r="M770" s="1" t="s">
        <v>16</v>
      </c>
      <c r="N770" s="1" t="s">
        <v>17</v>
      </c>
      <c r="O770" s="1" t="s">
        <v>220</v>
      </c>
      <c r="P770" s="1" t="s">
        <v>155</v>
      </c>
      <c r="Q770" s="1" t="s">
        <v>32</v>
      </c>
    </row>
    <row r="771" spans="3:17" x14ac:dyDescent="0.25">
      <c r="C771" s="1" t="str">
        <f>_xlfn.CONCAT(tabE.Flux[[#This Row],[DATA]],"+",tabE.Flux[[#This Row],[MOTORISTA + MATRÍCULA A]])</f>
        <v>45918+VALDIR ALVES MIRANDA - 1364</v>
      </c>
      <c r="D771" s="1" t="str">
        <f>_xlfn.CONCAT(tabE.Flux[[#This Row],[DATA]],"+",tabE.Flux[[#This Row],[MOTORISTA + MATRÍCULA B]])</f>
        <v>45918+JUSCELINO PIRES GONCALVES - 1343</v>
      </c>
      <c r="E771" s="1" t="str">
        <f>_xlfn.CONCAT(tabE.Flux[[#This Row],[DATA]],"+",tabE.Flux[[#This Row],[MOTORISTA + MATRÍCULA A]],"+",tabE.Flux[[#This Row],[LINHA]])</f>
        <v>45918+VALDIR ALVES MIRANDA - 1364+GOIANIA (GO) X BELEM (PA)</v>
      </c>
      <c r="F771" s="1" t="str">
        <f>_xlfn.CONCAT(tabE.Flux[[#This Row],[DATA]],"+",tabE.Flux[[#This Row],[MOTORISTA + MATRÍCULA B]],"+",tabE.Flux[[#This Row],[LINHA]])</f>
        <v>45918+JUSCELINO PIRES GONCALVES - 1343+GOIANIA (GO) X BELEM (PA)</v>
      </c>
      <c r="G771" s="1" t="str">
        <f>_xlfn.CONCAT(tabE.Flux[[#This Row],[DATA]],"+",tabE.Flux[[#This Row],[LINHA]])</f>
        <v>45918+GOIANIA (GO) X BELEM (PA)</v>
      </c>
      <c r="H771" s="125">
        <v>45918</v>
      </c>
      <c r="I771" s="1" t="s">
        <v>15</v>
      </c>
      <c r="J771" s="1">
        <v>19009</v>
      </c>
      <c r="K771" s="126">
        <v>0.84722222222222221</v>
      </c>
      <c r="L771" s="126">
        <v>0.87847222222222221</v>
      </c>
      <c r="M771" s="1" t="s">
        <v>16</v>
      </c>
      <c r="N771" s="1" t="s">
        <v>17</v>
      </c>
      <c r="O771" s="1" t="s">
        <v>118</v>
      </c>
      <c r="P771" s="1" t="s">
        <v>138</v>
      </c>
      <c r="Q771" s="1" t="s">
        <v>20</v>
      </c>
    </row>
    <row r="772" spans="3:17" x14ac:dyDescent="0.25">
      <c r="C772" s="1" t="str">
        <f>_xlfn.CONCAT(tabE.Flux[[#This Row],[DATA]],"+",tabE.Flux[[#This Row],[MOTORISTA + MATRÍCULA A]])</f>
        <v>+</v>
      </c>
      <c r="D772" s="1" t="str">
        <f>_xlfn.CONCAT(tabE.Flux[[#This Row],[DATA]],"+",tabE.Flux[[#This Row],[MOTORISTA + MATRÍCULA B]])</f>
        <v>+</v>
      </c>
      <c r="E772" s="1" t="str">
        <f>_xlfn.CONCAT(tabE.Flux[[#This Row],[DATA]],"+",tabE.Flux[[#This Row],[MOTORISTA + MATRÍCULA A]],"+",tabE.Flux[[#This Row],[LINHA]])</f>
        <v>++</v>
      </c>
      <c r="F772" s="1" t="str">
        <f>_xlfn.CONCAT(tabE.Flux[[#This Row],[DATA]],"+",tabE.Flux[[#This Row],[MOTORISTA + MATRÍCULA B]],"+",tabE.Flux[[#This Row],[LINHA]])</f>
        <v>++</v>
      </c>
      <c r="G772" s="1" t="str">
        <f>_xlfn.CONCAT(tabE.Flux[[#This Row],[DATA]],"+",tabE.Flux[[#This Row],[LINHA]])</f>
        <v>+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3:17" x14ac:dyDescent="0.25">
      <c r="C773" s="1" t="str">
        <f>_xlfn.CONCAT(tabE.Flux[[#This Row],[DATA]],"+",tabE.Flux[[#This Row],[MOTORISTA + MATRÍCULA A]])</f>
        <v>45919+RICARDO VIEIRA GERVASIO - 5297</v>
      </c>
      <c r="D773" s="1" t="str">
        <f>_xlfn.CONCAT(tabE.Flux[[#This Row],[DATA]],"+",tabE.Flux[[#This Row],[MOTORISTA + MATRÍCULA B]])</f>
        <v>45919+JOSE ATAZ QUINTINO - 6048</v>
      </c>
      <c r="E773" s="1" t="str">
        <f>_xlfn.CONCAT(tabE.Flux[[#This Row],[DATA]],"+",tabE.Flux[[#This Row],[MOTORISTA + MATRÍCULA A]],"+",tabE.Flux[[#This Row],[LINHA]])</f>
        <v>45919+RICARDO VIEIRA GERVASIO - 5297+GOIANIA (GO) X BELEM (PA)</v>
      </c>
      <c r="F773" s="1" t="str">
        <f>_xlfn.CONCAT(tabE.Flux[[#This Row],[DATA]],"+",tabE.Flux[[#This Row],[MOTORISTA + MATRÍCULA B]],"+",tabE.Flux[[#This Row],[LINHA]])</f>
        <v>45919+JOSE ATAZ QUINTINO - 6048+GOIANIA (GO) X BELEM (PA)</v>
      </c>
      <c r="G773" s="1" t="str">
        <f>_xlfn.CONCAT(tabE.Flux[[#This Row],[DATA]],"+",tabE.Flux[[#This Row],[LINHA]])</f>
        <v>45919+GOIANIA (GO) X BELEM (PA)</v>
      </c>
      <c r="H773" s="125">
        <v>45919</v>
      </c>
      <c r="I773" s="1" t="s">
        <v>15</v>
      </c>
      <c r="J773" s="1">
        <v>25011</v>
      </c>
      <c r="K773" s="126">
        <v>0.25486111111111109</v>
      </c>
      <c r="L773" s="126">
        <v>0.3</v>
      </c>
      <c r="M773" s="1" t="s">
        <v>16</v>
      </c>
      <c r="N773" s="1" t="s">
        <v>17</v>
      </c>
      <c r="O773" s="1" t="s">
        <v>203</v>
      </c>
      <c r="P773" s="1" t="s">
        <v>202</v>
      </c>
      <c r="Q773" s="1" t="s">
        <v>20</v>
      </c>
    </row>
    <row r="774" spans="3:17" x14ac:dyDescent="0.25">
      <c r="C774" s="1" t="str">
        <f>_xlfn.CONCAT(tabE.Flux[[#This Row],[DATA]],"+",tabE.Flux[[#This Row],[MOTORISTA + MATRÍCULA A]])</f>
        <v>45919+MAURICIO CARLOS BARROSO - 901</v>
      </c>
      <c r="D774" s="1" t="str">
        <f>_xlfn.CONCAT(tabE.Flux[[#This Row],[DATA]],"+",tabE.Flux[[#This Row],[MOTORISTA + MATRÍCULA B]])</f>
        <v>45919+JOSE CARLOS DA SILVA - 979</v>
      </c>
      <c r="E774" s="1" t="str">
        <f>_xlfn.CONCAT(tabE.Flux[[#This Row],[DATA]],"+",tabE.Flux[[#This Row],[MOTORISTA + MATRÍCULA A]],"+",tabE.Flux[[#This Row],[LINHA]])</f>
        <v>45919+MAURICIO CARLOS BARROSO - 901+GOIANIA (GO) X SAO LUIS (MA)</v>
      </c>
      <c r="F774" s="1" t="str">
        <f>_xlfn.CONCAT(tabE.Flux[[#This Row],[DATA]],"+",tabE.Flux[[#This Row],[MOTORISTA + MATRÍCULA B]],"+",tabE.Flux[[#This Row],[LINHA]])</f>
        <v>45919+JOSE CARLOS DA SILVA - 979+GOIANIA (GO) X SAO LUIS (MA)</v>
      </c>
      <c r="G774" s="1" t="str">
        <f>_xlfn.CONCAT(tabE.Flux[[#This Row],[DATA]],"+",tabE.Flux[[#This Row],[LINHA]])</f>
        <v>45919+GOIANIA (GO) X SAO LUIS (MA)</v>
      </c>
      <c r="H774" s="125">
        <v>45919</v>
      </c>
      <c r="I774" s="1" t="s">
        <v>15</v>
      </c>
      <c r="J774" s="1">
        <v>24003</v>
      </c>
      <c r="K774" s="126">
        <v>0.32291666666666669</v>
      </c>
      <c r="L774" s="126">
        <v>0.33333333333333331</v>
      </c>
      <c r="M774" s="1" t="s">
        <v>16</v>
      </c>
      <c r="N774" s="1" t="s">
        <v>17</v>
      </c>
      <c r="O774" s="1" t="s">
        <v>241</v>
      </c>
      <c r="P774" s="1" t="s">
        <v>228</v>
      </c>
      <c r="Q774" s="1" t="s">
        <v>23</v>
      </c>
    </row>
    <row r="775" spans="3:17" x14ac:dyDescent="0.25">
      <c r="C775" s="1" t="str">
        <f>_xlfn.CONCAT(tabE.Flux[[#This Row],[DATA]],"+",tabE.Flux[[#This Row],[MOTORISTA + MATRÍCULA A]])</f>
        <v>45919+RAIMUNDO FERNANDES RIBEIRO - 907</v>
      </c>
      <c r="D775" s="1" t="str">
        <f>_xlfn.CONCAT(tabE.Flux[[#This Row],[DATA]],"+",tabE.Flux[[#This Row],[MOTORISTA + MATRÍCULA B]])</f>
        <v>45919+WOLNEY EDUARDO DE OLIVEIRA - 5607</v>
      </c>
      <c r="E775" s="1" t="str">
        <f>_xlfn.CONCAT(tabE.Flux[[#This Row],[DATA]],"+",tabE.Flux[[#This Row],[MOTORISTA + MATRÍCULA A]],"+",tabE.Flux[[#This Row],[LINHA]])</f>
        <v>45919+RAIMUNDO FERNANDES RIBEIRO - 907+GOIANIA (GO) X TERESINA (PI) VIA STI</v>
      </c>
      <c r="F775" s="1" t="str">
        <f>_xlfn.CONCAT(tabE.Flux[[#This Row],[DATA]],"+",tabE.Flux[[#This Row],[MOTORISTA + MATRÍCULA B]],"+",tabE.Flux[[#This Row],[LINHA]])</f>
        <v>45919+WOLNEY EDUARDO DE OLIVEIRA - 5607+GOIANIA (GO) X TERESINA (PI) VIA STI</v>
      </c>
      <c r="G775" s="1" t="str">
        <f>_xlfn.CONCAT(tabE.Flux[[#This Row],[DATA]],"+",tabE.Flux[[#This Row],[LINHA]])</f>
        <v>45919+GOIANIA (GO) X TERESINA (PI) VIA STI</v>
      </c>
      <c r="H775" s="125">
        <v>45919</v>
      </c>
      <c r="I775" s="1" t="s">
        <v>15</v>
      </c>
      <c r="J775" s="1">
        <v>17000</v>
      </c>
      <c r="K775" s="126">
        <v>0.3888888888888889</v>
      </c>
      <c r="L775" s="126">
        <v>0.39583333333333331</v>
      </c>
      <c r="M775" s="1" t="s">
        <v>16</v>
      </c>
      <c r="N775" s="1" t="s">
        <v>17</v>
      </c>
      <c r="O775" s="1" t="s">
        <v>143</v>
      </c>
      <c r="P775" s="1" t="s">
        <v>200</v>
      </c>
      <c r="Q775" s="1" t="s">
        <v>26</v>
      </c>
    </row>
    <row r="776" spans="3:17" x14ac:dyDescent="0.25">
      <c r="C776" s="1" t="str">
        <f>_xlfn.CONCAT(tabE.Flux[[#This Row],[DATA]],"+",tabE.Flux[[#This Row],[MOTORISTA + MATRÍCULA A]])</f>
        <v>45919+CANCELADO</v>
      </c>
      <c r="D776" s="1" t="str">
        <f>_xlfn.CONCAT(tabE.Flux[[#This Row],[DATA]],"+",tabE.Flux[[#This Row],[MOTORISTA + MATRÍCULA B]])</f>
        <v>45919+CANCELADO</v>
      </c>
      <c r="E776" s="1" t="str">
        <f>_xlfn.CONCAT(tabE.Flux[[#This Row],[DATA]],"+",tabE.Flux[[#This Row],[MOTORISTA + MATRÍCULA A]],"+",tabE.Flux[[#This Row],[LINHA]])</f>
        <v>45919+CANCELADO+</v>
      </c>
      <c r="F776" s="1" t="str">
        <f>_xlfn.CONCAT(tabE.Flux[[#This Row],[DATA]],"+",tabE.Flux[[#This Row],[MOTORISTA + MATRÍCULA B]],"+",tabE.Flux[[#This Row],[LINHA]])</f>
        <v>45919+CANCELADO+</v>
      </c>
      <c r="G776" s="1" t="str">
        <f>_xlfn.CONCAT(tabE.Flux[[#This Row],[DATA]],"+",tabE.Flux[[#This Row],[LINHA]])</f>
        <v>45919+</v>
      </c>
      <c r="H776" s="125">
        <v>45919</v>
      </c>
      <c r="I776" s="1" t="s">
        <v>15</v>
      </c>
      <c r="J776" s="1" t="s">
        <v>27</v>
      </c>
      <c r="K776" s="126">
        <v>0.375</v>
      </c>
      <c r="L776" s="126">
        <v>0.41666666666666669</v>
      </c>
      <c r="M776" s="1" t="s">
        <v>16</v>
      </c>
      <c r="N776" s="1" t="s">
        <v>28</v>
      </c>
      <c r="O776" s="1" t="s">
        <v>27</v>
      </c>
      <c r="P776" s="1" t="s">
        <v>27</v>
      </c>
      <c r="Q776" s="1"/>
    </row>
    <row r="777" spans="3:17" x14ac:dyDescent="0.25">
      <c r="C777" s="1" t="str">
        <f>_xlfn.CONCAT(tabE.Flux[[#This Row],[DATA]],"+",tabE.Flux[[#This Row],[MOTORISTA + MATRÍCULA A]])</f>
        <v>45919+ANDSON WAGNER NASCIMENTO SOUZA - 2902</v>
      </c>
      <c r="D777" s="1" t="str">
        <f>_xlfn.CONCAT(tabE.Flux[[#This Row],[DATA]],"+",tabE.Flux[[#This Row],[MOTORISTA + MATRÍCULA B]])</f>
        <v>45919+PAULO MORAES DOS SANTOS - 1534</v>
      </c>
      <c r="E777" s="1" t="str">
        <f>_xlfn.CONCAT(tabE.Flux[[#This Row],[DATA]],"+",tabE.Flux[[#This Row],[MOTORISTA + MATRÍCULA A]],"+",tabE.Flux[[#This Row],[LINHA]])</f>
        <v>45919+ANDSON WAGNER NASCIMENTO SOUZA - 2902+FORTALEZA (CE) X SINOP (MT)</v>
      </c>
      <c r="F777" s="1" t="str">
        <f>_xlfn.CONCAT(tabE.Flux[[#This Row],[DATA]],"+",tabE.Flux[[#This Row],[MOTORISTA + MATRÍCULA B]],"+",tabE.Flux[[#This Row],[LINHA]])</f>
        <v>45919+PAULO MORAES DOS SANTOS - 1534+FORTALEZA (CE) X SINOP (MT)</v>
      </c>
      <c r="G777" s="1" t="str">
        <f>_xlfn.CONCAT(tabE.Flux[[#This Row],[DATA]],"+",tabE.Flux[[#This Row],[LINHA]])</f>
        <v>45919+FORTALEZA (CE) X SINOP (MT)</v>
      </c>
      <c r="H777" s="125">
        <v>45919</v>
      </c>
      <c r="I777" s="1" t="s">
        <v>15</v>
      </c>
      <c r="J777" s="1">
        <v>19018</v>
      </c>
      <c r="K777" s="126">
        <v>0.3888888888888889</v>
      </c>
      <c r="L777" s="126">
        <v>0.37708333333333333</v>
      </c>
      <c r="M777" s="1" t="s">
        <v>16</v>
      </c>
      <c r="N777" s="1" t="s">
        <v>29</v>
      </c>
      <c r="O777" s="1" t="s">
        <v>232</v>
      </c>
      <c r="P777" s="1" t="s">
        <v>225</v>
      </c>
      <c r="Q777" s="1" t="s">
        <v>32</v>
      </c>
    </row>
    <row r="778" spans="3:17" x14ac:dyDescent="0.25">
      <c r="C778" s="1" t="str">
        <f>_xlfn.CONCAT(tabE.Flux[[#This Row],[DATA]],"+",tabE.Flux[[#This Row],[MOTORISTA + MATRÍCULA A]])</f>
        <v>45919+WESLEY SILVA PAIVA - 5638</v>
      </c>
      <c r="D778" s="1" t="str">
        <f>_xlfn.CONCAT(tabE.Flux[[#This Row],[DATA]],"+",tabE.Flux[[#This Row],[MOTORISTA + MATRÍCULA B]])</f>
        <v>45919+ANTONIO RAMIRO WEBER - 5452</v>
      </c>
      <c r="E778" s="1" t="str">
        <f>_xlfn.CONCAT(tabE.Flux[[#This Row],[DATA]],"+",tabE.Flux[[#This Row],[MOTORISTA + MATRÍCULA A]],"+",tabE.Flux[[#This Row],[LINHA]])</f>
        <v>45919+WESLEY SILVA PAIVA - 5638+GOIANIA (GO) X BELEM (PA)</v>
      </c>
      <c r="F778" s="1" t="str">
        <f>_xlfn.CONCAT(tabE.Flux[[#This Row],[DATA]],"+",tabE.Flux[[#This Row],[MOTORISTA + MATRÍCULA B]],"+",tabE.Flux[[#This Row],[LINHA]])</f>
        <v>45919+ANTONIO RAMIRO WEBER - 5452+GOIANIA (GO) X BELEM (PA)</v>
      </c>
      <c r="G778" s="1" t="str">
        <f>_xlfn.CONCAT(tabE.Flux[[#This Row],[DATA]],"+",tabE.Flux[[#This Row],[LINHA]])</f>
        <v>45919+GOIANIA (GO) X BELEM (PA)</v>
      </c>
      <c r="H778" s="125">
        <v>45919</v>
      </c>
      <c r="I778" s="1" t="s">
        <v>15</v>
      </c>
      <c r="J778" s="1">
        <v>19002</v>
      </c>
      <c r="K778" s="126">
        <v>0.38958333333333334</v>
      </c>
      <c r="L778" s="126">
        <v>0.38541666666666669</v>
      </c>
      <c r="M778" s="1" t="s">
        <v>16</v>
      </c>
      <c r="N778" s="1" t="s">
        <v>33</v>
      </c>
      <c r="O778" s="1" t="s">
        <v>112</v>
      </c>
      <c r="P778" s="1" t="s">
        <v>79</v>
      </c>
      <c r="Q778" s="1" t="s">
        <v>20</v>
      </c>
    </row>
    <row r="779" spans="3:17" x14ac:dyDescent="0.25">
      <c r="C779" s="1" t="str">
        <f>_xlfn.CONCAT(tabE.Flux[[#This Row],[DATA]],"+",tabE.Flux[[#This Row],[MOTORISTA + MATRÍCULA A]])</f>
        <v>45919+KLEBSON ALVES FREIRES - 3060</v>
      </c>
      <c r="D779" s="1" t="str">
        <f>_xlfn.CONCAT(tabE.Flux[[#This Row],[DATA]],"+",tabE.Flux[[#This Row],[MOTORISTA + MATRÍCULA B]])</f>
        <v>45919+GILDEAN LEAL TEIXEIRA - 5649</v>
      </c>
      <c r="E779" s="1" t="str">
        <f>_xlfn.CONCAT(tabE.Flux[[#This Row],[DATA]],"+",tabE.Flux[[#This Row],[MOTORISTA + MATRÍCULA A]],"+",tabE.Flux[[#This Row],[LINHA]])</f>
        <v>45919+KLEBSON ALVES FREIRES - 3060+GOIANIA (GO) X TERESINA (PI) VIA BC</v>
      </c>
      <c r="F779" s="1" t="str">
        <f>_xlfn.CONCAT(tabE.Flux[[#This Row],[DATA]],"+",tabE.Flux[[#This Row],[MOTORISTA + MATRÍCULA B]],"+",tabE.Flux[[#This Row],[LINHA]])</f>
        <v>45919+GILDEAN LEAL TEIXEIRA - 5649+GOIANIA (GO) X TERESINA (PI) VIA BC</v>
      </c>
      <c r="G779" s="1" t="str">
        <f>_xlfn.CONCAT(tabE.Flux[[#This Row],[DATA]],"+",tabE.Flux[[#This Row],[LINHA]])</f>
        <v>45919+GOIANIA (GO) X TERESINA (PI) VIA BC</v>
      </c>
      <c r="H779" s="125">
        <v>45919</v>
      </c>
      <c r="I779" s="1" t="s">
        <v>15</v>
      </c>
      <c r="J779" s="1">
        <v>25009</v>
      </c>
      <c r="K779" s="126">
        <v>0.375</v>
      </c>
      <c r="L779" s="126">
        <v>0.39930555555555558</v>
      </c>
      <c r="M779" s="1" t="s">
        <v>36</v>
      </c>
      <c r="N779" s="1" t="s">
        <v>29</v>
      </c>
      <c r="O779" s="1" t="s">
        <v>161</v>
      </c>
      <c r="P779" s="1" t="s">
        <v>149</v>
      </c>
      <c r="Q779" s="1" t="s">
        <v>39</v>
      </c>
    </row>
    <row r="780" spans="3:17" x14ac:dyDescent="0.25">
      <c r="C780" s="1" t="str">
        <f>_xlfn.CONCAT(tabE.Flux[[#This Row],[DATA]],"+",tabE.Flux[[#This Row],[MOTORISTA + MATRÍCULA A]])</f>
        <v>45919+FABIO MOREIRA DOS SANTOS - 3073</v>
      </c>
      <c r="D780" s="1" t="str">
        <f>_xlfn.CONCAT(tabE.Flux[[#This Row],[DATA]],"+",tabE.Flux[[#This Row],[MOTORISTA + MATRÍCULA B]])</f>
        <v>45919+ESIEL COSTA RODRIGUES - 1749</v>
      </c>
      <c r="E780" s="1" t="str">
        <f>_xlfn.CONCAT(tabE.Flux[[#This Row],[DATA]],"+",tabE.Flux[[#This Row],[MOTORISTA + MATRÍCULA A]],"+",tabE.Flux[[#This Row],[LINHA]])</f>
        <v>45919+FABIO MOREIRA DOS SANTOS - 3073+GOIANIA (GO) X BELEM (PA)</v>
      </c>
      <c r="F780" s="1" t="str">
        <f>_xlfn.CONCAT(tabE.Flux[[#This Row],[DATA]],"+",tabE.Flux[[#This Row],[MOTORISTA + MATRÍCULA B]],"+",tabE.Flux[[#This Row],[LINHA]])</f>
        <v>45919+ESIEL COSTA RODRIGUES - 1749+GOIANIA (GO) X BELEM (PA)</v>
      </c>
      <c r="G780" s="1" t="str">
        <f>_xlfn.CONCAT(tabE.Flux[[#This Row],[DATA]],"+",tabE.Flux[[#This Row],[LINHA]])</f>
        <v>45919+GOIANIA (GO) X BELEM (PA)</v>
      </c>
      <c r="H780" s="125">
        <v>45919</v>
      </c>
      <c r="I780" s="1" t="s">
        <v>15</v>
      </c>
      <c r="J780" s="1">
        <v>19013</v>
      </c>
      <c r="K780" s="126">
        <v>0.375</v>
      </c>
      <c r="L780" s="126">
        <v>0.41666666666666669</v>
      </c>
      <c r="M780" s="1" t="s">
        <v>33</v>
      </c>
      <c r="N780" s="1" t="s">
        <v>16</v>
      </c>
      <c r="O780" s="1" t="s">
        <v>50</v>
      </c>
      <c r="P780" s="1" t="s">
        <v>46</v>
      </c>
      <c r="Q780" s="1" t="s">
        <v>20</v>
      </c>
    </row>
    <row r="781" spans="3:17" x14ac:dyDescent="0.25">
      <c r="C781" s="1" t="str">
        <f>_xlfn.CONCAT(tabE.Flux[[#This Row],[DATA]],"+",tabE.Flux[[#This Row],[MOTORISTA + MATRÍCULA A]])</f>
        <v>45919+KAYLSON KLEYTON DA SILVA COSTA - 6224</v>
      </c>
      <c r="D781" s="1" t="str">
        <f>_xlfn.CONCAT(tabE.Flux[[#This Row],[DATA]],"+",tabE.Flux[[#This Row],[MOTORISTA + MATRÍCULA B]])</f>
        <v>45919+JEFFERSON CARDOSO DOS SANTOS - 5837</v>
      </c>
      <c r="E781" s="1" t="str">
        <f>_xlfn.CONCAT(tabE.Flux[[#This Row],[DATA]],"+",tabE.Flux[[#This Row],[MOTORISTA + MATRÍCULA A]],"+",tabE.Flux[[#This Row],[LINHA]])</f>
        <v>45919+KAYLSON KLEYTON DA SILVA COSTA - 6224+GOIANIA (GO) X SAO LUIS (MA)</v>
      </c>
      <c r="F781" s="1" t="str">
        <f>_xlfn.CONCAT(tabE.Flux[[#This Row],[DATA]],"+",tabE.Flux[[#This Row],[MOTORISTA + MATRÍCULA B]],"+",tabE.Flux[[#This Row],[LINHA]])</f>
        <v>45919+JEFFERSON CARDOSO DOS SANTOS - 5837+GOIANIA (GO) X SAO LUIS (MA)</v>
      </c>
      <c r="G781" s="1" t="str">
        <f>_xlfn.CONCAT(tabE.Flux[[#This Row],[DATA]],"+",tabE.Flux[[#This Row],[LINHA]])</f>
        <v>45919+GOIANIA (GO) X SAO LUIS (MA)</v>
      </c>
      <c r="H781" s="125">
        <v>45919</v>
      </c>
      <c r="I781" s="1" t="s">
        <v>15</v>
      </c>
      <c r="J781" s="1">
        <v>19006</v>
      </c>
      <c r="K781" s="126">
        <v>0.25</v>
      </c>
      <c r="L781" s="126">
        <v>0.29166666666666669</v>
      </c>
      <c r="M781" s="1" t="s">
        <v>42</v>
      </c>
      <c r="N781" s="1" t="s">
        <v>16</v>
      </c>
      <c r="O781" s="1" t="s">
        <v>80</v>
      </c>
      <c r="P781" s="1" t="s">
        <v>30</v>
      </c>
      <c r="Q781" s="1" t="s">
        <v>23</v>
      </c>
    </row>
    <row r="782" spans="3:17" x14ac:dyDescent="0.25">
      <c r="C782" s="1" t="str">
        <f>_xlfn.CONCAT(tabE.Flux[[#This Row],[DATA]],"+",tabE.Flux[[#This Row],[MOTORISTA + MATRÍCULA A]])</f>
        <v>45919+ALTEMAR DO NASCIMENTO LIMA - 6225</v>
      </c>
      <c r="D782" s="1" t="str">
        <f>_xlfn.CONCAT(tabE.Flux[[#This Row],[DATA]],"+",tabE.Flux[[#This Row],[MOTORISTA + MATRÍCULA B]])</f>
        <v>45919+ANTONIO MARQUES NETO DOS SANTOS - 1738</v>
      </c>
      <c r="E782" s="1" t="str">
        <f>_xlfn.CONCAT(tabE.Flux[[#This Row],[DATA]],"+",tabE.Flux[[#This Row],[MOTORISTA + MATRÍCULA A]],"+",tabE.Flux[[#This Row],[LINHA]])</f>
        <v>45919+ALTEMAR DO NASCIMENTO LIMA - 6225+GOIANIA (GO) X SAO LUIS (MA)</v>
      </c>
      <c r="F782" s="1" t="str">
        <f>_xlfn.CONCAT(tabE.Flux[[#This Row],[DATA]],"+",tabE.Flux[[#This Row],[MOTORISTA + MATRÍCULA B]],"+",tabE.Flux[[#This Row],[LINHA]])</f>
        <v>45919+ANTONIO MARQUES NETO DOS SANTOS - 1738+GOIANIA (GO) X SAO LUIS (MA)</v>
      </c>
      <c r="G782" s="1" t="str">
        <f>_xlfn.CONCAT(tabE.Flux[[#This Row],[DATA]],"+",tabE.Flux[[#This Row],[LINHA]])</f>
        <v>45919+GOIANIA (GO) X SAO LUIS (MA)</v>
      </c>
      <c r="H782" s="125">
        <v>45919</v>
      </c>
      <c r="I782" s="1" t="s">
        <v>15</v>
      </c>
      <c r="J782" s="1">
        <v>24014</v>
      </c>
      <c r="K782" s="126">
        <v>0.75</v>
      </c>
      <c r="L782" s="126">
        <v>0.79166666666666663</v>
      </c>
      <c r="M782" s="1" t="s">
        <v>42</v>
      </c>
      <c r="N782" s="1" t="s">
        <v>16</v>
      </c>
      <c r="O782" s="1" t="s">
        <v>57</v>
      </c>
      <c r="P782" s="1" t="s">
        <v>73</v>
      </c>
      <c r="Q782" s="1" t="s">
        <v>23</v>
      </c>
    </row>
    <row r="783" spans="3:17" x14ac:dyDescent="0.25">
      <c r="C783" s="1" t="str">
        <f>_xlfn.CONCAT(tabE.Flux[[#This Row],[DATA]],"+",tabE.Flux[[#This Row],[MOTORISTA + MATRÍCULA A]])</f>
        <v>45919+CANCELADO</v>
      </c>
      <c r="D783" s="1" t="str">
        <f>_xlfn.CONCAT(tabE.Flux[[#This Row],[DATA]],"+",tabE.Flux[[#This Row],[MOTORISTA + MATRÍCULA B]])</f>
        <v>45919+CANCELADO</v>
      </c>
      <c r="E783" s="1" t="str">
        <f>_xlfn.CONCAT(tabE.Flux[[#This Row],[DATA]],"+",tabE.Flux[[#This Row],[MOTORISTA + MATRÍCULA A]],"+",tabE.Flux[[#This Row],[LINHA]])</f>
        <v>45919+CANCELADO+IMPERATRIZ (MA) X SÃO LUIS (MA)</v>
      </c>
      <c r="F783" s="1" t="str">
        <f>_xlfn.CONCAT(tabE.Flux[[#This Row],[DATA]],"+",tabE.Flux[[#This Row],[MOTORISTA + MATRÍCULA B]],"+",tabE.Flux[[#This Row],[LINHA]])</f>
        <v>45919+CANCELADO+IMPERATRIZ (MA) X SÃO LUIS (MA)</v>
      </c>
      <c r="G783" s="1" t="str">
        <f>_xlfn.CONCAT(tabE.Flux[[#This Row],[DATA]],"+",tabE.Flux[[#This Row],[LINHA]])</f>
        <v>45919+IMPERATRIZ (MA) X SÃO LUIS (MA)</v>
      </c>
      <c r="H783" s="125">
        <v>45919</v>
      </c>
      <c r="I783" s="1" t="s">
        <v>15</v>
      </c>
      <c r="J783" s="1" t="s">
        <v>27</v>
      </c>
      <c r="K783" s="126">
        <v>0.77083333333333337</v>
      </c>
      <c r="L783" s="126">
        <v>0.79513888888888884</v>
      </c>
      <c r="M783" s="1" t="s">
        <v>42</v>
      </c>
      <c r="N783" s="1" t="s">
        <v>16</v>
      </c>
      <c r="O783" s="1" t="s">
        <v>27</v>
      </c>
      <c r="P783" s="1" t="s">
        <v>27</v>
      </c>
      <c r="Q783" s="1" t="s">
        <v>47</v>
      </c>
    </row>
    <row r="784" spans="3:17" x14ac:dyDescent="0.25">
      <c r="C784" s="1" t="str">
        <f>_xlfn.CONCAT(tabE.Flux[[#This Row],[DATA]],"+",tabE.Flux[[#This Row],[MOTORISTA + MATRÍCULA A]])</f>
        <v>45919+CARLOS ALBERTO DE LIMA - 2777</v>
      </c>
      <c r="D784" s="1" t="str">
        <f>_xlfn.CONCAT(tabE.Flux[[#This Row],[DATA]],"+",tabE.Flux[[#This Row],[MOTORISTA + MATRÍCULA B]])</f>
        <v>45919+NEURI BISPO DA SILVA - 2682</v>
      </c>
      <c r="E784" s="1" t="str">
        <f>_xlfn.CONCAT(tabE.Flux[[#This Row],[DATA]],"+",tabE.Flux[[#This Row],[MOTORISTA + MATRÍCULA A]],"+",tabE.Flux[[#This Row],[LINHA]])</f>
        <v>45919+CARLOS ALBERTO DE LIMA - 2777+GOIANIA (GO) X TERESINA (PI) VIA BC</v>
      </c>
      <c r="F784" s="1" t="str">
        <f>_xlfn.CONCAT(tabE.Flux[[#This Row],[DATA]],"+",tabE.Flux[[#This Row],[MOTORISTA + MATRÍCULA B]],"+",tabE.Flux[[#This Row],[LINHA]])</f>
        <v>45919+NEURI BISPO DA SILVA - 2682+GOIANIA (GO) X TERESINA (PI) VIA BC</v>
      </c>
      <c r="G784" s="1" t="str">
        <f>_xlfn.CONCAT(tabE.Flux[[#This Row],[DATA]],"+",tabE.Flux[[#This Row],[LINHA]])</f>
        <v>45919+GOIANIA (GO) X TERESINA (PI) VIA BC</v>
      </c>
      <c r="H784" s="125">
        <v>45919</v>
      </c>
      <c r="I784" s="1" t="s">
        <v>15</v>
      </c>
      <c r="J784" s="1">
        <v>24006</v>
      </c>
      <c r="K784" s="126">
        <v>0.89583333333333337</v>
      </c>
      <c r="L784" s="126">
        <v>0.91666666666666663</v>
      </c>
      <c r="M784" s="1" t="s">
        <v>36</v>
      </c>
      <c r="N784" s="1" t="s">
        <v>17</v>
      </c>
      <c r="O784" s="1" t="s">
        <v>165</v>
      </c>
      <c r="P784" s="1" t="s">
        <v>166</v>
      </c>
      <c r="Q784" s="1" t="s">
        <v>39</v>
      </c>
    </row>
    <row r="785" spans="3:17" x14ac:dyDescent="0.25">
      <c r="C785" s="1" t="str">
        <f>_xlfn.CONCAT(tabE.Flux[[#This Row],[DATA]],"+",tabE.Flux[[#This Row],[MOTORISTA + MATRÍCULA A]])</f>
        <v>45919+MARCOS ATAIDE SILVA - 1352</v>
      </c>
      <c r="D785" s="1" t="str">
        <f>_xlfn.CONCAT(tabE.Flux[[#This Row],[DATA]],"+",tabE.Flux[[#This Row],[MOTORISTA + MATRÍCULA B]])</f>
        <v>45919+AELSON PEREIRA DO NASCIMENTO - 5682</v>
      </c>
      <c r="E785" s="1" t="str">
        <f>_xlfn.CONCAT(tabE.Flux[[#This Row],[DATA]],"+",tabE.Flux[[#This Row],[MOTORISTA + MATRÍCULA A]],"+",tabE.Flux[[#This Row],[LINHA]])</f>
        <v>45919+MARCOS ATAIDE SILVA - 1352+GOIANIA (GO) X BELEM (PA)</v>
      </c>
      <c r="F785" s="1" t="str">
        <f>_xlfn.CONCAT(tabE.Flux[[#This Row],[DATA]],"+",tabE.Flux[[#This Row],[MOTORISTA + MATRÍCULA B]],"+",tabE.Flux[[#This Row],[LINHA]])</f>
        <v>45919+AELSON PEREIRA DO NASCIMENTO - 5682+GOIANIA (GO) X BELEM (PA)</v>
      </c>
      <c r="G785" s="1" t="str">
        <f>_xlfn.CONCAT(tabE.Flux[[#This Row],[DATA]],"+",tabE.Flux[[#This Row],[LINHA]])</f>
        <v>45919+GOIANIA (GO) X BELEM (PA)</v>
      </c>
      <c r="H785" s="125">
        <v>45919</v>
      </c>
      <c r="I785" s="1" t="s">
        <v>15</v>
      </c>
      <c r="J785" s="1">
        <v>24016</v>
      </c>
      <c r="K785" s="126">
        <v>0.76041666666666663</v>
      </c>
      <c r="L785" s="126">
        <v>0.77083333333333337</v>
      </c>
      <c r="M785" s="1" t="s">
        <v>33</v>
      </c>
      <c r="N785" s="1" t="s">
        <v>16</v>
      </c>
      <c r="O785" s="1" t="s">
        <v>113</v>
      </c>
      <c r="P785" s="1" t="s">
        <v>88</v>
      </c>
      <c r="Q785" s="1" t="s">
        <v>20</v>
      </c>
    </row>
    <row r="786" spans="3:17" x14ac:dyDescent="0.25">
      <c r="C786" s="1" t="str">
        <f>_xlfn.CONCAT(tabE.Flux[[#This Row],[DATA]],"+",tabE.Flux[[#This Row],[MOTORISTA + MATRÍCULA A]])</f>
        <v>45919+BRUNO MATOS DA ROCHA - 6013</v>
      </c>
      <c r="D786" s="1" t="str">
        <f>_xlfn.CONCAT(tabE.Flux[[#This Row],[DATA]],"+",tabE.Flux[[#This Row],[MOTORISTA + MATRÍCULA B]])</f>
        <v>45919+JOSE ALVES DE FREITAS NETO - 5027</v>
      </c>
      <c r="E786" s="1" t="str">
        <f>_xlfn.CONCAT(tabE.Flux[[#This Row],[DATA]],"+",tabE.Flux[[#This Row],[MOTORISTA + MATRÍCULA A]],"+",tabE.Flux[[#This Row],[LINHA]])</f>
        <v>45919+BRUNO MATOS DA ROCHA - 6013+GOIANIA (GO) X BELEM (PA)</v>
      </c>
      <c r="F786" s="1" t="str">
        <f>_xlfn.CONCAT(tabE.Flux[[#This Row],[DATA]],"+",tabE.Flux[[#This Row],[MOTORISTA + MATRÍCULA B]],"+",tabE.Flux[[#This Row],[LINHA]])</f>
        <v>45919+JOSE ALVES DE FREITAS NETO - 5027+GOIANIA (GO) X BELEM (PA)</v>
      </c>
      <c r="G786" s="1" t="str">
        <f>_xlfn.CONCAT(tabE.Flux[[#This Row],[DATA]],"+",tabE.Flux[[#This Row],[LINHA]])</f>
        <v>45919+GOIANIA (GO) X BELEM (PA)</v>
      </c>
      <c r="H786" s="125">
        <v>45919</v>
      </c>
      <c r="I786" s="1" t="s">
        <v>15</v>
      </c>
      <c r="J786" s="1">
        <v>24009</v>
      </c>
      <c r="K786" s="126">
        <v>0.76041666666666663</v>
      </c>
      <c r="L786" s="126">
        <v>0.82777777777777772</v>
      </c>
      <c r="M786" s="1" t="s">
        <v>16</v>
      </c>
      <c r="N786" s="1" t="s">
        <v>33</v>
      </c>
      <c r="O786" s="1" t="s">
        <v>147</v>
      </c>
      <c r="P786" s="1" t="s">
        <v>90</v>
      </c>
      <c r="Q786" s="1" t="s">
        <v>20</v>
      </c>
    </row>
    <row r="787" spans="3:17" x14ac:dyDescent="0.25">
      <c r="C787" s="1" t="str">
        <f>_xlfn.CONCAT(tabE.Flux[[#This Row],[DATA]],"+",tabE.Flux[[#This Row],[MOTORISTA + MATRÍCULA A]])</f>
        <v>45919+ANDRE SOUSA REIS - 2644</v>
      </c>
      <c r="D787" s="1" t="str">
        <f>_xlfn.CONCAT(tabE.Flux[[#This Row],[DATA]],"+",tabE.Flux[[#This Row],[MOTORISTA + MATRÍCULA B]])</f>
        <v>45919+LAUCEANDO DA SILVA ROCHA - 6220</v>
      </c>
      <c r="E787" s="1" t="str">
        <f>_xlfn.CONCAT(tabE.Flux[[#This Row],[DATA]],"+",tabE.Flux[[#This Row],[MOTORISTA + MATRÍCULA A]],"+",tabE.Flux[[#This Row],[LINHA]])</f>
        <v>45919+ANDRE SOUSA REIS - 2644+GOIANIA (GO) X SAO LUIS (MA)</v>
      </c>
      <c r="F787" s="1" t="str">
        <f>_xlfn.CONCAT(tabE.Flux[[#This Row],[DATA]],"+",tabE.Flux[[#This Row],[MOTORISTA + MATRÍCULA B]],"+",tabE.Flux[[#This Row],[LINHA]])</f>
        <v>45919+LAUCEANDO DA SILVA ROCHA - 6220+GOIANIA (GO) X SAO LUIS (MA)</v>
      </c>
      <c r="G787" s="1" t="str">
        <f>_xlfn.CONCAT(tabE.Flux[[#This Row],[DATA]],"+",tabE.Flux[[#This Row],[LINHA]])</f>
        <v>45919+GOIANIA (GO) X SAO LUIS (MA)</v>
      </c>
      <c r="H787" s="125">
        <v>45919</v>
      </c>
      <c r="I787" s="1" t="s">
        <v>15</v>
      </c>
      <c r="J787" s="1">
        <v>19007</v>
      </c>
      <c r="K787" s="126">
        <v>0.40763888888888888</v>
      </c>
      <c r="L787" s="126">
        <v>0.47013888888888888</v>
      </c>
      <c r="M787" s="1" t="s">
        <v>16</v>
      </c>
      <c r="N787" s="1" t="s">
        <v>42</v>
      </c>
      <c r="O787" s="1" t="s">
        <v>63</v>
      </c>
      <c r="P787" s="1" t="s">
        <v>86</v>
      </c>
      <c r="Q787" s="1" t="s">
        <v>23</v>
      </c>
    </row>
    <row r="788" spans="3:17" x14ac:dyDescent="0.25">
      <c r="C788" s="1" t="str">
        <f>_xlfn.CONCAT(tabE.Flux[[#This Row],[DATA]],"+",tabE.Flux[[#This Row],[MOTORISTA + MATRÍCULA A]])</f>
        <v>45919+JOSE HAILTON PEREIRA DOS SANTOS - 6018</v>
      </c>
      <c r="D788" s="1" t="str">
        <f>_xlfn.CONCAT(tabE.Flux[[#This Row],[DATA]],"+",tabE.Flux[[#This Row],[MOTORISTA + MATRÍCULA B]])</f>
        <v>45919+RAIMUNDO COSTA SILVA - 6226</v>
      </c>
      <c r="E788" s="1" t="str">
        <f>_xlfn.CONCAT(tabE.Flux[[#This Row],[DATA]],"+",tabE.Flux[[#This Row],[MOTORISTA + MATRÍCULA A]],"+",tabE.Flux[[#This Row],[LINHA]])</f>
        <v>45919+JOSE HAILTON PEREIRA DOS SANTOS - 6018+IMPERATRIZ (MA) X SÃO LUIS (MA)</v>
      </c>
      <c r="F788" s="1" t="str">
        <f>_xlfn.CONCAT(tabE.Flux[[#This Row],[DATA]],"+",tabE.Flux[[#This Row],[MOTORISTA + MATRÍCULA B]],"+",tabE.Flux[[#This Row],[LINHA]])</f>
        <v>45919+RAIMUNDO COSTA SILVA - 6226+IMPERATRIZ (MA) X SÃO LUIS (MA)</v>
      </c>
      <c r="G788" s="1" t="str">
        <f>_xlfn.CONCAT(tabE.Flux[[#This Row],[DATA]],"+",tabE.Flux[[#This Row],[LINHA]])</f>
        <v>45919+IMPERATRIZ (MA) X SÃO LUIS (MA)</v>
      </c>
      <c r="H788" s="125">
        <v>45919</v>
      </c>
      <c r="I788" s="1" t="s">
        <v>15</v>
      </c>
      <c r="J788" s="1">
        <v>18016</v>
      </c>
      <c r="K788" s="126">
        <v>0.77083333333333337</v>
      </c>
      <c r="L788" s="126">
        <v>0.8125</v>
      </c>
      <c r="M788" s="1" t="s">
        <v>16</v>
      </c>
      <c r="N788" s="1" t="s">
        <v>42</v>
      </c>
      <c r="O788" s="1" t="s">
        <v>141</v>
      </c>
      <c r="P788" s="1" t="s">
        <v>45</v>
      </c>
      <c r="Q788" s="1" t="s">
        <v>47</v>
      </c>
    </row>
    <row r="789" spans="3:17" x14ac:dyDescent="0.25">
      <c r="C789" s="1" t="str">
        <f>_xlfn.CONCAT(tabE.Flux[[#This Row],[DATA]],"+",tabE.Flux[[#This Row],[MOTORISTA + MATRÍCULA A]])</f>
        <v>45919+FELIPE MORAIS MELO - 3077</v>
      </c>
      <c r="D789" s="1" t="str">
        <f>_xlfn.CONCAT(tabE.Flux[[#This Row],[DATA]],"+",tabE.Flux[[#This Row],[MOTORISTA + MATRÍCULA B]])</f>
        <v>45919+KAYLSON KLEYTON DA SILVA COSTA - 6224</v>
      </c>
      <c r="E789" s="1" t="str">
        <f>_xlfn.CONCAT(tabE.Flux[[#This Row],[DATA]],"+",tabE.Flux[[#This Row],[MOTORISTA + MATRÍCULA A]],"+",tabE.Flux[[#This Row],[LINHA]])</f>
        <v>45919+FELIPE MORAIS MELO - 3077+GOIANIA (GO) X SAO LUIS (MA)</v>
      </c>
      <c r="F789" s="1" t="str">
        <f>_xlfn.CONCAT(tabE.Flux[[#This Row],[DATA]],"+",tabE.Flux[[#This Row],[MOTORISTA + MATRÍCULA B]],"+",tabE.Flux[[#This Row],[LINHA]])</f>
        <v>45919+KAYLSON KLEYTON DA SILVA COSTA - 6224+GOIANIA (GO) X SAO LUIS (MA)</v>
      </c>
      <c r="G789" s="1" t="str">
        <f>_xlfn.CONCAT(tabE.Flux[[#This Row],[DATA]],"+",tabE.Flux[[#This Row],[LINHA]])</f>
        <v>45919+GOIANIA (GO) X SAO LUIS (MA)</v>
      </c>
      <c r="H789" s="125">
        <v>45919</v>
      </c>
      <c r="I789" s="1" t="s">
        <v>15</v>
      </c>
      <c r="J789" s="1">
        <v>24002</v>
      </c>
      <c r="K789" s="126">
        <v>0.8125</v>
      </c>
      <c r="L789" s="126">
        <v>0.84375</v>
      </c>
      <c r="M789" s="1" t="s">
        <v>16</v>
      </c>
      <c r="N789" s="1" t="s">
        <v>42</v>
      </c>
      <c r="O789" s="1" t="s">
        <v>78</v>
      </c>
      <c r="P789" s="1" t="s">
        <v>80</v>
      </c>
      <c r="Q789" s="1" t="s">
        <v>23</v>
      </c>
    </row>
    <row r="790" spans="3:17" x14ac:dyDescent="0.25">
      <c r="C790" s="1" t="str">
        <f>_xlfn.CONCAT(tabE.Flux[[#This Row],[DATA]],"+",tabE.Flux[[#This Row],[MOTORISTA + MATRÍCULA A]])</f>
        <v>45919+RONALDO ADRIANO COSTA SANTOS - 5637</v>
      </c>
      <c r="D790" s="1" t="str">
        <f>_xlfn.CONCAT(tabE.Flux[[#This Row],[DATA]],"+",tabE.Flux[[#This Row],[MOTORISTA + MATRÍCULA B]])</f>
        <v>45919+</v>
      </c>
      <c r="E790" s="1" t="str">
        <f>_xlfn.CONCAT(tabE.Flux[[#This Row],[DATA]],"+",tabE.Flux[[#This Row],[MOTORISTA + MATRÍCULA A]],"+",tabE.Flux[[#This Row],[LINHA]])</f>
        <v>45919+RONALDO ADRIANO COSTA SANTOS - 5637+GOIANIA (GO) X TERESINA (PI) VIA STI</v>
      </c>
      <c r="F790" s="1" t="str">
        <f>_xlfn.CONCAT(tabE.Flux[[#This Row],[DATA]],"+",tabE.Flux[[#This Row],[MOTORISTA + MATRÍCULA B]],"+",tabE.Flux[[#This Row],[LINHA]])</f>
        <v>45919++GOIANIA (GO) X TERESINA (PI) VIA STI</v>
      </c>
      <c r="G790" s="1" t="str">
        <f>_xlfn.CONCAT(tabE.Flux[[#This Row],[DATA]],"+",tabE.Flux[[#This Row],[LINHA]])</f>
        <v>45919+GOIANIA (GO) X TERESINA (PI) VIA STI</v>
      </c>
      <c r="H790" s="125">
        <v>45919</v>
      </c>
      <c r="I790" s="1" t="s">
        <v>15</v>
      </c>
      <c r="J790" s="1">
        <v>19015</v>
      </c>
      <c r="K790" s="126">
        <v>0.77083333333333337</v>
      </c>
      <c r="L790" s="126">
        <v>0.79861111111111116</v>
      </c>
      <c r="M790" s="1" t="s">
        <v>16</v>
      </c>
      <c r="N790" s="1" t="s">
        <v>29</v>
      </c>
      <c r="O790" s="1" t="s">
        <v>41</v>
      </c>
      <c r="P790" s="1"/>
      <c r="Q790" s="1" t="s">
        <v>26</v>
      </c>
    </row>
    <row r="791" spans="3:17" x14ac:dyDescent="0.25">
      <c r="C791" s="1" t="str">
        <f>_xlfn.CONCAT(tabE.Flux[[#This Row],[DATA]],"+",tabE.Flux[[#This Row],[MOTORISTA + MATRÍCULA A]])</f>
        <v>45919+ANTONIO FRANCINALDO DE OLIVEIRA MARQUES - 5018</v>
      </c>
      <c r="D791" s="1" t="str">
        <f>_xlfn.CONCAT(tabE.Flux[[#This Row],[DATA]],"+",tabE.Flux[[#This Row],[MOTORISTA + MATRÍCULA B]])</f>
        <v>45919+JAIRO VIEIRA FERREIRA - 5835</v>
      </c>
      <c r="E791" s="1" t="str">
        <f>_xlfn.CONCAT(tabE.Flux[[#This Row],[DATA]],"+",tabE.Flux[[#This Row],[MOTORISTA + MATRÍCULA A]],"+",tabE.Flux[[#This Row],[LINHA]])</f>
        <v>45919+ANTONIO FRANCINALDO DE OLIVEIRA MARQUES - 5018+GOIANIA (GO) X SAO LUIS (MA)</v>
      </c>
      <c r="F791" s="1" t="str">
        <f>_xlfn.CONCAT(tabE.Flux[[#This Row],[DATA]],"+",tabE.Flux[[#This Row],[MOTORISTA + MATRÍCULA B]],"+",tabE.Flux[[#This Row],[LINHA]])</f>
        <v>45919+JAIRO VIEIRA FERREIRA - 5835+GOIANIA (GO) X SAO LUIS (MA)</v>
      </c>
      <c r="G791" s="1" t="str">
        <f>_xlfn.CONCAT(tabE.Flux[[#This Row],[DATA]],"+",tabE.Flux[[#This Row],[LINHA]])</f>
        <v>45919+GOIANIA (GO) X SAO LUIS (MA)</v>
      </c>
      <c r="H791" s="125">
        <v>45919</v>
      </c>
      <c r="I791" s="1" t="s">
        <v>15</v>
      </c>
      <c r="J791" s="1">
        <v>19006</v>
      </c>
      <c r="K791" s="126">
        <v>0.8125</v>
      </c>
      <c r="L791" s="126">
        <v>0.84166666666666667</v>
      </c>
      <c r="M791" s="1" t="s">
        <v>16</v>
      </c>
      <c r="N791" s="1" t="s">
        <v>17</v>
      </c>
      <c r="O791" s="1" t="s">
        <v>233</v>
      </c>
      <c r="P791" s="1" t="s">
        <v>230</v>
      </c>
      <c r="Q791" s="1" t="s">
        <v>23</v>
      </c>
    </row>
    <row r="792" spans="3:17" x14ac:dyDescent="0.25">
      <c r="C792" s="1" t="str">
        <f>_xlfn.CONCAT(tabE.Flux[[#This Row],[DATA]],"+",tabE.Flux[[#This Row],[MOTORISTA + MATRÍCULA A]])</f>
        <v>45919+JOAO DE JESUS GOUVEIA - 6016</v>
      </c>
      <c r="D792" s="1" t="str">
        <f>_xlfn.CONCAT(tabE.Flux[[#This Row],[DATA]],"+",tabE.Flux[[#This Row],[MOTORISTA + MATRÍCULA B]])</f>
        <v>45919+RICHARD SOUSA DA SILVA - 1271</v>
      </c>
      <c r="E792" s="1" t="str">
        <f>_xlfn.CONCAT(tabE.Flux[[#This Row],[DATA]],"+",tabE.Flux[[#This Row],[MOTORISTA + MATRÍCULA A]],"+",tabE.Flux[[#This Row],[LINHA]])</f>
        <v>45919+JOAO DE JESUS GOUVEIA - 6016+FORTALEZA (CE) X SINOP (MT)</v>
      </c>
      <c r="F792" s="1" t="str">
        <f>_xlfn.CONCAT(tabE.Flux[[#This Row],[DATA]],"+",tabE.Flux[[#This Row],[MOTORISTA + MATRÍCULA B]],"+",tabE.Flux[[#This Row],[LINHA]])</f>
        <v>45919+RICHARD SOUSA DA SILVA - 1271+FORTALEZA (CE) X SINOP (MT)</v>
      </c>
      <c r="G792" s="1" t="str">
        <f>_xlfn.CONCAT(tabE.Flux[[#This Row],[DATA]],"+",tabE.Flux[[#This Row],[LINHA]])</f>
        <v>45919+FORTALEZA (CE) X SINOP (MT)</v>
      </c>
      <c r="H792" s="125">
        <v>45919</v>
      </c>
      <c r="I792" s="1" t="s">
        <v>15</v>
      </c>
      <c r="J792" s="1">
        <v>19003</v>
      </c>
      <c r="K792" s="126">
        <v>0.8125</v>
      </c>
      <c r="L792" s="126">
        <v>0.85416666666666663</v>
      </c>
      <c r="M792" s="1" t="s">
        <v>16</v>
      </c>
      <c r="N792" s="1" t="s">
        <v>17</v>
      </c>
      <c r="O792" s="1" t="s">
        <v>58</v>
      </c>
      <c r="P792" s="1" t="s">
        <v>56</v>
      </c>
      <c r="Q792" s="1" t="s">
        <v>32</v>
      </c>
    </row>
    <row r="793" spans="3:17" x14ac:dyDescent="0.25">
      <c r="C793" s="1" t="str">
        <f>_xlfn.CONCAT(tabE.Flux[[#This Row],[DATA]],"+",tabE.Flux[[#This Row],[MOTORISTA + MATRÍCULA A]])</f>
        <v>45919+CLEITON ALENCAR DA ROCHA - 1146</v>
      </c>
      <c r="D793" s="1" t="str">
        <f>_xlfn.CONCAT(tabE.Flux[[#This Row],[DATA]],"+",tabE.Flux[[#This Row],[MOTORISTA + MATRÍCULA B]])</f>
        <v>45919+DJALMA SOARES GUIMARAES - 1948</v>
      </c>
      <c r="E793" s="1" t="str">
        <f>_xlfn.CONCAT(tabE.Flux[[#This Row],[DATA]],"+",tabE.Flux[[#This Row],[MOTORISTA + MATRÍCULA A]],"+",tabE.Flux[[#This Row],[LINHA]])</f>
        <v>45919+CLEITON ALENCAR DA ROCHA - 1146+GOIANIA (GO) X BELEM (PA)</v>
      </c>
      <c r="F793" s="1" t="str">
        <f>_xlfn.CONCAT(tabE.Flux[[#This Row],[DATA]],"+",tabE.Flux[[#This Row],[MOTORISTA + MATRÍCULA B]],"+",tabE.Flux[[#This Row],[LINHA]])</f>
        <v>45919+DJALMA SOARES GUIMARAES - 1948+GOIANIA (GO) X BELEM (PA)</v>
      </c>
      <c r="G793" s="1" t="str">
        <f>_xlfn.CONCAT(tabE.Flux[[#This Row],[DATA]],"+",tabE.Flux[[#This Row],[LINHA]])</f>
        <v>45919+GOIANIA (GO) X BELEM (PA)</v>
      </c>
      <c r="H793" s="125">
        <v>45919</v>
      </c>
      <c r="I793" s="1" t="s">
        <v>15</v>
      </c>
      <c r="J793" s="1">
        <v>19013</v>
      </c>
      <c r="K793" s="126">
        <v>0.84722222222222221</v>
      </c>
      <c r="L793" s="126">
        <v>0.87847222222222221</v>
      </c>
      <c r="M793" s="1" t="s">
        <v>16</v>
      </c>
      <c r="N793" s="1" t="s">
        <v>17</v>
      </c>
      <c r="O793" s="1" t="s">
        <v>105</v>
      </c>
      <c r="P793" s="1" t="s">
        <v>237</v>
      </c>
      <c r="Q793" s="1" t="s">
        <v>20</v>
      </c>
    </row>
    <row r="794" spans="3:17" x14ac:dyDescent="0.25">
      <c r="C794" s="1" t="str">
        <f>_xlfn.CONCAT(tabE.Flux[[#This Row],[DATA]],"+",tabE.Flux[[#This Row],[MOTORISTA + MATRÍCULA A]])</f>
        <v>+</v>
      </c>
      <c r="D794" s="1" t="str">
        <f>_xlfn.CONCAT(tabE.Flux[[#This Row],[DATA]],"+",tabE.Flux[[#This Row],[MOTORISTA + MATRÍCULA B]])</f>
        <v>+</v>
      </c>
      <c r="E794" s="1" t="str">
        <f>_xlfn.CONCAT(tabE.Flux[[#This Row],[DATA]],"+",tabE.Flux[[#This Row],[MOTORISTA + MATRÍCULA A]],"+",tabE.Flux[[#This Row],[LINHA]])</f>
        <v>++</v>
      </c>
      <c r="F794" s="1" t="str">
        <f>_xlfn.CONCAT(tabE.Flux[[#This Row],[DATA]],"+",tabE.Flux[[#This Row],[MOTORISTA + MATRÍCULA B]],"+",tabE.Flux[[#This Row],[LINHA]])</f>
        <v>++</v>
      </c>
      <c r="G794" s="1" t="str">
        <f>_xlfn.CONCAT(tabE.Flux[[#This Row],[DATA]],"+",tabE.Flux[[#This Row],[LINHA]])</f>
        <v>+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3:17" x14ac:dyDescent="0.25">
      <c r="C795" s="1" t="str">
        <f>_xlfn.CONCAT(tabE.Flux[[#This Row],[DATA]],"+",tabE.Flux[[#This Row],[MOTORISTA + MATRÍCULA A]])</f>
        <v>45920+DIVINO EURIPEDES RIBEIRO - 5191</v>
      </c>
      <c r="D795" s="1" t="str">
        <f>_xlfn.CONCAT(tabE.Flux[[#This Row],[DATA]],"+",tabE.Flux[[#This Row],[MOTORISTA + MATRÍCULA B]])</f>
        <v>45920+VALDIVINO GONCALVES DA SILVA - 5724</v>
      </c>
      <c r="E795" s="1" t="str">
        <f>_xlfn.CONCAT(tabE.Flux[[#This Row],[DATA]],"+",tabE.Flux[[#This Row],[MOTORISTA + MATRÍCULA A]],"+",tabE.Flux[[#This Row],[LINHA]])</f>
        <v>45920+DIVINO EURIPEDES RIBEIRO - 5191+GOIANIA (GO) X BELEM (PA)</v>
      </c>
      <c r="F795" s="1" t="str">
        <f>_xlfn.CONCAT(tabE.Flux[[#This Row],[DATA]],"+",tabE.Flux[[#This Row],[MOTORISTA + MATRÍCULA B]],"+",tabE.Flux[[#This Row],[LINHA]])</f>
        <v>45920+VALDIVINO GONCALVES DA SILVA - 5724+GOIANIA (GO) X BELEM (PA)</v>
      </c>
      <c r="G795" s="1" t="str">
        <f>_xlfn.CONCAT(tabE.Flux[[#This Row],[DATA]],"+",tabE.Flux[[#This Row],[LINHA]])</f>
        <v>45920+GOIANIA (GO) X BELEM (PA)</v>
      </c>
      <c r="H795" s="125">
        <v>45920</v>
      </c>
      <c r="I795" s="1" t="s">
        <v>15</v>
      </c>
      <c r="J795" s="1">
        <v>24016</v>
      </c>
      <c r="K795" s="126">
        <v>0.25486111111111109</v>
      </c>
      <c r="L795" s="126">
        <v>0.3</v>
      </c>
      <c r="M795" s="1" t="s">
        <v>16</v>
      </c>
      <c r="N795" s="1" t="s">
        <v>17</v>
      </c>
      <c r="O795" s="1" t="s">
        <v>167</v>
      </c>
      <c r="P795" s="1" t="s">
        <v>168</v>
      </c>
      <c r="Q795" s="1" t="s">
        <v>20</v>
      </c>
    </row>
    <row r="796" spans="3:17" x14ac:dyDescent="0.25">
      <c r="C796" s="1" t="str">
        <f>_xlfn.CONCAT(tabE.Flux[[#This Row],[DATA]],"+",tabE.Flux[[#This Row],[MOTORISTA + MATRÍCULA A]])</f>
        <v>45920+JOSE EVANGELISTA DA SILVA - 5199</v>
      </c>
      <c r="D796" s="1" t="str">
        <f>_xlfn.CONCAT(tabE.Flux[[#This Row],[DATA]],"+",tabE.Flux[[#This Row],[MOTORISTA + MATRÍCULA B]])</f>
        <v>45920+  IVANILSON BARBOSA PEREIRA- 5434</v>
      </c>
      <c r="E796" s="1" t="str">
        <f>_xlfn.CONCAT(tabE.Flux[[#This Row],[DATA]],"+",tabE.Flux[[#This Row],[MOTORISTA + MATRÍCULA A]],"+",tabE.Flux[[#This Row],[LINHA]])</f>
        <v>45920+JOSE EVANGELISTA DA SILVA - 5199+GOIANIA (GO) X SAO LUIS (MA)</v>
      </c>
      <c r="F796" s="1" t="str">
        <f>_xlfn.CONCAT(tabE.Flux[[#This Row],[DATA]],"+",tabE.Flux[[#This Row],[MOTORISTA + MATRÍCULA B]],"+",tabE.Flux[[#This Row],[LINHA]])</f>
        <v>45920+  IVANILSON BARBOSA PEREIRA- 5434+GOIANIA (GO) X SAO LUIS (MA)</v>
      </c>
      <c r="G796" s="1" t="str">
        <f>_xlfn.CONCAT(tabE.Flux[[#This Row],[DATA]],"+",tabE.Flux[[#This Row],[LINHA]])</f>
        <v>45920+GOIANIA (GO) X SAO LUIS (MA)</v>
      </c>
      <c r="H796" s="125">
        <v>45920</v>
      </c>
      <c r="I796" s="1" t="s">
        <v>15</v>
      </c>
      <c r="J796" s="1">
        <v>24014</v>
      </c>
      <c r="K796" s="126">
        <v>0.32291666666666669</v>
      </c>
      <c r="L796" s="126">
        <v>0.33333333333333331</v>
      </c>
      <c r="M796" s="1" t="s">
        <v>16</v>
      </c>
      <c r="N796" s="1" t="s">
        <v>17</v>
      </c>
      <c r="O796" s="1" t="s">
        <v>151</v>
      </c>
      <c r="P796" s="1" t="s">
        <v>152</v>
      </c>
      <c r="Q796" s="1" t="s">
        <v>23</v>
      </c>
    </row>
    <row r="797" spans="3:17" x14ac:dyDescent="0.25">
      <c r="C797" s="1" t="str">
        <f>_xlfn.CONCAT(tabE.Flux[[#This Row],[DATA]],"+",tabE.Flux[[#This Row],[MOTORISTA + MATRÍCULA A]])</f>
        <v>45920+VANDERSON GURGEL DO AMARAL - 2734</v>
      </c>
      <c r="D797" s="1" t="str">
        <f>_xlfn.CONCAT(tabE.Flux[[#This Row],[DATA]],"+",tabE.Flux[[#This Row],[MOTORISTA + MATRÍCULA B]])</f>
        <v>45920+JOAO ANIVAIR DE QUEIROZ - 5608</v>
      </c>
      <c r="E797" s="1" t="str">
        <f>_xlfn.CONCAT(tabE.Flux[[#This Row],[DATA]],"+",tabE.Flux[[#This Row],[MOTORISTA + MATRÍCULA A]],"+",tabE.Flux[[#This Row],[LINHA]])</f>
        <v>45920+VANDERSON GURGEL DO AMARAL - 2734+GOIANIA (GO) X TERESINA (PI) VIA STI</v>
      </c>
      <c r="F797" s="1" t="str">
        <f>_xlfn.CONCAT(tabE.Flux[[#This Row],[DATA]],"+",tabE.Flux[[#This Row],[MOTORISTA + MATRÍCULA B]],"+",tabE.Flux[[#This Row],[LINHA]])</f>
        <v>45920+JOAO ANIVAIR DE QUEIROZ - 5608+GOIANIA (GO) X TERESINA (PI) VIA STI</v>
      </c>
      <c r="G797" s="1" t="str">
        <f>_xlfn.CONCAT(tabE.Flux[[#This Row],[DATA]],"+",tabE.Flux[[#This Row],[LINHA]])</f>
        <v>45920+GOIANIA (GO) X TERESINA (PI) VIA STI</v>
      </c>
      <c r="H797" s="125">
        <v>45920</v>
      </c>
      <c r="I797" s="1" t="s">
        <v>15</v>
      </c>
      <c r="J797" s="1">
        <v>17100</v>
      </c>
      <c r="K797" s="126">
        <v>0.3888888888888889</v>
      </c>
      <c r="L797" s="126">
        <v>0.39583333333333331</v>
      </c>
      <c r="M797" s="1" t="s">
        <v>16</v>
      </c>
      <c r="N797" s="1" t="s">
        <v>17</v>
      </c>
      <c r="O797" s="1" t="s">
        <v>158</v>
      </c>
      <c r="P797" s="1" t="s">
        <v>156</v>
      </c>
      <c r="Q797" s="1" t="s">
        <v>26</v>
      </c>
    </row>
    <row r="798" spans="3:17" x14ac:dyDescent="0.25">
      <c r="C798" s="1" t="str">
        <f>_xlfn.CONCAT(tabE.Flux[[#This Row],[DATA]],"+",tabE.Flux[[#This Row],[MOTORISTA + MATRÍCULA A]])</f>
        <v>45920+CANCELADO</v>
      </c>
      <c r="D798" s="1" t="str">
        <f>_xlfn.CONCAT(tabE.Flux[[#This Row],[DATA]],"+",tabE.Flux[[#This Row],[MOTORISTA + MATRÍCULA B]])</f>
        <v>45920+CANCELADO</v>
      </c>
      <c r="E798" s="1" t="str">
        <f>_xlfn.CONCAT(tabE.Flux[[#This Row],[DATA]],"+",tabE.Flux[[#This Row],[MOTORISTA + MATRÍCULA A]],"+",tabE.Flux[[#This Row],[LINHA]])</f>
        <v>45920+CANCELADO+</v>
      </c>
      <c r="F798" s="1" t="str">
        <f>_xlfn.CONCAT(tabE.Flux[[#This Row],[DATA]],"+",tabE.Flux[[#This Row],[MOTORISTA + MATRÍCULA B]],"+",tabE.Flux[[#This Row],[LINHA]])</f>
        <v>45920+CANCELADO+</v>
      </c>
      <c r="G798" s="1" t="str">
        <f>_xlfn.CONCAT(tabE.Flux[[#This Row],[DATA]],"+",tabE.Flux[[#This Row],[LINHA]])</f>
        <v>45920+</v>
      </c>
      <c r="H798" s="125">
        <v>45920</v>
      </c>
      <c r="I798" s="1" t="s">
        <v>15</v>
      </c>
      <c r="J798" s="1" t="s">
        <v>27</v>
      </c>
      <c r="K798" s="126">
        <v>0.375</v>
      </c>
      <c r="L798" s="126">
        <v>0.41666666666666669</v>
      </c>
      <c r="M798" s="1" t="s">
        <v>16</v>
      </c>
      <c r="N798" s="1" t="s">
        <v>28</v>
      </c>
      <c r="O798" s="1" t="s">
        <v>27</v>
      </c>
      <c r="P798" s="1" t="s">
        <v>27</v>
      </c>
      <c r="Q798" s="1"/>
    </row>
    <row r="799" spans="3:17" x14ac:dyDescent="0.25">
      <c r="C799" s="1" t="str">
        <f>_xlfn.CONCAT(tabE.Flux[[#This Row],[DATA]],"+",tabE.Flux[[#This Row],[MOTORISTA + MATRÍCULA A]])</f>
        <v>45920+KLEBER OLIVEIRA LIMA - 5849</v>
      </c>
      <c r="D799" s="1" t="str">
        <f>_xlfn.CONCAT(tabE.Flux[[#This Row],[DATA]],"+",tabE.Flux[[#This Row],[MOTORISTA + MATRÍCULA B]])</f>
        <v>45920+DANYLSON BATISTA SANTANA - 5829</v>
      </c>
      <c r="E799" s="1" t="str">
        <f>_xlfn.CONCAT(tabE.Flux[[#This Row],[DATA]],"+",tabE.Flux[[#This Row],[MOTORISTA + MATRÍCULA A]],"+",tabE.Flux[[#This Row],[LINHA]])</f>
        <v>45920+KLEBER OLIVEIRA LIMA - 5849+FORTALEZA (CE) X SINOP (MT)</v>
      </c>
      <c r="F799" s="1" t="str">
        <f>_xlfn.CONCAT(tabE.Flux[[#This Row],[DATA]],"+",tabE.Flux[[#This Row],[MOTORISTA + MATRÍCULA B]],"+",tabE.Flux[[#This Row],[LINHA]])</f>
        <v>45920+DANYLSON BATISTA SANTANA - 5829+FORTALEZA (CE) X SINOP (MT)</v>
      </c>
      <c r="G799" s="1" t="str">
        <f>_xlfn.CONCAT(tabE.Flux[[#This Row],[DATA]],"+",tabE.Flux[[#This Row],[LINHA]])</f>
        <v>45920+FORTALEZA (CE) X SINOP (MT)</v>
      </c>
      <c r="H799" s="125">
        <v>45920</v>
      </c>
      <c r="I799" s="1" t="s">
        <v>15</v>
      </c>
      <c r="J799" s="1">
        <v>17700</v>
      </c>
      <c r="K799" s="126">
        <v>0.3888888888888889</v>
      </c>
      <c r="L799" s="126">
        <v>0.37708333333333333</v>
      </c>
      <c r="M799" s="1" t="s">
        <v>16</v>
      </c>
      <c r="N799" s="1" t="s">
        <v>29</v>
      </c>
      <c r="O799" s="1" t="s">
        <v>102</v>
      </c>
      <c r="P799" s="1" t="s">
        <v>60</v>
      </c>
      <c r="Q799" s="1" t="s">
        <v>32</v>
      </c>
    </row>
    <row r="800" spans="3:17" x14ac:dyDescent="0.25">
      <c r="C800" s="1" t="str">
        <f>_xlfn.CONCAT(tabE.Flux[[#This Row],[DATA]],"+",tabE.Flux[[#This Row],[MOTORISTA + MATRÍCULA A]])</f>
        <v>45920+JARDEL DE SOUSA OLIVEIRA - 5992</v>
      </c>
      <c r="D800" s="1" t="str">
        <f>_xlfn.CONCAT(tabE.Flux[[#This Row],[DATA]],"+",tabE.Flux[[#This Row],[MOTORISTA + MATRÍCULA B]])</f>
        <v>45920+FRANCISCO LINDONALDO DE SOUSA - 2971</v>
      </c>
      <c r="E800" s="1" t="str">
        <f>_xlfn.CONCAT(tabE.Flux[[#This Row],[DATA]],"+",tabE.Flux[[#This Row],[MOTORISTA + MATRÍCULA A]],"+",tabE.Flux[[#This Row],[LINHA]])</f>
        <v>45920+JARDEL DE SOUSA OLIVEIRA - 5992+GOIANIA (GO) X BELEM (PA)</v>
      </c>
      <c r="F800" s="1" t="str">
        <f>_xlfn.CONCAT(tabE.Flux[[#This Row],[DATA]],"+",tabE.Flux[[#This Row],[MOTORISTA + MATRÍCULA B]],"+",tabE.Flux[[#This Row],[LINHA]])</f>
        <v>45920+FRANCISCO LINDONALDO DE SOUSA - 2971+GOIANIA (GO) X BELEM (PA)</v>
      </c>
      <c r="G800" s="1" t="str">
        <f>_xlfn.CONCAT(tabE.Flux[[#This Row],[DATA]],"+",tabE.Flux[[#This Row],[LINHA]])</f>
        <v>45920+GOIANIA (GO) X BELEM (PA)</v>
      </c>
      <c r="H800" s="125">
        <v>45920</v>
      </c>
      <c r="I800" s="1" t="s">
        <v>15</v>
      </c>
      <c r="J800" s="1">
        <v>19012</v>
      </c>
      <c r="K800" s="126">
        <v>0.38958333333333334</v>
      </c>
      <c r="L800" s="126">
        <v>0.38541666666666669</v>
      </c>
      <c r="M800" s="1" t="s">
        <v>16</v>
      </c>
      <c r="N800" s="1" t="s">
        <v>33</v>
      </c>
      <c r="O800" s="1" t="s">
        <v>150</v>
      </c>
      <c r="P800" s="1" t="s">
        <v>131</v>
      </c>
      <c r="Q800" s="1" t="s">
        <v>20</v>
      </c>
    </row>
    <row r="801" spans="3:17" x14ac:dyDescent="0.25">
      <c r="C801" s="1" t="str">
        <f>_xlfn.CONCAT(tabE.Flux[[#This Row],[DATA]],"+",tabE.Flux[[#This Row],[MOTORISTA + MATRÍCULA A]])</f>
        <v>45920+JOSE ORLANDO RODRIGUES DE MIRANDA - 5838</v>
      </c>
      <c r="D801" s="1" t="str">
        <f>_xlfn.CONCAT(tabE.Flux[[#This Row],[DATA]],"+",tabE.Flux[[#This Row],[MOTORISTA + MATRÍCULA B]])</f>
        <v>45920+RAIMUNDO NONATO FRANCO NETO - 5658</v>
      </c>
      <c r="E801" s="1" t="str">
        <f>_xlfn.CONCAT(tabE.Flux[[#This Row],[DATA]],"+",tabE.Flux[[#This Row],[MOTORISTA + MATRÍCULA A]],"+",tabE.Flux[[#This Row],[LINHA]])</f>
        <v>45920+JOSE ORLANDO RODRIGUES DE MIRANDA - 5838+GOIANIA (GO) X TERESINA (PI) VIA BC</v>
      </c>
      <c r="F801" s="1" t="str">
        <f>_xlfn.CONCAT(tabE.Flux[[#This Row],[DATA]],"+",tabE.Flux[[#This Row],[MOTORISTA + MATRÍCULA B]],"+",tabE.Flux[[#This Row],[LINHA]])</f>
        <v>45920+RAIMUNDO NONATO FRANCO NETO - 5658+GOIANIA (GO) X TERESINA (PI) VIA BC</v>
      </c>
      <c r="G801" s="1" t="str">
        <f>_xlfn.CONCAT(tabE.Flux[[#This Row],[DATA]],"+",tabE.Flux[[#This Row],[LINHA]])</f>
        <v>45920+GOIANIA (GO) X TERESINA (PI) VIA BC</v>
      </c>
      <c r="H801" s="125">
        <v>45920</v>
      </c>
      <c r="I801" s="1" t="s">
        <v>15</v>
      </c>
      <c r="J801" s="1">
        <v>24005</v>
      </c>
      <c r="K801" s="126">
        <v>0.375</v>
      </c>
      <c r="L801" s="126">
        <v>0.39930555555555558</v>
      </c>
      <c r="M801" s="1" t="s">
        <v>36</v>
      </c>
      <c r="N801" s="1" t="s">
        <v>29</v>
      </c>
      <c r="O801" s="1" t="s">
        <v>37</v>
      </c>
      <c r="P801" s="1" t="s">
        <v>176</v>
      </c>
      <c r="Q801" s="1" t="s">
        <v>39</v>
      </c>
    </row>
    <row r="802" spans="3:17" x14ac:dyDescent="0.25">
      <c r="C802" s="1" t="str">
        <f>_xlfn.CONCAT(tabE.Flux[[#This Row],[DATA]],"+",tabE.Flux[[#This Row],[MOTORISTA + MATRÍCULA A]])</f>
        <v>45920+GILDEVAN DE ALMEIDA AGOSTINHO - 1924</v>
      </c>
      <c r="D802" s="1" t="str">
        <f>_xlfn.CONCAT(tabE.Flux[[#This Row],[DATA]],"+",tabE.Flux[[#This Row],[MOTORISTA + MATRÍCULA B]])</f>
        <v>45920+JOSE ALVES DA ROCHA - 5035</v>
      </c>
      <c r="E802" s="1" t="str">
        <f>_xlfn.CONCAT(tabE.Flux[[#This Row],[DATA]],"+",tabE.Flux[[#This Row],[MOTORISTA + MATRÍCULA A]],"+",tabE.Flux[[#This Row],[LINHA]])</f>
        <v>45920+GILDEVAN DE ALMEIDA AGOSTINHO - 1924+GOIANIA (GO) X BELEM (PA)</v>
      </c>
      <c r="F802" s="1" t="str">
        <f>_xlfn.CONCAT(tabE.Flux[[#This Row],[DATA]],"+",tabE.Flux[[#This Row],[MOTORISTA + MATRÍCULA B]],"+",tabE.Flux[[#This Row],[LINHA]])</f>
        <v>45920+JOSE ALVES DA ROCHA - 5035+GOIANIA (GO) X BELEM (PA)</v>
      </c>
      <c r="G802" s="1" t="str">
        <f>_xlfn.CONCAT(tabE.Flux[[#This Row],[DATA]],"+",tabE.Flux[[#This Row],[LINHA]])</f>
        <v>45920+GOIANIA (GO) X BELEM (PA)</v>
      </c>
      <c r="H802" s="125">
        <v>45920</v>
      </c>
      <c r="I802" s="1" t="s">
        <v>15</v>
      </c>
      <c r="J802" s="1">
        <v>19021</v>
      </c>
      <c r="K802" s="126">
        <v>0.375</v>
      </c>
      <c r="L802" s="126">
        <v>0.41666666666666669</v>
      </c>
      <c r="M802" s="1" t="s">
        <v>33</v>
      </c>
      <c r="N802" s="1" t="s">
        <v>16</v>
      </c>
      <c r="O802" s="1" t="s">
        <v>236</v>
      </c>
      <c r="P802" s="1" t="s">
        <v>91</v>
      </c>
      <c r="Q802" s="1" t="s">
        <v>20</v>
      </c>
    </row>
    <row r="803" spans="3:17" x14ac:dyDescent="0.25">
      <c r="C803" s="1" t="str">
        <f>_xlfn.CONCAT(tabE.Flux[[#This Row],[DATA]],"+",tabE.Flux[[#This Row],[MOTORISTA + MATRÍCULA A]])</f>
        <v>45920+CARLOS ADRIANO DE SOUZA DO NASCIMENTO - 6222</v>
      </c>
      <c r="D803" s="1" t="str">
        <f>_xlfn.CONCAT(tabE.Flux[[#This Row],[DATA]],"+",tabE.Flux[[#This Row],[MOTORISTA + MATRÍCULA B]])</f>
        <v>45920+ANDRE SOUSA REIS - 2644</v>
      </c>
      <c r="E803" s="1" t="str">
        <f>_xlfn.CONCAT(tabE.Flux[[#This Row],[DATA]],"+",tabE.Flux[[#This Row],[MOTORISTA + MATRÍCULA A]],"+",tabE.Flux[[#This Row],[LINHA]])</f>
        <v>45920+CARLOS ADRIANO DE SOUZA DO NASCIMENTO - 6222+GOIANIA (GO) X SAO LUIS (MA)</v>
      </c>
      <c r="F803" s="1" t="str">
        <f>_xlfn.CONCAT(tabE.Flux[[#This Row],[DATA]],"+",tabE.Flux[[#This Row],[MOTORISTA + MATRÍCULA B]],"+",tabE.Flux[[#This Row],[LINHA]])</f>
        <v>45920+ANDRE SOUSA REIS - 2644+GOIANIA (GO) X SAO LUIS (MA)</v>
      </c>
      <c r="G803" s="1" t="str">
        <f>_xlfn.CONCAT(tabE.Flux[[#This Row],[DATA]],"+",tabE.Flux[[#This Row],[LINHA]])</f>
        <v>45920+GOIANIA (GO) X SAO LUIS (MA)</v>
      </c>
      <c r="H803" s="125">
        <v>45920</v>
      </c>
      <c r="I803" s="1" t="s">
        <v>15</v>
      </c>
      <c r="J803" s="1">
        <v>19024</v>
      </c>
      <c r="K803" s="126">
        <v>0.25</v>
      </c>
      <c r="L803" s="126">
        <v>0.29166666666666669</v>
      </c>
      <c r="M803" s="1" t="s">
        <v>42</v>
      </c>
      <c r="N803" s="1" t="s">
        <v>16</v>
      </c>
      <c r="O803" s="1" t="s">
        <v>110</v>
      </c>
      <c r="P803" s="1" t="s">
        <v>63</v>
      </c>
      <c r="Q803" s="1" t="s">
        <v>23</v>
      </c>
    </row>
    <row r="804" spans="3:17" x14ac:dyDescent="0.25">
      <c r="C804" s="1" t="str">
        <f>_xlfn.CONCAT(tabE.Flux[[#This Row],[DATA]],"+",tabE.Flux[[#This Row],[MOTORISTA + MATRÍCULA A]])</f>
        <v>45920+EDIVALDO DE ARAUJO - 6217</v>
      </c>
      <c r="D804" s="1" t="str">
        <f>_xlfn.CONCAT(tabE.Flux[[#This Row],[DATA]],"+",tabE.Flux[[#This Row],[MOTORISTA + MATRÍCULA B]])</f>
        <v>45920+FELIPE MORAIS MELO - 3077</v>
      </c>
      <c r="E804" s="1" t="str">
        <f>_xlfn.CONCAT(tabE.Flux[[#This Row],[DATA]],"+",tabE.Flux[[#This Row],[MOTORISTA + MATRÍCULA A]],"+",tabE.Flux[[#This Row],[LINHA]])</f>
        <v>45920+EDIVALDO DE ARAUJO - 6217+GOIANIA (GO) X SAO LUIS (MA)</v>
      </c>
      <c r="F804" s="1" t="str">
        <f>_xlfn.CONCAT(tabE.Flux[[#This Row],[DATA]],"+",tabE.Flux[[#This Row],[MOTORISTA + MATRÍCULA B]],"+",tabE.Flux[[#This Row],[LINHA]])</f>
        <v>45920+FELIPE MORAIS MELO - 3077+GOIANIA (GO) X SAO LUIS (MA)</v>
      </c>
      <c r="G804" s="1" t="str">
        <f>_xlfn.CONCAT(tabE.Flux[[#This Row],[DATA]],"+",tabE.Flux[[#This Row],[LINHA]])</f>
        <v>45920+GOIANIA (GO) X SAO LUIS (MA)</v>
      </c>
      <c r="H804" s="125">
        <v>45920</v>
      </c>
      <c r="I804" s="1" t="s">
        <v>15</v>
      </c>
      <c r="J804" s="1">
        <v>24002</v>
      </c>
      <c r="K804" s="126">
        <v>0.75</v>
      </c>
      <c r="L804" s="126">
        <v>0.79166666666666663</v>
      </c>
      <c r="M804" s="1" t="s">
        <v>42</v>
      </c>
      <c r="N804" s="1" t="s">
        <v>16</v>
      </c>
      <c r="O804" s="1" t="s">
        <v>55</v>
      </c>
      <c r="P804" s="1" t="s">
        <v>78</v>
      </c>
      <c r="Q804" s="1" t="s">
        <v>23</v>
      </c>
    </row>
    <row r="805" spans="3:17" x14ac:dyDescent="0.25">
      <c r="C805" s="1" t="str">
        <f>_xlfn.CONCAT(tabE.Flux[[#This Row],[DATA]],"+",tabE.Flux[[#This Row],[MOTORISTA + MATRÍCULA A]])</f>
        <v>45920+CANCELADO</v>
      </c>
      <c r="D805" s="1" t="str">
        <f>_xlfn.CONCAT(tabE.Flux[[#This Row],[DATA]],"+",tabE.Flux[[#This Row],[MOTORISTA + MATRÍCULA B]])</f>
        <v>45920+CANCELADO</v>
      </c>
      <c r="E805" s="1" t="str">
        <f>_xlfn.CONCAT(tabE.Flux[[#This Row],[DATA]],"+",tabE.Flux[[#This Row],[MOTORISTA + MATRÍCULA A]],"+",tabE.Flux[[#This Row],[LINHA]])</f>
        <v>45920+CANCELADO+IMPERATRIZ (MA) X SÃO LUIS (MA)</v>
      </c>
      <c r="F805" s="1" t="str">
        <f>_xlfn.CONCAT(tabE.Flux[[#This Row],[DATA]],"+",tabE.Flux[[#This Row],[MOTORISTA + MATRÍCULA B]],"+",tabE.Flux[[#This Row],[LINHA]])</f>
        <v>45920+CANCELADO+IMPERATRIZ (MA) X SÃO LUIS (MA)</v>
      </c>
      <c r="G805" s="1" t="str">
        <f>_xlfn.CONCAT(tabE.Flux[[#This Row],[DATA]],"+",tabE.Flux[[#This Row],[LINHA]])</f>
        <v>45920+IMPERATRIZ (MA) X SÃO LUIS (MA)</v>
      </c>
      <c r="H805" s="125">
        <v>45920</v>
      </c>
      <c r="I805" s="1" t="s">
        <v>15</v>
      </c>
      <c r="J805" s="1" t="s">
        <v>27</v>
      </c>
      <c r="K805" s="126">
        <v>0.77083333333333337</v>
      </c>
      <c r="L805" s="126">
        <v>0.79513888888888884</v>
      </c>
      <c r="M805" s="1" t="s">
        <v>42</v>
      </c>
      <c r="N805" s="1" t="s">
        <v>16</v>
      </c>
      <c r="O805" s="1" t="s">
        <v>27</v>
      </c>
      <c r="P805" s="1" t="s">
        <v>27</v>
      </c>
      <c r="Q805" s="1" t="s">
        <v>47</v>
      </c>
    </row>
    <row r="806" spans="3:17" x14ac:dyDescent="0.25">
      <c r="C806" s="1" t="str">
        <f>_xlfn.CONCAT(tabE.Flux[[#This Row],[DATA]],"+",tabE.Flux[[#This Row],[MOTORISTA + MATRÍCULA A]])</f>
        <v>45920+DIVINO FERREIRA DA SILVA - 1946</v>
      </c>
      <c r="D806" s="1" t="str">
        <f>_xlfn.CONCAT(tabE.Flux[[#This Row],[DATA]],"+",tabE.Flux[[#This Row],[MOTORISTA + MATRÍCULA B]])</f>
        <v>45920+JOSE PINHEIRO DA SILVA - 5628</v>
      </c>
      <c r="E806" s="1" t="str">
        <f>_xlfn.CONCAT(tabE.Flux[[#This Row],[DATA]],"+",tabE.Flux[[#This Row],[MOTORISTA + MATRÍCULA A]],"+",tabE.Flux[[#This Row],[LINHA]])</f>
        <v>45920+DIVINO FERREIRA DA SILVA - 1946+GOIANIA (GO) X TERESINA (PI) VIA BC</v>
      </c>
      <c r="F806" s="1" t="str">
        <f>_xlfn.CONCAT(tabE.Flux[[#This Row],[DATA]],"+",tabE.Flux[[#This Row],[MOTORISTA + MATRÍCULA B]],"+",tabE.Flux[[#This Row],[LINHA]])</f>
        <v>45920+JOSE PINHEIRO DA SILVA - 5628+GOIANIA (GO) X TERESINA (PI) VIA BC</v>
      </c>
      <c r="G806" s="1" t="str">
        <f>_xlfn.CONCAT(tabE.Flux[[#This Row],[DATA]],"+",tabE.Flux[[#This Row],[LINHA]])</f>
        <v>45920+GOIANIA (GO) X TERESINA (PI) VIA BC</v>
      </c>
      <c r="H806" s="125">
        <v>45920</v>
      </c>
      <c r="I806" s="1" t="s">
        <v>15</v>
      </c>
      <c r="J806" s="1">
        <v>24013</v>
      </c>
      <c r="K806" s="126">
        <v>0.89583333333333337</v>
      </c>
      <c r="L806" s="126">
        <v>0.91666666666666663</v>
      </c>
      <c r="M806" s="1" t="s">
        <v>36</v>
      </c>
      <c r="N806" s="1" t="s">
        <v>17</v>
      </c>
      <c r="O806" s="1" t="s">
        <v>238</v>
      </c>
      <c r="P806" s="1" t="s">
        <v>162</v>
      </c>
      <c r="Q806" s="1" t="s">
        <v>39</v>
      </c>
    </row>
    <row r="807" spans="3:17" x14ac:dyDescent="0.25">
      <c r="C807" s="1" t="str">
        <f>_xlfn.CONCAT(tabE.Flux[[#This Row],[DATA]],"+",tabE.Flux[[#This Row],[MOTORISTA + MATRÍCULA A]])</f>
        <v>45920+WESLEY SILVA PAIVA - 5638</v>
      </c>
      <c r="D807" s="1" t="str">
        <f>_xlfn.CONCAT(tabE.Flux[[#This Row],[DATA]],"+",tabE.Flux[[#This Row],[MOTORISTA + MATRÍCULA B]])</f>
        <v>45920+ANTONIO RAMIRO WEBER - 5452</v>
      </c>
      <c r="E807" s="1" t="str">
        <f>_xlfn.CONCAT(tabE.Flux[[#This Row],[DATA]],"+",tabE.Flux[[#This Row],[MOTORISTA + MATRÍCULA A]],"+",tabE.Flux[[#This Row],[LINHA]])</f>
        <v>45920+WESLEY SILVA PAIVA - 5638+GOIANIA (GO) X BELEM (PA)</v>
      </c>
      <c r="F807" s="1" t="str">
        <f>_xlfn.CONCAT(tabE.Flux[[#This Row],[DATA]],"+",tabE.Flux[[#This Row],[MOTORISTA + MATRÍCULA B]],"+",tabE.Flux[[#This Row],[LINHA]])</f>
        <v>45920+ANTONIO RAMIRO WEBER - 5452+GOIANIA (GO) X BELEM (PA)</v>
      </c>
      <c r="G807" s="1" t="str">
        <f>_xlfn.CONCAT(tabE.Flux[[#This Row],[DATA]],"+",tabE.Flux[[#This Row],[LINHA]])</f>
        <v>45920+GOIANIA (GO) X BELEM (PA)</v>
      </c>
      <c r="H807" s="125">
        <v>45920</v>
      </c>
      <c r="I807" s="1" t="s">
        <v>15</v>
      </c>
      <c r="J807" s="1">
        <v>24009</v>
      </c>
      <c r="K807" s="126">
        <v>0.76041666666666663</v>
      </c>
      <c r="L807" s="126">
        <v>0.77083333333333337</v>
      </c>
      <c r="M807" s="1" t="s">
        <v>33</v>
      </c>
      <c r="N807" s="1" t="s">
        <v>16</v>
      </c>
      <c r="O807" s="1" t="s">
        <v>112</v>
      </c>
      <c r="P807" s="1" t="s">
        <v>79</v>
      </c>
      <c r="Q807" s="1" t="s">
        <v>20</v>
      </c>
    </row>
    <row r="808" spans="3:17" x14ac:dyDescent="0.25">
      <c r="C808" s="1" t="str">
        <f>_xlfn.CONCAT(tabE.Flux[[#This Row],[DATA]],"+",tabE.Flux[[#This Row],[MOTORISTA + MATRÍCULA A]])</f>
        <v>45920+FRANCISCO ALVES DA PAZ JUNIOR - 1247</v>
      </c>
      <c r="D808" s="1" t="str">
        <f>_xlfn.CONCAT(tabE.Flux[[#This Row],[DATA]],"+",tabE.Flux[[#This Row],[MOTORISTA + MATRÍCULA B]])</f>
        <v>45920+VALDEY OLIVEIRA ARAUJO - 2790</v>
      </c>
      <c r="E808" s="1" t="str">
        <f>_xlfn.CONCAT(tabE.Flux[[#This Row],[DATA]],"+",tabE.Flux[[#This Row],[MOTORISTA + MATRÍCULA A]],"+",tabE.Flux[[#This Row],[LINHA]])</f>
        <v>45920+FRANCISCO ALVES DA PAZ JUNIOR - 1247+GOIANIA (GO) X BELEM (PA)</v>
      </c>
      <c r="F808" s="1" t="str">
        <f>_xlfn.CONCAT(tabE.Flux[[#This Row],[DATA]],"+",tabE.Flux[[#This Row],[MOTORISTA + MATRÍCULA B]],"+",tabE.Flux[[#This Row],[LINHA]])</f>
        <v>45920+VALDEY OLIVEIRA ARAUJO - 2790+GOIANIA (GO) X BELEM (PA)</v>
      </c>
      <c r="G808" s="1" t="str">
        <f>_xlfn.CONCAT(tabE.Flux[[#This Row],[DATA]],"+",tabE.Flux[[#This Row],[LINHA]])</f>
        <v>45920+GOIANIA (GO) X BELEM (PA)</v>
      </c>
      <c r="H808" s="125">
        <v>45920</v>
      </c>
      <c r="I808" s="1" t="s">
        <v>15</v>
      </c>
      <c r="J808" s="1">
        <v>24001</v>
      </c>
      <c r="K808" s="126">
        <v>0.76041666666666663</v>
      </c>
      <c r="L808" s="126">
        <v>0.82777777777777772</v>
      </c>
      <c r="M808" s="1" t="s">
        <v>16</v>
      </c>
      <c r="N808" s="1" t="s">
        <v>33</v>
      </c>
      <c r="O808" s="1" t="s">
        <v>144</v>
      </c>
      <c r="P808" s="1" t="s">
        <v>34</v>
      </c>
      <c r="Q808" s="1" t="s">
        <v>20</v>
      </c>
    </row>
    <row r="809" spans="3:17" x14ac:dyDescent="0.25">
      <c r="C809" s="1" t="str">
        <f>_xlfn.CONCAT(tabE.Flux[[#This Row],[DATA]],"+",tabE.Flux[[#This Row],[MOTORISTA + MATRÍCULA A]])</f>
        <v>45920+BERNARDO SOUZA LIMA - 1720</v>
      </c>
      <c r="D809" s="1" t="str">
        <f>_xlfn.CONCAT(tabE.Flux[[#This Row],[DATA]],"+",tabE.Flux[[#This Row],[MOTORISTA + MATRÍCULA B]])</f>
        <v>45920+ALTEMAR DO NASCIMENTO LIMA - 6225</v>
      </c>
      <c r="E809" s="1" t="str">
        <f>_xlfn.CONCAT(tabE.Flux[[#This Row],[DATA]],"+",tabE.Flux[[#This Row],[MOTORISTA + MATRÍCULA A]],"+",tabE.Flux[[#This Row],[LINHA]])</f>
        <v>45920+BERNARDO SOUZA LIMA - 1720+GOIANIA (GO) X SAO LUIS (MA)</v>
      </c>
      <c r="F809" s="1" t="str">
        <f>_xlfn.CONCAT(tabE.Flux[[#This Row],[DATA]],"+",tabE.Flux[[#This Row],[MOTORISTA + MATRÍCULA B]],"+",tabE.Flux[[#This Row],[LINHA]])</f>
        <v>45920+ALTEMAR DO NASCIMENTO LIMA - 6225+GOIANIA (GO) X SAO LUIS (MA)</v>
      </c>
      <c r="G809" s="1" t="str">
        <f>_xlfn.CONCAT(tabE.Flux[[#This Row],[DATA]],"+",tabE.Flux[[#This Row],[LINHA]])</f>
        <v>45920+GOIANIA (GO) X SAO LUIS (MA)</v>
      </c>
      <c r="H809" s="125">
        <v>45920</v>
      </c>
      <c r="I809" s="1" t="s">
        <v>15</v>
      </c>
      <c r="J809" s="1">
        <v>20010</v>
      </c>
      <c r="K809" s="126">
        <v>0.40763888888888888</v>
      </c>
      <c r="L809" s="126">
        <v>0.47013888888888888</v>
      </c>
      <c r="M809" s="1" t="s">
        <v>16</v>
      </c>
      <c r="N809" s="1" t="s">
        <v>42</v>
      </c>
      <c r="O809" s="1" t="s">
        <v>123</v>
      </c>
      <c r="P809" s="1" t="s">
        <v>57</v>
      </c>
      <c r="Q809" s="1" t="s">
        <v>23</v>
      </c>
    </row>
    <row r="810" spans="3:17" x14ac:dyDescent="0.25">
      <c r="C810" s="1" t="str">
        <f>_xlfn.CONCAT(tabE.Flux[[#This Row],[DATA]],"+",tabE.Flux[[#This Row],[MOTORISTA + MATRÍCULA A]])</f>
        <v>45920+CANCELADO</v>
      </c>
      <c r="D810" s="1" t="str">
        <f>_xlfn.CONCAT(tabE.Flux[[#This Row],[DATA]],"+",tabE.Flux[[#This Row],[MOTORISTA + MATRÍCULA B]])</f>
        <v>45920+CANCELADO</v>
      </c>
      <c r="E810" s="1" t="str">
        <f>_xlfn.CONCAT(tabE.Flux[[#This Row],[DATA]],"+",tabE.Flux[[#This Row],[MOTORISTA + MATRÍCULA A]],"+",tabE.Flux[[#This Row],[LINHA]])</f>
        <v>45920+CANCELADO+IMPERATRIZ (MA) X SÃO LUIS (MA)</v>
      </c>
      <c r="F810" s="1" t="str">
        <f>_xlfn.CONCAT(tabE.Flux[[#This Row],[DATA]],"+",tabE.Flux[[#This Row],[MOTORISTA + MATRÍCULA B]],"+",tabE.Flux[[#This Row],[LINHA]])</f>
        <v>45920+CANCELADO+IMPERATRIZ (MA) X SÃO LUIS (MA)</v>
      </c>
      <c r="G810" s="1" t="str">
        <f>_xlfn.CONCAT(tabE.Flux[[#This Row],[DATA]],"+",tabE.Flux[[#This Row],[LINHA]])</f>
        <v>45920+IMPERATRIZ (MA) X SÃO LUIS (MA)</v>
      </c>
      <c r="H810" s="125">
        <v>45920</v>
      </c>
      <c r="I810" s="1" t="s">
        <v>15</v>
      </c>
      <c r="J810" s="1" t="s">
        <v>27</v>
      </c>
      <c r="K810" s="126">
        <v>0.77083333333333337</v>
      </c>
      <c r="L810" s="126">
        <v>0.8125</v>
      </c>
      <c r="M810" s="1" t="s">
        <v>16</v>
      </c>
      <c r="N810" s="1" t="s">
        <v>42</v>
      </c>
      <c r="O810" s="1" t="s">
        <v>27</v>
      </c>
      <c r="P810" s="1" t="s">
        <v>27</v>
      </c>
      <c r="Q810" s="1" t="s">
        <v>47</v>
      </c>
    </row>
    <row r="811" spans="3:17" x14ac:dyDescent="0.25">
      <c r="C811" s="1" t="str">
        <f>_xlfn.CONCAT(tabE.Flux[[#This Row],[DATA]],"+",tabE.Flux[[#This Row],[MOTORISTA + MATRÍCULA A]])</f>
        <v>45920+CLODOALDO PEREIRA DE LIMA - 4067</v>
      </c>
      <c r="D811" s="1" t="str">
        <f>_xlfn.CONCAT(tabE.Flux[[#This Row],[DATA]],"+",tabE.Flux[[#This Row],[MOTORISTA + MATRÍCULA B]])</f>
        <v>45920+CARLOS ADRIANO DE SOUZA DO NASCIMENTO - 6222</v>
      </c>
      <c r="E811" s="1" t="str">
        <f>_xlfn.CONCAT(tabE.Flux[[#This Row],[DATA]],"+",tabE.Flux[[#This Row],[MOTORISTA + MATRÍCULA A]],"+",tabE.Flux[[#This Row],[LINHA]])</f>
        <v>45920+CLODOALDO PEREIRA DE LIMA - 4067+GOIANIA (GO) X SAO LUIS (MA)</v>
      </c>
      <c r="F811" s="1" t="str">
        <f>_xlfn.CONCAT(tabE.Flux[[#This Row],[DATA]],"+",tabE.Flux[[#This Row],[MOTORISTA + MATRÍCULA B]],"+",tabE.Flux[[#This Row],[LINHA]])</f>
        <v>45920+CARLOS ADRIANO DE SOUZA DO NASCIMENTO - 6222+GOIANIA (GO) X SAO LUIS (MA)</v>
      </c>
      <c r="G811" s="1" t="str">
        <f>_xlfn.CONCAT(tabE.Flux[[#This Row],[DATA]],"+",tabE.Flux[[#This Row],[LINHA]])</f>
        <v>45920+GOIANIA (GO) X SAO LUIS (MA)</v>
      </c>
      <c r="H811" s="125">
        <v>45920</v>
      </c>
      <c r="I811" s="1" t="s">
        <v>15</v>
      </c>
      <c r="J811" s="1">
        <v>24012</v>
      </c>
      <c r="K811" s="126">
        <v>0.8125</v>
      </c>
      <c r="L811" s="126">
        <v>0.84375</v>
      </c>
      <c r="M811" s="1" t="s">
        <v>16</v>
      </c>
      <c r="N811" s="1" t="s">
        <v>42</v>
      </c>
      <c r="O811" s="1" t="s">
        <v>109</v>
      </c>
      <c r="P811" s="1" t="s">
        <v>110</v>
      </c>
      <c r="Q811" s="1" t="s">
        <v>23</v>
      </c>
    </row>
    <row r="812" spans="3:17" x14ac:dyDescent="0.25">
      <c r="C812" s="1" t="str">
        <f>_xlfn.CONCAT(tabE.Flux[[#This Row],[DATA]],"+",tabE.Flux[[#This Row],[MOTORISTA + MATRÍCULA A]])</f>
        <v>45920+ESIEL COSTA RODRIGUES - 1749</v>
      </c>
      <c r="D812" s="1" t="str">
        <f>_xlfn.CONCAT(tabE.Flux[[#This Row],[DATA]],"+",tabE.Flux[[#This Row],[MOTORISTA + MATRÍCULA B]])</f>
        <v>45920+</v>
      </c>
      <c r="E812" s="1" t="str">
        <f>_xlfn.CONCAT(tabE.Flux[[#This Row],[DATA]],"+",tabE.Flux[[#This Row],[MOTORISTA + MATRÍCULA A]],"+",tabE.Flux[[#This Row],[LINHA]])</f>
        <v>45920+ESIEL COSTA RODRIGUES - 1749+GOIANIA (GO) X TERESINA (PI) VIA STI</v>
      </c>
      <c r="F812" s="1" t="str">
        <f>_xlfn.CONCAT(tabE.Flux[[#This Row],[DATA]],"+",tabE.Flux[[#This Row],[MOTORISTA + MATRÍCULA B]],"+",tabE.Flux[[#This Row],[LINHA]])</f>
        <v>45920++GOIANIA (GO) X TERESINA (PI) VIA STI</v>
      </c>
      <c r="G812" s="1" t="str">
        <f>_xlfn.CONCAT(tabE.Flux[[#This Row],[DATA]],"+",tabE.Flux[[#This Row],[LINHA]])</f>
        <v>45920+GOIANIA (GO) X TERESINA (PI) VIA STI</v>
      </c>
      <c r="H812" s="125">
        <v>45920</v>
      </c>
      <c r="I812" s="1" t="s">
        <v>15</v>
      </c>
      <c r="J812" s="1">
        <v>20019</v>
      </c>
      <c r="K812" s="126">
        <v>0.77083333333333337</v>
      </c>
      <c r="L812" s="126">
        <v>0.79861111111111116</v>
      </c>
      <c r="M812" s="1" t="s">
        <v>16</v>
      </c>
      <c r="N812" s="1" t="s">
        <v>29</v>
      </c>
      <c r="O812" s="1" t="s">
        <v>46</v>
      </c>
      <c r="P812" s="1"/>
      <c r="Q812" s="1" t="s">
        <v>26</v>
      </c>
    </row>
    <row r="813" spans="3:17" x14ac:dyDescent="0.25">
      <c r="C813" s="1" t="str">
        <f>_xlfn.CONCAT(tabE.Flux[[#This Row],[DATA]],"+",tabE.Flux[[#This Row],[MOTORISTA + MATRÍCULA A]])</f>
        <v>45920+MERVAL DE SOUSA - 2880</v>
      </c>
      <c r="D813" s="1" t="str">
        <f>_xlfn.CONCAT(tabE.Flux[[#This Row],[DATA]],"+",tabE.Flux[[#This Row],[MOTORISTA + MATRÍCULA B]])</f>
        <v>45920+JEFFERSON CARDOSO DOS SANTOS - 5837</v>
      </c>
      <c r="E813" s="1" t="str">
        <f>_xlfn.CONCAT(tabE.Flux[[#This Row],[DATA]],"+",tabE.Flux[[#This Row],[MOTORISTA + MATRÍCULA A]],"+",tabE.Flux[[#This Row],[LINHA]])</f>
        <v>45920+MERVAL DE SOUSA - 2880+GOIANIA (GO) X SAO LUIS (MA)</v>
      </c>
      <c r="F813" s="1" t="str">
        <f>_xlfn.CONCAT(tabE.Flux[[#This Row],[DATA]],"+",tabE.Flux[[#This Row],[MOTORISTA + MATRÍCULA B]],"+",tabE.Flux[[#This Row],[LINHA]])</f>
        <v>45920+JEFFERSON CARDOSO DOS SANTOS - 5837+GOIANIA (GO) X SAO LUIS (MA)</v>
      </c>
      <c r="G813" s="1" t="str">
        <f>_xlfn.CONCAT(tabE.Flux[[#This Row],[DATA]],"+",tabE.Flux[[#This Row],[LINHA]])</f>
        <v>45920+GOIANIA (GO) X SAO LUIS (MA)</v>
      </c>
      <c r="H813" s="125">
        <v>45920</v>
      </c>
      <c r="I813" s="1" t="s">
        <v>15</v>
      </c>
      <c r="J813" s="1">
        <v>19024</v>
      </c>
      <c r="K813" s="126">
        <v>0.8125</v>
      </c>
      <c r="L813" s="126">
        <v>0.84166666666666667</v>
      </c>
      <c r="M813" s="1" t="s">
        <v>16</v>
      </c>
      <c r="N813" s="1" t="s">
        <v>17</v>
      </c>
      <c r="O813" s="1" t="s">
        <v>44</v>
      </c>
      <c r="P813" s="1" t="s">
        <v>30</v>
      </c>
      <c r="Q813" s="1" t="s">
        <v>23</v>
      </c>
    </row>
    <row r="814" spans="3:17" x14ac:dyDescent="0.25">
      <c r="C814" s="1" t="str">
        <f>_xlfn.CONCAT(tabE.Flux[[#This Row],[DATA]],"+",tabE.Flux[[#This Row],[MOTORISTA + MATRÍCULA A]])</f>
        <v>45920+ANTONIO JOSE PEREIRA SOARES - 1774</v>
      </c>
      <c r="D814" s="1" t="str">
        <f>_xlfn.CONCAT(tabE.Flux[[#This Row],[DATA]],"+",tabE.Flux[[#This Row],[MOTORISTA + MATRÍCULA B]])</f>
        <v>45920+ANTONIO MARCIO DE SENA RIBEIRO CHAVES - 5061</v>
      </c>
      <c r="E814" s="1" t="str">
        <f>_xlfn.CONCAT(tabE.Flux[[#This Row],[DATA]],"+",tabE.Flux[[#This Row],[MOTORISTA + MATRÍCULA A]],"+",tabE.Flux[[#This Row],[LINHA]])</f>
        <v>45920+ANTONIO JOSE PEREIRA SOARES - 1774+FORTALEZA (CE) X SINOP (MT)</v>
      </c>
      <c r="F814" s="1" t="str">
        <f>_xlfn.CONCAT(tabE.Flux[[#This Row],[DATA]],"+",tabE.Flux[[#This Row],[MOTORISTA + MATRÍCULA B]],"+",tabE.Flux[[#This Row],[LINHA]])</f>
        <v>45920+ANTONIO MARCIO DE SENA RIBEIRO CHAVES - 5061+FORTALEZA (CE) X SINOP (MT)</v>
      </c>
      <c r="G814" s="1" t="str">
        <f>_xlfn.CONCAT(tabE.Flux[[#This Row],[DATA]],"+",tabE.Flux[[#This Row],[LINHA]])</f>
        <v>45920+FORTALEZA (CE) X SINOP (MT)</v>
      </c>
      <c r="H814" s="125">
        <v>45920</v>
      </c>
      <c r="I814" s="1" t="s">
        <v>15</v>
      </c>
      <c r="J814" s="1">
        <v>19019</v>
      </c>
      <c r="K814" s="126">
        <v>0.8125</v>
      </c>
      <c r="L814" s="126">
        <v>0.85416666666666663</v>
      </c>
      <c r="M814" s="1" t="s">
        <v>16</v>
      </c>
      <c r="N814" s="1" t="s">
        <v>17</v>
      </c>
      <c r="O814" s="1" t="s">
        <v>52</v>
      </c>
      <c r="P814" s="1" t="s">
        <v>235</v>
      </c>
      <c r="Q814" s="1" t="s">
        <v>32</v>
      </c>
    </row>
    <row r="815" spans="3:17" x14ac:dyDescent="0.25">
      <c r="C815" s="1" t="str">
        <f>_xlfn.CONCAT(tabE.Flux[[#This Row],[DATA]],"+",tabE.Flux[[#This Row],[MOTORISTA + MATRÍCULA A]])</f>
        <v>45920+EDIMAR FRANCISCO ALEIXO - 5593</v>
      </c>
      <c r="D815" s="1" t="str">
        <f>_xlfn.CONCAT(tabE.Flux[[#This Row],[DATA]],"+",tabE.Flux[[#This Row],[MOTORISTA + MATRÍCULA B]])</f>
        <v>45920+LUCIANO CARNEIRO ALVES - 5757</v>
      </c>
      <c r="E815" s="1" t="str">
        <f>_xlfn.CONCAT(tabE.Flux[[#This Row],[DATA]],"+",tabE.Flux[[#This Row],[MOTORISTA + MATRÍCULA A]],"+",tabE.Flux[[#This Row],[LINHA]])</f>
        <v>45920+EDIMAR FRANCISCO ALEIXO - 5593+GOIANIA (GO) X BELEM (PA)</v>
      </c>
      <c r="F815" s="1" t="str">
        <f>_xlfn.CONCAT(tabE.Flux[[#This Row],[DATA]],"+",tabE.Flux[[#This Row],[MOTORISTA + MATRÍCULA B]],"+",tabE.Flux[[#This Row],[LINHA]])</f>
        <v>45920+LUCIANO CARNEIRO ALVES - 5757+GOIANIA (GO) X BELEM (PA)</v>
      </c>
      <c r="G815" s="1" t="str">
        <f>_xlfn.CONCAT(tabE.Flux[[#This Row],[DATA]],"+",tabE.Flux[[#This Row],[LINHA]])</f>
        <v>45920+GOIANIA (GO) X BELEM (PA)</v>
      </c>
      <c r="H815" s="125">
        <v>45920</v>
      </c>
      <c r="I815" s="1" t="s">
        <v>15</v>
      </c>
      <c r="J815" s="1">
        <v>19021</v>
      </c>
      <c r="K815" s="126">
        <v>0.84722222222222221</v>
      </c>
      <c r="L815" s="126">
        <v>0.87847222222222221</v>
      </c>
      <c r="M815" s="1" t="s">
        <v>16</v>
      </c>
      <c r="N815" s="1" t="s">
        <v>17</v>
      </c>
      <c r="O815" s="1" t="s">
        <v>212</v>
      </c>
      <c r="P815" s="1" t="s">
        <v>213</v>
      </c>
      <c r="Q815" s="1" t="s">
        <v>20</v>
      </c>
    </row>
    <row r="816" spans="3:17" x14ac:dyDescent="0.25">
      <c r="C816" s="1" t="str">
        <f>_xlfn.CONCAT(tabE.Flux[[#This Row],[DATA]],"+",tabE.Flux[[#This Row],[MOTORISTA + MATRÍCULA A]])</f>
        <v>+</v>
      </c>
      <c r="D816" s="1" t="str">
        <f>_xlfn.CONCAT(tabE.Flux[[#This Row],[DATA]],"+",tabE.Flux[[#This Row],[MOTORISTA + MATRÍCULA B]])</f>
        <v>+</v>
      </c>
      <c r="E816" s="1" t="str">
        <f>_xlfn.CONCAT(tabE.Flux[[#This Row],[DATA]],"+",tabE.Flux[[#This Row],[MOTORISTA + MATRÍCULA A]],"+",tabE.Flux[[#This Row],[LINHA]])</f>
        <v>++</v>
      </c>
      <c r="F816" s="1" t="str">
        <f>_xlfn.CONCAT(tabE.Flux[[#This Row],[DATA]],"+",tabE.Flux[[#This Row],[MOTORISTA + MATRÍCULA B]],"+",tabE.Flux[[#This Row],[LINHA]])</f>
        <v>++</v>
      </c>
      <c r="G816" s="1" t="str">
        <f>_xlfn.CONCAT(tabE.Flux[[#This Row],[DATA]],"+",tabE.Flux[[#This Row],[LINHA]])</f>
        <v>+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3:17" x14ac:dyDescent="0.25">
      <c r="C817" s="1" t="str">
        <f>_xlfn.CONCAT(tabE.Flux[[#This Row],[DATA]],"+",tabE.Flux[[#This Row],[MOTORISTA + MATRÍCULA A]])</f>
        <v>45921+GESMAR DE SOUZA - 574</v>
      </c>
      <c r="D817" s="1" t="str">
        <f>_xlfn.CONCAT(tabE.Flux[[#This Row],[DATA]],"+",tabE.Flux[[#This Row],[MOTORISTA + MATRÍCULA B]])</f>
        <v>45921+DELEY CARVALHO DE SOUZA - 5624</v>
      </c>
      <c r="E817" s="1" t="str">
        <f>_xlfn.CONCAT(tabE.Flux[[#This Row],[DATA]],"+",tabE.Flux[[#This Row],[MOTORISTA + MATRÍCULA A]],"+",tabE.Flux[[#This Row],[LINHA]])</f>
        <v>45921+GESMAR DE SOUZA - 574+GOIANIA (GO) X BELEM (PA)</v>
      </c>
      <c r="F817" s="1" t="str">
        <f>_xlfn.CONCAT(tabE.Flux[[#This Row],[DATA]],"+",tabE.Flux[[#This Row],[MOTORISTA + MATRÍCULA B]],"+",tabE.Flux[[#This Row],[LINHA]])</f>
        <v>45921+DELEY CARVALHO DE SOUZA - 5624+GOIANIA (GO) X BELEM (PA)</v>
      </c>
      <c r="G817" s="1" t="str">
        <f>_xlfn.CONCAT(tabE.Flux[[#This Row],[DATA]],"+",tabE.Flux[[#This Row],[LINHA]])</f>
        <v>45921+GOIANIA (GO) X BELEM (PA)</v>
      </c>
      <c r="H817" s="125">
        <v>45921</v>
      </c>
      <c r="I817" s="1" t="s">
        <v>15</v>
      </c>
      <c r="J817" s="1">
        <v>24009</v>
      </c>
      <c r="K817" s="126">
        <v>0.25486111111111109</v>
      </c>
      <c r="L817" s="126">
        <v>0.3</v>
      </c>
      <c r="M817" s="1" t="s">
        <v>16</v>
      </c>
      <c r="N817" s="1" t="s">
        <v>17</v>
      </c>
      <c r="O817" s="1" t="s">
        <v>21</v>
      </c>
      <c r="P817" s="1" t="s">
        <v>247</v>
      </c>
      <c r="Q817" s="1" t="s">
        <v>20</v>
      </c>
    </row>
    <row r="818" spans="3:17" x14ac:dyDescent="0.25">
      <c r="C818" s="1" t="str">
        <f>_xlfn.CONCAT(tabE.Flux[[#This Row],[DATA]],"+",tabE.Flux[[#This Row],[MOTORISTA + MATRÍCULA A]])</f>
        <v>45921+CLAUDIO JOSE DO NASCIMENTO - 549</v>
      </c>
      <c r="D818" s="1" t="str">
        <f>_xlfn.CONCAT(tabE.Flux[[#This Row],[DATA]],"+",tabE.Flux[[#This Row],[MOTORISTA + MATRÍCULA B]])</f>
        <v>45921+COSME CAVALCANTE DA SILVA - 3002</v>
      </c>
      <c r="E818" s="1" t="str">
        <f>_xlfn.CONCAT(tabE.Flux[[#This Row],[DATA]],"+",tabE.Flux[[#This Row],[MOTORISTA + MATRÍCULA A]],"+",tabE.Flux[[#This Row],[LINHA]])</f>
        <v>45921+CLAUDIO JOSE DO NASCIMENTO - 549+GOIANIA (GO) X SAO LUIS (MA)</v>
      </c>
      <c r="F818" s="1" t="str">
        <f>_xlfn.CONCAT(tabE.Flux[[#This Row],[DATA]],"+",tabE.Flux[[#This Row],[MOTORISTA + MATRÍCULA B]],"+",tabE.Flux[[#This Row],[LINHA]])</f>
        <v>45921+COSME CAVALCANTE DA SILVA - 3002+GOIANIA (GO) X SAO LUIS (MA)</v>
      </c>
      <c r="G818" s="1" t="str">
        <f>_xlfn.CONCAT(tabE.Flux[[#This Row],[DATA]],"+",tabE.Flux[[#This Row],[LINHA]])</f>
        <v>45921+GOIANIA (GO) X SAO LUIS (MA)</v>
      </c>
      <c r="H818" s="125">
        <v>45921</v>
      </c>
      <c r="I818" s="1" t="s">
        <v>15</v>
      </c>
      <c r="J818" s="1">
        <v>24002</v>
      </c>
      <c r="K818" s="126">
        <v>0.32291666666666669</v>
      </c>
      <c r="L818" s="126">
        <v>0.33333333333333331</v>
      </c>
      <c r="M818" s="1" t="s">
        <v>16</v>
      </c>
      <c r="N818" s="1" t="s">
        <v>17</v>
      </c>
      <c r="O818" s="1" t="s">
        <v>48</v>
      </c>
      <c r="P818" s="1" t="s">
        <v>49</v>
      </c>
      <c r="Q818" s="1" t="s">
        <v>23</v>
      </c>
    </row>
    <row r="819" spans="3:17" x14ac:dyDescent="0.25">
      <c r="C819" s="1" t="str">
        <f>_xlfn.CONCAT(tabE.Flux[[#This Row],[DATA]],"+",tabE.Flux[[#This Row],[MOTORISTA + MATRÍCULA A]])</f>
        <v>45921+  EURIPEDES BARSANULFO DIAS ROSA- 1951</v>
      </c>
      <c r="D819" s="1" t="str">
        <f>_xlfn.CONCAT(tabE.Flux[[#This Row],[DATA]],"+",tabE.Flux[[#This Row],[MOTORISTA + MATRÍCULA B]])</f>
        <v>45921+  NEIRIVAL MOREIRA PINTO- 5432</v>
      </c>
      <c r="E819" s="1" t="str">
        <f>_xlfn.CONCAT(tabE.Flux[[#This Row],[DATA]],"+",tabE.Flux[[#This Row],[MOTORISTA + MATRÍCULA A]],"+",tabE.Flux[[#This Row],[LINHA]])</f>
        <v>45921+  EURIPEDES BARSANULFO DIAS ROSA- 1951+GOIANIA (GO) X TERESINA (PI) VIA STI</v>
      </c>
      <c r="F819" s="1" t="str">
        <f>_xlfn.CONCAT(tabE.Flux[[#This Row],[DATA]],"+",tabE.Flux[[#This Row],[MOTORISTA + MATRÍCULA B]],"+",tabE.Flux[[#This Row],[LINHA]])</f>
        <v>45921+  NEIRIVAL MOREIRA PINTO- 5432+GOIANIA (GO) X TERESINA (PI) VIA STI</v>
      </c>
      <c r="G819" s="1" t="str">
        <f>_xlfn.CONCAT(tabE.Flux[[#This Row],[DATA]],"+",tabE.Flux[[#This Row],[LINHA]])</f>
        <v>45921+GOIANIA (GO) X TERESINA (PI) VIA STI</v>
      </c>
      <c r="H819" s="125">
        <v>45921</v>
      </c>
      <c r="I819" s="1" t="s">
        <v>15</v>
      </c>
      <c r="J819" s="1">
        <v>19014</v>
      </c>
      <c r="K819" s="126">
        <v>0.3888888888888889</v>
      </c>
      <c r="L819" s="126">
        <v>0.39583333333333331</v>
      </c>
      <c r="M819" s="1" t="s">
        <v>16</v>
      </c>
      <c r="N819" s="1" t="s">
        <v>17</v>
      </c>
      <c r="O819" s="1" t="s">
        <v>191</v>
      </c>
      <c r="P819" s="1" t="s">
        <v>192</v>
      </c>
      <c r="Q819" s="1" t="s">
        <v>26</v>
      </c>
    </row>
    <row r="820" spans="3:17" x14ac:dyDescent="0.25">
      <c r="C820" s="1" t="str">
        <f>_xlfn.CONCAT(tabE.Flux[[#This Row],[DATA]],"+",tabE.Flux[[#This Row],[MOTORISTA + MATRÍCULA A]])</f>
        <v>45921+CANCELADO</v>
      </c>
      <c r="D820" s="1" t="str">
        <f>_xlfn.CONCAT(tabE.Flux[[#This Row],[DATA]],"+",tabE.Flux[[#This Row],[MOTORISTA + MATRÍCULA B]])</f>
        <v>45921+CANCELADO</v>
      </c>
      <c r="E820" s="1" t="str">
        <f>_xlfn.CONCAT(tabE.Flux[[#This Row],[DATA]],"+",tabE.Flux[[#This Row],[MOTORISTA + MATRÍCULA A]],"+",tabE.Flux[[#This Row],[LINHA]])</f>
        <v>45921+CANCELADO+IMPERATRIZ (MA) X VILA RICA (MT)</v>
      </c>
      <c r="F820" s="1" t="str">
        <f>_xlfn.CONCAT(tabE.Flux[[#This Row],[DATA]],"+",tabE.Flux[[#This Row],[MOTORISTA + MATRÍCULA B]],"+",tabE.Flux[[#This Row],[LINHA]])</f>
        <v>45921+CANCELADO+IMPERATRIZ (MA) X VILA RICA (MT)</v>
      </c>
      <c r="G820" s="1" t="str">
        <f>_xlfn.CONCAT(tabE.Flux[[#This Row],[DATA]],"+",tabE.Flux[[#This Row],[LINHA]])</f>
        <v>45921+IMPERATRIZ (MA) X VILA RICA (MT)</v>
      </c>
      <c r="H820" s="125">
        <v>45921</v>
      </c>
      <c r="I820" s="1" t="s">
        <v>15</v>
      </c>
      <c r="J820" s="1" t="s">
        <v>27</v>
      </c>
      <c r="K820" s="126">
        <v>0.375</v>
      </c>
      <c r="L820" s="126">
        <v>0.41666666666666669</v>
      </c>
      <c r="M820" s="1" t="s">
        <v>16</v>
      </c>
      <c r="N820" s="1" t="s">
        <v>28</v>
      </c>
      <c r="O820" s="1" t="s">
        <v>27</v>
      </c>
      <c r="P820" s="1" t="s">
        <v>27</v>
      </c>
      <c r="Q820" s="1" t="s">
        <v>100</v>
      </c>
    </row>
    <row r="821" spans="3:17" x14ac:dyDescent="0.25">
      <c r="C821" s="1" t="str">
        <f>_xlfn.CONCAT(tabE.Flux[[#This Row],[DATA]],"+",tabE.Flux[[#This Row],[MOTORISTA + MATRÍCULA A]])</f>
        <v>45921+MARCIO RODRIGUES DA COSTA - 5993</v>
      </c>
      <c r="D821" s="1" t="str">
        <f>_xlfn.CONCAT(tabE.Flux[[#This Row],[DATA]],"+",tabE.Flux[[#This Row],[MOTORISTA + MATRÍCULA B]])</f>
        <v>45921+FRANCISCO DAS CHAGAS DOS SANTOS ANGELO - 5299</v>
      </c>
      <c r="E821" s="1" t="str">
        <f>_xlfn.CONCAT(tabE.Flux[[#This Row],[DATA]],"+",tabE.Flux[[#This Row],[MOTORISTA + MATRÍCULA A]],"+",tabE.Flux[[#This Row],[LINHA]])</f>
        <v>45921+MARCIO RODRIGUES DA COSTA - 5993+FORTALEZA (CE) X SINOP (MT)</v>
      </c>
      <c r="F821" s="1" t="str">
        <f>_xlfn.CONCAT(tabE.Flux[[#This Row],[DATA]],"+",tabE.Flux[[#This Row],[MOTORISTA + MATRÍCULA B]],"+",tabE.Flux[[#This Row],[LINHA]])</f>
        <v>45921+FRANCISCO DAS CHAGAS DOS SANTOS ANGELO - 5299+FORTALEZA (CE) X SINOP (MT)</v>
      </c>
      <c r="G821" s="1" t="str">
        <f>_xlfn.CONCAT(tabE.Flux[[#This Row],[DATA]],"+",tabE.Flux[[#This Row],[LINHA]])</f>
        <v>45921+FORTALEZA (CE) X SINOP (MT)</v>
      </c>
      <c r="H821" s="125">
        <v>45921</v>
      </c>
      <c r="I821" s="1" t="s">
        <v>15</v>
      </c>
      <c r="J821" s="1">
        <v>19005</v>
      </c>
      <c r="K821" s="126">
        <v>0.3888888888888889</v>
      </c>
      <c r="L821" s="126">
        <v>0.37708333333333333</v>
      </c>
      <c r="M821" s="1" t="s">
        <v>16</v>
      </c>
      <c r="N821" s="1" t="s">
        <v>29</v>
      </c>
      <c r="O821" s="1" t="s">
        <v>107</v>
      </c>
      <c r="P821" s="1" t="s">
        <v>198</v>
      </c>
      <c r="Q821" s="1" t="s">
        <v>32</v>
      </c>
    </row>
    <row r="822" spans="3:17" x14ac:dyDescent="0.25">
      <c r="C822" s="1" t="str">
        <f>_xlfn.CONCAT(tabE.Flux[[#This Row],[DATA]],"+",tabE.Flux[[#This Row],[MOTORISTA + MATRÍCULA A]])</f>
        <v>45921+RONNE RODRIGUES DE SOUSA - 5025</v>
      </c>
      <c r="D822" s="1" t="str">
        <f>_xlfn.CONCAT(tabE.Flux[[#This Row],[DATA]],"+",tabE.Flux[[#This Row],[MOTORISTA + MATRÍCULA B]])</f>
        <v>45921+LEANDRO DE OLIVEIRA MELO - 2151</v>
      </c>
      <c r="E822" s="1" t="str">
        <f>_xlfn.CONCAT(tabE.Flux[[#This Row],[DATA]],"+",tabE.Flux[[#This Row],[MOTORISTA + MATRÍCULA A]],"+",tabE.Flux[[#This Row],[LINHA]])</f>
        <v>45921+RONNE RODRIGUES DE SOUSA - 5025+GOIANIA (GO) X BELEM (PA)</v>
      </c>
      <c r="F822" s="1" t="str">
        <f>_xlfn.CONCAT(tabE.Flux[[#This Row],[DATA]],"+",tabE.Flux[[#This Row],[MOTORISTA + MATRÍCULA B]],"+",tabE.Flux[[#This Row],[LINHA]])</f>
        <v>45921+LEANDRO DE OLIVEIRA MELO - 2151+GOIANIA (GO) X BELEM (PA)</v>
      </c>
      <c r="G822" s="1" t="str">
        <f>_xlfn.CONCAT(tabE.Flux[[#This Row],[DATA]],"+",tabE.Flux[[#This Row],[LINHA]])</f>
        <v>45921+GOIANIA (GO) X BELEM (PA)</v>
      </c>
      <c r="H822" s="125">
        <v>45921</v>
      </c>
      <c r="I822" s="1" t="s">
        <v>15</v>
      </c>
      <c r="J822" s="1">
        <v>19020</v>
      </c>
      <c r="K822" s="126">
        <v>0.38958333333333334</v>
      </c>
      <c r="L822" s="126">
        <v>0.38541666666666669</v>
      </c>
      <c r="M822" s="1" t="s">
        <v>16</v>
      </c>
      <c r="N822" s="1" t="s">
        <v>33</v>
      </c>
      <c r="O822" s="1" t="s">
        <v>85</v>
      </c>
      <c r="P822" s="1" t="s">
        <v>64</v>
      </c>
      <c r="Q822" s="1" t="s">
        <v>20</v>
      </c>
    </row>
    <row r="823" spans="3:17" x14ac:dyDescent="0.25">
      <c r="C823" s="1" t="str">
        <f>_xlfn.CONCAT(tabE.Flux[[#This Row],[DATA]],"+",tabE.Flux[[#This Row],[MOTORISTA + MATRÍCULA A]])</f>
        <v>45921+KLEBSON ALVES FREIRES - 3060</v>
      </c>
      <c r="D823" s="1" t="str">
        <f>_xlfn.CONCAT(tabE.Flux[[#This Row],[DATA]],"+",tabE.Flux[[#This Row],[MOTORISTA + MATRÍCULA B]])</f>
        <v>45921+FRANCISCO CARLOS MELO - 5306</v>
      </c>
      <c r="E823" s="1" t="str">
        <f>_xlfn.CONCAT(tabE.Flux[[#This Row],[DATA]],"+",tabE.Flux[[#This Row],[MOTORISTA + MATRÍCULA A]],"+",tabE.Flux[[#This Row],[LINHA]])</f>
        <v>45921+KLEBSON ALVES FREIRES - 3060+GOIANIA (GO) X TERESINA (PI) VIA BC</v>
      </c>
      <c r="F823" s="1" t="str">
        <f>_xlfn.CONCAT(tabE.Flux[[#This Row],[DATA]],"+",tabE.Flux[[#This Row],[MOTORISTA + MATRÍCULA B]],"+",tabE.Flux[[#This Row],[LINHA]])</f>
        <v>45921+FRANCISCO CARLOS MELO - 5306+GOIANIA (GO) X TERESINA (PI) VIA BC</v>
      </c>
      <c r="G823" s="1" t="str">
        <f>_xlfn.CONCAT(tabE.Flux[[#This Row],[DATA]],"+",tabE.Flux[[#This Row],[LINHA]])</f>
        <v>45921+GOIANIA (GO) X TERESINA (PI) VIA BC</v>
      </c>
      <c r="H823" s="125">
        <v>45921</v>
      </c>
      <c r="I823" s="1" t="s">
        <v>15</v>
      </c>
      <c r="J823" s="1">
        <v>25008</v>
      </c>
      <c r="K823" s="126">
        <v>0.375</v>
      </c>
      <c r="L823" s="126">
        <v>0.39930555555555558</v>
      </c>
      <c r="M823" s="1" t="s">
        <v>36</v>
      </c>
      <c r="N823" s="1" t="s">
        <v>29</v>
      </c>
      <c r="O823" s="1" t="s">
        <v>161</v>
      </c>
      <c r="P823" s="1" t="s">
        <v>142</v>
      </c>
      <c r="Q823" s="1" t="s">
        <v>39</v>
      </c>
    </row>
    <row r="824" spans="3:17" x14ac:dyDescent="0.25">
      <c r="C824" s="1" t="str">
        <f>_xlfn.CONCAT(tabE.Flux[[#This Row],[DATA]],"+",tabE.Flux[[#This Row],[MOTORISTA + MATRÍCULA A]])</f>
        <v>45921+CANCELADO</v>
      </c>
      <c r="D824" s="1" t="str">
        <f>_xlfn.CONCAT(tabE.Flux[[#This Row],[DATA]],"+",tabE.Flux[[#This Row],[MOTORISTA + MATRÍCULA B]])</f>
        <v>45921+CANCELADO</v>
      </c>
      <c r="E824" s="1" t="str">
        <f>_xlfn.CONCAT(tabE.Flux[[#This Row],[DATA]],"+",tabE.Flux[[#This Row],[MOTORISTA + MATRÍCULA A]],"+",tabE.Flux[[#This Row],[LINHA]])</f>
        <v>45921+CANCELADO+GOIANIA (GO) X BELEM (PA)</v>
      </c>
      <c r="F824" s="1" t="str">
        <f>_xlfn.CONCAT(tabE.Flux[[#This Row],[DATA]],"+",tabE.Flux[[#This Row],[MOTORISTA + MATRÍCULA B]],"+",tabE.Flux[[#This Row],[LINHA]])</f>
        <v>45921+CANCELADO+GOIANIA (GO) X BELEM (PA)</v>
      </c>
      <c r="G824" s="1" t="str">
        <f>_xlfn.CONCAT(tabE.Flux[[#This Row],[DATA]],"+",tabE.Flux[[#This Row],[LINHA]])</f>
        <v>45921+GOIANIA (GO) X BELEM (PA)</v>
      </c>
      <c r="H824" s="125">
        <v>45921</v>
      </c>
      <c r="I824" s="1" t="s">
        <v>15</v>
      </c>
      <c r="J824" s="1" t="s">
        <v>27</v>
      </c>
      <c r="K824" s="126">
        <v>0.375</v>
      </c>
      <c r="L824" s="126">
        <v>0.41666666666666669</v>
      </c>
      <c r="M824" s="1" t="s">
        <v>33</v>
      </c>
      <c r="N824" s="1" t="s">
        <v>16</v>
      </c>
      <c r="O824" s="1" t="s">
        <v>27</v>
      </c>
      <c r="P824" s="1" t="s">
        <v>27</v>
      </c>
      <c r="Q824" s="1" t="s">
        <v>20</v>
      </c>
    </row>
    <row r="825" spans="3:17" x14ac:dyDescent="0.25">
      <c r="C825" s="1" t="str">
        <f>_xlfn.CONCAT(tabE.Flux[[#This Row],[DATA]],"+",tabE.Flux[[#This Row],[MOTORISTA + MATRÍCULA A]])</f>
        <v>45921+CANCELADO</v>
      </c>
      <c r="D825" s="1" t="str">
        <f>_xlfn.CONCAT(tabE.Flux[[#This Row],[DATA]],"+",tabE.Flux[[#This Row],[MOTORISTA + MATRÍCULA B]])</f>
        <v>45921+CANCELADO</v>
      </c>
      <c r="E825" s="1" t="str">
        <f>_xlfn.CONCAT(tabE.Flux[[#This Row],[DATA]],"+",tabE.Flux[[#This Row],[MOTORISTA + MATRÍCULA A]],"+",tabE.Flux[[#This Row],[LINHA]])</f>
        <v>45921+CANCELADO+GOIANIA (GO) X SAO LUIS (MA)</v>
      </c>
      <c r="F825" s="1" t="str">
        <f>_xlfn.CONCAT(tabE.Flux[[#This Row],[DATA]],"+",tabE.Flux[[#This Row],[MOTORISTA + MATRÍCULA B]],"+",tabE.Flux[[#This Row],[LINHA]])</f>
        <v>45921+CANCELADO+GOIANIA (GO) X SAO LUIS (MA)</v>
      </c>
      <c r="G825" s="1" t="str">
        <f>_xlfn.CONCAT(tabE.Flux[[#This Row],[DATA]],"+",tabE.Flux[[#This Row],[LINHA]])</f>
        <v>45921+GOIANIA (GO) X SAO LUIS (MA)</v>
      </c>
      <c r="H825" s="125">
        <v>45921</v>
      </c>
      <c r="I825" s="1" t="s">
        <v>15</v>
      </c>
      <c r="J825" s="1" t="s">
        <v>27</v>
      </c>
      <c r="K825" s="126">
        <v>0.25</v>
      </c>
      <c r="L825" s="126">
        <v>0.29166666666666669</v>
      </c>
      <c r="M825" s="1" t="s">
        <v>42</v>
      </c>
      <c r="N825" s="1" t="s">
        <v>16</v>
      </c>
      <c r="O825" s="1" t="s">
        <v>27</v>
      </c>
      <c r="P825" s="1" t="s">
        <v>27</v>
      </c>
      <c r="Q825" s="1" t="s">
        <v>23</v>
      </c>
    </row>
    <row r="826" spans="3:17" x14ac:dyDescent="0.25">
      <c r="C826" s="1" t="str">
        <f>_xlfn.CONCAT(tabE.Flux[[#This Row],[DATA]],"+",tabE.Flux[[#This Row],[MOTORISTA + MATRÍCULA A]])</f>
        <v>45921+LAUCEANDO DA SILVA ROCHA - 6220</v>
      </c>
      <c r="D826" s="1" t="str">
        <f>_xlfn.CONCAT(tabE.Flux[[#This Row],[DATA]],"+",tabE.Flux[[#This Row],[MOTORISTA + MATRÍCULA B]])</f>
        <v>45921+CLODOALDO PEREIRA DE LIMA - 4067</v>
      </c>
      <c r="E826" s="1" t="str">
        <f>_xlfn.CONCAT(tabE.Flux[[#This Row],[DATA]],"+",tabE.Flux[[#This Row],[MOTORISTA + MATRÍCULA A]],"+",tabE.Flux[[#This Row],[LINHA]])</f>
        <v>45921+LAUCEANDO DA SILVA ROCHA - 6220+GOIANIA (GO) X SAO LUIS (MA)</v>
      </c>
      <c r="F826" s="1" t="str">
        <f>_xlfn.CONCAT(tabE.Flux[[#This Row],[DATA]],"+",tabE.Flux[[#This Row],[MOTORISTA + MATRÍCULA B]],"+",tabE.Flux[[#This Row],[LINHA]])</f>
        <v>45921+CLODOALDO PEREIRA DE LIMA - 4067+GOIANIA (GO) X SAO LUIS (MA)</v>
      </c>
      <c r="G826" s="1" t="str">
        <f>_xlfn.CONCAT(tabE.Flux[[#This Row],[DATA]],"+",tabE.Flux[[#This Row],[LINHA]])</f>
        <v>45921+GOIANIA (GO) X SAO LUIS (MA)</v>
      </c>
      <c r="H826" s="125">
        <v>45921</v>
      </c>
      <c r="I826" s="1" t="s">
        <v>15</v>
      </c>
      <c r="J826" s="1">
        <v>24012</v>
      </c>
      <c r="K826" s="126">
        <v>0.75</v>
      </c>
      <c r="L826" s="126">
        <v>0.79166666666666663</v>
      </c>
      <c r="M826" s="1" t="s">
        <v>42</v>
      </c>
      <c r="N826" s="1" t="s">
        <v>16</v>
      </c>
      <c r="O826" s="1" t="s">
        <v>86</v>
      </c>
      <c r="P826" s="1" t="s">
        <v>109</v>
      </c>
      <c r="Q826" s="1" t="s">
        <v>23</v>
      </c>
    </row>
    <row r="827" spans="3:17" x14ac:dyDescent="0.25">
      <c r="C827" s="1" t="str">
        <f>_xlfn.CONCAT(tabE.Flux[[#This Row],[DATA]],"+",tabE.Flux[[#This Row],[MOTORISTA + MATRÍCULA A]])</f>
        <v>45921+KAYLSON KLEYTON DA SILVA COSTA - 6224</v>
      </c>
      <c r="D827" s="1" t="str">
        <f>_xlfn.CONCAT(tabE.Flux[[#This Row],[DATA]],"+",tabE.Flux[[#This Row],[MOTORISTA + MATRÍCULA B]])</f>
        <v>45921+BERNARDO SOUZA LIMA - 1720</v>
      </c>
      <c r="E827" s="1" t="str">
        <f>_xlfn.CONCAT(tabE.Flux[[#This Row],[DATA]],"+",tabE.Flux[[#This Row],[MOTORISTA + MATRÍCULA A]],"+",tabE.Flux[[#This Row],[LINHA]])</f>
        <v>45921+KAYLSON KLEYTON DA SILVA COSTA - 6224+IMPERATRIZ (MA) X SÃO LUIS (MA)</v>
      </c>
      <c r="F827" s="1" t="str">
        <f>_xlfn.CONCAT(tabE.Flux[[#This Row],[DATA]],"+",tabE.Flux[[#This Row],[MOTORISTA + MATRÍCULA B]],"+",tabE.Flux[[#This Row],[LINHA]])</f>
        <v>45921+BERNARDO SOUZA LIMA - 1720+IMPERATRIZ (MA) X SÃO LUIS (MA)</v>
      </c>
      <c r="G827" s="1" t="str">
        <f>_xlfn.CONCAT(tabE.Flux[[#This Row],[DATA]],"+",tabE.Flux[[#This Row],[LINHA]])</f>
        <v>45921+IMPERATRIZ (MA) X SÃO LUIS (MA)</v>
      </c>
      <c r="H827" s="125">
        <v>45921</v>
      </c>
      <c r="I827" s="1" t="s">
        <v>15</v>
      </c>
      <c r="J827" s="1">
        <v>18016</v>
      </c>
      <c r="K827" s="126">
        <v>0.77083333333333337</v>
      </c>
      <c r="L827" s="126">
        <v>0.79513888888888884</v>
      </c>
      <c r="M827" s="1" t="s">
        <v>42</v>
      </c>
      <c r="N827" s="1" t="s">
        <v>16</v>
      </c>
      <c r="O827" s="1" t="s">
        <v>80</v>
      </c>
      <c r="P827" s="1" t="s">
        <v>123</v>
      </c>
      <c r="Q827" s="1" t="s">
        <v>47</v>
      </c>
    </row>
    <row r="828" spans="3:17" x14ac:dyDescent="0.25">
      <c r="C828" s="1" t="str">
        <f>_xlfn.CONCAT(tabE.Flux[[#This Row],[DATA]],"+",tabE.Flux[[#This Row],[MOTORISTA + MATRÍCULA A]])</f>
        <v>45921+ELISEU TORRES DE OLIVEIRA - 561</v>
      </c>
      <c r="D828" s="1" t="str">
        <f>_xlfn.CONCAT(tabE.Flux[[#This Row],[DATA]],"+",tabE.Flux[[#This Row],[MOTORISTA + MATRÍCULA B]])</f>
        <v>45921+JULIO EDER NERES DA SILVA - 1767</v>
      </c>
      <c r="E828" s="1" t="str">
        <f>_xlfn.CONCAT(tabE.Flux[[#This Row],[DATA]],"+",tabE.Flux[[#This Row],[MOTORISTA + MATRÍCULA A]],"+",tabE.Flux[[#This Row],[LINHA]])</f>
        <v>45921+ELISEU TORRES DE OLIVEIRA - 561+GOIANIA (GO) X TERESINA (PI) VIA BC</v>
      </c>
      <c r="F828" s="1" t="str">
        <f>_xlfn.CONCAT(tabE.Flux[[#This Row],[DATA]],"+",tabE.Flux[[#This Row],[MOTORISTA + MATRÍCULA B]],"+",tabE.Flux[[#This Row],[LINHA]])</f>
        <v>45921+JULIO EDER NERES DA SILVA - 1767+GOIANIA (GO) X TERESINA (PI) VIA BC</v>
      </c>
      <c r="G828" s="1" t="str">
        <f>_xlfn.CONCAT(tabE.Flux[[#This Row],[DATA]],"+",tabE.Flux[[#This Row],[LINHA]])</f>
        <v>45921+GOIANIA (GO) X TERESINA (PI) VIA BC</v>
      </c>
      <c r="H828" s="125">
        <v>45921</v>
      </c>
      <c r="I828" s="1" t="s">
        <v>15</v>
      </c>
      <c r="J828" s="1">
        <v>25009</v>
      </c>
      <c r="K828" s="126">
        <v>0.89583333333333337</v>
      </c>
      <c r="L828" s="126">
        <v>0.91666666666666663</v>
      </c>
      <c r="M828" s="1" t="s">
        <v>36</v>
      </c>
      <c r="N828" s="1" t="s">
        <v>17</v>
      </c>
      <c r="O828" s="1" t="s">
        <v>169</v>
      </c>
      <c r="P828" s="1" t="s">
        <v>170</v>
      </c>
      <c r="Q828" s="1" t="s">
        <v>39</v>
      </c>
    </row>
    <row r="829" spans="3:17" x14ac:dyDescent="0.25">
      <c r="C829" s="1" t="str">
        <f>_xlfn.CONCAT(tabE.Flux[[#This Row],[DATA]],"+",tabE.Flux[[#This Row],[MOTORISTA + MATRÍCULA A]])</f>
        <v>45921+JARDEL DE SOUSA OLIVEIRA - 5992</v>
      </c>
      <c r="D829" s="1" t="str">
        <f>_xlfn.CONCAT(tabE.Flux[[#This Row],[DATA]],"+",tabE.Flux[[#This Row],[MOTORISTA + MATRÍCULA B]])</f>
        <v>45921+FRANCISCO LINDONALDO DE SOUSA - 2971</v>
      </c>
      <c r="E829" s="1" t="str">
        <f>_xlfn.CONCAT(tabE.Flux[[#This Row],[DATA]],"+",tabE.Flux[[#This Row],[MOTORISTA + MATRÍCULA A]],"+",tabE.Flux[[#This Row],[LINHA]])</f>
        <v>45921+JARDEL DE SOUSA OLIVEIRA - 5992+GOIANIA (GO) X BELEM (PA)</v>
      </c>
      <c r="F829" s="1" t="str">
        <f>_xlfn.CONCAT(tabE.Flux[[#This Row],[DATA]],"+",tabE.Flux[[#This Row],[MOTORISTA + MATRÍCULA B]],"+",tabE.Flux[[#This Row],[LINHA]])</f>
        <v>45921+FRANCISCO LINDONALDO DE SOUSA - 2971+GOIANIA (GO) X BELEM (PA)</v>
      </c>
      <c r="G829" s="1" t="str">
        <f>_xlfn.CONCAT(tabE.Flux[[#This Row],[DATA]],"+",tabE.Flux[[#This Row],[LINHA]])</f>
        <v>45921+GOIANIA (GO) X BELEM (PA)</v>
      </c>
      <c r="H829" s="125">
        <v>45921</v>
      </c>
      <c r="I829" s="1" t="s">
        <v>15</v>
      </c>
      <c r="J829" s="1">
        <v>24001</v>
      </c>
      <c r="K829" s="126">
        <v>0.76041666666666663</v>
      </c>
      <c r="L829" s="126">
        <v>0.77083333333333337</v>
      </c>
      <c r="M829" s="1" t="s">
        <v>33</v>
      </c>
      <c r="N829" s="1" t="s">
        <v>16</v>
      </c>
      <c r="O829" s="1" t="s">
        <v>150</v>
      </c>
      <c r="P829" s="1" t="s">
        <v>131</v>
      </c>
      <c r="Q829" s="1" t="s">
        <v>20</v>
      </c>
    </row>
    <row r="830" spans="3:17" x14ac:dyDescent="0.25">
      <c r="C830" s="1" t="str">
        <f>_xlfn.CONCAT(tabE.Flux[[#This Row],[DATA]],"+",tabE.Flux[[#This Row],[MOTORISTA + MATRÍCULA A]])</f>
        <v>45921+JAME DOS SANTOS MOURA - 5332</v>
      </c>
      <c r="D830" s="1" t="str">
        <f>_xlfn.CONCAT(tabE.Flux[[#This Row],[DATA]],"+",tabE.Flux[[#This Row],[MOTORISTA + MATRÍCULA B]])</f>
        <v>45921+JOSE CARLOS BEZERRA DA SILVA - 3034</v>
      </c>
      <c r="E830" s="1" t="str">
        <f>_xlfn.CONCAT(tabE.Flux[[#This Row],[DATA]],"+",tabE.Flux[[#This Row],[MOTORISTA + MATRÍCULA A]],"+",tabE.Flux[[#This Row],[LINHA]])</f>
        <v>45921+JAME DOS SANTOS MOURA - 5332+GOIANIA (GO) X BELEM (PA)</v>
      </c>
      <c r="F830" s="1" t="str">
        <f>_xlfn.CONCAT(tabE.Flux[[#This Row],[DATA]],"+",tabE.Flux[[#This Row],[MOTORISTA + MATRÍCULA B]],"+",tabE.Flux[[#This Row],[LINHA]])</f>
        <v>45921+JOSE CARLOS BEZERRA DA SILVA - 3034+GOIANIA (GO) X BELEM (PA)</v>
      </c>
      <c r="G830" s="1" t="str">
        <f>_xlfn.CONCAT(tabE.Flux[[#This Row],[DATA]],"+",tabE.Flux[[#This Row],[LINHA]])</f>
        <v>45921+GOIANIA (GO) X BELEM (PA)</v>
      </c>
      <c r="H830" s="125">
        <v>45921</v>
      </c>
      <c r="I830" s="1" t="s">
        <v>15</v>
      </c>
      <c r="J830" s="1">
        <v>24004</v>
      </c>
      <c r="K830" s="126">
        <v>0.76041666666666663</v>
      </c>
      <c r="L830" s="126">
        <v>0.82777777777777772</v>
      </c>
      <c r="M830" s="1" t="s">
        <v>16</v>
      </c>
      <c r="N830" s="1" t="s">
        <v>33</v>
      </c>
      <c r="O830" s="1" t="s">
        <v>103</v>
      </c>
      <c r="P830" s="1" t="s">
        <v>76</v>
      </c>
      <c r="Q830" s="1" t="s">
        <v>20</v>
      </c>
    </row>
    <row r="831" spans="3:17" x14ac:dyDescent="0.25">
      <c r="C831" s="1" t="str">
        <f>_xlfn.CONCAT(tabE.Flux[[#This Row],[DATA]],"+",tabE.Flux[[#This Row],[MOTORISTA + MATRÍCULA A]])</f>
        <v>45921+EDUARDO SANTOS BEZERRA - 4066</v>
      </c>
      <c r="D831" s="1" t="str">
        <f>_xlfn.CONCAT(tabE.Flux[[#This Row],[DATA]],"+",tabE.Flux[[#This Row],[MOTORISTA + MATRÍCULA B]])</f>
        <v>45921+PAULO ENEAS FARIAS ARAUJO - 6218</v>
      </c>
      <c r="E831" s="1" t="str">
        <f>_xlfn.CONCAT(tabE.Flux[[#This Row],[DATA]],"+",tabE.Flux[[#This Row],[MOTORISTA + MATRÍCULA A]],"+",tabE.Flux[[#This Row],[LINHA]])</f>
        <v>45921+EDUARDO SANTOS BEZERRA - 4066+GOIANIA (GO) X SAO LUIS (MA)</v>
      </c>
      <c r="F831" s="1" t="str">
        <f>_xlfn.CONCAT(tabE.Flux[[#This Row],[DATA]],"+",tabE.Flux[[#This Row],[MOTORISTA + MATRÍCULA B]],"+",tabE.Flux[[#This Row],[LINHA]])</f>
        <v>45921+PAULO ENEAS FARIAS ARAUJO - 6218+GOIANIA (GO) X SAO LUIS (MA)</v>
      </c>
      <c r="G831" s="1" t="str">
        <f>_xlfn.CONCAT(tabE.Flux[[#This Row],[DATA]],"+",tabE.Flux[[#This Row],[LINHA]])</f>
        <v>45921+GOIANIA (GO) X SAO LUIS (MA)</v>
      </c>
      <c r="H831" s="125">
        <v>45921</v>
      </c>
      <c r="I831" s="1" t="s">
        <v>15</v>
      </c>
      <c r="J831" s="1">
        <v>19010</v>
      </c>
      <c r="K831" s="126">
        <v>0.40763888888888888</v>
      </c>
      <c r="L831" s="126">
        <v>0.47013888888888888</v>
      </c>
      <c r="M831" s="1" t="s">
        <v>16</v>
      </c>
      <c r="N831" s="1" t="s">
        <v>42</v>
      </c>
      <c r="O831" s="1" t="s">
        <v>148</v>
      </c>
      <c r="P831" s="1" t="s">
        <v>43</v>
      </c>
      <c r="Q831" s="1" t="s">
        <v>23</v>
      </c>
    </row>
    <row r="832" spans="3:17" x14ac:dyDescent="0.25">
      <c r="C832" s="1" t="str">
        <f>_xlfn.CONCAT(tabE.Flux[[#This Row],[DATA]],"+",tabE.Flux[[#This Row],[MOTORISTA + MATRÍCULA A]])</f>
        <v>45921+CANCELADO</v>
      </c>
      <c r="D832" s="1" t="str">
        <f>_xlfn.CONCAT(tabE.Flux[[#This Row],[DATA]],"+",tabE.Flux[[#This Row],[MOTORISTA + MATRÍCULA B]])</f>
        <v>45921+CANCELADO</v>
      </c>
      <c r="E832" s="1" t="str">
        <f>_xlfn.CONCAT(tabE.Flux[[#This Row],[DATA]],"+",tabE.Flux[[#This Row],[MOTORISTA + MATRÍCULA A]],"+",tabE.Flux[[#This Row],[LINHA]])</f>
        <v>45921+CANCELADO+IMPERATRIZ (MA) X SÃO LUIS (MA)</v>
      </c>
      <c r="F832" s="1" t="str">
        <f>_xlfn.CONCAT(tabE.Flux[[#This Row],[DATA]],"+",tabE.Flux[[#This Row],[MOTORISTA + MATRÍCULA B]],"+",tabE.Flux[[#This Row],[LINHA]])</f>
        <v>45921+CANCELADO+IMPERATRIZ (MA) X SÃO LUIS (MA)</v>
      </c>
      <c r="G832" s="1" t="str">
        <f>_xlfn.CONCAT(tabE.Flux[[#This Row],[DATA]],"+",tabE.Flux[[#This Row],[LINHA]])</f>
        <v>45921+IMPERATRIZ (MA) X SÃO LUIS (MA)</v>
      </c>
      <c r="H832" s="125">
        <v>45921</v>
      </c>
      <c r="I832" s="1" t="s">
        <v>15</v>
      </c>
      <c r="J832" s="1" t="s">
        <v>27</v>
      </c>
      <c r="K832" s="126">
        <v>0.77083333333333337</v>
      </c>
      <c r="L832" s="126">
        <v>0.8125</v>
      </c>
      <c r="M832" s="1" t="s">
        <v>16</v>
      </c>
      <c r="N832" s="1" t="s">
        <v>42</v>
      </c>
      <c r="O832" s="1" t="s">
        <v>27</v>
      </c>
      <c r="P832" s="1" t="s">
        <v>27</v>
      </c>
      <c r="Q832" s="1" t="s">
        <v>47</v>
      </c>
    </row>
    <row r="833" spans="3:17" x14ac:dyDescent="0.25">
      <c r="C833" s="1" t="str">
        <f>_xlfn.CONCAT(tabE.Flux[[#This Row],[DATA]],"+",tabE.Flux[[#This Row],[MOTORISTA + MATRÍCULA A]])</f>
        <v>45921+FABIO MOREIRA DOS SANTOS - 3073</v>
      </c>
      <c r="D833" s="1" t="str">
        <f>_xlfn.CONCAT(tabE.Flux[[#This Row],[DATA]],"+",tabE.Flux[[#This Row],[MOTORISTA + MATRÍCULA B]])</f>
        <v>45921+EDIVALDO DE ARAUJO - 6217</v>
      </c>
      <c r="E833" s="1" t="str">
        <f>_xlfn.CONCAT(tabE.Flux[[#This Row],[DATA]],"+",tabE.Flux[[#This Row],[MOTORISTA + MATRÍCULA A]],"+",tabE.Flux[[#This Row],[LINHA]])</f>
        <v>45921+FABIO MOREIRA DOS SANTOS - 3073+GOIANIA (GO) X SAO LUIS (MA)</v>
      </c>
      <c r="F833" s="1" t="str">
        <f>_xlfn.CONCAT(tabE.Flux[[#This Row],[DATA]],"+",tabE.Flux[[#This Row],[MOTORISTA + MATRÍCULA B]],"+",tabE.Flux[[#This Row],[LINHA]])</f>
        <v>45921+EDIVALDO DE ARAUJO - 6217+GOIANIA (GO) X SAO LUIS (MA)</v>
      </c>
      <c r="G833" s="1" t="str">
        <f>_xlfn.CONCAT(tabE.Flux[[#This Row],[DATA]],"+",tabE.Flux[[#This Row],[LINHA]])</f>
        <v>45921+GOIANIA (GO) X SAO LUIS (MA)</v>
      </c>
      <c r="H833" s="125">
        <v>45921</v>
      </c>
      <c r="I833" s="1" t="s">
        <v>15</v>
      </c>
      <c r="J833" s="1">
        <v>24003</v>
      </c>
      <c r="K833" s="126">
        <v>0.8125</v>
      </c>
      <c r="L833" s="126">
        <v>0.84375</v>
      </c>
      <c r="M833" s="1" t="s">
        <v>16</v>
      </c>
      <c r="N833" s="1" t="s">
        <v>42</v>
      </c>
      <c r="O833" s="1" t="s">
        <v>50</v>
      </c>
      <c r="P833" s="1" t="s">
        <v>55</v>
      </c>
      <c r="Q833" s="1" t="s">
        <v>23</v>
      </c>
    </row>
    <row r="834" spans="3:17" x14ac:dyDescent="0.25">
      <c r="C834" s="1" t="str">
        <f>_xlfn.CONCAT(tabE.Flux[[#This Row],[DATA]],"+",tabE.Flux[[#This Row],[MOTORISTA + MATRÍCULA A]])</f>
        <v>45921+AELSON PEREIRA DO NASCIMENTO - 5682</v>
      </c>
      <c r="D834" s="1" t="str">
        <f>_xlfn.CONCAT(tabE.Flux[[#This Row],[DATA]],"+",tabE.Flux[[#This Row],[MOTORISTA + MATRÍCULA B]])</f>
        <v>45921+WASHINGTON ALVES BRITO - 1553</v>
      </c>
      <c r="E834" s="1" t="str">
        <f>_xlfn.CONCAT(tabE.Flux[[#This Row],[DATA]],"+",tabE.Flux[[#This Row],[MOTORISTA + MATRÍCULA A]],"+",tabE.Flux[[#This Row],[LINHA]])</f>
        <v>45921+AELSON PEREIRA DO NASCIMENTO - 5682+GOIANIA (GO) X TERESINA (PI) VIA STI</v>
      </c>
      <c r="F834" s="1" t="str">
        <f>_xlfn.CONCAT(tabE.Flux[[#This Row],[DATA]],"+",tabE.Flux[[#This Row],[MOTORISTA + MATRÍCULA B]],"+",tabE.Flux[[#This Row],[LINHA]])</f>
        <v>45921+WASHINGTON ALVES BRITO - 1553+GOIANIA (GO) X TERESINA (PI) VIA STI</v>
      </c>
      <c r="G834" s="1" t="str">
        <f>_xlfn.CONCAT(tabE.Flux[[#This Row],[DATA]],"+",tabE.Flux[[#This Row],[LINHA]])</f>
        <v>45921+GOIANIA (GO) X TERESINA (PI) VIA STI</v>
      </c>
      <c r="H834" s="125">
        <v>45921</v>
      </c>
      <c r="I834" s="1" t="s">
        <v>15</v>
      </c>
      <c r="J834" s="1">
        <v>19017</v>
      </c>
      <c r="K834" s="126">
        <v>0.77083333333333337</v>
      </c>
      <c r="L834" s="126">
        <v>0.79861111111111116</v>
      </c>
      <c r="M834" s="1" t="s">
        <v>16</v>
      </c>
      <c r="N834" s="1" t="s">
        <v>29</v>
      </c>
      <c r="O834" s="1" t="s">
        <v>88</v>
      </c>
      <c r="P834" s="1" t="s">
        <v>201</v>
      </c>
      <c r="Q834" s="1" t="s">
        <v>26</v>
      </c>
    </row>
    <row r="835" spans="3:17" x14ac:dyDescent="0.25">
      <c r="C835" s="1" t="str">
        <f>_xlfn.CONCAT(tabE.Flux[[#This Row],[DATA]],"+",tabE.Flux[[#This Row],[MOTORISTA + MATRÍCULA A]])</f>
        <v>45921+ANTONIO MARQUES NETO DOS SANTOS - 1738</v>
      </c>
      <c r="D835" s="1" t="str">
        <f>_xlfn.CONCAT(tabE.Flux[[#This Row],[DATA]],"+",tabE.Flux[[#This Row],[MOTORISTA + MATRÍCULA B]])</f>
        <v>45921+JOAO FERREIRA COSTA - 5545</v>
      </c>
      <c r="E835" s="1" t="str">
        <f>_xlfn.CONCAT(tabE.Flux[[#This Row],[DATA]],"+",tabE.Flux[[#This Row],[MOTORISTA + MATRÍCULA A]],"+",tabE.Flux[[#This Row],[LINHA]])</f>
        <v>45921+ANTONIO MARQUES NETO DOS SANTOS - 1738+GOIANIA (GO) X SAO LUIS (MA)</v>
      </c>
      <c r="F835" s="1" t="str">
        <f>_xlfn.CONCAT(tabE.Flux[[#This Row],[DATA]],"+",tabE.Flux[[#This Row],[MOTORISTA + MATRÍCULA B]],"+",tabE.Flux[[#This Row],[LINHA]])</f>
        <v>45921+JOAO FERREIRA COSTA - 5545+GOIANIA (GO) X SAO LUIS (MA)</v>
      </c>
      <c r="G835" s="1" t="str">
        <f>_xlfn.CONCAT(tabE.Flux[[#This Row],[DATA]],"+",tabE.Flux[[#This Row],[LINHA]])</f>
        <v>45921+GOIANIA (GO) X SAO LUIS (MA)</v>
      </c>
      <c r="H835" s="125">
        <v>45921</v>
      </c>
      <c r="I835" s="1" t="s">
        <v>15</v>
      </c>
      <c r="J835" s="1">
        <v>19015</v>
      </c>
      <c r="K835" s="126">
        <v>0.8125</v>
      </c>
      <c r="L835" s="126">
        <v>0.84166666666666667</v>
      </c>
      <c r="M835" s="1" t="s">
        <v>16</v>
      </c>
      <c r="N835" s="1" t="s">
        <v>17</v>
      </c>
      <c r="O835" s="1" t="s">
        <v>73</v>
      </c>
      <c r="P835" s="1" t="s">
        <v>61</v>
      </c>
      <c r="Q835" s="1" t="s">
        <v>23</v>
      </c>
    </row>
    <row r="836" spans="3:17" x14ac:dyDescent="0.25">
      <c r="C836" s="1" t="str">
        <f>_xlfn.CONCAT(tabE.Flux[[#This Row],[DATA]],"+",tabE.Flux[[#This Row],[MOTORISTA + MATRÍCULA A]])</f>
        <v>45921+JWEBISON DE BRITO SOUZA - 2999</v>
      </c>
      <c r="D836" s="1" t="str">
        <f>_xlfn.CONCAT(tabE.Flux[[#This Row],[DATA]],"+",tabE.Flux[[#This Row],[MOTORISTA + MATRÍCULA B]])</f>
        <v>45921+FRANCISCO RAIMUNDO VIANA DE SOUSA - 5314</v>
      </c>
      <c r="E836" s="1" t="str">
        <f>_xlfn.CONCAT(tabE.Flux[[#This Row],[DATA]],"+",tabE.Flux[[#This Row],[MOTORISTA + MATRÍCULA A]],"+",tabE.Flux[[#This Row],[LINHA]])</f>
        <v>45921+JWEBISON DE BRITO SOUZA - 2999+FORTALEZA (CE) X SINOP (MT)</v>
      </c>
      <c r="F836" s="1" t="str">
        <f>_xlfn.CONCAT(tabE.Flux[[#This Row],[DATA]],"+",tabE.Flux[[#This Row],[MOTORISTA + MATRÍCULA B]],"+",tabE.Flux[[#This Row],[LINHA]])</f>
        <v>45921+FRANCISCO RAIMUNDO VIANA DE SOUSA - 5314+FORTALEZA (CE) X SINOP (MT)</v>
      </c>
      <c r="G836" s="1" t="str">
        <f>_xlfn.CONCAT(tabE.Flux[[#This Row],[DATA]],"+",tabE.Flux[[#This Row],[LINHA]])</f>
        <v>45921+FORTALEZA (CE) X SINOP (MT)</v>
      </c>
      <c r="H836" s="125">
        <v>45921</v>
      </c>
      <c r="I836" s="1" t="s">
        <v>15</v>
      </c>
      <c r="J836" s="1">
        <v>19008</v>
      </c>
      <c r="K836" s="126">
        <v>0.8125</v>
      </c>
      <c r="L836" s="126">
        <v>0.85416666666666663</v>
      </c>
      <c r="M836" s="1" t="s">
        <v>16</v>
      </c>
      <c r="N836" s="1" t="s">
        <v>17</v>
      </c>
      <c r="O836" s="1" t="s">
        <v>77</v>
      </c>
      <c r="P836" s="1" t="s">
        <v>87</v>
      </c>
      <c r="Q836" s="1" t="s">
        <v>32</v>
      </c>
    </row>
    <row r="837" spans="3:17" x14ac:dyDescent="0.25">
      <c r="C837" s="1" t="str">
        <f>_xlfn.CONCAT(tabE.Flux[[#This Row],[DATA]],"+",tabE.Flux[[#This Row],[MOTORISTA + MATRÍCULA A]])</f>
        <v>45921+CANCELADO</v>
      </c>
      <c r="D837" s="1" t="str">
        <f>_xlfn.CONCAT(tabE.Flux[[#This Row],[DATA]],"+",tabE.Flux[[#This Row],[MOTORISTA + MATRÍCULA B]])</f>
        <v>45921+CANCELADO</v>
      </c>
      <c r="E837" s="1" t="str">
        <f>_xlfn.CONCAT(tabE.Flux[[#This Row],[DATA]],"+",tabE.Flux[[#This Row],[MOTORISTA + MATRÍCULA A]],"+",tabE.Flux[[#This Row],[LINHA]])</f>
        <v>45921+CANCELADO+GOIANIA (GO) X BELEM (PA)</v>
      </c>
      <c r="F837" s="1" t="str">
        <f>_xlfn.CONCAT(tabE.Flux[[#This Row],[DATA]],"+",tabE.Flux[[#This Row],[MOTORISTA + MATRÍCULA B]],"+",tabE.Flux[[#This Row],[LINHA]])</f>
        <v>45921+CANCELADO+GOIANIA (GO) X BELEM (PA)</v>
      </c>
      <c r="G837" s="1" t="str">
        <f>_xlfn.CONCAT(tabE.Flux[[#This Row],[DATA]],"+",tabE.Flux[[#This Row],[LINHA]])</f>
        <v>45921+GOIANIA (GO) X BELEM (PA)</v>
      </c>
      <c r="H837" s="125">
        <v>45921</v>
      </c>
      <c r="I837" s="1" t="s">
        <v>15</v>
      </c>
      <c r="J837" s="1" t="s">
        <v>27</v>
      </c>
      <c r="K837" s="126">
        <v>0.84722222222222221</v>
      </c>
      <c r="L837" s="126">
        <v>0.87847222222222221</v>
      </c>
      <c r="M837" s="1" t="s">
        <v>16</v>
      </c>
      <c r="N837" s="1" t="s">
        <v>17</v>
      </c>
      <c r="O837" s="1" t="s">
        <v>27</v>
      </c>
      <c r="P837" s="1" t="s">
        <v>27</v>
      </c>
      <c r="Q837" s="1" t="s">
        <v>20</v>
      </c>
    </row>
    <row r="838" spans="3:17" x14ac:dyDescent="0.25">
      <c r="C838" s="1" t="str">
        <f>_xlfn.CONCAT(tabE.Flux[[#This Row],[DATA]],"+",tabE.Flux[[#This Row],[MOTORISTA + MATRÍCULA A]])</f>
        <v>+</v>
      </c>
      <c r="D838" s="1" t="str">
        <f>_xlfn.CONCAT(tabE.Flux[[#This Row],[DATA]],"+",tabE.Flux[[#This Row],[MOTORISTA + MATRÍCULA B]])</f>
        <v>+</v>
      </c>
      <c r="E838" s="1" t="str">
        <f>_xlfn.CONCAT(tabE.Flux[[#This Row],[DATA]],"+",tabE.Flux[[#This Row],[MOTORISTA + MATRÍCULA A]],"+",tabE.Flux[[#This Row],[LINHA]])</f>
        <v>++</v>
      </c>
      <c r="F838" s="1" t="str">
        <f>_xlfn.CONCAT(tabE.Flux[[#This Row],[DATA]],"+",tabE.Flux[[#This Row],[MOTORISTA + MATRÍCULA B]],"+",tabE.Flux[[#This Row],[LINHA]])</f>
        <v>++</v>
      </c>
      <c r="G838" s="1" t="str">
        <f>_xlfn.CONCAT(tabE.Flux[[#This Row],[DATA]],"+",tabE.Flux[[#This Row],[LINHA]])</f>
        <v>+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3:17" x14ac:dyDescent="0.25">
      <c r="C839" s="1" t="str">
        <f>_xlfn.CONCAT(tabE.Flux[[#This Row],[DATA]],"+",tabE.Flux[[#This Row],[MOTORISTA + MATRÍCULA A]])</f>
        <v>45922+EDINANDES LUIZ DA SILVA - 2651</v>
      </c>
      <c r="D839" s="1" t="str">
        <f>_xlfn.CONCAT(tabE.Flux[[#This Row],[DATA]],"+",tabE.Flux[[#This Row],[MOTORISTA + MATRÍCULA B]])</f>
        <v>45922+HILTON RODRIGUES DA COSTA - 866</v>
      </c>
      <c r="E839" s="1" t="str">
        <f>_xlfn.CONCAT(tabE.Flux[[#This Row],[DATA]],"+",tabE.Flux[[#This Row],[MOTORISTA + MATRÍCULA A]],"+",tabE.Flux[[#This Row],[LINHA]])</f>
        <v>45922+EDINANDES LUIZ DA SILVA - 2651+GOIANIA (GO) X BELEM (PA)</v>
      </c>
      <c r="F839" s="1" t="str">
        <f>_xlfn.CONCAT(tabE.Flux[[#This Row],[DATA]],"+",tabE.Flux[[#This Row],[MOTORISTA + MATRÍCULA B]],"+",tabE.Flux[[#This Row],[LINHA]])</f>
        <v>45922+HILTON RODRIGUES DA COSTA - 866+GOIANIA (GO) X BELEM (PA)</v>
      </c>
      <c r="G839" s="1" t="str">
        <f>_xlfn.CONCAT(tabE.Flux[[#This Row],[DATA]],"+",tabE.Flux[[#This Row],[LINHA]])</f>
        <v>45922+GOIANIA (GO) X BELEM (PA)</v>
      </c>
      <c r="H839" s="125">
        <v>45922</v>
      </c>
      <c r="I839" s="1" t="s">
        <v>15</v>
      </c>
      <c r="J839" s="1">
        <v>24001</v>
      </c>
      <c r="K839" s="126">
        <v>0.25486111111111109</v>
      </c>
      <c r="L839" s="126">
        <v>0.3</v>
      </c>
      <c r="M839" s="1" t="s">
        <v>16</v>
      </c>
      <c r="N839" s="1" t="s">
        <v>17</v>
      </c>
      <c r="O839" s="1" t="s">
        <v>195</v>
      </c>
      <c r="P839" s="1" t="s">
        <v>256</v>
      </c>
      <c r="Q839" s="1" t="s">
        <v>20</v>
      </c>
    </row>
    <row r="840" spans="3:17" x14ac:dyDescent="0.25">
      <c r="C840" s="1" t="str">
        <f>_xlfn.CONCAT(tabE.Flux[[#This Row],[DATA]],"+",tabE.Flux[[#This Row],[MOTORISTA + MATRÍCULA A]])</f>
        <v>45922+GILDEVAN DE ALMEIDA AGOSTINHO - 1924</v>
      </c>
      <c r="D840" s="1" t="str">
        <f>_xlfn.CONCAT(tabE.Flux[[#This Row],[DATA]],"+",tabE.Flux[[#This Row],[MOTORISTA + MATRÍCULA B]])</f>
        <v>45922+JERZUALDO DA SILVA GOMES - 4077</v>
      </c>
      <c r="E840" s="1" t="str">
        <f>_xlfn.CONCAT(tabE.Flux[[#This Row],[DATA]],"+",tabE.Flux[[#This Row],[MOTORISTA + MATRÍCULA A]],"+",tabE.Flux[[#This Row],[LINHA]])</f>
        <v>45922+GILDEVAN DE ALMEIDA AGOSTINHO - 1924+GOIANIA (GO) X SAO LUIS (MA)</v>
      </c>
      <c r="F840" s="1" t="str">
        <f>_xlfn.CONCAT(tabE.Flux[[#This Row],[DATA]],"+",tabE.Flux[[#This Row],[MOTORISTA + MATRÍCULA B]],"+",tabE.Flux[[#This Row],[LINHA]])</f>
        <v>45922+JERZUALDO DA SILVA GOMES - 4077+GOIANIA (GO) X SAO LUIS (MA)</v>
      </c>
      <c r="G840" s="1" t="str">
        <f>_xlfn.CONCAT(tabE.Flux[[#This Row],[DATA]],"+",tabE.Flux[[#This Row],[LINHA]])</f>
        <v>45922+GOIANIA (GO) X SAO LUIS (MA)</v>
      </c>
      <c r="H840" s="125">
        <v>45922</v>
      </c>
      <c r="I840" s="1" t="s">
        <v>15</v>
      </c>
      <c r="J840" s="1">
        <v>24012</v>
      </c>
      <c r="K840" s="126">
        <v>0.32291666666666669</v>
      </c>
      <c r="L840" s="126">
        <v>0.33333333333333331</v>
      </c>
      <c r="M840" s="1" t="s">
        <v>16</v>
      </c>
      <c r="N840" s="1" t="s">
        <v>17</v>
      </c>
      <c r="O840" s="1" t="s">
        <v>236</v>
      </c>
      <c r="P840" s="1" t="s">
        <v>130</v>
      </c>
      <c r="Q840" s="1" t="s">
        <v>23</v>
      </c>
    </row>
    <row r="841" spans="3:17" x14ac:dyDescent="0.25">
      <c r="C841" s="1" t="str">
        <f>_xlfn.CONCAT(tabE.Flux[[#This Row],[DATA]],"+",tabE.Flux[[#This Row],[MOTORISTA + MATRÍCULA A]])</f>
        <v>45922+JOSE ALVES DA ROCHA - 5035</v>
      </c>
      <c r="D841" s="1" t="str">
        <f>_xlfn.CONCAT(tabE.Flux[[#This Row],[DATA]],"+",tabE.Flux[[#This Row],[MOTORISTA + MATRÍCULA B]])</f>
        <v>45922+BRUNO MATOS DA ROCHA - 6013</v>
      </c>
      <c r="E841" s="1" t="str">
        <f>_xlfn.CONCAT(tabE.Flux[[#This Row],[DATA]],"+",tabE.Flux[[#This Row],[MOTORISTA + MATRÍCULA A]],"+",tabE.Flux[[#This Row],[LINHA]])</f>
        <v>45922+JOSE ALVES DA ROCHA - 5035+GOIANIA (GO) X TERESINA (PI) VIA STI</v>
      </c>
      <c r="F841" s="1" t="str">
        <f>_xlfn.CONCAT(tabE.Flux[[#This Row],[DATA]],"+",tabE.Flux[[#This Row],[MOTORISTA + MATRÍCULA B]],"+",tabE.Flux[[#This Row],[LINHA]])</f>
        <v>45922+BRUNO MATOS DA ROCHA - 6013+GOIANIA (GO) X TERESINA (PI) VIA STI</v>
      </c>
      <c r="G841" s="1" t="str">
        <f>_xlfn.CONCAT(tabE.Flux[[#This Row],[DATA]],"+",tabE.Flux[[#This Row],[LINHA]])</f>
        <v>45922+GOIANIA (GO) X TERESINA (PI) VIA STI</v>
      </c>
      <c r="H841" s="125">
        <v>45922</v>
      </c>
      <c r="I841" s="1" t="s">
        <v>15</v>
      </c>
      <c r="J841" s="1">
        <v>19011</v>
      </c>
      <c r="K841" s="126">
        <v>0.3888888888888889</v>
      </c>
      <c r="L841" s="126">
        <v>0.39583333333333331</v>
      </c>
      <c r="M841" s="1" t="s">
        <v>16</v>
      </c>
      <c r="N841" s="1" t="s">
        <v>17</v>
      </c>
      <c r="O841" s="1" t="s">
        <v>91</v>
      </c>
      <c r="P841" s="1" t="s">
        <v>147</v>
      </c>
      <c r="Q841" s="1" t="s">
        <v>26</v>
      </c>
    </row>
    <row r="842" spans="3:17" x14ac:dyDescent="0.25">
      <c r="C842" s="1" t="str">
        <f>_xlfn.CONCAT(tabE.Flux[[#This Row],[DATA]],"+",tabE.Flux[[#This Row],[MOTORISTA + MATRÍCULA A]])</f>
        <v>45922+CANCELADO</v>
      </c>
      <c r="D842" s="1" t="str">
        <f>_xlfn.CONCAT(tabE.Flux[[#This Row],[DATA]],"+",tabE.Flux[[#This Row],[MOTORISTA + MATRÍCULA B]])</f>
        <v>45922+CANCELADO</v>
      </c>
      <c r="E842" s="1" t="str">
        <f>_xlfn.CONCAT(tabE.Flux[[#This Row],[DATA]],"+",tabE.Flux[[#This Row],[MOTORISTA + MATRÍCULA A]],"+",tabE.Flux[[#This Row],[LINHA]])</f>
        <v>45922+CANCELADO+</v>
      </c>
      <c r="F842" s="1" t="str">
        <f>_xlfn.CONCAT(tabE.Flux[[#This Row],[DATA]],"+",tabE.Flux[[#This Row],[MOTORISTA + MATRÍCULA B]],"+",tabE.Flux[[#This Row],[LINHA]])</f>
        <v>45922+CANCELADO+</v>
      </c>
      <c r="G842" s="1" t="str">
        <f>_xlfn.CONCAT(tabE.Flux[[#This Row],[DATA]],"+",tabE.Flux[[#This Row],[LINHA]])</f>
        <v>45922+</v>
      </c>
      <c r="H842" s="125">
        <v>45922</v>
      </c>
      <c r="I842" s="1" t="s">
        <v>15</v>
      </c>
      <c r="J842" s="1" t="s">
        <v>27</v>
      </c>
      <c r="K842" s="126">
        <v>0.375</v>
      </c>
      <c r="L842" s="126">
        <v>0.41666666666666669</v>
      </c>
      <c r="M842" s="1" t="s">
        <v>16</v>
      </c>
      <c r="N842" s="1" t="s">
        <v>28</v>
      </c>
      <c r="O842" s="1" t="s">
        <v>27</v>
      </c>
      <c r="P842" s="1" t="s">
        <v>27</v>
      </c>
      <c r="Q842" s="1"/>
    </row>
    <row r="843" spans="3:17" x14ac:dyDescent="0.25">
      <c r="C843" s="1" t="str">
        <f>_xlfn.CONCAT(tabE.Flux[[#This Row],[DATA]],"+",tabE.Flux[[#This Row],[MOTORISTA + MATRÍCULA A]])</f>
        <v>45922+MARCOS ROBERTO DE SOUSA - 5236</v>
      </c>
      <c r="D843" s="1" t="str">
        <f>_xlfn.CONCAT(tabE.Flux[[#This Row],[DATA]],"+",tabE.Flux[[#This Row],[MOTORISTA + MATRÍCULA B]])</f>
        <v>45922+RAIMUNDO NONATO FRANCO NETO - 5658</v>
      </c>
      <c r="E843" s="1" t="str">
        <f>_xlfn.CONCAT(tabE.Flux[[#This Row],[DATA]],"+",tabE.Flux[[#This Row],[MOTORISTA + MATRÍCULA A]],"+",tabE.Flux[[#This Row],[LINHA]])</f>
        <v>45922+MARCOS ROBERTO DE SOUSA - 5236+FORTALEZA (CE) X SINOP (MT)</v>
      </c>
      <c r="F843" s="1" t="str">
        <f>_xlfn.CONCAT(tabE.Flux[[#This Row],[DATA]],"+",tabE.Flux[[#This Row],[MOTORISTA + MATRÍCULA B]],"+",tabE.Flux[[#This Row],[LINHA]])</f>
        <v>45922+RAIMUNDO NONATO FRANCO NETO - 5658+FORTALEZA (CE) X SINOP (MT)</v>
      </c>
      <c r="G843" s="1" t="str">
        <f>_xlfn.CONCAT(tabE.Flux[[#This Row],[DATA]],"+",tabE.Flux[[#This Row],[LINHA]])</f>
        <v>45922+FORTALEZA (CE) X SINOP (MT)</v>
      </c>
      <c r="H843" s="125">
        <v>45922</v>
      </c>
      <c r="I843" s="1" t="s">
        <v>15</v>
      </c>
      <c r="J843" s="1">
        <v>20016</v>
      </c>
      <c r="K843" s="126">
        <v>0.3888888888888889</v>
      </c>
      <c r="L843" s="126">
        <v>0.37708333333333333</v>
      </c>
      <c r="M843" s="1" t="s">
        <v>16</v>
      </c>
      <c r="N843" s="1" t="s">
        <v>29</v>
      </c>
      <c r="O843" s="1" t="s">
        <v>234</v>
      </c>
      <c r="P843" s="1" t="s">
        <v>176</v>
      </c>
      <c r="Q843" s="1" t="s">
        <v>32</v>
      </c>
    </row>
    <row r="844" spans="3:17" x14ac:dyDescent="0.25">
      <c r="C844" s="1" t="str">
        <f>_xlfn.CONCAT(tabE.Flux[[#This Row],[DATA]],"+",tabE.Flux[[#This Row],[MOTORISTA + MATRÍCULA A]])</f>
        <v>45922+LUIZ CARLOS MARIANO SIQUEIRA - 5634</v>
      </c>
      <c r="D844" s="1" t="str">
        <f>_xlfn.CONCAT(tabE.Flux[[#This Row],[DATA]],"+",tabE.Flux[[#This Row],[MOTORISTA + MATRÍCULA B]])</f>
        <v>45922+LUIS ANTONIO FARIAS RIBEIRO - 2789</v>
      </c>
      <c r="E844" s="1" t="str">
        <f>_xlfn.CONCAT(tabE.Flux[[#This Row],[DATA]],"+",tabE.Flux[[#This Row],[MOTORISTA + MATRÍCULA A]],"+",tabE.Flux[[#This Row],[LINHA]])</f>
        <v>45922+LUIZ CARLOS MARIANO SIQUEIRA - 5634+GOIANIA (GO) X BELEM (PA)</v>
      </c>
      <c r="F844" s="1" t="str">
        <f>_xlfn.CONCAT(tabE.Flux[[#This Row],[DATA]],"+",tabE.Flux[[#This Row],[MOTORISTA + MATRÍCULA B]],"+",tabE.Flux[[#This Row],[LINHA]])</f>
        <v>45922+LUIS ANTONIO FARIAS RIBEIRO - 2789+GOIANIA (GO) X BELEM (PA)</v>
      </c>
      <c r="G844" s="1" t="str">
        <f>_xlfn.CONCAT(tabE.Flux[[#This Row],[DATA]],"+",tabE.Flux[[#This Row],[LINHA]])</f>
        <v>45922+GOIANIA (GO) X BELEM (PA)</v>
      </c>
      <c r="H844" s="125">
        <v>45922</v>
      </c>
      <c r="I844" s="1" t="s">
        <v>15</v>
      </c>
      <c r="J844" s="1">
        <v>19009</v>
      </c>
      <c r="K844" s="126">
        <v>0.38958333333333334</v>
      </c>
      <c r="L844" s="126">
        <v>0.38541666666666669</v>
      </c>
      <c r="M844" s="1" t="s">
        <v>16</v>
      </c>
      <c r="N844" s="1" t="s">
        <v>33</v>
      </c>
      <c r="O844" s="1" t="s">
        <v>51</v>
      </c>
      <c r="P844" s="1" t="s">
        <v>124</v>
      </c>
      <c r="Q844" s="1" t="s">
        <v>20</v>
      </c>
    </row>
    <row r="845" spans="3:17" x14ac:dyDescent="0.25">
      <c r="C845" s="1" t="str">
        <f>_xlfn.CONCAT(tabE.Flux[[#This Row],[DATA]],"+",tabE.Flux[[#This Row],[MOTORISTA + MATRÍCULA A]])</f>
        <v>45922+ELIEZIO JOSE DOS SANTOS - 2645</v>
      </c>
      <c r="D845" s="1" t="str">
        <f>_xlfn.CONCAT(tabE.Flux[[#This Row],[DATA]],"+",tabE.Flux[[#This Row],[MOTORISTA + MATRÍCULA B]])</f>
        <v>45922+MARCOS ANTONIO ALVES DE SOUSA - 5278</v>
      </c>
      <c r="E845" s="1" t="str">
        <f>_xlfn.CONCAT(tabE.Flux[[#This Row],[DATA]],"+",tabE.Flux[[#This Row],[MOTORISTA + MATRÍCULA A]],"+",tabE.Flux[[#This Row],[LINHA]])</f>
        <v>45922+ELIEZIO JOSE DOS SANTOS - 2645+GOIANIA (GO) X TERESINA (PI) VIA BC</v>
      </c>
      <c r="F845" s="1" t="str">
        <f>_xlfn.CONCAT(tabE.Flux[[#This Row],[DATA]],"+",tabE.Flux[[#This Row],[MOTORISTA + MATRÍCULA B]],"+",tabE.Flux[[#This Row],[LINHA]])</f>
        <v>45922+MARCOS ANTONIO ALVES DE SOUSA - 5278+GOIANIA (GO) X TERESINA (PI) VIA BC</v>
      </c>
      <c r="G845" s="1" t="str">
        <f>_xlfn.CONCAT(tabE.Flux[[#This Row],[DATA]],"+",tabE.Flux[[#This Row],[LINHA]])</f>
        <v>45922+GOIANIA (GO) X TERESINA (PI) VIA BC</v>
      </c>
      <c r="H845" s="125">
        <v>45922</v>
      </c>
      <c r="I845" s="1" t="s">
        <v>15</v>
      </c>
      <c r="J845" s="1">
        <v>24010</v>
      </c>
      <c r="K845" s="126">
        <v>0.375</v>
      </c>
      <c r="L845" s="126">
        <v>0.39930555555555558</v>
      </c>
      <c r="M845" s="1" t="s">
        <v>36</v>
      </c>
      <c r="N845" s="1" t="s">
        <v>29</v>
      </c>
      <c r="O845" s="1" t="s">
        <v>53</v>
      </c>
      <c r="P845" s="1" t="s">
        <v>210</v>
      </c>
      <c r="Q845" s="1" t="s">
        <v>39</v>
      </c>
    </row>
    <row r="846" spans="3:17" x14ac:dyDescent="0.25">
      <c r="C846" s="1" t="str">
        <f>_xlfn.CONCAT(tabE.Flux[[#This Row],[DATA]],"+",tabE.Flux[[#This Row],[MOTORISTA + MATRÍCULA A]])</f>
        <v>45922+FRANCISCO ALVES DA PAZ JUNIOR - 1247</v>
      </c>
      <c r="D846" s="1" t="str">
        <f>_xlfn.CONCAT(tabE.Flux[[#This Row],[DATA]],"+",tabE.Flux[[#This Row],[MOTORISTA + MATRÍCULA B]])</f>
        <v>45922+VALDEY OLIVEIRA ARAUJO - 2790</v>
      </c>
      <c r="E846" s="1" t="str">
        <f>_xlfn.CONCAT(tabE.Flux[[#This Row],[DATA]],"+",tabE.Flux[[#This Row],[MOTORISTA + MATRÍCULA A]],"+",tabE.Flux[[#This Row],[LINHA]])</f>
        <v>45922+FRANCISCO ALVES DA PAZ JUNIOR - 1247+GOIANIA (GO) X BELEM (PA)</v>
      </c>
      <c r="F846" s="1" t="str">
        <f>_xlfn.CONCAT(tabE.Flux[[#This Row],[DATA]],"+",tabE.Flux[[#This Row],[MOTORISTA + MATRÍCULA B]],"+",tabE.Flux[[#This Row],[LINHA]])</f>
        <v>45922+VALDEY OLIVEIRA ARAUJO - 2790+GOIANIA (GO) X BELEM (PA)</v>
      </c>
      <c r="G846" s="1" t="str">
        <f>_xlfn.CONCAT(tabE.Flux[[#This Row],[DATA]],"+",tabE.Flux[[#This Row],[LINHA]])</f>
        <v>45922+GOIANIA (GO) X BELEM (PA)</v>
      </c>
      <c r="H846" s="125">
        <v>45922</v>
      </c>
      <c r="I846" s="1" t="s">
        <v>15</v>
      </c>
      <c r="J846" s="1">
        <v>19002</v>
      </c>
      <c r="K846" s="126">
        <v>0.375</v>
      </c>
      <c r="L846" s="126">
        <v>0.41666666666666669</v>
      </c>
      <c r="M846" s="1" t="s">
        <v>33</v>
      </c>
      <c r="N846" s="1" t="s">
        <v>16</v>
      </c>
      <c r="O846" s="1" t="s">
        <v>144</v>
      </c>
      <c r="P846" s="1" t="s">
        <v>34</v>
      </c>
      <c r="Q846" s="1" t="s">
        <v>20</v>
      </c>
    </row>
    <row r="847" spans="3:17" x14ac:dyDescent="0.25">
      <c r="C847" s="1" t="str">
        <f>_xlfn.CONCAT(tabE.Flux[[#This Row],[DATA]],"+",tabE.Flux[[#This Row],[MOTORISTA + MATRÍCULA A]])</f>
        <v>45922+RAIMUNDO COSTA SILVA - 6226</v>
      </c>
      <c r="D847" s="1" t="str">
        <f>_xlfn.CONCAT(tabE.Flux[[#This Row],[DATA]],"+",tabE.Flux[[#This Row],[MOTORISTA + MATRÍCULA B]])</f>
        <v>45922+EDUARDO SANTOS BEZERRA - 4066</v>
      </c>
      <c r="E847" s="1" t="str">
        <f>_xlfn.CONCAT(tabE.Flux[[#This Row],[DATA]],"+",tabE.Flux[[#This Row],[MOTORISTA + MATRÍCULA A]],"+",tabE.Flux[[#This Row],[LINHA]])</f>
        <v>45922+RAIMUNDO COSTA SILVA - 6226+GOIANIA (GO) X SAO LUIS (MA)</v>
      </c>
      <c r="F847" s="1" t="str">
        <f>_xlfn.CONCAT(tabE.Flux[[#This Row],[DATA]],"+",tabE.Flux[[#This Row],[MOTORISTA + MATRÍCULA B]],"+",tabE.Flux[[#This Row],[LINHA]])</f>
        <v>45922+EDUARDO SANTOS BEZERRA - 4066+GOIANIA (GO) X SAO LUIS (MA)</v>
      </c>
      <c r="G847" s="1" t="str">
        <f>_xlfn.CONCAT(tabE.Flux[[#This Row],[DATA]],"+",tabE.Flux[[#This Row],[LINHA]])</f>
        <v>45922+GOIANIA (GO) X SAO LUIS (MA)</v>
      </c>
      <c r="H847" s="125">
        <v>45922</v>
      </c>
      <c r="I847" s="1" t="s">
        <v>15</v>
      </c>
      <c r="J847" s="1">
        <v>19007</v>
      </c>
      <c r="K847" s="126">
        <v>0.25</v>
      </c>
      <c r="L847" s="126">
        <v>0.29166666666666669</v>
      </c>
      <c r="M847" s="1" t="s">
        <v>42</v>
      </c>
      <c r="N847" s="1" t="s">
        <v>16</v>
      </c>
      <c r="O847" s="1" t="s">
        <v>45</v>
      </c>
      <c r="P847" s="1" t="s">
        <v>148</v>
      </c>
      <c r="Q847" s="1" t="s">
        <v>23</v>
      </c>
    </row>
    <row r="848" spans="3:17" x14ac:dyDescent="0.25">
      <c r="C848" s="1" t="str">
        <f>_xlfn.CONCAT(tabE.Flux[[#This Row],[DATA]],"+",tabE.Flux[[#This Row],[MOTORISTA + MATRÍCULA A]])</f>
        <v>45922+CARLOS ADRIANO DE SOUZA DO NASCIMENTO - 6222</v>
      </c>
      <c r="D848" s="1" t="str">
        <f>_xlfn.CONCAT(tabE.Flux[[#This Row],[DATA]],"+",tabE.Flux[[#This Row],[MOTORISTA + MATRÍCULA B]])</f>
        <v>45922+FABIO MOREIRA DOS SANTOS - 3073</v>
      </c>
      <c r="E848" s="1" t="str">
        <f>_xlfn.CONCAT(tabE.Flux[[#This Row],[DATA]],"+",tabE.Flux[[#This Row],[MOTORISTA + MATRÍCULA A]],"+",tabE.Flux[[#This Row],[LINHA]])</f>
        <v>45922+CARLOS ADRIANO DE SOUZA DO NASCIMENTO - 6222+GOIANIA (GO) X SAO LUIS (MA)</v>
      </c>
      <c r="F848" s="1" t="str">
        <f>_xlfn.CONCAT(tabE.Flux[[#This Row],[DATA]],"+",tabE.Flux[[#This Row],[MOTORISTA + MATRÍCULA B]],"+",tabE.Flux[[#This Row],[LINHA]])</f>
        <v>45922+FABIO MOREIRA DOS SANTOS - 3073+GOIANIA (GO) X SAO LUIS (MA)</v>
      </c>
      <c r="G848" s="1" t="str">
        <f>_xlfn.CONCAT(tabE.Flux[[#This Row],[DATA]],"+",tabE.Flux[[#This Row],[LINHA]])</f>
        <v>45922+GOIANIA (GO) X SAO LUIS (MA)</v>
      </c>
      <c r="H848" s="125">
        <v>45922</v>
      </c>
      <c r="I848" s="1" t="s">
        <v>15</v>
      </c>
      <c r="J848" s="1">
        <v>24003</v>
      </c>
      <c r="K848" s="126">
        <v>0.75</v>
      </c>
      <c r="L848" s="126">
        <v>0.79166666666666663</v>
      </c>
      <c r="M848" s="1" t="s">
        <v>42</v>
      </c>
      <c r="N848" s="1" t="s">
        <v>16</v>
      </c>
      <c r="O848" s="1" t="s">
        <v>110</v>
      </c>
      <c r="P848" s="1" t="s">
        <v>50</v>
      </c>
      <c r="Q848" s="1" t="s">
        <v>23</v>
      </c>
    </row>
    <row r="849" spans="3:17" x14ac:dyDescent="0.25">
      <c r="C849" s="1" t="str">
        <f>_xlfn.CONCAT(tabE.Flux[[#This Row],[DATA]],"+",tabE.Flux[[#This Row],[MOTORISTA + MATRÍCULA A]])</f>
        <v>45922+CANCELADO</v>
      </c>
      <c r="D849" s="1" t="str">
        <f>_xlfn.CONCAT(tabE.Flux[[#This Row],[DATA]],"+",tabE.Flux[[#This Row],[MOTORISTA + MATRÍCULA B]])</f>
        <v>45922+CANCELADO</v>
      </c>
      <c r="E849" s="1" t="str">
        <f>_xlfn.CONCAT(tabE.Flux[[#This Row],[DATA]],"+",tabE.Flux[[#This Row],[MOTORISTA + MATRÍCULA A]],"+",tabE.Flux[[#This Row],[LINHA]])</f>
        <v>45922+CANCELADO+IMPERATRIZ (MA) X SÃO LUIS (MA)</v>
      </c>
      <c r="F849" s="1" t="str">
        <f>_xlfn.CONCAT(tabE.Flux[[#This Row],[DATA]],"+",tabE.Flux[[#This Row],[MOTORISTA + MATRÍCULA B]],"+",tabE.Flux[[#This Row],[LINHA]])</f>
        <v>45922+CANCELADO+IMPERATRIZ (MA) X SÃO LUIS (MA)</v>
      </c>
      <c r="G849" s="1" t="str">
        <f>_xlfn.CONCAT(tabE.Flux[[#This Row],[DATA]],"+",tabE.Flux[[#This Row],[LINHA]])</f>
        <v>45922+IMPERATRIZ (MA) X SÃO LUIS (MA)</v>
      </c>
      <c r="H849" s="125">
        <v>45922</v>
      </c>
      <c r="I849" s="1" t="s">
        <v>15</v>
      </c>
      <c r="J849" s="1" t="s">
        <v>27</v>
      </c>
      <c r="K849" s="126">
        <v>0.77083333333333337</v>
      </c>
      <c r="L849" s="126">
        <v>0.79513888888888884</v>
      </c>
      <c r="M849" s="1" t="s">
        <v>42</v>
      </c>
      <c r="N849" s="1" t="s">
        <v>16</v>
      </c>
      <c r="O849" s="1" t="s">
        <v>27</v>
      </c>
      <c r="P849" s="1" t="s">
        <v>27</v>
      </c>
      <c r="Q849" s="1" t="s">
        <v>47</v>
      </c>
    </row>
    <row r="850" spans="3:17" x14ac:dyDescent="0.25">
      <c r="C850" s="1" t="str">
        <f>_xlfn.CONCAT(tabE.Flux[[#This Row],[DATA]],"+",tabE.Flux[[#This Row],[MOTORISTA + MATRÍCULA A]])</f>
        <v>45922+ELIAS ALVES DE FRANCA - 6046</v>
      </c>
      <c r="D850" s="1" t="str">
        <f>_xlfn.CONCAT(tabE.Flux[[#This Row],[DATA]],"+",tabE.Flux[[#This Row],[MOTORISTA + MATRÍCULA B]])</f>
        <v>45922+RAFAEL DA SILVA LIMA - 6215</v>
      </c>
      <c r="E850" s="1" t="str">
        <f>_xlfn.CONCAT(tabE.Flux[[#This Row],[DATA]],"+",tabE.Flux[[#This Row],[MOTORISTA + MATRÍCULA A]],"+",tabE.Flux[[#This Row],[LINHA]])</f>
        <v>45922+ELIAS ALVES DE FRANCA - 6046+GOIANIA (GO) X TERESINA (PI) VIA BC</v>
      </c>
      <c r="F850" s="1" t="str">
        <f>_xlfn.CONCAT(tabE.Flux[[#This Row],[DATA]],"+",tabE.Flux[[#This Row],[MOTORISTA + MATRÍCULA B]],"+",tabE.Flux[[#This Row],[LINHA]])</f>
        <v>45922+RAFAEL DA SILVA LIMA - 6215+GOIANIA (GO) X TERESINA (PI) VIA BC</v>
      </c>
      <c r="G850" s="1" t="str">
        <f>_xlfn.CONCAT(tabE.Flux[[#This Row],[DATA]],"+",tabE.Flux[[#This Row],[LINHA]])</f>
        <v>45922+GOIANIA (GO) X TERESINA (PI) VIA BC</v>
      </c>
      <c r="H850" s="125">
        <v>45922</v>
      </c>
      <c r="I850" s="1" t="s">
        <v>15</v>
      </c>
      <c r="J850" s="1">
        <v>24005</v>
      </c>
      <c r="K850" s="126">
        <v>0.89583333333333337</v>
      </c>
      <c r="L850" s="126">
        <v>0.91666666666666663</v>
      </c>
      <c r="M850" s="1" t="s">
        <v>36</v>
      </c>
      <c r="N850" s="1" t="s">
        <v>17</v>
      </c>
      <c r="O850" s="1" t="s">
        <v>189</v>
      </c>
      <c r="P850" s="1" t="s">
        <v>190</v>
      </c>
      <c r="Q850" s="1" t="s">
        <v>39</v>
      </c>
    </row>
    <row r="851" spans="3:17" x14ac:dyDescent="0.25">
      <c r="C851" s="1" t="str">
        <f>_xlfn.CONCAT(tabE.Flux[[#This Row],[DATA]],"+",tabE.Flux[[#This Row],[MOTORISTA + MATRÍCULA A]])</f>
        <v>45922+LEANDRO DE OLIVEIRA MELO - 2151</v>
      </c>
      <c r="D851" s="1" t="str">
        <f>_xlfn.CONCAT(tabE.Flux[[#This Row],[DATA]],"+",tabE.Flux[[#This Row],[MOTORISTA + MATRÍCULA B]])</f>
        <v>45922+RONNE RODRIGUES DE SOUSA - 5025</v>
      </c>
      <c r="E851" s="1" t="str">
        <f>_xlfn.CONCAT(tabE.Flux[[#This Row],[DATA]],"+",tabE.Flux[[#This Row],[MOTORISTA + MATRÍCULA A]],"+",tabE.Flux[[#This Row],[LINHA]])</f>
        <v>45922+LEANDRO DE OLIVEIRA MELO - 2151+GOIANIA (GO) X BELEM (PA)</v>
      </c>
      <c r="F851" s="1" t="str">
        <f>_xlfn.CONCAT(tabE.Flux[[#This Row],[DATA]],"+",tabE.Flux[[#This Row],[MOTORISTA + MATRÍCULA B]],"+",tabE.Flux[[#This Row],[LINHA]])</f>
        <v>45922+RONNE RODRIGUES DE SOUSA - 5025+GOIANIA (GO) X BELEM (PA)</v>
      </c>
      <c r="G851" s="1" t="str">
        <f>_xlfn.CONCAT(tabE.Flux[[#This Row],[DATA]],"+",tabE.Flux[[#This Row],[LINHA]])</f>
        <v>45922+GOIANIA (GO) X BELEM (PA)</v>
      </c>
      <c r="H851" s="125">
        <v>45922</v>
      </c>
      <c r="I851" s="1" t="s">
        <v>15</v>
      </c>
      <c r="J851" s="1">
        <v>24004</v>
      </c>
      <c r="K851" s="126">
        <v>0.76041666666666663</v>
      </c>
      <c r="L851" s="126">
        <v>0.77083333333333337</v>
      </c>
      <c r="M851" s="1" t="s">
        <v>33</v>
      </c>
      <c r="N851" s="1" t="s">
        <v>16</v>
      </c>
      <c r="O851" s="1" t="s">
        <v>64</v>
      </c>
      <c r="P851" s="1" t="s">
        <v>85</v>
      </c>
      <c r="Q851" s="1" t="s">
        <v>20</v>
      </c>
    </row>
    <row r="852" spans="3:17" x14ac:dyDescent="0.25">
      <c r="C852" s="1" t="str">
        <f>_xlfn.CONCAT(tabE.Flux[[#This Row],[DATA]],"+",tabE.Flux[[#This Row],[MOTORISTA + MATRÍCULA A]])</f>
        <v>45922+JOSE HAILTON PEREIRA DOS SANTOS - 6018</v>
      </c>
      <c r="D852" s="1" t="str">
        <f>_xlfn.CONCAT(tabE.Flux[[#This Row],[DATA]],"+",tabE.Flux[[#This Row],[MOTORISTA + MATRÍCULA B]])</f>
        <v>45922+ANDRE SOUSA REIS - 2644</v>
      </c>
      <c r="E852" s="1" t="str">
        <f>_xlfn.CONCAT(tabE.Flux[[#This Row],[DATA]],"+",tabE.Flux[[#This Row],[MOTORISTA + MATRÍCULA A]],"+",tabE.Flux[[#This Row],[LINHA]])</f>
        <v>45922+JOSE HAILTON PEREIRA DOS SANTOS - 6018+GOIANIA (GO) X BELEM (PA)</v>
      </c>
      <c r="F852" s="1" t="str">
        <f>_xlfn.CONCAT(tabE.Flux[[#This Row],[DATA]],"+",tabE.Flux[[#This Row],[MOTORISTA + MATRÍCULA B]],"+",tabE.Flux[[#This Row],[LINHA]])</f>
        <v>45922+ANDRE SOUSA REIS - 2644+GOIANIA (GO) X BELEM (PA)</v>
      </c>
      <c r="G852" s="1" t="str">
        <f>_xlfn.CONCAT(tabE.Flux[[#This Row],[DATA]],"+",tabE.Flux[[#This Row],[LINHA]])</f>
        <v>45922+GOIANIA (GO) X BELEM (PA)</v>
      </c>
      <c r="H852" s="125">
        <v>45922</v>
      </c>
      <c r="I852" s="1" t="s">
        <v>15</v>
      </c>
      <c r="J852" s="1">
        <v>24006</v>
      </c>
      <c r="K852" s="126">
        <v>0.76041666666666663</v>
      </c>
      <c r="L852" s="126">
        <v>0.82777777777777772</v>
      </c>
      <c r="M852" s="1" t="s">
        <v>16</v>
      </c>
      <c r="N852" s="1" t="s">
        <v>33</v>
      </c>
      <c r="O852" s="1" t="s">
        <v>141</v>
      </c>
      <c r="P852" s="1" t="s">
        <v>63</v>
      </c>
      <c r="Q852" s="1" t="s">
        <v>20</v>
      </c>
    </row>
    <row r="853" spans="3:17" x14ac:dyDescent="0.25">
      <c r="C853" s="1" t="str">
        <f>_xlfn.CONCAT(tabE.Flux[[#This Row],[DATA]],"+",tabE.Flux[[#This Row],[MOTORISTA + MATRÍCULA A]])</f>
        <v>45922+MANOEL MESSIAS SILVA DOS SANTOS - 1833</v>
      </c>
      <c r="D853" s="1" t="str">
        <f>_xlfn.CONCAT(tabE.Flux[[#This Row],[DATA]],"+",tabE.Flux[[#This Row],[MOTORISTA + MATRÍCULA B]])</f>
        <v>45922+LAUCEANDO DA SILVA ROCHA - 6220</v>
      </c>
      <c r="E853" s="1" t="str">
        <f>_xlfn.CONCAT(tabE.Flux[[#This Row],[DATA]],"+",tabE.Flux[[#This Row],[MOTORISTA + MATRÍCULA A]],"+",tabE.Flux[[#This Row],[LINHA]])</f>
        <v>45922+MANOEL MESSIAS SILVA DOS SANTOS - 1833+GOIANIA (GO) X SAO LUIS (MA)</v>
      </c>
      <c r="F853" s="1" t="str">
        <f>_xlfn.CONCAT(tabE.Flux[[#This Row],[DATA]],"+",tabE.Flux[[#This Row],[MOTORISTA + MATRÍCULA B]],"+",tabE.Flux[[#This Row],[LINHA]])</f>
        <v>45922+LAUCEANDO DA SILVA ROCHA - 6220+GOIANIA (GO) X SAO LUIS (MA)</v>
      </c>
      <c r="G853" s="1" t="str">
        <f>_xlfn.CONCAT(tabE.Flux[[#This Row],[DATA]],"+",tabE.Flux[[#This Row],[LINHA]])</f>
        <v>45922+GOIANIA (GO) X SAO LUIS (MA)</v>
      </c>
      <c r="H853" s="125">
        <v>45922</v>
      </c>
      <c r="I853" s="1" t="s">
        <v>15</v>
      </c>
      <c r="J853" s="1">
        <v>19006</v>
      </c>
      <c r="K853" s="126">
        <v>0.40763888888888888</v>
      </c>
      <c r="L853" s="126">
        <v>0.47013888888888888</v>
      </c>
      <c r="M853" s="1" t="s">
        <v>16</v>
      </c>
      <c r="N853" s="1" t="s">
        <v>42</v>
      </c>
      <c r="O853" s="1" t="s">
        <v>173</v>
      </c>
      <c r="P853" s="1" t="s">
        <v>86</v>
      </c>
      <c r="Q853" s="1" t="s">
        <v>23</v>
      </c>
    </row>
    <row r="854" spans="3:17" x14ac:dyDescent="0.25">
      <c r="C854" s="1" t="str">
        <f>_xlfn.CONCAT(tabE.Flux[[#This Row],[DATA]],"+",tabE.Flux[[#This Row],[MOTORISTA + MATRÍCULA A]])</f>
        <v>45922+CANCELADO</v>
      </c>
      <c r="D854" s="1" t="str">
        <f>_xlfn.CONCAT(tabE.Flux[[#This Row],[DATA]],"+",tabE.Flux[[#This Row],[MOTORISTA + MATRÍCULA B]])</f>
        <v>45922+CANCELADO</v>
      </c>
      <c r="E854" s="1" t="str">
        <f>_xlfn.CONCAT(tabE.Flux[[#This Row],[DATA]],"+",tabE.Flux[[#This Row],[MOTORISTA + MATRÍCULA A]],"+",tabE.Flux[[#This Row],[LINHA]])</f>
        <v>45922+CANCELADO+IMPERATRIZ (MA) X SÃO LUIS (MA)</v>
      </c>
      <c r="F854" s="1" t="str">
        <f>_xlfn.CONCAT(tabE.Flux[[#This Row],[DATA]],"+",tabE.Flux[[#This Row],[MOTORISTA + MATRÍCULA B]],"+",tabE.Flux[[#This Row],[LINHA]])</f>
        <v>45922+CANCELADO+IMPERATRIZ (MA) X SÃO LUIS (MA)</v>
      </c>
      <c r="G854" s="1" t="str">
        <f>_xlfn.CONCAT(tabE.Flux[[#This Row],[DATA]],"+",tabE.Flux[[#This Row],[LINHA]])</f>
        <v>45922+IMPERATRIZ (MA) X SÃO LUIS (MA)</v>
      </c>
      <c r="H854" s="125">
        <v>45922</v>
      </c>
      <c r="I854" s="1" t="s">
        <v>15</v>
      </c>
      <c r="J854" s="1" t="s">
        <v>27</v>
      </c>
      <c r="K854" s="126">
        <v>0.77083333333333337</v>
      </c>
      <c r="L854" s="126">
        <v>0.8125</v>
      </c>
      <c r="M854" s="1" t="s">
        <v>16</v>
      </c>
      <c r="N854" s="1" t="s">
        <v>42</v>
      </c>
      <c r="O854" s="1" t="s">
        <v>27</v>
      </c>
      <c r="P854" s="1" t="s">
        <v>27</v>
      </c>
      <c r="Q854" s="1" t="s">
        <v>47</v>
      </c>
    </row>
    <row r="855" spans="3:17" x14ac:dyDescent="0.25">
      <c r="C855" s="1" t="str">
        <f>_xlfn.CONCAT(tabE.Flux[[#This Row],[DATA]],"+",tabE.Flux[[#This Row],[MOTORISTA + MATRÍCULA A]])</f>
        <v>45922+MARCOS ATAIDE SILVA - 1352</v>
      </c>
      <c r="D855" s="1" t="str">
        <f>_xlfn.CONCAT(tabE.Flux[[#This Row],[DATA]],"+",tabE.Flux[[#This Row],[MOTORISTA + MATRÍCULA B]])</f>
        <v>45922+RAIMUNDO COSTA SILVA - 6226</v>
      </c>
      <c r="E855" s="1" t="str">
        <f>_xlfn.CONCAT(tabE.Flux[[#This Row],[DATA]],"+",tabE.Flux[[#This Row],[MOTORISTA + MATRÍCULA A]],"+",tabE.Flux[[#This Row],[LINHA]])</f>
        <v>45922+MARCOS ATAIDE SILVA - 1352+GOIANIA (GO) X SAO LUIS (MA)</v>
      </c>
      <c r="F855" s="1" t="str">
        <f>_xlfn.CONCAT(tabE.Flux[[#This Row],[DATA]],"+",tabE.Flux[[#This Row],[MOTORISTA + MATRÍCULA B]],"+",tabE.Flux[[#This Row],[LINHA]])</f>
        <v>45922+RAIMUNDO COSTA SILVA - 6226+GOIANIA (GO) X SAO LUIS (MA)</v>
      </c>
      <c r="G855" s="1" t="str">
        <f>_xlfn.CONCAT(tabE.Flux[[#This Row],[DATA]],"+",tabE.Flux[[#This Row],[LINHA]])</f>
        <v>45922+GOIANIA (GO) X SAO LUIS (MA)</v>
      </c>
      <c r="H855" s="125">
        <v>45922</v>
      </c>
      <c r="I855" s="1" t="s">
        <v>15</v>
      </c>
      <c r="J855" s="1">
        <v>24016</v>
      </c>
      <c r="K855" s="126">
        <v>0.8125</v>
      </c>
      <c r="L855" s="126">
        <v>0.84375</v>
      </c>
      <c r="M855" s="1" t="s">
        <v>16</v>
      </c>
      <c r="N855" s="1" t="s">
        <v>42</v>
      </c>
      <c r="O855" s="1" t="s">
        <v>113</v>
      </c>
      <c r="P855" s="1" t="s">
        <v>45</v>
      </c>
      <c r="Q855" s="1" t="s">
        <v>23</v>
      </c>
    </row>
    <row r="856" spans="3:17" x14ac:dyDescent="0.25">
      <c r="C856" s="1" t="str">
        <f>_xlfn.CONCAT(tabE.Flux[[#This Row],[DATA]],"+",tabE.Flux[[#This Row],[MOTORISTA + MATRÍCULA A]])</f>
        <v>45922+ANDSON WAGNER NASCIMENTO SOUZA - 2902</v>
      </c>
      <c r="D856" s="1" t="str">
        <f>_xlfn.CONCAT(tabE.Flux[[#This Row],[DATA]],"+",tabE.Flux[[#This Row],[MOTORISTA + MATRÍCULA B]])</f>
        <v>45922+WASHINGTON ALVES BRITO - 1553</v>
      </c>
      <c r="E856" s="1" t="str">
        <f>_xlfn.CONCAT(tabE.Flux[[#This Row],[DATA]],"+",tabE.Flux[[#This Row],[MOTORISTA + MATRÍCULA A]],"+",tabE.Flux[[#This Row],[LINHA]])</f>
        <v>45922+ANDSON WAGNER NASCIMENTO SOUZA - 2902+GOIANIA (GO) X TERESINA (PI) VIA STI</v>
      </c>
      <c r="F856" s="1" t="str">
        <f>_xlfn.CONCAT(tabE.Flux[[#This Row],[DATA]],"+",tabE.Flux[[#This Row],[MOTORISTA + MATRÍCULA B]],"+",tabE.Flux[[#This Row],[LINHA]])</f>
        <v>45922+WASHINGTON ALVES BRITO - 1553+GOIANIA (GO) X TERESINA (PI) VIA STI</v>
      </c>
      <c r="G856" s="1" t="str">
        <f>_xlfn.CONCAT(tabE.Flux[[#This Row],[DATA]],"+",tabE.Flux[[#This Row],[LINHA]])</f>
        <v>45922+GOIANIA (GO) X TERESINA (PI) VIA STI</v>
      </c>
      <c r="H856" s="125">
        <v>45922</v>
      </c>
      <c r="I856" s="1" t="s">
        <v>15</v>
      </c>
      <c r="J856" s="1">
        <v>19003</v>
      </c>
      <c r="K856" s="126">
        <v>0.77083333333333337</v>
      </c>
      <c r="L856" s="126">
        <v>0.79861111111111116</v>
      </c>
      <c r="M856" s="1" t="s">
        <v>16</v>
      </c>
      <c r="N856" s="1" t="s">
        <v>29</v>
      </c>
      <c r="O856" s="1" t="s">
        <v>232</v>
      </c>
      <c r="P856" s="1" t="s">
        <v>201</v>
      </c>
      <c r="Q856" s="1" t="s">
        <v>26</v>
      </c>
    </row>
    <row r="857" spans="3:17" x14ac:dyDescent="0.25">
      <c r="C857" s="1" t="str">
        <f>_xlfn.CONCAT(tabE.Flux[[#This Row],[DATA]],"+",tabE.Flux[[#This Row],[MOTORISTA + MATRÍCULA A]])</f>
        <v>45922+CLEOMAR ANTONIO SIMOES - 2988</v>
      </c>
      <c r="D857" s="1" t="str">
        <f>_xlfn.CONCAT(tabE.Flux[[#This Row],[DATA]],"+",tabE.Flux[[#This Row],[MOTORISTA + MATRÍCULA B]])</f>
        <v>45922+ISMAEL ANTERO FARIAS - 6230</v>
      </c>
      <c r="E857" s="1" t="str">
        <f>_xlfn.CONCAT(tabE.Flux[[#This Row],[DATA]],"+",tabE.Flux[[#This Row],[MOTORISTA + MATRÍCULA A]],"+",tabE.Flux[[#This Row],[LINHA]])</f>
        <v>45922+CLEOMAR ANTONIO SIMOES - 2988+GOIANIA (GO) X SAO LUIS (MA)</v>
      </c>
      <c r="F857" s="1" t="str">
        <f>_xlfn.CONCAT(tabE.Flux[[#This Row],[DATA]],"+",tabE.Flux[[#This Row],[MOTORISTA + MATRÍCULA B]],"+",tabE.Flux[[#This Row],[LINHA]])</f>
        <v>45922+ISMAEL ANTERO FARIAS - 6230+GOIANIA (GO) X SAO LUIS (MA)</v>
      </c>
      <c r="G857" s="1" t="str">
        <f>_xlfn.CONCAT(tabE.Flux[[#This Row],[DATA]],"+",tabE.Flux[[#This Row],[LINHA]])</f>
        <v>45922+GOIANIA (GO) X SAO LUIS (MA)</v>
      </c>
      <c r="H857" s="125">
        <v>45922</v>
      </c>
      <c r="I857" s="1" t="s">
        <v>15</v>
      </c>
      <c r="J857" s="1">
        <v>19007</v>
      </c>
      <c r="K857" s="126">
        <v>0.8125</v>
      </c>
      <c r="L857" s="126">
        <v>0.84166666666666667</v>
      </c>
      <c r="M857" s="1" t="s">
        <v>16</v>
      </c>
      <c r="N857" s="1" t="s">
        <v>17</v>
      </c>
      <c r="O857" s="1" t="s">
        <v>250</v>
      </c>
      <c r="P857" s="1" t="s">
        <v>205</v>
      </c>
      <c r="Q857" s="1" t="s">
        <v>23</v>
      </c>
    </row>
    <row r="858" spans="3:17" x14ac:dyDescent="0.25">
      <c r="C858" s="1" t="str">
        <f>_xlfn.CONCAT(tabE.Flux[[#This Row],[DATA]],"+",tabE.Flux[[#This Row],[MOTORISTA + MATRÍCULA A]])</f>
        <v>45922+GENIVALDO ANTONIO DE SOUZA - 1082</v>
      </c>
      <c r="D858" s="1" t="str">
        <f>_xlfn.CONCAT(tabE.Flux[[#This Row],[DATA]],"+",tabE.Flux[[#This Row],[MOTORISTA + MATRÍCULA B]])</f>
        <v>45922+WENDER PEDRO DA SILVA - 1596</v>
      </c>
      <c r="E858" s="1" t="str">
        <f>_xlfn.CONCAT(tabE.Flux[[#This Row],[DATA]],"+",tabE.Flux[[#This Row],[MOTORISTA + MATRÍCULA A]],"+",tabE.Flux[[#This Row],[LINHA]])</f>
        <v>45922+GENIVALDO ANTONIO DE SOUZA - 1082+FORTALEZA (CE) X SINOP (MT)</v>
      </c>
      <c r="F858" s="1" t="str">
        <f>_xlfn.CONCAT(tabE.Flux[[#This Row],[DATA]],"+",tabE.Flux[[#This Row],[MOTORISTA + MATRÍCULA B]],"+",tabE.Flux[[#This Row],[LINHA]])</f>
        <v>45922+WENDER PEDRO DA SILVA - 1596+FORTALEZA (CE) X SINOP (MT)</v>
      </c>
      <c r="G858" s="1" t="str">
        <f>_xlfn.CONCAT(tabE.Flux[[#This Row],[DATA]],"+",tabE.Flux[[#This Row],[LINHA]])</f>
        <v>45922+FORTALEZA (CE) X SINOP (MT)</v>
      </c>
      <c r="H858" s="125">
        <v>45922</v>
      </c>
      <c r="I858" s="1" t="s">
        <v>15</v>
      </c>
      <c r="J858" s="1">
        <v>17700</v>
      </c>
      <c r="K858" s="126">
        <v>0.8125</v>
      </c>
      <c r="L858" s="126">
        <v>0.85416666666666663</v>
      </c>
      <c r="M858" s="1" t="s">
        <v>16</v>
      </c>
      <c r="N858" s="1" t="s">
        <v>17</v>
      </c>
      <c r="O858" s="1" t="s">
        <v>185</v>
      </c>
      <c r="P858" s="1" t="s">
        <v>207</v>
      </c>
      <c r="Q858" s="1" t="s">
        <v>32</v>
      </c>
    </row>
    <row r="859" spans="3:17" x14ac:dyDescent="0.25">
      <c r="C859" s="1" t="str">
        <f>_xlfn.CONCAT(tabE.Flux[[#This Row],[DATA]],"+",tabE.Flux[[#This Row],[MOTORISTA + MATRÍCULA A]])</f>
        <v>45922+VALTER PEREIRA MACIEL - 5630</v>
      </c>
      <c r="D859" s="1" t="str">
        <f>_xlfn.CONCAT(tabE.Flux[[#This Row],[DATA]],"+",tabE.Flux[[#This Row],[MOTORISTA + MATRÍCULA B]])</f>
        <v>45922+GERALDO MARTINS DOS SANTOS - 5610</v>
      </c>
      <c r="E859" s="1" t="str">
        <f>_xlfn.CONCAT(tabE.Flux[[#This Row],[DATA]],"+",tabE.Flux[[#This Row],[MOTORISTA + MATRÍCULA A]],"+",tabE.Flux[[#This Row],[LINHA]])</f>
        <v>45922+VALTER PEREIRA MACIEL - 5630+GOIANIA (GO) X BELEM (PA)</v>
      </c>
      <c r="F859" s="1" t="str">
        <f>_xlfn.CONCAT(tabE.Flux[[#This Row],[DATA]],"+",tabE.Flux[[#This Row],[MOTORISTA + MATRÍCULA B]],"+",tabE.Flux[[#This Row],[LINHA]])</f>
        <v>45922+GERALDO MARTINS DOS SANTOS - 5610+GOIANIA (GO) X BELEM (PA)</v>
      </c>
      <c r="G859" s="1" t="str">
        <f>_xlfn.CONCAT(tabE.Flux[[#This Row],[DATA]],"+",tabE.Flux[[#This Row],[LINHA]])</f>
        <v>45922+GOIANIA (GO) X BELEM (PA)</v>
      </c>
      <c r="H859" s="125">
        <v>45922</v>
      </c>
      <c r="I859" s="1" t="s">
        <v>15</v>
      </c>
      <c r="J859" s="1">
        <v>19002</v>
      </c>
      <c r="K859" s="126">
        <v>0.84722222222222221</v>
      </c>
      <c r="L859" s="126">
        <v>0.87847222222222221</v>
      </c>
      <c r="M859" s="1" t="s">
        <v>16</v>
      </c>
      <c r="N859" s="1" t="s">
        <v>17</v>
      </c>
      <c r="O859" s="1" t="s">
        <v>208</v>
      </c>
      <c r="P859" s="1" t="s">
        <v>209</v>
      </c>
      <c r="Q859" s="1" t="s">
        <v>20</v>
      </c>
    </row>
    <row r="860" spans="3:17" x14ac:dyDescent="0.25">
      <c r="C860" s="1" t="str">
        <f>_xlfn.CONCAT(tabE.Flux[[#This Row],[DATA]],"+",tabE.Flux[[#This Row],[MOTORISTA + MATRÍCULA A]])</f>
        <v>+</v>
      </c>
      <c r="D860" s="1" t="str">
        <f>_xlfn.CONCAT(tabE.Flux[[#This Row],[DATA]],"+",tabE.Flux[[#This Row],[MOTORISTA + MATRÍCULA B]])</f>
        <v>+</v>
      </c>
      <c r="E860" s="1" t="str">
        <f>_xlfn.CONCAT(tabE.Flux[[#This Row],[DATA]],"+",tabE.Flux[[#This Row],[MOTORISTA + MATRÍCULA A]],"+",tabE.Flux[[#This Row],[LINHA]])</f>
        <v>++</v>
      </c>
      <c r="F860" s="1" t="str">
        <f>_xlfn.CONCAT(tabE.Flux[[#This Row],[DATA]],"+",tabE.Flux[[#This Row],[MOTORISTA + MATRÍCULA B]],"+",tabE.Flux[[#This Row],[LINHA]])</f>
        <v>++</v>
      </c>
      <c r="G860" s="1" t="str">
        <f>_xlfn.CONCAT(tabE.Flux[[#This Row],[DATA]],"+",tabE.Flux[[#This Row],[LINHA]])</f>
        <v>+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3:17" x14ac:dyDescent="0.25">
      <c r="C861" s="1" t="str">
        <f>_xlfn.CONCAT(tabE.Flux[[#This Row],[DATA]],"+",tabE.Flux[[#This Row],[MOTORISTA + MATRÍCULA A]])</f>
        <v>45923+MARCELO RIZO SANTANA - 2048</v>
      </c>
      <c r="D861" s="1" t="str">
        <f>_xlfn.CONCAT(tabE.Flux[[#This Row],[DATA]],"+",tabE.Flux[[#This Row],[MOTORISTA + MATRÍCULA B]])</f>
        <v>45923+JOSIMAR CLAUDINO SILVA - 6019</v>
      </c>
      <c r="E861" s="1" t="str">
        <f>_xlfn.CONCAT(tabE.Flux[[#This Row],[DATA]],"+",tabE.Flux[[#This Row],[MOTORISTA + MATRÍCULA A]],"+",tabE.Flux[[#This Row],[LINHA]])</f>
        <v>45923+MARCELO RIZO SANTANA - 2048+GOIANIA (GO) X BELEM (PA)</v>
      </c>
      <c r="F861" s="1" t="str">
        <f>_xlfn.CONCAT(tabE.Flux[[#This Row],[DATA]],"+",tabE.Flux[[#This Row],[MOTORISTA + MATRÍCULA B]],"+",tabE.Flux[[#This Row],[LINHA]])</f>
        <v>45923+JOSIMAR CLAUDINO SILVA - 6019+GOIANIA (GO) X BELEM (PA)</v>
      </c>
      <c r="G861" s="1" t="str">
        <f>_xlfn.CONCAT(tabE.Flux[[#This Row],[DATA]],"+",tabE.Flux[[#This Row],[LINHA]])</f>
        <v>45923+GOIANIA (GO) X BELEM (PA)</v>
      </c>
      <c r="H861" s="125">
        <v>45923</v>
      </c>
      <c r="I861" s="1" t="s">
        <v>15</v>
      </c>
      <c r="J861" s="1">
        <v>24004</v>
      </c>
      <c r="K861" s="126">
        <v>0.25486111111111109</v>
      </c>
      <c r="L861" s="126">
        <v>0.3</v>
      </c>
      <c r="M861" s="1" t="s">
        <v>16</v>
      </c>
      <c r="N861" s="1" t="s">
        <v>17</v>
      </c>
      <c r="O861" s="1" t="s">
        <v>127</v>
      </c>
      <c r="P861" s="1" t="s">
        <v>243</v>
      </c>
      <c r="Q861" s="1" t="s">
        <v>20</v>
      </c>
    </row>
    <row r="862" spans="3:17" x14ac:dyDescent="0.25">
      <c r="C862" s="1" t="str">
        <f>_xlfn.CONCAT(tabE.Flux[[#This Row],[DATA]],"+",tabE.Flux[[#This Row],[MOTORISTA + MATRÍCULA A]])</f>
        <v>45923+RONALDO ADRIANO COSTA SANTOS - 5637</v>
      </c>
      <c r="D862" s="1" t="str">
        <f>_xlfn.CONCAT(tabE.Flux[[#This Row],[DATA]],"+",tabE.Flux[[#This Row],[MOTORISTA + MATRÍCULA B]])</f>
        <v>45923+FELIPE MORAIS MELO - 3077</v>
      </c>
      <c r="E862" s="1" t="str">
        <f>_xlfn.CONCAT(tabE.Flux[[#This Row],[DATA]],"+",tabE.Flux[[#This Row],[MOTORISTA + MATRÍCULA A]],"+",tabE.Flux[[#This Row],[LINHA]])</f>
        <v>45923+RONALDO ADRIANO COSTA SANTOS - 5637+GOIANIA (GO) X SAO LUIS (MA)</v>
      </c>
      <c r="F862" s="1" t="str">
        <f>_xlfn.CONCAT(tabE.Flux[[#This Row],[DATA]],"+",tabE.Flux[[#This Row],[MOTORISTA + MATRÍCULA B]],"+",tabE.Flux[[#This Row],[LINHA]])</f>
        <v>45923+FELIPE MORAIS MELO - 3077+GOIANIA (GO) X SAO LUIS (MA)</v>
      </c>
      <c r="G862" s="1" t="str">
        <f>_xlfn.CONCAT(tabE.Flux[[#This Row],[DATA]],"+",tabE.Flux[[#This Row],[LINHA]])</f>
        <v>45923+GOIANIA (GO) X SAO LUIS (MA)</v>
      </c>
      <c r="H862" s="125">
        <v>45923</v>
      </c>
      <c r="I862" s="1" t="s">
        <v>15</v>
      </c>
      <c r="J862" s="1">
        <v>24003</v>
      </c>
      <c r="K862" s="126">
        <v>0.32291666666666669</v>
      </c>
      <c r="L862" s="126">
        <v>0.33333333333333331</v>
      </c>
      <c r="M862" s="1" t="s">
        <v>16</v>
      </c>
      <c r="N862" s="1" t="s">
        <v>17</v>
      </c>
      <c r="O862" s="1" t="s">
        <v>41</v>
      </c>
      <c r="P862" s="1" t="s">
        <v>78</v>
      </c>
      <c r="Q862" s="1" t="s">
        <v>23</v>
      </c>
    </row>
    <row r="863" spans="3:17" x14ac:dyDescent="0.25">
      <c r="C863" s="1" t="str">
        <f>_xlfn.CONCAT(tabE.Flux[[#This Row],[DATA]],"+",tabE.Flux[[#This Row],[MOTORISTA + MATRÍCULA A]])</f>
        <v>45923+FRANCISCO LINDONALDO DE SOUSA - 2971</v>
      </c>
      <c r="D863" s="1" t="str">
        <f>_xlfn.CONCAT(tabE.Flux[[#This Row],[DATA]],"+",tabE.Flux[[#This Row],[MOTORISTA + MATRÍCULA B]])</f>
        <v>45923+CLODOALDO PEREIRA DE LIMA - 4067</v>
      </c>
      <c r="E863" s="1" t="str">
        <f>_xlfn.CONCAT(tabE.Flux[[#This Row],[DATA]],"+",tabE.Flux[[#This Row],[MOTORISTA + MATRÍCULA A]],"+",tabE.Flux[[#This Row],[LINHA]])</f>
        <v>45923+FRANCISCO LINDONALDO DE SOUSA - 2971+GOIANIA (GO) X TERESINA (PI) VIA STI</v>
      </c>
      <c r="F863" s="1" t="str">
        <f>_xlfn.CONCAT(tabE.Flux[[#This Row],[DATA]],"+",tabE.Flux[[#This Row],[MOTORISTA + MATRÍCULA B]],"+",tabE.Flux[[#This Row],[LINHA]])</f>
        <v>45923+CLODOALDO PEREIRA DE LIMA - 4067+GOIANIA (GO) X TERESINA (PI) VIA STI</v>
      </c>
      <c r="G863" s="1" t="str">
        <f>_xlfn.CONCAT(tabE.Flux[[#This Row],[DATA]],"+",tabE.Flux[[#This Row],[LINHA]])</f>
        <v>45923+GOIANIA (GO) X TERESINA (PI) VIA STI</v>
      </c>
      <c r="H863" s="125">
        <v>45923</v>
      </c>
      <c r="I863" s="1" t="s">
        <v>15</v>
      </c>
      <c r="J863" s="1">
        <v>20014</v>
      </c>
      <c r="K863" s="126">
        <v>0.3888888888888889</v>
      </c>
      <c r="L863" s="126">
        <v>0.39583333333333331</v>
      </c>
      <c r="M863" s="1" t="s">
        <v>16</v>
      </c>
      <c r="N863" s="1" t="s">
        <v>17</v>
      </c>
      <c r="O863" s="1" t="s">
        <v>131</v>
      </c>
      <c r="P863" s="1" t="s">
        <v>109</v>
      </c>
      <c r="Q863" s="1" t="s">
        <v>26</v>
      </c>
    </row>
    <row r="864" spans="3:17" x14ac:dyDescent="0.25">
      <c r="C864" s="1" t="str">
        <f>_xlfn.CONCAT(tabE.Flux[[#This Row],[DATA]],"+",tabE.Flux[[#This Row],[MOTORISTA + MATRÍCULA A]])</f>
        <v>45923+CANCELADO</v>
      </c>
      <c r="D864" s="1" t="str">
        <f>_xlfn.CONCAT(tabE.Flux[[#This Row],[DATA]],"+",tabE.Flux[[#This Row],[MOTORISTA + MATRÍCULA B]])</f>
        <v>45923+CANCELADO</v>
      </c>
      <c r="E864" s="1" t="str">
        <f>_xlfn.CONCAT(tabE.Flux[[#This Row],[DATA]],"+",tabE.Flux[[#This Row],[MOTORISTA + MATRÍCULA A]],"+",tabE.Flux[[#This Row],[LINHA]])</f>
        <v>45923+CANCELADO+</v>
      </c>
      <c r="F864" s="1" t="str">
        <f>_xlfn.CONCAT(tabE.Flux[[#This Row],[DATA]],"+",tabE.Flux[[#This Row],[MOTORISTA + MATRÍCULA B]],"+",tabE.Flux[[#This Row],[LINHA]])</f>
        <v>45923+CANCELADO+</v>
      </c>
      <c r="G864" s="1" t="str">
        <f>_xlfn.CONCAT(tabE.Flux[[#This Row],[DATA]],"+",tabE.Flux[[#This Row],[LINHA]])</f>
        <v>45923+</v>
      </c>
      <c r="H864" s="125">
        <v>45923</v>
      </c>
      <c r="I864" s="1" t="s">
        <v>15</v>
      </c>
      <c r="J864" s="1" t="s">
        <v>27</v>
      </c>
      <c r="K864" s="126">
        <v>0.375</v>
      </c>
      <c r="L864" s="126">
        <v>0.41666666666666669</v>
      </c>
      <c r="M864" s="1" t="s">
        <v>16</v>
      </c>
      <c r="N864" s="1" t="s">
        <v>28</v>
      </c>
      <c r="O864" s="1" t="s">
        <v>27</v>
      </c>
      <c r="P864" s="1" t="s">
        <v>27</v>
      </c>
      <c r="Q864" s="1"/>
    </row>
    <row r="865" spans="3:17" x14ac:dyDescent="0.25">
      <c r="C865" s="1" t="str">
        <f>_xlfn.CONCAT(tabE.Flux[[#This Row],[DATA]],"+",tabE.Flux[[#This Row],[MOTORISTA + MATRÍCULA A]])</f>
        <v>45923+WESLEY SILVA PAIVA - 5638</v>
      </c>
      <c r="D865" s="1" t="str">
        <f>_xlfn.CONCAT(tabE.Flux[[#This Row],[DATA]],"+",tabE.Flux[[#This Row],[MOTORISTA + MATRÍCULA B]])</f>
        <v>45923+FRANCISCO CARLOS MELO - 5306</v>
      </c>
      <c r="E865" s="1" t="str">
        <f>_xlfn.CONCAT(tabE.Flux[[#This Row],[DATA]],"+",tabE.Flux[[#This Row],[MOTORISTA + MATRÍCULA A]],"+",tabE.Flux[[#This Row],[LINHA]])</f>
        <v>45923+WESLEY SILVA PAIVA - 5638+FORTALEZA (CE) X SINOP (MT)</v>
      </c>
      <c r="F865" s="1" t="str">
        <f>_xlfn.CONCAT(tabE.Flux[[#This Row],[DATA]],"+",tabE.Flux[[#This Row],[MOTORISTA + MATRÍCULA B]],"+",tabE.Flux[[#This Row],[LINHA]])</f>
        <v>45923+FRANCISCO CARLOS MELO - 5306+FORTALEZA (CE) X SINOP (MT)</v>
      </c>
      <c r="G865" s="1" t="str">
        <f>_xlfn.CONCAT(tabE.Flux[[#This Row],[DATA]],"+",tabE.Flux[[#This Row],[LINHA]])</f>
        <v>45923+FORTALEZA (CE) X SINOP (MT)</v>
      </c>
      <c r="H865" s="125">
        <v>45923</v>
      </c>
      <c r="I865" s="1" t="s">
        <v>15</v>
      </c>
      <c r="J865" s="1">
        <v>19026</v>
      </c>
      <c r="K865" s="126">
        <v>0.3888888888888889</v>
      </c>
      <c r="L865" s="126">
        <v>0.37708333333333333</v>
      </c>
      <c r="M865" s="1" t="s">
        <v>16</v>
      </c>
      <c r="N865" s="1" t="s">
        <v>29</v>
      </c>
      <c r="O865" s="1" t="s">
        <v>112</v>
      </c>
      <c r="P865" s="1" t="s">
        <v>142</v>
      </c>
      <c r="Q865" s="1" t="s">
        <v>32</v>
      </c>
    </row>
    <row r="866" spans="3:17" x14ac:dyDescent="0.25">
      <c r="C866" s="1" t="str">
        <f>_xlfn.CONCAT(tabE.Flux[[#This Row],[DATA]],"+",tabE.Flux[[#This Row],[MOTORISTA + MATRÍCULA A]])</f>
        <v>45923+CANCELADO</v>
      </c>
      <c r="D866" s="1" t="str">
        <f>_xlfn.CONCAT(tabE.Flux[[#This Row],[DATA]],"+",tabE.Flux[[#This Row],[MOTORISTA + MATRÍCULA B]])</f>
        <v>45923+CANCELADO</v>
      </c>
      <c r="E866" s="1" t="str">
        <f>_xlfn.CONCAT(tabE.Flux[[#This Row],[DATA]],"+",tabE.Flux[[#This Row],[MOTORISTA + MATRÍCULA A]],"+",tabE.Flux[[#This Row],[LINHA]])</f>
        <v>45923+CANCELADO+GOIANIA (GO) X BELEM (PA)</v>
      </c>
      <c r="F866" s="1" t="str">
        <f>_xlfn.CONCAT(tabE.Flux[[#This Row],[DATA]],"+",tabE.Flux[[#This Row],[MOTORISTA + MATRÍCULA B]],"+",tabE.Flux[[#This Row],[LINHA]])</f>
        <v>45923+CANCELADO+GOIANIA (GO) X BELEM (PA)</v>
      </c>
      <c r="G866" s="1" t="str">
        <f>_xlfn.CONCAT(tabE.Flux[[#This Row],[DATA]],"+",tabE.Flux[[#This Row],[LINHA]])</f>
        <v>45923+GOIANIA (GO) X BELEM (PA)</v>
      </c>
      <c r="H866" s="125">
        <v>45923</v>
      </c>
      <c r="I866" s="1" t="s">
        <v>15</v>
      </c>
      <c r="J866" s="1" t="s">
        <v>27</v>
      </c>
      <c r="K866" s="126">
        <v>0.38958333333333334</v>
      </c>
      <c r="L866" s="126">
        <v>0.38541666666666669</v>
      </c>
      <c r="M866" s="1" t="s">
        <v>16</v>
      </c>
      <c r="N866" s="1" t="s">
        <v>33</v>
      </c>
      <c r="O866" s="1" t="s">
        <v>27</v>
      </c>
      <c r="P866" s="1" t="s">
        <v>27</v>
      </c>
      <c r="Q866" s="1" t="s">
        <v>20</v>
      </c>
    </row>
    <row r="867" spans="3:17" x14ac:dyDescent="0.25">
      <c r="C867" s="1" t="str">
        <f>_xlfn.CONCAT(tabE.Flux[[#This Row],[DATA]],"+",tabE.Flux[[#This Row],[MOTORISTA + MATRÍCULA A]])</f>
        <v>45923+JOSE ORLANDO RODRIGUES DE MIRANDA - 5838</v>
      </c>
      <c r="D867" s="1" t="str">
        <f>_xlfn.CONCAT(tabE.Flux[[#This Row],[DATA]],"+",tabE.Flux[[#This Row],[MOTORISTA + MATRÍCULA B]])</f>
        <v>45923+DAVID ALVES PEREIRA - 5300</v>
      </c>
      <c r="E867" s="1" t="str">
        <f>_xlfn.CONCAT(tabE.Flux[[#This Row],[DATA]],"+",tabE.Flux[[#This Row],[MOTORISTA + MATRÍCULA A]],"+",tabE.Flux[[#This Row],[LINHA]])</f>
        <v>45923+JOSE ORLANDO RODRIGUES DE MIRANDA - 5838+GOIANIA (GO) X TERESINA (PI) VIA BC</v>
      </c>
      <c r="F867" s="1" t="str">
        <f>_xlfn.CONCAT(tabE.Flux[[#This Row],[DATA]],"+",tabE.Flux[[#This Row],[MOTORISTA + MATRÍCULA B]],"+",tabE.Flux[[#This Row],[LINHA]])</f>
        <v>45923+DAVID ALVES PEREIRA - 5300+GOIANIA (GO) X TERESINA (PI) VIA BC</v>
      </c>
      <c r="G867" s="1" t="str">
        <f>_xlfn.CONCAT(tabE.Flux[[#This Row],[DATA]],"+",tabE.Flux[[#This Row],[LINHA]])</f>
        <v>45923+GOIANIA (GO) X TERESINA (PI) VIA BC</v>
      </c>
      <c r="H867" s="125">
        <v>45923</v>
      </c>
      <c r="I867" s="1" t="s">
        <v>15</v>
      </c>
      <c r="J867" s="1">
        <v>24015</v>
      </c>
      <c r="K867" s="126">
        <v>0.375</v>
      </c>
      <c r="L867" s="126">
        <v>0.39930555555555558</v>
      </c>
      <c r="M867" s="1" t="s">
        <v>36</v>
      </c>
      <c r="N867" s="1" t="s">
        <v>29</v>
      </c>
      <c r="O867" s="1" t="s">
        <v>37</v>
      </c>
      <c r="P867" s="1" t="s">
        <v>197</v>
      </c>
      <c r="Q867" s="1" t="s">
        <v>39</v>
      </c>
    </row>
    <row r="868" spans="3:17" x14ac:dyDescent="0.25">
      <c r="C868" s="1" t="str">
        <f>_xlfn.CONCAT(tabE.Flux[[#This Row],[DATA]],"+",tabE.Flux[[#This Row],[MOTORISTA + MATRÍCULA A]])</f>
        <v>45923+JAME DOS SANTOS MOURA - 5332</v>
      </c>
      <c r="D868" s="1" t="str">
        <f>_xlfn.CONCAT(tabE.Flux[[#This Row],[DATA]],"+",tabE.Flux[[#This Row],[MOTORISTA + MATRÍCULA B]])</f>
        <v>45923+JOSE CARLOS BEZERRA DA SILVA - 3034</v>
      </c>
      <c r="E868" s="1" t="str">
        <f>_xlfn.CONCAT(tabE.Flux[[#This Row],[DATA]],"+",tabE.Flux[[#This Row],[MOTORISTA + MATRÍCULA A]],"+",tabE.Flux[[#This Row],[LINHA]])</f>
        <v>45923+JAME DOS SANTOS MOURA - 5332+GOIANIA (GO) X BELEM (PA)</v>
      </c>
      <c r="F868" s="1" t="str">
        <f>_xlfn.CONCAT(tabE.Flux[[#This Row],[DATA]],"+",tabE.Flux[[#This Row],[MOTORISTA + MATRÍCULA B]],"+",tabE.Flux[[#This Row],[LINHA]])</f>
        <v>45923+JOSE CARLOS BEZERRA DA SILVA - 3034+GOIANIA (GO) X BELEM (PA)</v>
      </c>
      <c r="G868" s="1" t="str">
        <f>_xlfn.CONCAT(tabE.Flux[[#This Row],[DATA]],"+",tabE.Flux[[#This Row],[LINHA]])</f>
        <v>45923+GOIANIA (GO) X BELEM (PA)</v>
      </c>
      <c r="H868" s="125">
        <v>45923</v>
      </c>
      <c r="I868" s="1" t="s">
        <v>15</v>
      </c>
      <c r="J868" s="1">
        <v>19012</v>
      </c>
      <c r="K868" s="126">
        <v>0.375</v>
      </c>
      <c r="L868" s="126">
        <v>0.41666666666666669</v>
      </c>
      <c r="M868" s="1" t="s">
        <v>33</v>
      </c>
      <c r="N868" s="1" t="s">
        <v>16</v>
      </c>
      <c r="O868" s="1" t="s">
        <v>103</v>
      </c>
      <c r="P868" s="1" t="s">
        <v>76</v>
      </c>
      <c r="Q868" s="1" t="s">
        <v>20</v>
      </c>
    </row>
    <row r="869" spans="3:17" x14ac:dyDescent="0.25">
      <c r="C869" s="1" t="str">
        <f>_xlfn.CONCAT(tabE.Flux[[#This Row],[DATA]],"+",tabE.Flux[[#This Row],[MOTORISTA + MATRÍCULA A]])</f>
        <v>45923+ALTEMAR DO NASCIMENTO LIMA - 6225</v>
      </c>
      <c r="D869" s="1" t="str">
        <f>_xlfn.CONCAT(tabE.Flux[[#This Row],[DATA]],"+",tabE.Flux[[#This Row],[MOTORISTA + MATRÍCULA B]])</f>
        <v>45923+MANOEL MESSIAS SILVA DOS SANTOS - 1833</v>
      </c>
      <c r="E869" s="1" t="str">
        <f>_xlfn.CONCAT(tabE.Flux[[#This Row],[DATA]],"+",tabE.Flux[[#This Row],[MOTORISTA + MATRÍCULA A]],"+",tabE.Flux[[#This Row],[LINHA]])</f>
        <v>45923+ALTEMAR DO NASCIMENTO LIMA - 6225+GOIANIA (GO) X SAO LUIS (MA)</v>
      </c>
      <c r="F869" s="1" t="str">
        <f>_xlfn.CONCAT(tabE.Flux[[#This Row],[DATA]],"+",tabE.Flux[[#This Row],[MOTORISTA + MATRÍCULA B]],"+",tabE.Flux[[#This Row],[LINHA]])</f>
        <v>45923+MANOEL MESSIAS SILVA DOS SANTOS - 1833+GOIANIA (GO) X SAO LUIS (MA)</v>
      </c>
      <c r="G869" s="1" t="str">
        <f>_xlfn.CONCAT(tabE.Flux[[#This Row],[DATA]],"+",tabE.Flux[[#This Row],[LINHA]])</f>
        <v>45923+GOIANIA (GO) X SAO LUIS (MA)</v>
      </c>
      <c r="H869" s="125">
        <v>45923</v>
      </c>
      <c r="I869" s="1" t="s">
        <v>15</v>
      </c>
      <c r="J869" s="1">
        <v>20010</v>
      </c>
      <c r="K869" s="126">
        <v>0.25</v>
      </c>
      <c r="L869" s="126">
        <v>0.29166666666666669</v>
      </c>
      <c r="M869" s="1" t="s">
        <v>42</v>
      </c>
      <c r="N869" s="1" t="s">
        <v>16</v>
      </c>
      <c r="O869" s="1" t="s">
        <v>57</v>
      </c>
      <c r="P869" s="1" t="s">
        <v>173</v>
      </c>
      <c r="Q869" s="1" t="s">
        <v>23</v>
      </c>
    </row>
    <row r="870" spans="3:17" x14ac:dyDescent="0.25">
      <c r="C870" s="1" t="str">
        <f>_xlfn.CONCAT(tabE.Flux[[#This Row],[DATA]],"+",tabE.Flux[[#This Row],[MOTORISTA + MATRÍCULA A]])</f>
        <v>45923+PAULO ENEAS FARIAS ARAUJO - 6218</v>
      </c>
      <c r="D870" s="1" t="str">
        <f>_xlfn.CONCAT(tabE.Flux[[#This Row],[DATA]],"+",tabE.Flux[[#This Row],[MOTORISTA + MATRÍCULA B]])</f>
        <v>45923+MARCOS ATAIDE SILVA - 1352</v>
      </c>
      <c r="E870" s="1" t="str">
        <f>_xlfn.CONCAT(tabE.Flux[[#This Row],[DATA]],"+",tabE.Flux[[#This Row],[MOTORISTA + MATRÍCULA A]],"+",tabE.Flux[[#This Row],[LINHA]])</f>
        <v>45923+PAULO ENEAS FARIAS ARAUJO - 6218+GOIANIA (GO) X SAO LUIS (MA)</v>
      </c>
      <c r="F870" s="1" t="str">
        <f>_xlfn.CONCAT(tabE.Flux[[#This Row],[DATA]],"+",tabE.Flux[[#This Row],[MOTORISTA + MATRÍCULA B]],"+",tabE.Flux[[#This Row],[LINHA]])</f>
        <v>45923+MARCOS ATAIDE SILVA - 1352+GOIANIA (GO) X SAO LUIS (MA)</v>
      </c>
      <c r="G870" s="1" t="str">
        <f>_xlfn.CONCAT(tabE.Flux[[#This Row],[DATA]],"+",tabE.Flux[[#This Row],[LINHA]])</f>
        <v>45923+GOIANIA (GO) X SAO LUIS (MA)</v>
      </c>
      <c r="H870" s="125">
        <v>45923</v>
      </c>
      <c r="I870" s="1" t="s">
        <v>15</v>
      </c>
      <c r="J870" s="1">
        <v>24016</v>
      </c>
      <c r="K870" s="126">
        <v>0.75</v>
      </c>
      <c r="L870" s="126">
        <v>0.79166666666666663</v>
      </c>
      <c r="M870" s="1" t="s">
        <v>42</v>
      </c>
      <c r="N870" s="1" t="s">
        <v>16</v>
      </c>
      <c r="O870" s="1" t="s">
        <v>43</v>
      </c>
      <c r="P870" s="1" t="s">
        <v>113</v>
      </c>
      <c r="Q870" s="1" t="s">
        <v>23</v>
      </c>
    </row>
    <row r="871" spans="3:17" x14ac:dyDescent="0.25">
      <c r="C871" s="1" t="str">
        <f>_xlfn.CONCAT(tabE.Flux[[#This Row],[DATA]],"+",tabE.Flux[[#This Row],[MOTORISTA + MATRÍCULA A]])</f>
        <v>45923+CANCELADO</v>
      </c>
      <c r="D871" s="1" t="str">
        <f>_xlfn.CONCAT(tabE.Flux[[#This Row],[DATA]],"+",tabE.Flux[[#This Row],[MOTORISTA + MATRÍCULA B]])</f>
        <v>45923+CANCELADO</v>
      </c>
      <c r="E871" s="1" t="str">
        <f>_xlfn.CONCAT(tabE.Flux[[#This Row],[DATA]],"+",tabE.Flux[[#This Row],[MOTORISTA + MATRÍCULA A]],"+",tabE.Flux[[#This Row],[LINHA]])</f>
        <v>45923+CANCELADO+IMPERATRIZ (MA) X SÃO LUIS (MA)</v>
      </c>
      <c r="F871" s="1" t="str">
        <f>_xlfn.CONCAT(tabE.Flux[[#This Row],[DATA]],"+",tabE.Flux[[#This Row],[MOTORISTA + MATRÍCULA B]],"+",tabE.Flux[[#This Row],[LINHA]])</f>
        <v>45923+CANCELADO+IMPERATRIZ (MA) X SÃO LUIS (MA)</v>
      </c>
      <c r="G871" s="1" t="str">
        <f>_xlfn.CONCAT(tabE.Flux[[#This Row],[DATA]],"+",tabE.Flux[[#This Row],[LINHA]])</f>
        <v>45923+IMPERATRIZ (MA) X SÃO LUIS (MA)</v>
      </c>
      <c r="H871" s="125">
        <v>45923</v>
      </c>
      <c r="I871" s="1" t="s">
        <v>15</v>
      </c>
      <c r="J871" s="1" t="s">
        <v>27</v>
      </c>
      <c r="K871" s="126">
        <v>0.77083333333333337</v>
      </c>
      <c r="L871" s="126">
        <v>0.79513888888888884</v>
      </c>
      <c r="M871" s="1" t="s">
        <v>42</v>
      </c>
      <c r="N871" s="1" t="s">
        <v>16</v>
      </c>
      <c r="O871" s="1" t="s">
        <v>27</v>
      </c>
      <c r="P871" s="1" t="s">
        <v>27</v>
      </c>
      <c r="Q871" s="1" t="s">
        <v>47</v>
      </c>
    </row>
    <row r="872" spans="3:17" x14ac:dyDescent="0.25">
      <c r="C872" s="1" t="str">
        <f>_xlfn.CONCAT(tabE.Flux[[#This Row],[DATA]],"+",tabE.Flux[[#This Row],[MOTORISTA + MATRÍCULA A]])</f>
        <v>45923+WOLNEY EDUARDO DE OLIVEIRA - 5607</v>
      </c>
      <c r="D872" s="1" t="str">
        <f>_xlfn.CONCAT(tabE.Flux[[#This Row],[DATA]],"+",tabE.Flux[[#This Row],[MOTORISTA + MATRÍCULA B]])</f>
        <v>45923+LEON RODRIGUES LOPES - 5533</v>
      </c>
      <c r="E872" s="1" t="str">
        <f>_xlfn.CONCAT(tabE.Flux[[#This Row],[DATA]],"+",tabE.Flux[[#This Row],[MOTORISTA + MATRÍCULA A]],"+",tabE.Flux[[#This Row],[LINHA]])</f>
        <v>45923+WOLNEY EDUARDO DE OLIVEIRA - 5607+GOIANIA (GO) X TERESINA (PI) VIA BC</v>
      </c>
      <c r="F872" s="1" t="str">
        <f>_xlfn.CONCAT(tabE.Flux[[#This Row],[DATA]],"+",tabE.Flux[[#This Row],[MOTORISTA + MATRÍCULA B]],"+",tabE.Flux[[#This Row],[LINHA]])</f>
        <v>45923+LEON RODRIGUES LOPES - 5533+GOIANIA (GO) X TERESINA (PI) VIA BC</v>
      </c>
      <c r="G872" s="1" t="str">
        <f>_xlfn.CONCAT(tabE.Flux[[#This Row],[DATA]],"+",tabE.Flux[[#This Row],[LINHA]])</f>
        <v>45923+GOIANIA (GO) X TERESINA (PI) VIA BC</v>
      </c>
      <c r="H872" s="125">
        <v>45923</v>
      </c>
      <c r="I872" s="1" t="s">
        <v>15</v>
      </c>
      <c r="J872" s="1">
        <v>25008</v>
      </c>
      <c r="K872" s="126">
        <v>0.89583333333333337</v>
      </c>
      <c r="L872" s="126">
        <v>0.91666666666666663</v>
      </c>
      <c r="M872" s="1" t="s">
        <v>36</v>
      </c>
      <c r="N872" s="1" t="s">
        <v>17</v>
      </c>
      <c r="O872" s="1" t="s">
        <v>200</v>
      </c>
      <c r="P872" s="1" t="s">
        <v>204</v>
      </c>
      <c r="Q872" s="1" t="s">
        <v>39</v>
      </c>
    </row>
    <row r="873" spans="3:17" x14ac:dyDescent="0.25">
      <c r="C873" s="1" t="str">
        <f>_xlfn.CONCAT(tabE.Flux[[#This Row],[DATA]],"+",tabE.Flux[[#This Row],[MOTORISTA + MATRÍCULA A]])</f>
        <v>45923+LUIZ CARLOS MARIANO SIQUEIRA - 5634</v>
      </c>
      <c r="D873" s="1" t="str">
        <f>_xlfn.CONCAT(tabE.Flux[[#This Row],[DATA]],"+",tabE.Flux[[#This Row],[MOTORISTA + MATRÍCULA B]])</f>
        <v>45923+LUIS ANTONIO FARIAS RIBEIRO - 2789</v>
      </c>
      <c r="E873" s="1" t="str">
        <f>_xlfn.CONCAT(tabE.Flux[[#This Row],[DATA]],"+",tabE.Flux[[#This Row],[MOTORISTA + MATRÍCULA A]],"+",tabE.Flux[[#This Row],[LINHA]])</f>
        <v>45923+LUIZ CARLOS MARIANO SIQUEIRA - 5634+GOIANIA (GO) X BELEM (PA)</v>
      </c>
      <c r="F873" s="1" t="str">
        <f>_xlfn.CONCAT(tabE.Flux[[#This Row],[DATA]],"+",tabE.Flux[[#This Row],[MOTORISTA + MATRÍCULA B]],"+",tabE.Flux[[#This Row],[LINHA]])</f>
        <v>45923+LUIS ANTONIO FARIAS RIBEIRO - 2789+GOIANIA (GO) X BELEM (PA)</v>
      </c>
      <c r="G873" s="1" t="str">
        <f>_xlfn.CONCAT(tabE.Flux[[#This Row],[DATA]],"+",tabE.Flux[[#This Row],[LINHA]])</f>
        <v>45923+GOIANIA (GO) X BELEM (PA)</v>
      </c>
      <c r="H873" s="125">
        <v>45923</v>
      </c>
      <c r="I873" s="1" t="s">
        <v>15</v>
      </c>
      <c r="J873" s="1">
        <v>24006</v>
      </c>
      <c r="K873" s="126">
        <v>0.76041666666666663</v>
      </c>
      <c r="L873" s="126">
        <v>0.77083333333333337</v>
      </c>
      <c r="M873" s="1" t="s">
        <v>33</v>
      </c>
      <c r="N873" s="1" t="s">
        <v>16</v>
      </c>
      <c r="O873" s="1" t="s">
        <v>51</v>
      </c>
      <c r="P873" s="1" t="s">
        <v>124</v>
      </c>
      <c r="Q873" s="1" t="s">
        <v>20</v>
      </c>
    </row>
    <row r="874" spans="3:17" x14ac:dyDescent="0.25">
      <c r="C874" s="1" t="str">
        <f>_xlfn.CONCAT(tabE.Flux[[#This Row],[DATA]],"+",tabE.Flux[[#This Row],[MOTORISTA + MATRÍCULA A]])</f>
        <v>45923+REGINALDO DE SOUSA OLIVEIRA - 5412</v>
      </c>
      <c r="D874" s="1" t="str">
        <f>_xlfn.CONCAT(tabE.Flux[[#This Row],[DATA]],"+",tabE.Flux[[#This Row],[MOTORISTA + MATRÍCULA B]])</f>
        <v>45923+CLAUDIOMAR ALENCAR DO NASCIMENTO - 2970</v>
      </c>
      <c r="E874" s="1" t="str">
        <f>_xlfn.CONCAT(tabE.Flux[[#This Row],[DATA]],"+",tabE.Flux[[#This Row],[MOTORISTA + MATRÍCULA A]],"+",tabE.Flux[[#This Row],[LINHA]])</f>
        <v>45923+REGINALDO DE SOUSA OLIVEIRA - 5412+GOIANIA (GO) X BELEM (PA)</v>
      </c>
      <c r="F874" s="1" t="str">
        <f>_xlfn.CONCAT(tabE.Flux[[#This Row],[DATA]],"+",tabE.Flux[[#This Row],[MOTORISTA + MATRÍCULA B]],"+",tabE.Flux[[#This Row],[LINHA]])</f>
        <v>45923+CLAUDIOMAR ALENCAR DO NASCIMENTO - 2970+GOIANIA (GO) X BELEM (PA)</v>
      </c>
      <c r="G874" s="1" t="str">
        <f>_xlfn.CONCAT(tabE.Flux[[#This Row],[DATA]],"+",tabE.Flux[[#This Row],[LINHA]])</f>
        <v>45923+GOIANIA (GO) X BELEM (PA)</v>
      </c>
      <c r="H874" s="125">
        <v>45923</v>
      </c>
      <c r="I874" s="1" t="s">
        <v>15</v>
      </c>
      <c r="J874" s="1">
        <v>24013</v>
      </c>
      <c r="K874" s="126">
        <v>0.76041666666666663</v>
      </c>
      <c r="L874" s="126">
        <v>0.82777777777777772</v>
      </c>
      <c r="M874" s="1" t="s">
        <v>16</v>
      </c>
      <c r="N874" s="1" t="s">
        <v>33</v>
      </c>
      <c r="O874" s="1" t="s">
        <v>239</v>
      </c>
      <c r="P874" s="1" t="s">
        <v>211</v>
      </c>
      <c r="Q874" s="1" t="s">
        <v>20</v>
      </c>
    </row>
    <row r="875" spans="3:17" x14ac:dyDescent="0.25">
      <c r="C875" s="1" t="str">
        <f>_xlfn.CONCAT(tabE.Flux[[#This Row],[DATA]],"+",tabE.Flux[[#This Row],[MOTORISTA + MATRÍCULA A]])</f>
        <v>45923+CANCELADO</v>
      </c>
      <c r="D875" s="1" t="str">
        <f>_xlfn.CONCAT(tabE.Flux[[#This Row],[DATA]],"+",tabE.Flux[[#This Row],[MOTORISTA + MATRÍCULA B]])</f>
        <v>45923+CANCELADO</v>
      </c>
      <c r="E875" s="1" t="str">
        <f>_xlfn.CONCAT(tabE.Flux[[#This Row],[DATA]],"+",tabE.Flux[[#This Row],[MOTORISTA + MATRÍCULA A]],"+",tabE.Flux[[#This Row],[LINHA]])</f>
        <v>45923+CANCELADO+GOIANIA (GO) X SAO LUIS (MA)</v>
      </c>
      <c r="F875" s="1" t="str">
        <f>_xlfn.CONCAT(tabE.Flux[[#This Row],[DATA]],"+",tabE.Flux[[#This Row],[MOTORISTA + MATRÍCULA B]],"+",tabE.Flux[[#This Row],[LINHA]])</f>
        <v>45923+CANCELADO+GOIANIA (GO) X SAO LUIS (MA)</v>
      </c>
      <c r="G875" s="1" t="str">
        <f>_xlfn.CONCAT(tabE.Flux[[#This Row],[DATA]],"+",tabE.Flux[[#This Row],[LINHA]])</f>
        <v>45923+GOIANIA (GO) X SAO LUIS (MA)</v>
      </c>
      <c r="H875" s="125">
        <v>45923</v>
      </c>
      <c r="I875" s="1" t="s">
        <v>15</v>
      </c>
      <c r="J875" s="1" t="s">
        <v>27</v>
      </c>
      <c r="K875" s="126">
        <v>0.40763888888888888</v>
      </c>
      <c r="L875" s="126">
        <v>0.47013888888888888</v>
      </c>
      <c r="M875" s="1" t="s">
        <v>16</v>
      </c>
      <c r="N875" s="1" t="s">
        <v>42</v>
      </c>
      <c r="O875" s="1" t="s">
        <v>27</v>
      </c>
      <c r="P875" s="1" t="s">
        <v>27</v>
      </c>
      <c r="Q875" s="1" t="s">
        <v>23</v>
      </c>
    </row>
    <row r="876" spans="3:17" x14ac:dyDescent="0.25">
      <c r="C876" s="1" t="str">
        <f>_xlfn.CONCAT(tabE.Flux[[#This Row],[DATA]],"+",tabE.Flux[[#This Row],[MOTORISTA + MATRÍCULA A]])</f>
        <v>45923+CANCELADO</v>
      </c>
      <c r="D876" s="1" t="str">
        <f>_xlfn.CONCAT(tabE.Flux[[#This Row],[DATA]],"+",tabE.Flux[[#This Row],[MOTORISTA + MATRÍCULA B]])</f>
        <v>45923+CANCELADO</v>
      </c>
      <c r="E876" s="1" t="str">
        <f>_xlfn.CONCAT(tabE.Flux[[#This Row],[DATA]],"+",tabE.Flux[[#This Row],[MOTORISTA + MATRÍCULA A]],"+",tabE.Flux[[#This Row],[LINHA]])</f>
        <v>45923+CANCELADO+IMPERATRIZ (MA) X SÃO LUIS (MA)</v>
      </c>
      <c r="F876" s="1" t="str">
        <f>_xlfn.CONCAT(tabE.Flux[[#This Row],[DATA]],"+",tabE.Flux[[#This Row],[MOTORISTA + MATRÍCULA B]],"+",tabE.Flux[[#This Row],[LINHA]])</f>
        <v>45923+CANCELADO+IMPERATRIZ (MA) X SÃO LUIS (MA)</v>
      </c>
      <c r="G876" s="1" t="str">
        <f>_xlfn.CONCAT(tabE.Flux[[#This Row],[DATA]],"+",tabE.Flux[[#This Row],[LINHA]])</f>
        <v>45923+IMPERATRIZ (MA) X SÃO LUIS (MA)</v>
      </c>
      <c r="H876" s="125">
        <v>45923</v>
      </c>
      <c r="I876" s="1" t="s">
        <v>15</v>
      </c>
      <c r="J876" s="1" t="s">
        <v>27</v>
      </c>
      <c r="K876" s="126">
        <v>0.77083333333333337</v>
      </c>
      <c r="L876" s="126">
        <v>0.8125</v>
      </c>
      <c r="M876" s="1" t="s">
        <v>16</v>
      </c>
      <c r="N876" s="1" t="s">
        <v>42</v>
      </c>
      <c r="O876" s="1" t="s">
        <v>27</v>
      </c>
      <c r="P876" s="1" t="s">
        <v>27</v>
      </c>
      <c r="Q876" s="1" t="s">
        <v>47</v>
      </c>
    </row>
    <row r="877" spans="3:17" x14ac:dyDescent="0.25">
      <c r="C877" s="1" t="str">
        <f>_xlfn.CONCAT(tabE.Flux[[#This Row],[DATA]],"+",tabE.Flux[[#This Row],[MOTORISTA + MATRÍCULA A]])</f>
        <v>45923+VALDEY OLIVEIRA ARAUJO - 2790</v>
      </c>
      <c r="D877" s="1" t="str">
        <f>_xlfn.CONCAT(tabE.Flux[[#This Row],[DATA]],"+",tabE.Flux[[#This Row],[MOTORISTA + MATRÍCULA B]])</f>
        <v>45923+ALTEMAR DO NASCIMENTO LIMA - 6225</v>
      </c>
      <c r="E877" s="1" t="str">
        <f>_xlfn.CONCAT(tabE.Flux[[#This Row],[DATA]],"+",tabE.Flux[[#This Row],[MOTORISTA + MATRÍCULA A]],"+",tabE.Flux[[#This Row],[LINHA]])</f>
        <v>45923+VALDEY OLIVEIRA ARAUJO - 2790+GOIANIA (GO) X SAO LUIS (MA)</v>
      </c>
      <c r="F877" s="1" t="str">
        <f>_xlfn.CONCAT(tabE.Flux[[#This Row],[DATA]],"+",tabE.Flux[[#This Row],[MOTORISTA + MATRÍCULA B]],"+",tabE.Flux[[#This Row],[LINHA]])</f>
        <v>45923+ALTEMAR DO NASCIMENTO LIMA - 6225+GOIANIA (GO) X SAO LUIS (MA)</v>
      </c>
      <c r="G877" s="1" t="str">
        <f>_xlfn.CONCAT(tabE.Flux[[#This Row],[DATA]],"+",tabE.Flux[[#This Row],[LINHA]])</f>
        <v>45923+GOIANIA (GO) X SAO LUIS (MA)</v>
      </c>
      <c r="H877" s="125">
        <v>45923</v>
      </c>
      <c r="I877" s="1" t="s">
        <v>15</v>
      </c>
      <c r="J877" s="1">
        <v>24009</v>
      </c>
      <c r="K877" s="126">
        <v>0.8125</v>
      </c>
      <c r="L877" s="126">
        <v>0.84375</v>
      </c>
      <c r="M877" s="1" t="s">
        <v>16</v>
      </c>
      <c r="N877" s="1" t="s">
        <v>42</v>
      </c>
      <c r="O877" s="1" t="s">
        <v>34</v>
      </c>
      <c r="P877" s="1" t="s">
        <v>57</v>
      </c>
      <c r="Q877" s="1" t="s">
        <v>23</v>
      </c>
    </row>
    <row r="878" spans="3:17" x14ac:dyDescent="0.25">
      <c r="C878" s="1" t="str">
        <f>_xlfn.CONCAT(tabE.Flux[[#This Row],[DATA]],"+",tabE.Flux[[#This Row],[MOTORISTA + MATRÍCULA A]])</f>
        <v>45923+KLEBER OLIVEIRA LIMA - 5849</v>
      </c>
      <c r="D878" s="1" t="str">
        <f>_xlfn.CONCAT(tabE.Flux[[#This Row],[DATA]],"+",tabE.Flux[[#This Row],[MOTORISTA + MATRÍCULA B]])</f>
        <v>45923+LUIZ ANDRE GOMES DE SOUSA - 5654</v>
      </c>
      <c r="E878" s="1" t="str">
        <f>_xlfn.CONCAT(tabE.Flux[[#This Row],[DATA]],"+",tabE.Flux[[#This Row],[MOTORISTA + MATRÍCULA A]],"+",tabE.Flux[[#This Row],[LINHA]])</f>
        <v>45923+KLEBER OLIVEIRA LIMA - 5849+GOIANIA (GO) X TERESINA (PI) VIA STI</v>
      </c>
      <c r="F878" s="1" t="str">
        <f>_xlfn.CONCAT(tabE.Flux[[#This Row],[DATA]],"+",tabE.Flux[[#This Row],[MOTORISTA + MATRÍCULA B]],"+",tabE.Flux[[#This Row],[LINHA]])</f>
        <v>45923+LUIZ ANDRE GOMES DE SOUSA - 5654+GOIANIA (GO) X TERESINA (PI) VIA STI</v>
      </c>
      <c r="G878" s="1" t="str">
        <f>_xlfn.CONCAT(tabE.Flux[[#This Row],[DATA]],"+",tabE.Flux[[#This Row],[LINHA]])</f>
        <v>45923+GOIANIA (GO) X TERESINA (PI) VIA STI</v>
      </c>
      <c r="H878" s="125">
        <v>45923</v>
      </c>
      <c r="I878" s="1" t="s">
        <v>15</v>
      </c>
      <c r="J878" s="1">
        <v>19024</v>
      </c>
      <c r="K878" s="126">
        <v>0.77083333333333337</v>
      </c>
      <c r="L878" s="126">
        <v>0.79861111111111116</v>
      </c>
      <c r="M878" s="1" t="s">
        <v>16</v>
      </c>
      <c r="N878" s="1" t="s">
        <v>29</v>
      </c>
      <c r="O878" s="1" t="s">
        <v>102</v>
      </c>
      <c r="P878" s="1" t="s">
        <v>257</v>
      </c>
      <c r="Q878" s="1" t="s">
        <v>26</v>
      </c>
    </row>
    <row r="879" spans="3:17" x14ac:dyDescent="0.25">
      <c r="C879" s="1" t="str">
        <f>_xlfn.CONCAT(tabE.Flux[[#This Row],[DATA]],"+",tabE.Flux[[#This Row],[MOTORISTA + MATRÍCULA A]])</f>
        <v>45923+PAULO TRINDADE DE ALMEIDA - 5742</v>
      </c>
      <c r="D879" s="1" t="str">
        <f>_xlfn.CONCAT(tabE.Flux[[#This Row],[DATA]],"+",tabE.Flux[[#This Row],[MOTORISTA + MATRÍCULA B]])</f>
        <v>45923+JEZANIAS GOIS DOS SANTOS - 5573</v>
      </c>
      <c r="E879" s="1" t="str">
        <f>_xlfn.CONCAT(tabE.Flux[[#This Row],[DATA]],"+",tabE.Flux[[#This Row],[MOTORISTA + MATRÍCULA A]],"+",tabE.Flux[[#This Row],[LINHA]])</f>
        <v>45923+PAULO TRINDADE DE ALMEIDA - 5742+GOIANIA (GO) X SAO LUIS (MA)</v>
      </c>
      <c r="F879" s="1" t="str">
        <f>_xlfn.CONCAT(tabE.Flux[[#This Row],[DATA]],"+",tabE.Flux[[#This Row],[MOTORISTA + MATRÍCULA B]],"+",tabE.Flux[[#This Row],[LINHA]])</f>
        <v>45923+JEZANIAS GOIS DOS SANTOS - 5573+GOIANIA (GO) X SAO LUIS (MA)</v>
      </c>
      <c r="G879" s="1" t="str">
        <f>_xlfn.CONCAT(tabE.Flux[[#This Row],[DATA]],"+",tabE.Flux[[#This Row],[LINHA]])</f>
        <v>45923+GOIANIA (GO) X SAO LUIS (MA)</v>
      </c>
      <c r="H879" s="125">
        <v>45923</v>
      </c>
      <c r="I879" s="1" t="s">
        <v>15</v>
      </c>
      <c r="J879" s="1">
        <v>20010</v>
      </c>
      <c r="K879" s="126">
        <v>0.8125</v>
      </c>
      <c r="L879" s="126">
        <v>0.84166666666666667</v>
      </c>
      <c r="M879" s="1" t="s">
        <v>16</v>
      </c>
      <c r="N879" s="1" t="s">
        <v>17</v>
      </c>
      <c r="O879" s="1" t="s">
        <v>153</v>
      </c>
      <c r="P879" s="1" t="s">
        <v>196</v>
      </c>
      <c r="Q879" s="1" t="s">
        <v>23</v>
      </c>
    </row>
    <row r="880" spans="3:17" x14ac:dyDescent="0.25">
      <c r="C880" s="1" t="str">
        <f>_xlfn.CONCAT(tabE.Flux[[#This Row],[DATA]],"+",tabE.Flux[[#This Row],[MOTORISTA + MATRÍCULA A]])</f>
        <v>45923+LUIZ CARLOS DE ARAUJO - 1960</v>
      </c>
      <c r="D880" s="1" t="str">
        <f>_xlfn.CONCAT(tabE.Flux[[#This Row],[DATA]],"+",tabE.Flux[[#This Row],[MOTORISTA + MATRÍCULA B]])</f>
        <v>45923+LUIZ CARLOS GOMES DA SILVA - 1961</v>
      </c>
      <c r="E880" s="1" t="str">
        <f>_xlfn.CONCAT(tabE.Flux[[#This Row],[DATA]],"+",tabE.Flux[[#This Row],[MOTORISTA + MATRÍCULA A]],"+",tabE.Flux[[#This Row],[LINHA]])</f>
        <v>45923+LUIZ CARLOS DE ARAUJO - 1960+FORTALEZA (CE) X SINOP (MT)</v>
      </c>
      <c r="F880" s="1" t="str">
        <f>_xlfn.CONCAT(tabE.Flux[[#This Row],[DATA]],"+",tabE.Flux[[#This Row],[MOTORISTA + MATRÍCULA B]],"+",tabE.Flux[[#This Row],[LINHA]])</f>
        <v>45923+LUIZ CARLOS GOMES DA SILVA - 1961+FORTALEZA (CE) X SINOP (MT)</v>
      </c>
      <c r="G880" s="1" t="str">
        <f>_xlfn.CONCAT(tabE.Flux[[#This Row],[DATA]],"+",tabE.Flux[[#This Row],[LINHA]])</f>
        <v>45923+FORTALEZA (CE) X SINOP (MT)</v>
      </c>
      <c r="H880" s="125">
        <v>45923</v>
      </c>
      <c r="I880" s="1" t="s">
        <v>15</v>
      </c>
      <c r="J880" s="1">
        <v>17300</v>
      </c>
      <c r="K880" s="126">
        <v>0.8125</v>
      </c>
      <c r="L880" s="126">
        <v>0.85416666666666663</v>
      </c>
      <c r="M880" s="1" t="s">
        <v>16</v>
      </c>
      <c r="N880" s="1" t="s">
        <v>17</v>
      </c>
      <c r="O880" s="1" t="s">
        <v>24</v>
      </c>
      <c r="P880" s="1" t="s">
        <v>25</v>
      </c>
      <c r="Q880" s="1" t="s">
        <v>32</v>
      </c>
    </row>
    <row r="881" spans="3:17" x14ac:dyDescent="0.25">
      <c r="C881" s="1" t="str">
        <f>_xlfn.CONCAT(tabE.Flux[[#This Row],[DATA]],"+",tabE.Flux[[#This Row],[MOTORISTA + MATRÍCULA A]])</f>
        <v>45923+JOAO BATISTA DA SILVA - 1823</v>
      </c>
      <c r="D881" s="1" t="str">
        <f>_xlfn.CONCAT(tabE.Flux[[#This Row],[DATA]],"+",tabE.Flux[[#This Row],[MOTORISTA + MATRÍCULA B]])</f>
        <v>45923+GENIVAL MIRANDA LEITE - 1953</v>
      </c>
      <c r="E881" s="1" t="str">
        <f>_xlfn.CONCAT(tabE.Flux[[#This Row],[DATA]],"+",tabE.Flux[[#This Row],[MOTORISTA + MATRÍCULA A]],"+",tabE.Flux[[#This Row],[LINHA]])</f>
        <v>45923+JOAO BATISTA DA SILVA - 1823+GOIANIA (GO) X BELEM (PA)</v>
      </c>
      <c r="F881" s="1" t="str">
        <f>_xlfn.CONCAT(tabE.Flux[[#This Row],[DATA]],"+",tabE.Flux[[#This Row],[MOTORISTA + MATRÍCULA B]],"+",tabE.Flux[[#This Row],[LINHA]])</f>
        <v>45923+GENIVAL MIRANDA LEITE - 1953+GOIANIA (GO) X BELEM (PA)</v>
      </c>
      <c r="G881" s="1" t="str">
        <f>_xlfn.CONCAT(tabE.Flux[[#This Row],[DATA]],"+",tabE.Flux[[#This Row],[LINHA]])</f>
        <v>45923+GOIANIA (GO) X BELEM (PA)</v>
      </c>
      <c r="H881" s="125">
        <v>45923</v>
      </c>
      <c r="I881" s="1" t="s">
        <v>15</v>
      </c>
      <c r="J881" s="1">
        <v>19012</v>
      </c>
      <c r="K881" s="126">
        <v>0.84722222222222221</v>
      </c>
      <c r="L881" s="126">
        <v>0.87847222222222221</v>
      </c>
      <c r="M881" s="1" t="s">
        <v>16</v>
      </c>
      <c r="N881" s="1" t="s">
        <v>17</v>
      </c>
      <c r="O881" s="1" t="s">
        <v>253</v>
      </c>
      <c r="P881" s="1" t="s">
        <v>252</v>
      </c>
      <c r="Q881" s="1" t="s">
        <v>20</v>
      </c>
    </row>
    <row r="882" spans="3:17" x14ac:dyDescent="0.25">
      <c r="C882" s="1" t="str">
        <f>_xlfn.CONCAT(tabE.Flux[[#This Row],[DATA]],"+",tabE.Flux[[#This Row],[MOTORISTA + MATRÍCULA A]])</f>
        <v>+</v>
      </c>
      <c r="D882" s="1" t="str">
        <f>_xlfn.CONCAT(tabE.Flux[[#This Row],[DATA]],"+",tabE.Flux[[#This Row],[MOTORISTA + MATRÍCULA B]])</f>
        <v>+</v>
      </c>
      <c r="E882" s="1" t="str">
        <f>_xlfn.CONCAT(tabE.Flux[[#This Row],[DATA]],"+",tabE.Flux[[#This Row],[MOTORISTA + MATRÍCULA A]],"+",tabE.Flux[[#This Row],[LINHA]])</f>
        <v>++</v>
      </c>
      <c r="F882" s="1" t="str">
        <f>_xlfn.CONCAT(tabE.Flux[[#This Row],[DATA]],"+",tabE.Flux[[#This Row],[MOTORISTA + MATRÍCULA B]],"+",tabE.Flux[[#This Row],[LINHA]])</f>
        <v>++</v>
      </c>
      <c r="G882" s="1" t="str">
        <f>_xlfn.CONCAT(tabE.Flux[[#This Row],[DATA]],"+",tabE.Flux[[#This Row],[LINHA]])</f>
        <v>+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3:17" x14ac:dyDescent="0.25">
      <c r="C883" s="1" t="str">
        <f>_xlfn.CONCAT(tabE.Flux[[#This Row],[DATA]],"+",tabE.Flux[[#This Row],[MOTORISTA + MATRÍCULA A]])</f>
        <v>45924+TIAGO MARTINS BERNARDES - 5260</v>
      </c>
      <c r="D883" s="1" t="str">
        <f>_xlfn.CONCAT(tabE.Flux[[#This Row],[DATA]],"+",tabE.Flux[[#This Row],[MOTORISTA + MATRÍCULA B]])</f>
        <v>45924+ROBERTO PEREIRA DE MATOS - 5538</v>
      </c>
      <c r="E883" s="1" t="str">
        <f>_xlfn.CONCAT(tabE.Flux[[#This Row],[DATA]],"+",tabE.Flux[[#This Row],[MOTORISTA + MATRÍCULA A]],"+",tabE.Flux[[#This Row],[LINHA]])</f>
        <v>45924+TIAGO MARTINS BERNARDES - 5260+GOIANIA (GO) X BELEM (PA)</v>
      </c>
      <c r="F883" s="1" t="str">
        <f>_xlfn.CONCAT(tabE.Flux[[#This Row],[DATA]],"+",tabE.Flux[[#This Row],[MOTORISTA + MATRÍCULA B]],"+",tabE.Flux[[#This Row],[LINHA]])</f>
        <v>45924+ROBERTO PEREIRA DE MATOS - 5538+GOIANIA (GO) X BELEM (PA)</v>
      </c>
      <c r="G883" s="1" t="str">
        <f>_xlfn.CONCAT(tabE.Flux[[#This Row],[DATA]],"+",tabE.Flux[[#This Row],[LINHA]])</f>
        <v>45924+GOIANIA (GO) X BELEM (PA)</v>
      </c>
      <c r="H883" s="125">
        <v>45924</v>
      </c>
      <c r="I883" s="1" t="s">
        <v>15</v>
      </c>
      <c r="J883" s="1">
        <v>24006</v>
      </c>
      <c r="K883" s="126">
        <v>0.25486111111111109</v>
      </c>
      <c r="L883" s="126">
        <v>0.3</v>
      </c>
      <c r="M883" s="1" t="s">
        <v>16</v>
      </c>
      <c r="N883" s="1" t="s">
        <v>17</v>
      </c>
      <c r="O883" s="1" t="s">
        <v>179</v>
      </c>
      <c r="P883" s="1" t="s">
        <v>180</v>
      </c>
      <c r="Q883" s="1" t="s">
        <v>20</v>
      </c>
    </row>
    <row r="884" spans="3:17" x14ac:dyDescent="0.25">
      <c r="C884" s="1" t="str">
        <f>_xlfn.CONCAT(tabE.Flux[[#This Row],[DATA]],"+",tabE.Flux[[#This Row],[MOTORISTA + MATRÍCULA A]])</f>
        <v>45924+ESIEL COSTA RODRIGUES - 1749</v>
      </c>
      <c r="D884" s="1" t="str">
        <f>_xlfn.CONCAT(tabE.Flux[[#This Row],[DATA]],"+",tabE.Flux[[#This Row],[MOTORISTA + MATRÍCULA B]])</f>
        <v>45924+JOSE ALVES DE FREITAS NETO - 5027</v>
      </c>
      <c r="E884" s="1" t="str">
        <f>_xlfn.CONCAT(tabE.Flux[[#This Row],[DATA]],"+",tabE.Flux[[#This Row],[MOTORISTA + MATRÍCULA A]],"+",tabE.Flux[[#This Row],[LINHA]])</f>
        <v>45924+ESIEL COSTA RODRIGUES - 1749+GOIANIA (GO) X SAO LUIS (MA)</v>
      </c>
      <c r="F884" s="1" t="str">
        <f>_xlfn.CONCAT(tabE.Flux[[#This Row],[DATA]],"+",tabE.Flux[[#This Row],[MOTORISTA + MATRÍCULA B]],"+",tabE.Flux[[#This Row],[LINHA]])</f>
        <v>45924+JOSE ALVES DE FREITAS NETO - 5027+GOIANIA (GO) X SAO LUIS (MA)</v>
      </c>
      <c r="G884" s="1" t="str">
        <f>_xlfn.CONCAT(tabE.Flux[[#This Row],[DATA]],"+",tabE.Flux[[#This Row],[LINHA]])</f>
        <v>45924+GOIANIA (GO) X SAO LUIS (MA)</v>
      </c>
      <c r="H884" s="125">
        <v>45924</v>
      </c>
      <c r="I884" s="1" t="s">
        <v>15</v>
      </c>
      <c r="J884" s="1">
        <v>24016</v>
      </c>
      <c r="K884" s="126">
        <v>0.32291666666666669</v>
      </c>
      <c r="L884" s="126">
        <v>0.33333333333333331</v>
      </c>
      <c r="M884" s="1" t="s">
        <v>16</v>
      </c>
      <c r="N884" s="1" t="s">
        <v>17</v>
      </c>
      <c r="O884" s="1" t="s">
        <v>46</v>
      </c>
      <c r="P884" s="1" t="s">
        <v>90</v>
      </c>
      <c r="Q884" s="1" t="s">
        <v>23</v>
      </c>
    </row>
    <row r="885" spans="3:17" x14ac:dyDescent="0.25">
      <c r="C885" s="1" t="str">
        <f>_xlfn.CONCAT(tabE.Flux[[#This Row],[DATA]],"+",tabE.Flux[[#This Row],[MOTORISTA + MATRÍCULA A]])</f>
        <v>45924+FRANCISCO ALVES DA PAZ JUNIOR - 1247</v>
      </c>
      <c r="D885" s="1" t="str">
        <f>_xlfn.CONCAT(tabE.Flux[[#This Row],[DATA]],"+",tabE.Flux[[#This Row],[MOTORISTA + MATRÍCULA B]])</f>
        <v>45924+BERNARDO SOUZA LIMA - 1720</v>
      </c>
      <c r="E885" s="1" t="str">
        <f>_xlfn.CONCAT(tabE.Flux[[#This Row],[DATA]],"+",tabE.Flux[[#This Row],[MOTORISTA + MATRÍCULA A]],"+",tabE.Flux[[#This Row],[LINHA]])</f>
        <v>45924+FRANCISCO ALVES DA PAZ JUNIOR - 1247+GOIANIA (GO) X TERESINA (PI) VIA STI</v>
      </c>
      <c r="F885" s="1" t="str">
        <f>_xlfn.CONCAT(tabE.Flux[[#This Row],[DATA]],"+",tabE.Flux[[#This Row],[MOTORISTA + MATRÍCULA B]],"+",tabE.Flux[[#This Row],[LINHA]])</f>
        <v>45924+BERNARDO SOUZA LIMA - 1720+GOIANIA (GO) X TERESINA (PI) VIA STI</v>
      </c>
      <c r="G885" s="1" t="str">
        <f>_xlfn.CONCAT(tabE.Flux[[#This Row],[DATA]],"+",tabE.Flux[[#This Row],[LINHA]])</f>
        <v>45924+GOIANIA (GO) X TERESINA (PI) VIA STI</v>
      </c>
      <c r="H885" s="125">
        <v>45924</v>
      </c>
      <c r="I885" s="1" t="s">
        <v>15</v>
      </c>
      <c r="J885" s="1">
        <v>20018</v>
      </c>
      <c r="K885" s="126">
        <v>0.3888888888888889</v>
      </c>
      <c r="L885" s="126">
        <v>0.39583333333333331</v>
      </c>
      <c r="M885" s="1" t="s">
        <v>16</v>
      </c>
      <c r="N885" s="1" t="s">
        <v>17</v>
      </c>
      <c r="O885" s="1" t="s">
        <v>144</v>
      </c>
      <c r="P885" s="1" t="s">
        <v>123</v>
      </c>
      <c r="Q885" s="1" t="s">
        <v>26</v>
      </c>
    </row>
    <row r="886" spans="3:17" x14ac:dyDescent="0.25">
      <c r="C886" s="1" t="str">
        <f>_xlfn.CONCAT(tabE.Flux[[#This Row],[DATA]],"+",tabE.Flux[[#This Row],[MOTORISTA + MATRÍCULA A]])</f>
        <v>45924+CANCELADO</v>
      </c>
      <c r="D886" s="1" t="str">
        <f>_xlfn.CONCAT(tabE.Flux[[#This Row],[DATA]],"+",tabE.Flux[[#This Row],[MOTORISTA + MATRÍCULA B]])</f>
        <v>45924+CANCELADO</v>
      </c>
      <c r="E886" s="1" t="str">
        <f>_xlfn.CONCAT(tabE.Flux[[#This Row],[DATA]],"+",tabE.Flux[[#This Row],[MOTORISTA + MATRÍCULA A]],"+",tabE.Flux[[#This Row],[LINHA]])</f>
        <v>45924+CANCELADO+</v>
      </c>
      <c r="F886" s="1" t="str">
        <f>_xlfn.CONCAT(tabE.Flux[[#This Row],[DATA]],"+",tabE.Flux[[#This Row],[MOTORISTA + MATRÍCULA B]],"+",tabE.Flux[[#This Row],[LINHA]])</f>
        <v>45924+CANCELADO+</v>
      </c>
      <c r="G886" s="1" t="str">
        <f>_xlfn.CONCAT(tabE.Flux[[#This Row],[DATA]],"+",tabE.Flux[[#This Row],[LINHA]])</f>
        <v>45924+</v>
      </c>
      <c r="H886" s="125">
        <v>45924</v>
      </c>
      <c r="I886" s="1" t="s">
        <v>15</v>
      </c>
      <c r="J886" s="1" t="s">
        <v>27</v>
      </c>
      <c r="K886" s="126">
        <v>0.375</v>
      </c>
      <c r="L886" s="126">
        <v>0.41666666666666669</v>
      </c>
      <c r="M886" s="1" t="s">
        <v>16</v>
      </c>
      <c r="N886" s="1" t="s">
        <v>28</v>
      </c>
      <c r="O886" s="1" t="s">
        <v>27</v>
      </c>
      <c r="P886" s="1" t="s">
        <v>27</v>
      </c>
      <c r="Q886" s="1"/>
    </row>
    <row r="887" spans="3:17" x14ac:dyDescent="0.25">
      <c r="C887" s="1" t="str">
        <f>_xlfn.CONCAT(tabE.Flux[[#This Row],[DATA]],"+",tabE.Flux[[#This Row],[MOTORISTA + MATRÍCULA A]])</f>
        <v>45924+JARDEL DE SOUSA OLIVEIRA - 5992</v>
      </c>
      <c r="D887" s="1" t="str">
        <f>_xlfn.CONCAT(tabE.Flux[[#This Row],[DATA]],"+",tabE.Flux[[#This Row],[MOTORISTA + MATRÍCULA B]])</f>
        <v>45924+MARCOS ANTONIO ALVES DE SOUSA - 5278</v>
      </c>
      <c r="E887" s="1" t="str">
        <f>_xlfn.CONCAT(tabE.Flux[[#This Row],[DATA]],"+",tabE.Flux[[#This Row],[MOTORISTA + MATRÍCULA A]],"+",tabE.Flux[[#This Row],[LINHA]])</f>
        <v>45924+JARDEL DE SOUSA OLIVEIRA - 5992+FORTALEZA (CE) X SINOP (MT)</v>
      </c>
      <c r="F887" s="1" t="str">
        <f>_xlfn.CONCAT(tabE.Flux[[#This Row],[DATA]],"+",tabE.Flux[[#This Row],[MOTORISTA + MATRÍCULA B]],"+",tabE.Flux[[#This Row],[LINHA]])</f>
        <v>45924+MARCOS ANTONIO ALVES DE SOUSA - 5278+FORTALEZA (CE) X SINOP (MT)</v>
      </c>
      <c r="G887" s="1" t="str">
        <f>_xlfn.CONCAT(tabE.Flux[[#This Row],[DATA]],"+",tabE.Flux[[#This Row],[LINHA]])</f>
        <v>45924+FORTALEZA (CE) X SINOP (MT)</v>
      </c>
      <c r="H887" s="125">
        <v>45924</v>
      </c>
      <c r="I887" s="1" t="s">
        <v>15</v>
      </c>
      <c r="J887" s="1">
        <v>19019</v>
      </c>
      <c r="K887" s="126">
        <v>0.3888888888888889</v>
      </c>
      <c r="L887" s="126">
        <v>0.37708333333333333</v>
      </c>
      <c r="M887" s="1" t="s">
        <v>16</v>
      </c>
      <c r="N887" s="1" t="s">
        <v>29</v>
      </c>
      <c r="O887" s="1" t="s">
        <v>150</v>
      </c>
      <c r="P887" s="1" t="s">
        <v>210</v>
      </c>
      <c r="Q887" s="1" t="s">
        <v>32</v>
      </c>
    </row>
    <row r="888" spans="3:17" x14ac:dyDescent="0.25">
      <c r="C888" s="1" t="str">
        <f>_xlfn.CONCAT(tabE.Flux[[#This Row],[DATA]],"+",tabE.Flux[[#This Row],[MOTORISTA + MATRÍCULA A]])</f>
        <v>45924+RAIMUNDO FERNANDES RIBEIRO - 907</v>
      </c>
      <c r="D888" s="1" t="str">
        <f>_xlfn.CONCAT(tabE.Flux[[#This Row],[DATA]],"+",tabE.Flux[[#This Row],[MOTORISTA + MATRÍCULA B]])</f>
        <v>45924+RICHARD SOUSA DA SILVA - 1271</v>
      </c>
      <c r="E888" s="1" t="str">
        <f>_xlfn.CONCAT(tabE.Flux[[#This Row],[DATA]],"+",tabE.Flux[[#This Row],[MOTORISTA + MATRÍCULA A]],"+",tabE.Flux[[#This Row],[LINHA]])</f>
        <v>45924+RAIMUNDO FERNANDES RIBEIRO - 907+GOIANIA (GO) X BELEM (PA)</v>
      </c>
      <c r="F888" s="1" t="str">
        <f>_xlfn.CONCAT(tabE.Flux[[#This Row],[DATA]],"+",tabE.Flux[[#This Row],[MOTORISTA + MATRÍCULA B]],"+",tabE.Flux[[#This Row],[LINHA]])</f>
        <v>45924+RICHARD SOUSA DA SILVA - 1271+GOIANIA (GO) X BELEM (PA)</v>
      </c>
      <c r="G888" s="1" t="str">
        <f>_xlfn.CONCAT(tabE.Flux[[#This Row],[DATA]],"+",tabE.Flux[[#This Row],[LINHA]])</f>
        <v>45924+GOIANIA (GO) X BELEM (PA)</v>
      </c>
      <c r="H888" s="125">
        <v>45924</v>
      </c>
      <c r="I888" s="1" t="s">
        <v>15</v>
      </c>
      <c r="J888" s="1">
        <v>19014</v>
      </c>
      <c r="K888" s="126">
        <v>0.38958333333333334</v>
      </c>
      <c r="L888" s="126">
        <v>0.38541666666666669</v>
      </c>
      <c r="M888" s="1" t="s">
        <v>16</v>
      </c>
      <c r="N888" s="1" t="s">
        <v>33</v>
      </c>
      <c r="O888" s="1" t="s">
        <v>143</v>
      </c>
      <c r="P888" s="1" t="s">
        <v>56</v>
      </c>
      <c r="Q888" s="1" t="s">
        <v>20</v>
      </c>
    </row>
    <row r="889" spans="3:17" x14ac:dyDescent="0.25">
      <c r="C889" s="1" t="str">
        <f>_xlfn.CONCAT(tabE.Flux[[#This Row],[DATA]],"+",tabE.Flux[[#This Row],[MOTORISTA + MATRÍCULA A]])</f>
        <v>45924+ELIEZIO JOSE DOS SANTOS - 2645</v>
      </c>
      <c r="D889" s="1" t="str">
        <f>_xlfn.CONCAT(tabE.Flux[[#This Row],[DATA]],"+",tabE.Flux[[#This Row],[MOTORISTA + MATRÍCULA B]])</f>
        <v>45924+WASHINGTON ALVES BRITO - 1553</v>
      </c>
      <c r="E889" s="1" t="str">
        <f>_xlfn.CONCAT(tabE.Flux[[#This Row],[DATA]],"+",tabE.Flux[[#This Row],[MOTORISTA + MATRÍCULA A]],"+",tabE.Flux[[#This Row],[LINHA]])</f>
        <v>45924+ELIEZIO JOSE DOS SANTOS - 2645+GOIANIA (GO) X TERESINA (PI) VIA BC</v>
      </c>
      <c r="F889" s="1" t="str">
        <f>_xlfn.CONCAT(tabE.Flux[[#This Row],[DATA]],"+",tabE.Flux[[#This Row],[MOTORISTA + MATRÍCULA B]],"+",tabE.Flux[[#This Row],[LINHA]])</f>
        <v>45924+WASHINGTON ALVES BRITO - 1553+GOIANIA (GO) X TERESINA (PI) VIA BC</v>
      </c>
      <c r="G889" s="1" t="str">
        <f>_xlfn.CONCAT(tabE.Flux[[#This Row],[DATA]],"+",tabE.Flux[[#This Row],[LINHA]])</f>
        <v>45924+GOIANIA (GO) X TERESINA (PI) VIA BC</v>
      </c>
      <c r="H889" s="125">
        <v>45924</v>
      </c>
      <c r="I889" s="1" t="s">
        <v>15</v>
      </c>
      <c r="J889" s="1">
        <v>25005</v>
      </c>
      <c r="K889" s="126">
        <v>0.375</v>
      </c>
      <c r="L889" s="126">
        <v>0.39930555555555558</v>
      </c>
      <c r="M889" s="1" t="s">
        <v>36</v>
      </c>
      <c r="N889" s="1" t="s">
        <v>29</v>
      </c>
      <c r="O889" s="1" t="s">
        <v>53</v>
      </c>
      <c r="P889" s="1" t="s">
        <v>201</v>
      </c>
      <c r="Q889" s="1" t="s">
        <v>39</v>
      </c>
    </row>
    <row r="890" spans="3:17" x14ac:dyDescent="0.25">
      <c r="C890" s="1" t="str">
        <f>_xlfn.CONCAT(tabE.Flux[[#This Row],[DATA]],"+",tabE.Flux[[#This Row],[MOTORISTA + MATRÍCULA A]])</f>
        <v>45924+JOSE HAILTON PEREIRA DOS SANTOS - 6018</v>
      </c>
      <c r="D890" s="1" t="str">
        <f>_xlfn.CONCAT(tabE.Flux[[#This Row],[DATA]],"+",tabE.Flux[[#This Row],[MOTORISTA + MATRÍCULA B]])</f>
        <v>45924+ANDRE SOUSA REIS - 2644</v>
      </c>
      <c r="E890" s="1" t="str">
        <f>_xlfn.CONCAT(tabE.Flux[[#This Row],[DATA]],"+",tabE.Flux[[#This Row],[MOTORISTA + MATRÍCULA A]],"+",tabE.Flux[[#This Row],[LINHA]])</f>
        <v>45924+JOSE HAILTON PEREIRA DOS SANTOS - 6018+GOIANIA (GO) X BELEM (PA)</v>
      </c>
      <c r="F890" s="1" t="str">
        <f>_xlfn.CONCAT(tabE.Flux[[#This Row],[DATA]],"+",tabE.Flux[[#This Row],[MOTORISTA + MATRÍCULA B]],"+",tabE.Flux[[#This Row],[LINHA]])</f>
        <v>45924+ANDRE SOUSA REIS - 2644+GOIANIA (GO) X BELEM (PA)</v>
      </c>
      <c r="G890" s="1" t="str">
        <f>_xlfn.CONCAT(tabE.Flux[[#This Row],[DATA]],"+",tabE.Flux[[#This Row],[LINHA]])</f>
        <v>45924+GOIANIA (GO) X BELEM (PA)</v>
      </c>
      <c r="H890" s="125">
        <v>45924</v>
      </c>
      <c r="I890" s="1" t="s">
        <v>15</v>
      </c>
      <c r="J890" s="1">
        <v>19009</v>
      </c>
      <c r="K890" s="126">
        <v>0.375</v>
      </c>
      <c r="L890" s="126">
        <v>0.41666666666666669</v>
      </c>
      <c r="M890" s="1" t="s">
        <v>33</v>
      </c>
      <c r="N890" s="1" t="s">
        <v>16</v>
      </c>
      <c r="O890" s="1" t="s">
        <v>141</v>
      </c>
      <c r="P890" s="1" t="s">
        <v>63</v>
      </c>
      <c r="Q890" s="1" t="s">
        <v>20</v>
      </c>
    </row>
    <row r="891" spans="3:17" x14ac:dyDescent="0.25">
      <c r="C891" s="1" t="str">
        <f>_xlfn.CONCAT(tabE.Flux[[#This Row],[DATA]],"+",tabE.Flux[[#This Row],[MOTORISTA + MATRÍCULA A]])</f>
        <v>45924+EDIVALDO DE ARAUJO - 6217</v>
      </c>
      <c r="D891" s="1" t="str">
        <f>_xlfn.CONCAT(tabE.Flux[[#This Row],[DATA]],"+",tabE.Flux[[#This Row],[MOTORISTA + MATRÍCULA B]])</f>
        <v>45924+LEANDRO DE OLIVEIRA MELO - 2151</v>
      </c>
      <c r="E891" s="1" t="str">
        <f>_xlfn.CONCAT(tabE.Flux[[#This Row],[DATA]],"+",tabE.Flux[[#This Row],[MOTORISTA + MATRÍCULA A]],"+",tabE.Flux[[#This Row],[LINHA]])</f>
        <v>45924+EDIVALDO DE ARAUJO - 6217+GOIANIA (GO) X SAO LUIS (MA)</v>
      </c>
      <c r="F891" s="1" t="str">
        <f>_xlfn.CONCAT(tabE.Flux[[#This Row],[DATA]],"+",tabE.Flux[[#This Row],[MOTORISTA + MATRÍCULA B]],"+",tabE.Flux[[#This Row],[LINHA]])</f>
        <v>45924+LEANDRO DE OLIVEIRA MELO - 2151+GOIANIA (GO) X SAO LUIS (MA)</v>
      </c>
      <c r="G891" s="1" t="str">
        <f>_xlfn.CONCAT(tabE.Flux[[#This Row],[DATA]],"+",tabE.Flux[[#This Row],[LINHA]])</f>
        <v>45924+GOIANIA (GO) X SAO LUIS (MA)</v>
      </c>
      <c r="H891" s="125">
        <v>45924</v>
      </c>
      <c r="I891" s="1" t="s">
        <v>15</v>
      </c>
      <c r="J891" s="1">
        <v>19010</v>
      </c>
      <c r="K891" s="126">
        <v>0.25</v>
      </c>
      <c r="L891" s="126">
        <v>0.29166666666666669</v>
      </c>
      <c r="M891" s="1" t="s">
        <v>42</v>
      </c>
      <c r="N891" s="1" t="s">
        <v>16</v>
      </c>
      <c r="O891" s="1" t="s">
        <v>55</v>
      </c>
      <c r="P891" s="1" t="s">
        <v>64</v>
      </c>
      <c r="Q891" s="1" t="s">
        <v>23</v>
      </c>
    </row>
    <row r="892" spans="3:17" x14ac:dyDescent="0.25">
      <c r="C892" s="1" t="str">
        <f>_xlfn.CONCAT(tabE.Flux[[#This Row],[DATA]],"+",tabE.Flux[[#This Row],[MOTORISTA + MATRÍCULA A]])</f>
        <v>45924+KAYLSON KLEYTON DA SILVA COSTA - 6224</v>
      </c>
      <c r="D892" s="1" t="str">
        <f>_xlfn.CONCAT(tabE.Flux[[#This Row],[DATA]],"+",tabE.Flux[[#This Row],[MOTORISTA + MATRÍCULA B]])</f>
        <v>45924+KLEBER OLIVEIRA LIMA - 5849</v>
      </c>
      <c r="E892" s="1" t="str">
        <f>_xlfn.CONCAT(tabE.Flux[[#This Row],[DATA]],"+",tabE.Flux[[#This Row],[MOTORISTA + MATRÍCULA A]],"+",tabE.Flux[[#This Row],[LINHA]])</f>
        <v>45924+KAYLSON KLEYTON DA SILVA COSTA - 6224+GOIANIA (GO) X SAO LUIS (MA)</v>
      </c>
      <c r="F892" s="1" t="str">
        <f>_xlfn.CONCAT(tabE.Flux[[#This Row],[DATA]],"+",tabE.Flux[[#This Row],[MOTORISTA + MATRÍCULA B]],"+",tabE.Flux[[#This Row],[LINHA]])</f>
        <v>45924+KLEBER OLIVEIRA LIMA - 5849+GOIANIA (GO) X SAO LUIS (MA)</v>
      </c>
      <c r="G892" s="1" t="str">
        <f>_xlfn.CONCAT(tabE.Flux[[#This Row],[DATA]],"+",tabE.Flux[[#This Row],[LINHA]])</f>
        <v>45924+GOIANIA (GO) X SAO LUIS (MA)</v>
      </c>
      <c r="H892" s="125">
        <v>45924</v>
      </c>
      <c r="I892" s="1" t="s">
        <v>15</v>
      </c>
      <c r="J892" s="1">
        <v>24009</v>
      </c>
      <c r="K892" s="126">
        <v>0.75</v>
      </c>
      <c r="L892" s="126">
        <v>0.79166666666666663</v>
      </c>
      <c r="M892" s="1" t="s">
        <v>42</v>
      </c>
      <c r="N892" s="1" t="s">
        <v>16</v>
      </c>
      <c r="O892" s="1" t="s">
        <v>80</v>
      </c>
      <c r="P892" s="1" t="s">
        <v>102</v>
      </c>
      <c r="Q892" s="1" t="s">
        <v>23</v>
      </c>
    </row>
    <row r="893" spans="3:17" x14ac:dyDescent="0.25">
      <c r="C893" s="1" t="str">
        <f>_xlfn.CONCAT(tabE.Flux[[#This Row],[DATA]],"+",tabE.Flux[[#This Row],[MOTORISTA + MATRÍCULA A]])</f>
        <v>45924+CANCELADO</v>
      </c>
      <c r="D893" s="1" t="str">
        <f>_xlfn.CONCAT(tabE.Flux[[#This Row],[DATA]],"+",tabE.Flux[[#This Row],[MOTORISTA + MATRÍCULA B]])</f>
        <v>45924+CANCELADO</v>
      </c>
      <c r="E893" s="1" t="str">
        <f>_xlfn.CONCAT(tabE.Flux[[#This Row],[DATA]],"+",tabE.Flux[[#This Row],[MOTORISTA + MATRÍCULA A]],"+",tabE.Flux[[#This Row],[LINHA]])</f>
        <v>45924+CANCELADO+IMPERATRIZ (MA) X SÃO LUIS (MA)</v>
      </c>
      <c r="F893" s="1" t="str">
        <f>_xlfn.CONCAT(tabE.Flux[[#This Row],[DATA]],"+",tabE.Flux[[#This Row],[MOTORISTA + MATRÍCULA B]],"+",tabE.Flux[[#This Row],[LINHA]])</f>
        <v>45924+CANCELADO+IMPERATRIZ (MA) X SÃO LUIS (MA)</v>
      </c>
      <c r="G893" s="1" t="str">
        <f>_xlfn.CONCAT(tabE.Flux[[#This Row],[DATA]],"+",tabE.Flux[[#This Row],[LINHA]])</f>
        <v>45924+IMPERATRIZ (MA) X SÃO LUIS (MA)</v>
      </c>
      <c r="H893" s="125">
        <v>45924</v>
      </c>
      <c r="I893" s="1" t="s">
        <v>15</v>
      </c>
      <c r="J893" s="1" t="s">
        <v>27</v>
      </c>
      <c r="K893" s="126">
        <v>0.77083333333333337</v>
      </c>
      <c r="L893" s="126">
        <v>0.79513888888888884</v>
      </c>
      <c r="M893" s="1" t="s">
        <v>42</v>
      </c>
      <c r="N893" s="1" t="s">
        <v>16</v>
      </c>
      <c r="O893" s="1" t="s">
        <v>27</v>
      </c>
      <c r="P893" s="1" t="s">
        <v>27</v>
      </c>
      <c r="Q893" s="1" t="s">
        <v>47</v>
      </c>
    </row>
    <row r="894" spans="3:17" x14ac:dyDescent="0.25">
      <c r="C894" s="1" t="str">
        <f>_xlfn.CONCAT(tabE.Flux[[#This Row],[DATA]],"+",tabE.Flux[[#This Row],[MOTORISTA + MATRÍCULA A]])</f>
        <v>45924+JOSE POLICARPO DE SOUSA NETO - 1472</v>
      </c>
      <c r="D894" s="1" t="str">
        <f>_xlfn.CONCAT(tabE.Flux[[#This Row],[DATA]],"+",tabE.Flux[[#This Row],[MOTORISTA + MATRÍCULA B]])</f>
        <v>45924+MARCIO RODRIGUES DA COSTA - 5993</v>
      </c>
      <c r="E894" s="1" t="str">
        <f>_xlfn.CONCAT(tabE.Flux[[#This Row],[DATA]],"+",tabE.Flux[[#This Row],[MOTORISTA + MATRÍCULA A]],"+",tabE.Flux[[#This Row],[LINHA]])</f>
        <v>45924+JOSE POLICARPO DE SOUSA NETO - 1472+GOIANIA (GO) X TERESINA (PI) VIA BC</v>
      </c>
      <c r="F894" s="1" t="str">
        <f>_xlfn.CONCAT(tabE.Flux[[#This Row],[DATA]],"+",tabE.Flux[[#This Row],[MOTORISTA + MATRÍCULA B]],"+",tabE.Flux[[#This Row],[LINHA]])</f>
        <v>45924+MARCIO RODRIGUES DA COSTA - 5993+GOIANIA (GO) X TERESINA (PI) VIA BC</v>
      </c>
      <c r="G894" s="1" t="str">
        <f>_xlfn.CONCAT(tabE.Flux[[#This Row],[DATA]],"+",tabE.Flux[[#This Row],[LINHA]])</f>
        <v>45924+GOIANIA (GO) X TERESINA (PI) VIA BC</v>
      </c>
      <c r="H894" s="125">
        <v>45924</v>
      </c>
      <c r="I894" s="1" t="s">
        <v>15</v>
      </c>
      <c r="J894" s="1">
        <v>24010</v>
      </c>
      <c r="K894" s="126">
        <v>0.89583333333333337</v>
      </c>
      <c r="L894" s="126">
        <v>0.91666666666666663</v>
      </c>
      <c r="M894" s="1" t="s">
        <v>36</v>
      </c>
      <c r="N894" s="1" t="s">
        <v>17</v>
      </c>
      <c r="O894" s="1" t="s">
        <v>54</v>
      </c>
      <c r="P894" s="1" t="s">
        <v>107</v>
      </c>
      <c r="Q894" s="1" t="s">
        <v>39</v>
      </c>
    </row>
    <row r="895" spans="3:17" x14ac:dyDescent="0.25">
      <c r="C895" s="1" t="str">
        <f>_xlfn.CONCAT(tabE.Flux[[#This Row],[DATA]],"+",tabE.Flux[[#This Row],[MOTORISTA + MATRÍCULA A]])</f>
        <v>45924+NILSON CORTEZ MIRANDA - 5636</v>
      </c>
      <c r="D895" s="1" t="str">
        <f>_xlfn.CONCAT(tabE.Flux[[#This Row],[DATA]],"+",tabE.Flux[[#This Row],[MOTORISTA + MATRÍCULA B]])</f>
        <v>45924+RAIMUNDO GUIMARAES ARAUJO - 1920</v>
      </c>
      <c r="E895" s="1" t="str">
        <f>_xlfn.CONCAT(tabE.Flux[[#This Row],[DATA]],"+",tabE.Flux[[#This Row],[MOTORISTA + MATRÍCULA A]],"+",tabE.Flux[[#This Row],[LINHA]])</f>
        <v>45924+NILSON CORTEZ MIRANDA - 5636+GOIANIA (GO) X BELEM (PA)</v>
      </c>
      <c r="F895" s="1" t="str">
        <f>_xlfn.CONCAT(tabE.Flux[[#This Row],[DATA]],"+",tabE.Flux[[#This Row],[MOTORISTA + MATRÍCULA B]],"+",tabE.Flux[[#This Row],[LINHA]])</f>
        <v>45924+RAIMUNDO GUIMARAES ARAUJO - 1920+GOIANIA (GO) X BELEM (PA)</v>
      </c>
      <c r="G895" s="1" t="str">
        <f>_xlfn.CONCAT(tabE.Flux[[#This Row],[DATA]],"+",tabE.Flux[[#This Row],[LINHA]])</f>
        <v>45924+GOIANIA (GO) X BELEM (PA)</v>
      </c>
      <c r="H895" s="125">
        <v>45924</v>
      </c>
      <c r="I895" s="1" t="s">
        <v>15</v>
      </c>
      <c r="J895" s="1">
        <v>24013</v>
      </c>
      <c r="K895" s="126">
        <v>0.76041666666666663</v>
      </c>
      <c r="L895" s="126">
        <v>0.77083333333333337</v>
      </c>
      <c r="M895" s="1" t="s">
        <v>33</v>
      </c>
      <c r="N895" s="1" t="s">
        <v>16</v>
      </c>
      <c r="O895" s="1" t="s">
        <v>75</v>
      </c>
      <c r="P895" s="1" t="s">
        <v>231</v>
      </c>
      <c r="Q895" s="1" t="s">
        <v>20</v>
      </c>
    </row>
    <row r="896" spans="3:17" x14ac:dyDescent="0.25">
      <c r="C896" s="1" t="str">
        <f>_xlfn.CONCAT(tabE.Flux[[#This Row],[DATA]],"+",tabE.Flux[[#This Row],[MOTORISTA + MATRÍCULA A]])</f>
        <v>45924+JOAO DE JESUS GOUVEIA - 6016</v>
      </c>
      <c r="D896" s="1" t="str">
        <f>_xlfn.CONCAT(tabE.Flux[[#This Row],[DATA]],"+",tabE.Flux[[#This Row],[MOTORISTA + MATRÍCULA B]])</f>
        <v>45924+ANTONIO FRANCINALDO DE OLIVEIRA MARQUES - 5018</v>
      </c>
      <c r="E896" s="1" t="str">
        <f>_xlfn.CONCAT(tabE.Flux[[#This Row],[DATA]],"+",tabE.Flux[[#This Row],[MOTORISTA + MATRÍCULA A]],"+",tabE.Flux[[#This Row],[LINHA]])</f>
        <v>45924+JOAO DE JESUS GOUVEIA - 6016+GOIANIA (GO) X BELEM (PA)</v>
      </c>
      <c r="F896" s="1" t="str">
        <f>_xlfn.CONCAT(tabE.Flux[[#This Row],[DATA]],"+",tabE.Flux[[#This Row],[MOTORISTA + MATRÍCULA B]],"+",tabE.Flux[[#This Row],[LINHA]])</f>
        <v>45924+ANTONIO FRANCINALDO DE OLIVEIRA MARQUES - 5018+GOIANIA (GO) X BELEM (PA)</v>
      </c>
      <c r="G896" s="1" t="str">
        <f>_xlfn.CONCAT(tabE.Flux[[#This Row],[DATA]],"+",tabE.Flux[[#This Row],[LINHA]])</f>
        <v>45924+GOIANIA (GO) X BELEM (PA)</v>
      </c>
      <c r="H896" s="125">
        <v>45924</v>
      </c>
      <c r="I896" s="1" t="s">
        <v>15</v>
      </c>
      <c r="J896" s="1">
        <v>24001</v>
      </c>
      <c r="K896" s="126">
        <v>0.76041666666666663</v>
      </c>
      <c r="L896" s="126">
        <v>0.82777777777777772</v>
      </c>
      <c r="M896" s="1" t="s">
        <v>16</v>
      </c>
      <c r="N896" s="1" t="s">
        <v>33</v>
      </c>
      <c r="O896" s="1" t="s">
        <v>58</v>
      </c>
      <c r="P896" s="1" t="s">
        <v>233</v>
      </c>
      <c r="Q896" s="1" t="s">
        <v>20</v>
      </c>
    </row>
    <row r="897" spans="3:17" x14ac:dyDescent="0.25">
      <c r="C897" s="1" t="str">
        <f>_xlfn.CONCAT(tabE.Flux[[#This Row],[DATA]],"+",tabE.Flux[[#This Row],[MOTORISTA + MATRÍCULA A]])</f>
        <v>45924+RONNE RODRIGUES DE SOUSA - 5025</v>
      </c>
      <c r="D897" s="1" t="str">
        <f>_xlfn.CONCAT(tabE.Flux[[#This Row],[DATA]],"+",tabE.Flux[[#This Row],[MOTORISTA + MATRÍCULA B]])</f>
        <v>45924+PAULO ENEAS FARIAS ARAUJO - 6218</v>
      </c>
      <c r="E897" s="1" t="str">
        <f>_xlfn.CONCAT(tabE.Flux[[#This Row],[DATA]],"+",tabE.Flux[[#This Row],[MOTORISTA + MATRÍCULA A]],"+",tabE.Flux[[#This Row],[LINHA]])</f>
        <v>45924+RONNE RODRIGUES DE SOUSA - 5025+GOIANIA (GO) X SAO LUIS (MA)</v>
      </c>
      <c r="F897" s="1" t="str">
        <f>_xlfn.CONCAT(tabE.Flux[[#This Row],[DATA]],"+",tabE.Flux[[#This Row],[MOTORISTA + MATRÍCULA B]],"+",tabE.Flux[[#This Row],[LINHA]])</f>
        <v>45924+PAULO ENEAS FARIAS ARAUJO - 6218+GOIANIA (GO) X SAO LUIS (MA)</v>
      </c>
      <c r="G897" s="1" t="str">
        <f>_xlfn.CONCAT(tabE.Flux[[#This Row],[DATA]],"+",tabE.Flux[[#This Row],[LINHA]])</f>
        <v>45924+GOIANIA (GO) X SAO LUIS (MA)</v>
      </c>
      <c r="H897" s="125">
        <v>45924</v>
      </c>
      <c r="I897" s="1" t="s">
        <v>15</v>
      </c>
      <c r="J897" s="1">
        <v>19015</v>
      </c>
      <c r="K897" s="126">
        <v>0.40763888888888888</v>
      </c>
      <c r="L897" s="126">
        <v>0.47013888888888888</v>
      </c>
      <c r="M897" s="1" t="s">
        <v>16</v>
      </c>
      <c r="N897" s="1" t="s">
        <v>42</v>
      </c>
      <c r="O897" s="1" t="s">
        <v>85</v>
      </c>
      <c r="P897" s="1" t="s">
        <v>43</v>
      </c>
      <c r="Q897" s="1" t="s">
        <v>23</v>
      </c>
    </row>
    <row r="898" spans="3:17" x14ac:dyDescent="0.25">
      <c r="C898" s="1" t="str">
        <f>_xlfn.CONCAT(tabE.Flux[[#This Row],[DATA]],"+",tabE.Flux[[#This Row],[MOTORISTA + MATRÍCULA A]])</f>
        <v>45924+CANCELADO</v>
      </c>
      <c r="D898" s="1" t="str">
        <f>_xlfn.CONCAT(tabE.Flux[[#This Row],[DATA]],"+",tabE.Flux[[#This Row],[MOTORISTA + MATRÍCULA B]])</f>
        <v>45924+CANCELADO</v>
      </c>
      <c r="E898" s="1" t="str">
        <f>_xlfn.CONCAT(tabE.Flux[[#This Row],[DATA]],"+",tabE.Flux[[#This Row],[MOTORISTA + MATRÍCULA A]],"+",tabE.Flux[[#This Row],[LINHA]])</f>
        <v>45924+CANCELADO+IMPERATRIZ (MA) X SÃO LUIS (MA)</v>
      </c>
      <c r="F898" s="1" t="str">
        <f>_xlfn.CONCAT(tabE.Flux[[#This Row],[DATA]],"+",tabE.Flux[[#This Row],[MOTORISTA + MATRÍCULA B]],"+",tabE.Flux[[#This Row],[LINHA]])</f>
        <v>45924+CANCELADO+IMPERATRIZ (MA) X SÃO LUIS (MA)</v>
      </c>
      <c r="G898" s="1" t="str">
        <f>_xlfn.CONCAT(tabE.Flux[[#This Row],[DATA]],"+",tabE.Flux[[#This Row],[LINHA]])</f>
        <v>45924+IMPERATRIZ (MA) X SÃO LUIS (MA)</v>
      </c>
      <c r="H898" s="125">
        <v>45924</v>
      </c>
      <c r="I898" s="1" t="s">
        <v>15</v>
      </c>
      <c r="J898" s="1" t="s">
        <v>27</v>
      </c>
      <c r="K898" s="126">
        <v>0.77083333333333337</v>
      </c>
      <c r="L898" s="126">
        <v>0.8125</v>
      </c>
      <c r="M898" s="1" t="s">
        <v>16</v>
      </c>
      <c r="N898" s="1" t="s">
        <v>42</v>
      </c>
      <c r="O898" s="1" t="s">
        <v>27</v>
      </c>
      <c r="P898" s="1" t="s">
        <v>27</v>
      </c>
      <c r="Q898" s="1" t="s">
        <v>47</v>
      </c>
    </row>
    <row r="899" spans="3:17" x14ac:dyDescent="0.25">
      <c r="C899" s="1" t="str">
        <f>_xlfn.CONCAT(tabE.Flux[[#This Row],[DATA]],"+",tabE.Flux[[#This Row],[MOTORISTA + MATRÍCULA A]])</f>
        <v>45924+JAME DOS SANTOS MOURA - 5332</v>
      </c>
      <c r="D899" s="1" t="str">
        <f>_xlfn.CONCAT(tabE.Flux[[#This Row],[DATA]],"+",tabE.Flux[[#This Row],[MOTORISTA + MATRÍCULA B]])</f>
        <v>45924+EDIVALDO DE ARAUJO - 6217</v>
      </c>
      <c r="E899" s="1" t="str">
        <f>_xlfn.CONCAT(tabE.Flux[[#This Row],[DATA]],"+",tabE.Flux[[#This Row],[MOTORISTA + MATRÍCULA A]],"+",tabE.Flux[[#This Row],[LINHA]])</f>
        <v>45924+JAME DOS SANTOS MOURA - 5332+GOIANIA (GO) X SAO LUIS (MA)</v>
      </c>
      <c r="F899" s="1" t="str">
        <f>_xlfn.CONCAT(tabE.Flux[[#This Row],[DATA]],"+",tabE.Flux[[#This Row],[MOTORISTA + MATRÍCULA B]],"+",tabE.Flux[[#This Row],[LINHA]])</f>
        <v>45924+EDIVALDO DE ARAUJO - 6217+GOIANIA (GO) X SAO LUIS (MA)</v>
      </c>
      <c r="G899" s="1" t="str">
        <f>_xlfn.CONCAT(tabE.Flux[[#This Row],[DATA]],"+",tabE.Flux[[#This Row],[LINHA]])</f>
        <v>45924+GOIANIA (GO) X SAO LUIS (MA)</v>
      </c>
      <c r="H899" s="125">
        <v>45924</v>
      </c>
      <c r="I899" s="1" t="s">
        <v>15</v>
      </c>
      <c r="J899" s="1">
        <v>24014</v>
      </c>
      <c r="K899" s="126">
        <v>0.8125</v>
      </c>
      <c r="L899" s="126">
        <v>0.84375</v>
      </c>
      <c r="M899" s="1" t="s">
        <v>16</v>
      </c>
      <c r="N899" s="1" t="s">
        <v>42</v>
      </c>
      <c r="O899" s="1" t="s">
        <v>103</v>
      </c>
      <c r="P899" s="1" t="s">
        <v>55</v>
      </c>
      <c r="Q899" s="1" t="s">
        <v>23</v>
      </c>
    </row>
    <row r="900" spans="3:17" x14ac:dyDescent="0.25">
      <c r="C900" s="1" t="str">
        <f>_xlfn.CONCAT(tabE.Flux[[#This Row],[DATA]],"+",tabE.Flux[[#This Row],[MOTORISTA + MATRÍCULA A]])</f>
        <v>45924+JOSE CARLOS BEZERRA DA SILVA - 3034</v>
      </c>
      <c r="D900" s="1" t="str">
        <f>_xlfn.CONCAT(tabE.Flux[[#This Row],[DATA]],"+",tabE.Flux[[#This Row],[MOTORISTA + MATRÍCULA B]])</f>
        <v>45924+DANIEL PEREIRA DA ROCHA - 5298</v>
      </c>
      <c r="E900" s="1" t="str">
        <f>_xlfn.CONCAT(tabE.Flux[[#This Row],[DATA]],"+",tabE.Flux[[#This Row],[MOTORISTA + MATRÍCULA A]],"+",tabE.Flux[[#This Row],[LINHA]])</f>
        <v>45924+JOSE CARLOS BEZERRA DA SILVA - 3034+GOIANIA (GO) X TERESINA (PI) VIA STI</v>
      </c>
      <c r="F900" s="1" t="str">
        <f>_xlfn.CONCAT(tabE.Flux[[#This Row],[DATA]],"+",tabE.Flux[[#This Row],[MOTORISTA + MATRÍCULA B]],"+",tabE.Flux[[#This Row],[LINHA]])</f>
        <v>45924+DANIEL PEREIRA DA ROCHA - 5298+GOIANIA (GO) X TERESINA (PI) VIA STI</v>
      </c>
      <c r="G900" s="1" t="str">
        <f>_xlfn.CONCAT(tabE.Flux[[#This Row],[DATA]],"+",tabE.Flux[[#This Row],[LINHA]])</f>
        <v>45924+GOIANIA (GO) X TERESINA (PI) VIA STI</v>
      </c>
      <c r="H900" s="125">
        <v>45924</v>
      </c>
      <c r="I900" s="1" t="s">
        <v>15</v>
      </c>
      <c r="J900" s="1">
        <v>15800</v>
      </c>
      <c r="K900" s="126">
        <v>0.77083333333333337</v>
      </c>
      <c r="L900" s="126">
        <v>0.79861111111111116</v>
      </c>
      <c r="M900" s="1" t="s">
        <v>16</v>
      </c>
      <c r="N900" s="1" t="s">
        <v>29</v>
      </c>
      <c r="O900" s="1" t="s">
        <v>76</v>
      </c>
      <c r="P900" s="1" t="s">
        <v>184</v>
      </c>
      <c r="Q900" s="1" t="s">
        <v>26</v>
      </c>
    </row>
    <row r="901" spans="3:17" x14ac:dyDescent="0.25">
      <c r="C901" s="1" t="str">
        <f>_xlfn.CONCAT(tabE.Flux[[#This Row],[DATA]],"+",tabE.Flux[[#This Row],[MOTORISTA + MATRÍCULA A]])</f>
        <v>45924+ALCENILDE BARBOSA ARAUJO - 1745</v>
      </c>
      <c r="D901" s="1" t="str">
        <f>_xlfn.CONCAT(tabE.Flux[[#This Row],[DATA]],"+",tabE.Flux[[#This Row],[MOTORISTA + MATRÍCULA B]])</f>
        <v>45924+LUSIMAR SOARES ROCHA - 5987</v>
      </c>
      <c r="E901" s="1" t="str">
        <f>_xlfn.CONCAT(tabE.Flux[[#This Row],[DATA]],"+",tabE.Flux[[#This Row],[MOTORISTA + MATRÍCULA A]],"+",tabE.Flux[[#This Row],[LINHA]])</f>
        <v>45924+ALCENILDE BARBOSA ARAUJO - 1745+GOIANIA (GO) X SAO LUIS (MA)</v>
      </c>
      <c r="F901" s="1" t="str">
        <f>_xlfn.CONCAT(tabE.Flux[[#This Row],[DATA]],"+",tabE.Flux[[#This Row],[MOTORISTA + MATRÍCULA B]],"+",tabE.Flux[[#This Row],[LINHA]])</f>
        <v>45924+LUSIMAR SOARES ROCHA - 5987+GOIANIA (GO) X SAO LUIS (MA)</v>
      </c>
      <c r="G901" s="1" t="str">
        <f>_xlfn.CONCAT(tabE.Flux[[#This Row],[DATA]],"+",tabE.Flux[[#This Row],[LINHA]])</f>
        <v>45924+GOIANIA (GO) X SAO LUIS (MA)</v>
      </c>
      <c r="H901" s="125">
        <v>45924</v>
      </c>
      <c r="I901" s="1" t="s">
        <v>15</v>
      </c>
      <c r="J901" s="1">
        <v>19010</v>
      </c>
      <c r="K901" s="126">
        <v>0.8125</v>
      </c>
      <c r="L901" s="126">
        <v>0.84166666666666667</v>
      </c>
      <c r="M901" s="1" t="s">
        <v>16</v>
      </c>
      <c r="N901" s="1" t="s">
        <v>17</v>
      </c>
      <c r="O901" s="1" t="s">
        <v>137</v>
      </c>
      <c r="P901" s="1" t="s">
        <v>214</v>
      </c>
      <c r="Q901" s="1" t="s">
        <v>23</v>
      </c>
    </row>
    <row r="902" spans="3:17" x14ac:dyDescent="0.25">
      <c r="C902" s="1" t="str">
        <f>_xlfn.CONCAT(tabE.Flux[[#This Row],[DATA]],"+",tabE.Flux[[#This Row],[MOTORISTA + MATRÍCULA A]])</f>
        <v>45924+VALDELY RIBEIRO CAETANO - 5743</v>
      </c>
      <c r="D902" s="1" t="str">
        <f>_xlfn.CONCAT(tabE.Flux[[#This Row],[DATA]],"+",tabE.Flux[[#This Row],[MOTORISTA + MATRÍCULA B]])</f>
        <v>45924+CORESTINO RODRIGUES CALDEIRA FILHO - 6035</v>
      </c>
      <c r="E902" s="1" t="str">
        <f>_xlfn.CONCAT(tabE.Flux[[#This Row],[DATA]],"+",tabE.Flux[[#This Row],[MOTORISTA + MATRÍCULA A]],"+",tabE.Flux[[#This Row],[LINHA]])</f>
        <v>45924+VALDELY RIBEIRO CAETANO - 5743+FORTALEZA (CE) X SINOP (MT)</v>
      </c>
      <c r="F902" s="1" t="str">
        <f>_xlfn.CONCAT(tabE.Flux[[#This Row],[DATA]],"+",tabE.Flux[[#This Row],[MOTORISTA + MATRÍCULA B]],"+",tabE.Flux[[#This Row],[LINHA]])</f>
        <v>45924+CORESTINO RODRIGUES CALDEIRA FILHO - 6035+FORTALEZA (CE) X SINOP (MT)</v>
      </c>
      <c r="G902" s="1" t="str">
        <f>_xlfn.CONCAT(tabE.Flux[[#This Row],[DATA]],"+",tabE.Flux[[#This Row],[LINHA]])</f>
        <v>45924+FORTALEZA (CE) X SINOP (MT)</v>
      </c>
      <c r="H902" s="125">
        <v>45924</v>
      </c>
      <c r="I902" s="1" t="s">
        <v>15</v>
      </c>
      <c r="J902" s="1">
        <v>20019</v>
      </c>
      <c r="K902" s="126">
        <v>0.8125</v>
      </c>
      <c r="L902" s="126">
        <v>0.85416666666666663</v>
      </c>
      <c r="M902" s="1" t="s">
        <v>16</v>
      </c>
      <c r="N902" s="1" t="s">
        <v>17</v>
      </c>
      <c r="O902" s="1" t="s">
        <v>98</v>
      </c>
      <c r="P902" s="1" t="s">
        <v>99</v>
      </c>
      <c r="Q902" s="1" t="s">
        <v>32</v>
      </c>
    </row>
    <row r="903" spans="3:17" x14ac:dyDescent="0.25">
      <c r="C903" s="1" t="str">
        <f>_xlfn.CONCAT(tabE.Flux[[#This Row],[DATA]],"+",tabE.Flux[[#This Row],[MOTORISTA + MATRÍCULA A]])</f>
        <v>45924+GILMAR RODRIGUES DE LIMA - 5819</v>
      </c>
      <c r="D903" s="1" t="str">
        <f>_xlfn.CONCAT(tabE.Flux[[#This Row],[DATA]],"+",tabE.Flux[[#This Row],[MOTORISTA + MATRÍCULA B]])</f>
        <v>45924+LUIZMAR FERREIRA - 6011</v>
      </c>
      <c r="E903" s="1" t="str">
        <f>_xlfn.CONCAT(tabE.Flux[[#This Row],[DATA]],"+",tabE.Flux[[#This Row],[MOTORISTA + MATRÍCULA A]],"+",tabE.Flux[[#This Row],[LINHA]])</f>
        <v>45924+GILMAR RODRIGUES DE LIMA - 5819+GOIANIA (GO) X BELEM (PA)</v>
      </c>
      <c r="F903" s="1" t="str">
        <f>_xlfn.CONCAT(tabE.Flux[[#This Row],[DATA]],"+",tabE.Flux[[#This Row],[MOTORISTA + MATRÍCULA B]],"+",tabE.Flux[[#This Row],[LINHA]])</f>
        <v>45924+LUIZMAR FERREIRA - 6011+GOIANIA (GO) X BELEM (PA)</v>
      </c>
      <c r="G903" s="1" t="str">
        <f>_xlfn.CONCAT(tabE.Flux[[#This Row],[DATA]],"+",tabE.Flux[[#This Row],[LINHA]])</f>
        <v>45924+GOIANIA (GO) X BELEM (PA)</v>
      </c>
      <c r="H903" s="125">
        <v>45924</v>
      </c>
      <c r="I903" s="1" t="s">
        <v>15</v>
      </c>
      <c r="J903" s="1">
        <v>19009</v>
      </c>
      <c r="K903" s="126">
        <v>0.84722222222222221</v>
      </c>
      <c r="L903" s="126">
        <v>0.87847222222222221</v>
      </c>
      <c r="M903" s="1" t="s">
        <v>16</v>
      </c>
      <c r="N903" s="1" t="s">
        <v>17</v>
      </c>
      <c r="O903" s="1" t="s">
        <v>193</v>
      </c>
      <c r="P903" s="1" t="s">
        <v>229</v>
      </c>
      <c r="Q903" s="1" t="s">
        <v>20</v>
      </c>
    </row>
    <row r="904" spans="3:17" x14ac:dyDescent="0.25">
      <c r="C904" s="1" t="str">
        <f>_xlfn.CONCAT(tabE.Flux[[#This Row],[DATA]],"+",tabE.Flux[[#This Row],[MOTORISTA + MATRÍCULA A]])</f>
        <v>+</v>
      </c>
      <c r="D904" s="1" t="str">
        <f>_xlfn.CONCAT(tabE.Flux[[#This Row],[DATA]],"+",tabE.Flux[[#This Row],[MOTORISTA + MATRÍCULA B]])</f>
        <v>+</v>
      </c>
      <c r="E904" s="1" t="str">
        <f>_xlfn.CONCAT(tabE.Flux[[#This Row],[DATA]],"+",tabE.Flux[[#This Row],[MOTORISTA + MATRÍCULA A]],"+",tabE.Flux[[#This Row],[LINHA]])</f>
        <v>++</v>
      </c>
      <c r="F904" s="1" t="str">
        <f>_xlfn.CONCAT(tabE.Flux[[#This Row],[DATA]],"+",tabE.Flux[[#This Row],[MOTORISTA + MATRÍCULA B]],"+",tabE.Flux[[#This Row],[LINHA]])</f>
        <v>++</v>
      </c>
      <c r="G904" s="1" t="str">
        <f>_xlfn.CONCAT(tabE.Flux[[#This Row],[DATA]],"+",tabE.Flux[[#This Row],[LINHA]])</f>
        <v>+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3:17" x14ac:dyDescent="0.25">
      <c r="C905" s="1" t="str">
        <f>_xlfn.CONCAT(tabE.Flux[[#This Row],[DATA]],"+",tabE.Flux[[#This Row],[MOTORISTA + MATRÍCULA A]])</f>
        <v>45925+VILMAR JOSE CAMILO - 948</v>
      </c>
      <c r="D905" s="1" t="str">
        <f>_xlfn.CONCAT(tabE.Flux[[#This Row],[DATA]],"+",tabE.Flux[[#This Row],[MOTORISTA + MATRÍCULA B]])</f>
        <v>45925+NELIO ALENCAR DOS SANTOS - 1759</v>
      </c>
      <c r="E905" s="1" t="str">
        <f>_xlfn.CONCAT(tabE.Flux[[#This Row],[DATA]],"+",tabE.Flux[[#This Row],[MOTORISTA + MATRÍCULA A]],"+",tabE.Flux[[#This Row],[LINHA]])</f>
        <v>45925+VILMAR JOSE CAMILO - 948+GOIANIA (GO) X BELEM (PA)</v>
      </c>
      <c r="F905" s="1" t="str">
        <f>_xlfn.CONCAT(tabE.Flux[[#This Row],[DATA]],"+",tabE.Flux[[#This Row],[MOTORISTA + MATRÍCULA B]],"+",tabE.Flux[[#This Row],[LINHA]])</f>
        <v>45925+NELIO ALENCAR DOS SANTOS - 1759+GOIANIA (GO) X BELEM (PA)</v>
      </c>
      <c r="G905" s="1" t="str">
        <f>_xlfn.CONCAT(tabE.Flux[[#This Row],[DATA]],"+",tabE.Flux[[#This Row],[LINHA]])</f>
        <v>45925+GOIANIA (GO) X BELEM (PA)</v>
      </c>
      <c r="H905" s="125">
        <v>45925</v>
      </c>
      <c r="I905" s="1" t="s">
        <v>15</v>
      </c>
      <c r="J905" s="1">
        <v>24013</v>
      </c>
      <c r="K905" s="126">
        <v>0.25486111111111109</v>
      </c>
      <c r="L905" s="126">
        <v>0.3</v>
      </c>
      <c r="M905" s="1" t="s">
        <v>16</v>
      </c>
      <c r="N905" s="1" t="s">
        <v>17</v>
      </c>
      <c r="O905" s="1" t="s">
        <v>95</v>
      </c>
      <c r="P905" s="1" t="s">
        <v>67</v>
      </c>
      <c r="Q905" s="1" t="s">
        <v>20</v>
      </c>
    </row>
    <row r="906" spans="3:17" x14ac:dyDescent="0.25">
      <c r="C906" s="1" t="str">
        <f>_xlfn.CONCAT(tabE.Flux[[#This Row],[DATA]],"+",tabE.Flux[[#This Row],[MOTORISTA + MATRÍCULA A]])</f>
        <v>45925+FABIO MOREIRA DOS SANTOS - 3073</v>
      </c>
      <c r="D906" s="1" t="str">
        <f>_xlfn.CONCAT(tabE.Flux[[#This Row],[DATA]],"+",tabE.Flux[[#This Row],[MOTORISTA + MATRÍCULA B]])</f>
        <v>45925+KLEBSON ALVES FREIRES - 3060</v>
      </c>
      <c r="E906" s="1" t="str">
        <f>_xlfn.CONCAT(tabE.Flux[[#This Row],[DATA]],"+",tabE.Flux[[#This Row],[MOTORISTA + MATRÍCULA A]],"+",tabE.Flux[[#This Row],[LINHA]])</f>
        <v>45925+FABIO MOREIRA DOS SANTOS - 3073+GOIANIA (GO) X SAO LUIS (MA)</v>
      </c>
      <c r="F906" s="1" t="str">
        <f>_xlfn.CONCAT(tabE.Flux[[#This Row],[DATA]],"+",tabE.Flux[[#This Row],[MOTORISTA + MATRÍCULA B]],"+",tabE.Flux[[#This Row],[LINHA]])</f>
        <v>45925+KLEBSON ALVES FREIRES - 3060+GOIANIA (GO) X SAO LUIS (MA)</v>
      </c>
      <c r="G906" s="1" t="str">
        <f>_xlfn.CONCAT(tabE.Flux[[#This Row],[DATA]],"+",tabE.Flux[[#This Row],[LINHA]])</f>
        <v>45925+GOIANIA (GO) X SAO LUIS (MA)</v>
      </c>
      <c r="H906" s="125">
        <v>45925</v>
      </c>
      <c r="I906" s="1" t="s">
        <v>15</v>
      </c>
      <c r="J906" s="1">
        <v>24009</v>
      </c>
      <c r="K906" s="126">
        <v>0.32291666666666669</v>
      </c>
      <c r="L906" s="126">
        <v>0.33333333333333331</v>
      </c>
      <c r="M906" s="1" t="s">
        <v>16</v>
      </c>
      <c r="N906" s="1" t="s">
        <v>17</v>
      </c>
      <c r="O906" s="1" t="s">
        <v>50</v>
      </c>
      <c r="P906" s="1" t="s">
        <v>161</v>
      </c>
      <c r="Q906" s="1" t="s">
        <v>23</v>
      </c>
    </row>
    <row r="907" spans="3:17" x14ac:dyDescent="0.25">
      <c r="C907" s="1" t="str">
        <f>_xlfn.CONCAT(tabE.Flux[[#This Row],[DATA]],"+",tabE.Flux[[#This Row],[MOTORISTA + MATRÍCULA A]])</f>
        <v>45925+AELSON PEREIRA DO NASCIMENTO - 5682</v>
      </c>
      <c r="D907" s="1" t="str">
        <f>_xlfn.CONCAT(tabE.Flux[[#This Row],[DATA]],"+",tabE.Flux[[#This Row],[MOTORISTA + MATRÍCULA B]])</f>
        <v>45925+ANDSON WAGNER NASCIMENTO SOUZA - 2902</v>
      </c>
      <c r="E907" s="1" t="str">
        <f>_xlfn.CONCAT(tabE.Flux[[#This Row],[DATA]],"+",tabE.Flux[[#This Row],[MOTORISTA + MATRÍCULA A]],"+",tabE.Flux[[#This Row],[LINHA]])</f>
        <v>45925+AELSON PEREIRA DO NASCIMENTO - 5682+GOIANIA (GO) X TERESINA (PI) VIA STI</v>
      </c>
      <c r="F907" s="1" t="str">
        <f>_xlfn.CONCAT(tabE.Flux[[#This Row],[DATA]],"+",tabE.Flux[[#This Row],[MOTORISTA + MATRÍCULA B]],"+",tabE.Flux[[#This Row],[LINHA]])</f>
        <v>45925+ANDSON WAGNER NASCIMENTO SOUZA - 2902+GOIANIA (GO) X TERESINA (PI) VIA STI</v>
      </c>
      <c r="G907" s="1" t="str">
        <f>_xlfn.CONCAT(tabE.Flux[[#This Row],[DATA]],"+",tabE.Flux[[#This Row],[LINHA]])</f>
        <v>45925+GOIANIA (GO) X TERESINA (PI) VIA STI</v>
      </c>
      <c r="H907" s="125">
        <v>45925</v>
      </c>
      <c r="I907" s="1" t="s">
        <v>15</v>
      </c>
      <c r="J907" s="1">
        <v>19026</v>
      </c>
      <c r="K907" s="126">
        <v>0.3888888888888889</v>
      </c>
      <c r="L907" s="126">
        <v>0.39583333333333331</v>
      </c>
      <c r="M907" s="1" t="s">
        <v>16</v>
      </c>
      <c r="N907" s="1" t="s">
        <v>17</v>
      </c>
      <c r="O907" s="1" t="s">
        <v>88</v>
      </c>
      <c r="P907" s="1" t="s">
        <v>232</v>
      </c>
      <c r="Q907" s="1" t="s">
        <v>26</v>
      </c>
    </row>
    <row r="908" spans="3:17" x14ac:dyDescent="0.25">
      <c r="C908" s="1" t="str">
        <f>_xlfn.CONCAT(tabE.Flux[[#This Row],[DATA]],"+",tabE.Flux[[#This Row],[MOTORISTA + MATRÍCULA A]])</f>
        <v>45925+CANCELADO</v>
      </c>
      <c r="D908" s="1" t="str">
        <f>_xlfn.CONCAT(tabE.Flux[[#This Row],[DATA]],"+",tabE.Flux[[#This Row],[MOTORISTA + MATRÍCULA B]])</f>
        <v>45925+CANCELADO</v>
      </c>
      <c r="E908" s="1" t="str">
        <f>_xlfn.CONCAT(tabE.Flux[[#This Row],[DATA]],"+",tabE.Flux[[#This Row],[MOTORISTA + MATRÍCULA A]],"+",tabE.Flux[[#This Row],[LINHA]])</f>
        <v>45925+CANCELADO+</v>
      </c>
      <c r="F908" s="1" t="str">
        <f>_xlfn.CONCAT(tabE.Flux[[#This Row],[DATA]],"+",tabE.Flux[[#This Row],[MOTORISTA + MATRÍCULA B]],"+",tabE.Flux[[#This Row],[LINHA]])</f>
        <v>45925+CANCELADO+</v>
      </c>
      <c r="G908" s="1" t="str">
        <f>_xlfn.CONCAT(tabE.Flux[[#This Row],[DATA]],"+",tabE.Flux[[#This Row],[LINHA]])</f>
        <v>45925+</v>
      </c>
      <c r="H908" s="125">
        <v>45925</v>
      </c>
      <c r="I908" s="1" t="s">
        <v>15</v>
      </c>
      <c r="J908" s="1" t="s">
        <v>27</v>
      </c>
      <c r="K908" s="126">
        <v>0.375</v>
      </c>
      <c r="L908" s="126">
        <v>0.41666666666666669</v>
      </c>
      <c r="M908" s="1" t="s">
        <v>16</v>
      </c>
      <c r="N908" s="1" t="s">
        <v>28</v>
      </c>
      <c r="O908" s="1" t="s">
        <v>27</v>
      </c>
      <c r="P908" s="1" t="s">
        <v>27</v>
      </c>
      <c r="Q908" s="1"/>
    </row>
    <row r="909" spans="3:17" x14ac:dyDescent="0.25">
      <c r="C909" s="1" t="str">
        <f>_xlfn.CONCAT(tabE.Flux[[#This Row],[DATA]],"+",tabE.Flux[[#This Row],[MOTORISTA + MATRÍCULA A]])</f>
        <v>45925+LUIZ CARLOS MARIANO SIQUEIRA - 5634</v>
      </c>
      <c r="D909" s="1" t="str">
        <f>_xlfn.CONCAT(tabE.Flux[[#This Row],[DATA]],"+",tabE.Flux[[#This Row],[MOTORISTA + MATRÍCULA B]])</f>
        <v>45925+DAVID ALVES PEREIRA - 5300</v>
      </c>
      <c r="E909" s="1" t="str">
        <f>_xlfn.CONCAT(tabE.Flux[[#This Row],[DATA]],"+",tabE.Flux[[#This Row],[MOTORISTA + MATRÍCULA A]],"+",tabE.Flux[[#This Row],[LINHA]])</f>
        <v>45925+LUIZ CARLOS MARIANO SIQUEIRA - 5634+FORTALEZA (CE) X SINOP (MT)</v>
      </c>
      <c r="F909" s="1" t="str">
        <f>_xlfn.CONCAT(tabE.Flux[[#This Row],[DATA]],"+",tabE.Flux[[#This Row],[MOTORISTA + MATRÍCULA B]],"+",tabE.Flux[[#This Row],[LINHA]])</f>
        <v>45925+DAVID ALVES PEREIRA - 5300+FORTALEZA (CE) X SINOP (MT)</v>
      </c>
      <c r="G909" s="1" t="str">
        <f>_xlfn.CONCAT(tabE.Flux[[#This Row],[DATA]],"+",tabE.Flux[[#This Row],[LINHA]])</f>
        <v>45925+FORTALEZA (CE) X SINOP (MT)</v>
      </c>
      <c r="H909" s="125">
        <v>45925</v>
      </c>
      <c r="I909" s="1" t="s">
        <v>15</v>
      </c>
      <c r="J909" s="1">
        <v>19008</v>
      </c>
      <c r="K909" s="126">
        <v>0.3888888888888889</v>
      </c>
      <c r="L909" s="126">
        <v>0.37708333333333333</v>
      </c>
      <c r="M909" s="1" t="s">
        <v>16</v>
      </c>
      <c r="N909" s="1" t="s">
        <v>29</v>
      </c>
      <c r="O909" s="1" t="s">
        <v>51</v>
      </c>
      <c r="P909" s="1" t="s">
        <v>197</v>
      </c>
      <c r="Q909" s="1" t="s">
        <v>32</v>
      </c>
    </row>
    <row r="910" spans="3:17" x14ac:dyDescent="0.25">
      <c r="C910" s="1" t="str">
        <f>_xlfn.CONCAT(tabE.Flux[[#This Row],[DATA]],"+",tabE.Flux[[#This Row],[MOTORISTA + MATRÍCULA A]])</f>
        <v>45925+MERVAL DE SOUSA - 2880</v>
      </c>
      <c r="D910" s="1" t="str">
        <f>_xlfn.CONCAT(tabE.Flux[[#This Row],[DATA]],"+",tabE.Flux[[#This Row],[MOTORISTA + MATRÍCULA B]])</f>
        <v>45925+JEFFERSON CARDOSO DOS SANTOS - 5837</v>
      </c>
      <c r="E910" s="1" t="str">
        <f>_xlfn.CONCAT(tabE.Flux[[#This Row],[DATA]],"+",tabE.Flux[[#This Row],[MOTORISTA + MATRÍCULA A]],"+",tabE.Flux[[#This Row],[LINHA]])</f>
        <v>45925+MERVAL DE SOUSA - 2880+GOIANIA (GO) X BELEM (PA)</v>
      </c>
      <c r="F910" s="1" t="str">
        <f>_xlfn.CONCAT(tabE.Flux[[#This Row],[DATA]],"+",tabE.Flux[[#This Row],[MOTORISTA + MATRÍCULA B]],"+",tabE.Flux[[#This Row],[LINHA]])</f>
        <v>45925+JEFFERSON CARDOSO DOS SANTOS - 5837+GOIANIA (GO) X BELEM (PA)</v>
      </c>
      <c r="G910" s="1" t="str">
        <f>_xlfn.CONCAT(tabE.Flux[[#This Row],[DATA]],"+",tabE.Flux[[#This Row],[LINHA]])</f>
        <v>45925+GOIANIA (GO) X BELEM (PA)</v>
      </c>
      <c r="H910" s="125">
        <v>45925</v>
      </c>
      <c r="I910" s="1" t="s">
        <v>15</v>
      </c>
      <c r="J910" s="1">
        <v>19021</v>
      </c>
      <c r="K910" s="126">
        <v>0.38958333333333334</v>
      </c>
      <c r="L910" s="126">
        <v>0.38541666666666669</v>
      </c>
      <c r="M910" s="1" t="s">
        <v>16</v>
      </c>
      <c r="N910" s="1" t="s">
        <v>33</v>
      </c>
      <c r="O910" s="1" t="s">
        <v>44</v>
      </c>
      <c r="P910" s="1" t="s">
        <v>30</v>
      </c>
      <c r="Q910" s="1" t="s">
        <v>20</v>
      </c>
    </row>
    <row r="911" spans="3:17" x14ac:dyDescent="0.25">
      <c r="C911" s="1" t="str">
        <f>_xlfn.CONCAT(tabE.Flux[[#This Row],[DATA]],"+",tabE.Flux[[#This Row],[MOTORISTA + MATRÍCULA A]])</f>
        <v>45925+JOSE ORLANDO RODRIGUES DE MIRANDA - 5838</v>
      </c>
      <c r="D911" s="1" t="str">
        <f>_xlfn.CONCAT(tabE.Flux[[#This Row],[DATA]],"+",tabE.Flux[[#This Row],[MOTORISTA + MATRÍCULA B]])</f>
        <v>45925+LUIZ ANDRE GOMES DE SOUSA - 5654</v>
      </c>
      <c r="E911" s="1" t="str">
        <f>_xlfn.CONCAT(tabE.Flux[[#This Row],[DATA]],"+",tabE.Flux[[#This Row],[MOTORISTA + MATRÍCULA A]],"+",tabE.Flux[[#This Row],[LINHA]])</f>
        <v>45925+JOSE ORLANDO RODRIGUES DE MIRANDA - 5838+GOIANIA (GO) X TERESINA (PI) VIA BC</v>
      </c>
      <c r="F911" s="1" t="str">
        <f>_xlfn.CONCAT(tabE.Flux[[#This Row],[DATA]],"+",tabE.Flux[[#This Row],[MOTORISTA + MATRÍCULA B]],"+",tabE.Flux[[#This Row],[LINHA]])</f>
        <v>45925+LUIZ ANDRE GOMES DE SOUSA - 5654+GOIANIA (GO) X TERESINA (PI) VIA BC</v>
      </c>
      <c r="G911" s="1" t="str">
        <f>_xlfn.CONCAT(tabE.Flux[[#This Row],[DATA]],"+",tabE.Flux[[#This Row],[LINHA]])</f>
        <v>45925+GOIANIA (GO) X TERESINA (PI) VIA BC</v>
      </c>
      <c r="H911" s="125">
        <v>45925</v>
      </c>
      <c r="I911" s="1" t="s">
        <v>15</v>
      </c>
      <c r="J911" s="1">
        <v>24005</v>
      </c>
      <c r="K911" s="126">
        <v>0.375</v>
      </c>
      <c r="L911" s="126">
        <v>0.39930555555555558</v>
      </c>
      <c r="M911" s="1" t="s">
        <v>36</v>
      </c>
      <c r="N911" s="1" t="s">
        <v>29</v>
      </c>
      <c r="O911" s="1" t="s">
        <v>37</v>
      </c>
      <c r="P911" s="1" t="s">
        <v>257</v>
      </c>
      <c r="Q911" s="1" t="s">
        <v>39</v>
      </c>
    </row>
    <row r="912" spans="3:17" x14ac:dyDescent="0.25">
      <c r="C912" s="1" t="str">
        <f>_xlfn.CONCAT(tabE.Flux[[#This Row],[DATA]],"+",tabE.Flux[[#This Row],[MOTORISTA + MATRÍCULA A]])</f>
        <v>45925+REGINALDO DE SOUSA OLIVEIRA - 5412</v>
      </c>
      <c r="D912" s="1" t="str">
        <f>_xlfn.CONCAT(tabE.Flux[[#This Row],[DATA]],"+",tabE.Flux[[#This Row],[MOTORISTA + MATRÍCULA B]])</f>
        <v>45925+CLAUDIOMAR ALENCAR DO NASCIMENTO - 2970</v>
      </c>
      <c r="E912" s="1" t="str">
        <f>_xlfn.CONCAT(tabE.Flux[[#This Row],[DATA]],"+",tabE.Flux[[#This Row],[MOTORISTA + MATRÍCULA A]],"+",tabE.Flux[[#This Row],[LINHA]])</f>
        <v>45925+REGINALDO DE SOUSA OLIVEIRA - 5412+GOIANIA (GO) X BELEM (PA)</v>
      </c>
      <c r="F912" s="1" t="str">
        <f>_xlfn.CONCAT(tabE.Flux[[#This Row],[DATA]],"+",tabE.Flux[[#This Row],[MOTORISTA + MATRÍCULA B]],"+",tabE.Flux[[#This Row],[LINHA]])</f>
        <v>45925+CLAUDIOMAR ALENCAR DO NASCIMENTO - 2970+GOIANIA (GO) X BELEM (PA)</v>
      </c>
      <c r="G912" s="1" t="str">
        <f>_xlfn.CONCAT(tabE.Flux[[#This Row],[DATA]],"+",tabE.Flux[[#This Row],[LINHA]])</f>
        <v>45925+GOIANIA (GO) X BELEM (PA)</v>
      </c>
      <c r="H912" s="125">
        <v>45925</v>
      </c>
      <c r="I912" s="1" t="s">
        <v>15</v>
      </c>
      <c r="J912" s="1">
        <v>19020</v>
      </c>
      <c r="K912" s="126">
        <v>0.375</v>
      </c>
      <c r="L912" s="126">
        <v>0.41666666666666669</v>
      </c>
      <c r="M912" s="1" t="s">
        <v>33</v>
      </c>
      <c r="N912" s="1" t="s">
        <v>16</v>
      </c>
      <c r="O912" s="1" t="s">
        <v>239</v>
      </c>
      <c r="P912" s="1" t="s">
        <v>211</v>
      </c>
      <c r="Q912" s="1" t="s">
        <v>20</v>
      </c>
    </row>
    <row r="913" spans="3:17" x14ac:dyDescent="0.25">
      <c r="C913" s="1" t="str">
        <f>_xlfn.CONCAT(tabE.Flux[[#This Row],[DATA]],"+",tabE.Flux[[#This Row],[MOTORISTA + MATRÍCULA A]])</f>
        <v>45925+LAUCEANDO DA SILVA ROCHA - 6220</v>
      </c>
      <c r="D913" s="1" t="str">
        <f>_xlfn.CONCAT(tabE.Flux[[#This Row],[DATA]],"+",tabE.Flux[[#This Row],[MOTORISTA + MATRÍCULA B]])</f>
        <v>45925+RONNE RODRIGUES DE SOUSA - 5025</v>
      </c>
      <c r="E913" s="1" t="str">
        <f>_xlfn.CONCAT(tabE.Flux[[#This Row],[DATA]],"+",tabE.Flux[[#This Row],[MOTORISTA + MATRÍCULA A]],"+",tabE.Flux[[#This Row],[LINHA]])</f>
        <v>45925+LAUCEANDO DA SILVA ROCHA - 6220+GOIANIA (GO) X SAO LUIS (MA)</v>
      </c>
      <c r="F913" s="1" t="str">
        <f>_xlfn.CONCAT(tabE.Flux[[#This Row],[DATA]],"+",tabE.Flux[[#This Row],[MOTORISTA + MATRÍCULA B]],"+",tabE.Flux[[#This Row],[LINHA]])</f>
        <v>45925+RONNE RODRIGUES DE SOUSA - 5025+GOIANIA (GO) X SAO LUIS (MA)</v>
      </c>
      <c r="G913" s="1" t="str">
        <f>_xlfn.CONCAT(tabE.Flux[[#This Row],[DATA]],"+",tabE.Flux[[#This Row],[LINHA]])</f>
        <v>45925+GOIANIA (GO) X SAO LUIS (MA)</v>
      </c>
      <c r="H913" s="125">
        <v>45925</v>
      </c>
      <c r="I913" s="1" t="s">
        <v>15</v>
      </c>
      <c r="J913" s="1">
        <v>19006</v>
      </c>
      <c r="K913" s="126">
        <v>0.25</v>
      </c>
      <c r="L913" s="126">
        <v>0.29166666666666669</v>
      </c>
      <c r="M913" s="1" t="s">
        <v>42</v>
      </c>
      <c r="N913" s="1" t="s">
        <v>16</v>
      </c>
      <c r="O913" s="1" t="s">
        <v>86</v>
      </c>
      <c r="P913" s="1" t="s">
        <v>85</v>
      </c>
      <c r="Q913" s="1" t="s">
        <v>23</v>
      </c>
    </row>
    <row r="914" spans="3:17" x14ac:dyDescent="0.25">
      <c r="C914" s="1" t="str">
        <f>_xlfn.CONCAT(tabE.Flux[[#This Row],[DATA]],"+",tabE.Flux[[#This Row],[MOTORISTA + MATRÍCULA A]])</f>
        <v>45925+RAIMUNDO COSTA SILVA - 6226</v>
      </c>
      <c r="D914" s="1" t="str">
        <f>_xlfn.CONCAT(tabE.Flux[[#This Row],[DATA]],"+",tabE.Flux[[#This Row],[MOTORISTA + MATRÍCULA B]])</f>
        <v>45925+JAME DOS SANTOS MOURA - 5332</v>
      </c>
      <c r="E914" s="1" t="str">
        <f>_xlfn.CONCAT(tabE.Flux[[#This Row],[DATA]],"+",tabE.Flux[[#This Row],[MOTORISTA + MATRÍCULA A]],"+",tabE.Flux[[#This Row],[LINHA]])</f>
        <v>45925+RAIMUNDO COSTA SILVA - 6226+GOIANIA (GO) X SAO LUIS (MA)</v>
      </c>
      <c r="F914" s="1" t="str">
        <f>_xlfn.CONCAT(tabE.Flux[[#This Row],[DATA]],"+",tabE.Flux[[#This Row],[MOTORISTA + MATRÍCULA B]],"+",tabE.Flux[[#This Row],[LINHA]])</f>
        <v>45925+JAME DOS SANTOS MOURA - 5332+GOIANIA (GO) X SAO LUIS (MA)</v>
      </c>
      <c r="G914" s="1" t="str">
        <f>_xlfn.CONCAT(tabE.Flux[[#This Row],[DATA]],"+",tabE.Flux[[#This Row],[LINHA]])</f>
        <v>45925+GOIANIA (GO) X SAO LUIS (MA)</v>
      </c>
      <c r="H914" s="125">
        <v>45925</v>
      </c>
      <c r="I914" s="1" t="s">
        <v>15</v>
      </c>
      <c r="J914" s="1">
        <v>24014</v>
      </c>
      <c r="K914" s="126">
        <v>0.75</v>
      </c>
      <c r="L914" s="126">
        <v>0.79166666666666663</v>
      </c>
      <c r="M914" s="1" t="s">
        <v>42</v>
      </c>
      <c r="N914" s="1" t="s">
        <v>16</v>
      </c>
      <c r="O914" s="1" t="s">
        <v>45</v>
      </c>
      <c r="P914" s="1" t="s">
        <v>103</v>
      </c>
      <c r="Q914" s="1" t="s">
        <v>23</v>
      </c>
    </row>
    <row r="915" spans="3:17" x14ac:dyDescent="0.25">
      <c r="C915" s="1" t="str">
        <f>_xlfn.CONCAT(tabE.Flux[[#This Row],[DATA]],"+",tabE.Flux[[#This Row],[MOTORISTA + MATRÍCULA A]])</f>
        <v>45925+CANCELADO</v>
      </c>
      <c r="D915" s="1" t="str">
        <f>_xlfn.CONCAT(tabE.Flux[[#This Row],[DATA]],"+",tabE.Flux[[#This Row],[MOTORISTA + MATRÍCULA B]])</f>
        <v>45925+CANCELADO</v>
      </c>
      <c r="E915" s="1" t="str">
        <f>_xlfn.CONCAT(tabE.Flux[[#This Row],[DATA]],"+",tabE.Flux[[#This Row],[MOTORISTA + MATRÍCULA A]],"+",tabE.Flux[[#This Row],[LINHA]])</f>
        <v>45925+CANCELADO+IMPERATRIZ (MA) X SÃO LUIS (MA)</v>
      </c>
      <c r="F915" s="1" t="str">
        <f>_xlfn.CONCAT(tabE.Flux[[#This Row],[DATA]],"+",tabE.Flux[[#This Row],[MOTORISTA + MATRÍCULA B]],"+",tabE.Flux[[#This Row],[LINHA]])</f>
        <v>45925+CANCELADO+IMPERATRIZ (MA) X SÃO LUIS (MA)</v>
      </c>
      <c r="G915" s="1" t="str">
        <f>_xlfn.CONCAT(tabE.Flux[[#This Row],[DATA]],"+",tabE.Flux[[#This Row],[LINHA]])</f>
        <v>45925+IMPERATRIZ (MA) X SÃO LUIS (MA)</v>
      </c>
      <c r="H915" s="125">
        <v>45925</v>
      </c>
      <c r="I915" s="1" t="s">
        <v>15</v>
      </c>
      <c r="J915" s="1" t="s">
        <v>27</v>
      </c>
      <c r="K915" s="126">
        <v>0.77083333333333337</v>
      </c>
      <c r="L915" s="126">
        <v>0.79513888888888884</v>
      </c>
      <c r="M915" s="1" t="s">
        <v>42</v>
      </c>
      <c r="N915" s="1" t="s">
        <v>16</v>
      </c>
      <c r="O915" s="1" t="s">
        <v>27</v>
      </c>
      <c r="P915" s="1" t="s">
        <v>27</v>
      </c>
      <c r="Q915" s="1" t="s">
        <v>47</v>
      </c>
    </row>
    <row r="916" spans="3:17" x14ac:dyDescent="0.25">
      <c r="C916" s="1" t="str">
        <f>_xlfn.CONCAT(tabE.Flux[[#This Row],[DATA]],"+",tabE.Flux[[#This Row],[MOTORISTA + MATRÍCULA A]])</f>
        <v>45925+GERALDO DE OLIVEIRA GOMES - 1360</v>
      </c>
      <c r="D916" s="1" t="str">
        <f>_xlfn.CONCAT(tabE.Flux[[#This Row],[DATA]],"+",tabE.Flux[[#This Row],[MOTORISTA + MATRÍCULA B]])</f>
        <v>45925+ANTONIO DIAS DE OLIVEIRA - 5309</v>
      </c>
      <c r="E916" s="1" t="str">
        <f>_xlfn.CONCAT(tabE.Flux[[#This Row],[DATA]],"+",tabE.Flux[[#This Row],[MOTORISTA + MATRÍCULA A]],"+",tabE.Flux[[#This Row],[LINHA]])</f>
        <v>45925+GERALDO DE OLIVEIRA GOMES - 1360+GOIANIA (GO) X TERESINA (PI) VIA BC</v>
      </c>
      <c r="F916" s="1" t="str">
        <f>_xlfn.CONCAT(tabE.Flux[[#This Row],[DATA]],"+",tabE.Flux[[#This Row],[MOTORISTA + MATRÍCULA B]],"+",tabE.Flux[[#This Row],[LINHA]])</f>
        <v>45925+ANTONIO DIAS DE OLIVEIRA - 5309+GOIANIA (GO) X TERESINA (PI) VIA BC</v>
      </c>
      <c r="G916" s="1" t="str">
        <f>_xlfn.CONCAT(tabE.Flux[[#This Row],[DATA]],"+",tabE.Flux[[#This Row],[LINHA]])</f>
        <v>45925+GOIANIA (GO) X TERESINA (PI) VIA BC</v>
      </c>
      <c r="H916" s="125">
        <v>45925</v>
      </c>
      <c r="I916" s="1" t="s">
        <v>15</v>
      </c>
      <c r="J916" s="1">
        <v>25005</v>
      </c>
      <c r="K916" s="126">
        <v>0.89583333333333337</v>
      </c>
      <c r="L916" s="126">
        <v>0.91666666666666663</v>
      </c>
      <c r="M916" s="1" t="s">
        <v>36</v>
      </c>
      <c r="N916" s="1" t="s">
        <v>17</v>
      </c>
      <c r="O916" s="1" t="s">
        <v>245</v>
      </c>
      <c r="P916" s="1" t="s">
        <v>172</v>
      </c>
      <c r="Q916" s="1" t="s">
        <v>39</v>
      </c>
    </row>
    <row r="917" spans="3:17" x14ac:dyDescent="0.25">
      <c r="C917" s="1" t="str">
        <f>_xlfn.CONCAT(tabE.Flux[[#This Row],[DATA]],"+",tabE.Flux[[#This Row],[MOTORISTA + MATRÍCULA A]])</f>
        <v>45925+RAIMUNDO FERNANDES RIBEIRO - 907</v>
      </c>
      <c r="D917" s="1" t="str">
        <f>_xlfn.CONCAT(tabE.Flux[[#This Row],[DATA]],"+",tabE.Flux[[#This Row],[MOTORISTA + MATRÍCULA B]])</f>
        <v>45925+RICHARD SOUSA DA SILVA - 1271</v>
      </c>
      <c r="E917" s="1" t="str">
        <f>_xlfn.CONCAT(tabE.Flux[[#This Row],[DATA]],"+",tabE.Flux[[#This Row],[MOTORISTA + MATRÍCULA A]],"+",tabE.Flux[[#This Row],[LINHA]])</f>
        <v>45925+RAIMUNDO FERNANDES RIBEIRO - 907+GOIANIA (GO) X BELEM (PA)</v>
      </c>
      <c r="F917" s="1" t="str">
        <f>_xlfn.CONCAT(tabE.Flux[[#This Row],[DATA]],"+",tabE.Flux[[#This Row],[MOTORISTA + MATRÍCULA B]],"+",tabE.Flux[[#This Row],[LINHA]])</f>
        <v>45925+RICHARD SOUSA DA SILVA - 1271+GOIANIA (GO) X BELEM (PA)</v>
      </c>
      <c r="G917" s="1" t="str">
        <f>_xlfn.CONCAT(tabE.Flux[[#This Row],[DATA]],"+",tabE.Flux[[#This Row],[LINHA]])</f>
        <v>45925+GOIANIA (GO) X BELEM (PA)</v>
      </c>
      <c r="H917" s="125">
        <v>45925</v>
      </c>
      <c r="I917" s="1" t="s">
        <v>15</v>
      </c>
      <c r="J917" s="1">
        <v>24001</v>
      </c>
      <c r="K917" s="126">
        <v>0.76041666666666663</v>
      </c>
      <c r="L917" s="126">
        <v>0.77083333333333337</v>
      </c>
      <c r="M917" s="1" t="s">
        <v>33</v>
      </c>
      <c r="N917" s="1" t="s">
        <v>16</v>
      </c>
      <c r="O917" s="1" t="s">
        <v>143</v>
      </c>
      <c r="P917" s="1" t="s">
        <v>56</v>
      </c>
      <c r="Q917" s="1" t="s">
        <v>20</v>
      </c>
    </row>
    <row r="918" spans="3:17" x14ac:dyDescent="0.25">
      <c r="C918" s="1" t="str">
        <f>_xlfn.CONCAT(tabE.Flux[[#This Row],[DATA]],"+",tabE.Flux[[#This Row],[MOTORISTA + MATRÍCULA A]])</f>
        <v>45925+ANTONIO JOSE PEREIRA SOARES - 1774</v>
      </c>
      <c r="D918" s="1" t="str">
        <f>_xlfn.CONCAT(tabE.Flux[[#This Row],[DATA]],"+",tabE.Flux[[#This Row],[MOTORISTA + MATRÍCULA B]])</f>
        <v>45925+MARCOS ROBERTO DE SOUSA - 5236</v>
      </c>
      <c r="E918" s="1" t="str">
        <f>_xlfn.CONCAT(tabE.Flux[[#This Row],[DATA]],"+",tabE.Flux[[#This Row],[MOTORISTA + MATRÍCULA A]],"+",tabE.Flux[[#This Row],[LINHA]])</f>
        <v>45925+ANTONIO JOSE PEREIRA SOARES - 1774+GOIANIA (GO) X BELEM (PA)</v>
      </c>
      <c r="F918" s="1" t="str">
        <f>_xlfn.CONCAT(tabE.Flux[[#This Row],[DATA]],"+",tabE.Flux[[#This Row],[MOTORISTA + MATRÍCULA B]],"+",tabE.Flux[[#This Row],[LINHA]])</f>
        <v>45925+MARCOS ROBERTO DE SOUSA - 5236+GOIANIA (GO) X BELEM (PA)</v>
      </c>
      <c r="G918" s="1" t="str">
        <f>_xlfn.CONCAT(tabE.Flux[[#This Row],[DATA]],"+",tabE.Flux[[#This Row],[LINHA]])</f>
        <v>45925+GOIANIA (GO) X BELEM (PA)</v>
      </c>
      <c r="H918" s="125">
        <v>45925</v>
      </c>
      <c r="I918" s="1" t="s">
        <v>15</v>
      </c>
      <c r="J918" s="1">
        <v>24012</v>
      </c>
      <c r="K918" s="126">
        <v>0.76041666666666663</v>
      </c>
      <c r="L918" s="126">
        <v>0.82777777777777772</v>
      </c>
      <c r="M918" s="1" t="s">
        <v>16</v>
      </c>
      <c r="N918" s="1" t="s">
        <v>33</v>
      </c>
      <c r="O918" s="1" t="s">
        <v>52</v>
      </c>
      <c r="P918" s="1" t="s">
        <v>234</v>
      </c>
      <c r="Q918" s="1" t="s">
        <v>20</v>
      </c>
    </row>
    <row r="919" spans="3:17" x14ac:dyDescent="0.25">
      <c r="C919" s="1" t="str">
        <f>_xlfn.CONCAT(tabE.Flux[[#This Row],[DATA]],"+",tabE.Flux[[#This Row],[MOTORISTA + MATRÍCULA A]])</f>
        <v>45925+LUIS ANTONIO FARIAS RIBEIRO - 2789</v>
      </c>
      <c r="D919" s="1" t="str">
        <f>_xlfn.CONCAT(tabE.Flux[[#This Row],[DATA]],"+",tabE.Flux[[#This Row],[MOTORISTA + MATRÍCULA B]])</f>
        <v>45925+KAYLSON KLEYTON DA SILVA COSTA - 6224</v>
      </c>
      <c r="E919" s="1" t="str">
        <f>_xlfn.CONCAT(tabE.Flux[[#This Row],[DATA]],"+",tabE.Flux[[#This Row],[MOTORISTA + MATRÍCULA A]],"+",tabE.Flux[[#This Row],[LINHA]])</f>
        <v>45925+LUIS ANTONIO FARIAS RIBEIRO - 2789+GOIANIA (GO) X SAO LUIS (MA)</v>
      </c>
      <c r="F919" s="1" t="str">
        <f>_xlfn.CONCAT(tabE.Flux[[#This Row],[DATA]],"+",tabE.Flux[[#This Row],[MOTORISTA + MATRÍCULA B]],"+",tabE.Flux[[#This Row],[LINHA]])</f>
        <v>45925+KAYLSON KLEYTON DA SILVA COSTA - 6224+GOIANIA (GO) X SAO LUIS (MA)</v>
      </c>
      <c r="G919" s="1" t="str">
        <f>_xlfn.CONCAT(tabE.Flux[[#This Row],[DATA]],"+",tabE.Flux[[#This Row],[LINHA]])</f>
        <v>45925+GOIANIA (GO) X SAO LUIS (MA)</v>
      </c>
      <c r="H919" s="125">
        <v>45925</v>
      </c>
      <c r="I919" s="1" t="s">
        <v>15</v>
      </c>
      <c r="J919" s="1">
        <v>20013</v>
      </c>
      <c r="K919" s="126">
        <v>0.40763888888888888</v>
      </c>
      <c r="L919" s="126">
        <v>0.47013888888888888</v>
      </c>
      <c r="M919" s="1" t="s">
        <v>16</v>
      </c>
      <c r="N919" s="1" t="s">
        <v>42</v>
      </c>
      <c r="O919" s="1" t="s">
        <v>124</v>
      </c>
      <c r="P919" s="1" t="s">
        <v>80</v>
      </c>
      <c r="Q919" s="1" t="s">
        <v>23</v>
      </c>
    </row>
    <row r="920" spans="3:17" x14ac:dyDescent="0.25">
      <c r="C920" s="1" t="str">
        <f>_xlfn.CONCAT(tabE.Flux[[#This Row],[DATA]],"+",tabE.Flux[[#This Row],[MOTORISTA + MATRÍCULA A]])</f>
        <v>45925+CANCELADO</v>
      </c>
      <c r="D920" s="1" t="str">
        <f>_xlfn.CONCAT(tabE.Flux[[#This Row],[DATA]],"+",tabE.Flux[[#This Row],[MOTORISTA + MATRÍCULA B]])</f>
        <v>45925+CANCELADO</v>
      </c>
      <c r="E920" s="1" t="str">
        <f>_xlfn.CONCAT(tabE.Flux[[#This Row],[DATA]],"+",tabE.Flux[[#This Row],[MOTORISTA + MATRÍCULA A]],"+",tabE.Flux[[#This Row],[LINHA]])</f>
        <v>45925+CANCELADO+IMPERATRIZ (MA) X SÃO LUIS (MA)</v>
      </c>
      <c r="F920" s="1" t="str">
        <f>_xlfn.CONCAT(tabE.Flux[[#This Row],[DATA]],"+",tabE.Flux[[#This Row],[MOTORISTA + MATRÍCULA B]],"+",tabE.Flux[[#This Row],[LINHA]])</f>
        <v>45925+CANCELADO+IMPERATRIZ (MA) X SÃO LUIS (MA)</v>
      </c>
      <c r="G920" s="1" t="str">
        <f>_xlfn.CONCAT(tabE.Flux[[#This Row],[DATA]],"+",tabE.Flux[[#This Row],[LINHA]])</f>
        <v>45925+IMPERATRIZ (MA) X SÃO LUIS (MA)</v>
      </c>
      <c r="H920" s="125">
        <v>45925</v>
      </c>
      <c r="I920" s="1" t="s">
        <v>15</v>
      </c>
      <c r="J920" s="1" t="s">
        <v>27</v>
      </c>
      <c r="K920" s="126">
        <v>0.77083333333333337</v>
      </c>
      <c r="L920" s="126">
        <v>0.8125</v>
      </c>
      <c r="M920" s="1" t="s">
        <v>16</v>
      </c>
      <c r="N920" s="1" t="s">
        <v>42</v>
      </c>
      <c r="O920" s="1" t="s">
        <v>27</v>
      </c>
      <c r="P920" s="1" t="s">
        <v>27</v>
      </c>
      <c r="Q920" s="1" t="s">
        <v>47</v>
      </c>
    </row>
    <row r="921" spans="3:17" x14ac:dyDescent="0.25">
      <c r="C921" s="1" t="str">
        <f>_xlfn.CONCAT(tabE.Flux[[#This Row],[DATA]],"+",tabE.Flux[[#This Row],[MOTORISTA + MATRÍCULA A]])</f>
        <v>45925+MANOEL MESSIAS SILVA DOS SANTOS - 1833</v>
      </c>
      <c r="D921" s="1" t="str">
        <f>_xlfn.CONCAT(tabE.Flux[[#This Row],[DATA]],"+",tabE.Flux[[#This Row],[MOTORISTA + MATRÍCULA B]])</f>
        <v>45925+LAUCEANDO DA SILVA ROCHA - 6220</v>
      </c>
      <c r="E921" s="1" t="str">
        <f>_xlfn.CONCAT(tabE.Flux[[#This Row],[DATA]],"+",tabE.Flux[[#This Row],[MOTORISTA + MATRÍCULA A]],"+",tabE.Flux[[#This Row],[LINHA]])</f>
        <v>45925+MANOEL MESSIAS SILVA DOS SANTOS - 1833+GOIANIA (GO) X SAO LUIS (MA)</v>
      </c>
      <c r="F921" s="1" t="str">
        <f>_xlfn.CONCAT(tabE.Flux[[#This Row],[DATA]],"+",tabE.Flux[[#This Row],[MOTORISTA + MATRÍCULA B]],"+",tabE.Flux[[#This Row],[LINHA]])</f>
        <v>45925+LAUCEANDO DA SILVA ROCHA - 6220+GOIANIA (GO) X SAO LUIS (MA)</v>
      </c>
      <c r="G921" s="1" t="str">
        <f>_xlfn.CONCAT(tabE.Flux[[#This Row],[DATA]],"+",tabE.Flux[[#This Row],[LINHA]])</f>
        <v>45925+GOIANIA (GO) X SAO LUIS (MA)</v>
      </c>
      <c r="H921" s="125">
        <v>45925</v>
      </c>
      <c r="I921" s="1" t="s">
        <v>15</v>
      </c>
      <c r="J921" s="1">
        <v>24003</v>
      </c>
      <c r="K921" s="126">
        <v>0.8125</v>
      </c>
      <c r="L921" s="126">
        <v>0.84375</v>
      </c>
      <c r="M921" s="1" t="s">
        <v>16</v>
      </c>
      <c r="N921" s="1" t="s">
        <v>42</v>
      </c>
      <c r="O921" s="1" t="s">
        <v>173</v>
      </c>
      <c r="P921" s="1" t="s">
        <v>86</v>
      </c>
      <c r="Q921" s="1" t="s">
        <v>23</v>
      </c>
    </row>
    <row r="922" spans="3:17" x14ac:dyDescent="0.25">
      <c r="C922" s="1" t="str">
        <f>_xlfn.CONCAT(tabE.Flux[[#This Row],[DATA]],"+",tabE.Flux[[#This Row],[MOTORISTA + MATRÍCULA A]])</f>
        <v>45925+CANCELADO</v>
      </c>
      <c r="D922" s="1" t="str">
        <f>_xlfn.CONCAT(tabE.Flux[[#This Row],[DATA]],"+",tabE.Flux[[#This Row],[MOTORISTA + MATRÍCULA B]])</f>
        <v>45925+CANCELADO</v>
      </c>
      <c r="E922" s="1" t="str">
        <f>_xlfn.CONCAT(tabE.Flux[[#This Row],[DATA]],"+",tabE.Flux[[#This Row],[MOTORISTA + MATRÍCULA A]],"+",tabE.Flux[[#This Row],[LINHA]])</f>
        <v>45925+CANCELADO+GOIANIA (GO) X TERESINA (PI) VIA STI</v>
      </c>
      <c r="F922" s="1" t="str">
        <f>_xlfn.CONCAT(tabE.Flux[[#This Row],[DATA]],"+",tabE.Flux[[#This Row],[MOTORISTA + MATRÍCULA B]],"+",tabE.Flux[[#This Row],[LINHA]])</f>
        <v>45925+CANCELADO+GOIANIA (GO) X TERESINA (PI) VIA STI</v>
      </c>
      <c r="G922" s="1" t="str">
        <f>_xlfn.CONCAT(tabE.Flux[[#This Row],[DATA]],"+",tabE.Flux[[#This Row],[LINHA]])</f>
        <v>45925+GOIANIA (GO) X TERESINA (PI) VIA STI</v>
      </c>
      <c r="H922" s="125">
        <v>45925</v>
      </c>
      <c r="I922" s="1" t="s">
        <v>15</v>
      </c>
      <c r="J922" s="1" t="s">
        <v>27</v>
      </c>
      <c r="K922" s="126">
        <v>0.77083333333333337</v>
      </c>
      <c r="L922" s="126">
        <v>0.79861111111111116</v>
      </c>
      <c r="M922" s="1" t="s">
        <v>16</v>
      </c>
      <c r="N922" s="1" t="s">
        <v>29</v>
      </c>
      <c r="O922" s="1" t="s">
        <v>27</v>
      </c>
      <c r="P922" s="1" t="s">
        <v>27</v>
      </c>
      <c r="Q922" s="1" t="s">
        <v>26</v>
      </c>
    </row>
    <row r="923" spans="3:17" x14ac:dyDescent="0.25">
      <c r="C923" s="1" t="str">
        <f>_xlfn.CONCAT(tabE.Flux[[#This Row],[DATA]],"+",tabE.Flux[[#This Row],[MOTORISTA + MATRÍCULA A]])</f>
        <v>45925+IRISVAN DE JESUS - 5708</v>
      </c>
      <c r="D923" s="1" t="str">
        <f>_xlfn.CONCAT(tabE.Flux[[#This Row],[DATA]],"+",tabE.Flux[[#This Row],[MOTORISTA + MATRÍCULA B]])</f>
        <v>45925+  NEIRIVAL MOREIRA PINTO- 5432</v>
      </c>
      <c r="E923" s="1" t="str">
        <f>_xlfn.CONCAT(tabE.Flux[[#This Row],[DATA]],"+",tabE.Flux[[#This Row],[MOTORISTA + MATRÍCULA A]],"+",tabE.Flux[[#This Row],[LINHA]])</f>
        <v>45925+IRISVAN DE JESUS - 5708+GOIANIA (GO) X SAO LUIS (MA)</v>
      </c>
      <c r="F923" s="1" t="str">
        <f>_xlfn.CONCAT(tabE.Flux[[#This Row],[DATA]],"+",tabE.Flux[[#This Row],[MOTORISTA + MATRÍCULA B]],"+",tabE.Flux[[#This Row],[LINHA]])</f>
        <v>45925+  NEIRIVAL MOREIRA PINTO- 5432+GOIANIA (GO) X SAO LUIS (MA)</v>
      </c>
      <c r="G923" s="1" t="str">
        <f>_xlfn.CONCAT(tabE.Flux[[#This Row],[DATA]],"+",tabE.Flux[[#This Row],[LINHA]])</f>
        <v>45925+GOIANIA (GO) X SAO LUIS (MA)</v>
      </c>
      <c r="H923" s="125">
        <v>45925</v>
      </c>
      <c r="I923" s="1" t="s">
        <v>15</v>
      </c>
      <c r="J923" s="1">
        <v>19006</v>
      </c>
      <c r="K923" s="126">
        <v>0.8125</v>
      </c>
      <c r="L923" s="126">
        <v>0.84166666666666667</v>
      </c>
      <c r="M923" s="1" t="s">
        <v>16</v>
      </c>
      <c r="N923" s="1" t="s">
        <v>17</v>
      </c>
      <c r="O923" s="1" t="s">
        <v>96</v>
      </c>
      <c r="P923" s="1" t="s">
        <v>192</v>
      </c>
      <c r="Q923" s="1" t="s">
        <v>23</v>
      </c>
    </row>
    <row r="924" spans="3:17" x14ac:dyDescent="0.25">
      <c r="C924" s="1" t="str">
        <f>_xlfn.CONCAT(tabE.Flux[[#This Row],[DATA]],"+",tabE.Flux[[#This Row],[MOTORISTA + MATRÍCULA A]])</f>
        <v>45925+VALTERSON ANTÓNIO CORREIA - 3004</v>
      </c>
      <c r="D924" s="1" t="str">
        <f>_xlfn.CONCAT(tabE.Flux[[#This Row],[DATA]],"+",tabE.Flux[[#This Row],[MOTORISTA + MATRÍCULA B]])</f>
        <v>45925+JOAO AMARAL DA SILVA JUNIOR - 5290</v>
      </c>
      <c r="E924" s="1" t="str">
        <f>_xlfn.CONCAT(tabE.Flux[[#This Row],[DATA]],"+",tabE.Flux[[#This Row],[MOTORISTA + MATRÍCULA A]],"+",tabE.Flux[[#This Row],[LINHA]])</f>
        <v>45925+VALTERSON ANTÓNIO CORREIA - 3004+FORTALEZA (CE) X SINOP (MT)</v>
      </c>
      <c r="F924" s="1" t="str">
        <f>_xlfn.CONCAT(tabE.Flux[[#This Row],[DATA]],"+",tabE.Flux[[#This Row],[MOTORISTA + MATRÍCULA B]],"+",tabE.Flux[[#This Row],[LINHA]])</f>
        <v>45925+JOAO AMARAL DA SILVA JUNIOR - 5290+FORTALEZA (CE) X SINOP (MT)</v>
      </c>
      <c r="G924" s="1" t="str">
        <f>_xlfn.CONCAT(tabE.Flux[[#This Row],[DATA]],"+",tabE.Flux[[#This Row],[LINHA]])</f>
        <v>45925+FORTALEZA (CE) X SINOP (MT)</v>
      </c>
      <c r="H924" s="125">
        <v>45925</v>
      </c>
      <c r="I924" s="1" t="s">
        <v>15</v>
      </c>
      <c r="J924" s="1">
        <v>19005</v>
      </c>
      <c r="K924" s="126">
        <v>0.8125</v>
      </c>
      <c r="L924" s="126">
        <v>0.85416666666666663</v>
      </c>
      <c r="M924" s="1" t="s">
        <v>16</v>
      </c>
      <c r="N924" s="1" t="s">
        <v>17</v>
      </c>
      <c r="O924" s="1" t="s">
        <v>258</v>
      </c>
      <c r="P924" s="1" t="s">
        <v>215</v>
      </c>
      <c r="Q924" s="1" t="s">
        <v>32</v>
      </c>
    </row>
    <row r="925" spans="3:17" x14ac:dyDescent="0.25">
      <c r="C925" s="1" t="str">
        <f>_xlfn.CONCAT(tabE.Flux[[#This Row],[DATA]],"+",tabE.Flux[[#This Row],[MOTORISTA + MATRÍCULA A]])</f>
        <v>45925+WILSON FERREIRA DE JESUS - 1407</v>
      </c>
      <c r="D925" s="1" t="str">
        <f>_xlfn.CONCAT(tabE.Flux[[#This Row],[DATA]],"+",tabE.Flux[[#This Row],[MOTORISTA + MATRÍCULA B]])</f>
        <v>45925+WILSON MARTINS ROCHA - 105</v>
      </c>
      <c r="E925" s="1" t="str">
        <f>_xlfn.CONCAT(tabE.Flux[[#This Row],[DATA]],"+",tabE.Flux[[#This Row],[MOTORISTA + MATRÍCULA A]],"+",tabE.Flux[[#This Row],[LINHA]])</f>
        <v>45925+WILSON FERREIRA DE JESUS - 1407+GOIANIA (GO) X BELEM (PA)</v>
      </c>
      <c r="F925" s="1" t="str">
        <f>_xlfn.CONCAT(tabE.Flux[[#This Row],[DATA]],"+",tabE.Flux[[#This Row],[MOTORISTA + MATRÍCULA B]],"+",tabE.Flux[[#This Row],[LINHA]])</f>
        <v>45925+WILSON MARTINS ROCHA - 105+GOIANIA (GO) X BELEM (PA)</v>
      </c>
      <c r="G925" s="1" t="str">
        <f>_xlfn.CONCAT(tabE.Flux[[#This Row],[DATA]],"+",tabE.Flux[[#This Row],[LINHA]])</f>
        <v>45925+GOIANIA (GO) X BELEM (PA)</v>
      </c>
      <c r="H925" s="125">
        <v>45925</v>
      </c>
      <c r="I925" s="1" t="s">
        <v>15</v>
      </c>
      <c r="J925" s="1">
        <v>19020</v>
      </c>
      <c r="K925" s="126">
        <v>0.84722222222222221</v>
      </c>
      <c r="L925" s="126">
        <v>0.87847222222222221</v>
      </c>
      <c r="M925" s="1" t="s">
        <v>16</v>
      </c>
      <c r="N925" s="1" t="s">
        <v>17</v>
      </c>
      <c r="O925" s="1" t="s">
        <v>82</v>
      </c>
      <c r="P925" s="1" t="s">
        <v>81</v>
      </c>
      <c r="Q925" s="1" t="s">
        <v>20</v>
      </c>
    </row>
    <row r="926" spans="3:17" x14ac:dyDescent="0.25">
      <c r="C926" s="1" t="str">
        <f>_xlfn.CONCAT(tabE.Flux[[#This Row],[DATA]],"+",tabE.Flux[[#This Row],[MOTORISTA + MATRÍCULA A]])</f>
        <v>+</v>
      </c>
      <c r="D926" s="1" t="str">
        <f>_xlfn.CONCAT(tabE.Flux[[#This Row],[DATA]],"+",tabE.Flux[[#This Row],[MOTORISTA + MATRÍCULA B]])</f>
        <v>+</v>
      </c>
      <c r="E926" s="1" t="str">
        <f>_xlfn.CONCAT(tabE.Flux[[#This Row],[DATA]],"+",tabE.Flux[[#This Row],[MOTORISTA + MATRÍCULA A]],"+",tabE.Flux[[#This Row],[LINHA]])</f>
        <v>++</v>
      </c>
      <c r="F926" s="1" t="str">
        <f>_xlfn.CONCAT(tabE.Flux[[#This Row],[DATA]],"+",tabE.Flux[[#This Row],[MOTORISTA + MATRÍCULA B]],"+",tabE.Flux[[#This Row],[LINHA]])</f>
        <v>++</v>
      </c>
      <c r="G926" s="1" t="str">
        <f>_xlfn.CONCAT(tabE.Flux[[#This Row],[DATA]],"+",tabE.Flux[[#This Row],[LINHA]])</f>
        <v>+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3:17" x14ac:dyDescent="0.25">
      <c r="C927" s="1" t="str">
        <f>_xlfn.CONCAT(tabE.Flux[[#This Row],[DATA]],"+",tabE.Flux[[#This Row],[MOTORISTA + MATRÍCULA A]])</f>
        <v>45926+WALDIR DE ALMEIDA CORTE JUNIOR - 5960</v>
      </c>
      <c r="D927" s="1" t="str">
        <f>_xlfn.CONCAT(tabE.Flux[[#This Row],[DATA]],"+",tabE.Flux[[#This Row],[MOTORISTA + MATRÍCULA B]])</f>
        <v>45926+ALEF DA CRUZ VIEIRA - 5291</v>
      </c>
      <c r="E927" s="1" t="str">
        <f>_xlfn.CONCAT(tabE.Flux[[#This Row],[DATA]],"+",tabE.Flux[[#This Row],[MOTORISTA + MATRÍCULA A]],"+",tabE.Flux[[#This Row],[LINHA]])</f>
        <v>45926+WALDIR DE ALMEIDA CORTE JUNIOR - 5960+GOIANIA (GO) X BELEM (PA)</v>
      </c>
      <c r="F927" s="1" t="str">
        <f>_xlfn.CONCAT(tabE.Flux[[#This Row],[DATA]],"+",tabE.Flux[[#This Row],[MOTORISTA + MATRÍCULA B]],"+",tabE.Flux[[#This Row],[LINHA]])</f>
        <v>45926+ALEF DA CRUZ VIEIRA - 5291+GOIANIA (GO) X BELEM (PA)</v>
      </c>
      <c r="G927" s="1" t="str">
        <f>_xlfn.CONCAT(tabE.Flux[[#This Row],[DATA]],"+",tabE.Flux[[#This Row],[LINHA]])</f>
        <v>45926+GOIANIA (GO) X BELEM (PA)</v>
      </c>
      <c r="H927" s="125">
        <v>45926</v>
      </c>
      <c r="I927" s="1" t="s">
        <v>15</v>
      </c>
      <c r="J927" s="1">
        <v>24001</v>
      </c>
      <c r="K927" s="126">
        <v>0.25486111111111109</v>
      </c>
      <c r="L927" s="126">
        <v>0.3</v>
      </c>
      <c r="M927" s="1" t="s">
        <v>16</v>
      </c>
      <c r="N927" s="1" t="s">
        <v>17</v>
      </c>
      <c r="O927" s="1" t="s">
        <v>154</v>
      </c>
      <c r="P927" s="1" t="s">
        <v>248</v>
      </c>
      <c r="Q927" s="1" t="s">
        <v>20</v>
      </c>
    </row>
    <row r="928" spans="3:17" x14ac:dyDescent="0.25">
      <c r="C928" s="1" t="str">
        <f>_xlfn.CONCAT(tabE.Flux[[#This Row],[DATA]],"+",tabE.Flux[[#This Row],[MOTORISTA + MATRÍCULA A]])</f>
        <v>45926+KLEBER OLIVEIRA LIMA - 5849</v>
      </c>
      <c r="D928" s="1" t="str">
        <f>_xlfn.CONCAT(tabE.Flux[[#This Row],[DATA]],"+",tabE.Flux[[#This Row],[MOTORISTA + MATRÍCULA B]])</f>
        <v>45926+ANDRE SOUSA REIS - 2644</v>
      </c>
      <c r="E928" s="1" t="str">
        <f>_xlfn.CONCAT(tabE.Flux[[#This Row],[DATA]],"+",tabE.Flux[[#This Row],[MOTORISTA + MATRÍCULA A]],"+",tabE.Flux[[#This Row],[LINHA]])</f>
        <v>45926+KLEBER OLIVEIRA LIMA - 5849+GOIANIA (GO) X SAO LUIS (MA)</v>
      </c>
      <c r="F928" s="1" t="str">
        <f>_xlfn.CONCAT(tabE.Flux[[#This Row],[DATA]],"+",tabE.Flux[[#This Row],[MOTORISTA + MATRÍCULA B]],"+",tabE.Flux[[#This Row],[LINHA]])</f>
        <v>45926+ANDRE SOUSA REIS - 2644+GOIANIA (GO) X SAO LUIS (MA)</v>
      </c>
      <c r="G928" s="1" t="str">
        <f>_xlfn.CONCAT(tabE.Flux[[#This Row],[DATA]],"+",tabE.Flux[[#This Row],[LINHA]])</f>
        <v>45926+GOIANIA (GO) X SAO LUIS (MA)</v>
      </c>
      <c r="H928" s="125">
        <v>45926</v>
      </c>
      <c r="I928" s="1" t="s">
        <v>15</v>
      </c>
      <c r="J928" s="1">
        <v>24014</v>
      </c>
      <c r="K928" s="126">
        <v>0.32291666666666669</v>
      </c>
      <c r="L928" s="126">
        <v>0.33333333333333331</v>
      </c>
      <c r="M928" s="1" t="s">
        <v>16</v>
      </c>
      <c r="N928" s="1" t="s">
        <v>17</v>
      </c>
      <c r="O928" s="1" t="s">
        <v>102</v>
      </c>
      <c r="P928" s="1" t="s">
        <v>63</v>
      </c>
      <c r="Q928" s="1" t="s">
        <v>23</v>
      </c>
    </row>
    <row r="929" spans="3:17" x14ac:dyDescent="0.25">
      <c r="C929" s="1" t="str">
        <f>_xlfn.CONCAT(tabE.Flux[[#This Row],[DATA]],"+",tabE.Flux[[#This Row],[MOTORISTA + MATRÍCULA A]])</f>
        <v>45926+MARCOS ATAIDE SILVA - 1352</v>
      </c>
      <c r="D929" s="1" t="str">
        <f>_xlfn.CONCAT(tabE.Flux[[#This Row],[DATA]],"+",tabE.Flux[[#This Row],[MOTORISTA + MATRÍCULA B]])</f>
        <v>45926+LEANDRO DE OLIVEIRA MELO - 2151</v>
      </c>
      <c r="E929" s="1" t="str">
        <f>_xlfn.CONCAT(tabE.Flux[[#This Row],[DATA]],"+",tabE.Flux[[#This Row],[MOTORISTA + MATRÍCULA A]],"+",tabE.Flux[[#This Row],[LINHA]])</f>
        <v>45926+MARCOS ATAIDE SILVA - 1352+GOIANIA (GO) X TERESINA (PI) VIA STI</v>
      </c>
      <c r="F929" s="1" t="str">
        <f>_xlfn.CONCAT(tabE.Flux[[#This Row],[DATA]],"+",tabE.Flux[[#This Row],[MOTORISTA + MATRÍCULA B]],"+",tabE.Flux[[#This Row],[LINHA]])</f>
        <v>45926+LEANDRO DE OLIVEIRA MELO - 2151+GOIANIA (GO) X TERESINA (PI) VIA STI</v>
      </c>
      <c r="G929" s="1" t="str">
        <f>_xlfn.CONCAT(tabE.Flux[[#This Row],[DATA]],"+",tabE.Flux[[#This Row],[LINHA]])</f>
        <v>45926+GOIANIA (GO) X TERESINA (PI) VIA STI</v>
      </c>
      <c r="H929" s="125">
        <v>45926</v>
      </c>
      <c r="I929" s="1" t="s">
        <v>15</v>
      </c>
      <c r="J929" s="1">
        <v>19019</v>
      </c>
      <c r="K929" s="126">
        <v>0.3888888888888889</v>
      </c>
      <c r="L929" s="126">
        <v>0.39583333333333331</v>
      </c>
      <c r="M929" s="1" t="s">
        <v>16</v>
      </c>
      <c r="N929" s="1" t="s">
        <v>17</v>
      </c>
      <c r="O929" s="1" t="s">
        <v>113</v>
      </c>
      <c r="P929" s="1" t="s">
        <v>64</v>
      </c>
      <c r="Q929" s="1" t="s">
        <v>26</v>
      </c>
    </row>
    <row r="930" spans="3:17" x14ac:dyDescent="0.25">
      <c r="C930" s="1" t="str">
        <f>_xlfn.CONCAT(tabE.Flux[[#This Row],[DATA]],"+",tabE.Flux[[#This Row],[MOTORISTA + MATRÍCULA A]])</f>
        <v>45926+CANCELADO</v>
      </c>
      <c r="D930" s="1" t="str">
        <f>_xlfn.CONCAT(tabE.Flux[[#This Row],[DATA]],"+",tabE.Flux[[#This Row],[MOTORISTA + MATRÍCULA B]])</f>
        <v>45926+CANCELADO</v>
      </c>
      <c r="E930" s="1" t="str">
        <f>_xlfn.CONCAT(tabE.Flux[[#This Row],[DATA]],"+",tabE.Flux[[#This Row],[MOTORISTA + MATRÍCULA A]],"+",tabE.Flux[[#This Row],[LINHA]])</f>
        <v>45926+CANCELADO+</v>
      </c>
      <c r="F930" s="1" t="str">
        <f>_xlfn.CONCAT(tabE.Flux[[#This Row],[DATA]],"+",tabE.Flux[[#This Row],[MOTORISTA + MATRÍCULA B]],"+",tabE.Flux[[#This Row],[LINHA]])</f>
        <v>45926+CANCELADO+</v>
      </c>
      <c r="G930" s="1" t="str">
        <f>_xlfn.CONCAT(tabE.Flux[[#This Row],[DATA]],"+",tabE.Flux[[#This Row],[LINHA]])</f>
        <v>45926+</v>
      </c>
      <c r="H930" s="125">
        <v>45926</v>
      </c>
      <c r="I930" s="1" t="s">
        <v>15</v>
      </c>
      <c r="J930" s="1" t="s">
        <v>27</v>
      </c>
      <c r="K930" s="126">
        <v>0.375</v>
      </c>
      <c r="L930" s="126">
        <v>0.41666666666666669</v>
      </c>
      <c r="M930" s="1" t="s">
        <v>16</v>
      </c>
      <c r="N930" s="1" t="s">
        <v>28</v>
      </c>
      <c r="O930" s="1" t="s">
        <v>27</v>
      </c>
      <c r="P930" s="1" t="s">
        <v>27</v>
      </c>
      <c r="Q930" s="1"/>
    </row>
    <row r="931" spans="3:17" x14ac:dyDescent="0.25">
      <c r="C931" s="1" t="str">
        <f>_xlfn.CONCAT(tabE.Flux[[#This Row],[DATA]],"+",tabE.Flux[[#This Row],[MOTORISTA + MATRÍCULA A]])</f>
        <v>45926+BRUNO MATOS DA ROCHA - 6013</v>
      </c>
      <c r="D931" s="1" t="str">
        <f>_xlfn.CONCAT(tabE.Flux[[#This Row],[DATA]],"+",tabE.Flux[[#This Row],[MOTORISTA + MATRÍCULA B]])</f>
        <v>45926+FRANCISCO PESSOA DE CARVALHO - 5276</v>
      </c>
      <c r="E931" s="1" t="str">
        <f>_xlfn.CONCAT(tabE.Flux[[#This Row],[DATA]],"+",tabE.Flux[[#This Row],[MOTORISTA + MATRÍCULA A]],"+",tabE.Flux[[#This Row],[LINHA]])</f>
        <v>45926+BRUNO MATOS DA ROCHA - 6013+FORTALEZA (CE) X SINOP (MT)</v>
      </c>
      <c r="F931" s="1" t="str">
        <f>_xlfn.CONCAT(tabE.Flux[[#This Row],[DATA]],"+",tabE.Flux[[#This Row],[MOTORISTA + MATRÍCULA B]],"+",tabE.Flux[[#This Row],[LINHA]])</f>
        <v>45926+FRANCISCO PESSOA DE CARVALHO - 5276+FORTALEZA (CE) X SINOP (MT)</v>
      </c>
      <c r="G931" s="1" t="str">
        <f>_xlfn.CONCAT(tabE.Flux[[#This Row],[DATA]],"+",tabE.Flux[[#This Row],[LINHA]])</f>
        <v>45926+FORTALEZA (CE) X SINOP (MT)</v>
      </c>
      <c r="H931" s="125">
        <v>45926</v>
      </c>
      <c r="I931" s="1" t="s">
        <v>15</v>
      </c>
      <c r="J931" s="1">
        <v>19018</v>
      </c>
      <c r="K931" s="126">
        <v>0.3888888888888889</v>
      </c>
      <c r="L931" s="126">
        <v>0.37708333333333333</v>
      </c>
      <c r="M931" s="1" t="s">
        <v>16</v>
      </c>
      <c r="N931" s="1" t="s">
        <v>29</v>
      </c>
      <c r="O931" s="1" t="s">
        <v>147</v>
      </c>
      <c r="P931" s="1" t="s">
        <v>188</v>
      </c>
      <c r="Q931" s="1" t="s">
        <v>32</v>
      </c>
    </row>
    <row r="932" spans="3:17" x14ac:dyDescent="0.25">
      <c r="C932" s="1" t="str">
        <f>_xlfn.CONCAT(tabE.Flux[[#This Row],[DATA]],"+",tabE.Flux[[#This Row],[MOTORISTA + MATRÍCULA A]])</f>
        <v>45926+ANTONIO MARCIO DE SENA RIBEIRO CHAVES - 5061</v>
      </c>
      <c r="D932" s="1" t="str">
        <f>_xlfn.CONCAT(tabE.Flux[[#This Row],[DATA]],"+",tabE.Flux[[#This Row],[MOTORISTA + MATRÍCULA B]])</f>
        <v>45926+FRANCISCO RAIMUNDO VIANA DE SOUSA - 5314</v>
      </c>
      <c r="E932" s="1" t="str">
        <f>_xlfn.CONCAT(tabE.Flux[[#This Row],[DATA]],"+",tabE.Flux[[#This Row],[MOTORISTA + MATRÍCULA A]],"+",tabE.Flux[[#This Row],[LINHA]])</f>
        <v>45926+ANTONIO MARCIO DE SENA RIBEIRO CHAVES - 5061+GOIANIA (GO) X BELEM (PA)</v>
      </c>
      <c r="F932" s="1" t="str">
        <f>_xlfn.CONCAT(tabE.Flux[[#This Row],[DATA]],"+",tabE.Flux[[#This Row],[MOTORISTA + MATRÍCULA B]],"+",tabE.Flux[[#This Row],[LINHA]])</f>
        <v>45926+FRANCISCO RAIMUNDO VIANA DE SOUSA - 5314+GOIANIA (GO) X BELEM (PA)</v>
      </c>
      <c r="G932" s="1" t="str">
        <f>_xlfn.CONCAT(tabE.Flux[[#This Row],[DATA]],"+",tabE.Flux[[#This Row],[LINHA]])</f>
        <v>45926+GOIANIA (GO) X BELEM (PA)</v>
      </c>
      <c r="H932" s="125">
        <v>45926</v>
      </c>
      <c r="I932" s="1" t="s">
        <v>15</v>
      </c>
      <c r="J932" s="1">
        <v>19002</v>
      </c>
      <c r="K932" s="126">
        <v>0.38958333333333334</v>
      </c>
      <c r="L932" s="126">
        <v>0.38541666666666669</v>
      </c>
      <c r="M932" s="1" t="s">
        <v>16</v>
      </c>
      <c r="N932" s="1" t="s">
        <v>33</v>
      </c>
      <c r="O932" s="1" t="s">
        <v>235</v>
      </c>
      <c r="P932" s="1" t="s">
        <v>87</v>
      </c>
      <c r="Q932" s="1" t="s">
        <v>20</v>
      </c>
    </row>
    <row r="933" spans="3:17" x14ac:dyDescent="0.25">
      <c r="C933" s="1" t="str">
        <f>_xlfn.CONCAT(tabE.Flux[[#This Row],[DATA]],"+",tabE.Flux[[#This Row],[MOTORISTA + MATRÍCULA A]])</f>
        <v>45926+JWEBISON DE BRITO SOUZA - 2999</v>
      </c>
      <c r="D933" s="1" t="str">
        <f>_xlfn.CONCAT(tabE.Flux[[#This Row],[DATA]],"+",tabE.Flux[[#This Row],[MOTORISTA + MATRÍCULA B]])</f>
        <v>45926+DANIEL PEREIRA DA ROCHA - 5298</v>
      </c>
      <c r="E933" s="1" t="str">
        <f>_xlfn.CONCAT(tabE.Flux[[#This Row],[DATA]],"+",tabE.Flux[[#This Row],[MOTORISTA + MATRÍCULA A]],"+",tabE.Flux[[#This Row],[LINHA]])</f>
        <v>45926+JWEBISON DE BRITO SOUZA - 2999+GOIANIA (GO) X TERESINA (PI) VIA BC</v>
      </c>
      <c r="F933" s="1" t="str">
        <f>_xlfn.CONCAT(tabE.Flux[[#This Row],[DATA]],"+",tabE.Flux[[#This Row],[MOTORISTA + MATRÍCULA B]],"+",tabE.Flux[[#This Row],[LINHA]])</f>
        <v>45926+DANIEL PEREIRA DA ROCHA - 5298+GOIANIA (GO) X TERESINA (PI) VIA BC</v>
      </c>
      <c r="G933" s="1" t="str">
        <f>_xlfn.CONCAT(tabE.Flux[[#This Row],[DATA]],"+",tabE.Flux[[#This Row],[LINHA]])</f>
        <v>45926+GOIANIA (GO) X TERESINA (PI) VIA BC</v>
      </c>
      <c r="H933" s="125">
        <v>45926</v>
      </c>
      <c r="I933" s="1" t="s">
        <v>15</v>
      </c>
      <c r="J933" s="1">
        <v>25008</v>
      </c>
      <c r="K933" s="126">
        <v>0.375</v>
      </c>
      <c r="L933" s="126">
        <v>0.39930555555555558</v>
      </c>
      <c r="M933" s="1" t="s">
        <v>36</v>
      </c>
      <c r="N933" s="1" t="s">
        <v>29</v>
      </c>
      <c r="O933" s="1" t="s">
        <v>77</v>
      </c>
      <c r="P933" s="1" t="s">
        <v>184</v>
      </c>
      <c r="Q933" s="1" t="s">
        <v>39</v>
      </c>
    </row>
    <row r="934" spans="3:17" x14ac:dyDescent="0.25">
      <c r="C934" s="1" t="str">
        <f>_xlfn.CONCAT(tabE.Flux[[#This Row],[DATA]],"+",tabE.Flux[[#This Row],[MOTORISTA + MATRÍCULA A]])</f>
        <v>45926+JOAO DE JESUS GOUVEIA - 6016</v>
      </c>
      <c r="D934" s="1" t="str">
        <f>_xlfn.CONCAT(tabE.Flux[[#This Row],[DATA]],"+",tabE.Flux[[#This Row],[MOTORISTA + MATRÍCULA B]])</f>
        <v>45926+ANTONIO FRANCINALDO DE OLIVEIRA MARQUES - 5018</v>
      </c>
      <c r="E934" s="1" t="str">
        <f>_xlfn.CONCAT(tabE.Flux[[#This Row],[DATA]],"+",tabE.Flux[[#This Row],[MOTORISTA + MATRÍCULA A]],"+",tabE.Flux[[#This Row],[LINHA]])</f>
        <v>45926+JOAO DE JESUS GOUVEIA - 6016+GOIANIA (GO) X BELEM (PA)</v>
      </c>
      <c r="F934" s="1" t="str">
        <f>_xlfn.CONCAT(tabE.Flux[[#This Row],[DATA]],"+",tabE.Flux[[#This Row],[MOTORISTA + MATRÍCULA B]],"+",tabE.Flux[[#This Row],[LINHA]])</f>
        <v>45926+ANTONIO FRANCINALDO DE OLIVEIRA MARQUES - 5018+GOIANIA (GO) X BELEM (PA)</v>
      </c>
      <c r="G934" s="1" t="str">
        <f>_xlfn.CONCAT(tabE.Flux[[#This Row],[DATA]],"+",tabE.Flux[[#This Row],[LINHA]])</f>
        <v>45926+GOIANIA (GO) X BELEM (PA)</v>
      </c>
      <c r="H934" s="125">
        <v>45926</v>
      </c>
      <c r="I934" s="1" t="s">
        <v>15</v>
      </c>
      <c r="J934" s="1">
        <v>19014</v>
      </c>
      <c r="K934" s="126">
        <v>0.375</v>
      </c>
      <c r="L934" s="126">
        <v>0.41666666666666669</v>
      </c>
      <c r="M934" s="1" t="s">
        <v>33</v>
      </c>
      <c r="N934" s="1" t="s">
        <v>16</v>
      </c>
      <c r="O934" s="1" t="s">
        <v>58</v>
      </c>
      <c r="P934" s="1" t="s">
        <v>233</v>
      </c>
      <c r="Q934" s="1" t="s">
        <v>20</v>
      </c>
    </row>
    <row r="935" spans="3:17" x14ac:dyDescent="0.25">
      <c r="C935" s="1" t="str">
        <f>_xlfn.CONCAT(tabE.Flux[[#This Row],[DATA]],"+",tabE.Flux[[#This Row],[MOTORISTA + MATRÍCULA A]])</f>
        <v>45926+ALTEMAR DO NASCIMENTO LIMA - 6225</v>
      </c>
      <c r="D935" s="1" t="str">
        <f>_xlfn.CONCAT(tabE.Flux[[#This Row],[DATA]],"+",tabE.Flux[[#This Row],[MOTORISTA + MATRÍCULA B]])</f>
        <v>45926+LUIS ANTONIO FARIAS RIBEIRO - 2789</v>
      </c>
      <c r="E935" s="1" t="str">
        <f>_xlfn.CONCAT(tabE.Flux[[#This Row],[DATA]],"+",tabE.Flux[[#This Row],[MOTORISTA + MATRÍCULA A]],"+",tabE.Flux[[#This Row],[LINHA]])</f>
        <v>45926+ALTEMAR DO NASCIMENTO LIMA - 6225+GOIANIA (GO) X SAO LUIS (MA)</v>
      </c>
      <c r="F935" s="1" t="str">
        <f>_xlfn.CONCAT(tabE.Flux[[#This Row],[DATA]],"+",tabE.Flux[[#This Row],[MOTORISTA + MATRÍCULA B]],"+",tabE.Flux[[#This Row],[LINHA]])</f>
        <v>45926+LUIS ANTONIO FARIAS RIBEIRO - 2789+GOIANIA (GO) X SAO LUIS (MA)</v>
      </c>
      <c r="G935" s="1" t="str">
        <f>_xlfn.CONCAT(tabE.Flux[[#This Row],[DATA]],"+",tabE.Flux[[#This Row],[LINHA]])</f>
        <v>45926+GOIANIA (GO) X SAO LUIS (MA)</v>
      </c>
      <c r="H935" s="125">
        <v>45926</v>
      </c>
      <c r="I935" s="1" t="s">
        <v>15</v>
      </c>
      <c r="J935" s="1">
        <v>20013</v>
      </c>
      <c r="K935" s="126">
        <v>0.25</v>
      </c>
      <c r="L935" s="126">
        <v>0.29166666666666669</v>
      </c>
      <c r="M935" s="1" t="s">
        <v>42</v>
      </c>
      <c r="N935" s="1" t="s">
        <v>16</v>
      </c>
      <c r="O935" s="1" t="s">
        <v>57</v>
      </c>
      <c r="P935" s="1" t="s">
        <v>124</v>
      </c>
      <c r="Q935" s="1" t="s">
        <v>23</v>
      </c>
    </row>
    <row r="936" spans="3:17" x14ac:dyDescent="0.25">
      <c r="C936" s="1" t="str">
        <f>_xlfn.CONCAT(tabE.Flux[[#This Row],[DATA]],"+",tabE.Flux[[#This Row],[MOTORISTA + MATRÍCULA A]])</f>
        <v>45926+PAULO ENEAS FARIAS ARAUJO - 6218</v>
      </c>
      <c r="D936" s="1" t="str">
        <f>_xlfn.CONCAT(tabE.Flux[[#This Row],[DATA]],"+",tabE.Flux[[#This Row],[MOTORISTA + MATRÍCULA B]])</f>
        <v>45926+MANOEL MESSIAS SILVA DOS SANTOS - 1833</v>
      </c>
      <c r="E936" s="1" t="str">
        <f>_xlfn.CONCAT(tabE.Flux[[#This Row],[DATA]],"+",tabE.Flux[[#This Row],[MOTORISTA + MATRÍCULA A]],"+",tabE.Flux[[#This Row],[LINHA]])</f>
        <v>45926+PAULO ENEAS FARIAS ARAUJO - 6218+GOIANIA (GO) X SAO LUIS (MA)</v>
      </c>
      <c r="F936" s="1" t="str">
        <f>_xlfn.CONCAT(tabE.Flux[[#This Row],[DATA]],"+",tabE.Flux[[#This Row],[MOTORISTA + MATRÍCULA B]],"+",tabE.Flux[[#This Row],[LINHA]])</f>
        <v>45926+MANOEL MESSIAS SILVA DOS SANTOS - 1833+GOIANIA (GO) X SAO LUIS (MA)</v>
      </c>
      <c r="G936" s="1" t="str">
        <f>_xlfn.CONCAT(tabE.Flux[[#This Row],[DATA]],"+",tabE.Flux[[#This Row],[LINHA]])</f>
        <v>45926+GOIANIA (GO) X SAO LUIS (MA)</v>
      </c>
      <c r="H936" s="125">
        <v>45926</v>
      </c>
      <c r="I936" s="1" t="s">
        <v>15</v>
      </c>
      <c r="J936" s="1">
        <v>24003</v>
      </c>
      <c r="K936" s="126">
        <v>0.75</v>
      </c>
      <c r="L936" s="126">
        <v>0.79166666666666663</v>
      </c>
      <c r="M936" s="1" t="s">
        <v>42</v>
      </c>
      <c r="N936" s="1" t="s">
        <v>16</v>
      </c>
      <c r="O936" s="1" t="s">
        <v>43</v>
      </c>
      <c r="P936" s="1" t="s">
        <v>173</v>
      </c>
      <c r="Q936" s="1" t="s">
        <v>23</v>
      </c>
    </row>
    <row r="937" spans="3:17" x14ac:dyDescent="0.25">
      <c r="C937" s="1" t="str">
        <f>_xlfn.CONCAT(tabE.Flux[[#This Row],[DATA]],"+",tabE.Flux[[#This Row],[MOTORISTA + MATRÍCULA A]])</f>
        <v>45926+CANCELADO</v>
      </c>
      <c r="D937" s="1" t="str">
        <f>_xlfn.CONCAT(tabE.Flux[[#This Row],[DATA]],"+",tabE.Flux[[#This Row],[MOTORISTA + MATRÍCULA B]])</f>
        <v>45926+CANCELADO</v>
      </c>
      <c r="E937" s="1" t="str">
        <f>_xlfn.CONCAT(tabE.Flux[[#This Row],[DATA]],"+",tabE.Flux[[#This Row],[MOTORISTA + MATRÍCULA A]],"+",tabE.Flux[[#This Row],[LINHA]])</f>
        <v>45926+CANCELADO+IMPERATRIZ (MA) X SÃO LUIS (MA)</v>
      </c>
      <c r="F937" s="1" t="str">
        <f>_xlfn.CONCAT(tabE.Flux[[#This Row],[DATA]],"+",tabE.Flux[[#This Row],[MOTORISTA + MATRÍCULA B]],"+",tabE.Flux[[#This Row],[LINHA]])</f>
        <v>45926+CANCELADO+IMPERATRIZ (MA) X SÃO LUIS (MA)</v>
      </c>
      <c r="G937" s="1" t="str">
        <f>_xlfn.CONCAT(tabE.Flux[[#This Row],[DATA]],"+",tabE.Flux[[#This Row],[LINHA]])</f>
        <v>45926+IMPERATRIZ (MA) X SÃO LUIS (MA)</v>
      </c>
      <c r="H937" s="125">
        <v>45926</v>
      </c>
      <c r="I937" s="1" t="s">
        <v>15</v>
      </c>
      <c r="J937" s="1" t="s">
        <v>27</v>
      </c>
      <c r="K937" s="126">
        <v>0.77083333333333337</v>
      </c>
      <c r="L937" s="126">
        <v>0.79513888888888884</v>
      </c>
      <c r="M937" s="1" t="s">
        <v>42</v>
      </c>
      <c r="N937" s="1" t="s">
        <v>16</v>
      </c>
      <c r="O937" s="1" t="s">
        <v>27</v>
      </c>
      <c r="P937" s="1" t="s">
        <v>27</v>
      </c>
      <c r="Q937" s="1" t="s">
        <v>47</v>
      </c>
    </row>
    <row r="938" spans="3:17" x14ac:dyDescent="0.25">
      <c r="C938" s="1" t="str">
        <f>_xlfn.CONCAT(tabE.Flux[[#This Row],[DATA]],"+",tabE.Flux[[#This Row],[MOTORISTA + MATRÍCULA A]])</f>
        <v>45926+  EURIPEDES BARSANULFO DIAS ROSA- 1951</v>
      </c>
      <c r="D938" s="1" t="str">
        <f>_xlfn.CONCAT(tabE.Flux[[#This Row],[DATA]],"+",tabE.Flux[[#This Row],[MOTORISTA + MATRÍCULA B]])</f>
        <v>45926+JOAO ANIVAIR DE QUEIROZ - 5608</v>
      </c>
      <c r="E938" s="1" t="str">
        <f>_xlfn.CONCAT(tabE.Flux[[#This Row],[DATA]],"+",tabE.Flux[[#This Row],[MOTORISTA + MATRÍCULA A]],"+",tabE.Flux[[#This Row],[LINHA]])</f>
        <v>45926+  EURIPEDES BARSANULFO DIAS ROSA- 1951+GOIANIA (GO) X TERESINA (PI) VIA BC</v>
      </c>
      <c r="F938" s="1" t="str">
        <f>_xlfn.CONCAT(tabE.Flux[[#This Row],[DATA]],"+",tabE.Flux[[#This Row],[MOTORISTA + MATRÍCULA B]],"+",tabE.Flux[[#This Row],[LINHA]])</f>
        <v>45926+JOAO ANIVAIR DE QUEIROZ - 5608+GOIANIA (GO) X TERESINA (PI) VIA BC</v>
      </c>
      <c r="G938" s="1" t="str">
        <f>_xlfn.CONCAT(tabE.Flux[[#This Row],[DATA]],"+",tabE.Flux[[#This Row],[LINHA]])</f>
        <v>45926+GOIANIA (GO) X TERESINA (PI) VIA BC</v>
      </c>
      <c r="H938" s="125">
        <v>45926</v>
      </c>
      <c r="I938" s="1" t="s">
        <v>15</v>
      </c>
      <c r="J938" s="1">
        <v>24015</v>
      </c>
      <c r="K938" s="126">
        <v>0.89583333333333337</v>
      </c>
      <c r="L938" s="126">
        <v>0.91666666666666663</v>
      </c>
      <c r="M938" s="1" t="s">
        <v>36</v>
      </c>
      <c r="N938" s="1" t="s">
        <v>17</v>
      </c>
      <c r="O938" s="1" t="s">
        <v>191</v>
      </c>
      <c r="P938" s="1" t="s">
        <v>156</v>
      </c>
      <c r="Q938" s="1" t="s">
        <v>39</v>
      </c>
    </row>
    <row r="939" spans="3:17" x14ac:dyDescent="0.25">
      <c r="C939" s="1" t="str">
        <f>_xlfn.CONCAT(tabE.Flux[[#This Row],[DATA]],"+",tabE.Flux[[#This Row],[MOTORISTA + MATRÍCULA A]])</f>
        <v>45926+MERVAL DE SOUSA - 2880</v>
      </c>
      <c r="D939" s="1" t="str">
        <f>_xlfn.CONCAT(tabE.Flux[[#This Row],[DATA]],"+",tabE.Flux[[#This Row],[MOTORISTA + MATRÍCULA B]])</f>
        <v>45926+JEFFERSON CARDOSO DOS SANTOS - 5837</v>
      </c>
      <c r="E939" s="1" t="str">
        <f>_xlfn.CONCAT(tabE.Flux[[#This Row],[DATA]],"+",tabE.Flux[[#This Row],[MOTORISTA + MATRÍCULA A]],"+",tabE.Flux[[#This Row],[LINHA]])</f>
        <v>45926+MERVAL DE SOUSA - 2880+GOIANIA (GO) X BELEM (PA)</v>
      </c>
      <c r="F939" s="1" t="str">
        <f>_xlfn.CONCAT(tabE.Flux[[#This Row],[DATA]],"+",tabE.Flux[[#This Row],[MOTORISTA + MATRÍCULA B]],"+",tabE.Flux[[#This Row],[LINHA]])</f>
        <v>45926+JEFFERSON CARDOSO DOS SANTOS - 5837+GOIANIA (GO) X BELEM (PA)</v>
      </c>
      <c r="G939" s="1" t="str">
        <f>_xlfn.CONCAT(tabE.Flux[[#This Row],[DATA]],"+",tabE.Flux[[#This Row],[LINHA]])</f>
        <v>45926+GOIANIA (GO) X BELEM (PA)</v>
      </c>
      <c r="H939" s="125">
        <v>45926</v>
      </c>
      <c r="I939" s="1" t="s">
        <v>15</v>
      </c>
      <c r="J939" s="1">
        <v>24012</v>
      </c>
      <c r="K939" s="126">
        <v>0.76041666666666663</v>
      </c>
      <c r="L939" s="126">
        <v>0.77083333333333337</v>
      </c>
      <c r="M939" s="1" t="s">
        <v>33</v>
      </c>
      <c r="N939" s="1" t="s">
        <v>16</v>
      </c>
      <c r="O939" s="1" t="s">
        <v>44</v>
      </c>
      <c r="P939" s="1" t="s">
        <v>30</v>
      </c>
      <c r="Q939" s="1" t="s">
        <v>20</v>
      </c>
    </row>
    <row r="940" spans="3:17" x14ac:dyDescent="0.25">
      <c r="C940" s="1" t="str">
        <f>_xlfn.CONCAT(tabE.Flux[[#This Row],[DATA]],"+",tabE.Flux[[#This Row],[MOTORISTA + MATRÍCULA A]])</f>
        <v>45926+ANTONIO MARQUES NETO DOS SANTOS - 1738</v>
      </c>
      <c r="D940" s="1" t="str">
        <f>_xlfn.CONCAT(tabE.Flux[[#This Row],[DATA]],"+",tabE.Flux[[#This Row],[MOTORISTA + MATRÍCULA B]])</f>
        <v>45926+RAIMUNDO GUIMARAES ARAUJO - 1920</v>
      </c>
      <c r="E940" s="1" t="str">
        <f>_xlfn.CONCAT(tabE.Flux[[#This Row],[DATA]],"+",tabE.Flux[[#This Row],[MOTORISTA + MATRÍCULA A]],"+",tabE.Flux[[#This Row],[LINHA]])</f>
        <v>45926+ANTONIO MARQUES NETO DOS SANTOS - 1738+GOIANIA (GO) X BELEM (PA)</v>
      </c>
      <c r="F940" s="1" t="str">
        <f>_xlfn.CONCAT(tabE.Flux[[#This Row],[DATA]],"+",tabE.Flux[[#This Row],[MOTORISTA + MATRÍCULA B]],"+",tabE.Flux[[#This Row],[LINHA]])</f>
        <v>45926+RAIMUNDO GUIMARAES ARAUJO - 1920+GOIANIA (GO) X BELEM (PA)</v>
      </c>
      <c r="G940" s="1" t="str">
        <f>_xlfn.CONCAT(tabE.Flux[[#This Row],[DATA]],"+",tabE.Flux[[#This Row],[LINHA]])</f>
        <v>45926+GOIANIA (GO) X BELEM (PA)</v>
      </c>
      <c r="H940" s="125">
        <v>45926</v>
      </c>
      <c r="I940" s="1" t="s">
        <v>15</v>
      </c>
      <c r="J940" s="1">
        <v>24002</v>
      </c>
      <c r="K940" s="126">
        <v>0.76041666666666663</v>
      </c>
      <c r="L940" s="126">
        <v>0.82777777777777772</v>
      </c>
      <c r="M940" s="1" t="s">
        <v>16</v>
      </c>
      <c r="N940" s="1" t="s">
        <v>33</v>
      </c>
      <c r="O940" s="1" t="s">
        <v>73</v>
      </c>
      <c r="P940" s="1" t="s">
        <v>231</v>
      </c>
      <c r="Q940" s="1" t="s">
        <v>20</v>
      </c>
    </row>
    <row r="941" spans="3:17" x14ac:dyDescent="0.25">
      <c r="C941" s="1" t="str">
        <f>_xlfn.CONCAT(tabE.Flux[[#This Row],[DATA]],"+",tabE.Flux[[#This Row],[MOTORISTA + MATRÍCULA A]])</f>
        <v>45926+JOSE ALVES DA ROCHA - 5035</v>
      </c>
      <c r="D941" s="1" t="str">
        <f>_xlfn.CONCAT(tabE.Flux[[#This Row],[DATA]],"+",tabE.Flux[[#This Row],[MOTORISTA + MATRÍCULA B]])</f>
        <v>45926+RAIMUNDO COSTA SILVA - 6226</v>
      </c>
      <c r="E941" s="1" t="str">
        <f>_xlfn.CONCAT(tabE.Flux[[#This Row],[DATA]],"+",tabE.Flux[[#This Row],[MOTORISTA + MATRÍCULA A]],"+",tabE.Flux[[#This Row],[LINHA]])</f>
        <v>45926+JOSE ALVES DA ROCHA - 5035+GOIANIA (GO) X SAO LUIS (MA)</v>
      </c>
      <c r="F941" s="1" t="str">
        <f>_xlfn.CONCAT(tabE.Flux[[#This Row],[DATA]],"+",tabE.Flux[[#This Row],[MOTORISTA + MATRÍCULA B]],"+",tabE.Flux[[#This Row],[LINHA]])</f>
        <v>45926+RAIMUNDO COSTA SILVA - 6226+GOIANIA (GO) X SAO LUIS (MA)</v>
      </c>
      <c r="G941" s="1" t="str">
        <f>_xlfn.CONCAT(tabE.Flux[[#This Row],[DATA]],"+",tabE.Flux[[#This Row],[LINHA]])</f>
        <v>45926+GOIANIA (GO) X SAO LUIS (MA)</v>
      </c>
      <c r="H941" s="125">
        <v>45926</v>
      </c>
      <c r="I941" s="1" t="s">
        <v>15</v>
      </c>
      <c r="J941" s="1">
        <v>19007</v>
      </c>
      <c r="K941" s="126">
        <v>0.40763888888888888</v>
      </c>
      <c r="L941" s="126">
        <v>0.47013888888888888</v>
      </c>
      <c r="M941" s="1" t="s">
        <v>16</v>
      </c>
      <c r="N941" s="1" t="s">
        <v>42</v>
      </c>
      <c r="O941" s="1" t="s">
        <v>91</v>
      </c>
      <c r="P941" s="1" t="s">
        <v>45</v>
      </c>
      <c r="Q941" s="1" t="s">
        <v>23</v>
      </c>
    </row>
    <row r="942" spans="3:17" x14ac:dyDescent="0.25">
      <c r="C942" s="1" t="str">
        <f>_xlfn.CONCAT(tabE.Flux[[#This Row],[DATA]],"+",tabE.Flux[[#This Row],[MOTORISTA + MATRÍCULA A]])</f>
        <v>45926+NILSON CORTEZ MIRANDA - 5636</v>
      </c>
      <c r="D942" s="1" t="str">
        <f>_xlfn.CONCAT(tabE.Flux[[#This Row],[DATA]],"+",tabE.Flux[[#This Row],[MOTORISTA + MATRÍCULA B]])</f>
        <v>45926+CARLOS ADRIANO DE SOUZA DO NASCIMENTO - 6222</v>
      </c>
      <c r="E942" s="1" t="str">
        <f>_xlfn.CONCAT(tabE.Flux[[#This Row],[DATA]],"+",tabE.Flux[[#This Row],[MOTORISTA + MATRÍCULA A]],"+",tabE.Flux[[#This Row],[LINHA]])</f>
        <v>45926+NILSON CORTEZ MIRANDA - 5636+IMPERATRIZ (MA) X SÃO LUIS (MA)</v>
      </c>
      <c r="F942" s="1" t="str">
        <f>_xlfn.CONCAT(tabE.Flux[[#This Row],[DATA]],"+",tabE.Flux[[#This Row],[MOTORISTA + MATRÍCULA B]],"+",tabE.Flux[[#This Row],[LINHA]])</f>
        <v>45926+CARLOS ADRIANO DE SOUZA DO NASCIMENTO - 6222+IMPERATRIZ (MA) X SÃO LUIS (MA)</v>
      </c>
      <c r="G942" s="1" t="str">
        <f>_xlfn.CONCAT(tabE.Flux[[#This Row],[DATA]],"+",tabE.Flux[[#This Row],[LINHA]])</f>
        <v>45926+IMPERATRIZ (MA) X SÃO LUIS (MA)</v>
      </c>
      <c r="H942" s="125">
        <v>45926</v>
      </c>
      <c r="I942" s="1" t="s">
        <v>15</v>
      </c>
      <c r="J942" s="1">
        <v>18016</v>
      </c>
      <c r="K942" s="126">
        <v>0.77083333333333337</v>
      </c>
      <c r="L942" s="126">
        <v>0.8125</v>
      </c>
      <c r="M942" s="1" t="s">
        <v>16</v>
      </c>
      <c r="N942" s="1" t="s">
        <v>42</v>
      </c>
      <c r="O942" s="1" t="s">
        <v>75</v>
      </c>
      <c r="P942" s="1" t="s">
        <v>110</v>
      </c>
      <c r="Q942" s="1" t="s">
        <v>47</v>
      </c>
    </row>
    <row r="943" spans="3:17" x14ac:dyDescent="0.25">
      <c r="C943" s="1" t="str">
        <f>_xlfn.CONCAT(tabE.Flux[[#This Row],[DATA]],"+",tabE.Flux[[#This Row],[MOTORISTA + MATRÍCULA A]])</f>
        <v>45926+REGINALDO DE SOUSA OLIVEIRA - 5412</v>
      </c>
      <c r="D943" s="1" t="str">
        <f>_xlfn.CONCAT(tabE.Flux[[#This Row],[DATA]],"+",tabE.Flux[[#This Row],[MOTORISTA + MATRÍCULA B]])</f>
        <v>45926+ALTEMAR DO NASCIMENTO LIMA - 6225</v>
      </c>
      <c r="E943" s="1" t="str">
        <f>_xlfn.CONCAT(tabE.Flux[[#This Row],[DATA]],"+",tabE.Flux[[#This Row],[MOTORISTA + MATRÍCULA A]],"+",tabE.Flux[[#This Row],[LINHA]])</f>
        <v>45926+REGINALDO DE SOUSA OLIVEIRA - 5412+GOIANIA (GO) X SAO LUIS (MA)</v>
      </c>
      <c r="F943" s="1" t="str">
        <f>_xlfn.CONCAT(tabE.Flux[[#This Row],[DATA]],"+",tabE.Flux[[#This Row],[MOTORISTA + MATRÍCULA B]],"+",tabE.Flux[[#This Row],[LINHA]])</f>
        <v>45926+ALTEMAR DO NASCIMENTO LIMA - 6225+GOIANIA (GO) X SAO LUIS (MA)</v>
      </c>
      <c r="G943" s="1" t="str">
        <f>_xlfn.CONCAT(tabE.Flux[[#This Row],[DATA]],"+",tabE.Flux[[#This Row],[LINHA]])</f>
        <v>45926+GOIANIA (GO) X SAO LUIS (MA)</v>
      </c>
      <c r="H943" s="125">
        <v>45926</v>
      </c>
      <c r="I943" s="1" t="s">
        <v>15</v>
      </c>
      <c r="J943" s="1">
        <v>24006</v>
      </c>
      <c r="K943" s="126">
        <v>0.8125</v>
      </c>
      <c r="L943" s="126">
        <v>0.84375</v>
      </c>
      <c r="M943" s="1" t="s">
        <v>16</v>
      </c>
      <c r="N943" s="1" t="s">
        <v>42</v>
      </c>
      <c r="O943" s="1" t="s">
        <v>239</v>
      </c>
      <c r="P943" s="1" t="s">
        <v>57</v>
      </c>
      <c r="Q943" s="1" t="s">
        <v>23</v>
      </c>
    </row>
    <row r="944" spans="3:17" x14ac:dyDescent="0.25">
      <c r="C944" s="1" t="str">
        <f>_xlfn.CONCAT(tabE.Flux[[#This Row],[DATA]],"+",tabE.Flux[[#This Row],[MOTORISTA + MATRÍCULA A]])</f>
        <v>45926+CLAUDIOMAR ALENCAR DO NASCIMENTO - 2970</v>
      </c>
      <c r="D944" s="1" t="str">
        <f>_xlfn.CONCAT(tabE.Flux[[#This Row],[DATA]],"+",tabE.Flux[[#This Row],[MOTORISTA + MATRÍCULA B]])</f>
        <v>45926+JOAO FLAVIO DE SOUSA SILVA - 5270</v>
      </c>
      <c r="E944" s="1" t="str">
        <f>_xlfn.CONCAT(tabE.Flux[[#This Row],[DATA]],"+",tabE.Flux[[#This Row],[MOTORISTA + MATRÍCULA A]],"+",tabE.Flux[[#This Row],[LINHA]])</f>
        <v>45926+CLAUDIOMAR ALENCAR DO NASCIMENTO - 2970+GOIANIA (GO) X TERESINA (PI) VIA STI</v>
      </c>
      <c r="F944" s="1" t="str">
        <f>_xlfn.CONCAT(tabE.Flux[[#This Row],[DATA]],"+",tabE.Flux[[#This Row],[MOTORISTA + MATRÍCULA B]],"+",tabE.Flux[[#This Row],[LINHA]])</f>
        <v>45926+JOAO FLAVIO DE SOUSA SILVA - 5270+GOIANIA (GO) X TERESINA (PI) VIA STI</v>
      </c>
      <c r="G944" s="1" t="str">
        <f>_xlfn.CONCAT(tabE.Flux[[#This Row],[DATA]],"+",tabE.Flux[[#This Row],[LINHA]])</f>
        <v>45926+GOIANIA (GO) X TERESINA (PI) VIA STI</v>
      </c>
      <c r="H944" s="125">
        <v>45926</v>
      </c>
      <c r="I944" s="1" t="s">
        <v>15</v>
      </c>
      <c r="J944" s="1">
        <v>20010</v>
      </c>
      <c r="K944" s="126">
        <v>0.77083333333333337</v>
      </c>
      <c r="L944" s="126">
        <v>0.79861111111111116</v>
      </c>
      <c r="M944" s="1" t="s">
        <v>16</v>
      </c>
      <c r="N944" s="1" t="s">
        <v>29</v>
      </c>
      <c r="O944" s="1" t="s">
        <v>211</v>
      </c>
      <c r="P944" s="1" t="s">
        <v>222</v>
      </c>
      <c r="Q944" s="1" t="s">
        <v>26</v>
      </c>
    </row>
    <row r="945" spans="3:17" x14ac:dyDescent="0.25">
      <c r="C945" s="1" t="str">
        <f>_xlfn.CONCAT(tabE.Flux[[#This Row],[DATA]],"+",tabE.Flux[[#This Row],[MOTORISTA + MATRÍCULA A]])</f>
        <v>45926+  JUSCELINO PIRES GONCALVES- 1343</v>
      </c>
      <c r="D945" s="1" t="str">
        <f>_xlfn.CONCAT(tabE.Flux[[#This Row],[DATA]],"+",tabE.Flux[[#This Row],[MOTORISTA + MATRÍCULA B]])</f>
        <v>45926+OLISMAR BATISTA DE DEUS - 5293</v>
      </c>
      <c r="E945" s="1" t="str">
        <f>_xlfn.CONCAT(tabE.Flux[[#This Row],[DATA]],"+",tabE.Flux[[#This Row],[MOTORISTA + MATRÍCULA A]],"+",tabE.Flux[[#This Row],[LINHA]])</f>
        <v>45926+  JUSCELINO PIRES GONCALVES- 1343+GOIANIA (GO) X SAO LUIS (MA)</v>
      </c>
      <c r="F945" s="1" t="str">
        <f>_xlfn.CONCAT(tabE.Flux[[#This Row],[DATA]],"+",tabE.Flux[[#This Row],[MOTORISTA + MATRÍCULA B]],"+",tabE.Flux[[#This Row],[LINHA]])</f>
        <v>45926+OLISMAR BATISTA DE DEUS - 5293+GOIANIA (GO) X SAO LUIS (MA)</v>
      </c>
      <c r="G945" s="1" t="str">
        <f>_xlfn.CONCAT(tabE.Flux[[#This Row],[DATA]],"+",tabE.Flux[[#This Row],[LINHA]])</f>
        <v>45926+GOIANIA (GO) X SAO LUIS (MA)</v>
      </c>
      <c r="H945" s="125">
        <v>45926</v>
      </c>
      <c r="I945" s="1" t="s">
        <v>15</v>
      </c>
      <c r="J945" s="1">
        <v>20013</v>
      </c>
      <c r="K945" s="126">
        <v>0.8125</v>
      </c>
      <c r="L945" s="126">
        <v>0.84166666666666667</v>
      </c>
      <c r="M945" s="1" t="s">
        <v>16</v>
      </c>
      <c r="N945" s="1" t="s">
        <v>17</v>
      </c>
      <c r="O945" s="1" t="s">
        <v>259</v>
      </c>
      <c r="P945" s="1" t="s">
        <v>139</v>
      </c>
      <c r="Q945" s="1" t="s">
        <v>23</v>
      </c>
    </row>
    <row r="946" spans="3:17" x14ac:dyDescent="0.25">
      <c r="C946" s="1" t="str">
        <f>_xlfn.CONCAT(tabE.Flux[[#This Row],[DATA]],"+",tabE.Flux[[#This Row],[MOTORISTA + MATRÍCULA A]])</f>
        <v>45926+RAFAEL JOSE TOME DE LIMA - 5537</v>
      </c>
      <c r="D946" s="1" t="str">
        <f>_xlfn.CONCAT(tabE.Flux[[#This Row],[DATA]],"+",tabE.Flux[[#This Row],[MOTORISTA + MATRÍCULA B]])</f>
        <v>45926+JOAO DA SILVA MORAIS - 2978</v>
      </c>
      <c r="E946" s="1" t="str">
        <f>_xlfn.CONCAT(tabE.Flux[[#This Row],[DATA]],"+",tabE.Flux[[#This Row],[MOTORISTA + MATRÍCULA A]],"+",tabE.Flux[[#This Row],[LINHA]])</f>
        <v>45926+RAFAEL JOSE TOME DE LIMA - 5537+FORTALEZA (CE) X SINOP (MT)</v>
      </c>
      <c r="F946" s="1" t="str">
        <f>_xlfn.CONCAT(tabE.Flux[[#This Row],[DATA]],"+",tabE.Flux[[#This Row],[MOTORISTA + MATRÍCULA B]],"+",tabE.Flux[[#This Row],[LINHA]])</f>
        <v>45926+JOAO DA SILVA MORAIS - 2978+FORTALEZA (CE) X SINOP (MT)</v>
      </c>
      <c r="G946" s="1" t="str">
        <f>_xlfn.CONCAT(tabE.Flux[[#This Row],[DATA]],"+",tabE.Flux[[#This Row],[LINHA]])</f>
        <v>45926+FORTALEZA (CE) X SINOP (MT)</v>
      </c>
      <c r="H946" s="125">
        <v>45926</v>
      </c>
      <c r="I946" s="1" t="s">
        <v>15</v>
      </c>
      <c r="J946" s="1">
        <v>19024</v>
      </c>
      <c r="K946" s="126">
        <v>0.8125</v>
      </c>
      <c r="L946" s="126">
        <v>0.85416666666666663</v>
      </c>
      <c r="M946" s="1" t="s">
        <v>16</v>
      </c>
      <c r="N946" s="1" t="s">
        <v>17</v>
      </c>
      <c r="O946" s="1" t="s">
        <v>181</v>
      </c>
      <c r="P946" s="1" t="s">
        <v>182</v>
      </c>
      <c r="Q946" s="1" t="s">
        <v>32</v>
      </c>
    </row>
    <row r="947" spans="3:17" x14ac:dyDescent="0.25">
      <c r="C947" s="1" t="str">
        <f>_xlfn.CONCAT(tabE.Flux[[#This Row],[DATA]],"+",tabE.Flux[[#This Row],[MOTORISTA + MATRÍCULA A]])</f>
        <v>45926+VALDIR NUNES DA SILVA - 2989</v>
      </c>
      <c r="D947" s="1" t="str">
        <f>_xlfn.CONCAT(tabE.Flux[[#This Row],[DATA]],"+",tabE.Flux[[#This Row],[MOTORISTA + MATRÍCULA B]])</f>
        <v>45926+AGNALDO ALVES DE CARVALHO - 5623</v>
      </c>
      <c r="E947" s="1" t="str">
        <f>_xlfn.CONCAT(tabE.Flux[[#This Row],[DATA]],"+",tabE.Flux[[#This Row],[MOTORISTA + MATRÍCULA A]],"+",tabE.Flux[[#This Row],[LINHA]])</f>
        <v>45926+VALDIR NUNES DA SILVA - 2989+GOIANIA (GO) X BELEM (PA)</v>
      </c>
      <c r="F947" s="1" t="str">
        <f>_xlfn.CONCAT(tabE.Flux[[#This Row],[DATA]],"+",tabE.Flux[[#This Row],[MOTORISTA + MATRÍCULA B]],"+",tabE.Flux[[#This Row],[LINHA]])</f>
        <v>45926+AGNALDO ALVES DE CARVALHO - 5623+GOIANIA (GO) X BELEM (PA)</v>
      </c>
      <c r="G947" s="1" t="str">
        <f>_xlfn.CONCAT(tabE.Flux[[#This Row],[DATA]],"+",tabE.Flux[[#This Row],[LINHA]])</f>
        <v>45926+GOIANIA (GO) X BELEM (PA)</v>
      </c>
      <c r="H947" s="125">
        <v>45926</v>
      </c>
      <c r="I947" s="1" t="s">
        <v>15</v>
      </c>
      <c r="J947" s="1">
        <v>19014</v>
      </c>
      <c r="K947" s="126">
        <v>0.84722222222222221</v>
      </c>
      <c r="L947" s="126">
        <v>0.87847222222222221</v>
      </c>
      <c r="M947" s="1" t="s">
        <v>16</v>
      </c>
      <c r="N947" s="1" t="s">
        <v>17</v>
      </c>
      <c r="O947" s="1" t="s">
        <v>134</v>
      </c>
      <c r="P947" s="1" t="s">
        <v>114</v>
      </c>
      <c r="Q947" s="1" t="s">
        <v>20</v>
      </c>
    </row>
    <row r="948" spans="3:17" x14ac:dyDescent="0.25">
      <c r="C948" s="1" t="str">
        <f>_xlfn.CONCAT(tabE.Flux[[#This Row],[DATA]],"+",tabE.Flux[[#This Row],[MOTORISTA + MATRÍCULA A]])</f>
        <v>+</v>
      </c>
      <c r="D948" s="1" t="str">
        <f>_xlfn.CONCAT(tabE.Flux[[#This Row],[DATA]],"+",tabE.Flux[[#This Row],[MOTORISTA + MATRÍCULA B]])</f>
        <v>+</v>
      </c>
      <c r="E948" s="1" t="str">
        <f>_xlfn.CONCAT(tabE.Flux[[#This Row],[DATA]],"+",tabE.Flux[[#This Row],[MOTORISTA + MATRÍCULA A]],"+",tabE.Flux[[#This Row],[LINHA]])</f>
        <v>++</v>
      </c>
      <c r="F948" s="1" t="str">
        <f>_xlfn.CONCAT(tabE.Flux[[#This Row],[DATA]],"+",tabE.Flux[[#This Row],[MOTORISTA + MATRÍCULA B]],"+",tabE.Flux[[#This Row],[LINHA]])</f>
        <v>++</v>
      </c>
      <c r="G948" s="1" t="str">
        <f>_xlfn.CONCAT(tabE.Flux[[#This Row],[DATA]],"+",tabE.Flux[[#This Row],[LINHA]])</f>
        <v>+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3:17" x14ac:dyDescent="0.25">
      <c r="C949" s="1" t="str">
        <f>_xlfn.CONCAT(tabE.Flux[[#This Row],[DATA]],"+",tabE.Flux[[#This Row],[MOTORISTA + MATRÍCULA A]])</f>
        <v>45927+ADAILTON DA SILVA RODRIGUES MENDONCA - 2662</v>
      </c>
      <c r="D949" s="1" t="str">
        <f>_xlfn.CONCAT(tabE.Flux[[#This Row],[DATA]],"+",tabE.Flux[[#This Row],[MOTORISTA + MATRÍCULA B]])</f>
        <v>45927+ENIO GOMES DE SOUZA - 5825</v>
      </c>
      <c r="E949" s="1" t="str">
        <f>_xlfn.CONCAT(tabE.Flux[[#This Row],[DATA]],"+",tabE.Flux[[#This Row],[MOTORISTA + MATRÍCULA A]],"+",tabE.Flux[[#This Row],[LINHA]])</f>
        <v>45927+ADAILTON DA SILVA RODRIGUES MENDONCA - 2662+GOIANIA (GO) X BELEM (PA)</v>
      </c>
      <c r="F949" s="1" t="str">
        <f>_xlfn.CONCAT(tabE.Flux[[#This Row],[DATA]],"+",tabE.Flux[[#This Row],[MOTORISTA + MATRÍCULA B]],"+",tabE.Flux[[#This Row],[LINHA]])</f>
        <v>45927+ENIO GOMES DE SOUZA - 5825+GOIANIA (GO) X BELEM (PA)</v>
      </c>
      <c r="G949" s="1" t="str">
        <f>_xlfn.CONCAT(tabE.Flux[[#This Row],[DATA]],"+",tabE.Flux[[#This Row],[LINHA]])</f>
        <v>45927+GOIANIA (GO) X BELEM (PA)</v>
      </c>
      <c r="H949" s="125">
        <v>45927</v>
      </c>
      <c r="I949" s="1" t="s">
        <v>15</v>
      </c>
      <c r="J949" s="1">
        <v>24012</v>
      </c>
      <c r="K949" s="126">
        <v>0.25486111111111109</v>
      </c>
      <c r="L949" s="126">
        <v>0.3</v>
      </c>
      <c r="M949" s="1" t="s">
        <v>16</v>
      </c>
      <c r="N949" s="1" t="s">
        <v>17</v>
      </c>
      <c r="O949" s="1" t="s">
        <v>92</v>
      </c>
      <c r="P949" s="1" t="s">
        <v>93</v>
      </c>
      <c r="Q949" s="1" t="s">
        <v>20</v>
      </c>
    </row>
    <row r="950" spans="3:17" x14ac:dyDescent="0.25">
      <c r="C950" s="1" t="str">
        <f>_xlfn.CONCAT(tabE.Flux[[#This Row],[DATA]],"+",tabE.Flux[[#This Row],[MOTORISTA + MATRÍCULA A]])</f>
        <v>45927+VALDEY OLIVEIRA ARAUJO - 2790</v>
      </c>
      <c r="D950" s="1" t="str">
        <f>_xlfn.CONCAT(tabE.Flux[[#This Row],[DATA]],"+",tabE.Flux[[#This Row],[MOTORISTA + MATRÍCULA B]])</f>
        <v>45927+JARDEL DE SOUSA OLIVEIRA - 5992</v>
      </c>
      <c r="E950" s="1" t="str">
        <f>_xlfn.CONCAT(tabE.Flux[[#This Row],[DATA]],"+",tabE.Flux[[#This Row],[MOTORISTA + MATRÍCULA A]],"+",tabE.Flux[[#This Row],[LINHA]])</f>
        <v>45927+VALDEY OLIVEIRA ARAUJO - 2790+GOIANIA (GO) X SAO LUIS (MA)</v>
      </c>
      <c r="F950" s="1" t="str">
        <f>_xlfn.CONCAT(tabE.Flux[[#This Row],[DATA]],"+",tabE.Flux[[#This Row],[MOTORISTA + MATRÍCULA B]],"+",tabE.Flux[[#This Row],[LINHA]])</f>
        <v>45927+JARDEL DE SOUSA OLIVEIRA - 5992+GOIANIA (GO) X SAO LUIS (MA)</v>
      </c>
      <c r="G950" s="1" t="str">
        <f>_xlfn.CONCAT(tabE.Flux[[#This Row],[DATA]],"+",tabE.Flux[[#This Row],[LINHA]])</f>
        <v>45927+GOIANIA (GO) X SAO LUIS (MA)</v>
      </c>
      <c r="H950" s="125">
        <v>45927</v>
      </c>
      <c r="I950" s="1" t="s">
        <v>15</v>
      </c>
      <c r="J950" s="1">
        <v>24003</v>
      </c>
      <c r="K950" s="126">
        <v>0.32291666666666669</v>
      </c>
      <c r="L950" s="126">
        <v>0.33333333333333331</v>
      </c>
      <c r="M950" s="1" t="s">
        <v>16</v>
      </c>
      <c r="N950" s="1" t="s">
        <v>17</v>
      </c>
      <c r="O950" s="1" t="s">
        <v>34</v>
      </c>
      <c r="P950" s="1" t="s">
        <v>150</v>
      </c>
      <c r="Q950" s="1" t="s">
        <v>23</v>
      </c>
    </row>
    <row r="951" spans="3:17" x14ac:dyDescent="0.25">
      <c r="C951" s="1" t="str">
        <f>_xlfn.CONCAT(tabE.Flux[[#This Row],[DATA]],"+",tabE.Flux[[#This Row],[MOTORISTA + MATRÍCULA A]])</f>
        <v>45927+RAIMUNDO FERNANDES RIBEIRO - 907</v>
      </c>
      <c r="D951" s="1" t="str">
        <f>_xlfn.CONCAT(tabE.Flux[[#This Row],[DATA]],"+",tabE.Flux[[#This Row],[MOTORISTA + MATRÍCULA B]])</f>
        <v>45927+ELIEZIO JOSE DOS SANTOS - 2645</v>
      </c>
      <c r="E951" s="1" t="str">
        <f>_xlfn.CONCAT(tabE.Flux[[#This Row],[DATA]],"+",tabE.Flux[[#This Row],[MOTORISTA + MATRÍCULA A]],"+",tabE.Flux[[#This Row],[LINHA]])</f>
        <v>45927+RAIMUNDO FERNANDES RIBEIRO - 907+GOIANIA (GO) X TERESINA (PI) VIA STI</v>
      </c>
      <c r="F951" s="1" t="str">
        <f>_xlfn.CONCAT(tabE.Flux[[#This Row],[DATA]],"+",tabE.Flux[[#This Row],[MOTORISTA + MATRÍCULA B]],"+",tabE.Flux[[#This Row],[LINHA]])</f>
        <v>45927+ELIEZIO JOSE DOS SANTOS - 2645+GOIANIA (GO) X TERESINA (PI) VIA STI</v>
      </c>
      <c r="G951" s="1" t="str">
        <f>_xlfn.CONCAT(tabE.Flux[[#This Row],[DATA]],"+",tabE.Flux[[#This Row],[LINHA]])</f>
        <v>45927+GOIANIA (GO) X TERESINA (PI) VIA STI</v>
      </c>
      <c r="H951" s="125">
        <v>45927</v>
      </c>
      <c r="I951" s="1" t="s">
        <v>15</v>
      </c>
      <c r="J951" s="1">
        <v>17600</v>
      </c>
      <c r="K951" s="126">
        <v>0.3888888888888889</v>
      </c>
      <c r="L951" s="126">
        <v>0.39583333333333331</v>
      </c>
      <c r="M951" s="1" t="s">
        <v>16</v>
      </c>
      <c r="N951" s="1" t="s">
        <v>17</v>
      </c>
      <c r="O951" s="1" t="s">
        <v>143</v>
      </c>
      <c r="P951" s="1" t="s">
        <v>53</v>
      </c>
      <c r="Q951" s="1" t="s">
        <v>26</v>
      </c>
    </row>
    <row r="952" spans="3:17" x14ac:dyDescent="0.25">
      <c r="C952" s="1" t="str">
        <f>_xlfn.CONCAT(tabE.Flux[[#This Row],[DATA]],"+",tabE.Flux[[#This Row],[MOTORISTA + MATRÍCULA A]])</f>
        <v>45927+CANCELADO</v>
      </c>
      <c r="D952" s="1" t="str">
        <f>_xlfn.CONCAT(tabE.Flux[[#This Row],[DATA]],"+",tabE.Flux[[#This Row],[MOTORISTA + MATRÍCULA B]])</f>
        <v>45927+CANCELADO</v>
      </c>
      <c r="E952" s="1" t="str">
        <f>_xlfn.CONCAT(tabE.Flux[[#This Row],[DATA]],"+",tabE.Flux[[#This Row],[MOTORISTA + MATRÍCULA A]],"+",tabE.Flux[[#This Row],[LINHA]])</f>
        <v>45927+CANCELADO+</v>
      </c>
      <c r="F952" s="1" t="str">
        <f>_xlfn.CONCAT(tabE.Flux[[#This Row],[DATA]],"+",tabE.Flux[[#This Row],[MOTORISTA + MATRÍCULA B]],"+",tabE.Flux[[#This Row],[LINHA]])</f>
        <v>45927+CANCELADO+</v>
      </c>
      <c r="G952" s="1" t="str">
        <f>_xlfn.CONCAT(tabE.Flux[[#This Row],[DATA]],"+",tabE.Flux[[#This Row],[LINHA]])</f>
        <v>45927+</v>
      </c>
      <c r="H952" s="125">
        <v>45927</v>
      </c>
      <c r="I952" s="1" t="s">
        <v>15</v>
      </c>
      <c r="J952" s="1" t="s">
        <v>27</v>
      </c>
      <c r="K952" s="126">
        <v>0.375</v>
      </c>
      <c r="L952" s="126">
        <v>0.41666666666666669</v>
      </c>
      <c r="M952" s="1" t="s">
        <v>16</v>
      </c>
      <c r="N952" s="1" t="s">
        <v>28</v>
      </c>
      <c r="O952" s="1" t="s">
        <v>27</v>
      </c>
      <c r="P952" s="1" t="s">
        <v>27</v>
      </c>
      <c r="Q952" s="1"/>
    </row>
    <row r="953" spans="3:17" x14ac:dyDescent="0.25">
      <c r="C953" s="1" t="str">
        <f>_xlfn.CONCAT(tabE.Flux[[#This Row],[DATA]],"+",tabE.Flux[[#This Row],[MOTORISTA + MATRÍCULA A]])</f>
        <v>45927+RICHARD SOUSA DA SILVA - 1271</v>
      </c>
      <c r="D953" s="1" t="str">
        <f>_xlfn.CONCAT(tabE.Flux[[#This Row],[DATA]],"+",tabE.Flux[[#This Row],[MOTORISTA + MATRÍCULA B]])</f>
        <v>45927+MARCOS AUGUSTO SILVA ROCHA - 5268</v>
      </c>
      <c r="E953" s="1" t="str">
        <f>_xlfn.CONCAT(tabE.Flux[[#This Row],[DATA]],"+",tabE.Flux[[#This Row],[MOTORISTA + MATRÍCULA A]],"+",tabE.Flux[[#This Row],[LINHA]])</f>
        <v>45927+RICHARD SOUSA DA SILVA - 1271+FORTALEZA (CE) X SINOP (MT)</v>
      </c>
      <c r="F953" s="1" t="str">
        <f>_xlfn.CONCAT(tabE.Flux[[#This Row],[DATA]],"+",tabE.Flux[[#This Row],[MOTORISTA + MATRÍCULA B]],"+",tabE.Flux[[#This Row],[LINHA]])</f>
        <v>45927+MARCOS AUGUSTO SILVA ROCHA - 5268+FORTALEZA (CE) X SINOP (MT)</v>
      </c>
      <c r="G953" s="1" t="str">
        <f>_xlfn.CONCAT(tabE.Flux[[#This Row],[DATA]],"+",tabE.Flux[[#This Row],[LINHA]])</f>
        <v>45927+FORTALEZA (CE) X SINOP (MT)</v>
      </c>
      <c r="H953" s="125">
        <v>45927</v>
      </c>
      <c r="I953" s="1" t="s">
        <v>15</v>
      </c>
      <c r="J953" s="1">
        <v>19012</v>
      </c>
      <c r="K953" s="126">
        <v>0.3888888888888889</v>
      </c>
      <c r="L953" s="126">
        <v>0.37708333333333333</v>
      </c>
      <c r="M953" s="1" t="s">
        <v>16</v>
      </c>
      <c r="N953" s="1" t="s">
        <v>29</v>
      </c>
      <c r="O953" s="1" t="s">
        <v>56</v>
      </c>
      <c r="P953" s="1" t="s">
        <v>221</v>
      </c>
      <c r="Q953" s="1" t="s">
        <v>32</v>
      </c>
    </row>
    <row r="954" spans="3:17" x14ac:dyDescent="0.25">
      <c r="C954" s="1" t="str">
        <f>_xlfn.CONCAT(tabE.Flux[[#This Row],[DATA]],"+",tabE.Flux[[#This Row],[MOTORISTA + MATRÍCULA A]])</f>
        <v>45927+GILDEVAN DE ALMEIDA AGOSTINHO - 1924</v>
      </c>
      <c r="D954" s="1" t="str">
        <f>_xlfn.CONCAT(tabE.Flux[[#This Row],[DATA]],"+",tabE.Flux[[#This Row],[MOTORISTA + MATRÍCULA B]])</f>
        <v>45927+RONALDO ADRIANO COSTA SANTOS - 5637</v>
      </c>
      <c r="E954" s="1" t="str">
        <f>_xlfn.CONCAT(tabE.Flux[[#This Row],[DATA]],"+",tabE.Flux[[#This Row],[MOTORISTA + MATRÍCULA A]],"+",tabE.Flux[[#This Row],[LINHA]])</f>
        <v>45927+GILDEVAN DE ALMEIDA AGOSTINHO - 1924+GOIANIA (GO) X BELEM (PA)</v>
      </c>
      <c r="F954" s="1" t="str">
        <f>_xlfn.CONCAT(tabE.Flux[[#This Row],[DATA]],"+",tabE.Flux[[#This Row],[MOTORISTA + MATRÍCULA B]],"+",tabE.Flux[[#This Row],[LINHA]])</f>
        <v>45927+RONALDO ADRIANO COSTA SANTOS - 5637+GOIANIA (GO) X BELEM (PA)</v>
      </c>
      <c r="G954" s="1" t="str">
        <f>_xlfn.CONCAT(tabE.Flux[[#This Row],[DATA]],"+",tabE.Flux[[#This Row],[LINHA]])</f>
        <v>45927+GOIANIA (GO) X BELEM (PA)</v>
      </c>
      <c r="H954" s="125">
        <v>45927</v>
      </c>
      <c r="I954" s="1" t="s">
        <v>15</v>
      </c>
      <c r="J954" s="1">
        <v>19013</v>
      </c>
      <c r="K954" s="126">
        <v>0.38958333333333334</v>
      </c>
      <c r="L954" s="126">
        <v>0.38541666666666669</v>
      </c>
      <c r="M954" s="1" t="s">
        <v>16</v>
      </c>
      <c r="N954" s="1" t="s">
        <v>33</v>
      </c>
      <c r="O954" s="1" t="s">
        <v>236</v>
      </c>
      <c r="P954" s="1" t="s">
        <v>41</v>
      </c>
      <c r="Q954" s="1" t="s">
        <v>20</v>
      </c>
    </row>
    <row r="955" spans="3:17" x14ac:dyDescent="0.25">
      <c r="C955" s="1" t="str">
        <f>_xlfn.CONCAT(tabE.Flux[[#This Row],[DATA]],"+",tabE.Flux[[#This Row],[MOTORISTA + MATRÍCULA A]])</f>
        <v>45927+JOSE HAILTON PEREIRA DOS SANTOS - 6018</v>
      </c>
      <c r="D955" s="1" t="str">
        <f>_xlfn.CONCAT(tabE.Flux[[#This Row],[DATA]],"+",tabE.Flux[[#This Row],[MOTORISTA + MATRÍCULA B]])</f>
        <v>45927+RAIMUNDO NONATO MAGALHAES DO NASCIMENTO - 5662</v>
      </c>
      <c r="E955" s="1" t="str">
        <f>_xlfn.CONCAT(tabE.Flux[[#This Row],[DATA]],"+",tabE.Flux[[#This Row],[MOTORISTA + MATRÍCULA A]],"+",tabE.Flux[[#This Row],[LINHA]])</f>
        <v>45927+JOSE HAILTON PEREIRA DOS SANTOS - 6018+GOIANIA (GO) X TERESINA (PI) VIA BC</v>
      </c>
      <c r="F955" s="1" t="str">
        <f>_xlfn.CONCAT(tabE.Flux[[#This Row],[DATA]],"+",tabE.Flux[[#This Row],[MOTORISTA + MATRÍCULA B]],"+",tabE.Flux[[#This Row],[LINHA]])</f>
        <v>45927+RAIMUNDO NONATO MAGALHAES DO NASCIMENTO - 5662+GOIANIA (GO) X TERESINA (PI) VIA BC</v>
      </c>
      <c r="G955" s="1" t="str">
        <f>_xlfn.CONCAT(tabE.Flux[[#This Row],[DATA]],"+",tabE.Flux[[#This Row],[LINHA]])</f>
        <v>45927+GOIANIA (GO) X TERESINA (PI) VIA BC</v>
      </c>
      <c r="H955" s="125">
        <v>45927</v>
      </c>
      <c r="I955" s="1" t="s">
        <v>15</v>
      </c>
      <c r="J955" s="1">
        <v>25007</v>
      </c>
      <c r="K955" s="126">
        <v>0.375</v>
      </c>
      <c r="L955" s="126">
        <v>0.39930555555555558</v>
      </c>
      <c r="M955" s="1" t="s">
        <v>36</v>
      </c>
      <c r="N955" s="1" t="s">
        <v>29</v>
      </c>
      <c r="O955" s="1" t="s">
        <v>141</v>
      </c>
      <c r="P955" s="1" t="s">
        <v>101</v>
      </c>
      <c r="Q955" s="1" t="s">
        <v>39</v>
      </c>
    </row>
    <row r="956" spans="3:17" x14ac:dyDescent="0.25">
      <c r="C956" s="1" t="str">
        <f>_xlfn.CONCAT(tabE.Flux[[#This Row],[DATA]],"+",tabE.Flux[[#This Row],[MOTORISTA + MATRÍCULA A]])</f>
        <v>45927+MARCOS ROBERTO DE SOUSA - 5236</v>
      </c>
      <c r="D956" s="1" t="str">
        <f>_xlfn.CONCAT(tabE.Flux[[#This Row],[DATA]],"+",tabE.Flux[[#This Row],[MOTORISTA + MATRÍCULA B]])</f>
        <v>45927+ANTONIO JOSE PEREIRA SOARES - 1774</v>
      </c>
      <c r="E956" s="1" t="str">
        <f>_xlfn.CONCAT(tabE.Flux[[#This Row],[DATA]],"+",tabE.Flux[[#This Row],[MOTORISTA + MATRÍCULA A]],"+",tabE.Flux[[#This Row],[LINHA]])</f>
        <v>45927+MARCOS ROBERTO DE SOUSA - 5236+GOIANIA (GO) X BELEM (PA)</v>
      </c>
      <c r="F956" s="1" t="str">
        <f>_xlfn.CONCAT(tabE.Flux[[#This Row],[DATA]],"+",tabE.Flux[[#This Row],[MOTORISTA + MATRÍCULA B]],"+",tabE.Flux[[#This Row],[LINHA]])</f>
        <v>45927+ANTONIO JOSE PEREIRA SOARES - 1774+GOIANIA (GO) X BELEM (PA)</v>
      </c>
      <c r="G956" s="1" t="str">
        <f>_xlfn.CONCAT(tabE.Flux[[#This Row],[DATA]],"+",tabE.Flux[[#This Row],[LINHA]])</f>
        <v>45927+GOIANIA (GO) X BELEM (PA)</v>
      </c>
      <c r="H956" s="125">
        <v>45927</v>
      </c>
      <c r="I956" s="1" t="s">
        <v>15</v>
      </c>
      <c r="J956" s="1">
        <v>19021</v>
      </c>
      <c r="K956" s="126">
        <v>0.375</v>
      </c>
      <c r="L956" s="126">
        <v>0.41666666666666669</v>
      </c>
      <c r="M956" s="1" t="s">
        <v>33</v>
      </c>
      <c r="N956" s="1" t="s">
        <v>16</v>
      </c>
      <c r="O956" s="1" t="s">
        <v>234</v>
      </c>
      <c r="P956" s="1" t="s">
        <v>52</v>
      </c>
      <c r="Q956" s="1" t="s">
        <v>20</v>
      </c>
    </row>
    <row r="957" spans="3:17" x14ac:dyDescent="0.25">
      <c r="C957" s="1" t="str">
        <f>_xlfn.CONCAT(tabE.Flux[[#This Row],[DATA]],"+",tabE.Flux[[#This Row],[MOTORISTA + MATRÍCULA A]])</f>
        <v>45927+KAYLSON KLEYTON DA SILVA COSTA - 6224</v>
      </c>
      <c r="D957" s="1" t="str">
        <f>_xlfn.CONCAT(tabE.Flux[[#This Row],[DATA]],"+",tabE.Flux[[#This Row],[MOTORISTA + MATRÍCULA B]])</f>
        <v>45927+JOSE ALVES DA ROCHA - 5035</v>
      </c>
      <c r="E957" s="1" t="str">
        <f>_xlfn.CONCAT(tabE.Flux[[#This Row],[DATA]],"+",tabE.Flux[[#This Row],[MOTORISTA + MATRÍCULA A]],"+",tabE.Flux[[#This Row],[LINHA]])</f>
        <v>45927+KAYLSON KLEYTON DA SILVA COSTA - 6224+GOIANIA (GO) X SAO LUIS (MA)</v>
      </c>
      <c r="F957" s="1" t="str">
        <f>_xlfn.CONCAT(tabE.Flux[[#This Row],[DATA]],"+",tabE.Flux[[#This Row],[MOTORISTA + MATRÍCULA B]],"+",tabE.Flux[[#This Row],[LINHA]])</f>
        <v>45927+JOSE ALVES DA ROCHA - 5035+GOIANIA (GO) X SAO LUIS (MA)</v>
      </c>
      <c r="G957" s="1" t="str">
        <f>_xlfn.CONCAT(tabE.Flux[[#This Row],[DATA]],"+",tabE.Flux[[#This Row],[LINHA]])</f>
        <v>45927+GOIANIA (GO) X SAO LUIS (MA)</v>
      </c>
      <c r="H957" s="125">
        <v>45927</v>
      </c>
      <c r="I957" s="1" t="s">
        <v>15</v>
      </c>
      <c r="J957" s="1">
        <v>19015</v>
      </c>
      <c r="K957" s="126">
        <v>0.25</v>
      </c>
      <c r="L957" s="126">
        <v>0.29166666666666669</v>
      </c>
      <c r="M957" s="1" t="s">
        <v>42</v>
      </c>
      <c r="N957" s="1" t="s">
        <v>16</v>
      </c>
      <c r="O957" s="1" t="s">
        <v>80</v>
      </c>
      <c r="P957" s="1" t="s">
        <v>91</v>
      </c>
      <c r="Q957" s="1" t="s">
        <v>23</v>
      </c>
    </row>
    <row r="958" spans="3:17" x14ac:dyDescent="0.25">
      <c r="C958" s="1" t="str">
        <f>_xlfn.CONCAT(tabE.Flux[[#This Row],[DATA]],"+",tabE.Flux[[#This Row],[MOTORISTA + MATRÍCULA A]])</f>
        <v>45927+EDIVALDO DE ARAUJO - 6217</v>
      </c>
      <c r="D958" s="1" t="str">
        <f>_xlfn.CONCAT(tabE.Flux[[#This Row],[DATA]],"+",tabE.Flux[[#This Row],[MOTORISTA + MATRÍCULA B]])</f>
        <v>45927+REGINALDO DE SOUSA OLIVEIRA - 5412</v>
      </c>
      <c r="E958" s="1" t="str">
        <f>_xlfn.CONCAT(tabE.Flux[[#This Row],[DATA]],"+",tabE.Flux[[#This Row],[MOTORISTA + MATRÍCULA A]],"+",tabE.Flux[[#This Row],[LINHA]])</f>
        <v>45927+EDIVALDO DE ARAUJO - 6217+GOIANIA (GO) X SAO LUIS (MA)</v>
      </c>
      <c r="F958" s="1" t="str">
        <f>_xlfn.CONCAT(tabE.Flux[[#This Row],[DATA]],"+",tabE.Flux[[#This Row],[MOTORISTA + MATRÍCULA B]],"+",tabE.Flux[[#This Row],[LINHA]])</f>
        <v>45927+REGINALDO DE SOUSA OLIVEIRA - 5412+GOIANIA (GO) X SAO LUIS (MA)</v>
      </c>
      <c r="G958" s="1" t="str">
        <f>_xlfn.CONCAT(tabE.Flux[[#This Row],[DATA]],"+",tabE.Flux[[#This Row],[LINHA]])</f>
        <v>45927+GOIANIA (GO) X SAO LUIS (MA)</v>
      </c>
      <c r="H958" s="125">
        <v>45927</v>
      </c>
      <c r="I958" s="1" t="s">
        <v>15</v>
      </c>
      <c r="J958" s="1">
        <v>24006</v>
      </c>
      <c r="K958" s="126">
        <v>0.75</v>
      </c>
      <c r="L958" s="126">
        <v>0.79166666666666663</v>
      </c>
      <c r="M958" s="1" t="s">
        <v>42</v>
      </c>
      <c r="N958" s="1" t="s">
        <v>16</v>
      </c>
      <c r="O958" s="1" t="s">
        <v>55</v>
      </c>
      <c r="P958" s="1" t="s">
        <v>239</v>
      </c>
      <c r="Q958" s="1" t="s">
        <v>23</v>
      </c>
    </row>
    <row r="959" spans="3:17" x14ac:dyDescent="0.25">
      <c r="C959" s="1" t="str">
        <f>_xlfn.CONCAT(tabE.Flux[[#This Row],[DATA]],"+",tabE.Flux[[#This Row],[MOTORISTA + MATRÍCULA A]])</f>
        <v>45927+CANCELADO</v>
      </c>
      <c r="D959" s="1" t="str">
        <f>_xlfn.CONCAT(tabE.Flux[[#This Row],[DATA]],"+",tabE.Flux[[#This Row],[MOTORISTA + MATRÍCULA B]])</f>
        <v>45927+CANCELADO</v>
      </c>
      <c r="E959" s="1" t="str">
        <f>_xlfn.CONCAT(tabE.Flux[[#This Row],[DATA]],"+",tabE.Flux[[#This Row],[MOTORISTA + MATRÍCULA A]],"+",tabE.Flux[[#This Row],[LINHA]])</f>
        <v>45927+CANCELADO+IMPERATRIZ (MA) X SÃO LUIS (MA)</v>
      </c>
      <c r="F959" s="1" t="str">
        <f>_xlfn.CONCAT(tabE.Flux[[#This Row],[DATA]],"+",tabE.Flux[[#This Row],[MOTORISTA + MATRÍCULA B]],"+",tabE.Flux[[#This Row],[LINHA]])</f>
        <v>45927+CANCELADO+IMPERATRIZ (MA) X SÃO LUIS (MA)</v>
      </c>
      <c r="G959" s="1" t="str">
        <f>_xlfn.CONCAT(tabE.Flux[[#This Row],[DATA]],"+",tabE.Flux[[#This Row],[LINHA]])</f>
        <v>45927+IMPERATRIZ (MA) X SÃO LUIS (MA)</v>
      </c>
      <c r="H959" s="125">
        <v>45927</v>
      </c>
      <c r="I959" s="1" t="s">
        <v>15</v>
      </c>
      <c r="J959" s="1" t="s">
        <v>27</v>
      </c>
      <c r="K959" s="126">
        <v>0.77083333333333337</v>
      </c>
      <c r="L959" s="126">
        <v>0.79513888888888884</v>
      </c>
      <c r="M959" s="1" t="s">
        <v>42</v>
      </c>
      <c r="N959" s="1" t="s">
        <v>16</v>
      </c>
      <c r="O959" s="1" t="s">
        <v>27</v>
      </c>
      <c r="P959" s="1" t="s">
        <v>27</v>
      </c>
      <c r="Q959" s="1" t="s">
        <v>47</v>
      </c>
    </row>
    <row r="960" spans="3:17" x14ac:dyDescent="0.25">
      <c r="C960" s="1" t="str">
        <f>_xlfn.CONCAT(tabE.Flux[[#This Row],[DATA]],"+",tabE.Flux[[#This Row],[MOTORISTA + MATRÍCULA A]])</f>
        <v>45927+WILMAR JOSE DE SOUZA - 1763</v>
      </c>
      <c r="D960" s="1" t="str">
        <f>_xlfn.CONCAT(tabE.Flux[[#This Row],[DATA]],"+",tabE.Flux[[#This Row],[MOTORISTA + MATRÍCULA B]])</f>
        <v>45927+OLIVEIRA DE MELO ARRUDA - 5251</v>
      </c>
      <c r="E960" s="1" t="str">
        <f>_xlfn.CONCAT(tabE.Flux[[#This Row],[DATA]],"+",tabE.Flux[[#This Row],[MOTORISTA + MATRÍCULA A]],"+",tabE.Flux[[#This Row],[LINHA]])</f>
        <v>45927+WILMAR JOSE DE SOUZA - 1763+GOIANIA (GO) X TERESINA (PI) VIA BC</v>
      </c>
      <c r="F960" s="1" t="str">
        <f>_xlfn.CONCAT(tabE.Flux[[#This Row],[DATA]],"+",tabE.Flux[[#This Row],[MOTORISTA + MATRÍCULA B]],"+",tabE.Flux[[#This Row],[LINHA]])</f>
        <v>45927+OLIVEIRA DE MELO ARRUDA - 5251+GOIANIA (GO) X TERESINA (PI) VIA BC</v>
      </c>
      <c r="G960" s="1" t="str">
        <f>_xlfn.CONCAT(tabE.Flux[[#This Row],[DATA]],"+",tabE.Flux[[#This Row],[LINHA]])</f>
        <v>45927+GOIANIA (GO) X TERESINA (PI) VIA BC</v>
      </c>
      <c r="H960" s="125">
        <v>45927</v>
      </c>
      <c r="I960" s="1" t="s">
        <v>15</v>
      </c>
      <c r="J960" s="1">
        <v>24005</v>
      </c>
      <c r="K960" s="126">
        <v>0.89583333333333337</v>
      </c>
      <c r="L960" s="126">
        <v>0.91666666666666663</v>
      </c>
      <c r="M960" s="1" t="s">
        <v>36</v>
      </c>
      <c r="N960" s="1" t="s">
        <v>17</v>
      </c>
      <c r="O960" s="1" t="s">
        <v>94</v>
      </c>
      <c r="P960" s="1" t="s">
        <v>157</v>
      </c>
      <c r="Q960" s="1" t="s">
        <v>39</v>
      </c>
    </row>
    <row r="961" spans="3:17" x14ac:dyDescent="0.25">
      <c r="C961" s="1" t="str">
        <f>_xlfn.CONCAT(tabE.Flux[[#This Row],[DATA]],"+",tabE.Flux[[#This Row],[MOTORISTA + MATRÍCULA A]])</f>
        <v>45927+FRANCISCO RAIMUNDO VIANA DE SOUSA - 5314</v>
      </c>
      <c r="D961" s="1" t="str">
        <f>_xlfn.CONCAT(tabE.Flux[[#This Row],[DATA]],"+",tabE.Flux[[#This Row],[MOTORISTA + MATRÍCULA B]])</f>
        <v>45927+ANTONIO MARCIO DE SENA RIBEIRO CHAVES - 5061</v>
      </c>
      <c r="E961" s="1" t="str">
        <f>_xlfn.CONCAT(tabE.Flux[[#This Row],[DATA]],"+",tabE.Flux[[#This Row],[MOTORISTA + MATRÍCULA A]],"+",tabE.Flux[[#This Row],[LINHA]])</f>
        <v>45927+FRANCISCO RAIMUNDO VIANA DE SOUSA - 5314+GOIANIA (GO) X BELEM (PA)</v>
      </c>
      <c r="F961" s="1" t="str">
        <f>_xlfn.CONCAT(tabE.Flux[[#This Row],[DATA]],"+",tabE.Flux[[#This Row],[MOTORISTA + MATRÍCULA B]],"+",tabE.Flux[[#This Row],[LINHA]])</f>
        <v>45927+ANTONIO MARCIO DE SENA RIBEIRO CHAVES - 5061+GOIANIA (GO) X BELEM (PA)</v>
      </c>
      <c r="G961" s="1" t="str">
        <f>_xlfn.CONCAT(tabE.Flux[[#This Row],[DATA]],"+",tabE.Flux[[#This Row],[LINHA]])</f>
        <v>45927+GOIANIA (GO) X BELEM (PA)</v>
      </c>
      <c r="H961" s="125">
        <v>45927</v>
      </c>
      <c r="I961" s="1" t="s">
        <v>15</v>
      </c>
      <c r="J961" s="1">
        <v>24002</v>
      </c>
      <c r="K961" s="126">
        <v>0.76041666666666663</v>
      </c>
      <c r="L961" s="126">
        <v>0.77083333333333337</v>
      </c>
      <c r="M961" s="1" t="s">
        <v>33</v>
      </c>
      <c r="N961" s="1" t="s">
        <v>16</v>
      </c>
      <c r="O961" s="1" t="s">
        <v>87</v>
      </c>
      <c r="P961" s="1" t="s">
        <v>235</v>
      </c>
      <c r="Q961" s="1" t="s">
        <v>20</v>
      </c>
    </row>
    <row r="962" spans="3:17" x14ac:dyDescent="0.25">
      <c r="C962" s="1" t="str">
        <f>_xlfn.CONCAT(tabE.Flux[[#This Row],[DATA]],"+",tabE.Flux[[#This Row],[MOTORISTA + MATRÍCULA A]])</f>
        <v>45927+JOAO FERREIRA COSTA - 5545</v>
      </c>
      <c r="D962" s="1" t="str">
        <f>_xlfn.CONCAT(tabE.Flux[[#This Row],[DATA]],"+",tabE.Flux[[#This Row],[MOTORISTA + MATRÍCULA B]])</f>
        <v>45927+EDUARDO SANTOS BEZERRA - 4066</v>
      </c>
      <c r="E962" s="1" t="str">
        <f>_xlfn.CONCAT(tabE.Flux[[#This Row],[DATA]],"+",tabE.Flux[[#This Row],[MOTORISTA + MATRÍCULA A]],"+",tabE.Flux[[#This Row],[LINHA]])</f>
        <v>45927+JOAO FERREIRA COSTA - 5545+GOIANIA (GO) X BELEM (PA)</v>
      </c>
      <c r="F962" s="1" t="str">
        <f>_xlfn.CONCAT(tabE.Flux[[#This Row],[DATA]],"+",tabE.Flux[[#This Row],[MOTORISTA + MATRÍCULA B]],"+",tabE.Flux[[#This Row],[LINHA]])</f>
        <v>45927+EDUARDO SANTOS BEZERRA - 4066+GOIANIA (GO) X BELEM (PA)</v>
      </c>
      <c r="G962" s="1" t="str">
        <f>_xlfn.CONCAT(tabE.Flux[[#This Row],[DATA]],"+",tabE.Flux[[#This Row],[LINHA]])</f>
        <v>45927+GOIANIA (GO) X BELEM (PA)</v>
      </c>
      <c r="H962" s="125">
        <v>45927</v>
      </c>
      <c r="I962" s="1" t="s">
        <v>15</v>
      </c>
      <c r="J962" s="1">
        <v>24010</v>
      </c>
      <c r="K962" s="126">
        <v>0.76041666666666663</v>
      </c>
      <c r="L962" s="126">
        <v>0.82777777777777772</v>
      </c>
      <c r="M962" s="1" t="s">
        <v>16</v>
      </c>
      <c r="N962" s="1" t="s">
        <v>33</v>
      </c>
      <c r="O962" s="1" t="s">
        <v>61</v>
      </c>
      <c r="P962" s="1" t="s">
        <v>148</v>
      </c>
      <c r="Q962" s="1" t="s">
        <v>20</v>
      </c>
    </row>
    <row r="963" spans="3:17" x14ac:dyDescent="0.25">
      <c r="C963" s="1" t="str">
        <f>_xlfn.CONCAT(tabE.Flux[[#This Row],[DATA]],"+",tabE.Flux[[#This Row],[MOTORISTA + MATRÍCULA A]])</f>
        <v>45927+FELIPE MORAIS MELO - 3077</v>
      </c>
      <c r="D963" s="1" t="str">
        <f>_xlfn.CONCAT(tabE.Flux[[#This Row],[DATA]],"+",tabE.Flux[[#This Row],[MOTORISTA + MATRÍCULA B]])</f>
        <v>45927+PAULO ENEAS FARIAS ARAUJO - 6218</v>
      </c>
      <c r="E963" s="1" t="str">
        <f>_xlfn.CONCAT(tabE.Flux[[#This Row],[DATA]],"+",tabE.Flux[[#This Row],[MOTORISTA + MATRÍCULA A]],"+",tabE.Flux[[#This Row],[LINHA]])</f>
        <v>45927+FELIPE MORAIS MELO - 3077+GOIANIA (GO) X SAO LUIS (MA)</v>
      </c>
      <c r="F963" s="1" t="str">
        <f>_xlfn.CONCAT(tabE.Flux[[#This Row],[DATA]],"+",tabE.Flux[[#This Row],[MOTORISTA + MATRÍCULA B]],"+",tabE.Flux[[#This Row],[LINHA]])</f>
        <v>45927+PAULO ENEAS FARIAS ARAUJO - 6218+GOIANIA (GO) X SAO LUIS (MA)</v>
      </c>
      <c r="G963" s="1" t="str">
        <f>_xlfn.CONCAT(tabE.Flux[[#This Row],[DATA]],"+",tabE.Flux[[#This Row],[LINHA]])</f>
        <v>45927+GOIANIA (GO) X SAO LUIS (MA)</v>
      </c>
      <c r="H963" s="125">
        <v>45927</v>
      </c>
      <c r="I963" s="1" t="s">
        <v>15</v>
      </c>
      <c r="J963" s="1">
        <v>20018</v>
      </c>
      <c r="K963" s="126">
        <v>0.40763888888888888</v>
      </c>
      <c r="L963" s="126">
        <v>0.47013888888888888</v>
      </c>
      <c r="M963" s="1" t="s">
        <v>16</v>
      </c>
      <c r="N963" s="1" t="s">
        <v>42</v>
      </c>
      <c r="O963" s="1" t="s">
        <v>78</v>
      </c>
      <c r="P963" s="1" t="s">
        <v>43</v>
      </c>
      <c r="Q963" s="1" t="s">
        <v>23</v>
      </c>
    </row>
    <row r="964" spans="3:17" x14ac:dyDescent="0.25">
      <c r="C964" s="1" t="str">
        <f>_xlfn.CONCAT(tabE.Flux[[#This Row],[DATA]],"+",tabE.Flux[[#This Row],[MOTORISTA + MATRÍCULA A]])</f>
        <v>45927+CANCELADO</v>
      </c>
      <c r="D964" s="1" t="str">
        <f>_xlfn.CONCAT(tabE.Flux[[#This Row],[DATA]],"+",tabE.Flux[[#This Row],[MOTORISTA + MATRÍCULA B]])</f>
        <v>45927+CANCELADO</v>
      </c>
      <c r="E964" s="1" t="str">
        <f>_xlfn.CONCAT(tabE.Flux[[#This Row],[DATA]],"+",tabE.Flux[[#This Row],[MOTORISTA + MATRÍCULA A]],"+",tabE.Flux[[#This Row],[LINHA]])</f>
        <v>45927+CANCELADO+IMPERATRIZ (MA) X SÃO LUIS (MA)</v>
      </c>
      <c r="F964" s="1" t="str">
        <f>_xlfn.CONCAT(tabE.Flux[[#This Row],[DATA]],"+",tabE.Flux[[#This Row],[MOTORISTA + MATRÍCULA B]],"+",tabE.Flux[[#This Row],[LINHA]])</f>
        <v>45927+CANCELADO+IMPERATRIZ (MA) X SÃO LUIS (MA)</v>
      </c>
      <c r="G964" s="1" t="str">
        <f>_xlfn.CONCAT(tabE.Flux[[#This Row],[DATA]],"+",tabE.Flux[[#This Row],[LINHA]])</f>
        <v>45927+IMPERATRIZ (MA) X SÃO LUIS (MA)</v>
      </c>
      <c r="H964" s="125">
        <v>45927</v>
      </c>
      <c r="I964" s="1" t="s">
        <v>15</v>
      </c>
      <c r="J964" s="1" t="s">
        <v>27</v>
      </c>
      <c r="K964" s="126">
        <v>0.77083333333333337</v>
      </c>
      <c r="L964" s="126">
        <v>0.8125</v>
      </c>
      <c r="M964" s="1" t="s">
        <v>16</v>
      </c>
      <c r="N964" s="1" t="s">
        <v>42</v>
      </c>
      <c r="O964" s="1" t="s">
        <v>27</v>
      </c>
      <c r="P964" s="1" t="s">
        <v>27</v>
      </c>
      <c r="Q964" s="1" t="s">
        <v>47</v>
      </c>
    </row>
    <row r="965" spans="3:17" x14ac:dyDescent="0.25">
      <c r="C965" s="1" t="str">
        <f>_xlfn.CONCAT(tabE.Flux[[#This Row],[DATA]],"+",tabE.Flux[[#This Row],[MOTORISTA + MATRÍCULA A]])</f>
        <v>45927+JOAO DE JESUS GOUVEIA - 6016</v>
      </c>
      <c r="D965" s="1" t="str">
        <f>_xlfn.CONCAT(tabE.Flux[[#This Row],[DATA]],"+",tabE.Flux[[#This Row],[MOTORISTA + MATRÍCULA B]])</f>
        <v>45927+KAYLSON KLEYTON DA SILVA COSTA - 6224</v>
      </c>
      <c r="E965" s="1" t="str">
        <f>_xlfn.CONCAT(tabE.Flux[[#This Row],[DATA]],"+",tabE.Flux[[#This Row],[MOTORISTA + MATRÍCULA A]],"+",tabE.Flux[[#This Row],[LINHA]])</f>
        <v>45927+JOAO DE JESUS GOUVEIA - 6016+GOIANIA (GO) X SAO LUIS (MA)</v>
      </c>
      <c r="F965" s="1" t="str">
        <f>_xlfn.CONCAT(tabE.Flux[[#This Row],[DATA]],"+",tabE.Flux[[#This Row],[MOTORISTA + MATRÍCULA B]],"+",tabE.Flux[[#This Row],[LINHA]])</f>
        <v>45927+KAYLSON KLEYTON DA SILVA COSTA - 6224+GOIANIA (GO) X SAO LUIS (MA)</v>
      </c>
      <c r="G965" s="1" t="str">
        <f>_xlfn.CONCAT(tabE.Flux[[#This Row],[DATA]],"+",tabE.Flux[[#This Row],[LINHA]])</f>
        <v>45927+GOIANIA (GO) X SAO LUIS (MA)</v>
      </c>
      <c r="H965" s="125">
        <v>45927</v>
      </c>
      <c r="I965" s="1" t="s">
        <v>15</v>
      </c>
      <c r="J965" s="1">
        <v>24013</v>
      </c>
      <c r="K965" s="126">
        <v>0.8125</v>
      </c>
      <c r="L965" s="126">
        <v>0.84375</v>
      </c>
      <c r="M965" s="1" t="s">
        <v>16</v>
      </c>
      <c r="N965" s="1" t="s">
        <v>42</v>
      </c>
      <c r="O965" s="1" t="s">
        <v>58</v>
      </c>
      <c r="P965" s="1" t="s">
        <v>80</v>
      </c>
      <c r="Q965" s="1" t="s">
        <v>23</v>
      </c>
    </row>
    <row r="966" spans="3:17" x14ac:dyDescent="0.25">
      <c r="C966" s="1" t="str">
        <f>_xlfn.CONCAT(tabE.Flux[[#This Row],[DATA]],"+",tabE.Flux[[#This Row],[MOTORISTA + MATRÍCULA A]])</f>
        <v>45927+ANTONIO FRANCINALDO DE OLIVEIRA MARQUES - 5018</v>
      </c>
      <c r="D966" s="1" t="str">
        <f>_xlfn.CONCAT(tabE.Flux[[#This Row],[DATA]],"+",tabE.Flux[[#This Row],[MOTORISTA + MATRÍCULA B]])</f>
        <v>45927+</v>
      </c>
      <c r="E966" s="1" t="str">
        <f>_xlfn.CONCAT(tabE.Flux[[#This Row],[DATA]],"+",tabE.Flux[[#This Row],[MOTORISTA + MATRÍCULA A]],"+",tabE.Flux[[#This Row],[LINHA]])</f>
        <v>45927+ANTONIO FRANCINALDO DE OLIVEIRA MARQUES - 5018+GOIANIA (GO) X TERESINA (PI) VIA STI</v>
      </c>
      <c r="F966" s="1" t="str">
        <f>_xlfn.CONCAT(tabE.Flux[[#This Row],[DATA]],"+",tabE.Flux[[#This Row],[MOTORISTA + MATRÍCULA B]],"+",tabE.Flux[[#This Row],[LINHA]])</f>
        <v>45927++GOIANIA (GO) X TERESINA (PI) VIA STI</v>
      </c>
      <c r="G966" s="1" t="str">
        <f>_xlfn.CONCAT(tabE.Flux[[#This Row],[DATA]],"+",tabE.Flux[[#This Row],[LINHA]])</f>
        <v>45927+GOIANIA (GO) X TERESINA (PI) VIA STI</v>
      </c>
      <c r="H966" s="125">
        <v>45927</v>
      </c>
      <c r="I966" s="1" t="s">
        <v>15</v>
      </c>
      <c r="J966" s="1">
        <v>20012</v>
      </c>
      <c r="K966" s="126">
        <v>0.77083333333333337</v>
      </c>
      <c r="L966" s="126">
        <v>0.79861111111111116</v>
      </c>
      <c r="M966" s="1" t="s">
        <v>16</v>
      </c>
      <c r="N966" s="1" t="s">
        <v>29</v>
      </c>
      <c r="O966" s="1" t="s">
        <v>233</v>
      </c>
      <c r="P966" s="1"/>
      <c r="Q966" s="1" t="s">
        <v>26</v>
      </c>
    </row>
    <row r="967" spans="3:17" x14ac:dyDescent="0.25">
      <c r="C967" s="1" t="str">
        <f>_xlfn.CONCAT(tabE.Flux[[#This Row],[DATA]],"+",tabE.Flux[[#This Row],[MOTORISTA + MATRÍCULA A]])</f>
        <v>45927+JOSE EVANGELISTA DA SILVA - 5199</v>
      </c>
      <c r="D967" s="1" t="str">
        <f>_xlfn.CONCAT(tabE.Flux[[#This Row],[DATA]],"+",tabE.Flux[[#This Row],[MOTORISTA + MATRÍCULA B]])</f>
        <v>45927+  IVANILSON BARBOSA PEREIRA- 5434</v>
      </c>
      <c r="E967" s="1" t="str">
        <f>_xlfn.CONCAT(tabE.Flux[[#This Row],[DATA]],"+",tabE.Flux[[#This Row],[MOTORISTA + MATRÍCULA A]],"+",tabE.Flux[[#This Row],[LINHA]])</f>
        <v>45927+JOSE EVANGELISTA DA SILVA - 5199+GOIANIA (GO) X SAO LUIS (MA)</v>
      </c>
      <c r="F967" s="1" t="str">
        <f>_xlfn.CONCAT(tabE.Flux[[#This Row],[DATA]],"+",tabE.Flux[[#This Row],[MOTORISTA + MATRÍCULA B]],"+",tabE.Flux[[#This Row],[LINHA]])</f>
        <v>45927+  IVANILSON BARBOSA PEREIRA- 5434+GOIANIA (GO) X SAO LUIS (MA)</v>
      </c>
      <c r="G967" s="1" t="str">
        <f>_xlfn.CONCAT(tabE.Flux[[#This Row],[DATA]],"+",tabE.Flux[[#This Row],[LINHA]])</f>
        <v>45927+GOIANIA (GO) X SAO LUIS (MA)</v>
      </c>
      <c r="H967" s="125">
        <v>45927</v>
      </c>
      <c r="I967" s="1" t="s">
        <v>15</v>
      </c>
      <c r="J967" s="1">
        <v>19015</v>
      </c>
      <c r="K967" s="126">
        <v>0.8125</v>
      </c>
      <c r="L967" s="126">
        <v>0.84166666666666667</v>
      </c>
      <c r="M967" s="1" t="s">
        <v>16</v>
      </c>
      <c r="N967" s="1" t="s">
        <v>17</v>
      </c>
      <c r="O967" s="1" t="s">
        <v>151</v>
      </c>
      <c r="P967" s="1" t="s">
        <v>152</v>
      </c>
      <c r="Q967" s="1" t="s">
        <v>23</v>
      </c>
    </row>
    <row r="968" spans="3:17" x14ac:dyDescent="0.25">
      <c r="C968" s="1" t="str">
        <f>_xlfn.CONCAT(tabE.Flux[[#This Row],[DATA]],"+",tabE.Flux[[#This Row],[MOTORISTA + MATRÍCULA A]])</f>
        <v>45927+REGISMAR ANTONIO TEODORO DA COSTA - 2966</v>
      </c>
      <c r="D968" s="1" t="str">
        <f>_xlfn.CONCAT(tabE.Flux[[#This Row],[DATA]],"+",tabE.Flux[[#This Row],[MOTORISTA + MATRÍCULA B]])</f>
        <v>45927+GONCALO ALVES BEZERRA - 748</v>
      </c>
      <c r="E968" s="1" t="str">
        <f>_xlfn.CONCAT(tabE.Flux[[#This Row],[DATA]],"+",tabE.Flux[[#This Row],[MOTORISTA + MATRÍCULA A]],"+",tabE.Flux[[#This Row],[LINHA]])</f>
        <v>45927+REGISMAR ANTONIO TEODORO DA COSTA - 2966+FORTALEZA (CE) X SINOP (MT)</v>
      </c>
      <c r="F968" s="1" t="str">
        <f>_xlfn.CONCAT(tabE.Flux[[#This Row],[DATA]],"+",tabE.Flux[[#This Row],[MOTORISTA + MATRÍCULA B]],"+",tabE.Flux[[#This Row],[LINHA]])</f>
        <v>45927+GONCALO ALVES BEZERRA - 748+FORTALEZA (CE) X SINOP (MT)</v>
      </c>
      <c r="G968" s="1" t="str">
        <f>_xlfn.CONCAT(tabE.Flux[[#This Row],[DATA]],"+",tabE.Flux[[#This Row],[LINHA]])</f>
        <v>45927+FORTALEZA (CE) X SINOP (MT)</v>
      </c>
      <c r="H968" s="125">
        <v>45927</v>
      </c>
      <c r="I968" s="1" t="s">
        <v>15</v>
      </c>
      <c r="J968" s="1">
        <v>19003</v>
      </c>
      <c r="K968" s="126">
        <v>0.8125</v>
      </c>
      <c r="L968" s="126">
        <v>0.85416666666666663</v>
      </c>
      <c r="M968" s="1" t="s">
        <v>16</v>
      </c>
      <c r="N968" s="1" t="s">
        <v>17</v>
      </c>
      <c r="O968" s="1" t="s">
        <v>206</v>
      </c>
      <c r="P968" s="1" t="s">
        <v>216</v>
      </c>
      <c r="Q968" s="1" t="s">
        <v>32</v>
      </c>
    </row>
    <row r="969" spans="3:17" x14ac:dyDescent="0.25">
      <c r="C969" s="1" t="str">
        <f>_xlfn.CONCAT(tabE.Flux[[#This Row],[DATA]],"+",tabE.Flux[[#This Row],[MOTORISTA + MATRÍCULA A]])</f>
        <v>45927+  EURIPEDES BORGES DOS SANTOS- 5017</v>
      </c>
      <c r="D969" s="1" t="str">
        <f>_xlfn.CONCAT(tabE.Flux[[#This Row],[DATA]],"+",tabE.Flux[[#This Row],[MOTORISTA + MATRÍCULA B]])</f>
        <v>45927+SANDRO CARLOS DE SOUSA - 5181</v>
      </c>
      <c r="E969" s="1" t="str">
        <f>_xlfn.CONCAT(tabE.Flux[[#This Row],[DATA]],"+",tabE.Flux[[#This Row],[MOTORISTA + MATRÍCULA A]],"+",tabE.Flux[[#This Row],[LINHA]])</f>
        <v>45927+  EURIPEDES BORGES DOS SANTOS- 5017+GOIANIA (GO) X BELEM (PA)</v>
      </c>
      <c r="F969" s="1" t="str">
        <f>_xlfn.CONCAT(tabE.Flux[[#This Row],[DATA]],"+",tabE.Flux[[#This Row],[MOTORISTA + MATRÍCULA B]],"+",tabE.Flux[[#This Row],[LINHA]])</f>
        <v>45927+SANDRO CARLOS DE SOUSA - 5181+GOIANIA (GO) X BELEM (PA)</v>
      </c>
      <c r="G969" s="1" t="str">
        <f>_xlfn.CONCAT(tabE.Flux[[#This Row],[DATA]],"+",tabE.Flux[[#This Row],[LINHA]])</f>
        <v>45927+GOIANIA (GO) X BELEM (PA)</v>
      </c>
      <c r="H969" s="125">
        <v>45927</v>
      </c>
      <c r="I969" s="1" t="s">
        <v>15</v>
      </c>
      <c r="J969" s="1">
        <v>19021</v>
      </c>
      <c r="K969" s="126">
        <v>0.84722222222222221</v>
      </c>
      <c r="L969" s="126">
        <v>0.87847222222222221</v>
      </c>
      <c r="M969" s="1" t="s">
        <v>16</v>
      </c>
      <c r="N969" s="1" t="s">
        <v>17</v>
      </c>
      <c r="O969" s="1" t="s">
        <v>260</v>
      </c>
      <c r="P969" s="1" t="s">
        <v>120</v>
      </c>
      <c r="Q969" s="1" t="s">
        <v>20</v>
      </c>
    </row>
    <row r="970" spans="3:17" x14ac:dyDescent="0.25">
      <c r="C970" s="1" t="str">
        <f>_xlfn.CONCAT(tabE.Flux[[#This Row],[DATA]],"+",tabE.Flux[[#This Row],[MOTORISTA + MATRÍCULA A]])</f>
        <v>+</v>
      </c>
      <c r="D970" s="1" t="str">
        <f>_xlfn.CONCAT(tabE.Flux[[#This Row],[DATA]],"+",tabE.Flux[[#This Row],[MOTORISTA + MATRÍCULA B]])</f>
        <v>+</v>
      </c>
      <c r="E970" s="1" t="str">
        <f>_xlfn.CONCAT(tabE.Flux[[#This Row],[DATA]],"+",tabE.Flux[[#This Row],[MOTORISTA + MATRÍCULA A]],"+",tabE.Flux[[#This Row],[LINHA]])</f>
        <v>++</v>
      </c>
      <c r="F970" s="1" t="str">
        <f>_xlfn.CONCAT(tabE.Flux[[#This Row],[DATA]],"+",tabE.Flux[[#This Row],[MOTORISTA + MATRÍCULA B]],"+",tabE.Flux[[#This Row],[LINHA]])</f>
        <v>++</v>
      </c>
      <c r="G970" s="1" t="str">
        <f>_xlfn.CONCAT(tabE.Flux[[#This Row],[DATA]],"+",tabE.Flux[[#This Row],[LINHA]])</f>
        <v>+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3:17" x14ac:dyDescent="0.25">
      <c r="C971" s="1" t="str">
        <f>_xlfn.CONCAT(tabE.Flux[[#This Row],[DATA]],"+",tabE.Flux[[#This Row],[MOTORISTA + MATRÍCULA A]])</f>
        <v>45928+ADALTON ALMEIDA DE SOUZA - 1941</v>
      </c>
      <c r="D971" s="1" t="str">
        <f>_xlfn.CONCAT(tabE.Flux[[#This Row],[DATA]],"+",tabE.Flux[[#This Row],[MOTORISTA + MATRÍCULA B]])</f>
        <v>45928+  LAZARO VIEIRA DA SILVA- 5428</v>
      </c>
      <c r="E971" s="1" t="str">
        <f>_xlfn.CONCAT(tabE.Flux[[#This Row],[DATA]],"+",tabE.Flux[[#This Row],[MOTORISTA + MATRÍCULA A]],"+",tabE.Flux[[#This Row],[LINHA]])</f>
        <v>45928+ADALTON ALMEIDA DE SOUZA - 1941+GOIANIA (GO) X BELEM (PA)</v>
      </c>
      <c r="F971" s="1" t="str">
        <f>_xlfn.CONCAT(tabE.Flux[[#This Row],[DATA]],"+",tabE.Flux[[#This Row],[MOTORISTA + MATRÍCULA B]],"+",tabE.Flux[[#This Row],[LINHA]])</f>
        <v>45928+  LAZARO VIEIRA DA SILVA- 5428+GOIANIA (GO) X BELEM (PA)</v>
      </c>
      <c r="G971" s="1" t="str">
        <f>_xlfn.CONCAT(tabE.Flux[[#This Row],[DATA]],"+",tabE.Flux[[#This Row],[LINHA]])</f>
        <v>45928+GOIANIA (GO) X BELEM (PA)</v>
      </c>
      <c r="H971" s="125">
        <v>45928</v>
      </c>
      <c r="I971" s="1" t="s">
        <v>15</v>
      </c>
      <c r="J971" s="1">
        <v>24002</v>
      </c>
      <c r="K971" s="126">
        <v>0.25486111111111109</v>
      </c>
      <c r="L971" s="126">
        <v>0.3</v>
      </c>
      <c r="M971" s="1" t="s">
        <v>16</v>
      </c>
      <c r="N971" s="1" t="s">
        <v>17</v>
      </c>
      <c r="O971" s="1" t="s">
        <v>132</v>
      </c>
      <c r="P971" s="1" t="s">
        <v>133</v>
      </c>
      <c r="Q971" s="1" t="s">
        <v>20</v>
      </c>
    </row>
    <row r="972" spans="3:17" x14ac:dyDescent="0.25">
      <c r="C972" s="1" t="str">
        <f>_xlfn.CONCAT(tabE.Flux[[#This Row],[DATA]],"+",tabE.Flux[[#This Row],[MOTORISTA + MATRÍCULA A]])</f>
        <v>45928+JOSE ORLANDO RODRIGUES DE MIRANDA - 5838</v>
      </c>
      <c r="D972" s="1" t="str">
        <f>_xlfn.CONCAT(tabE.Flux[[#This Row],[DATA]],"+",tabE.Flux[[#This Row],[MOTORISTA + MATRÍCULA B]])</f>
        <v>45928+RONNE RODRIGUES DE SOUSA - 5025</v>
      </c>
      <c r="E972" s="1" t="str">
        <f>_xlfn.CONCAT(tabE.Flux[[#This Row],[DATA]],"+",tabE.Flux[[#This Row],[MOTORISTA + MATRÍCULA A]],"+",tabE.Flux[[#This Row],[LINHA]])</f>
        <v>45928+JOSE ORLANDO RODRIGUES DE MIRANDA - 5838+GOIANIA (GO) X SAO LUIS (MA)</v>
      </c>
      <c r="F972" s="1" t="str">
        <f>_xlfn.CONCAT(tabE.Flux[[#This Row],[DATA]],"+",tabE.Flux[[#This Row],[MOTORISTA + MATRÍCULA B]],"+",tabE.Flux[[#This Row],[LINHA]])</f>
        <v>45928+RONNE RODRIGUES DE SOUSA - 5025+GOIANIA (GO) X SAO LUIS (MA)</v>
      </c>
      <c r="G972" s="1" t="str">
        <f>_xlfn.CONCAT(tabE.Flux[[#This Row],[DATA]],"+",tabE.Flux[[#This Row],[LINHA]])</f>
        <v>45928+GOIANIA (GO) X SAO LUIS (MA)</v>
      </c>
      <c r="H972" s="125">
        <v>45928</v>
      </c>
      <c r="I972" s="1" t="s">
        <v>15</v>
      </c>
      <c r="J972" s="1">
        <v>24006</v>
      </c>
      <c r="K972" s="126">
        <v>0.32291666666666669</v>
      </c>
      <c r="L972" s="126">
        <v>0.33333333333333331</v>
      </c>
      <c r="M972" s="1" t="s">
        <v>16</v>
      </c>
      <c r="N972" s="1" t="s">
        <v>17</v>
      </c>
      <c r="O972" s="1" t="s">
        <v>37</v>
      </c>
      <c r="P972" s="1" t="s">
        <v>85</v>
      </c>
      <c r="Q972" s="1" t="s">
        <v>23</v>
      </c>
    </row>
    <row r="973" spans="3:17" x14ac:dyDescent="0.25">
      <c r="C973" s="1" t="str">
        <f>_xlfn.CONCAT(tabE.Flux[[#This Row],[DATA]],"+",tabE.Flux[[#This Row],[MOTORISTA + MATRÍCULA A]])</f>
        <v>45928+ESLEI LOPES CHAVES - 2689</v>
      </c>
      <c r="D973" s="1" t="str">
        <f>_xlfn.CONCAT(tabE.Flux[[#This Row],[DATA]],"+",tabE.Flux[[#This Row],[MOTORISTA + MATRÍCULA B]])</f>
        <v>45928+</v>
      </c>
      <c r="E973" s="1" t="str">
        <f>_xlfn.CONCAT(tabE.Flux[[#This Row],[DATA]],"+",tabE.Flux[[#This Row],[MOTORISTA + MATRÍCULA A]],"+",tabE.Flux[[#This Row],[LINHA]])</f>
        <v>45928+ESLEI LOPES CHAVES - 2689+GOIANIA (GO) X TERESINA (PI) VIA STI</v>
      </c>
      <c r="F973" s="1" t="str">
        <f>_xlfn.CONCAT(tabE.Flux[[#This Row],[DATA]],"+",tabE.Flux[[#This Row],[MOTORISTA + MATRÍCULA B]],"+",tabE.Flux[[#This Row],[LINHA]])</f>
        <v>45928++GOIANIA (GO) X TERESINA (PI) VIA STI</v>
      </c>
      <c r="G973" s="1" t="str">
        <f>_xlfn.CONCAT(tabE.Flux[[#This Row],[DATA]],"+",tabE.Flux[[#This Row],[LINHA]])</f>
        <v>45928+GOIANIA (GO) X TERESINA (PI) VIA STI</v>
      </c>
      <c r="H973" s="125">
        <v>45928</v>
      </c>
      <c r="I973" s="1" t="s">
        <v>15</v>
      </c>
      <c r="J973" s="1">
        <v>19018</v>
      </c>
      <c r="K973" s="126">
        <v>0.3888888888888889</v>
      </c>
      <c r="L973" s="126">
        <v>0.39583333333333331</v>
      </c>
      <c r="M973" s="1" t="s">
        <v>16</v>
      </c>
      <c r="N973" s="1" t="s">
        <v>17</v>
      </c>
      <c r="O973" s="1" t="s">
        <v>146</v>
      </c>
      <c r="P973" s="1"/>
      <c r="Q973" s="1" t="s">
        <v>26</v>
      </c>
    </row>
    <row r="974" spans="3:17" x14ac:dyDescent="0.25">
      <c r="C974" s="1" t="str">
        <f>_xlfn.CONCAT(tabE.Flux[[#This Row],[DATA]],"+",tabE.Flux[[#This Row],[MOTORISTA + MATRÍCULA A]])</f>
        <v>45928+CANCELADO</v>
      </c>
      <c r="D974" s="1" t="str">
        <f>_xlfn.CONCAT(tabE.Flux[[#This Row],[DATA]],"+",tabE.Flux[[#This Row],[MOTORISTA + MATRÍCULA B]])</f>
        <v>45928+CANCELADO</v>
      </c>
      <c r="E974" s="1" t="str">
        <f>_xlfn.CONCAT(tabE.Flux[[#This Row],[DATA]],"+",tabE.Flux[[#This Row],[MOTORISTA + MATRÍCULA A]],"+",tabE.Flux[[#This Row],[LINHA]])</f>
        <v>45928+CANCELADO+IMPERATRIZ (MA) X VILA RICA (MT)</v>
      </c>
      <c r="F974" s="1" t="str">
        <f>_xlfn.CONCAT(tabE.Flux[[#This Row],[DATA]],"+",tabE.Flux[[#This Row],[MOTORISTA + MATRÍCULA B]],"+",tabE.Flux[[#This Row],[LINHA]])</f>
        <v>45928+CANCELADO+IMPERATRIZ (MA) X VILA RICA (MT)</v>
      </c>
      <c r="G974" s="1" t="str">
        <f>_xlfn.CONCAT(tabE.Flux[[#This Row],[DATA]],"+",tabE.Flux[[#This Row],[LINHA]])</f>
        <v>45928+IMPERATRIZ (MA) X VILA RICA (MT)</v>
      </c>
      <c r="H974" s="125">
        <v>45928</v>
      </c>
      <c r="I974" s="1" t="s">
        <v>15</v>
      </c>
      <c r="J974" s="1" t="s">
        <v>27</v>
      </c>
      <c r="K974" s="126">
        <v>0.375</v>
      </c>
      <c r="L974" s="126">
        <v>0.41666666666666669</v>
      </c>
      <c r="M974" s="1" t="s">
        <v>16</v>
      </c>
      <c r="N974" s="1" t="s">
        <v>28</v>
      </c>
      <c r="O974" s="1" t="s">
        <v>27</v>
      </c>
      <c r="P974" s="1" t="s">
        <v>27</v>
      </c>
      <c r="Q974" s="1" t="s">
        <v>100</v>
      </c>
    </row>
    <row r="975" spans="3:17" x14ac:dyDescent="0.25">
      <c r="C975" s="1" t="str">
        <f>_xlfn.CONCAT(tabE.Flux[[#This Row],[DATA]],"+",tabE.Flux[[#This Row],[MOTORISTA + MATRÍCULA A]])</f>
        <v>45928+BERNARDO SOUZA LIMA - 1720</v>
      </c>
      <c r="D975" s="1" t="str">
        <f>_xlfn.CONCAT(tabE.Flux[[#This Row],[DATA]],"+",tabE.Flux[[#This Row],[MOTORISTA + MATRÍCULA B]])</f>
        <v>45928+ADRIASIO SOARES MENDES - 5440</v>
      </c>
      <c r="E975" s="1" t="str">
        <f>_xlfn.CONCAT(tabE.Flux[[#This Row],[DATA]],"+",tabE.Flux[[#This Row],[MOTORISTA + MATRÍCULA A]],"+",tabE.Flux[[#This Row],[LINHA]])</f>
        <v>45928+BERNARDO SOUZA LIMA - 1720+FORTALEZA (CE) X SINOP (MT)</v>
      </c>
      <c r="F975" s="1" t="str">
        <f>_xlfn.CONCAT(tabE.Flux[[#This Row],[DATA]],"+",tabE.Flux[[#This Row],[MOTORISTA + MATRÍCULA B]],"+",tabE.Flux[[#This Row],[LINHA]])</f>
        <v>45928+ADRIASIO SOARES MENDES - 5440+FORTALEZA (CE) X SINOP (MT)</v>
      </c>
      <c r="G975" s="1" t="str">
        <f>_xlfn.CONCAT(tabE.Flux[[#This Row],[DATA]],"+",tabE.Flux[[#This Row],[LINHA]])</f>
        <v>45928+FORTALEZA (CE) X SINOP (MT)</v>
      </c>
      <c r="H975" s="125">
        <v>45928</v>
      </c>
      <c r="I975" s="1" t="s">
        <v>15</v>
      </c>
      <c r="J975" s="1">
        <v>16800</v>
      </c>
      <c r="K975" s="126">
        <v>0.3888888888888889</v>
      </c>
      <c r="L975" s="126">
        <v>0.37708333333333333</v>
      </c>
      <c r="M975" s="1" t="s">
        <v>16</v>
      </c>
      <c r="N975" s="1" t="s">
        <v>29</v>
      </c>
      <c r="O975" s="1" t="s">
        <v>123</v>
      </c>
      <c r="P975" s="1" t="s">
        <v>242</v>
      </c>
      <c r="Q975" s="1" t="s">
        <v>32</v>
      </c>
    </row>
    <row r="976" spans="3:17" x14ac:dyDescent="0.25">
      <c r="C976" s="1" t="str">
        <f>_xlfn.CONCAT(tabE.Flux[[#This Row],[DATA]],"+",tabE.Flux[[#This Row],[MOTORISTA + MATRÍCULA A]])</f>
        <v>45928+JOSE POLICARPO DE SOUSA NETO - 1472</v>
      </c>
      <c r="D976" s="1" t="str">
        <f>_xlfn.CONCAT(tabE.Flux[[#This Row],[DATA]],"+",tabE.Flux[[#This Row],[MOTORISTA + MATRÍCULA B]])</f>
        <v>45928+JOSE ALVES DE FREITAS NETO - 5027</v>
      </c>
      <c r="E976" s="1" t="str">
        <f>_xlfn.CONCAT(tabE.Flux[[#This Row],[DATA]],"+",tabE.Flux[[#This Row],[MOTORISTA + MATRÍCULA A]],"+",tabE.Flux[[#This Row],[LINHA]])</f>
        <v>45928+JOSE POLICARPO DE SOUSA NETO - 1472+GOIANIA (GO) X BELEM (PA)</v>
      </c>
      <c r="F976" s="1" t="str">
        <f>_xlfn.CONCAT(tabE.Flux[[#This Row],[DATA]],"+",tabE.Flux[[#This Row],[MOTORISTA + MATRÍCULA B]],"+",tabE.Flux[[#This Row],[LINHA]])</f>
        <v>45928+JOSE ALVES DE FREITAS NETO - 5027+GOIANIA (GO) X BELEM (PA)</v>
      </c>
      <c r="G976" s="1" t="str">
        <f>_xlfn.CONCAT(tabE.Flux[[#This Row],[DATA]],"+",tabE.Flux[[#This Row],[LINHA]])</f>
        <v>45928+GOIANIA (GO) X BELEM (PA)</v>
      </c>
      <c r="H976" s="125">
        <v>45928</v>
      </c>
      <c r="I976" s="1" t="s">
        <v>15</v>
      </c>
      <c r="J976" s="1">
        <v>19010</v>
      </c>
      <c r="K976" s="126">
        <v>0.38958333333333334</v>
      </c>
      <c r="L976" s="126">
        <v>0.38541666666666669</v>
      </c>
      <c r="M976" s="1" t="s">
        <v>16</v>
      </c>
      <c r="N976" s="1" t="s">
        <v>33</v>
      </c>
      <c r="O976" s="1" t="s">
        <v>54</v>
      </c>
      <c r="P976" s="1" t="s">
        <v>90</v>
      </c>
      <c r="Q976" s="1" t="s">
        <v>20</v>
      </c>
    </row>
    <row r="977" spans="3:17" x14ac:dyDescent="0.25">
      <c r="C977" s="1" t="str">
        <f>_xlfn.CONCAT(tabE.Flux[[#This Row],[DATA]],"+",tabE.Flux[[#This Row],[MOTORISTA + MATRÍCULA A]])</f>
        <v>45928+JWEBISON DE BRITO SOUZA - 2999</v>
      </c>
      <c r="D977" s="1" t="str">
        <f>_xlfn.CONCAT(tabE.Flux[[#This Row],[DATA]],"+",tabE.Flux[[#This Row],[MOTORISTA + MATRÍCULA B]])</f>
        <v>45928+PEDRO PAULO DO NASCIMENTO DO CARMO - 2559</v>
      </c>
      <c r="E977" s="1" t="str">
        <f>_xlfn.CONCAT(tabE.Flux[[#This Row],[DATA]],"+",tabE.Flux[[#This Row],[MOTORISTA + MATRÍCULA A]],"+",tabE.Flux[[#This Row],[LINHA]])</f>
        <v>45928+JWEBISON DE BRITO SOUZA - 2999+GOIANIA (GO) X TERESINA (PI) VIA BC</v>
      </c>
      <c r="F977" s="1" t="str">
        <f>_xlfn.CONCAT(tabE.Flux[[#This Row],[DATA]],"+",tabE.Flux[[#This Row],[MOTORISTA + MATRÍCULA B]],"+",tabE.Flux[[#This Row],[LINHA]])</f>
        <v>45928+PEDRO PAULO DO NASCIMENTO DO CARMO - 2559+GOIANIA (GO) X TERESINA (PI) VIA BC</v>
      </c>
      <c r="G977" s="1" t="str">
        <f>_xlfn.CONCAT(tabE.Flux[[#This Row],[DATA]],"+",tabE.Flux[[#This Row],[LINHA]])</f>
        <v>45928+GOIANIA (GO) X TERESINA (PI) VIA BC</v>
      </c>
      <c r="H977" s="125">
        <v>45928</v>
      </c>
      <c r="I977" s="1" t="s">
        <v>15</v>
      </c>
      <c r="J977" s="1">
        <v>25006</v>
      </c>
      <c r="K977" s="126">
        <v>0.375</v>
      </c>
      <c r="L977" s="126">
        <v>0.39930555555555558</v>
      </c>
      <c r="M977" s="1" t="s">
        <v>36</v>
      </c>
      <c r="N977" s="1" t="s">
        <v>29</v>
      </c>
      <c r="O977" s="1" t="s">
        <v>77</v>
      </c>
      <c r="P977" s="1" t="s">
        <v>175</v>
      </c>
      <c r="Q977" s="1" t="s">
        <v>39</v>
      </c>
    </row>
    <row r="978" spans="3:17" x14ac:dyDescent="0.25">
      <c r="C978" s="1" t="str">
        <f>_xlfn.CONCAT(tabE.Flux[[#This Row],[DATA]],"+",tabE.Flux[[#This Row],[MOTORISTA + MATRÍCULA A]])</f>
        <v>45928+CANCELADO</v>
      </c>
      <c r="D978" s="1" t="str">
        <f>_xlfn.CONCAT(tabE.Flux[[#This Row],[DATA]],"+",tabE.Flux[[#This Row],[MOTORISTA + MATRÍCULA B]])</f>
        <v>45928+CANCELADO</v>
      </c>
      <c r="E978" s="1" t="str">
        <f>_xlfn.CONCAT(tabE.Flux[[#This Row],[DATA]],"+",tabE.Flux[[#This Row],[MOTORISTA + MATRÍCULA A]],"+",tabE.Flux[[#This Row],[LINHA]])</f>
        <v>45928+CANCELADO+GOIANIA (GO) X BELEM (PA)</v>
      </c>
      <c r="F978" s="1" t="str">
        <f>_xlfn.CONCAT(tabE.Flux[[#This Row],[DATA]],"+",tabE.Flux[[#This Row],[MOTORISTA + MATRÍCULA B]],"+",tabE.Flux[[#This Row],[LINHA]])</f>
        <v>45928+CANCELADO+GOIANIA (GO) X BELEM (PA)</v>
      </c>
      <c r="G978" s="1" t="str">
        <f>_xlfn.CONCAT(tabE.Flux[[#This Row],[DATA]],"+",tabE.Flux[[#This Row],[LINHA]])</f>
        <v>45928+GOIANIA (GO) X BELEM (PA)</v>
      </c>
      <c r="H978" s="125">
        <v>45928</v>
      </c>
      <c r="I978" s="1" t="s">
        <v>15</v>
      </c>
      <c r="J978" s="1" t="s">
        <v>27</v>
      </c>
      <c r="K978" s="126">
        <v>0.375</v>
      </c>
      <c r="L978" s="126">
        <v>0.41666666666666669</v>
      </c>
      <c r="M978" s="1" t="s">
        <v>33</v>
      </c>
      <c r="N978" s="1" t="s">
        <v>16</v>
      </c>
      <c r="O978" s="1" t="s">
        <v>27</v>
      </c>
      <c r="P978" s="1" t="s">
        <v>27</v>
      </c>
      <c r="Q978" s="1" t="s">
        <v>20</v>
      </c>
    </row>
    <row r="979" spans="3:17" x14ac:dyDescent="0.25">
      <c r="C979" s="1" t="str">
        <f>_xlfn.CONCAT(tabE.Flux[[#This Row],[DATA]],"+",tabE.Flux[[#This Row],[MOTORISTA + MATRÍCULA A]])</f>
        <v>45928+CANCELADO</v>
      </c>
      <c r="D979" s="1" t="str">
        <f>_xlfn.CONCAT(tabE.Flux[[#This Row],[DATA]],"+",tabE.Flux[[#This Row],[MOTORISTA + MATRÍCULA B]])</f>
        <v>45928+CANCELADO</v>
      </c>
      <c r="E979" s="1" t="str">
        <f>_xlfn.CONCAT(tabE.Flux[[#This Row],[DATA]],"+",tabE.Flux[[#This Row],[MOTORISTA + MATRÍCULA A]],"+",tabE.Flux[[#This Row],[LINHA]])</f>
        <v>45928+CANCELADO+GOIANIA (GO) X SAO LUIS (MA)</v>
      </c>
      <c r="F979" s="1" t="str">
        <f>_xlfn.CONCAT(tabE.Flux[[#This Row],[DATA]],"+",tabE.Flux[[#This Row],[MOTORISTA + MATRÍCULA B]],"+",tabE.Flux[[#This Row],[LINHA]])</f>
        <v>45928+CANCELADO+GOIANIA (GO) X SAO LUIS (MA)</v>
      </c>
      <c r="G979" s="1" t="str">
        <f>_xlfn.CONCAT(tabE.Flux[[#This Row],[DATA]],"+",tabE.Flux[[#This Row],[LINHA]])</f>
        <v>45928+GOIANIA (GO) X SAO LUIS (MA)</v>
      </c>
      <c r="H979" s="125">
        <v>45928</v>
      </c>
      <c r="I979" s="1" t="s">
        <v>15</v>
      </c>
      <c r="J979" s="1" t="s">
        <v>27</v>
      </c>
      <c r="K979" s="126">
        <v>0.25</v>
      </c>
      <c r="L979" s="126">
        <v>0.29166666666666669</v>
      </c>
      <c r="M979" s="1" t="s">
        <v>42</v>
      </c>
      <c r="N979" s="1" t="s">
        <v>16</v>
      </c>
      <c r="O979" s="1" t="s">
        <v>27</v>
      </c>
      <c r="P979" s="1" t="s">
        <v>27</v>
      </c>
      <c r="Q979" s="1" t="s">
        <v>23</v>
      </c>
    </row>
    <row r="980" spans="3:17" x14ac:dyDescent="0.25">
      <c r="C980" s="1" t="str">
        <f>_xlfn.CONCAT(tabE.Flux[[#This Row],[DATA]],"+",tabE.Flux[[#This Row],[MOTORISTA + MATRÍCULA A]])</f>
        <v>45928+RAIMUNDO COSTA SILVA - 6226</v>
      </c>
      <c r="D980" s="1" t="str">
        <f>_xlfn.CONCAT(tabE.Flux[[#This Row],[DATA]],"+",tabE.Flux[[#This Row],[MOTORISTA + MATRÍCULA B]])</f>
        <v>45928+JOAO DE JESUS GOUVEIA - 6016</v>
      </c>
      <c r="E980" s="1" t="str">
        <f>_xlfn.CONCAT(tabE.Flux[[#This Row],[DATA]],"+",tabE.Flux[[#This Row],[MOTORISTA + MATRÍCULA A]],"+",tabE.Flux[[#This Row],[LINHA]])</f>
        <v>45928+RAIMUNDO COSTA SILVA - 6226+GOIANIA (GO) X SAO LUIS (MA)</v>
      </c>
      <c r="F980" s="1" t="str">
        <f>_xlfn.CONCAT(tabE.Flux[[#This Row],[DATA]],"+",tabE.Flux[[#This Row],[MOTORISTA + MATRÍCULA B]],"+",tabE.Flux[[#This Row],[LINHA]])</f>
        <v>45928+JOAO DE JESUS GOUVEIA - 6016+GOIANIA (GO) X SAO LUIS (MA)</v>
      </c>
      <c r="G980" s="1" t="str">
        <f>_xlfn.CONCAT(tabE.Flux[[#This Row],[DATA]],"+",tabE.Flux[[#This Row],[LINHA]])</f>
        <v>45928+GOIANIA (GO) X SAO LUIS (MA)</v>
      </c>
      <c r="H980" s="125">
        <v>45928</v>
      </c>
      <c r="I980" s="1" t="s">
        <v>15</v>
      </c>
      <c r="J980" s="1">
        <v>24013</v>
      </c>
      <c r="K980" s="126">
        <v>0.75</v>
      </c>
      <c r="L980" s="126">
        <v>0.79166666666666663</v>
      </c>
      <c r="M980" s="1" t="s">
        <v>42</v>
      </c>
      <c r="N980" s="1" t="s">
        <v>16</v>
      </c>
      <c r="O980" s="1" t="s">
        <v>45</v>
      </c>
      <c r="P980" s="1" t="s">
        <v>58</v>
      </c>
      <c r="Q980" s="1" t="s">
        <v>23</v>
      </c>
    </row>
    <row r="981" spans="3:17" x14ac:dyDescent="0.25">
      <c r="C981" s="1" t="str">
        <f>_xlfn.CONCAT(tabE.Flux[[#This Row],[DATA]],"+",tabE.Flux[[#This Row],[MOTORISTA + MATRÍCULA A]])</f>
        <v>45928+ALTEMAR DO NASCIMENTO LIMA - 6225</v>
      </c>
      <c r="D981" s="1" t="str">
        <f>_xlfn.CONCAT(tabE.Flux[[#This Row],[DATA]],"+",tabE.Flux[[#This Row],[MOTORISTA + MATRÍCULA B]])</f>
        <v>45928+JERZUALDO DA SILVA GOMES - 4077</v>
      </c>
      <c r="E981" s="1" t="str">
        <f>_xlfn.CONCAT(tabE.Flux[[#This Row],[DATA]],"+",tabE.Flux[[#This Row],[MOTORISTA + MATRÍCULA A]],"+",tabE.Flux[[#This Row],[LINHA]])</f>
        <v>45928+ALTEMAR DO NASCIMENTO LIMA - 6225+IMPERATRIZ (MA) X SÃO LUIS (MA)</v>
      </c>
      <c r="F981" s="1" t="str">
        <f>_xlfn.CONCAT(tabE.Flux[[#This Row],[DATA]],"+",tabE.Flux[[#This Row],[MOTORISTA + MATRÍCULA B]],"+",tabE.Flux[[#This Row],[LINHA]])</f>
        <v>45928+JERZUALDO DA SILVA GOMES - 4077+IMPERATRIZ (MA) X SÃO LUIS (MA)</v>
      </c>
      <c r="G981" s="1" t="str">
        <f>_xlfn.CONCAT(tabE.Flux[[#This Row],[DATA]],"+",tabE.Flux[[#This Row],[LINHA]])</f>
        <v>45928+IMPERATRIZ (MA) X SÃO LUIS (MA)</v>
      </c>
      <c r="H981" s="125">
        <v>45928</v>
      </c>
      <c r="I981" s="1" t="s">
        <v>15</v>
      </c>
      <c r="J981" s="1">
        <v>18016</v>
      </c>
      <c r="K981" s="126">
        <v>0.77083333333333337</v>
      </c>
      <c r="L981" s="126">
        <v>0.79513888888888884</v>
      </c>
      <c r="M981" s="1" t="s">
        <v>42</v>
      </c>
      <c r="N981" s="1" t="s">
        <v>16</v>
      </c>
      <c r="O981" s="1" t="s">
        <v>57</v>
      </c>
      <c r="P981" s="1" t="s">
        <v>130</v>
      </c>
      <c r="Q981" s="1" t="s">
        <v>47</v>
      </c>
    </row>
    <row r="982" spans="3:17" x14ac:dyDescent="0.25">
      <c r="C982" s="1" t="str">
        <f>_xlfn.CONCAT(tabE.Flux[[#This Row],[DATA]],"+",tabE.Flux[[#This Row],[MOTORISTA + MATRÍCULA A]])</f>
        <v>45928+CLEITON ALENCAR DA ROCHA - 1146</v>
      </c>
      <c r="D982" s="1" t="str">
        <f>_xlfn.CONCAT(tabE.Flux[[#This Row],[DATA]],"+",tabE.Flux[[#This Row],[MOTORISTA + MATRÍCULA B]])</f>
        <v>45928+CLEYTON CEZAR DA SILVA - 5741</v>
      </c>
      <c r="E982" s="1" t="str">
        <f>_xlfn.CONCAT(tabE.Flux[[#This Row],[DATA]],"+",tabE.Flux[[#This Row],[MOTORISTA + MATRÍCULA A]],"+",tabE.Flux[[#This Row],[LINHA]])</f>
        <v>45928+CLEITON ALENCAR DA ROCHA - 1146+GOIANIA (GO) X TERESINA (PI) VIA BC</v>
      </c>
      <c r="F982" s="1" t="str">
        <f>_xlfn.CONCAT(tabE.Flux[[#This Row],[DATA]],"+",tabE.Flux[[#This Row],[MOTORISTA + MATRÍCULA B]],"+",tabE.Flux[[#This Row],[LINHA]])</f>
        <v>45928+CLEYTON CEZAR DA SILVA - 5741+GOIANIA (GO) X TERESINA (PI) VIA BC</v>
      </c>
      <c r="G982" s="1" t="str">
        <f>_xlfn.CONCAT(tabE.Flux[[#This Row],[DATA]],"+",tabE.Flux[[#This Row],[LINHA]])</f>
        <v>45928+GOIANIA (GO) X TERESINA (PI) VIA BC</v>
      </c>
      <c r="H982" s="125">
        <v>45928</v>
      </c>
      <c r="I982" s="1" t="s">
        <v>15</v>
      </c>
      <c r="J982" s="1">
        <v>25008</v>
      </c>
      <c r="K982" s="126">
        <v>0.89583333333333337</v>
      </c>
      <c r="L982" s="126">
        <v>0.91666666666666663</v>
      </c>
      <c r="M982" s="1" t="s">
        <v>36</v>
      </c>
      <c r="N982" s="1" t="s">
        <v>17</v>
      </c>
      <c r="O982" s="1" t="s">
        <v>105</v>
      </c>
      <c r="P982" s="1" t="s">
        <v>155</v>
      </c>
      <c r="Q982" s="1" t="s">
        <v>39</v>
      </c>
    </row>
    <row r="983" spans="3:17" x14ac:dyDescent="0.25">
      <c r="C983" s="1" t="str">
        <f>_xlfn.CONCAT(tabE.Flux[[#This Row],[DATA]],"+",tabE.Flux[[#This Row],[MOTORISTA + MATRÍCULA A]])</f>
        <v>45928+RONALDO ADRIANO COSTA SANTOS - 5637</v>
      </c>
      <c r="D983" s="1" t="str">
        <f>_xlfn.CONCAT(tabE.Flux[[#This Row],[DATA]],"+",tabE.Flux[[#This Row],[MOTORISTA + MATRÍCULA B]])</f>
        <v>45928+GILDEVAN DE ALMEIDA AGOSTINHO - 1924</v>
      </c>
      <c r="E983" s="1" t="str">
        <f>_xlfn.CONCAT(tabE.Flux[[#This Row],[DATA]],"+",tabE.Flux[[#This Row],[MOTORISTA + MATRÍCULA A]],"+",tabE.Flux[[#This Row],[LINHA]])</f>
        <v>45928+RONALDO ADRIANO COSTA SANTOS - 5637+GOIANIA (GO) X BELEM (PA)</v>
      </c>
      <c r="F983" s="1" t="str">
        <f>_xlfn.CONCAT(tabE.Flux[[#This Row],[DATA]],"+",tabE.Flux[[#This Row],[MOTORISTA + MATRÍCULA B]],"+",tabE.Flux[[#This Row],[LINHA]])</f>
        <v>45928+GILDEVAN DE ALMEIDA AGOSTINHO - 1924+GOIANIA (GO) X BELEM (PA)</v>
      </c>
      <c r="G983" s="1" t="str">
        <f>_xlfn.CONCAT(tabE.Flux[[#This Row],[DATA]],"+",tabE.Flux[[#This Row],[LINHA]])</f>
        <v>45928+GOIANIA (GO) X BELEM (PA)</v>
      </c>
      <c r="H983" s="125">
        <v>45928</v>
      </c>
      <c r="I983" s="1" t="s">
        <v>15</v>
      </c>
      <c r="J983" s="1">
        <v>24010</v>
      </c>
      <c r="K983" s="126">
        <v>0.76041666666666663</v>
      </c>
      <c r="L983" s="126">
        <v>0.77083333333333337</v>
      </c>
      <c r="M983" s="1" t="s">
        <v>33</v>
      </c>
      <c r="N983" s="1" t="s">
        <v>16</v>
      </c>
      <c r="O983" s="1" t="s">
        <v>41</v>
      </c>
      <c r="P983" s="1" t="s">
        <v>236</v>
      </c>
      <c r="Q983" s="1" t="s">
        <v>20</v>
      </c>
    </row>
    <row r="984" spans="3:17" x14ac:dyDescent="0.25">
      <c r="C984" s="1" t="str">
        <f>_xlfn.CONCAT(tabE.Flux[[#This Row],[DATA]],"+",tabE.Flux[[#This Row],[MOTORISTA + MATRÍCULA A]])</f>
        <v>45928+MERVAL DE SOUSA - 2880</v>
      </c>
      <c r="D984" s="1" t="str">
        <f>_xlfn.CONCAT(tabE.Flux[[#This Row],[DATA]],"+",tabE.Flux[[#This Row],[MOTORISTA + MATRÍCULA B]])</f>
        <v>45928+CLODOALDO PEREIRA DE LIMA - 4067</v>
      </c>
      <c r="E984" s="1" t="str">
        <f>_xlfn.CONCAT(tabE.Flux[[#This Row],[DATA]],"+",tabE.Flux[[#This Row],[MOTORISTA + MATRÍCULA A]],"+",tabE.Flux[[#This Row],[LINHA]])</f>
        <v>45928+MERVAL DE SOUSA - 2880+GOIANIA (GO) X BELEM (PA)</v>
      </c>
      <c r="F984" s="1" t="str">
        <f>_xlfn.CONCAT(tabE.Flux[[#This Row],[DATA]],"+",tabE.Flux[[#This Row],[MOTORISTA + MATRÍCULA B]],"+",tabE.Flux[[#This Row],[LINHA]])</f>
        <v>45928+CLODOALDO PEREIRA DE LIMA - 4067+GOIANIA (GO) X BELEM (PA)</v>
      </c>
      <c r="G984" s="1" t="str">
        <f>_xlfn.CONCAT(tabE.Flux[[#This Row],[DATA]],"+",tabE.Flux[[#This Row],[LINHA]])</f>
        <v>45928+GOIANIA (GO) X BELEM (PA)</v>
      </c>
      <c r="H984" s="125">
        <v>45928</v>
      </c>
      <c r="I984" s="1" t="s">
        <v>15</v>
      </c>
      <c r="J984" s="1">
        <v>24001</v>
      </c>
      <c r="K984" s="126">
        <v>0.76041666666666663</v>
      </c>
      <c r="L984" s="126">
        <v>0.82777777777777772</v>
      </c>
      <c r="M984" s="1" t="s">
        <v>16</v>
      </c>
      <c r="N984" s="1" t="s">
        <v>33</v>
      </c>
      <c r="O984" s="1" t="s">
        <v>44</v>
      </c>
      <c r="P984" s="1" t="s">
        <v>109</v>
      </c>
      <c r="Q984" s="1" t="s">
        <v>20</v>
      </c>
    </row>
    <row r="985" spans="3:17" x14ac:dyDescent="0.25">
      <c r="C985" s="1" t="str">
        <f>_xlfn.CONCAT(tabE.Flux[[#This Row],[DATA]],"+",tabE.Flux[[#This Row],[MOTORISTA + MATRÍCULA A]])</f>
        <v>45928+JEFFERSON CARDOSO DOS SANTOS - 5837</v>
      </c>
      <c r="D985" s="1" t="str">
        <f>_xlfn.CONCAT(tabE.Flux[[#This Row],[DATA]],"+",tabE.Flux[[#This Row],[MOTORISTA + MATRÍCULA B]])</f>
        <v>45928+LAUCEANDO DA SILVA ROCHA - 6220</v>
      </c>
      <c r="E985" s="1" t="str">
        <f>_xlfn.CONCAT(tabE.Flux[[#This Row],[DATA]],"+",tabE.Flux[[#This Row],[MOTORISTA + MATRÍCULA A]],"+",tabE.Flux[[#This Row],[LINHA]])</f>
        <v>45928+JEFFERSON CARDOSO DOS SANTOS - 5837+GOIANIA (GO) X SAO LUIS (MA)</v>
      </c>
      <c r="F985" s="1" t="str">
        <f>_xlfn.CONCAT(tabE.Flux[[#This Row],[DATA]],"+",tabE.Flux[[#This Row],[MOTORISTA + MATRÍCULA B]],"+",tabE.Flux[[#This Row],[LINHA]])</f>
        <v>45928+LAUCEANDO DA SILVA ROCHA - 6220+GOIANIA (GO) X SAO LUIS (MA)</v>
      </c>
      <c r="G985" s="1" t="str">
        <f>_xlfn.CONCAT(tabE.Flux[[#This Row],[DATA]],"+",tabE.Flux[[#This Row],[LINHA]])</f>
        <v>45928+GOIANIA (GO) X SAO LUIS (MA)</v>
      </c>
      <c r="H985" s="125">
        <v>45928</v>
      </c>
      <c r="I985" s="1" t="s">
        <v>15</v>
      </c>
      <c r="J985" s="1">
        <v>19009</v>
      </c>
      <c r="K985" s="126">
        <v>0.40763888888888888</v>
      </c>
      <c r="L985" s="126">
        <v>0.47013888888888888</v>
      </c>
      <c r="M985" s="1" t="s">
        <v>16</v>
      </c>
      <c r="N985" s="1" t="s">
        <v>42</v>
      </c>
      <c r="O985" s="1" t="s">
        <v>30</v>
      </c>
      <c r="P985" s="1" t="s">
        <v>86</v>
      </c>
      <c r="Q985" s="1" t="s">
        <v>23</v>
      </c>
    </row>
    <row r="986" spans="3:17" x14ac:dyDescent="0.25">
      <c r="C986" s="1" t="str">
        <f>_xlfn.CONCAT(tabE.Flux[[#This Row],[DATA]],"+",tabE.Flux[[#This Row],[MOTORISTA + MATRÍCULA A]])</f>
        <v>45928+CANCELADO</v>
      </c>
      <c r="D986" s="1" t="str">
        <f>_xlfn.CONCAT(tabE.Flux[[#This Row],[DATA]],"+",tabE.Flux[[#This Row],[MOTORISTA + MATRÍCULA B]])</f>
        <v>45928+CANCELADO</v>
      </c>
      <c r="E986" s="1" t="str">
        <f>_xlfn.CONCAT(tabE.Flux[[#This Row],[DATA]],"+",tabE.Flux[[#This Row],[MOTORISTA + MATRÍCULA A]],"+",tabE.Flux[[#This Row],[LINHA]])</f>
        <v>45928+CANCELADO+IMPERATRIZ (MA) X SÃO LUIS (MA)</v>
      </c>
      <c r="F986" s="1" t="str">
        <f>_xlfn.CONCAT(tabE.Flux[[#This Row],[DATA]],"+",tabE.Flux[[#This Row],[MOTORISTA + MATRÍCULA B]],"+",tabE.Flux[[#This Row],[LINHA]])</f>
        <v>45928+CANCELADO+IMPERATRIZ (MA) X SÃO LUIS (MA)</v>
      </c>
      <c r="G986" s="1" t="str">
        <f>_xlfn.CONCAT(tabE.Flux[[#This Row],[DATA]],"+",tabE.Flux[[#This Row],[LINHA]])</f>
        <v>45928+IMPERATRIZ (MA) X SÃO LUIS (MA)</v>
      </c>
      <c r="H986" s="125">
        <v>45928</v>
      </c>
      <c r="I986" s="1" t="s">
        <v>15</v>
      </c>
      <c r="J986" s="1" t="s">
        <v>27</v>
      </c>
      <c r="K986" s="126">
        <v>0.77083333333333337</v>
      </c>
      <c r="L986" s="126">
        <v>0.8125</v>
      </c>
      <c r="M986" s="1" t="s">
        <v>16</v>
      </c>
      <c r="N986" s="1" t="s">
        <v>42</v>
      </c>
      <c r="O986" s="1" t="s">
        <v>27</v>
      </c>
      <c r="P986" s="1" t="s">
        <v>27</v>
      </c>
      <c r="Q986" s="1" t="s">
        <v>47</v>
      </c>
    </row>
    <row r="987" spans="3:17" x14ac:dyDescent="0.25">
      <c r="C987" s="1" t="str">
        <f>_xlfn.CONCAT(tabE.Flux[[#This Row],[DATA]],"+",tabE.Flux[[#This Row],[MOTORISTA + MATRÍCULA A]])</f>
        <v>45928+LUIZ CARLOS MARIANO SIQUEIRA - 5634</v>
      </c>
      <c r="D987" s="1" t="str">
        <f>_xlfn.CONCAT(tabE.Flux[[#This Row],[DATA]],"+",tabE.Flux[[#This Row],[MOTORISTA + MATRÍCULA B]])</f>
        <v>45928+EDIVALDO DE ARAUJO - 6217</v>
      </c>
      <c r="E987" s="1" t="str">
        <f>_xlfn.CONCAT(tabE.Flux[[#This Row],[DATA]],"+",tabE.Flux[[#This Row],[MOTORISTA + MATRÍCULA A]],"+",tabE.Flux[[#This Row],[LINHA]])</f>
        <v>45928+LUIZ CARLOS MARIANO SIQUEIRA - 5634+GOIANIA (GO) X SAO LUIS (MA)</v>
      </c>
      <c r="F987" s="1" t="str">
        <f>_xlfn.CONCAT(tabE.Flux[[#This Row],[DATA]],"+",tabE.Flux[[#This Row],[MOTORISTA + MATRÍCULA B]],"+",tabE.Flux[[#This Row],[LINHA]])</f>
        <v>45928+EDIVALDO DE ARAUJO - 6217+GOIANIA (GO) X SAO LUIS (MA)</v>
      </c>
      <c r="G987" s="1" t="str">
        <f>_xlfn.CONCAT(tabE.Flux[[#This Row],[DATA]],"+",tabE.Flux[[#This Row],[LINHA]])</f>
        <v>45928+GOIANIA (GO) X SAO LUIS (MA)</v>
      </c>
      <c r="H987" s="125">
        <v>45928</v>
      </c>
      <c r="I987" s="1" t="s">
        <v>15</v>
      </c>
      <c r="J987" s="1">
        <v>24014</v>
      </c>
      <c r="K987" s="126">
        <v>0.8125</v>
      </c>
      <c r="L987" s="126">
        <v>0.84375</v>
      </c>
      <c r="M987" s="1" t="s">
        <v>16</v>
      </c>
      <c r="N987" s="1" t="s">
        <v>42</v>
      </c>
      <c r="O987" s="1" t="s">
        <v>51</v>
      </c>
      <c r="P987" s="1" t="s">
        <v>55</v>
      </c>
      <c r="Q987" s="1" t="s">
        <v>23</v>
      </c>
    </row>
    <row r="988" spans="3:17" x14ac:dyDescent="0.25">
      <c r="C988" s="1" t="str">
        <f>_xlfn.CONCAT(tabE.Flux[[#This Row],[DATA]],"+",tabE.Flux[[#This Row],[MOTORISTA + MATRÍCULA A]])</f>
        <v>45928+LUIS ANTONIO FARIAS RIBEIRO - 2789</v>
      </c>
      <c r="D988" s="1" t="str">
        <f>_xlfn.CONCAT(tabE.Flux[[#This Row],[DATA]],"+",tabE.Flux[[#This Row],[MOTORISTA + MATRÍCULA B]])</f>
        <v>45928+MARCIO DE SOUSA BRASILEIRO - 5828</v>
      </c>
      <c r="E988" s="1" t="str">
        <f>_xlfn.CONCAT(tabE.Flux[[#This Row],[DATA]],"+",tabE.Flux[[#This Row],[MOTORISTA + MATRÍCULA A]],"+",tabE.Flux[[#This Row],[LINHA]])</f>
        <v>45928+LUIS ANTONIO FARIAS RIBEIRO - 2789+GOIANIA (GO) X TERESINA (PI) VIA STI</v>
      </c>
      <c r="F988" s="1" t="str">
        <f>_xlfn.CONCAT(tabE.Flux[[#This Row],[DATA]],"+",tabE.Flux[[#This Row],[MOTORISTA + MATRÍCULA B]],"+",tabE.Flux[[#This Row],[LINHA]])</f>
        <v>45928+MARCIO DE SOUSA BRASILEIRO - 5828+GOIANIA (GO) X TERESINA (PI) VIA STI</v>
      </c>
      <c r="G988" s="1" t="str">
        <f>_xlfn.CONCAT(tabE.Flux[[#This Row],[DATA]],"+",tabE.Flux[[#This Row],[LINHA]])</f>
        <v>45928+GOIANIA (GO) X TERESINA (PI) VIA STI</v>
      </c>
      <c r="H988" s="125">
        <v>45928</v>
      </c>
      <c r="I988" s="1" t="s">
        <v>15</v>
      </c>
      <c r="J988" s="1">
        <v>19006</v>
      </c>
      <c r="K988" s="126">
        <v>0.77083333333333337</v>
      </c>
      <c r="L988" s="126">
        <v>0.79861111111111116</v>
      </c>
      <c r="M988" s="1" t="s">
        <v>16</v>
      </c>
      <c r="N988" s="1" t="s">
        <v>29</v>
      </c>
      <c r="O988" s="1" t="s">
        <v>124</v>
      </c>
      <c r="P988" s="1" t="s">
        <v>129</v>
      </c>
      <c r="Q988" s="1" t="s">
        <v>26</v>
      </c>
    </row>
    <row r="989" spans="3:17" x14ac:dyDescent="0.25">
      <c r="C989" s="1" t="str">
        <f>_xlfn.CONCAT(tabE.Flux[[#This Row],[DATA]],"+",tabE.Flux[[#This Row],[MOTORISTA + MATRÍCULA A]])</f>
        <v>45928+CANCELADO</v>
      </c>
      <c r="D989" s="1" t="str">
        <f>_xlfn.CONCAT(tabE.Flux[[#This Row],[DATA]],"+",tabE.Flux[[#This Row],[MOTORISTA + MATRÍCULA B]])</f>
        <v>45928+CANCELADO</v>
      </c>
      <c r="E989" s="1" t="str">
        <f>_xlfn.CONCAT(tabE.Flux[[#This Row],[DATA]],"+",tabE.Flux[[#This Row],[MOTORISTA + MATRÍCULA A]],"+",tabE.Flux[[#This Row],[LINHA]])</f>
        <v>45928+CANCELADO+GOIANIA (GO) X SAO LUIS (MA)</v>
      </c>
      <c r="F989" s="1" t="str">
        <f>_xlfn.CONCAT(tabE.Flux[[#This Row],[DATA]],"+",tabE.Flux[[#This Row],[MOTORISTA + MATRÍCULA B]],"+",tabE.Flux[[#This Row],[LINHA]])</f>
        <v>45928+CANCELADO+GOIANIA (GO) X SAO LUIS (MA)</v>
      </c>
      <c r="G989" s="1" t="str">
        <f>_xlfn.CONCAT(tabE.Flux[[#This Row],[DATA]],"+",tabE.Flux[[#This Row],[LINHA]])</f>
        <v>45928+GOIANIA (GO) X SAO LUIS (MA)</v>
      </c>
      <c r="H989" s="125">
        <v>45928</v>
      </c>
      <c r="I989" s="1" t="s">
        <v>15</v>
      </c>
      <c r="J989" s="1" t="s">
        <v>27</v>
      </c>
      <c r="K989" s="126">
        <v>0.8125</v>
      </c>
      <c r="L989" s="126">
        <v>0.84166666666666667</v>
      </c>
      <c r="M989" s="1" t="s">
        <v>16</v>
      </c>
      <c r="N989" s="1" t="s">
        <v>17</v>
      </c>
      <c r="O989" s="1" t="s">
        <v>27</v>
      </c>
      <c r="P989" s="1" t="s">
        <v>27</v>
      </c>
      <c r="Q989" s="1" t="s">
        <v>23</v>
      </c>
    </row>
    <row r="990" spans="3:17" x14ac:dyDescent="0.25">
      <c r="C990" s="1" t="str">
        <f>_xlfn.CONCAT(tabE.Flux[[#This Row],[DATA]],"+",tabE.Flux[[#This Row],[MOTORISTA + MATRÍCULA A]])</f>
        <v>45928+LUIZ CARLOS DE ARAUJO - 1960</v>
      </c>
      <c r="D990" s="1" t="str">
        <f>_xlfn.CONCAT(tabE.Flux[[#This Row],[DATA]],"+",tabE.Flux[[#This Row],[MOTORISTA + MATRÍCULA B]])</f>
        <v>45928+LUIZ CARLOS GOMES DA SILVA - 1961</v>
      </c>
      <c r="E990" s="1" t="str">
        <f>_xlfn.CONCAT(tabE.Flux[[#This Row],[DATA]],"+",tabE.Flux[[#This Row],[MOTORISTA + MATRÍCULA A]],"+",tabE.Flux[[#This Row],[LINHA]])</f>
        <v>45928+LUIZ CARLOS DE ARAUJO - 1960+FORTALEZA (CE) X SINOP (MT)</v>
      </c>
      <c r="F990" s="1" t="str">
        <f>_xlfn.CONCAT(tabE.Flux[[#This Row],[DATA]],"+",tabE.Flux[[#This Row],[MOTORISTA + MATRÍCULA B]],"+",tabE.Flux[[#This Row],[LINHA]])</f>
        <v>45928+LUIZ CARLOS GOMES DA SILVA - 1961+FORTALEZA (CE) X SINOP (MT)</v>
      </c>
      <c r="G990" s="1" t="str">
        <f>_xlfn.CONCAT(tabE.Flux[[#This Row],[DATA]],"+",tabE.Flux[[#This Row],[LINHA]])</f>
        <v>45928+FORTALEZA (CE) X SINOP (MT)</v>
      </c>
      <c r="H990" s="125">
        <v>45928</v>
      </c>
      <c r="I990" s="1" t="s">
        <v>15</v>
      </c>
      <c r="J990" s="1">
        <v>20017</v>
      </c>
      <c r="K990" s="126">
        <v>0.8125</v>
      </c>
      <c r="L990" s="126">
        <v>0.85416666666666663</v>
      </c>
      <c r="M990" s="1" t="s">
        <v>16</v>
      </c>
      <c r="N990" s="1" t="s">
        <v>17</v>
      </c>
      <c r="O990" s="1" t="s">
        <v>24</v>
      </c>
      <c r="P990" s="1" t="s">
        <v>25</v>
      </c>
      <c r="Q990" s="1" t="s">
        <v>32</v>
      </c>
    </row>
    <row r="991" spans="3:17" x14ac:dyDescent="0.25">
      <c r="C991" s="1" t="str">
        <f>_xlfn.CONCAT(tabE.Flux[[#This Row],[DATA]],"+",tabE.Flux[[#This Row],[MOTORISTA + MATRÍCULA A]])</f>
        <v>45928+CANCELADO</v>
      </c>
      <c r="D991" s="1" t="str">
        <f>_xlfn.CONCAT(tabE.Flux[[#This Row],[DATA]],"+",tabE.Flux[[#This Row],[MOTORISTA + MATRÍCULA B]])</f>
        <v>45928+CANCELADO</v>
      </c>
      <c r="E991" s="1" t="str">
        <f>_xlfn.CONCAT(tabE.Flux[[#This Row],[DATA]],"+",tabE.Flux[[#This Row],[MOTORISTA + MATRÍCULA A]],"+",tabE.Flux[[#This Row],[LINHA]])</f>
        <v>45928+CANCELADO+GOIANIA (GO) X BELEM (PA)</v>
      </c>
      <c r="F991" s="1" t="str">
        <f>_xlfn.CONCAT(tabE.Flux[[#This Row],[DATA]],"+",tabE.Flux[[#This Row],[MOTORISTA + MATRÍCULA B]],"+",tabE.Flux[[#This Row],[LINHA]])</f>
        <v>45928+CANCELADO+GOIANIA (GO) X BELEM (PA)</v>
      </c>
      <c r="G991" s="1" t="str">
        <f>_xlfn.CONCAT(tabE.Flux[[#This Row],[DATA]],"+",tabE.Flux[[#This Row],[LINHA]])</f>
        <v>45928+GOIANIA (GO) X BELEM (PA)</v>
      </c>
      <c r="H991" s="125">
        <v>45928</v>
      </c>
      <c r="I991" s="1" t="s">
        <v>15</v>
      </c>
      <c r="J991" s="1" t="s">
        <v>27</v>
      </c>
      <c r="K991" s="126">
        <v>0.84722222222222221</v>
      </c>
      <c r="L991" s="126">
        <v>0.87847222222222221</v>
      </c>
      <c r="M991" s="1" t="s">
        <v>16</v>
      </c>
      <c r="N991" s="1" t="s">
        <v>17</v>
      </c>
      <c r="O991" s="1" t="s">
        <v>27</v>
      </c>
      <c r="P991" s="1" t="s">
        <v>27</v>
      </c>
      <c r="Q991" s="1" t="s">
        <v>20</v>
      </c>
    </row>
    <row r="992" spans="3:17" x14ac:dyDescent="0.25">
      <c r="C992" s="1" t="str">
        <f>_xlfn.CONCAT(tabE.Flux[[#This Row],[DATA]],"+",tabE.Flux[[#This Row],[MOTORISTA + MATRÍCULA A]])</f>
        <v>+</v>
      </c>
      <c r="D992" s="1" t="str">
        <f>_xlfn.CONCAT(tabE.Flux[[#This Row],[DATA]],"+",tabE.Flux[[#This Row],[MOTORISTA + MATRÍCULA B]])</f>
        <v>+</v>
      </c>
      <c r="E992" s="1" t="str">
        <f>_xlfn.CONCAT(tabE.Flux[[#This Row],[DATA]],"+",tabE.Flux[[#This Row],[MOTORISTA + MATRÍCULA A]],"+",tabE.Flux[[#This Row],[LINHA]])</f>
        <v>++</v>
      </c>
      <c r="F992" s="1" t="str">
        <f>_xlfn.CONCAT(tabE.Flux[[#This Row],[DATA]],"+",tabE.Flux[[#This Row],[MOTORISTA + MATRÍCULA B]],"+",tabE.Flux[[#This Row],[LINHA]])</f>
        <v>++</v>
      </c>
      <c r="G992" s="1" t="str">
        <f>_xlfn.CONCAT(tabE.Flux[[#This Row],[DATA]],"+",tabE.Flux[[#This Row],[LINHA]])</f>
        <v>+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3:17" x14ac:dyDescent="0.25">
      <c r="C993" s="1" t="str">
        <f>_xlfn.CONCAT(tabE.Flux[[#This Row],[DATA]],"+",tabE.Flux[[#This Row],[MOTORISTA + MATRÍCULA A]])</f>
        <v>45929+JOAO BATISTA DA SILVA - 1823</v>
      </c>
      <c r="D993" s="1" t="str">
        <f>_xlfn.CONCAT(tabE.Flux[[#This Row],[DATA]],"+",tabE.Flux[[#This Row],[MOTORISTA + MATRÍCULA B]])</f>
        <v>45929+GENIVAL MIRANDA LEITE - 1953</v>
      </c>
      <c r="E993" s="1" t="str">
        <f>_xlfn.CONCAT(tabE.Flux[[#This Row],[DATA]],"+",tabE.Flux[[#This Row],[MOTORISTA + MATRÍCULA A]],"+",tabE.Flux[[#This Row],[LINHA]])</f>
        <v>45929+JOAO BATISTA DA SILVA - 1823+GOIANIA (GO) X BELEM (PA)</v>
      </c>
      <c r="F993" s="1" t="str">
        <f>_xlfn.CONCAT(tabE.Flux[[#This Row],[DATA]],"+",tabE.Flux[[#This Row],[MOTORISTA + MATRÍCULA B]],"+",tabE.Flux[[#This Row],[LINHA]])</f>
        <v>45929+GENIVAL MIRANDA LEITE - 1953+GOIANIA (GO) X BELEM (PA)</v>
      </c>
      <c r="G993" s="1" t="str">
        <f>_xlfn.CONCAT(tabE.Flux[[#This Row],[DATA]],"+",tabE.Flux[[#This Row],[LINHA]])</f>
        <v>45929+GOIANIA (GO) X BELEM (PA)</v>
      </c>
      <c r="H993" s="125">
        <v>45929</v>
      </c>
      <c r="I993" s="1" t="s">
        <v>15</v>
      </c>
      <c r="J993" s="1">
        <v>24010</v>
      </c>
      <c r="K993" s="126">
        <v>0.25486111111111109</v>
      </c>
      <c r="L993" s="126">
        <v>0.3</v>
      </c>
      <c r="M993" s="1" t="s">
        <v>16</v>
      </c>
      <c r="N993" s="1" t="s">
        <v>17</v>
      </c>
      <c r="O993" s="1" t="s">
        <v>253</v>
      </c>
      <c r="P993" s="1" t="s">
        <v>252</v>
      </c>
      <c r="Q993" s="1" t="s">
        <v>20</v>
      </c>
    </row>
    <row r="994" spans="3:17" x14ac:dyDescent="0.25">
      <c r="C994" s="1" t="str">
        <f>_xlfn.CONCAT(tabE.Flux[[#This Row],[DATA]],"+",tabE.Flux[[#This Row],[MOTORISTA + MATRÍCULA A]])</f>
        <v>45929+NILSON CORTEZ MIRANDA - 5636</v>
      </c>
      <c r="D994" s="1" t="str">
        <f>_xlfn.CONCAT(tabE.Flux[[#This Row],[DATA]],"+",tabE.Flux[[#This Row],[MOTORISTA + MATRÍCULA B]])</f>
        <v>45929+WESLEY SILVA PAIVA - 5638</v>
      </c>
      <c r="E994" s="1" t="str">
        <f>_xlfn.CONCAT(tabE.Flux[[#This Row],[DATA]],"+",tabE.Flux[[#This Row],[MOTORISTA + MATRÍCULA A]],"+",tabE.Flux[[#This Row],[LINHA]])</f>
        <v>45929+NILSON CORTEZ MIRANDA - 5636+GOIANIA (GO) X SAO LUIS (MA)</v>
      </c>
      <c r="F994" s="1" t="str">
        <f>_xlfn.CONCAT(tabE.Flux[[#This Row],[DATA]],"+",tabE.Flux[[#This Row],[MOTORISTA + MATRÍCULA B]],"+",tabE.Flux[[#This Row],[LINHA]])</f>
        <v>45929+WESLEY SILVA PAIVA - 5638+GOIANIA (GO) X SAO LUIS (MA)</v>
      </c>
      <c r="G994" s="1" t="str">
        <f>_xlfn.CONCAT(tabE.Flux[[#This Row],[DATA]],"+",tabE.Flux[[#This Row],[LINHA]])</f>
        <v>45929+GOIANIA (GO) X SAO LUIS (MA)</v>
      </c>
      <c r="H994" s="125">
        <v>45929</v>
      </c>
      <c r="I994" s="1" t="s">
        <v>15</v>
      </c>
      <c r="J994" s="1">
        <v>24013</v>
      </c>
      <c r="K994" s="126">
        <v>0.32291666666666669</v>
      </c>
      <c r="L994" s="126">
        <v>0.33333333333333331</v>
      </c>
      <c r="M994" s="1" t="s">
        <v>16</v>
      </c>
      <c r="N994" s="1" t="s">
        <v>17</v>
      </c>
      <c r="O994" s="1" t="s">
        <v>75</v>
      </c>
      <c r="P994" s="1" t="s">
        <v>112</v>
      </c>
      <c r="Q994" s="1" t="s">
        <v>23</v>
      </c>
    </row>
    <row r="995" spans="3:17" x14ac:dyDescent="0.25">
      <c r="C995" s="1" t="str">
        <f>_xlfn.CONCAT(tabE.Flux[[#This Row],[DATA]],"+",tabE.Flux[[#This Row],[MOTORISTA + MATRÍCULA A]])</f>
        <v>45929+JAME DOS SANTOS MOURA - 5332</v>
      </c>
      <c r="D995" s="1" t="str">
        <f>_xlfn.CONCAT(tabE.Flux[[#This Row],[DATA]],"+",tabE.Flux[[#This Row],[MOTORISTA + MATRÍCULA B]])</f>
        <v>45929+JOSE CARLOS BEZERRA DA SILVA - 3034</v>
      </c>
      <c r="E995" s="1" t="str">
        <f>_xlfn.CONCAT(tabE.Flux[[#This Row],[DATA]],"+",tabE.Flux[[#This Row],[MOTORISTA + MATRÍCULA A]],"+",tabE.Flux[[#This Row],[LINHA]])</f>
        <v>45929+JAME DOS SANTOS MOURA - 5332+GOIANIA (GO) X TERESINA (PI) VIA STI</v>
      </c>
      <c r="F995" s="1" t="str">
        <f>_xlfn.CONCAT(tabE.Flux[[#This Row],[DATA]],"+",tabE.Flux[[#This Row],[MOTORISTA + MATRÍCULA B]],"+",tabE.Flux[[#This Row],[LINHA]])</f>
        <v>45929+JOSE CARLOS BEZERRA DA SILVA - 3034+GOIANIA (GO) X TERESINA (PI) VIA STI</v>
      </c>
      <c r="G995" s="1" t="str">
        <f>_xlfn.CONCAT(tabE.Flux[[#This Row],[DATA]],"+",tabE.Flux[[#This Row],[LINHA]])</f>
        <v>45929+GOIANIA (GO) X TERESINA (PI) VIA STI</v>
      </c>
      <c r="H995" s="125">
        <v>45929</v>
      </c>
      <c r="I995" s="1" t="s">
        <v>15</v>
      </c>
      <c r="J995" s="1">
        <v>19016</v>
      </c>
      <c r="K995" s="126">
        <v>0.3888888888888889</v>
      </c>
      <c r="L995" s="126">
        <v>0.39583333333333331</v>
      </c>
      <c r="M995" s="1" t="s">
        <v>16</v>
      </c>
      <c r="N995" s="1" t="s">
        <v>17</v>
      </c>
      <c r="O995" s="1" t="s">
        <v>103</v>
      </c>
      <c r="P995" s="1" t="s">
        <v>76</v>
      </c>
      <c r="Q995" s="1" t="s">
        <v>26</v>
      </c>
    </row>
    <row r="996" spans="3:17" x14ac:dyDescent="0.25">
      <c r="C996" s="1" t="str">
        <f>_xlfn.CONCAT(tabE.Flux[[#This Row],[DATA]],"+",tabE.Flux[[#This Row],[MOTORISTA + MATRÍCULA A]])</f>
        <v>45929+CANCELADO</v>
      </c>
      <c r="D996" s="1" t="str">
        <f>_xlfn.CONCAT(tabE.Flux[[#This Row],[DATA]],"+",tabE.Flux[[#This Row],[MOTORISTA + MATRÍCULA B]])</f>
        <v>45929+CANCELADO</v>
      </c>
      <c r="E996" s="1" t="str">
        <f>_xlfn.CONCAT(tabE.Flux[[#This Row],[DATA]],"+",tabE.Flux[[#This Row],[MOTORISTA + MATRÍCULA A]],"+",tabE.Flux[[#This Row],[LINHA]])</f>
        <v>45929+CANCELADO+</v>
      </c>
      <c r="F996" s="1" t="str">
        <f>_xlfn.CONCAT(tabE.Flux[[#This Row],[DATA]],"+",tabE.Flux[[#This Row],[MOTORISTA + MATRÍCULA B]],"+",tabE.Flux[[#This Row],[LINHA]])</f>
        <v>45929+CANCELADO+</v>
      </c>
      <c r="G996" s="1" t="str">
        <f>_xlfn.CONCAT(tabE.Flux[[#This Row],[DATA]],"+",tabE.Flux[[#This Row],[LINHA]])</f>
        <v>45929+</v>
      </c>
      <c r="H996" s="125">
        <v>45929</v>
      </c>
      <c r="I996" s="1" t="s">
        <v>15</v>
      </c>
      <c r="J996" s="1" t="s">
        <v>27</v>
      </c>
      <c r="K996" s="126">
        <v>0.375</v>
      </c>
      <c r="L996" s="126">
        <v>0.41666666666666669</v>
      </c>
      <c r="M996" s="1" t="s">
        <v>16</v>
      </c>
      <c r="N996" s="1" t="s">
        <v>28</v>
      </c>
      <c r="O996" s="1" t="s">
        <v>27</v>
      </c>
      <c r="P996" s="1" t="s">
        <v>27</v>
      </c>
      <c r="Q996" s="1"/>
    </row>
    <row r="997" spans="3:17" x14ac:dyDescent="0.25">
      <c r="C997" s="1" t="str">
        <f>_xlfn.CONCAT(tabE.Flux[[#This Row],[DATA]],"+",tabE.Flux[[#This Row],[MOTORISTA + MATRÍCULA A]])</f>
        <v>45929+ANTONIO MARCIO DE SENA RIBEIRO CHAVES - 5061</v>
      </c>
      <c r="D997" s="1" t="str">
        <f>_xlfn.CONCAT(tabE.Flux[[#This Row],[DATA]],"+",tabE.Flux[[#This Row],[MOTORISTA + MATRÍCULA B]])</f>
        <v>45929+RAIMUNDO NONATO MAGALHAES DO NASCIMENTO - 5662</v>
      </c>
      <c r="E997" s="1" t="str">
        <f>_xlfn.CONCAT(tabE.Flux[[#This Row],[DATA]],"+",tabE.Flux[[#This Row],[MOTORISTA + MATRÍCULA A]],"+",tabE.Flux[[#This Row],[LINHA]])</f>
        <v>45929+ANTONIO MARCIO DE SENA RIBEIRO CHAVES - 5061+FORTALEZA (CE) X SINOP (MT)</v>
      </c>
      <c r="F997" s="1" t="str">
        <f>_xlfn.CONCAT(tabE.Flux[[#This Row],[DATA]],"+",tabE.Flux[[#This Row],[MOTORISTA + MATRÍCULA B]],"+",tabE.Flux[[#This Row],[LINHA]])</f>
        <v>45929+RAIMUNDO NONATO MAGALHAES DO NASCIMENTO - 5662+FORTALEZA (CE) X SINOP (MT)</v>
      </c>
      <c r="G997" s="1" t="str">
        <f>_xlfn.CONCAT(tabE.Flux[[#This Row],[DATA]],"+",tabE.Flux[[#This Row],[LINHA]])</f>
        <v>45929+FORTALEZA (CE) X SINOP (MT)</v>
      </c>
      <c r="H997" s="125">
        <v>45929</v>
      </c>
      <c r="I997" s="1" t="s">
        <v>15</v>
      </c>
      <c r="J997" s="1">
        <v>19020</v>
      </c>
      <c r="K997" s="126">
        <v>0.3888888888888889</v>
      </c>
      <c r="L997" s="126">
        <v>0.37708333333333333</v>
      </c>
      <c r="M997" s="1" t="s">
        <v>16</v>
      </c>
      <c r="N997" s="1" t="s">
        <v>29</v>
      </c>
      <c r="O997" s="1" t="s">
        <v>235</v>
      </c>
      <c r="P997" s="1" t="s">
        <v>101</v>
      </c>
      <c r="Q997" s="1" t="s">
        <v>32</v>
      </c>
    </row>
    <row r="998" spans="3:17" x14ac:dyDescent="0.25">
      <c r="C998" s="1" t="str">
        <f>_xlfn.CONCAT(tabE.Flux[[#This Row],[DATA]],"+",tabE.Flux[[#This Row],[MOTORISTA + MATRÍCULA A]])</f>
        <v>45929+ESIEL COSTA RODRIGUES - 1749</v>
      </c>
      <c r="D998" s="1" t="str">
        <f>_xlfn.CONCAT(tabE.Flux[[#This Row],[DATA]],"+",tabE.Flux[[#This Row],[MOTORISTA + MATRÍCULA B]])</f>
        <v>45929+FRANCISCO ALVES DA PAZ JUNIOR - 1247</v>
      </c>
      <c r="E998" s="1" t="str">
        <f>_xlfn.CONCAT(tabE.Flux[[#This Row],[DATA]],"+",tabE.Flux[[#This Row],[MOTORISTA + MATRÍCULA A]],"+",tabE.Flux[[#This Row],[LINHA]])</f>
        <v>45929+ESIEL COSTA RODRIGUES - 1749+GOIANIA (GO) X BELEM (PA)</v>
      </c>
      <c r="F998" s="1" t="str">
        <f>_xlfn.CONCAT(tabE.Flux[[#This Row],[DATA]],"+",tabE.Flux[[#This Row],[MOTORISTA + MATRÍCULA B]],"+",tabE.Flux[[#This Row],[LINHA]])</f>
        <v>45929+FRANCISCO ALVES DA PAZ JUNIOR - 1247+GOIANIA (GO) X BELEM (PA)</v>
      </c>
      <c r="G998" s="1" t="str">
        <f>_xlfn.CONCAT(tabE.Flux[[#This Row],[DATA]],"+",tabE.Flux[[#This Row],[LINHA]])</f>
        <v>45929+GOIANIA (GO) X BELEM (PA)</v>
      </c>
      <c r="H998" s="125">
        <v>45929</v>
      </c>
      <c r="I998" s="1" t="s">
        <v>15</v>
      </c>
      <c r="J998" s="1">
        <v>17200</v>
      </c>
      <c r="K998" s="126">
        <v>0.38958333333333334</v>
      </c>
      <c r="L998" s="126">
        <v>0.38541666666666669</v>
      </c>
      <c r="M998" s="1" t="s">
        <v>16</v>
      </c>
      <c r="N998" s="1" t="s">
        <v>33</v>
      </c>
      <c r="O998" s="1" t="s">
        <v>46</v>
      </c>
      <c r="P998" s="1" t="s">
        <v>144</v>
      </c>
      <c r="Q998" s="1" t="s">
        <v>20</v>
      </c>
    </row>
    <row r="999" spans="3:17" x14ac:dyDescent="0.25">
      <c r="C999" s="1" t="str">
        <f>_xlfn.CONCAT(tabE.Flux[[#This Row],[DATA]],"+",tabE.Flux[[#This Row],[MOTORISTA + MATRÍCULA A]])</f>
        <v>45929+JOSE HAILTON PEREIRA DOS SANTOS - 6018</v>
      </c>
      <c r="D999" s="1" t="str">
        <f>_xlfn.CONCAT(tabE.Flux[[#This Row],[DATA]],"+",tabE.Flux[[#This Row],[MOTORISTA + MATRÍCULA B]])</f>
        <v>45929+JOAO FLAVIO DE SOUSA SILVA - 5270</v>
      </c>
      <c r="E999" s="1" t="str">
        <f>_xlfn.CONCAT(tabE.Flux[[#This Row],[DATA]],"+",tabE.Flux[[#This Row],[MOTORISTA + MATRÍCULA A]],"+",tabE.Flux[[#This Row],[LINHA]])</f>
        <v>45929+JOSE HAILTON PEREIRA DOS SANTOS - 6018+GOIANIA (GO) X TERESINA (PI) VIA BC</v>
      </c>
      <c r="F999" s="1" t="str">
        <f>_xlfn.CONCAT(tabE.Flux[[#This Row],[DATA]],"+",tabE.Flux[[#This Row],[MOTORISTA + MATRÍCULA B]],"+",tabE.Flux[[#This Row],[LINHA]])</f>
        <v>45929+JOAO FLAVIO DE SOUSA SILVA - 5270+GOIANIA (GO) X TERESINA (PI) VIA BC</v>
      </c>
      <c r="G999" s="1" t="str">
        <f>_xlfn.CONCAT(tabE.Flux[[#This Row],[DATA]],"+",tabE.Flux[[#This Row],[LINHA]])</f>
        <v>45929+GOIANIA (GO) X TERESINA (PI) VIA BC</v>
      </c>
      <c r="H999" s="125">
        <v>45929</v>
      </c>
      <c r="I999" s="1" t="s">
        <v>15</v>
      </c>
      <c r="J999" s="1">
        <v>25011</v>
      </c>
      <c r="K999" s="126">
        <v>0.375</v>
      </c>
      <c r="L999" s="126">
        <v>0.39930555555555558</v>
      </c>
      <c r="M999" s="1" t="s">
        <v>36</v>
      </c>
      <c r="N999" s="1" t="s">
        <v>29</v>
      </c>
      <c r="O999" s="1" t="s">
        <v>141</v>
      </c>
      <c r="P999" s="1" t="s">
        <v>222</v>
      </c>
      <c r="Q999" s="1" t="s">
        <v>39</v>
      </c>
    </row>
    <row r="1000" spans="3:17" x14ac:dyDescent="0.25">
      <c r="C1000" s="1" t="str">
        <f>_xlfn.CONCAT(tabE.Flux[[#This Row],[DATA]],"+",tabE.Flux[[#This Row],[MOTORISTA + MATRÍCULA A]])</f>
        <v>45929+EDUARDO SANTOS BEZERRA - 4066</v>
      </c>
      <c r="D1000" s="1" t="str">
        <f>_xlfn.CONCAT(tabE.Flux[[#This Row],[DATA]],"+",tabE.Flux[[#This Row],[MOTORISTA + MATRÍCULA B]])</f>
        <v>45929+JOAO FERREIRA COSTA - 5545</v>
      </c>
      <c r="E1000" s="1" t="str">
        <f>_xlfn.CONCAT(tabE.Flux[[#This Row],[DATA]],"+",tabE.Flux[[#This Row],[MOTORISTA + MATRÍCULA A]],"+",tabE.Flux[[#This Row],[LINHA]])</f>
        <v>45929+EDUARDO SANTOS BEZERRA - 4066+GOIANIA (GO) X BELEM (PA)</v>
      </c>
      <c r="F1000" s="1" t="str">
        <f>_xlfn.CONCAT(tabE.Flux[[#This Row],[DATA]],"+",tabE.Flux[[#This Row],[MOTORISTA + MATRÍCULA B]],"+",tabE.Flux[[#This Row],[LINHA]])</f>
        <v>45929+JOAO FERREIRA COSTA - 5545+GOIANIA (GO) X BELEM (PA)</v>
      </c>
      <c r="G1000" s="1" t="str">
        <f>_xlfn.CONCAT(tabE.Flux[[#This Row],[DATA]],"+",tabE.Flux[[#This Row],[LINHA]])</f>
        <v>45929+GOIANIA (GO) X BELEM (PA)</v>
      </c>
      <c r="H1000" s="125">
        <v>45929</v>
      </c>
      <c r="I1000" s="1" t="s">
        <v>15</v>
      </c>
      <c r="J1000" s="1">
        <v>19002</v>
      </c>
      <c r="K1000" s="126">
        <v>0.375</v>
      </c>
      <c r="L1000" s="126">
        <v>0.41666666666666669</v>
      </c>
      <c r="M1000" s="1" t="s">
        <v>33</v>
      </c>
      <c r="N1000" s="1" t="s">
        <v>16</v>
      </c>
      <c r="O1000" s="1" t="s">
        <v>148</v>
      </c>
      <c r="P1000" s="1" t="s">
        <v>61</v>
      </c>
      <c r="Q1000" s="1" t="s">
        <v>20</v>
      </c>
    </row>
    <row r="1001" spans="3:17" x14ac:dyDescent="0.25">
      <c r="C1001" s="1" t="str">
        <f>_xlfn.CONCAT(tabE.Flux[[#This Row],[DATA]],"+",tabE.Flux[[#This Row],[MOTORISTA + MATRÍCULA A]])</f>
        <v>45929+CARLOS ADRIANO DE SOUZA DO NASCIMENTO - 6222</v>
      </c>
      <c r="D1001" s="1" t="str">
        <f>_xlfn.CONCAT(tabE.Flux[[#This Row],[DATA]],"+",tabE.Flux[[#This Row],[MOTORISTA + MATRÍCULA B]])</f>
        <v>45929+JEFFERSON CARDOSO DOS SANTOS - 5837</v>
      </c>
      <c r="E1001" s="1" t="str">
        <f>_xlfn.CONCAT(tabE.Flux[[#This Row],[DATA]],"+",tabE.Flux[[#This Row],[MOTORISTA + MATRÍCULA A]],"+",tabE.Flux[[#This Row],[LINHA]])</f>
        <v>45929+CARLOS ADRIANO DE SOUZA DO NASCIMENTO - 6222+GOIANIA (GO) X SAO LUIS (MA)</v>
      </c>
      <c r="F1001" s="1" t="str">
        <f>_xlfn.CONCAT(tabE.Flux[[#This Row],[DATA]],"+",tabE.Flux[[#This Row],[MOTORISTA + MATRÍCULA B]],"+",tabE.Flux[[#This Row],[LINHA]])</f>
        <v>45929+JEFFERSON CARDOSO DOS SANTOS - 5837+GOIANIA (GO) X SAO LUIS (MA)</v>
      </c>
      <c r="G1001" s="1" t="str">
        <f>_xlfn.CONCAT(tabE.Flux[[#This Row],[DATA]],"+",tabE.Flux[[#This Row],[LINHA]])</f>
        <v>45929+GOIANIA (GO) X SAO LUIS (MA)</v>
      </c>
      <c r="H1001" s="125">
        <v>45929</v>
      </c>
      <c r="I1001" s="1" t="s">
        <v>15</v>
      </c>
      <c r="J1001" s="1">
        <v>20018</v>
      </c>
      <c r="K1001" s="126">
        <v>0.25</v>
      </c>
      <c r="L1001" s="126">
        <v>0.29166666666666669</v>
      </c>
      <c r="M1001" s="1" t="s">
        <v>42</v>
      </c>
      <c r="N1001" s="1" t="s">
        <v>16</v>
      </c>
      <c r="O1001" s="1" t="s">
        <v>110</v>
      </c>
      <c r="P1001" s="1" t="s">
        <v>30</v>
      </c>
      <c r="Q1001" s="1" t="s">
        <v>23</v>
      </c>
    </row>
    <row r="1002" spans="3:17" x14ac:dyDescent="0.25">
      <c r="C1002" s="1" t="str">
        <f>_xlfn.CONCAT(tabE.Flux[[#This Row],[DATA]],"+",tabE.Flux[[#This Row],[MOTORISTA + MATRÍCULA A]])</f>
        <v>45929+PAULO ENEAS FARIAS ARAUJO - 6218</v>
      </c>
      <c r="D1002" s="1" t="str">
        <f>_xlfn.CONCAT(tabE.Flux[[#This Row],[DATA]],"+",tabE.Flux[[#This Row],[MOTORISTA + MATRÍCULA B]])</f>
        <v>45929+LUIZ CARLOS MARIANO SIQUEIRA - 5634</v>
      </c>
      <c r="E1002" s="1" t="str">
        <f>_xlfn.CONCAT(tabE.Flux[[#This Row],[DATA]],"+",tabE.Flux[[#This Row],[MOTORISTA + MATRÍCULA A]],"+",tabE.Flux[[#This Row],[LINHA]])</f>
        <v>45929+PAULO ENEAS FARIAS ARAUJO - 6218+GOIANIA (GO) X SAO LUIS (MA)</v>
      </c>
      <c r="F1002" s="1" t="str">
        <f>_xlfn.CONCAT(tabE.Flux[[#This Row],[DATA]],"+",tabE.Flux[[#This Row],[MOTORISTA + MATRÍCULA B]],"+",tabE.Flux[[#This Row],[LINHA]])</f>
        <v>45929+LUIZ CARLOS MARIANO SIQUEIRA - 5634+GOIANIA (GO) X SAO LUIS (MA)</v>
      </c>
      <c r="G1002" s="1" t="str">
        <f>_xlfn.CONCAT(tabE.Flux[[#This Row],[DATA]],"+",tabE.Flux[[#This Row],[LINHA]])</f>
        <v>45929+GOIANIA (GO) X SAO LUIS (MA)</v>
      </c>
      <c r="H1002" s="125">
        <v>45929</v>
      </c>
      <c r="I1002" s="1" t="s">
        <v>15</v>
      </c>
      <c r="J1002" s="1">
        <v>24014</v>
      </c>
      <c r="K1002" s="126">
        <v>0.75</v>
      </c>
      <c r="L1002" s="126">
        <v>0.79166666666666663</v>
      </c>
      <c r="M1002" s="1" t="s">
        <v>42</v>
      </c>
      <c r="N1002" s="1" t="s">
        <v>16</v>
      </c>
      <c r="O1002" s="1" t="s">
        <v>43</v>
      </c>
      <c r="P1002" s="1" t="s">
        <v>51</v>
      </c>
      <c r="Q1002" s="1" t="s">
        <v>23</v>
      </c>
    </row>
    <row r="1003" spans="3:17" x14ac:dyDescent="0.25">
      <c r="C1003" s="1" t="str">
        <f>_xlfn.CONCAT(tabE.Flux[[#This Row],[DATA]],"+",tabE.Flux[[#This Row],[MOTORISTA + MATRÍCULA A]])</f>
        <v>45929+CANCELADO</v>
      </c>
      <c r="D1003" s="1" t="str">
        <f>_xlfn.CONCAT(tabE.Flux[[#This Row],[DATA]],"+",tabE.Flux[[#This Row],[MOTORISTA + MATRÍCULA B]])</f>
        <v>45929+CANCELADO</v>
      </c>
      <c r="E1003" s="1" t="str">
        <f>_xlfn.CONCAT(tabE.Flux[[#This Row],[DATA]],"+",tabE.Flux[[#This Row],[MOTORISTA + MATRÍCULA A]],"+",tabE.Flux[[#This Row],[LINHA]])</f>
        <v>45929+CANCELADO+IMPERATRIZ (MA) X SÃO LUIS (MA)</v>
      </c>
      <c r="F1003" s="1" t="str">
        <f>_xlfn.CONCAT(tabE.Flux[[#This Row],[DATA]],"+",tabE.Flux[[#This Row],[MOTORISTA + MATRÍCULA B]],"+",tabE.Flux[[#This Row],[LINHA]])</f>
        <v>45929+CANCELADO+IMPERATRIZ (MA) X SÃO LUIS (MA)</v>
      </c>
      <c r="G1003" s="1" t="str">
        <f>_xlfn.CONCAT(tabE.Flux[[#This Row],[DATA]],"+",tabE.Flux[[#This Row],[LINHA]])</f>
        <v>45929+IMPERATRIZ (MA) X SÃO LUIS (MA)</v>
      </c>
      <c r="H1003" s="125">
        <v>45929</v>
      </c>
      <c r="I1003" s="1" t="s">
        <v>15</v>
      </c>
      <c r="J1003" s="1" t="s">
        <v>27</v>
      </c>
      <c r="K1003" s="126">
        <v>0.77083333333333337</v>
      </c>
      <c r="L1003" s="126">
        <v>0.79513888888888884</v>
      </c>
      <c r="M1003" s="1" t="s">
        <v>42</v>
      </c>
      <c r="N1003" s="1" t="s">
        <v>16</v>
      </c>
      <c r="O1003" s="1" t="s">
        <v>27</v>
      </c>
      <c r="P1003" s="1" t="s">
        <v>27</v>
      </c>
      <c r="Q1003" s="1" t="s">
        <v>47</v>
      </c>
    </row>
    <row r="1004" spans="3:17" x14ac:dyDescent="0.25">
      <c r="C1004" s="1" t="str">
        <f>_xlfn.CONCAT(tabE.Flux[[#This Row],[DATA]],"+",tabE.Flux[[#This Row],[MOTORISTA + MATRÍCULA A]])</f>
        <v>45929+HILTON RODRIGUES DA COSTA - 866</v>
      </c>
      <c r="D1004" s="1" t="str">
        <f>_xlfn.CONCAT(tabE.Flux[[#This Row],[DATA]],"+",tabE.Flux[[#This Row],[MOTORISTA + MATRÍCULA B]])</f>
        <v>45929+DJALMA SOARES GUIMARAES - 1948</v>
      </c>
      <c r="E1004" s="1" t="str">
        <f>_xlfn.CONCAT(tabE.Flux[[#This Row],[DATA]],"+",tabE.Flux[[#This Row],[MOTORISTA + MATRÍCULA A]],"+",tabE.Flux[[#This Row],[LINHA]])</f>
        <v>45929+HILTON RODRIGUES DA COSTA - 866+GOIANIA (GO) X TERESINA (PI) VIA BC</v>
      </c>
      <c r="F1004" s="1" t="str">
        <f>_xlfn.CONCAT(tabE.Flux[[#This Row],[DATA]],"+",tabE.Flux[[#This Row],[MOTORISTA + MATRÍCULA B]],"+",tabE.Flux[[#This Row],[LINHA]])</f>
        <v>45929+DJALMA SOARES GUIMARAES - 1948+GOIANIA (GO) X TERESINA (PI) VIA BC</v>
      </c>
      <c r="G1004" s="1" t="str">
        <f>_xlfn.CONCAT(tabE.Flux[[#This Row],[DATA]],"+",tabE.Flux[[#This Row],[LINHA]])</f>
        <v>45929+GOIANIA (GO) X TERESINA (PI) VIA BC</v>
      </c>
      <c r="H1004" s="125">
        <v>45929</v>
      </c>
      <c r="I1004" s="1" t="s">
        <v>15</v>
      </c>
      <c r="J1004" s="1">
        <v>25007</v>
      </c>
      <c r="K1004" s="126">
        <v>0.89583333333333337</v>
      </c>
      <c r="L1004" s="126">
        <v>0.91666666666666663</v>
      </c>
      <c r="M1004" s="1" t="s">
        <v>36</v>
      </c>
      <c r="N1004" s="1" t="s">
        <v>17</v>
      </c>
      <c r="O1004" s="1" t="s">
        <v>256</v>
      </c>
      <c r="P1004" s="1" t="s">
        <v>237</v>
      </c>
      <c r="Q1004" s="1" t="s">
        <v>39</v>
      </c>
    </row>
    <row r="1005" spans="3:17" x14ac:dyDescent="0.25">
      <c r="C1005" s="1" t="str">
        <f>_xlfn.CONCAT(tabE.Flux[[#This Row],[DATA]],"+",tabE.Flux[[#This Row],[MOTORISTA + MATRÍCULA A]])</f>
        <v>45929+JOSE POLICARPO DE SOUSA NETO - 1472</v>
      </c>
      <c r="D1005" s="1" t="str">
        <f>_xlfn.CONCAT(tabE.Flux[[#This Row],[DATA]],"+",tabE.Flux[[#This Row],[MOTORISTA + MATRÍCULA B]])</f>
        <v>45929+JOSE ALVES DE FREITAS NETO - 5027</v>
      </c>
      <c r="E1005" s="1" t="str">
        <f>_xlfn.CONCAT(tabE.Flux[[#This Row],[DATA]],"+",tabE.Flux[[#This Row],[MOTORISTA + MATRÍCULA A]],"+",tabE.Flux[[#This Row],[LINHA]])</f>
        <v>45929+JOSE POLICARPO DE SOUSA NETO - 1472+GOIANIA (GO) X BELEM (PA)</v>
      </c>
      <c r="F1005" s="1" t="str">
        <f>_xlfn.CONCAT(tabE.Flux[[#This Row],[DATA]],"+",tabE.Flux[[#This Row],[MOTORISTA + MATRÍCULA B]],"+",tabE.Flux[[#This Row],[LINHA]])</f>
        <v>45929+JOSE ALVES DE FREITAS NETO - 5027+GOIANIA (GO) X BELEM (PA)</v>
      </c>
      <c r="G1005" s="1" t="str">
        <f>_xlfn.CONCAT(tabE.Flux[[#This Row],[DATA]],"+",tabE.Flux[[#This Row],[LINHA]])</f>
        <v>45929+GOIANIA (GO) X BELEM (PA)</v>
      </c>
      <c r="H1005" s="125">
        <v>45929</v>
      </c>
      <c r="I1005" s="1" t="s">
        <v>15</v>
      </c>
      <c r="J1005" s="1">
        <v>24001</v>
      </c>
      <c r="K1005" s="126">
        <v>0.76041666666666663</v>
      </c>
      <c r="L1005" s="126">
        <v>0.77083333333333337</v>
      </c>
      <c r="M1005" s="1" t="s">
        <v>33</v>
      </c>
      <c r="N1005" s="1" t="s">
        <v>16</v>
      </c>
      <c r="O1005" s="1" t="s">
        <v>54</v>
      </c>
      <c r="P1005" s="1" t="s">
        <v>90</v>
      </c>
      <c r="Q1005" s="1" t="s">
        <v>20</v>
      </c>
    </row>
    <row r="1006" spans="3:17" x14ac:dyDescent="0.25">
      <c r="C1006" s="1" t="str">
        <f>_xlfn.CONCAT(tabE.Flux[[#This Row],[DATA]],"+",tabE.Flux[[#This Row],[MOTORISTA + MATRÍCULA A]])</f>
        <v>45929+  ANTONIO MARQUES NETO DOS SANTOS- 1738</v>
      </c>
      <c r="D1006" s="1" t="str">
        <f>_xlfn.CONCAT(tabE.Flux[[#This Row],[DATA]],"+",tabE.Flux[[#This Row],[MOTORISTA + MATRÍCULA B]])</f>
        <v>45929+JOSE ALVES DA ROCHA - 5035</v>
      </c>
      <c r="E1006" s="1" t="str">
        <f>_xlfn.CONCAT(tabE.Flux[[#This Row],[DATA]],"+",tabE.Flux[[#This Row],[MOTORISTA + MATRÍCULA A]],"+",tabE.Flux[[#This Row],[LINHA]])</f>
        <v>45929+  ANTONIO MARQUES NETO DOS SANTOS- 1738+GOIANIA (GO) X BELEM (PA)</v>
      </c>
      <c r="F1006" s="1" t="str">
        <f>_xlfn.CONCAT(tabE.Flux[[#This Row],[DATA]],"+",tabE.Flux[[#This Row],[MOTORISTA + MATRÍCULA B]],"+",tabE.Flux[[#This Row],[LINHA]])</f>
        <v>45929+JOSE ALVES DA ROCHA - 5035+GOIANIA (GO) X BELEM (PA)</v>
      </c>
      <c r="G1006" s="1" t="str">
        <f>_xlfn.CONCAT(tabE.Flux[[#This Row],[DATA]],"+",tabE.Flux[[#This Row],[LINHA]])</f>
        <v>45929+GOIANIA (GO) X BELEM (PA)</v>
      </c>
      <c r="H1006" s="125">
        <v>45929</v>
      </c>
      <c r="I1006" s="1" t="s">
        <v>15</v>
      </c>
      <c r="J1006" s="1">
        <v>24015</v>
      </c>
      <c r="K1006" s="126">
        <v>0.76041666666666663</v>
      </c>
      <c r="L1006" s="126">
        <v>0.82777777777777772</v>
      </c>
      <c r="M1006" s="1" t="s">
        <v>16</v>
      </c>
      <c r="N1006" s="1" t="s">
        <v>33</v>
      </c>
      <c r="O1006" s="1" t="s">
        <v>261</v>
      </c>
      <c r="P1006" s="1" t="s">
        <v>91</v>
      </c>
      <c r="Q1006" s="1" t="s">
        <v>20</v>
      </c>
    </row>
    <row r="1007" spans="3:17" x14ac:dyDescent="0.25">
      <c r="C1007" s="1" t="str">
        <f>_xlfn.CONCAT(tabE.Flux[[#This Row],[DATA]],"+",tabE.Flux[[#This Row],[MOTORISTA + MATRÍCULA A]])</f>
        <v>45929+FRANCISCO RAIMUNDO VIANA DE SOUSA - 5314</v>
      </c>
      <c r="D1007" s="1" t="str">
        <f>_xlfn.CONCAT(tabE.Flux[[#This Row],[DATA]],"+",tabE.Flux[[#This Row],[MOTORISTA + MATRÍCULA B]])</f>
        <v>45929+RAIMUNDO COSTA SILVA - 6226</v>
      </c>
      <c r="E1007" s="1" t="str">
        <f>_xlfn.CONCAT(tabE.Flux[[#This Row],[DATA]],"+",tabE.Flux[[#This Row],[MOTORISTA + MATRÍCULA A]],"+",tabE.Flux[[#This Row],[LINHA]])</f>
        <v>45929+FRANCISCO RAIMUNDO VIANA DE SOUSA - 5314+GOIANIA (GO) X SAO LUIS (MA)</v>
      </c>
      <c r="F1007" s="1" t="str">
        <f>_xlfn.CONCAT(tabE.Flux[[#This Row],[DATA]],"+",tabE.Flux[[#This Row],[MOTORISTA + MATRÍCULA B]],"+",tabE.Flux[[#This Row],[LINHA]])</f>
        <v>45929+RAIMUNDO COSTA SILVA - 6226+GOIANIA (GO) X SAO LUIS (MA)</v>
      </c>
      <c r="G1007" s="1" t="str">
        <f>_xlfn.CONCAT(tabE.Flux[[#This Row],[DATA]],"+",tabE.Flux[[#This Row],[LINHA]])</f>
        <v>45929+GOIANIA (GO) X SAO LUIS (MA)</v>
      </c>
      <c r="H1007" s="125">
        <v>45929</v>
      </c>
      <c r="I1007" s="1" t="s">
        <v>15</v>
      </c>
      <c r="J1007" s="1">
        <v>19001</v>
      </c>
      <c r="K1007" s="126">
        <v>0.40763888888888888</v>
      </c>
      <c r="L1007" s="126">
        <v>0.47013888888888888</v>
      </c>
      <c r="M1007" s="1" t="s">
        <v>16</v>
      </c>
      <c r="N1007" s="1" t="s">
        <v>42</v>
      </c>
      <c r="O1007" s="1" t="s">
        <v>87</v>
      </c>
      <c r="P1007" s="1" t="s">
        <v>45</v>
      </c>
      <c r="Q1007" s="1" t="s">
        <v>23</v>
      </c>
    </row>
    <row r="1008" spans="3:17" x14ac:dyDescent="0.25">
      <c r="C1008" s="1" t="str">
        <f>_xlfn.CONCAT(tabE.Flux[[#This Row],[DATA]],"+",tabE.Flux[[#This Row],[MOTORISTA + MATRÍCULA A]])</f>
        <v>45929+CANCELADO</v>
      </c>
      <c r="D1008" s="1" t="str">
        <f>_xlfn.CONCAT(tabE.Flux[[#This Row],[DATA]],"+",tabE.Flux[[#This Row],[MOTORISTA + MATRÍCULA B]])</f>
        <v>45929+CANCELADO</v>
      </c>
      <c r="E1008" s="1" t="str">
        <f>_xlfn.CONCAT(tabE.Flux[[#This Row],[DATA]],"+",tabE.Flux[[#This Row],[MOTORISTA + MATRÍCULA A]],"+",tabE.Flux[[#This Row],[LINHA]])</f>
        <v>45929+CANCELADO+IMPERATRIZ (MA) X SÃO LUIS (MA)</v>
      </c>
      <c r="F1008" s="1" t="str">
        <f>_xlfn.CONCAT(tabE.Flux[[#This Row],[DATA]],"+",tabE.Flux[[#This Row],[MOTORISTA + MATRÍCULA B]],"+",tabE.Flux[[#This Row],[LINHA]])</f>
        <v>45929+CANCELADO+IMPERATRIZ (MA) X SÃO LUIS (MA)</v>
      </c>
      <c r="G1008" s="1" t="str">
        <f>_xlfn.CONCAT(tabE.Flux[[#This Row],[DATA]],"+",tabE.Flux[[#This Row],[LINHA]])</f>
        <v>45929+IMPERATRIZ (MA) X SÃO LUIS (MA)</v>
      </c>
      <c r="H1008" s="125">
        <v>45929</v>
      </c>
      <c r="I1008" s="1" t="s">
        <v>15</v>
      </c>
      <c r="J1008" s="1" t="s">
        <v>27</v>
      </c>
      <c r="K1008" s="126">
        <v>0.77083333333333337</v>
      </c>
      <c r="L1008" s="126">
        <v>0.8125</v>
      </c>
      <c r="M1008" s="1" t="s">
        <v>16</v>
      </c>
      <c r="N1008" s="1" t="s">
        <v>42</v>
      </c>
      <c r="O1008" s="1" t="s">
        <v>27</v>
      </c>
      <c r="P1008" s="1" t="s">
        <v>27</v>
      </c>
      <c r="Q1008" s="1" t="s">
        <v>47</v>
      </c>
    </row>
    <row r="1009" spans="3:17" x14ac:dyDescent="0.25">
      <c r="C1009" s="1" t="str">
        <f>_xlfn.CONCAT(tabE.Flux[[#This Row],[DATA]],"+",tabE.Flux[[#This Row],[MOTORISTA + MATRÍCULA A]])</f>
        <v>45929+BRUNO MATOS DA ROCHA - 6013</v>
      </c>
      <c r="D1009" s="1" t="str">
        <f>_xlfn.CONCAT(tabE.Flux[[#This Row],[DATA]],"+",tabE.Flux[[#This Row],[MOTORISTA + MATRÍCULA B]])</f>
        <v>45929+CARLOS ADRIANO DE SOUZA DO NASCIMENTO - 6222</v>
      </c>
      <c r="E1009" s="1" t="str">
        <f>_xlfn.CONCAT(tabE.Flux[[#This Row],[DATA]],"+",tabE.Flux[[#This Row],[MOTORISTA + MATRÍCULA A]],"+",tabE.Flux[[#This Row],[LINHA]])</f>
        <v>45929+BRUNO MATOS DA ROCHA - 6013+GOIANIA (GO) X SAO LUIS (MA)</v>
      </c>
      <c r="F1009" s="1" t="str">
        <f>_xlfn.CONCAT(tabE.Flux[[#This Row],[DATA]],"+",tabE.Flux[[#This Row],[MOTORISTA + MATRÍCULA B]],"+",tabE.Flux[[#This Row],[LINHA]])</f>
        <v>45929+CARLOS ADRIANO DE SOUZA DO NASCIMENTO - 6222+GOIANIA (GO) X SAO LUIS (MA)</v>
      </c>
      <c r="G1009" s="1" t="str">
        <f>_xlfn.CONCAT(tabE.Flux[[#This Row],[DATA]],"+",tabE.Flux[[#This Row],[LINHA]])</f>
        <v>45929+GOIANIA (GO) X SAO LUIS (MA)</v>
      </c>
      <c r="H1009" s="125">
        <v>45929</v>
      </c>
      <c r="I1009" s="1" t="s">
        <v>15</v>
      </c>
      <c r="J1009" s="1">
        <v>24016</v>
      </c>
      <c r="K1009" s="126">
        <v>0.8125</v>
      </c>
      <c r="L1009" s="126">
        <v>0.84375</v>
      </c>
      <c r="M1009" s="1" t="s">
        <v>16</v>
      </c>
      <c r="N1009" s="1" t="s">
        <v>42</v>
      </c>
      <c r="O1009" s="1" t="s">
        <v>147</v>
      </c>
      <c r="P1009" s="1" t="s">
        <v>110</v>
      </c>
      <c r="Q1009" s="1" t="s">
        <v>23</v>
      </c>
    </row>
    <row r="1010" spans="3:17" x14ac:dyDescent="0.25">
      <c r="C1010" s="1" t="str">
        <f>_xlfn.CONCAT(tabE.Flux[[#This Row],[DATA]],"+",tabE.Flux[[#This Row],[MOTORISTA + MATRÍCULA A]])</f>
        <v>45929+RAIMUNDO GUIMARAES ARAUJO - 1920</v>
      </c>
      <c r="D1010" s="1" t="str">
        <f>_xlfn.CONCAT(tabE.Flux[[#This Row],[DATA]],"+",tabE.Flux[[#This Row],[MOTORISTA + MATRÍCULA B]])</f>
        <v>45929+FRANK HUDSON MACHADO DE BRITO - 5267</v>
      </c>
      <c r="E1010" s="1" t="str">
        <f>_xlfn.CONCAT(tabE.Flux[[#This Row],[DATA]],"+",tabE.Flux[[#This Row],[MOTORISTA + MATRÍCULA A]],"+",tabE.Flux[[#This Row],[LINHA]])</f>
        <v>45929+RAIMUNDO GUIMARAES ARAUJO - 1920+GOIANIA (GO) X TERESINA (PI) VIA STI</v>
      </c>
      <c r="F1010" s="1" t="str">
        <f>_xlfn.CONCAT(tabE.Flux[[#This Row],[DATA]],"+",tabE.Flux[[#This Row],[MOTORISTA + MATRÍCULA B]],"+",tabE.Flux[[#This Row],[LINHA]])</f>
        <v>45929+FRANK HUDSON MACHADO DE BRITO - 5267+GOIANIA (GO) X TERESINA (PI) VIA STI</v>
      </c>
      <c r="G1010" s="1" t="str">
        <f>_xlfn.CONCAT(tabE.Flux[[#This Row],[DATA]],"+",tabE.Flux[[#This Row],[LINHA]])</f>
        <v>45929+GOIANIA (GO) X TERESINA (PI) VIA STI</v>
      </c>
      <c r="H1010" s="125">
        <v>45929</v>
      </c>
      <c r="I1010" s="1" t="s">
        <v>15</v>
      </c>
      <c r="J1010" s="1">
        <v>20013</v>
      </c>
      <c r="K1010" s="126">
        <v>0.77083333333333337</v>
      </c>
      <c r="L1010" s="126">
        <v>0.79861111111111116</v>
      </c>
      <c r="M1010" s="1" t="s">
        <v>16</v>
      </c>
      <c r="N1010" s="1" t="s">
        <v>29</v>
      </c>
      <c r="O1010" s="1" t="s">
        <v>231</v>
      </c>
      <c r="P1010" s="1" t="s">
        <v>160</v>
      </c>
      <c r="Q1010" s="1" t="s">
        <v>26</v>
      </c>
    </row>
    <row r="1011" spans="3:17" x14ac:dyDescent="0.25">
      <c r="C1011" s="1" t="str">
        <f>_xlfn.CONCAT(tabE.Flux[[#This Row],[DATA]],"+",tabE.Flux[[#This Row],[MOTORISTA + MATRÍCULA A]])</f>
        <v>45929+EDIMAR FRANCISCO ALEIXO - 5593</v>
      </c>
      <c r="D1011" s="1" t="str">
        <f>_xlfn.CONCAT(tabE.Flux[[#This Row],[DATA]],"+",tabE.Flux[[#This Row],[MOTORISTA + MATRÍCULA B]])</f>
        <v>45929+LUCIANO CARNEIRO ALVES - 5757</v>
      </c>
      <c r="E1011" s="1" t="str">
        <f>_xlfn.CONCAT(tabE.Flux[[#This Row],[DATA]],"+",tabE.Flux[[#This Row],[MOTORISTA + MATRÍCULA A]],"+",tabE.Flux[[#This Row],[LINHA]])</f>
        <v>45929+EDIMAR FRANCISCO ALEIXO - 5593+GOIANIA (GO) X SAO LUIS (MA)</v>
      </c>
      <c r="F1011" s="1" t="str">
        <f>_xlfn.CONCAT(tabE.Flux[[#This Row],[DATA]],"+",tabE.Flux[[#This Row],[MOTORISTA + MATRÍCULA B]],"+",tabE.Flux[[#This Row],[LINHA]])</f>
        <v>45929+LUCIANO CARNEIRO ALVES - 5757+GOIANIA (GO) X SAO LUIS (MA)</v>
      </c>
      <c r="G1011" s="1" t="str">
        <f>_xlfn.CONCAT(tabE.Flux[[#This Row],[DATA]],"+",tabE.Flux[[#This Row],[LINHA]])</f>
        <v>45929+GOIANIA (GO) X SAO LUIS (MA)</v>
      </c>
      <c r="H1011" s="125">
        <v>45929</v>
      </c>
      <c r="I1011" s="1" t="s">
        <v>15</v>
      </c>
      <c r="J1011" s="1">
        <v>20018</v>
      </c>
      <c r="K1011" s="126">
        <v>0.8125</v>
      </c>
      <c r="L1011" s="126">
        <v>0.84166666666666667</v>
      </c>
      <c r="M1011" s="1" t="s">
        <v>16</v>
      </c>
      <c r="N1011" s="1" t="s">
        <v>17</v>
      </c>
      <c r="O1011" s="1" t="s">
        <v>212</v>
      </c>
      <c r="P1011" s="1" t="s">
        <v>213</v>
      </c>
      <c r="Q1011" s="1" t="s">
        <v>23</v>
      </c>
    </row>
    <row r="1012" spans="3:17" x14ac:dyDescent="0.25">
      <c r="C1012" s="1" t="str">
        <f>_xlfn.CONCAT(tabE.Flux[[#This Row],[DATA]],"+",tabE.Flux[[#This Row],[MOTORISTA + MATRÍCULA A]])</f>
        <v>45929+JOAO BATISTA DA SILVA - 1410</v>
      </c>
      <c r="D1012" s="1" t="str">
        <f>_xlfn.CONCAT(tabE.Flux[[#This Row],[DATA]],"+",tabE.Flux[[#This Row],[MOTORISTA + MATRÍCULA B]])</f>
        <v>45929+VALDINAR ALVES DE FRANÇA 5959</v>
      </c>
      <c r="E1012" s="1" t="str">
        <f>_xlfn.CONCAT(tabE.Flux[[#This Row],[DATA]],"+",tabE.Flux[[#This Row],[MOTORISTA + MATRÍCULA A]],"+",tabE.Flux[[#This Row],[LINHA]])</f>
        <v>45929+JOAO BATISTA DA SILVA - 1410+FORTALEZA (CE) X SINOP (MT)</v>
      </c>
      <c r="F1012" s="1" t="str">
        <f>_xlfn.CONCAT(tabE.Flux[[#This Row],[DATA]],"+",tabE.Flux[[#This Row],[MOTORISTA + MATRÍCULA B]],"+",tabE.Flux[[#This Row],[LINHA]])</f>
        <v>45929+VALDINAR ALVES DE FRANÇA 5959+FORTALEZA (CE) X SINOP (MT)</v>
      </c>
      <c r="G1012" s="1" t="str">
        <f>_xlfn.CONCAT(tabE.Flux[[#This Row],[DATA]],"+",tabE.Flux[[#This Row],[LINHA]])</f>
        <v>45929+FORTALEZA (CE) X SINOP (MT)</v>
      </c>
      <c r="H1012" s="125">
        <v>45929</v>
      </c>
      <c r="I1012" s="1" t="s">
        <v>15</v>
      </c>
      <c r="J1012" s="1">
        <v>19017</v>
      </c>
      <c r="K1012" s="126">
        <v>0.8125</v>
      </c>
      <c r="L1012" s="126">
        <v>0.85416666666666663</v>
      </c>
      <c r="M1012" s="1" t="s">
        <v>16</v>
      </c>
      <c r="N1012" s="1" t="s">
        <v>17</v>
      </c>
      <c r="O1012" s="1" t="s">
        <v>218</v>
      </c>
      <c r="P1012" s="1" t="s">
        <v>178</v>
      </c>
      <c r="Q1012" s="1" t="s">
        <v>32</v>
      </c>
    </row>
    <row r="1013" spans="3:17" x14ac:dyDescent="0.25">
      <c r="C1013" s="1" t="str">
        <f>_xlfn.CONCAT(tabE.Flux[[#This Row],[DATA]],"+",tabE.Flux[[#This Row],[MOTORISTA + MATRÍCULA A]])</f>
        <v>45929+MAURICIO CARLOS BARROSO - 901</v>
      </c>
      <c r="D1013" s="1" t="str">
        <f>_xlfn.CONCAT(tabE.Flux[[#This Row],[DATA]],"+",tabE.Flux[[#This Row],[MOTORISTA + MATRÍCULA B]])</f>
        <v>45929+JOSE CARLOS DA SILVA - 979</v>
      </c>
      <c r="E1013" s="1" t="str">
        <f>_xlfn.CONCAT(tabE.Flux[[#This Row],[DATA]],"+",tabE.Flux[[#This Row],[MOTORISTA + MATRÍCULA A]],"+",tabE.Flux[[#This Row],[LINHA]])</f>
        <v>45929+MAURICIO CARLOS BARROSO - 901+GOIANIA (GO) X BELEM (PA)</v>
      </c>
      <c r="F1013" s="1" t="str">
        <f>_xlfn.CONCAT(tabE.Flux[[#This Row],[DATA]],"+",tabE.Flux[[#This Row],[MOTORISTA + MATRÍCULA B]],"+",tabE.Flux[[#This Row],[LINHA]])</f>
        <v>45929+JOSE CARLOS DA SILVA - 979+GOIANIA (GO) X BELEM (PA)</v>
      </c>
      <c r="G1013" s="1" t="str">
        <f>_xlfn.CONCAT(tabE.Flux[[#This Row],[DATA]],"+",tabE.Flux[[#This Row],[LINHA]])</f>
        <v>45929+GOIANIA (GO) X BELEM (PA)</v>
      </c>
      <c r="H1013" s="125">
        <v>45929</v>
      </c>
      <c r="I1013" s="1" t="s">
        <v>15</v>
      </c>
      <c r="J1013" s="1">
        <v>19002</v>
      </c>
      <c r="K1013" s="126">
        <v>0.84722222222222221</v>
      </c>
      <c r="L1013" s="126">
        <v>0.87847222222222221</v>
      </c>
      <c r="M1013" s="1" t="s">
        <v>16</v>
      </c>
      <c r="N1013" s="1" t="s">
        <v>17</v>
      </c>
      <c r="O1013" s="1" t="s">
        <v>241</v>
      </c>
      <c r="P1013" s="1" t="s">
        <v>228</v>
      </c>
      <c r="Q1013" s="1" t="s">
        <v>20</v>
      </c>
    </row>
    <row r="1014" spans="3:17" x14ac:dyDescent="0.25">
      <c r="C1014" s="1" t="str">
        <f>_xlfn.CONCAT(tabE.Flux[[#This Row],[DATA]],"+",tabE.Flux[[#This Row],[MOTORISTA + MATRÍCULA A]])</f>
        <v>+</v>
      </c>
      <c r="D1014" s="1" t="str">
        <f>_xlfn.CONCAT(tabE.Flux[[#This Row],[DATA]],"+",tabE.Flux[[#This Row],[MOTORISTA + MATRÍCULA B]])</f>
        <v>+</v>
      </c>
      <c r="E1014" s="1" t="str">
        <f>_xlfn.CONCAT(tabE.Flux[[#This Row],[DATA]],"+",tabE.Flux[[#This Row],[MOTORISTA + MATRÍCULA A]],"+",tabE.Flux[[#This Row],[LINHA]])</f>
        <v>++</v>
      </c>
      <c r="F1014" s="1" t="str">
        <f>_xlfn.CONCAT(tabE.Flux[[#This Row],[DATA]],"+",tabE.Flux[[#This Row],[MOTORISTA + MATRÍCULA B]],"+",tabE.Flux[[#This Row],[LINHA]])</f>
        <v>++</v>
      </c>
      <c r="G1014" s="1" t="str">
        <f>_xlfn.CONCAT(tabE.Flux[[#This Row],[DATA]],"+",tabE.Flux[[#This Row],[LINHA]])</f>
        <v>+</v>
      </c>
      <c r="H1014" s="1"/>
      <c r="I1014" s="1"/>
      <c r="J1014" s="1"/>
      <c r="K1014" s="1"/>
      <c r="L1014" s="1"/>
      <c r="M1014" s="1"/>
      <c r="N1014" s="1"/>
      <c r="O1014" s="1"/>
      <c r="P1014" s="1"/>
      <c r="Q1014" s="1"/>
    </row>
    <row r="1015" spans="3:17" x14ac:dyDescent="0.25">
      <c r="C1015" s="1" t="str">
        <f>_xlfn.CONCAT(tabE.Flux[[#This Row],[DATA]],"+",tabE.Flux[[#This Row],[MOTORISTA + MATRÍCULA A]])</f>
        <v>45930+ALCENILDE BARBOSA ARAUJO - 1745</v>
      </c>
      <c r="D1015" s="1" t="str">
        <f>_xlfn.CONCAT(tabE.Flux[[#This Row],[DATA]],"+",tabE.Flux[[#This Row],[MOTORISTA + MATRÍCULA B]])</f>
        <v>45930+LUSIMAR SOARES ROCHA - 5987</v>
      </c>
      <c r="E1015" s="1" t="str">
        <f>_xlfn.CONCAT(tabE.Flux[[#This Row],[DATA]],"+",tabE.Flux[[#This Row],[MOTORISTA + MATRÍCULA A]],"+",tabE.Flux[[#This Row],[LINHA]])</f>
        <v>45930+ALCENILDE BARBOSA ARAUJO - 1745+GOIANIA (GO) X BELEM (PA)</v>
      </c>
      <c r="F1015" s="1" t="str">
        <f>_xlfn.CONCAT(tabE.Flux[[#This Row],[DATA]],"+",tabE.Flux[[#This Row],[MOTORISTA + MATRÍCULA B]],"+",tabE.Flux[[#This Row],[LINHA]])</f>
        <v>45930+LUSIMAR SOARES ROCHA - 5987+GOIANIA (GO) X BELEM (PA)</v>
      </c>
      <c r="G1015" s="1" t="str">
        <f>_xlfn.CONCAT(tabE.Flux[[#This Row],[DATA]],"+",tabE.Flux[[#This Row],[LINHA]])</f>
        <v>45930+GOIANIA (GO) X BELEM (PA)</v>
      </c>
      <c r="H1015" s="125">
        <v>45930</v>
      </c>
      <c r="I1015" s="1" t="s">
        <v>15</v>
      </c>
      <c r="J1015" s="1">
        <v>24001</v>
      </c>
      <c r="K1015" s="126">
        <v>0.25486111111111109</v>
      </c>
      <c r="L1015" s="126">
        <v>0.3</v>
      </c>
      <c r="M1015" s="1" t="s">
        <v>16</v>
      </c>
      <c r="N1015" s="1" t="s">
        <v>17</v>
      </c>
      <c r="O1015" s="1" t="s">
        <v>137</v>
      </c>
      <c r="P1015" s="1" t="s">
        <v>214</v>
      </c>
      <c r="Q1015" s="1" t="s">
        <v>20</v>
      </c>
    </row>
    <row r="1016" spans="3:17" x14ac:dyDescent="0.25">
      <c r="C1016" s="1" t="str">
        <f>_xlfn.CONCAT(tabE.Flux[[#This Row],[DATA]],"+",tabE.Flux[[#This Row],[MOTORISTA + MATRÍCULA A]])</f>
        <v>45930+MANOEL MESSIAS SILVA DOS SANTOS - 1833</v>
      </c>
      <c r="D1016" s="1" t="str">
        <f>_xlfn.CONCAT(tabE.Flux[[#This Row],[DATA]],"+",tabE.Flux[[#This Row],[MOTORISTA + MATRÍCULA B]])</f>
        <v>45930+MARCIO RODRIGUES DA COSTA - 5993</v>
      </c>
      <c r="E1016" s="1" t="str">
        <f>_xlfn.CONCAT(tabE.Flux[[#This Row],[DATA]],"+",tabE.Flux[[#This Row],[MOTORISTA + MATRÍCULA A]],"+",tabE.Flux[[#This Row],[LINHA]])</f>
        <v>45930+MANOEL MESSIAS SILVA DOS SANTOS - 1833+GOIANIA (GO) X SAO LUIS (MA)</v>
      </c>
      <c r="F1016" s="1" t="str">
        <f>_xlfn.CONCAT(tabE.Flux[[#This Row],[DATA]],"+",tabE.Flux[[#This Row],[MOTORISTA + MATRÍCULA B]],"+",tabE.Flux[[#This Row],[LINHA]])</f>
        <v>45930+MARCIO RODRIGUES DA COSTA - 5993+GOIANIA (GO) X SAO LUIS (MA)</v>
      </c>
      <c r="G1016" s="1" t="str">
        <f>_xlfn.CONCAT(tabE.Flux[[#This Row],[DATA]],"+",tabE.Flux[[#This Row],[LINHA]])</f>
        <v>45930+GOIANIA (GO) X SAO LUIS (MA)</v>
      </c>
      <c r="H1016" s="125">
        <v>45930</v>
      </c>
      <c r="I1016" s="1" t="s">
        <v>15</v>
      </c>
      <c r="J1016" s="1">
        <v>24014</v>
      </c>
      <c r="K1016" s="126">
        <v>0.32291666666666669</v>
      </c>
      <c r="L1016" s="126">
        <v>0.33333333333333331</v>
      </c>
      <c r="M1016" s="1" t="s">
        <v>16</v>
      </c>
      <c r="N1016" s="1" t="s">
        <v>17</v>
      </c>
      <c r="O1016" s="1" t="s">
        <v>173</v>
      </c>
      <c r="P1016" s="1" t="s">
        <v>107</v>
      </c>
      <c r="Q1016" s="1" t="s">
        <v>23</v>
      </c>
    </row>
    <row r="1017" spans="3:17" x14ac:dyDescent="0.25">
      <c r="C1017" s="1" t="str">
        <f>_xlfn.CONCAT(tabE.Flux[[#This Row],[DATA]],"+",tabE.Flux[[#This Row],[MOTORISTA + MATRÍCULA A]])</f>
        <v>45930+RICHARD SOUSA DA SILVA - 1271</v>
      </c>
      <c r="D1017" s="1" t="str">
        <f>_xlfn.CONCAT(tabE.Flux[[#This Row],[DATA]],"+",tabE.Flux[[#This Row],[MOTORISTA + MATRÍCULA B]])</f>
        <v>45930+JAIRO VIEIRA FERREIRA - 5835</v>
      </c>
      <c r="E1017" s="1" t="str">
        <f>_xlfn.CONCAT(tabE.Flux[[#This Row],[DATA]],"+",tabE.Flux[[#This Row],[MOTORISTA + MATRÍCULA A]],"+",tabE.Flux[[#This Row],[LINHA]])</f>
        <v>45930+RICHARD SOUSA DA SILVA - 1271+GOIANIA (GO) X TERESINA (PI) VIA STI</v>
      </c>
      <c r="F1017" s="1" t="str">
        <f>_xlfn.CONCAT(tabE.Flux[[#This Row],[DATA]],"+",tabE.Flux[[#This Row],[MOTORISTA + MATRÍCULA B]],"+",tabE.Flux[[#This Row],[LINHA]])</f>
        <v>45930+JAIRO VIEIRA FERREIRA - 5835+GOIANIA (GO) X TERESINA (PI) VIA STI</v>
      </c>
      <c r="G1017" s="1" t="str">
        <f>_xlfn.CONCAT(tabE.Flux[[#This Row],[DATA]],"+",tabE.Flux[[#This Row],[LINHA]])</f>
        <v>45930+GOIANIA (GO) X TERESINA (PI) VIA STI</v>
      </c>
      <c r="H1017" s="125">
        <v>45930</v>
      </c>
      <c r="I1017" s="1" t="s">
        <v>15</v>
      </c>
      <c r="J1017" s="1">
        <v>17700</v>
      </c>
      <c r="K1017" s="126">
        <v>0.3888888888888889</v>
      </c>
      <c r="L1017" s="126">
        <v>0.39583333333333331</v>
      </c>
      <c r="M1017" s="1" t="s">
        <v>16</v>
      </c>
      <c r="N1017" s="1" t="s">
        <v>17</v>
      </c>
      <c r="O1017" s="1" t="s">
        <v>56</v>
      </c>
      <c r="P1017" s="1" t="s">
        <v>230</v>
      </c>
      <c r="Q1017" s="1" t="s">
        <v>26</v>
      </c>
    </row>
    <row r="1018" spans="3:17" x14ac:dyDescent="0.25">
      <c r="C1018" s="1" t="str">
        <f>_xlfn.CONCAT(tabE.Flux[[#This Row],[DATA]],"+",tabE.Flux[[#This Row],[MOTORISTA + MATRÍCULA A]])</f>
        <v>45930+CANCELADO</v>
      </c>
      <c r="D1018" s="1" t="str">
        <f>_xlfn.CONCAT(tabE.Flux[[#This Row],[DATA]],"+",tabE.Flux[[#This Row],[MOTORISTA + MATRÍCULA B]])</f>
        <v>45930+CANCELADO</v>
      </c>
      <c r="E1018" s="1" t="str">
        <f>_xlfn.CONCAT(tabE.Flux[[#This Row],[DATA]],"+",tabE.Flux[[#This Row],[MOTORISTA + MATRÍCULA A]],"+",tabE.Flux[[#This Row],[LINHA]])</f>
        <v>45930+CANCELADO+</v>
      </c>
      <c r="F1018" s="1" t="str">
        <f>_xlfn.CONCAT(tabE.Flux[[#This Row],[DATA]],"+",tabE.Flux[[#This Row],[MOTORISTA + MATRÍCULA B]],"+",tabE.Flux[[#This Row],[LINHA]])</f>
        <v>45930+CANCELADO+</v>
      </c>
      <c r="G1018" s="1" t="str">
        <f>_xlfn.CONCAT(tabE.Flux[[#This Row],[DATA]],"+",tabE.Flux[[#This Row],[LINHA]])</f>
        <v>45930+</v>
      </c>
      <c r="H1018" s="125">
        <v>45930</v>
      </c>
      <c r="I1018" s="1" t="s">
        <v>15</v>
      </c>
      <c r="J1018" s="1" t="s">
        <v>27</v>
      </c>
      <c r="K1018" s="126">
        <v>0.375</v>
      </c>
      <c r="L1018" s="126">
        <v>0.41666666666666669</v>
      </c>
      <c r="M1018" s="1" t="s">
        <v>16</v>
      </c>
      <c r="N1018" s="1" t="s">
        <v>28</v>
      </c>
      <c r="O1018" s="1" t="s">
        <v>27</v>
      </c>
      <c r="P1018" s="1" t="s">
        <v>27</v>
      </c>
      <c r="Q1018" s="1"/>
    </row>
    <row r="1019" spans="3:17" x14ac:dyDescent="0.25">
      <c r="C1019" s="1" t="str">
        <f>_xlfn.CONCAT(tabE.Flux[[#This Row],[DATA]],"+",tabE.Flux[[#This Row],[MOTORISTA + MATRÍCULA A]])</f>
        <v>45930+FRANCISCO LINDONALDO DE SOUSA - 2971</v>
      </c>
      <c r="D1019" s="1" t="str">
        <f>_xlfn.CONCAT(tabE.Flux[[#This Row],[DATA]],"+",tabE.Flux[[#This Row],[MOTORISTA + MATRÍCULA B]])</f>
        <v>45930+PEDRO PAULO DO NASCIMENTO DO CARMO - 2559</v>
      </c>
      <c r="E1019" s="1" t="str">
        <f>_xlfn.CONCAT(tabE.Flux[[#This Row],[DATA]],"+",tabE.Flux[[#This Row],[MOTORISTA + MATRÍCULA A]],"+",tabE.Flux[[#This Row],[LINHA]])</f>
        <v>45930+FRANCISCO LINDONALDO DE SOUSA - 2971+FORTALEZA (CE) X SINOP (MT)</v>
      </c>
      <c r="F1019" s="1" t="str">
        <f>_xlfn.CONCAT(tabE.Flux[[#This Row],[DATA]],"+",tabE.Flux[[#This Row],[MOTORISTA + MATRÍCULA B]],"+",tabE.Flux[[#This Row],[LINHA]])</f>
        <v>45930+PEDRO PAULO DO NASCIMENTO DO CARMO - 2559+FORTALEZA (CE) X SINOP (MT)</v>
      </c>
      <c r="G1019" s="1" t="str">
        <f>_xlfn.CONCAT(tabE.Flux[[#This Row],[DATA]],"+",tabE.Flux[[#This Row],[LINHA]])</f>
        <v>45930+FORTALEZA (CE) X SINOP (MT)</v>
      </c>
      <c r="H1019" s="125">
        <v>45930</v>
      </c>
      <c r="I1019" s="1" t="s">
        <v>15</v>
      </c>
      <c r="J1019" s="1">
        <v>19024</v>
      </c>
      <c r="K1019" s="126">
        <v>0.3888888888888889</v>
      </c>
      <c r="L1019" s="126">
        <v>0.37708333333333333</v>
      </c>
      <c r="M1019" s="1" t="s">
        <v>16</v>
      </c>
      <c r="N1019" s="1" t="s">
        <v>29</v>
      </c>
      <c r="O1019" s="1" t="s">
        <v>131</v>
      </c>
      <c r="P1019" s="1" t="s">
        <v>175</v>
      </c>
      <c r="Q1019" s="1" t="s">
        <v>32</v>
      </c>
    </row>
    <row r="1020" spans="3:17" x14ac:dyDescent="0.25">
      <c r="C1020" s="1" t="str">
        <f>_xlfn.CONCAT(tabE.Flux[[#This Row],[DATA]],"+",tabE.Flux[[#This Row],[MOTORISTA + MATRÍCULA A]])</f>
        <v>45930+CANCELADO</v>
      </c>
      <c r="D1020" s="1" t="str">
        <f>_xlfn.CONCAT(tabE.Flux[[#This Row],[DATA]],"+",tabE.Flux[[#This Row],[MOTORISTA + MATRÍCULA B]])</f>
        <v>45930+CANCELADO</v>
      </c>
      <c r="E1020" s="1" t="str">
        <f>_xlfn.CONCAT(tabE.Flux[[#This Row],[DATA]],"+",tabE.Flux[[#This Row],[MOTORISTA + MATRÍCULA A]],"+",tabE.Flux[[#This Row],[LINHA]])</f>
        <v>45930+CANCELADO+GOIANIA (GO) X BELEM (PA)</v>
      </c>
      <c r="F1020" s="1" t="str">
        <f>_xlfn.CONCAT(tabE.Flux[[#This Row],[DATA]],"+",tabE.Flux[[#This Row],[MOTORISTA + MATRÍCULA B]],"+",tabE.Flux[[#This Row],[LINHA]])</f>
        <v>45930+CANCELADO+GOIANIA (GO) X BELEM (PA)</v>
      </c>
      <c r="G1020" s="1" t="str">
        <f>_xlfn.CONCAT(tabE.Flux[[#This Row],[DATA]],"+",tabE.Flux[[#This Row],[LINHA]])</f>
        <v>45930+GOIANIA (GO) X BELEM (PA)</v>
      </c>
      <c r="H1020" s="125">
        <v>45930</v>
      </c>
      <c r="I1020" s="1" t="s">
        <v>15</v>
      </c>
      <c r="J1020" s="1" t="s">
        <v>27</v>
      </c>
      <c r="K1020" s="126">
        <v>0.38958333333333334</v>
      </c>
      <c r="L1020" s="126">
        <v>0.38541666666666669</v>
      </c>
      <c r="M1020" s="1" t="s">
        <v>16</v>
      </c>
      <c r="N1020" s="1" t="s">
        <v>33</v>
      </c>
      <c r="O1020" s="1" t="s">
        <v>27</v>
      </c>
      <c r="P1020" s="1" t="s">
        <v>27</v>
      </c>
      <c r="Q1020" s="1" t="s">
        <v>20</v>
      </c>
    </row>
    <row r="1021" spans="3:17" x14ac:dyDescent="0.25">
      <c r="C1021" s="1" t="str">
        <f>_xlfn.CONCAT(tabE.Flux[[#This Row],[DATA]],"+",tabE.Flux[[#This Row],[MOTORISTA + MATRÍCULA A]])</f>
        <v>45930+JWEBISON DE BRITO SOUZA - 2999</v>
      </c>
      <c r="D1021" s="1" t="str">
        <f>_xlfn.CONCAT(tabE.Flux[[#This Row],[DATA]],"+",tabE.Flux[[#This Row],[MOTORISTA + MATRÍCULA B]])</f>
        <v>45930+ANTONIO LEONESIO CAMPELO DA SILVA - 5303</v>
      </c>
      <c r="E1021" s="1" t="str">
        <f>_xlfn.CONCAT(tabE.Flux[[#This Row],[DATA]],"+",tabE.Flux[[#This Row],[MOTORISTA + MATRÍCULA A]],"+",tabE.Flux[[#This Row],[LINHA]])</f>
        <v>45930+JWEBISON DE BRITO SOUZA - 2999+GOIANIA (GO) X TERESINA (PI) VIA BC</v>
      </c>
      <c r="F1021" s="1" t="str">
        <f>_xlfn.CONCAT(tabE.Flux[[#This Row],[DATA]],"+",tabE.Flux[[#This Row],[MOTORISTA + MATRÍCULA B]],"+",tabE.Flux[[#This Row],[LINHA]])</f>
        <v>45930+ANTONIO LEONESIO CAMPELO DA SILVA - 5303+GOIANIA (GO) X TERESINA (PI) VIA BC</v>
      </c>
      <c r="G1021" s="1" t="str">
        <f>_xlfn.CONCAT(tabE.Flux[[#This Row],[DATA]],"+",tabE.Flux[[#This Row],[LINHA]])</f>
        <v>45930+GOIANIA (GO) X TERESINA (PI) VIA BC</v>
      </c>
      <c r="H1021" s="125">
        <v>45930</v>
      </c>
      <c r="I1021" s="1" t="s">
        <v>15</v>
      </c>
      <c r="J1021" s="1">
        <v>24005</v>
      </c>
      <c r="K1021" s="126">
        <v>0.375</v>
      </c>
      <c r="L1021" s="126">
        <v>0.39930555555555558</v>
      </c>
      <c r="M1021" s="1" t="s">
        <v>36</v>
      </c>
      <c r="N1021" s="1" t="s">
        <v>29</v>
      </c>
      <c r="O1021" s="1" t="s">
        <v>77</v>
      </c>
      <c r="P1021" s="1" t="s">
        <v>111</v>
      </c>
      <c r="Q1021" s="1" t="s">
        <v>39</v>
      </c>
    </row>
    <row r="1022" spans="3:17" x14ac:dyDescent="0.25">
      <c r="C1022" s="1" t="str">
        <f>_xlfn.CONCAT(tabE.Flux[[#This Row],[DATA]],"+",tabE.Flux[[#This Row],[MOTORISTA + MATRÍCULA A]])</f>
        <v>45930+MERVAL DE SOUSA - 2880</v>
      </c>
      <c r="D1022" s="1" t="str">
        <f>_xlfn.CONCAT(tabE.Flux[[#This Row],[DATA]],"+",tabE.Flux[[#This Row],[MOTORISTA + MATRÍCULA B]])</f>
        <v>45930+CLODOALDO PEREIRA DE LIMA - 4067</v>
      </c>
      <c r="E1022" s="1" t="str">
        <f>_xlfn.CONCAT(tabE.Flux[[#This Row],[DATA]],"+",tabE.Flux[[#This Row],[MOTORISTA + MATRÍCULA A]],"+",tabE.Flux[[#This Row],[LINHA]])</f>
        <v>45930+MERVAL DE SOUSA - 2880+GOIANIA (GO) X BELEM (PA)</v>
      </c>
      <c r="F1022" s="1" t="str">
        <f>_xlfn.CONCAT(tabE.Flux[[#This Row],[DATA]],"+",tabE.Flux[[#This Row],[MOTORISTA + MATRÍCULA B]],"+",tabE.Flux[[#This Row],[LINHA]])</f>
        <v>45930+CLODOALDO PEREIRA DE LIMA - 4067+GOIANIA (GO) X BELEM (PA)</v>
      </c>
      <c r="G1022" s="1" t="str">
        <f>_xlfn.CONCAT(tabE.Flux[[#This Row],[DATA]],"+",tabE.Flux[[#This Row],[LINHA]])</f>
        <v>45930+GOIANIA (GO) X BELEM (PA)</v>
      </c>
      <c r="H1022" s="125">
        <v>45930</v>
      </c>
      <c r="I1022" s="1" t="s">
        <v>15</v>
      </c>
      <c r="J1022" s="1">
        <v>15800</v>
      </c>
      <c r="K1022" s="126">
        <v>0.375</v>
      </c>
      <c r="L1022" s="126">
        <v>0.41666666666666669</v>
      </c>
      <c r="M1022" s="1" t="s">
        <v>33</v>
      </c>
      <c r="N1022" s="1" t="s">
        <v>16</v>
      </c>
      <c r="O1022" s="1" t="s">
        <v>44</v>
      </c>
      <c r="P1022" s="1" t="s">
        <v>109</v>
      </c>
      <c r="Q1022" s="1" t="s">
        <v>20</v>
      </c>
    </row>
    <row r="1023" spans="3:17" x14ac:dyDescent="0.25">
      <c r="C1023" s="1" t="str">
        <f>_xlfn.CONCAT(tabE.Flux[[#This Row],[DATA]],"+",tabE.Flux[[#This Row],[MOTORISTA + MATRÍCULA A]])</f>
        <v>45930+KAYLSON KLEYTON DA SILVA COSTA - 6224</v>
      </c>
      <c r="D1023" s="1" t="str">
        <f>_xlfn.CONCAT(tabE.Flux[[#This Row],[DATA]],"+",tabE.Flux[[#This Row],[MOTORISTA + MATRÍCULA B]])</f>
        <v>45930+FRANCISCO RAIMUNDO VIANA DE SOUSA - 5314</v>
      </c>
      <c r="E1023" s="1" t="str">
        <f>_xlfn.CONCAT(tabE.Flux[[#This Row],[DATA]],"+",tabE.Flux[[#This Row],[MOTORISTA + MATRÍCULA A]],"+",tabE.Flux[[#This Row],[LINHA]])</f>
        <v>45930+KAYLSON KLEYTON DA SILVA COSTA - 6224+GOIANIA (GO) X SAO LUIS (MA)</v>
      </c>
      <c r="F1023" s="1" t="str">
        <f>_xlfn.CONCAT(tabE.Flux[[#This Row],[DATA]],"+",tabE.Flux[[#This Row],[MOTORISTA + MATRÍCULA B]],"+",tabE.Flux[[#This Row],[LINHA]])</f>
        <v>45930+FRANCISCO RAIMUNDO VIANA DE SOUSA - 5314+GOIANIA (GO) X SAO LUIS (MA)</v>
      </c>
      <c r="G1023" s="1" t="str">
        <f>_xlfn.CONCAT(tabE.Flux[[#This Row],[DATA]],"+",tabE.Flux[[#This Row],[LINHA]])</f>
        <v>45930+GOIANIA (GO) X SAO LUIS (MA)</v>
      </c>
      <c r="H1023" s="125">
        <v>45930</v>
      </c>
      <c r="I1023" s="1" t="s">
        <v>15</v>
      </c>
      <c r="J1023" s="1">
        <v>19007</v>
      </c>
      <c r="K1023" s="126">
        <v>0.25</v>
      </c>
      <c r="L1023" s="126">
        <v>0.29166666666666669</v>
      </c>
      <c r="M1023" s="1" t="s">
        <v>42</v>
      </c>
      <c r="N1023" s="1" t="s">
        <v>16</v>
      </c>
      <c r="O1023" s="1" t="s">
        <v>80</v>
      </c>
      <c r="P1023" s="1" t="s">
        <v>87</v>
      </c>
      <c r="Q1023" s="1" t="s">
        <v>23</v>
      </c>
    </row>
    <row r="1024" spans="3:17" x14ac:dyDescent="0.25">
      <c r="C1024" s="1" t="str">
        <f>_xlfn.CONCAT(tabE.Flux[[#This Row],[DATA]],"+",tabE.Flux[[#This Row],[MOTORISTA + MATRÍCULA A]])</f>
        <v>45930+LAUCEANDO DA SILVA ROCHA - 6220</v>
      </c>
      <c r="D1024" s="1" t="str">
        <f>_xlfn.CONCAT(tabE.Flux[[#This Row],[DATA]],"+",tabE.Flux[[#This Row],[MOTORISTA + MATRÍCULA B]])</f>
        <v>45930+BRUNO MATOS DA ROCHA - 6013</v>
      </c>
      <c r="E1024" s="1" t="str">
        <f>_xlfn.CONCAT(tabE.Flux[[#This Row],[DATA]],"+",tabE.Flux[[#This Row],[MOTORISTA + MATRÍCULA A]],"+",tabE.Flux[[#This Row],[LINHA]])</f>
        <v>45930+LAUCEANDO DA SILVA ROCHA - 6220+GOIANIA (GO) X SAO LUIS (MA)</v>
      </c>
      <c r="F1024" s="1" t="str">
        <f>_xlfn.CONCAT(tabE.Flux[[#This Row],[DATA]],"+",tabE.Flux[[#This Row],[MOTORISTA + MATRÍCULA B]],"+",tabE.Flux[[#This Row],[LINHA]])</f>
        <v>45930+BRUNO MATOS DA ROCHA - 6013+GOIANIA (GO) X SAO LUIS (MA)</v>
      </c>
      <c r="G1024" s="1" t="str">
        <f>_xlfn.CONCAT(tabE.Flux[[#This Row],[DATA]],"+",tabE.Flux[[#This Row],[LINHA]])</f>
        <v>45930+GOIANIA (GO) X SAO LUIS (MA)</v>
      </c>
      <c r="H1024" s="125">
        <v>45930</v>
      </c>
      <c r="I1024" s="1" t="s">
        <v>15</v>
      </c>
      <c r="J1024" s="1">
        <v>24016</v>
      </c>
      <c r="K1024" s="126">
        <v>0.75</v>
      </c>
      <c r="L1024" s="126">
        <v>0.79166666666666663</v>
      </c>
      <c r="M1024" s="1" t="s">
        <v>42</v>
      </c>
      <c r="N1024" s="1" t="s">
        <v>16</v>
      </c>
      <c r="O1024" s="1" t="s">
        <v>86</v>
      </c>
      <c r="P1024" s="1" t="s">
        <v>147</v>
      </c>
      <c r="Q1024" s="1" t="s">
        <v>23</v>
      </c>
    </row>
    <row r="1025" spans="3:17" x14ac:dyDescent="0.25">
      <c r="C1025" s="1" t="str">
        <f>_xlfn.CONCAT(tabE.Flux[[#This Row],[DATA]],"+",tabE.Flux[[#This Row],[MOTORISTA + MATRÍCULA A]])</f>
        <v>45930+CANCELADO</v>
      </c>
      <c r="D1025" s="1" t="str">
        <f>_xlfn.CONCAT(tabE.Flux[[#This Row],[DATA]],"+",tabE.Flux[[#This Row],[MOTORISTA + MATRÍCULA B]])</f>
        <v>45930+CANCELADO</v>
      </c>
      <c r="E1025" s="1" t="str">
        <f>_xlfn.CONCAT(tabE.Flux[[#This Row],[DATA]],"+",tabE.Flux[[#This Row],[MOTORISTA + MATRÍCULA A]],"+",tabE.Flux[[#This Row],[LINHA]])</f>
        <v>45930+CANCELADO+IMPERATRIZ (MA) X SÃO LUIS (MA)</v>
      </c>
      <c r="F1025" s="1" t="str">
        <f>_xlfn.CONCAT(tabE.Flux[[#This Row],[DATA]],"+",tabE.Flux[[#This Row],[MOTORISTA + MATRÍCULA B]],"+",tabE.Flux[[#This Row],[LINHA]])</f>
        <v>45930+CANCELADO+IMPERATRIZ (MA) X SÃO LUIS (MA)</v>
      </c>
      <c r="G1025" s="1" t="str">
        <f>_xlfn.CONCAT(tabE.Flux[[#This Row],[DATA]],"+",tabE.Flux[[#This Row],[LINHA]])</f>
        <v>45930+IMPERATRIZ (MA) X SÃO LUIS (MA)</v>
      </c>
      <c r="H1025" s="125">
        <v>45930</v>
      </c>
      <c r="I1025" s="1" t="s">
        <v>15</v>
      </c>
      <c r="J1025" s="1" t="s">
        <v>27</v>
      </c>
      <c r="K1025" s="126">
        <v>0.77083333333333337</v>
      </c>
      <c r="L1025" s="126">
        <v>0.79513888888888884</v>
      </c>
      <c r="M1025" s="1" t="s">
        <v>42</v>
      </c>
      <c r="N1025" s="1" t="s">
        <v>16</v>
      </c>
      <c r="O1025" s="1" t="s">
        <v>27</v>
      </c>
      <c r="P1025" s="1" t="s">
        <v>27</v>
      </c>
      <c r="Q1025" s="1" t="s">
        <v>47</v>
      </c>
    </row>
    <row r="1026" spans="3:17" x14ac:dyDescent="0.25">
      <c r="C1026" s="1" t="str">
        <f>_xlfn.CONCAT(tabE.Flux[[#This Row],[DATA]],"+",tabE.Flux[[#This Row],[MOTORISTA + MATRÍCULA A]])</f>
        <v>45930+DIVINO EURIPEDES RIBEIRO - 5191</v>
      </c>
      <c r="D1026" s="1" t="str">
        <f>_xlfn.CONCAT(tabE.Flux[[#This Row],[DATA]],"+",tabE.Flux[[#This Row],[MOTORISTA + MATRÍCULA B]])</f>
        <v>45930+VALDIVINO GONCALVES DA SILVA - 5724</v>
      </c>
      <c r="E1026" s="1" t="str">
        <f>_xlfn.CONCAT(tabE.Flux[[#This Row],[DATA]],"+",tabE.Flux[[#This Row],[MOTORISTA + MATRÍCULA A]],"+",tabE.Flux[[#This Row],[LINHA]])</f>
        <v>45930+DIVINO EURIPEDES RIBEIRO - 5191+GOIANIA (GO) X TERESINA (PI) VIA BC</v>
      </c>
      <c r="F1026" s="1" t="str">
        <f>_xlfn.CONCAT(tabE.Flux[[#This Row],[DATA]],"+",tabE.Flux[[#This Row],[MOTORISTA + MATRÍCULA B]],"+",tabE.Flux[[#This Row],[LINHA]])</f>
        <v>45930+VALDIVINO GONCALVES DA SILVA - 5724+GOIANIA (GO) X TERESINA (PI) VIA BC</v>
      </c>
      <c r="G1026" s="1" t="str">
        <f>_xlfn.CONCAT(tabE.Flux[[#This Row],[DATA]],"+",tabE.Flux[[#This Row],[LINHA]])</f>
        <v>45930+GOIANIA (GO) X TERESINA (PI) VIA BC</v>
      </c>
      <c r="H1026" s="125">
        <v>45930</v>
      </c>
      <c r="I1026" s="1" t="s">
        <v>15</v>
      </c>
      <c r="J1026" s="1">
        <v>25006</v>
      </c>
      <c r="K1026" s="126">
        <v>0.89583333333333337</v>
      </c>
      <c r="L1026" s="126">
        <v>0.91666666666666663</v>
      </c>
      <c r="M1026" s="1" t="s">
        <v>36</v>
      </c>
      <c r="N1026" s="1" t="s">
        <v>17</v>
      </c>
      <c r="O1026" s="1" t="s">
        <v>167</v>
      </c>
      <c r="P1026" s="1" t="s">
        <v>168</v>
      </c>
      <c r="Q1026" s="1" t="s">
        <v>39</v>
      </c>
    </row>
    <row r="1027" spans="3:17" x14ac:dyDescent="0.25">
      <c r="C1027" s="1" t="str">
        <f>_xlfn.CONCAT(tabE.Flux[[#This Row],[DATA]],"+",tabE.Flux[[#This Row],[MOTORISTA + MATRÍCULA A]])</f>
        <v>45930+FRANCISCO ALVES DA PAZ JUNIOR - 1247</v>
      </c>
      <c r="D1027" s="1" t="str">
        <f>_xlfn.CONCAT(tabE.Flux[[#This Row],[DATA]],"+",tabE.Flux[[#This Row],[MOTORISTA + MATRÍCULA B]])</f>
        <v>45930+ESIEL COSTA RODRIGUES - 1749</v>
      </c>
      <c r="E1027" s="1" t="str">
        <f>_xlfn.CONCAT(tabE.Flux[[#This Row],[DATA]],"+",tabE.Flux[[#This Row],[MOTORISTA + MATRÍCULA A]],"+",tabE.Flux[[#This Row],[LINHA]])</f>
        <v>45930+FRANCISCO ALVES DA PAZ JUNIOR - 1247+GOIANIA (GO) X BELEM (PA)</v>
      </c>
      <c r="F1027" s="1" t="str">
        <f>_xlfn.CONCAT(tabE.Flux[[#This Row],[DATA]],"+",tabE.Flux[[#This Row],[MOTORISTA + MATRÍCULA B]],"+",tabE.Flux[[#This Row],[LINHA]])</f>
        <v>45930+ESIEL COSTA RODRIGUES - 1749+GOIANIA (GO) X BELEM (PA)</v>
      </c>
      <c r="G1027" s="1" t="str">
        <f>_xlfn.CONCAT(tabE.Flux[[#This Row],[DATA]],"+",tabE.Flux[[#This Row],[LINHA]])</f>
        <v>45930+GOIANIA (GO) X BELEM (PA)</v>
      </c>
      <c r="H1027" s="125">
        <v>45930</v>
      </c>
      <c r="I1027" s="1" t="s">
        <v>15</v>
      </c>
      <c r="J1027" s="1">
        <v>24015</v>
      </c>
      <c r="K1027" s="126">
        <v>0.76041666666666663</v>
      </c>
      <c r="L1027" s="126">
        <v>0.77083333333333337</v>
      </c>
      <c r="M1027" s="1" t="s">
        <v>33</v>
      </c>
      <c r="N1027" s="1" t="s">
        <v>16</v>
      </c>
      <c r="O1027" s="1" t="s">
        <v>144</v>
      </c>
      <c r="P1027" s="1" t="s">
        <v>46</v>
      </c>
      <c r="Q1027" s="1" t="s">
        <v>20</v>
      </c>
    </row>
    <row r="1028" spans="3:17" x14ac:dyDescent="0.25">
      <c r="C1028" s="1" t="str">
        <f>_xlfn.CONCAT(tabE.Flux[[#This Row],[DATA]],"+",tabE.Flux[[#This Row],[MOTORISTA + MATRÍCULA A]])</f>
        <v>45930+REGINALDO DE SOUSA OLIVEIRA - 5412</v>
      </c>
      <c r="D1028" s="1" t="str">
        <f>_xlfn.CONCAT(tabE.Flux[[#This Row],[DATA]],"+",tabE.Flux[[#This Row],[MOTORISTA + MATRÍCULA B]])</f>
        <v>45930+CLAUDIOMAR ALENCAR DO NASCIMENTO - 2970</v>
      </c>
      <c r="E1028" s="1" t="str">
        <f>_xlfn.CONCAT(tabE.Flux[[#This Row],[DATA]],"+",tabE.Flux[[#This Row],[MOTORISTA + MATRÍCULA A]],"+",tabE.Flux[[#This Row],[LINHA]])</f>
        <v>45930+REGINALDO DE SOUSA OLIVEIRA - 5412+GOIANIA (GO) X BELEM (PA)</v>
      </c>
      <c r="F1028" s="1" t="str">
        <f>_xlfn.CONCAT(tabE.Flux[[#This Row],[DATA]],"+",tabE.Flux[[#This Row],[MOTORISTA + MATRÍCULA B]],"+",tabE.Flux[[#This Row],[LINHA]])</f>
        <v>45930+CLAUDIOMAR ALENCAR DO NASCIMENTO - 2970+GOIANIA (GO) X BELEM (PA)</v>
      </c>
      <c r="G1028" s="1" t="str">
        <f>_xlfn.CONCAT(tabE.Flux[[#This Row],[DATA]],"+",tabE.Flux[[#This Row],[LINHA]])</f>
        <v>45930+GOIANIA (GO) X BELEM (PA)</v>
      </c>
      <c r="H1028" s="125">
        <v>45930</v>
      </c>
      <c r="I1028" s="1" t="s">
        <v>15</v>
      </c>
      <c r="J1028" s="1">
        <v>24002</v>
      </c>
      <c r="K1028" s="126">
        <v>0.76041666666666663</v>
      </c>
      <c r="L1028" s="126">
        <v>0.82777777777777772</v>
      </c>
      <c r="M1028" s="1" t="s">
        <v>16</v>
      </c>
      <c r="N1028" s="1" t="s">
        <v>33</v>
      </c>
      <c r="O1028" s="1" t="s">
        <v>239</v>
      </c>
      <c r="P1028" s="1" t="s">
        <v>211</v>
      </c>
      <c r="Q1028" s="1" t="s">
        <v>20</v>
      </c>
    </row>
    <row r="1029" spans="3:17" x14ac:dyDescent="0.25">
      <c r="C1029" s="1" t="str">
        <f>_xlfn.CONCAT(tabE.Flux[[#This Row],[DATA]],"+",tabE.Flux[[#This Row],[MOTORISTA + MATRÍCULA A]])</f>
        <v>45930+CANCELADO</v>
      </c>
      <c r="D1029" s="1" t="str">
        <f>_xlfn.CONCAT(tabE.Flux[[#This Row],[DATA]],"+",tabE.Flux[[#This Row],[MOTORISTA + MATRÍCULA B]])</f>
        <v>45930+CANCELADO</v>
      </c>
      <c r="E1029" s="1" t="str">
        <f>_xlfn.CONCAT(tabE.Flux[[#This Row],[DATA]],"+",tabE.Flux[[#This Row],[MOTORISTA + MATRÍCULA A]],"+",tabE.Flux[[#This Row],[LINHA]])</f>
        <v>45930+CANCELADO+GOIANIA (GO) X SAO LUIS (MA)</v>
      </c>
      <c r="F1029" s="1" t="str">
        <f>_xlfn.CONCAT(tabE.Flux[[#This Row],[DATA]],"+",tabE.Flux[[#This Row],[MOTORISTA + MATRÍCULA B]],"+",tabE.Flux[[#This Row],[LINHA]])</f>
        <v>45930+CANCELADO+GOIANIA (GO) X SAO LUIS (MA)</v>
      </c>
      <c r="G1029" s="1" t="str">
        <f>_xlfn.CONCAT(tabE.Flux[[#This Row],[DATA]],"+",tabE.Flux[[#This Row],[LINHA]])</f>
        <v>45930+GOIANIA (GO) X SAO LUIS (MA)</v>
      </c>
      <c r="H1029" s="125">
        <v>45930</v>
      </c>
      <c r="I1029" s="1" t="s">
        <v>15</v>
      </c>
      <c r="J1029" s="1" t="s">
        <v>27</v>
      </c>
      <c r="K1029" s="126">
        <v>0.40763888888888888</v>
      </c>
      <c r="L1029" s="126">
        <v>0.47013888888888888</v>
      </c>
      <c r="M1029" s="1" t="s">
        <v>16</v>
      </c>
      <c r="N1029" s="1" t="s">
        <v>42</v>
      </c>
      <c r="O1029" s="1" t="s">
        <v>27</v>
      </c>
      <c r="P1029" s="1" t="s">
        <v>27</v>
      </c>
      <c r="Q1029" s="1" t="s">
        <v>23</v>
      </c>
    </row>
    <row r="1030" spans="3:17" x14ac:dyDescent="0.25">
      <c r="C1030" s="1" t="str">
        <f>_xlfn.CONCAT(tabE.Flux[[#This Row],[DATA]],"+",tabE.Flux[[#This Row],[MOTORISTA + MATRÍCULA A]])</f>
        <v>45930+CANCELADO</v>
      </c>
      <c r="D1030" s="1" t="str">
        <f>_xlfn.CONCAT(tabE.Flux[[#This Row],[DATA]],"+",tabE.Flux[[#This Row],[MOTORISTA + MATRÍCULA B]])</f>
        <v>45930+CANCELADO</v>
      </c>
      <c r="E1030" s="1" t="str">
        <f>_xlfn.CONCAT(tabE.Flux[[#This Row],[DATA]],"+",tabE.Flux[[#This Row],[MOTORISTA + MATRÍCULA A]],"+",tabE.Flux[[#This Row],[LINHA]])</f>
        <v>45930+CANCELADO+IMPERATRIZ (MA) X SÃO LUIS (MA)</v>
      </c>
      <c r="F1030" s="1" t="str">
        <f>_xlfn.CONCAT(tabE.Flux[[#This Row],[DATA]],"+",tabE.Flux[[#This Row],[MOTORISTA + MATRÍCULA B]],"+",tabE.Flux[[#This Row],[LINHA]])</f>
        <v>45930+CANCELADO+IMPERATRIZ (MA) X SÃO LUIS (MA)</v>
      </c>
      <c r="G1030" s="1" t="str">
        <f>_xlfn.CONCAT(tabE.Flux[[#This Row],[DATA]],"+",tabE.Flux[[#This Row],[LINHA]])</f>
        <v>45930+IMPERATRIZ (MA) X SÃO LUIS (MA)</v>
      </c>
      <c r="H1030" s="125">
        <v>45930</v>
      </c>
      <c r="I1030" s="1" t="s">
        <v>15</v>
      </c>
      <c r="J1030" s="1" t="s">
        <v>27</v>
      </c>
      <c r="K1030" s="126">
        <v>0.77083333333333337</v>
      </c>
      <c r="L1030" s="126">
        <v>0.8125</v>
      </c>
      <c r="M1030" s="1" t="s">
        <v>16</v>
      </c>
      <c r="N1030" s="1" t="s">
        <v>42</v>
      </c>
      <c r="O1030" s="1" t="s">
        <v>27</v>
      </c>
      <c r="P1030" s="1" t="s">
        <v>27</v>
      </c>
      <c r="Q1030" s="1" t="s">
        <v>47</v>
      </c>
    </row>
    <row r="1031" spans="3:17" x14ac:dyDescent="0.25">
      <c r="C1031" s="1" t="str">
        <f>_xlfn.CONCAT(tabE.Flux[[#This Row],[DATA]],"+",tabE.Flux[[#This Row],[MOTORISTA + MATRÍCULA A]])</f>
        <v>45930+  GILDEVAN DE ALMEIDA AGOSTINHO- 1924</v>
      </c>
      <c r="D1031" s="1" t="str">
        <f>_xlfn.CONCAT(tabE.Flux[[#This Row],[DATA]],"+",tabE.Flux[[#This Row],[MOTORISTA + MATRÍCULA B]])</f>
        <v>45930+KAYLSON KLEYTON DA SILVA COSTA - 6224</v>
      </c>
      <c r="E1031" s="1" t="str">
        <f>_xlfn.CONCAT(tabE.Flux[[#This Row],[DATA]],"+",tabE.Flux[[#This Row],[MOTORISTA + MATRÍCULA A]],"+",tabE.Flux[[#This Row],[LINHA]])</f>
        <v>45930+  GILDEVAN DE ALMEIDA AGOSTINHO- 1924+GOIANIA (GO) X SAO LUIS (MA)</v>
      </c>
      <c r="F1031" s="1" t="str">
        <f>_xlfn.CONCAT(tabE.Flux[[#This Row],[DATA]],"+",tabE.Flux[[#This Row],[MOTORISTA + MATRÍCULA B]],"+",tabE.Flux[[#This Row],[LINHA]])</f>
        <v>45930+KAYLSON KLEYTON DA SILVA COSTA - 6224+GOIANIA (GO) X SAO LUIS (MA)</v>
      </c>
      <c r="G1031" s="1" t="str">
        <f>_xlfn.CONCAT(tabE.Flux[[#This Row],[DATA]],"+",tabE.Flux[[#This Row],[LINHA]])</f>
        <v>45930+GOIANIA (GO) X SAO LUIS (MA)</v>
      </c>
      <c r="H1031" s="125">
        <v>45930</v>
      </c>
      <c r="I1031" s="1" t="s">
        <v>15</v>
      </c>
      <c r="J1031" s="1">
        <v>24009</v>
      </c>
      <c r="K1031" s="126">
        <v>0.8125</v>
      </c>
      <c r="L1031" s="126">
        <v>0.84375</v>
      </c>
      <c r="M1031" s="1" t="s">
        <v>16</v>
      </c>
      <c r="N1031" s="1" t="s">
        <v>42</v>
      </c>
      <c r="O1031" s="1" t="s">
        <v>262</v>
      </c>
      <c r="P1031" s="1" t="s">
        <v>80</v>
      </c>
      <c r="Q1031" s="1" t="s">
        <v>23</v>
      </c>
    </row>
    <row r="1032" spans="3:17" x14ac:dyDescent="0.25">
      <c r="C1032" s="1" t="str">
        <f>_xlfn.CONCAT(tabE.Flux[[#This Row],[DATA]],"+",tabE.Flux[[#This Row],[MOTORISTA + MATRÍCULA A]])</f>
        <v>45930+RONALDO ADRIANO COSTA SANTOS - 5637</v>
      </c>
      <c r="D1032" s="1" t="str">
        <f>_xlfn.CONCAT(tabE.Flux[[#This Row],[DATA]],"+",tabE.Flux[[#This Row],[MOTORISTA + MATRÍCULA B]])</f>
        <v>45930+</v>
      </c>
      <c r="E1032" s="1" t="str">
        <f>_xlfn.CONCAT(tabE.Flux[[#This Row],[DATA]],"+",tabE.Flux[[#This Row],[MOTORISTA + MATRÍCULA A]],"+",tabE.Flux[[#This Row],[LINHA]])</f>
        <v>45930+RONALDO ADRIANO COSTA SANTOS - 5637+GOIANIA (GO) X TERESINA (PI) VIA STI</v>
      </c>
      <c r="F1032" s="1" t="str">
        <f>_xlfn.CONCAT(tabE.Flux[[#This Row],[DATA]],"+",tabE.Flux[[#This Row],[MOTORISTA + MATRÍCULA B]],"+",tabE.Flux[[#This Row],[LINHA]])</f>
        <v>45930++GOIANIA (GO) X TERESINA (PI) VIA STI</v>
      </c>
      <c r="G1032" s="1" t="str">
        <f>_xlfn.CONCAT(tabE.Flux[[#This Row],[DATA]],"+",tabE.Flux[[#This Row],[LINHA]])</f>
        <v>45930+GOIANIA (GO) X TERESINA (PI) VIA STI</v>
      </c>
      <c r="H1032" s="125">
        <v>45930</v>
      </c>
      <c r="I1032" s="1" t="s">
        <v>15</v>
      </c>
      <c r="J1032" s="1">
        <v>17600</v>
      </c>
      <c r="K1032" s="126">
        <v>0.77083333333333337</v>
      </c>
      <c r="L1032" s="126">
        <v>0.79861111111111116</v>
      </c>
      <c r="M1032" s="1" t="s">
        <v>16</v>
      </c>
      <c r="N1032" s="1" t="s">
        <v>29</v>
      </c>
      <c r="O1032" s="1" t="s">
        <v>41</v>
      </c>
      <c r="P1032" s="1"/>
      <c r="Q1032" s="1" t="s">
        <v>26</v>
      </c>
    </row>
    <row r="1033" spans="3:17" x14ac:dyDescent="0.25">
      <c r="C1033" s="1" t="str">
        <f>_xlfn.CONCAT(tabE.Flux[[#This Row],[DATA]],"+",tabE.Flux[[#This Row],[MOTORISTA + MATRÍCULA A]])</f>
        <v>45930+MARCOS BUENO DA SILVA - 5984</v>
      </c>
      <c r="D1033" s="1" t="str">
        <f>_xlfn.CONCAT(tabE.Flux[[#This Row],[DATA]],"+",tabE.Flux[[#This Row],[MOTORISTA + MATRÍCULA B]])</f>
        <v>45930+VANDERSON GURGEL DO AMARAL - 2734</v>
      </c>
      <c r="E1033" s="1" t="str">
        <f>_xlfn.CONCAT(tabE.Flux[[#This Row],[DATA]],"+",tabE.Flux[[#This Row],[MOTORISTA + MATRÍCULA A]],"+",tabE.Flux[[#This Row],[LINHA]])</f>
        <v>45930+MARCOS BUENO DA SILVA - 5984+GOIANIA (GO) X SAO LUIS (MA)</v>
      </c>
      <c r="F1033" s="1" t="str">
        <f>_xlfn.CONCAT(tabE.Flux[[#This Row],[DATA]],"+",tabE.Flux[[#This Row],[MOTORISTA + MATRÍCULA B]],"+",tabE.Flux[[#This Row],[LINHA]])</f>
        <v>45930+VANDERSON GURGEL DO AMARAL - 2734+GOIANIA (GO) X SAO LUIS (MA)</v>
      </c>
      <c r="G1033" s="1" t="str">
        <f>_xlfn.CONCAT(tabE.Flux[[#This Row],[DATA]],"+",tabE.Flux[[#This Row],[LINHA]])</f>
        <v>45930+GOIANIA (GO) X SAO LUIS (MA)</v>
      </c>
      <c r="H1033" s="125">
        <v>45930</v>
      </c>
      <c r="I1033" s="1" t="s">
        <v>15</v>
      </c>
      <c r="J1033" s="1">
        <v>19007</v>
      </c>
      <c r="K1033" s="126">
        <v>0.8125</v>
      </c>
      <c r="L1033" s="126">
        <v>0.84166666666666667</v>
      </c>
      <c r="M1033" s="1" t="s">
        <v>16</v>
      </c>
      <c r="N1033" s="1" t="s">
        <v>17</v>
      </c>
      <c r="O1033" s="1" t="s">
        <v>69</v>
      </c>
      <c r="P1033" s="1" t="s">
        <v>158</v>
      </c>
      <c r="Q1033" s="1" t="s">
        <v>23</v>
      </c>
    </row>
    <row r="1034" spans="3:17" x14ac:dyDescent="0.25">
      <c r="C1034" s="1" t="str">
        <f>_xlfn.CONCAT(tabE.Flux[[#This Row],[DATA]],"+",tabE.Flux[[#This Row],[MOTORISTA + MATRÍCULA A]])</f>
        <v>45930+GESMAR DE SOUZA - 574</v>
      </c>
      <c r="D1034" s="1" t="str">
        <f>_xlfn.CONCAT(tabE.Flux[[#This Row],[DATA]],"+",tabE.Flux[[#This Row],[MOTORISTA + MATRÍCULA B]])</f>
        <v>45930+DELEY CARVALHO DE SOUZA - 5624</v>
      </c>
      <c r="E1034" s="1" t="str">
        <f>_xlfn.CONCAT(tabE.Flux[[#This Row],[DATA]],"+",tabE.Flux[[#This Row],[MOTORISTA + MATRÍCULA A]],"+",tabE.Flux[[#This Row],[LINHA]])</f>
        <v>45930+GESMAR DE SOUZA - 574+FORTALEZA (CE) X SINOP (MT)</v>
      </c>
      <c r="F1034" s="1" t="str">
        <f>_xlfn.CONCAT(tabE.Flux[[#This Row],[DATA]],"+",tabE.Flux[[#This Row],[MOTORISTA + MATRÍCULA B]],"+",tabE.Flux[[#This Row],[LINHA]])</f>
        <v>45930+DELEY CARVALHO DE SOUZA - 5624+FORTALEZA (CE) X SINOP (MT)</v>
      </c>
      <c r="G1034" s="1" t="str">
        <f>_xlfn.CONCAT(tabE.Flux[[#This Row],[DATA]],"+",tabE.Flux[[#This Row],[LINHA]])</f>
        <v>45930+FORTALEZA (CE) X SINOP (MT)</v>
      </c>
      <c r="H1034" s="125">
        <v>45930</v>
      </c>
      <c r="I1034" s="1" t="s">
        <v>15</v>
      </c>
      <c r="J1034" s="1">
        <v>19008</v>
      </c>
      <c r="K1034" s="126">
        <v>0.8125</v>
      </c>
      <c r="L1034" s="126">
        <v>0.85416666666666663</v>
      </c>
      <c r="M1034" s="1" t="s">
        <v>16</v>
      </c>
      <c r="N1034" s="1" t="s">
        <v>17</v>
      </c>
      <c r="O1034" s="1" t="s">
        <v>21</v>
      </c>
      <c r="P1034" s="1" t="s">
        <v>247</v>
      </c>
      <c r="Q1034" s="1" t="s">
        <v>32</v>
      </c>
    </row>
    <row r="1035" spans="3:17" x14ac:dyDescent="0.25">
      <c r="C1035" s="1" t="str">
        <f>_xlfn.CONCAT(tabE.Flux[[#This Row],[DATA]],"+",tabE.Flux[[#This Row],[MOTORISTA + MATRÍCULA A]])</f>
        <v>45930+DIVINO FERREIRA DA SILVA - 1946</v>
      </c>
      <c r="D1035" s="1" t="str">
        <f>_xlfn.CONCAT(tabE.Flux[[#This Row],[DATA]],"+",tabE.Flux[[#This Row],[MOTORISTA + MATRÍCULA B]])</f>
        <v>45930+JOSE PINHEIRO DA SILVA - 5628</v>
      </c>
      <c r="E1035" s="1" t="str">
        <f>_xlfn.CONCAT(tabE.Flux[[#This Row],[DATA]],"+",tabE.Flux[[#This Row],[MOTORISTA + MATRÍCULA A]],"+",tabE.Flux[[#This Row],[LINHA]])</f>
        <v>45930+DIVINO FERREIRA DA SILVA - 1946+GOIANIA (GO) X BELEM (PA)</v>
      </c>
      <c r="F1035" s="1" t="str">
        <f>_xlfn.CONCAT(tabE.Flux[[#This Row],[DATA]],"+",tabE.Flux[[#This Row],[MOTORISTA + MATRÍCULA B]],"+",tabE.Flux[[#This Row],[LINHA]])</f>
        <v>45930+JOSE PINHEIRO DA SILVA - 5628+GOIANIA (GO) X BELEM (PA)</v>
      </c>
      <c r="G1035" s="1" t="str">
        <f>_xlfn.CONCAT(tabE.Flux[[#This Row],[DATA]],"+",tabE.Flux[[#This Row],[LINHA]])</f>
        <v>45930+GOIANIA (GO) X BELEM (PA)</v>
      </c>
      <c r="H1035" s="125">
        <v>45930</v>
      </c>
      <c r="I1035" s="1" t="s">
        <v>15</v>
      </c>
      <c r="J1035" s="1">
        <v>15800</v>
      </c>
      <c r="K1035" s="126">
        <v>0.84722222222222221</v>
      </c>
      <c r="L1035" s="126">
        <v>0.87847222222222221</v>
      </c>
      <c r="M1035" s="1" t="s">
        <v>16</v>
      </c>
      <c r="N1035" s="1" t="s">
        <v>17</v>
      </c>
      <c r="O1035" s="1" t="s">
        <v>238</v>
      </c>
      <c r="P1035" s="1" t="s">
        <v>162</v>
      </c>
      <c r="Q1035" s="1" t="s">
        <v>20</v>
      </c>
    </row>
    <row r="1036" spans="3:17" x14ac:dyDescent="0.25">
      <c r="C1036" s="1" t="str">
        <f>_xlfn.CONCAT(tabE.Flux[[#This Row],[DATA]],"+",tabE.Flux[[#This Row],[MOTORISTA + MATRÍCULA A]])</f>
        <v>+</v>
      </c>
      <c r="D1036" s="1" t="str">
        <f>_xlfn.CONCAT(tabE.Flux[[#This Row],[DATA]],"+",tabE.Flux[[#This Row],[MOTORISTA + MATRÍCULA B]])</f>
        <v>+</v>
      </c>
      <c r="E1036" s="1" t="str">
        <f>_xlfn.CONCAT(tabE.Flux[[#This Row],[DATA]],"+",tabE.Flux[[#This Row],[MOTORISTA + MATRÍCULA A]],"+",tabE.Flux[[#This Row],[LINHA]])</f>
        <v>++</v>
      </c>
      <c r="F1036" s="1" t="str">
        <f>_xlfn.CONCAT(tabE.Flux[[#This Row],[DATA]],"+",tabE.Flux[[#This Row],[MOTORISTA + MATRÍCULA B]],"+",tabE.Flux[[#This Row],[LINHA]])</f>
        <v>++</v>
      </c>
      <c r="G1036" s="1" t="str">
        <f>_xlfn.CONCAT(tabE.Flux[[#This Row],[DATA]],"+",tabE.Flux[[#This Row],[LINHA]])</f>
        <v>+</v>
      </c>
      <c r="H1036" s="1"/>
      <c r="I1036" s="1"/>
      <c r="J1036" s="1"/>
      <c r="K1036" s="1"/>
      <c r="L1036" s="1"/>
      <c r="M1036" s="1"/>
      <c r="N1036" s="1"/>
      <c r="O1036" s="1"/>
      <c r="P1036" s="1"/>
      <c r="Q1036" s="1"/>
    </row>
    <row r="1037" spans="3:17" x14ac:dyDescent="0.25">
      <c r="C1037" s="1" t="str">
        <f>_xlfn.CONCAT(tabE.Flux[[#This Row],[DATA]],"+",tabE.Flux[[#This Row],[MOTORISTA + MATRÍCULA A]])</f>
        <v>45931+VALTERSON ANTONIO CORREIA - 3004</v>
      </c>
      <c r="D1037" s="1" t="str">
        <f>_xlfn.CONCAT(tabE.Flux[[#This Row],[DATA]],"+",tabE.Flux[[#This Row],[MOTORISTA + MATRÍCULA B]])</f>
        <v>45931+JOAO AMARAL DA SILVA JUNIOR - 5290</v>
      </c>
      <c r="E1037" s="1" t="str">
        <f>_xlfn.CONCAT(tabE.Flux[[#This Row],[DATA]],"+",tabE.Flux[[#This Row],[MOTORISTA + MATRÍCULA A]],"+",tabE.Flux[[#This Row],[LINHA]])</f>
        <v>45931+VALTERSON ANTONIO CORREIA - 3004+GOIANIA (GO) X BELEM (PA)</v>
      </c>
      <c r="F1037" s="1" t="str">
        <f>_xlfn.CONCAT(tabE.Flux[[#This Row],[DATA]],"+",tabE.Flux[[#This Row],[MOTORISTA + MATRÍCULA B]],"+",tabE.Flux[[#This Row],[LINHA]])</f>
        <v>45931+JOAO AMARAL DA SILVA JUNIOR - 5290+GOIANIA (GO) X BELEM (PA)</v>
      </c>
      <c r="G1037" s="1" t="str">
        <f>_xlfn.CONCAT(tabE.Flux[[#This Row],[DATA]],"+",tabE.Flux[[#This Row],[LINHA]])</f>
        <v>45931+GOIANIA (GO) X BELEM (PA)</v>
      </c>
      <c r="H1037" s="125">
        <v>45931</v>
      </c>
      <c r="I1037" s="1" t="s">
        <v>15</v>
      </c>
      <c r="J1037" s="1">
        <v>24015</v>
      </c>
      <c r="K1037" s="126">
        <v>0.25486111111111109</v>
      </c>
      <c r="L1037" s="126">
        <v>0.3</v>
      </c>
      <c r="M1037" s="1" t="s">
        <v>16</v>
      </c>
      <c r="N1037" s="1" t="s">
        <v>17</v>
      </c>
      <c r="O1037" s="1" t="s">
        <v>71</v>
      </c>
      <c r="P1037" s="1" t="s">
        <v>215</v>
      </c>
      <c r="Q1037" s="1" t="s">
        <v>20</v>
      </c>
    </row>
    <row r="1038" spans="3:17" x14ac:dyDescent="0.25">
      <c r="C1038" s="1" t="str">
        <f>_xlfn.CONCAT(tabE.Flux[[#This Row],[DATA]],"+",tabE.Flux[[#This Row],[MOTORISTA + MATRÍCULA A]])</f>
        <v>45931+JOAO DE JESUS GOUVEIA - 6016</v>
      </c>
      <c r="D1038" s="1" t="str">
        <f>_xlfn.CONCAT(tabE.Flux[[#This Row],[DATA]],"+",tabE.Flux[[#This Row],[MOTORISTA + MATRÍCULA B]])</f>
        <v>45931+JEFFERSON CARDOSO DOS SANTOS - 5837</v>
      </c>
      <c r="E1038" s="1" t="str">
        <f>_xlfn.CONCAT(tabE.Flux[[#This Row],[DATA]],"+",tabE.Flux[[#This Row],[MOTORISTA + MATRÍCULA A]],"+",tabE.Flux[[#This Row],[LINHA]])</f>
        <v>45931+JOAO DE JESUS GOUVEIA - 6016+GOIANIA (GO) X SAO LUIS (MA)</v>
      </c>
      <c r="F1038" s="1" t="str">
        <f>_xlfn.CONCAT(tabE.Flux[[#This Row],[DATA]],"+",tabE.Flux[[#This Row],[MOTORISTA + MATRÍCULA B]],"+",tabE.Flux[[#This Row],[LINHA]])</f>
        <v>45931+JEFFERSON CARDOSO DOS SANTOS - 5837+GOIANIA (GO) X SAO LUIS (MA)</v>
      </c>
      <c r="G1038" s="1" t="str">
        <f>_xlfn.CONCAT(tabE.Flux[[#This Row],[DATA]],"+",tabE.Flux[[#This Row],[LINHA]])</f>
        <v>45931+GOIANIA (GO) X SAO LUIS (MA)</v>
      </c>
      <c r="H1038" s="125">
        <v>45931</v>
      </c>
      <c r="I1038" s="1" t="s">
        <v>15</v>
      </c>
      <c r="J1038" s="1">
        <v>24016</v>
      </c>
      <c r="K1038" s="126">
        <v>0.32291666666666669</v>
      </c>
      <c r="L1038" s="126">
        <v>0.33333333333333331</v>
      </c>
      <c r="M1038" s="1" t="s">
        <v>16</v>
      </c>
      <c r="N1038" s="1" t="s">
        <v>17</v>
      </c>
      <c r="O1038" s="1" t="s">
        <v>58</v>
      </c>
      <c r="P1038" s="1" t="s">
        <v>30</v>
      </c>
      <c r="Q1038" s="1" t="s">
        <v>23</v>
      </c>
    </row>
    <row r="1039" spans="3:17" x14ac:dyDescent="0.25">
      <c r="C1039" s="1" t="str">
        <f>_xlfn.CONCAT(tabE.Flux[[#This Row],[DATA]],"+",tabE.Flux[[#This Row],[MOTORISTA + MATRÍCULA A]])</f>
        <v>45931+EDUARDO SANTOS BEZERRA - 4066</v>
      </c>
      <c r="D1039" s="1" t="str">
        <f>_xlfn.CONCAT(tabE.Flux[[#This Row],[DATA]],"+",tabE.Flux[[#This Row],[MOTORISTA + MATRÍCULA B]])</f>
        <v>45931+LUIZ CARLOS MARIANO SIQUEIRA - 5634</v>
      </c>
      <c r="E1039" s="1" t="str">
        <f>_xlfn.CONCAT(tabE.Flux[[#This Row],[DATA]],"+",tabE.Flux[[#This Row],[MOTORISTA + MATRÍCULA A]],"+",tabE.Flux[[#This Row],[LINHA]])</f>
        <v>45931+EDUARDO SANTOS BEZERRA - 4066+GOIANIA (GO) X TERESINA (PI) VIA STI</v>
      </c>
      <c r="F1039" s="1" t="str">
        <f>_xlfn.CONCAT(tabE.Flux[[#This Row],[DATA]],"+",tabE.Flux[[#This Row],[MOTORISTA + MATRÍCULA B]],"+",tabE.Flux[[#This Row],[LINHA]])</f>
        <v>45931+LUIZ CARLOS MARIANO SIQUEIRA - 5634+GOIANIA (GO) X TERESINA (PI) VIA STI</v>
      </c>
      <c r="G1039" s="1" t="str">
        <f>_xlfn.CONCAT(tabE.Flux[[#This Row],[DATA]],"+",tabE.Flux[[#This Row],[LINHA]])</f>
        <v>45931+GOIANIA (GO) X TERESINA (PI) VIA STI</v>
      </c>
      <c r="H1039" s="125">
        <v>45931</v>
      </c>
      <c r="I1039" s="1" t="s">
        <v>15</v>
      </c>
      <c r="J1039" s="1">
        <v>20012</v>
      </c>
      <c r="K1039" s="126">
        <v>0.3888888888888889</v>
      </c>
      <c r="L1039" s="126">
        <v>0.39583333333333331</v>
      </c>
      <c r="M1039" s="1" t="s">
        <v>16</v>
      </c>
      <c r="N1039" s="1" t="s">
        <v>17</v>
      </c>
      <c r="O1039" s="1" t="s">
        <v>148</v>
      </c>
      <c r="P1039" s="1" t="s">
        <v>51</v>
      </c>
      <c r="Q1039" s="1" t="s">
        <v>26</v>
      </c>
    </row>
    <row r="1040" spans="3:17" x14ac:dyDescent="0.25">
      <c r="C1040" s="1" t="str">
        <f>_xlfn.CONCAT(tabE.Flux[[#This Row],[DATA]],"+",tabE.Flux[[#This Row],[MOTORISTA + MATRÍCULA A]])</f>
        <v>45748+CANCELADO</v>
      </c>
      <c r="D1040" s="1" t="str">
        <f>_xlfn.CONCAT(tabE.Flux[[#This Row],[DATA]],"+",tabE.Flux[[#This Row],[MOTORISTA + MATRÍCULA B]])</f>
        <v>45748+CANCELADO</v>
      </c>
      <c r="E1040" s="1" t="str">
        <f>_xlfn.CONCAT(tabE.Flux[[#This Row],[DATA]],"+",tabE.Flux[[#This Row],[MOTORISTA + MATRÍCULA A]],"+",tabE.Flux[[#This Row],[LINHA]])</f>
        <v>45748+CANCELADO+</v>
      </c>
      <c r="F1040" s="1" t="str">
        <f>_xlfn.CONCAT(tabE.Flux[[#This Row],[DATA]],"+",tabE.Flux[[#This Row],[MOTORISTA + MATRÍCULA B]],"+",tabE.Flux[[#This Row],[LINHA]])</f>
        <v>45748+CANCELADO+</v>
      </c>
      <c r="G1040" s="1" t="str">
        <f>_xlfn.CONCAT(tabE.Flux[[#This Row],[DATA]],"+",tabE.Flux[[#This Row],[LINHA]])</f>
        <v>45748+</v>
      </c>
      <c r="H1040" s="125">
        <v>45748</v>
      </c>
      <c r="I1040" s="1" t="s">
        <v>15</v>
      </c>
      <c r="J1040" s="1" t="s">
        <v>27</v>
      </c>
      <c r="K1040" s="126">
        <v>0.375</v>
      </c>
      <c r="L1040" s="126">
        <v>0.41666666666666669</v>
      </c>
      <c r="M1040" s="1" t="s">
        <v>16</v>
      </c>
      <c r="N1040" s="1" t="s">
        <v>28</v>
      </c>
      <c r="O1040" s="1" t="s">
        <v>27</v>
      </c>
      <c r="P1040" s="1" t="s">
        <v>27</v>
      </c>
      <c r="Q1040" s="1"/>
    </row>
    <row r="1041" spans="3:17" x14ac:dyDescent="0.25">
      <c r="C1041" s="1" t="str">
        <f>_xlfn.CONCAT(tabE.Flux[[#This Row],[DATA]],"+",tabE.Flux[[#This Row],[MOTORISTA + MATRÍCULA A]])</f>
        <v>45931+AELSON PEREIRA DO NASCIMENTO - 5682</v>
      </c>
      <c r="D1041" s="1" t="str">
        <f>_xlfn.CONCAT(tabE.Flux[[#This Row],[DATA]],"+",tabE.Flux[[#This Row],[MOTORISTA + MATRÍCULA B]])</f>
        <v>45931+JOAO FLAVIO DE SOUSA SILVA - 5270</v>
      </c>
      <c r="E1041" s="1" t="str">
        <f>_xlfn.CONCAT(tabE.Flux[[#This Row],[DATA]],"+",tabE.Flux[[#This Row],[MOTORISTA + MATRÍCULA A]],"+",tabE.Flux[[#This Row],[LINHA]])</f>
        <v>45931+AELSON PEREIRA DO NASCIMENTO - 5682+FORTALEZA (CE) X SINOP (MT)</v>
      </c>
      <c r="F1041" s="1" t="str">
        <f>_xlfn.CONCAT(tabE.Flux[[#This Row],[DATA]],"+",tabE.Flux[[#This Row],[MOTORISTA + MATRÍCULA B]],"+",tabE.Flux[[#This Row],[LINHA]])</f>
        <v>45931+JOAO FLAVIO DE SOUSA SILVA - 5270+FORTALEZA (CE) X SINOP (MT)</v>
      </c>
      <c r="G1041" s="1" t="str">
        <f>_xlfn.CONCAT(tabE.Flux[[#This Row],[DATA]],"+",tabE.Flux[[#This Row],[LINHA]])</f>
        <v>45931+FORTALEZA (CE) X SINOP (MT)</v>
      </c>
      <c r="H1041" s="125">
        <v>45931</v>
      </c>
      <c r="I1041" s="1" t="s">
        <v>15</v>
      </c>
      <c r="J1041" s="1">
        <v>19003</v>
      </c>
      <c r="K1041" s="126">
        <v>0.3888888888888889</v>
      </c>
      <c r="L1041" s="126">
        <v>0.37708333333333333</v>
      </c>
      <c r="M1041" s="1" t="s">
        <v>16</v>
      </c>
      <c r="N1041" s="1" t="s">
        <v>29</v>
      </c>
      <c r="O1041" s="1" t="s">
        <v>88</v>
      </c>
      <c r="P1041" s="1" t="s">
        <v>222</v>
      </c>
      <c r="Q1041" s="1" t="s">
        <v>32</v>
      </c>
    </row>
    <row r="1042" spans="3:17" x14ac:dyDescent="0.25">
      <c r="C1042" s="1" t="str">
        <f>_xlfn.CONCAT(tabE.Flux[[#This Row],[DATA]],"+",tabE.Flux[[#This Row],[MOTORISTA + MATRÍCULA A]])</f>
        <v>45931+  LEANDRO DE OLIVEIRA MELO- 2151</v>
      </c>
      <c r="D1042" s="1" t="str">
        <f>_xlfn.CONCAT(tabE.Flux[[#This Row],[DATA]],"+",tabE.Flux[[#This Row],[MOTORISTA + MATRÍCULA B]])</f>
        <v>45931+KLEBER OLIVEIRA LIMA - 5849</v>
      </c>
      <c r="E1042" s="1" t="str">
        <f>_xlfn.CONCAT(tabE.Flux[[#This Row],[DATA]],"+",tabE.Flux[[#This Row],[MOTORISTA + MATRÍCULA A]],"+",tabE.Flux[[#This Row],[LINHA]])</f>
        <v>45931+  LEANDRO DE OLIVEIRA MELO- 2151+GOIANIA (GO) X BELEM (PA)</v>
      </c>
      <c r="F1042" s="1" t="str">
        <f>_xlfn.CONCAT(tabE.Flux[[#This Row],[DATA]],"+",tabE.Flux[[#This Row],[MOTORISTA + MATRÍCULA B]],"+",tabE.Flux[[#This Row],[LINHA]])</f>
        <v>45931+KLEBER OLIVEIRA LIMA - 5849+GOIANIA (GO) X BELEM (PA)</v>
      </c>
      <c r="G1042" s="1" t="str">
        <f>_xlfn.CONCAT(tabE.Flux[[#This Row],[DATA]],"+",tabE.Flux[[#This Row],[LINHA]])</f>
        <v>45931+GOIANIA (GO) X BELEM (PA)</v>
      </c>
      <c r="H1042" s="125">
        <v>45931</v>
      </c>
      <c r="I1042" s="1" t="s">
        <v>15</v>
      </c>
      <c r="J1042" s="1">
        <v>19021</v>
      </c>
      <c r="K1042" s="126">
        <v>0.38958333333333334</v>
      </c>
      <c r="L1042" s="126">
        <v>0.38541666666666669</v>
      </c>
      <c r="M1042" s="1" t="s">
        <v>16</v>
      </c>
      <c r="N1042" s="1" t="s">
        <v>33</v>
      </c>
      <c r="O1042" s="1" t="s">
        <v>263</v>
      </c>
      <c r="P1042" s="1" t="s">
        <v>102</v>
      </c>
      <c r="Q1042" s="1" t="s">
        <v>20</v>
      </c>
    </row>
    <row r="1043" spans="3:17" x14ac:dyDescent="0.25">
      <c r="C1043" s="1" t="str">
        <f>_xlfn.CONCAT(tabE.Flux[[#This Row],[DATA]],"+",tabE.Flux[[#This Row],[MOTORISTA + MATRÍCULA A]])</f>
        <v>45931+JOSE HAILTON PEREIRA DOS SANTOS - 6018</v>
      </c>
      <c r="D1043" s="1" t="str">
        <f>_xlfn.CONCAT(tabE.Flux[[#This Row],[DATA]],"+",tabE.Flux[[#This Row],[MOTORISTA + MATRÍCULA B]])</f>
        <v>45931+MARCIO DE SOUSA BRASILEIRO - 5828</v>
      </c>
      <c r="E1043" s="1" t="str">
        <f>_xlfn.CONCAT(tabE.Flux[[#This Row],[DATA]],"+",tabE.Flux[[#This Row],[MOTORISTA + MATRÍCULA A]],"+",tabE.Flux[[#This Row],[LINHA]])</f>
        <v>45931+JOSE HAILTON PEREIRA DOS SANTOS - 6018+GOIANIA (GO) X TERESINA (PI) VIA BC</v>
      </c>
      <c r="F1043" s="1" t="str">
        <f>_xlfn.CONCAT(tabE.Flux[[#This Row],[DATA]],"+",tabE.Flux[[#This Row],[MOTORISTA + MATRÍCULA B]],"+",tabE.Flux[[#This Row],[LINHA]])</f>
        <v>45931+MARCIO DE SOUSA BRASILEIRO - 5828+GOIANIA (GO) X TERESINA (PI) VIA BC</v>
      </c>
      <c r="G1043" s="1" t="str">
        <f>_xlfn.CONCAT(tabE.Flux[[#This Row],[DATA]],"+",tabE.Flux[[#This Row],[LINHA]])</f>
        <v>45931+GOIANIA (GO) X TERESINA (PI) VIA BC</v>
      </c>
      <c r="H1043" s="125">
        <v>45931</v>
      </c>
      <c r="I1043" s="1" t="s">
        <v>15</v>
      </c>
      <c r="J1043" s="1">
        <v>25008</v>
      </c>
      <c r="K1043" s="126">
        <v>0.375</v>
      </c>
      <c r="L1043" s="126">
        <v>0.39930555555555558</v>
      </c>
      <c r="M1043" s="1" t="s">
        <v>36</v>
      </c>
      <c r="N1043" s="1" t="s">
        <v>29</v>
      </c>
      <c r="O1043" s="1" t="s">
        <v>141</v>
      </c>
      <c r="P1043" s="1" t="s">
        <v>129</v>
      </c>
      <c r="Q1043" s="1" t="s">
        <v>39</v>
      </c>
    </row>
    <row r="1044" spans="3:17" x14ac:dyDescent="0.25">
      <c r="C1044" s="1" t="str">
        <f>_xlfn.CONCAT(tabE.Flux[[#This Row],[DATA]],"+",tabE.Flux[[#This Row],[MOTORISTA + MATRÍCULA A]])</f>
        <v>45931+ANTONIO MARQUES NETO DOS SANTOS - 1738</v>
      </c>
      <c r="D1044" s="1" t="str">
        <f>_xlfn.CONCAT(tabE.Flux[[#This Row],[DATA]],"+",tabE.Flux[[#This Row],[MOTORISTA + MATRÍCULA B]])</f>
        <v>45931+JOSE ALVES DA ROCHA - 5035</v>
      </c>
      <c r="E1044" s="1" t="str">
        <f>_xlfn.CONCAT(tabE.Flux[[#This Row],[DATA]],"+",tabE.Flux[[#This Row],[MOTORISTA + MATRÍCULA A]],"+",tabE.Flux[[#This Row],[LINHA]])</f>
        <v>45931+ANTONIO MARQUES NETO DOS SANTOS - 1738+GOIANIA (GO) X BELEM (PA)</v>
      </c>
      <c r="F1044" s="1" t="str">
        <f>_xlfn.CONCAT(tabE.Flux[[#This Row],[DATA]],"+",tabE.Flux[[#This Row],[MOTORISTA + MATRÍCULA B]],"+",tabE.Flux[[#This Row],[LINHA]])</f>
        <v>45931+JOSE ALVES DA ROCHA - 5035+GOIANIA (GO) X BELEM (PA)</v>
      </c>
      <c r="G1044" s="1" t="str">
        <f>_xlfn.CONCAT(tabE.Flux[[#This Row],[DATA]],"+",tabE.Flux[[#This Row],[LINHA]])</f>
        <v>45931+GOIANIA (GO) X BELEM (PA)</v>
      </c>
      <c r="H1044" s="125">
        <v>45931</v>
      </c>
      <c r="I1044" s="1" t="s">
        <v>15</v>
      </c>
      <c r="J1044" s="1">
        <v>17200</v>
      </c>
      <c r="K1044" s="126">
        <v>0.375</v>
      </c>
      <c r="L1044" s="126">
        <v>0.41666666666666669</v>
      </c>
      <c r="M1044" s="1" t="s">
        <v>33</v>
      </c>
      <c r="N1044" s="1" t="s">
        <v>16</v>
      </c>
      <c r="O1044" s="1" t="s">
        <v>73</v>
      </c>
      <c r="P1044" s="1" t="s">
        <v>91</v>
      </c>
      <c r="Q1044" s="1" t="s">
        <v>20</v>
      </c>
    </row>
    <row r="1045" spans="3:17" x14ac:dyDescent="0.25">
      <c r="C1045" s="1" t="str">
        <f>_xlfn.CONCAT(tabE.Flux[[#This Row],[DATA]],"+",tabE.Flux[[#This Row],[MOTORISTA + MATRÍCULA A]])</f>
        <v>45931+PAULO ENEAS FARIAS ARAUJO - 6218</v>
      </c>
      <c r="D1045" s="1" t="str">
        <f>_xlfn.CONCAT(tabE.Flux[[#This Row],[DATA]],"+",tabE.Flux[[#This Row],[MOTORISTA + MATRÍCULA B]])</f>
        <v>45931+ANDSON WAGNER NASCIMENTO SOUZA - 2902</v>
      </c>
      <c r="E1045" s="1" t="str">
        <f>_xlfn.CONCAT(tabE.Flux[[#This Row],[DATA]],"+",tabE.Flux[[#This Row],[MOTORISTA + MATRÍCULA A]],"+",tabE.Flux[[#This Row],[LINHA]])</f>
        <v>45931+PAULO ENEAS FARIAS ARAUJO - 6218+GOIANIA (GO) X SAO LUIS (MA)</v>
      </c>
      <c r="F1045" s="1" t="str">
        <f>_xlfn.CONCAT(tabE.Flux[[#This Row],[DATA]],"+",tabE.Flux[[#This Row],[MOTORISTA + MATRÍCULA B]],"+",tabE.Flux[[#This Row],[LINHA]])</f>
        <v>45931+ANDSON WAGNER NASCIMENTO SOUZA - 2902+GOIANIA (GO) X SAO LUIS (MA)</v>
      </c>
      <c r="G1045" s="1" t="str">
        <f>_xlfn.CONCAT(tabE.Flux[[#This Row],[DATA]],"+",tabE.Flux[[#This Row],[LINHA]])</f>
        <v>45931+GOIANIA (GO) X SAO LUIS (MA)</v>
      </c>
      <c r="H1045" s="125">
        <v>45931</v>
      </c>
      <c r="I1045" s="1" t="s">
        <v>15</v>
      </c>
      <c r="J1045" s="1">
        <v>19009</v>
      </c>
      <c r="K1045" s="126">
        <v>0.25</v>
      </c>
      <c r="L1045" s="126">
        <v>0.29166666666666669</v>
      </c>
      <c r="M1045" s="1" t="s">
        <v>42</v>
      </c>
      <c r="N1045" s="1" t="s">
        <v>16</v>
      </c>
      <c r="O1045" s="1" t="s">
        <v>43</v>
      </c>
      <c r="P1045" s="1" t="s">
        <v>232</v>
      </c>
      <c r="Q1045" s="1" t="s">
        <v>23</v>
      </c>
    </row>
    <row r="1046" spans="3:17" x14ac:dyDescent="0.25">
      <c r="C1046" s="1" t="str">
        <f>_xlfn.CONCAT(tabE.Flux[[#This Row],[DATA]],"+",tabE.Flux[[#This Row],[MOTORISTA + MATRÍCULA A]])</f>
        <v>45931+EDIVALDO DE ARAUJO - 6217</v>
      </c>
      <c r="D1046" s="1" t="str">
        <f>_xlfn.CONCAT(tabE.Flux[[#This Row],[DATA]],"+",tabE.Flux[[#This Row],[MOTORISTA + MATRÍCULA B]])</f>
        <v>45931+GILDEVAN DE ALMEIDA AGOSTINHO - 1924</v>
      </c>
      <c r="E1046" s="1" t="str">
        <f>_xlfn.CONCAT(tabE.Flux[[#This Row],[DATA]],"+",tabE.Flux[[#This Row],[MOTORISTA + MATRÍCULA A]],"+",tabE.Flux[[#This Row],[LINHA]])</f>
        <v>45931+EDIVALDO DE ARAUJO - 6217+GOIANIA (GO) X SAO LUIS (MA)</v>
      </c>
      <c r="F1046" s="1" t="str">
        <f>_xlfn.CONCAT(tabE.Flux[[#This Row],[DATA]],"+",tabE.Flux[[#This Row],[MOTORISTA + MATRÍCULA B]],"+",tabE.Flux[[#This Row],[LINHA]])</f>
        <v>45931+GILDEVAN DE ALMEIDA AGOSTINHO - 1924+GOIANIA (GO) X SAO LUIS (MA)</v>
      </c>
      <c r="G1046" s="1" t="str">
        <f>_xlfn.CONCAT(tabE.Flux[[#This Row],[DATA]],"+",tabE.Flux[[#This Row],[LINHA]])</f>
        <v>45931+GOIANIA (GO) X SAO LUIS (MA)</v>
      </c>
      <c r="H1046" s="125">
        <v>45931</v>
      </c>
      <c r="I1046" s="1" t="s">
        <v>15</v>
      </c>
      <c r="J1046" s="1">
        <v>24009</v>
      </c>
      <c r="K1046" s="126">
        <v>0.75</v>
      </c>
      <c r="L1046" s="126">
        <v>0.79166666666666663</v>
      </c>
      <c r="M1046" s="1" t="s">
        <v>42</v>
      </c>
      <c r="N1046" s="1" t="s">
        <v>16</v>
      </c>
      <c r="O1046" s="1" t="s">
        <v>55</v>
      </c>
      <c r="P1046" s="1" t="s">
        <v>236</v>
      </c>
      <c r="Q1046" s="1" t="s">
        <v>23</v>
      </c>
    </row>
    <row r="1047" spans="3:17" x14ac:dyDescent="0.25">
      <c r="C1047" s="1" t="str">
        <f>_xlfn.CONCAT(tabE.Flux[[#This Row],[DATA]],"+",tabE.Flux[[#This Row],[MOTORISTA + MATRÍCULA A]])</f>
        <v>45931+CANCELADO</v>
      </c>
      <c r="D1047" s="1" t="str">
        <f>_xlfn.CONCAT(tabE.Flux[[#This Row],[DATA]],"+",tabE.Flux[[#This Row],[MOTORISTA + MATRÍCULA B]])</f>
        <v>45931+CANCELADO</v>
      </c>
      <c r="E1047" s="1" t="str">
        <f>_xlfn.CONCAT(tabE.Flux[[#This Row],[DATA]],"+",tabE.Flux[[#This Row],[MOTORISTA + MATRÍCULA A]],"+",tabE.Flux[[#This Row],[LINHA]])</f>
        <v>45931+CANCELADO+IMPERATRIZ (MA) X SÃO LUIS (MA)</v>
      </c>
      <c r="F1047" s="1" t="str">
        <f>_xlfn.CONCAT(tabE.Flux[[#This Row],[DATA]],"+",tabE.Flux[[#This Row],[MOTORISTA + MATRÍCULA B]],"+",tabE.Flux[[#This Row],[LINHA]])</f>
        <v>45931+CANCELADO+IMPERATRIZ (MA) X SÃO LUIS (MA)</v>
      </c>
      <c r="G1047" s="1" t="str">
        <f>_xlfn.CONCAT(tabE.Flux[[#This Row],[DATA]],"+",tabE.Flux[[#This Row],[LINHA]])</f>
        <v>45931+IMPERATRIZ (MA) X SÃO LUIS (MA)</v>
      </c>
      <c r="H1047" s="125">
        <v>45931</v>
      </c>
      <c r="I1047" s="1" t="s">
        <v>15</v>
      </c>
      <c r="J1047" s="1" t="s">
        <v>27</v>
      </c>
      <c r="K1047" s="126">
        <v>0.77083333333333337</v>
      </c>
      <c r="L1047" s="126">
        <v>0.79513888888888884</v>
      </c>
      <c r="M1047" s="1" t="s">
        <v>42</v>
      </c>
      <c r="N1047" s="1" t="s">
        <v>16</v>
      </c>
      <c r="O1047" s="1" t="s">
        <v>27</v>
      </c>
      <c r="P1047" s="1" t="s">
        <v>27</v>
      </c>
      <c r="Q1047" s="1" t="s">
        <v>47</v>
      </c>
    </row>
    <row r="1048" spans="3:17" x14ac:dyDescent="0.25">
      <c r="C1048" s="1" t="str">
        <f>_xlfn.CONCAT(tabE.Flux[[#This Row],[DATA]],"+",tabE.Flux[[#This Row],[MOTORISTA + MATRÍCULA A]])</f>
        <v>45931+EDINANDES LUIZ DA SILVA - 2651</v>
      </c>
      <c r="D1048" s="1" t="str">
        <f>_xlfn.CONCAT(tabE.Flux[[#This Row],[DATA]],"+",tabE.Flux[[#This Row],[MOTORISTA + MATRÍCULA B]])</f>
        <v>45931+GENIVALDO ANTONIO DE SOUZA - 1082</v>
      </c>
      <c r="E1048" s="1" t="str">
        <f>_xlfn.CONCAT(tabE.Flux[[#This Row],[DATA]],"+",tabE.Flux[[#This Row],[MOTORISTA + MATRÍCULA A]],"+",tabE.Flux[[#This Row],[LINHA]])</f>
        <v>45931+EDINANDES LUIZ DA SILVA - 2651+GOIANIA (GO) X TERESINA (PI) VIA BC</v>
      </c>
      <c r="F1048" s="1" t="str">
        <f>_xlfn.CONCAT(tabE.Flux[[#This Row],[DATA]],"+",tabE.Flux[[#This Row],[MOTORISTA + MATRÍCULA B]],"+",tabE.Flux[[#This Row],[LINHA]])</f>
        <v>45931+GENIVALDO ANTONIO DE SOUZA - 1082+GOIANIA (GO) X TERESINA (PI) VIA BC</v>
      </c>
      <c r="G1048" s="1" t="str">
        <f>_xlfn.CONCAT(tabE.Flux[[#This Row],[DATA]],"+",tabE.Flux[[#This Row],[LINHA]])</f>
        <v>45931+GOIANIA (GO) X TERESINA (PI) VIA BC</v>
      </c>
      <c r="H1048" s="125">
        <v>45931</v>
      </c>
      <c r="I1048" s="1" t="s">
        <v>15</v>
      </c>
      <c r="J1048" s="1">
        <v>25011</v>
      </c>
      <c r="K1048" s="126">
        <v>0.89583333333333337</v>
      </c>
      <c r="L1048" s="126">
        <v>0.91666666666666663</v>
      </c>
      <c r="M1048" s="1" t="s">
        <v>36</v>
      </c>
      <c r="N1048" s="1" t="s">
        <v>17</v>
      </c>
      <c r="O1048" s="1" t="s">
        <v>195</v>
      </c>
      <c r="P1048" s="1" t="s">
        <v>185</v>
      </c>
      <c r="Q1048" s="1" t="s">
        <v>39</v>
      </c>
    </row>
    <row r="1049" spans="3:17" x14ac:dyDescent="0.25">
      <c r="C1049" s="1" t="str">
        <f>_xlfn.CONCAT(tabE.Flux[[#This Row],[DATA]],"+",tabE.Flux[[#This Row],[MOTORISTA + MATRÍCULA A]])</f>
        <v>45931+LUIS ANTONIO FARIAS RIBEIRO - 2789</v>
      </c>
      <c r="D1049" s="1" t="str">
        <f>_xlfn.CONCAT(tabE.Flux[[#This Row],[DATA]],"+",tabE.Flux[[#This Row],[MOTORISTA + MATRÍCULA B]])</f>
        <v>45931+KLEBSON ALVES FREIRES - 3060</v>
      </c>
      <c r="E1049" s="1" t="str">
        <f>_xlfn.CONCAT(tabE.Flux[[#This Row],[DATA]],"+",tabE.Flux[[#This Row],[MOTORISTA + MATRÍCULA A]],"+",tabE.Flux[[#This Row],[LINHA]])</f>
        <v>45931+LUIS ANTONIO FARIAS RIBEIRO - 2789+GOIANIA (GO) X BELEM (PA)</v>
      </c>
      <c r="F1049" s="1" t="str">
        <f>_xlfn.CONCAT(tabE.Flux[[#This Row],[DATA]],"+",tabE.Flux[[#This Row],[MOTORISTA + MATRÍCULA B]],"+",tabE.Flux[[#This Row],[LINHA]])</f>
        <v>45931+KLEBSON ALVES FREIRES - 3060+GOIANIA (GO) X BELEM (PA)</v>
      </c>
      <c r="G1049" s="1" t="str">
        <f>_xlfn.CONCAT(tabE.Flux[[#This Row],[DATA]],"+",tabE.Flux[[#This Row],[LINHA]])</f>
        <v>45931+GOIANIA (GO) X BELEM (PA)</v>
      </c>
      <c r="H1049" s="125">
        <v>45931</v>
      </c>
      <c r="I1049" s="1" t="s">
        <v>15</v>
      </c>
      <c r="J1049" s="1">
        <v>24002</v>
      </c>
      <c r="K1049" s="126">
        <v>0.76041666666666663</v>
      </c>
      <c r="L1049" s="126">
        <v>0.77083333333333337</v>
      </c>
      <c r="M1049" s="1" t="s">
        <v>33</v>
      </c>
      <c r="N1049" s="1" t="s">
        <v>16</v>
      </c>
      <c r="O1049" s="1" t="s">
        <v>124</v>
      </c>
      <c r="P1049" s="1" t="s">
        <v>161</v>
      </c>
      <c r="Q1049" s="1" t="s">
        <v>20</v>
      </c>
    </row>
    <row r="1050" spans="3:17" x14ac:dyDescent="0.25">
      <c r="C1050" s="1" t="str">
        <f>_xlfn.CONCAT(tabE.Flux[[#This Row],[DATA]],"+",tabE.Flux[[#This Row],[MOTORISTA + MATRÍCULA A]])</f>
        <v>45931+IZALMIR RODRIGUES COELHO - 958</v>
      </c>
      <c r="D1050" s="1" t="str">
        <f>_xlfn.CONCAT(tabE.Flux[[#This Row],[DATA]],"+",tabE.Flux[[#This Row],[MOTORISTA + MATRÍCULA B]])</f>
        <v>45931+BERNARDO SOUZA LIMA - 1720</v>
      </c>
      <c r="E1050" s="1" t="str">
        <f>_xlfn.CONCAT(tabE.Flux[[#This Row],[DATA]],"+",tabE.Flux[[#This Row],[MOTORISTA + MATRÍCULA A]],"+",tabE.Flux[[#This Row],[LINHA]])</f>
        <v>45931+IZALMIR RODRIGUES COELHO - 958+GOIANIA (GO) X BELEM (PA)</v>
      </c>
      <c r="F1050" s="1" t="str">
        <f>_xlfn.CONCAT(tabE.Flux[[#This Row],[DATA]],"+",tabE.Flux[[#This Row],[MOTORISTA + MATRÍCULA B]],"+",tabE.Flux[[#This Row],[LINHA]])</f>
        <v>45931+BERNARDO SOUZA LIMA - 1720+GOIANIA (GO) X BELEM (PA)</v>
      </c>
      <c r="G1050" s="1" t="str">
        <f>_xlfn.CONCAT(tabE.Flux[[#This Row],[DATA]],"+",tabE.Flux[[#This Row],[LINHA]])</f>
        <v>45931+GOIANIA (GO) X BELEM (PA)</v>
      </c>
      <c r="H1050" s="125">
        <v>45931</v>
      </c>
      <c r="I1050" s="1" t="s">
        <v>15</v>
      </c>
      <c r="J1050" s="1">
        <v>24013</v>
      </c>
      <c r="K1050" s="126">
        <v>0.76041666666666663</v>
      </c>
      <c r="L1050" s="126">
        <v>0.82777777777777772</v>
      </c>
      <c r="M1050" s="1" t="s">
        <v>16</v>
      </c>
      <c r="N1050" s="1" t="s">
        <v>33</v>
      </c>
      <c r="O1050" s="1" t="s">
        <v>83</v>
      </c>
      <c r="P1050" s="1" t="s">
        <v>123</v>
      </c>
      <c r="Q1050" s="1" t="s">
        <v>20</v>
      </c>
    </row>
    <row r="1051" spans="3:17" x14ac:dyDescent="0.25">
      <c r="C1051" s="1" t="str">
        <f>_xlfn.CONCAT(tabE.Flux[[#This Row],[DATA]],"+",tabE.Flux[[#This Row],[MOTORISTA + MATRÍCULA A]])</f>
        <v>45931+MARCOS ATAIDE SILVA - 1352</v>
      </c>
      <c r="D1051" s="1" t="str">
        <f>_xlfn.CONCAT(tabE.Flux[[#This Row],[DATA]],"+",tabE.Flux[[#This Row],[MOTORISTA + MATRÍCULA B]])</f>
        <v>45931+LAUCEANDO DA SILVA ROCHA - 6220</v>
      </c>
      <c r="E1051" s="1" t="str">
        <f>_xlfn.CONCAT(tabE.Flux[[#This Row],[DATA]],"+",tabE.Flux[[#This Row],[MOTORISTA + MATRÍCULA A]],"+",tabE.Flux[[#This Row],[LINHA]])</f>
        <v>45931+MARCOS ATAIDE SILVA - 1352+GOIANIA (GO) X SAO LUIS (MA)</v>
      </c>
      <c r="F1051" s="1" t="str">
        <f>_xlfn.CONCAT(tabE.Flux[[#This Row],[DATA]],"+",tabE.Flux[[#This Row],[MOTORISTA + MATRÍCULA B]],"+",tabE.Flux[[#This Row],[LINHA]])</f>
        <v>45931+LAUCEANDO DA SILVA ROCHA - 6220+GOIANIA (GO) X SAO LUIS (MA)</v>
      </c>
      <c r="G1051" s="1" t="str">
        <f>_xlfn.CONCAT(tabE.Flux[[#This Row],[DATA]],"+",tabE.Flux[[#This Row],[LINHA]])</f>
        <v>45931+GOIANIA (GO) X SAO LUIS (MA)</v>
      </c>
      <c r="H1051" s="125">
        <v>45931</v>
      </c>
      <c r="I1051" s="1" t="s">
        <v>15</v>
      </c>
      <c r="J1051" s="1">
        <v>20014</v>
      </c>
      <c r="K1051" s="126">
        <v>0.40763888888888888</v>
      </c>
      <c r="L1051" s="126">
        <v>0.47013888888888888</v>
      </c>
      <c r="M1051" s="1" t="s">
        <v>16</v>
      </c>
      <c r="N1051" s="1" t="s">
        <v>42</v>
      </c>
      <c r="O1051" s="1" t="s">
        <v>113</v>
      </c>
      <c r="P1051" s="1" t="s">
        <v>86</v>
      </c>
      <c r="Q1051" s="1" t="s">
        <v>23</v>
      </c>
    </row>
    <row r="1052" spans="3:17" x14ac:dyDescent="0.25">
      <c r="C1052" s="1" t="str">
        <f>_xlfn.CONCAT(tabE.Flux[[#This Row],[DATA]],"+",tabE.Flux[[#This Row],[MOTORISTA + MATRÍCULA A]])</f>
        <v>45931+CANCELADO</v>
      </c>
      <c r="D1052" s="1" t="str">
        <f>_xlfn.CONCAT(tabE.Flux[[#This Row],[DATA]],"+",tabE.Flux[[#This Row],[MOTORISTA + MATRÍCULA B]])</f>
        <v>45931+CANCELADO</v>
      </c>
      <c r="E1052" s="1" t="str">
        <f>_xlfn.CONCAT(tabE.Flux[[#This Row],[DATA]],"+",tabE.Flux[[#This Row],[MOTORISTA + MATRÍCULA A]],"+",tabE.Flux[[#This Row],[LINHA]])</f>
        <v>45931+CANCELADO+IMPERATRIZ (MA) X SÃO LUIS (MA)</v>
      </c>
      <c r="F1052" s="1" t="str">
        <f>_xlfn.CONCAT(tabE.Flux[[#This Row],[DATA]],"+",tabE.Flux[[#This Row],[MOTORISTA + MATRÍCULA B]],"+",tabE.Flux[[#This Row],[LINHA]])</f>
        <v>45931+CANCELADO+IMPERATRIZ (MA) X SÃO LUIS (MA)</v>
      </c>
      <c r="G1052" s="1" t="str">
        <f>_xlfn.CONCAT(tabE.Flux[[#This Row],[DATA]],"+",tabE.Flux[[#This Row],[LINHA]])</f>
        <v>45931+IMPERATRIZ (MA) X SÃO LUIS (MA)</v>
      </c>
      <c r="H1052" s="125">
        <v>45931</v>
      </c>
      <c r="I1052" s="1" t="s">
        <v>15</v>
      </c>
      <c r="J1052" s="1" t="s">
        <v>27</v>
      </c>
      <c r="K1052" s="126">
        <v>0.77083333333333337</v>
      </c>
      <c r="L1052" s="126">
        <v>0.8125</v>
      </c>
      <c r="M1052" s="1" t="s">
        <v>16</v>
      </c>
      <c r="N1052" s="1" t="s">
        <v>42</v>
      </c>
      <c r="O1052" s="1" t="s">
        <v>27</v>
      </c>
      <c r="P1052" s="1" t="s">
        <v>27</v>
      </c>
      <c r="Q1052" s="1" t="s">
        <v>47</v>
      </c>
    </row>
    <row r="1053" spans="3:17" x14ac:dyDescent="0.25">
      <c r="C1053" s="1" t="str">
        <f>_xlfn.CONCAT(tabE.Flux[[#This Row],[DATA]],"+",tabE.Flux[[#This Row],[MOTORISTA + MATRÍCULA A]])</f>
        <v>45931+JOSE POLICARPO DE SOUSA NETO - 1472</v>
      </c>
      <c r="D1053" s="1" t="str">
        <f>_xlfn.CONCAT(tabE.Flux[[#This Row],[DATA]],"+",tabE.Flux[[#This Row],[MOTORISTA + MATRÍCULA B]])</f>
        <v>45931+PAULO ENEAS FARIAS ARAUJO - 6218</v>
      </c>
      <c r="E1053" s="1" t="str">
        <f>_xlfn.CONCAT(tabE.Flux[[#This Row],[DATA]],"+",tabE.Flux[[#This Row],[MOTORISTA + MATRÍCULA A]],"+",tabE.Flux[[#This Row],[LINHA]])</f>
        <v>45931+JOSE POLICARPO DE SOUSA NETO - 1472+GOIANIA (GO) X SAO LUIS (MA)</v>
      </c>
      <c r="F1053" s="1" t="str">
        <f>_xlfn.CONCAT(tabE.Flux[[#This Row],[DATA]],"+",tabE.Flux[[#This Row],[MOTORISTA + MATRÍCULA B]],"+",tabE.Flux[[#This Row],[LINHA]])</f>
        <v>45931+PAULO ENEAS FARIAS ARAUJO - 6218+GOIANIA (GO) X SAO LUIS (MA)</v>
      </c>
      <c r="G1053" s="1" t="str">
        <f>_xlfn.CONCAT(tabE.Flux[[#This Row],[DATA]],"+",tabE.Flux[[#This Row],[LINHA]])</f>
        <v>45931+GOIANIA (GO) X SAO LUIS (MA)</v>
      </c>
      <c r="H1053" s="125">
        <v>45931</v>
      </c>
      <c r="I1053" s="1" t="s">
        <v>15</v>
      </c>
      <c r="J1053" s="1">
        <v>24010</v>
      </c>
      <c r="K1053" s="126">
        <v>0.8125</v>
      </c>
      <c r="L1053" s="126">
        <v>0.84375</v>
      </c>
      <c r="M1053" s="1" t="s">
        <v>16</v>
      </c>
      <c r="N1053" s="1" t="s">
        <v>42</v>
      </c>
      <c r="O1053" s="1" t="s">
        <v>54</v>
      </c>
      <c r="P1053" s="1" t="s">
        <v>43</v>
      </c>
      <c r="Q1053" s="1" t="s">
        <v>23</v>
      </c>
    </row>
    <row r="1054" spans="3:17" x14ac:dyDescent="0.25">
      <c r="C1054" s="1" t="str">
        <f>_xlfn.CONCAT(tabE.Flux[[#This Row],[DATA]],"+",tabE.Flux[[#This Row],[MOTORISTA + MATRÍCULA A]])</f>
        <v>45931+RAINERIO COSTA MENDES - 5850</v>
      </c>
      <c r="D1054" s="1" t="str">
        <f>_xlfn.CONCAT(tabE.Flux[[#This Row],[DATA]],"+",tabE.Flux[[#This Row],[MOTORISTA + MATRÍCULA B]])</f>
        <v>45931+JOSE CLAUDIMAR  CUNHA - 5652</v>
      </c>
      <c r="E1054" s="1" t="str">
        <f>_xlfn.CONCAT(tabE.Flux[[#This Row],[DATA]],"+",tabE.Flux[[#This Row],[MOTORISTA + MATRÍCULA A]],"+",tabE.Flux[[#This Row],[LINHA]])</f>
        <v>45931+RAINERIO COSTA MENDES - 5850+GOIANIA (GO) X TERESINA (PI) VIA STI</v>
      </c>
      <c r="F1054" s="1" t="str">
        <f>_xlfn.CONCAT(tabE.Flux[[#This Row],[DATA]],"+",tabE.Flux[[#This Row],[MOTORISTA + MATRÍCULA B]],"+",tabE.Flux[[#This Row],[LINHA]])</f>
        <v>45931+JOSE CLAUDIMAR  CUNHA - 5652+GOIANIA (GO) X TERESINA (PI) VIA STI</v>
      </c>
      <c r="G1054" s="1" t="str">
        <f>_xlfn.CONCAT(tabE.Flux[[#This Row],[DATA]],"+",tabE.Flux[[#This Row],[LINHA]])</f>
        <v>45931+GOIANIA (GO) X TERESINA (PI) VIA STI</v>
      </c>
      <c r="H1054" s="125">
        <v>45931</v>
      </c>
      <c r="I1054" s="1" t="s">
        <v>15</v>
      </c>
      <c r="J1054" s="1">
        <v>19018</v>
      </c>
      <c r="K1054" s="126">
        <v>0.77083333333333337</v>
      </c>
      <c r="L1054" s="126">
        <v>0.79861111111111116</v>
      </c>
      <c r="M1054" s="1" t="s">
        <v>16</v>
      </c>
      <c r="N1054" s="1" t="s">
        <v>29</v>
      </c>
      <c r="O1054" s="1" t="s">
        <v>108</v>
      </c>
      <c r="P1054" s="1" t="s">
        <v>140</v>
      </c>
      <c r="Q1054" s="1" t="s">
        <v>26</v>
      </c>
    </row>
    <row r="1055" spans="3:17" x14ac:dyDescent="0.25">
      <c r="C1055" s="1" t="str">
        <f>_xlfn.CONCAT(tabE.Flux[[#This Row],[DATA]],"+",tabE.Flux[[#This Row],[MOTORISTA + MATRÍCULA A]])</f>
        <v>45931+CLEOMAR ANTONIO SIMOES - 2988</v>
      </c>
      <c r="D1055" s="1" t="str">
        <f>_xlfn.CONCAT(tabE.Flux[[#This Row],[DATA]],"+",tabE.Flux[[#This Row],[MOTORISTA + MATRÍCULA B]])</f>
        <v>45931+ISMAEL ANTERO FARIAS - 6230</v>
      </c>
      <c r="E1055" s="1" t="str">
        <f>_xlfn.CONCAT(tabE.Flux[[#This Row],[DATA]],"+",tabE.Flux[[#This Row],[MOTORISTA + MATRÍCULA A]],"+",tabE.Flux[[#This Row],[LINHA]])</f>
        <v>45931+CLEOMAR ANTONIO SIMOES - 2988+GOIANIA (GO) X SAO LUIS (MA)</v>
      </c>
      <c r="F1055" s="1" t="str">
        <f>_xlfn.CONCAT(tabE.Flux[[#This Row],[DATA]],"+",tabE.Flux[[#This Row],[MOTORISTA + MATRÍCULA B]],"+",tabE.Flux[[#This Row],[LINHA]])</f>
        <v>45931+ISMAEL ANTERO FARIAS - 6230+GOIANIA (GO) X SAO LUIS (MA)</v>
      </c>
      <c r="G1055" s="1" t="str">
        <f>_xlfn.CONCAT(tabE.Flux[[#This Row],[DATA]],"+",tabE.Flux[[#This Row],[LINHA]])</f>
        <v>45931+GOIANIA (GO) X SAO LUIS (MA)</v>
      </c>
      <c r="H1055" s="125">
        <v>45931</v>
      </c>
      <c r="I1055" s="1" t="s">
        <v>15</v>
      </c>
      <c r="J1055" s="1">
        <v>19009</v>
      </c>
      <c r="K1055" s="126">
        <v>0.8125</v>
      </c>
      <c r="L1055" s="126">
        <v>0.84166666666666667</v>
      </c>
      <c r="M1055" s="1" t="s">
        <v>16</v>
      </c>
      <c r="N1055" s="1" t="s">
        <v>17</v>
      </c>
      <c r="O1055" s="1" t="s">
        <v>250</v>
      </c>
      <c r="P1055" s="1" t="s">
        <v>205</v>
      </c>
      <c r="Q1055" s="1" t="s">
        <v>23</v>
      </c>
    </row>
    <row r="1056" spans="3:17" x14ac:dyDescent="0.25">
      <c r="C1056" s="1" t="str">
        <f>_xlfn.CONCAT(tabE.Flux[[#This Row],[DATA]],"+",tabE.Flux[[#This Row],[MOTORISTA + MATRÍCULA A]])</f>
        <v>45931+CLAUDIO JOSE DO NASCIMENTO - 549</v>
      </c>
      <c r="D1056" s="1" t="str">
        <f>_xlfn.CONCAT(tabE.Flux[[#This Row],[DATA]],"+",tabE.Flux[[#This Row],[MOTORISTA + MATRÍCULA B]])</f>
        <v>45931+COSME CAVALCANTE DA SILVA - 3002</v>
      </c>
      <c r="E1056" s="1" t="str">
        <f>_xlfn.CONCAT(tabE.Flux[[#This Row],[DATA]],"+",tabE.Flux[[#This Row],[MOTORISTA + MATRÍCULA A]],"+",tabE.Flux[[#This Row],[LINHA]])</f>
        <v>45931+CLAUDIO JOSE DO NASCIMENTO - 549+FORTALEZA (CE) X SINOP (MT)</v>
      </c>
      <c r="F1056" s="1" t="str">
        <f>_xlfn.CONCAT(tabE.Flux[[#This Row],[DATA]],"+",tabE.Flux[[#This Row],[MOTORISTA + MATRÍCULA B]],"+",tabE.Flux[[#This Row],[LINHA]])</f>
        <v>45931+COSME CAVALCANTE DA SILVA - 3002+FORTALEZA (CE) X SINOP (MT)</v>
      </c>
      <c r="G1056" s="1" t="str">
        <f>_xlfn.CONCAT(tabE.Flux[[#This Row],[DATA]],"+",tabE.Flux[[#This Row],[LINHA]])</f>
        <v>45931+FORTALEZA (CE) X SINOP (MT)</v>
      </c>
      <c r="H1056" s="125">
        <v>45931</v>
      </c>
      <c r="I1056" s="1" t="s">
        <v>15</v>
      </c>
      <c r="J1056" s="1">
        <v>20010</v>
      </c>
      <c r="K1056" s="126">
        <v>0.8125</v>
      </c>
      <c r="L1056" s="126">
        <v>0.85416666666666663</v>
      </c>
      <c r="M1056" s="1" t="s">
        <v>16</v>
      </c>
      <c r="N1056" s="1" t="s">
        <v>17</v>
      </c>
      <c r="O1056" s="1" t="s">
        <v>48</v>
      </c>
      <c r="P1056" s="1" t="s">
        <v>49</v>
      </c>
      <c r="Q1056" s="1" t="s">
        <v>32</v>
      </c>
    </row>
    <row r="1057" spans="3:17" x14ac:dyDescent="0.25">
      <c r="C1057" s="1" t="str">
        <f>_xlfn.CONCAT(tabE.Flux[[#This Row],[DATA]],"+",tabE.Flux[[#This Row],[MOTORISTA + MATRÍCULA A]])</f>
        <v>45931+JUSCELINO PIRES GONCALVES - 1343</v>
      </c>
      <c r="D1057" s="1" t="str">
        <f>_xlfn.CONCAT(tabE.Flux[[#This Row],[DATA]],"+",tabE.Flux[[#This Row],[MOTORISTA + MATRÍCULA B]])</f>
        <v>45931+OLISMAR BATISTA DE DEUS - 5293</v>
      </c>
      <c r="E1057" s="1" t="str">
        <f>_xlfn.CONCAT(tabE.Flux[[#This Row],[DATA]],"+",tabE.Flux[[#This Row],[MOTORISTA + MATRÍCULA A]],"+",tabE.Flux[[#This Row],[LINHA]])</f>
        <v>45931+JUSCELINO PIRES GONCALVES - 1343+GOIANIA (GO) X BELEM (PA)</v>
      </c>
      <c r="F1057" s="1" t="str">
        <f>_xlfn.CONCAT(tabE.Flux[[#This Row],[DATA]],"+",tabE.Flux[[#This Row],[MOTORISTA + MATRÍCULA B]],"+",tabE.Flux[[#This Row],[LINHA]])</f>
        <v>45931+OLISMAR BATISTA DE DEUS - 5293+GOIANIA (GO) X BELEM (PA)</v>
      </c>
      <c r="G1057" s="1" t="str">
        <f>_xlfn.CONCAT(tabE.Flux[[#This Row],[DATA]],"+",tabE.Flux[[#This Row],[LINHA]])</f>
        <v>45931+GOIANIA (GO) X BELEM (PA)</v>
      </c>
      <c r="H1057" s="125">
        <v>45931</v>
      </c>
      <c r="I1057" s="1" t="s">
        <v>15</v>
      </c>
      <c r="J1057" s="1">
        <v>17200</v>
      </c>
      <c r="K1057" s="126">
        <v>0.84722222222222221</v>
      </c>
      <c r="L1057" s="126">
        <v>0.87847222222222221</v>
      </c>
      <c r="M1057" s="1" t="s">
        <v>16</v>
      </c>
      <c r="N1057" s="1" t="s">
        <v>17</v>
      </c>
      <c r="O1057" s="1" t="s">
        <v>138</v>
      </c>
      <c r="P1057" s="1" t="s">
        <v>139</v>
      </c>
      <c r="Q1057" s="1" t="s">
        <v>20</v>
      </c>
    </row>
    <row r="1058" spans="3:17" x14ac:dyDescent="0.25">
      <c r="C1058" s="1" t="str">
        <f>_xlfn.CONCAT(tabE.Flux[[#This Row],[DATA]],"+",tabE.Flux[[#This Row],[MOTORISTA + MATRÍCULA A]])</f>
        <v>+</v>
      </c>
      <c r="D1058" s="1" t="str">
        <f>_xlfn.CONCAT(tabE.Flux[[#This Row],[DATA]],"+",tabE.Flux[[#This Row],[MOTORISTA + MATRÍCULA B]])</f>
        <v>+</v>
      </c>
      <c r="E1058" s="1" t="str">
        <f>_xlfn.CONCAT(tabE.Flux[[#This Row],[DATA]],"+",tabE.Flux[[#This Row],[MOTORISTA + MATRÍCULA A]],"+",tabE.Flux[[#This Row],[LINHA]])</f>
        <v>++</v>
      </c>
      <c r="F1058" s="1" t="str">
        <f>_xlfn.CONCAT(tabE.Flux[[#This Row],[DATA]],"+",tabE.Flux[[#This Row],[MOTORISTA + MATRÍCULA B]],"+",tabE.Flux[[#This Row],[LINHA]])</f>
        <v>++</v>
      </c>
      <c r="G1058" s="1" t="str">
        <f>_xlfn.CONCAT(tabE.Flux[[#This Row],[DATA]],"+",tabE.Flux[[#This Row],[LINHA]])</f>
        <v>+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</row>
    <row r="1059" spans="3:17" x14ac:dyDescent="0.25">
      <c r="C1059" s="1" t="str">
        <f>_xlfn.CONCAT(tabE.Flux[[#This Row],[DATA]],"+",tabE.Flux[[#This Row],[MOTORISTA + MATRÍCULA A]])</f>
        <v>45932+ELISEU TORRES DE OLIVEIRA - 561</v>
      </c>
      <c r="D1059" s="1" t="str">
        <f>_xlfn.CONCAT(tabE.Flux[[#This Row],[DATA]],"+",tabE.Flux[[#This Row],[MOTORISTA + MATRÍCULA B]])</f>
        <v>45932+JULIO EDER NERES DA SILVA - 1767</v>
      </c>
      <c r="E1059" s="1" t="str">
        <f>_xlfn.CONCAT(tabE.Flux[[#This Row],[DATA]],"+",tabE.Flux[[#This Row],[MOTORISTA + MATRÍCULA A]],"+",tabE.Flux[[#This Row],[LINHA]])</f>
        <v>45932+ELISEU TORRES DE OLIVEIRA - 561+GOIANIA (GO) X BELEM (PA)</v>
      </c>
      <c r="F1059" s="1" t="str">
        <f>_xlfn.CONCAT(tabE.Flux[[#This Row],[DATA]],"+",tabE.Flux[[#This Row],[MOTORISTA + MATRÍCULA B]],"+",tabE.Flux[[#This Row],[LINHA]])</f>
        <v>45932+JULIO EDER NERES DA SILVA - 1767+GOIANIA (GO) X BELEM (PA)</v>
      </c>
      <c r="G1059" s="1" t="str">
        <f>_xlfn.CONCAT(tabE.Flux[[#This Row],[DATA]],"+",tabE.Flux[[#This Row],[LINHA]])</f>
        <v>45932+GOIANIA (GO) X BELEM (PA)</v>
      </c>
      <c r="H1059" s="125">
        <v>45932</v>
      </c>
      <c r="I1059" s="1" t="s">
        <v>15</v>
      </c>
      <c r="J1059" s="1">
        <v>24002</v>
      </c>
      <c r="K1059" s="126">
        <v>0.25486111111111109</v>
      </c>
      <c r="L1059" s="126">
        <v>0.3</v>
      </c>
      <c r="M1059" s="1" t="s">
        <v>16</v>
      </c>
      <c r="N1059" s="1" t="s">
        <v>17</v>
      </c>
      <c r="O1059" s="1" t="s">
        <v>169</v>
      </c>
      <c r="P1059" s="1" t="s">
        <v>170</v>
      </c>
      <c r="Q1059" s="1" t="s">
        <v>20</v>
      </c>
    </row>
    <row r="1060" spans="3:17" x14ac:dyDescent="0.25">
      <c r="C1060" s="1" t="str">
        <f>_xlfn.CONCAT(tabE.Flux[[#This Row],[DATA]],"+",tabE.Flux[[#This Row],[MOTORISTA + MATRÍCULA A]])</f>
        <v>45932+EDIVALDO DOS SANTOS SOUZA - 905</v>
      </c>
      <c r="D1060" s="1" t="str">
        <f>_xlfn.CONCAT(tabE.Flux[[#This Row],[DATA]],"+",tabE.Flux[[#This Row],[MOTORISTA + MATRÍCULA B]])</f>
        <v>45932+JAKTAN DE OLIVEIRA RODRIGUES - 5836</v>
      </c>
      <c r="E1060" s="1" t="str">
        <f>_xlfn.CONCAT(tabE.Flux[[#This Row],[DATA]],"+",tabE.Flux[[#This Row],[MOTORISTA + MATRÍCULA A]],"+",tabE.Flux[[#This Row],[LINHA]])</f>
        <v>45932+EDIVALDO DOS SANTOS SOUZA - 905+GOIANIA (GO) X SAO LUIS (MA)</v>
      </c>
      <c r="F1060" s="1" t="str">
        <f>_xlfn.CONCAT(tabE.Flux[[#This Row],[DATA]],"+",tabE.Flux[[#This Row],[MOTORISTA + MATRÍCULA B]],"+",tabE.Flux[[#This Row],[LINHA]])</f>
        <v>45932+JAKTAN DE OLIVEIRA RODRIGUES - 5836+GOIANIA (GO) X SAO LUIS (MA)</v>
      </c>
      <c r="G1060" s="1" t="str">
        <f>_xlfn.CONCAT(tabE.Flux[[#This Row],[DATA]],"+",tabE.Flux[[#This Row],[LINHA]])</f>
        <v>45932+GOIANIA (GO) X SAO LUIS (MA)</v>
      </c>
      <c r="H1060" s="125">
        <v>45932</v>
      </c>
      <c r="I1060" s="1" t="s">
        <v>15</v>
      </c>
      <c r="J1060" s="1">
        <v>24009</v>
      </c>
      <c r="K1060" s="126">
        <v>0.32291666666666669</v>
      </c>
      <c r="L1060" s="126">
        <v>0.33333333333333331</v>
      </c>
      <c r="M1060" s="1" t="s">
        <v>16</v>
      </c>
      <c r="N1060" s="1" t="s">
        <v>17</v>
      </c>
      <c r="O1060" s="1" t="s">
        <v>187</v>
      </c>
      <c r="P1060" s="1" t="s">
        <v>59</v>
      </c>
      <c r="Q1060" s="1" t="s">
        <v>23</v>
      </c>
    </row>
    <row r="1061" spans="3:17" x14ac:dyDescent="0.25">
      <c r="C1061" s="1" t="str">
        <f>_xlfn.CONCAT(tabE.Flux[[#This Row],[DATA]],"+",tabE.Flux[[#This Row],[MOTORISTA + MATRÍCULA A]])</f>
        <v>45932+REINAN JOSE BORGES SOUSA - 1075</v>
      </c>
      <c r="D1061" s="1" t="str">
        <f>_xlfn.CONCAT(tabE.Flux[[#This Row],[DATA]],"+",tabE.Flux[[#This Row],[MOTORISTA + MATRÍCULA B]])</f>
        <v>45932+MARCIO DE SOUSA MATOS - 5264</v>
      </c>
      <c r="E1061" s="1" t="str">
        <f>_xlfn.CONCAT(tabE.Flux[[#This Row],[DATA]],"+",tabE.Flux[[#This Row],[MOTORISTA + MATRÍCULA A]],"+",tabE.Flux[[#This Row],[LINHA]])</f>
        <v>45932+REINAN JOSE BORGES SOUSA - 1075+GOIANIA (GO) X TERESINA (PI) VIA STI</v>
      </c>
      <c r="F1061" s="1" t="str">
        <f>_xlfn.CONCAT(tabE.Flux[[#This Row],[DATA]],"+",tabE.Flux[[#This Row],[MOTORISTA + MATRÍCULA B]],"+",tabE.Flux[[#This Row],[LINHA]])</f>
        <v>45932+MARCIO DE SOUSA MATOS - 5264+GOIANIA (GO) X TERESINA (PI) VIA STI</v>
      </c>
      <c r="G1061" s="1" t="str">
        <f>_xlfn.CONCAT(tabE.Flux[[#This Row],[DATA]],"+",tabE.Flux[[#This Row],[LINHA]])</f>
        <v>45932+GOIANIA (GO) X TERESINA (PI) VIA STI</v>
      </c>
      <c r="H1061" s="125">
        <v>45932</v>
      </c>
      <c r="I1061" s="1" t="s">
        <v>15</v>
      </c>
      <c r="J1061" s="1">
        <v>16800</v>
      </c>
      <c r="K1061" s="126">
        <v>0.3888888888888889</v>
      </c>
      <c r="L1061" s="126">
        <v>0.39583333333333331</v>
      </c>
      <c r="M1061" s="1" t="s">
        <v>16</v>
      </c>
      <c r="N1061" s="1" t="s">
        <v>17</v>
      </c>
      <c r="O1061" s="1" t="s">
        <v>84</v>
      </c>
      <c r="P1061" s="1" t="s">
        <v>62</v>
      </c>
      <c r="Q1061" s="1" t="s">
        <v>26</v>
      </c>
    </row>
    <row r="1062" spans="3:17" x14ac:dyDescent="0.25">
      <c r="C1062" s="1" t="str">
        <f>_xlfn.CONCAT(tabE.Flux[[#This Row],[DATA]],"+",tabE.Flux[[#This Row],[MOTORISTA + MATRÍCULA A]])</f>
        <v>45932+CANCELADO</v>
      </c>
      <c r="D1062" s="1" t="str">
        <f>_xlfn.CONCAT(tabE.Flux[[#This Row],[DATA]],"+",tabE.Flux[[#This Row],[MOTORISTA + MATRÍCULA B]])</f>
        <v>45932+CANCELADO</v>
      </c>
      <c r="E1062" s="1" t="str">
        <f>_xlfn.CONCAT(tabE.Flux[[#This Row],[DATA]],"+",tabE.Flux[[#This Row],[MOTORISTA + MATRÍCULA A]],"+",tabE.Flux[[#This Row],[LINHA]])</f>
        <v>45932+CANCELADO+</v>
      </c>
      <c r="F1062" s="1" t="str">
        <f>_xlfn.CONCAT(tabE.Flux[[#This Row],[DATA]],"+",tabE.Flux[[#This Row],[MOTORISTA + MATRÍCULA B]],"+",tabE.Flux[[#This Row],[LINHA]])</f>
        <v>45932+CANCELADO+</v>
      </c>
      <c r="G1062" s="1" t="str">
        <f>_xlfn.CONCAT(tabE.Flux[[#This Row],[DATA]],"+",tabE.Flux[[#This Row],[LINHA]])</f>
        <v>45932+</v>
      </c>
      <c r="H1062" s="125">
        <v>45932</v>
      </c>
      <c r="I1062" s="1" t="s">
        <v>15</v>
      </c>
      <c r="J1062" s="1" t="s">
        <v>27</v>
      </c>
      <c r="K1062" s="126">
        <v>0.375</v>
      </c>
      <c r="L1062" s="126">
        <v>0.41666666666666669</v>
      </c>
      <c r="M1062" s="1" t="s">
        <v>16</v>
      </c>
      <c r="N1062" s="1" t="s">
        <v>28</v>
      </c>
      <c r="O1062" s="1" t="s">
        <v>27</v>
      </c>
      <c r="P1062" s="1" t="s">
        <v>27</v>
      </c>
      <c r="Q1062" s="1"/>
    </row>
    <row r="1063" spans="3:17" x14ac:dyDescent="0.25">
      <c r="C1063" s="1" t="str">
        <f>_xlfn.CONCAT(tabE.Flux[[#This Row],[DATA]],"+",tabE.Flux[[#This Row],[MOTORISTA + MATRÍCULA A]])</f>
        <v>45932+CLODOALDO PEREIRA DE LIMA - 4067</v>
      </c>
      <c r="D1063" s="1" t="str">
        <f>_xlfn.CONCAT(tabE.Flux[[#This Row],[DATA]],"+",tabE.Flux[[#This Row],[MOTORISTA + MATRÍCULA B]])</f>
        <v>45932+KEITH NOLAN CARNEIRO BARBOSA - 5653</v>
      </c>
      <c r="E1063" s="1" t="str">
        <f>_xlfn.CONCAT(tabE.Flux[[#This Row],[DATA]],"+",tabE.Flux[[#This Row],[MOTORISTA + MATRÍCULA A]],"+",tabE.Flux[[#This Row],[LINHA]])</f>
        <v>45932+CLODOALDO PEREIRA DE LIMA - 4067+FORTALEZA (CE) X SINOP (MT)</v>
      </c>
      <c r="F1063" s="1" t="str">
        <f>_xlfn.CONCAT(tabE.Flux[[#This Row],[DATA]],"+",tabE.Flux[[#This Row],[MOTORISTA + MATRÍCULA B]],"+",tabE.Flux[[#This Row],[LINHA]])</f>
        <v>45932+KEITH NOLAN CARNEIRO BARBOSA - 5653+FORTALEZA (CE) X SINOP (MT)</v>
      </c>
      <c r="G1063" s="1" t="str">
        <f>_xlfn.CONCAT(tabE.Flux[[#This Row],[DATA]],"+",tabE.Flux[[#This Row],[LINHA]])</f>
        <v>45932+FORTALEZA (CE) X SINOP (MT)</v>
      </c>
      <c r="H1063" s="125">
        <v>45932</v>
      </c>
      <c r="I1063" s="1" t="s">
        <v>15</v>
      </c>
      <c r="J1063" s="1">
        <v>20017</v>
      </c>
      <c r="K1063" s="126">
        <v>0.3888888888888889</v>
      </c>
      <c r="L1063" s="126">
        <v>0.37708333333333333</v>
      </c>
      <c r="M1063" s="1" t="s">
        <v>16</v>
      </c>
      <c r="N1063" s="1" t="s">
        <v>29</v>
      </c>
      <c r="O1063" s="1" t="s">
        <v>109</v>
      </c>
      <c r="P1063" s="1" t="s">
        <v>122</v>
      </c>
      <c r="Q1063" s="1" t="s">
        <v>32</v>
      </c>
    </row>
    <row r="1064" spans="3:17" x14ac:dyDescent="0.25">
      <c r="C1064" s="1" t="str">
        <f>_xlfn.CONCAT(tabE.Flux[[#This Row],[DATA]],"+",tabE.Flux[[#This Row],[MOTORISTA + MATRÍCULA A]])</f>
        <v>45932+JARDEL DE SOUSA OLIVEIRA - 5992</v>
      </c>
      <c r="D1064" s="1" t="str">
        <f>_xlfn.CONCAT(tabE.Flux[[#This Row],[DATA]],"+",tabE.Flux[[#This Row],[MOTORISTA + MATRÍCULA B]])</f>
        <v>45932+FRANCISCO BATISTA DE LIMA - 1827</v>
      </c>
      <c r="E1064" s="1" t="str">
        <f>_xlfn.CONCAT(tabE.Flux[[#This Row],[DATA]],"+",tabE.Flux[[#This Row],[MOTORISTA + MATRÍCULA A]],"+",tabE.Flux[[#This Row],[LINHA]])</f>
        <v>45932+JARDEL DE SOUSA OLIVEIRA - 5992+GOIANIA (GO) X BELEM (PA)</v>
      </c>
      <c r="F1064" s="1" t="str">
        <f>_xlfn.CONCAT(tabE.Flux[[#This Row],[DATA]],"+",tabE.Flux[[#This Row],[MOTORISTA + MATRÍCULA B]],"+",tabE.Flux[[#This Row],[LINHA]])</f>
        <v>45932+FRANCISCO BATISTA DE LIMA - 1827+GOIANIA (GO) X BELEM (PA)</v>
      </c>
      <c r="G1064" s="1" t="str">
        <f>_xlfn.CONCAT(tabE.Flux[[#This Row],[DATA]],"+",tabE.Flux[[#This Row],[LINHA]])</f>
        <v>45932+GOIANIA (GO) X BELEM (PA)</v>
      </c>
      <c r="H1064" s="125">
        <v>45932</v>
      </c>
      <c r="I1064" s="1" t="s">
        <v>15</v>
      </c>
      <c r="J1064" s="1">
        <v>19025</v>
      </c>
      <c r="K1064" s="126">
        <v>0.38958333333333334</v>
      </c>
      <c r="L1064" s="126">
        <v>0.38541666666666669</v>
      </c>
      <c r="M1064" s="1" t="s">
        <v>16</v>
      </c>
      <c r="N1064" s="1" t="s">
        <v>33</v>
      </c>
      <c r="O1064" s="1" t="s">
        <v>150</v>
      </c>
      <c r="P1064" s="1" t="s">
        <v>128</v>
      </c>
      <c r="Q1064" s="1" t="s">
        <v>20</v>
      </c>
    </row>
    <row r="1065" spans="3:17" x14ac:dyDescent="0.25">
      <c r="C1065" s="1" t="str">
        <f>_xlfn.CONCAT(tabE.Flux[[#This Row],[DATA]],"+",tabE.Flux[[#This Row],[MOTORISTA + MATRÍCULA A]])</f>
        <v>45932+JWEBISON DE BRITO SOUZA - 2999</v>
      </c>
      <c r="D1065" s="1" t="str">
        <f>_xlfn.CONCAT(tabE.Flux[[#This Row],[DATA]],"+",tabE.Flux[[#This Row],[MOTORISTA + MATRÍCULA B]])</f>
        <v>45932+ANTONIO  SOBRINHO DE OLIVEIRA - 5646</v>
      </c>
      <c r="E1065" s="1" t="str">
        <f>_xlfn.CONCAT(tabE.Flux[[#This Row],[DATA]],"+",tabE.Flux[[#This Row],[MOTORISTA + MATRÍCULA A]],"+",tabE.Flux[[#This Row],[LINHA]])</f>
        <v>45932+JWEBISON DE BRITO SOUZA - 2999+GOIANIA (GO) X TERESINA (PI) VIA BC</v>
      </c>
      <c r="F1065" s="1" t="str">
        <f>_xlfn.CONCAT(tabE.Flux[[#This Row],[DATA]],"+",tabE.Flux[[#This Row],[MOTORISTA + MATRÍCULA B]],"+",tabE.Flux[[#This Row],[LINHA]])</f>
        <v>45932+ANTONIO  SOBRINHO DE OLIVEIRA - 5646+GOIANIA (GO) X TERESINA (PI) VIA BC</v>
      </c>
      <c r="G1065" s="1" t="str">
        <f>_xlfn.CONCAT(tabE.Flux[[#This Row],[DATA]],"+",tabE.Flux[[#This Row],[LINHA]])</f>
        <v>45932+GOIANIA (GO) X TERESINA (PI) VIA BC</v>
      </c>
      <c r="H1065" s="125">
        <v>45932</v>
      </c>
      <c r="I1065" s="1" t="s">
        <v>15</v>
      </c>
      <c r="J1065" s="1">
        <v>25005</v>
      </c>
      <c r="K1065" s="126">
        <v>0.375</v>
      </c>
      <c r="L1065" s="126">
        <v>0.39930555555555558</v>
      </c>
      <c r="M1065" s="1" t="s">
        <v>36</v>
      </c>
      <c r="N1065" s="1" t="s">
        <v>29</v>
      </c>
      <c r="O1065" s="1" t="s">
        <v>77</v>
      </c>
      <c r="P1065" s="1" t="s">
        <v>74</v>
      </c>
      <c r="Q1065" s="1" t="s">
        <v>39</v>
      </c>
    </row>
    <row r="1066" spans="3:17" x14ac:dyDescent="0.25">
      <c r="C1066" s="1" t="str">
        <f>_xlfn.CONCAT(tabE.Flux[[#This Row],[DATA]],"+",tabE.Flux[[#This Row],[MOTORISTA + MATRÍCULA A]])</f>
        <v>45932+REGINALDO DE SOUSA OLIVEIRA - 5412</v>
      </c>
      <c r="D1066" s="1" t="str">
        <f>_xlfn.CONCAT(tabE.Flux[[#This Row],[DATA]],"+",tabE.Flux[[#This Row],[MOTORISTA + MATRÍCULA B]])</f>
        <v>45932+CLAUDIOMAR ALENCAR DO NASCIMENTO - 2970</v>
      </c>
      <c r="E1066" s="1" t="str">
        <f>_xlfn.CONCAT(tabE.Flux[[#This Row],[DATA]],"+",tabE.Flux[[#This Row],[MOTORISTA + MATRÍCULA A]],"+",tabE.Flux[[#This Row],[LINHA]])</f>
        <v>45932+REGINALDO DE SOUSA OLIVEIRA - 5412+GOIANIA (GO) X BELEM (PA)</v>
      </c>
      <c r="F1066" s="1" t="str">
        <f>_xlfn.CONCAT(tabE.Flux[[#This Row],[DATA]],"+",tabE.Flux[[#This Row],[MOTORISTA + MATRÍCULA B]],"+",tabE.Flux[[#This Row],[LINHA]])</f>
        <v>45932+CLAUDIOMAR ALENCAR DO NASCIMENTO - 2970+GOIANIA (GO) X BELEM (PA)</v>
      </c>
      <c r="G1066" s="1" t="str">
        <f>_xlfn.CONCAT(tabE.Flux[[#This Row],[DATA]],"+",tabE.Flux[[#This Row],[LINHA]])</f>
        <v>45932+GOIANIA (GO) X BELEM (PA)</v>
      </c>
      <c r="H1066" s="125">
        <v>45932</v>
      </c>
      <c r="I1066" s="1" t="s">
        <v>15</v>
      </c>
      <c r="J1066" s="1">
        <v>19013</v>
      </c>
      <c r="K1066" s="126">
        <v>0.375</v>
      </c>
      <c r="L1066" s="126">
        <v>0.41666666666666669</v>
      </c>
      <c r="M1066" s="1" t="s">
        <v>33</v>
      </c>
      <c r="N1066" s="1" t="s">
        <v>16</v>
      </c>
      <c r="O1066" s="1" t="s">
        <v>239</v>
      </c>
      <c r="P1066" s="1" t="s">
        <v>211</v>
      </c>
      <c r="Q1066" s="1" t="s">
        <v>20</v>
      </c>
    </row>
    <row r="1067" spans="3:17" x14ac:dyDescent="0.25">
      <c r="C1067" s="1" t="str">
        <f>_xlfn.CONCAT(tabE.Flux[[#This Row],[DATA]],"+",tabE.Flux[[#This Row],[MOTORISTA + MATRÍCULA A]])</f>
        <v>45932+JERZUALDO DA SILVA GOMES - 4077</v>
      </c>
      <c r="D1067" s="1" t="str">
        <f>_xlfn.CONCAT(tabE.Flux[[#This Row],[DATA]],"+",tabE.Flux[[#This Row],[MOTORISTA + MATRÍCULA B]])</f>
        <v>45932+MARCOS ATAIDE SILVA - 1352</v>
      </c>
      <c r="E1067" s="1" t="str">
        <f>_xlfn.CONCAT(tabE.Flux[[#This Row],[DATA]],"+",tabE.Flux[[#This Row],[MOTORISTA + MATRÍCULA A]],"+",tabE.Flux[[#This Row],[LINHA]])</f>
        <v>45932+JERZUALDO DA SILVA GOMES - 4077+GOIANIA (GO) X SAO LUIS (MA)</v>
      </c>
      <c r="F1067" s="1" t="str">
        <f>_xlfn.CONCAT(tabE.Flux[[#This Row],[DATA]],"+",tabE.Flux[[#This Row],[MOTORISTA + MATRÍCULA B]],"+",tabE.Flux[[#This Row],[LINHA]])</f>
        <v>45932+MARCOS ATAIDE SILVA - 1352+GOIANIA (GO) X SAO LUIS (MA)</v>
      </c>
      <c r="G1067" s="1" t="str">
        <f>_xlfn.CONCAT(tabE.Flux[[#This Row],[DATA]],"+",tabE.Flux[[#This Row],[LINHA]])</f>
        <v>45932+GOIANIA (GO) X SAO LUIS (MA)</v>
      </c>
      <c r="H1067" s="125">
        <v>45932</v>
      </c>
      <c r="I1067" s="1" t="s">
        <v>15</v>
      </c>
      <c r="J1067" s="1">
        <v>19001</v>
      </c>
      <c r="K1067" s="126">
        <v>0.25</v>
      </c>
      <c r="L1067" s="126">
        <v>0.29166666666666669</v>
      </c>
      <c r="M1067" s="1" t="s">
        <v>42</v>
      </c>
      <c r="N1067" s="1" t="s">
        <v>16</v>
      </c>
      <c r="O1067" s="1" t="s">
        <v>130</v>
      </c>
      <c r="P1067" s="1" t="s">
        <v>113</v>
      </c>
      <c r="Q1067" s="1" t="s">
        <v>23</v>
      </c>
    </row>
    <row r="1068" spans="3:17" x14ac:dyDescent="0.25">
      <c r="C1068" s="1" t="str">
        <f>_xlfn.CONCAT(tabE.Flux[[#This Row],[DATA]],"+",tabE.Flux[[#This Row],[MOTORISTA + MATRÍCULA A]])</f>
        <v>45932+ANTONIO JOSE PEREIRA SOARES - 1774</v>
      </c>
      <c r="D1068" s="1" t="str">
        <f>_xlfn.CONCAT(tabE.Flux[[#This Row],[DATA]],"+",tabE.Flux[[#This Row],[MOTORISTA + MATRÍCULA B]])</f>
        <v>45932+JOSE POLICARPO DE SOUSA NETO - 1472</v>
      </c>
      <c r="E1068" s="1" t="str">
        <f>_xlfn.CONCAT(tabE.Flux[[#This Row],[DATA]],"+",tabE.Flux[[#This Row],[MOTORISTA + MATRÍCULA A]],"+",tabE.Flux[[#This Row],[LINHA]])</f>
        <v>45932+ANTONIO JOSE PEREIRA SOARES - 1774+GOIANIA (GO) X SAO LUIS (MA)</v>
      </c>
      <c r="F1068" s="1" t="str">
        <f>_xlfn.CONCAT(tabE.Flux[[#This Row],[DATA]],"+",tabE.Flux[[#This Row],[MOTORISTA + MATRÍCULA B]],"+",tabE.Flux[[#This Row],[LINHA]])</f>
        <v>45932+JOSE POLICARPO DE SOUSA NETO - 1472+GOIANIA (GO) X SAO LUIS (MA)</v>
      </c>
      <c r="G1068" s="1" t="str">
        <f>_xlfn.CONCAT(tabE.Flux[[#This Row],[DATA]],"+",tabE.Flux[[#This Row],[LINHA]])</f>
        <v>45932+GOIANIA (GO) X SAO LUIS (MA)</v>
      </c>
      <c r="H1068" s="125">
        <v>45932</v>
      </c>
      <c r="I1068" s="1" t="s">
        <v>15</v>
      </c>
      <c r="J1068" s="1">
        <v>24010</v>
      </c>
      <c r="K1068" s="126">
        <v>0.75</v>
      </c>
      <c r="L1068" s="126">
        <v>0.79166666666666663</v>
      </c>
      <c r="M1068" s="1" t="s">
        <v>42</v>
      </c>
      <c r="N1068" s="1" t="s">
        <v>16</v>
      </c>
      <c r="O1068" s="1" t="s">
        <v>52</v>
      </c>
      <c r="P1068" s="1" t="s">
        <v>54</v>
      </c>
      <c r="Q1068" s="1" t="s">
        <v>23</v>
      </c>
    </row>
    <row r="1069" spans="3:17" x14ac:dyDescent="0.25">
      <c r="C1069" s="1" t="str">
        <f>_xlfn.CONCAT(tabE.Flux[[#This Row],[DATA]],"+",tabE.Flux[[#This Row],[MOTORISTA + MATRÍCULA A]])</f>
        <v>45932+CANCELADO</v>
      </c>
      <c r="D1069" s="1" t="str">
        <f>_xlfn.CONCAT(tabE.Flux[[#This Row],[DATA]],"+",tabE.Flux[[#This Row],[MOTORISTA + MATRÍCULA B]])</f>
        <v>45932+CANCELADO</v>
      </c>
      <c r="E1069" s="1" t="str">
        <f>_xlfn.CONCAT(tabE.Flux[[#This Row],[DATA]],"+",tabE.Flux[[#This Row],[MOTORISTA + MATRÍCULA A]],"+",tabE.Flux[[#This Row],[LINHA]])</f>
        <v>45932+CANCELADO+IMPERATRIZ (MA) X SÃO LUIS (MA)</v>
      </c>
      <c r="F1069" s="1" t="str">
        <f>_xlfn.CONCAT(tabE.Flux[[#This Row],[DATA]],"+",tabE.Flux[[#This Row],[MOTORISTA + MATRÍCULA B]],"+",tabE.Flux[[#This Row],[LINHA]])</f>
        <v>45932+CANCELADO+IMPERATRIZ (MA) X SÃO LUIS (MA)</v>
      </c>
      <c r="G1069" s="1" t="str">
        <f>_xlfn.CONCAT(tabE.Flux[[#This Row],[DATA]],"+",tabE.Flux[[#This Row],[LINHA]])</f>
        <v>45932+IMPERATRIZ (MA) X SÃO LUIS (MA)</v>
      </c>
      <c r="H1069" s="125">
        <v>45932</v>
      </c>
      <c r="I1069" s="1" t="s">
        <v>15</v>
      </c>
      <c r="J1069" s="1" t="s">
        <v>27</v>
      </c>
      <c r="K1069" s="126">
        <v>0.77083333333333337</v>
      </c>
      <c r="L1069" s="126">
        <v>0.79513888888888884</v>
      </c>
      <c r="M1069" s="1" t="s">
        <v>42</v>
      </c>
      <c r="N1069" s="1" t="s">
        <v>16</v>
      </c>
      <c r="O1069" s="1" t="s">
        <v>27</v>
      </c>
      <c r="P1069" s="1" t="s">
        <v>27</v>
      </c>
      <c r="Q1069" s="1" t="s">
        <v>47</v>
      </c>
    </row>
    <row r="1070" spans="3:17" x14ac:dyDescent="0.25">
      <c r="C1070" s="1" t="str">
        <f>_xlfn.CONCAT(tabE.Flux[[#This Row],[DATA]],"+",tabE.Flux[[#This Row],[MOTORISTA + MATRÍCULA A]])</f>
        <v>45932+MARCELO RIZO SANTANA - 2048</v>
      </c>
      <c r="D1070" s="1" t="str">
        <f>_xlfn.CONCAT(tabE.Flux[[#This Row],[DATA]],"+",tabE.Flux[[#This Row],[MOTORISTA + MATRÍCULA B]])</f>
        <v>45932+JOSIMAR CLAUDINO SILVA - 6019</v>
      </c>
      <c r="E1070" s="1" t="str">
        <f>_xlfn.CONCAT(tabE.Flux[[#This Row],[DATA]],"+",tabE.Flux[[#This Row],[MOTORISTA + MATRÍCULA A]],"+",tabE.Flux[[#This Row],[LINHA]])</f>
        <v>45932+MARCELO RIZO SANTANA - 2048+GOIANIA (GO) X TERESINA (PI) VIA BC</v>
      </c>
      <c r="F1070" s="1" t="str">
        <f>_xlfn.CONCAT(tabE.Flux[[#This Row],[DATA]],"+",tabE.Flux[[#This Row],[MOTORISTA + MATRÍCULA B]],"+",tabE.Flux[[#This Row],[LINHA]])</f>
        <v>45932+JOSIMAR CLAUDINO SILVA - 6019+GOIANIA (GO) X TERESINA (PI) VIA BC</v>
      </c>
      <c r="G1070" s="1" t="str">
        <f>_xlfn.CONCAT(tabE.Flux[[#This Row],[DATA]],"+",tabE.Flux[[#This Row],[LINHA]])</f>
        <v>45932+GOIANIA (GO) X TERESINA (PI) VIA BC</v>
      </c>
      <c r="H1070" s="125">
        <v>45932</v>
      </c>
      <c r="I1070" s="1" t="s">
        <v>15</v>
      </c>
      <c r="J1070" s="1">
        <v>24005</v>
      </c>
      <c r="K1070" s="126">
        <v>0.89583333333333337</v>
      </c>
      <c r="L1070" s="126">
        <v>0.91666666666666663</v>
      </c>
      <c r="M1070" s="1" t="s">
        <v>36</v>
      </c>
      <c r="N1070" s="1" t="s">
        <v>17</v>
      </c>
      <c r="O1070" s="1" t="s">
        <v>127</v>
      </c>
      <c r="P1070" s="1" t="s">
        <v>243</v>
      </c>
      <c r="Q1070" s="1" t="s">
        <v>39</v>
      </c>
    </row>
    <row r="1071" spans="3:17" x14ac:dyDescent="0.25">
      <c r="C1071" s="1" t="str">
        <f>_xlfn.CONCAT(tabE.Flux[[#This Row],[DATA]],"+",tabE.Flux[[#This Row],[MOTORISTA + MATRÍCULA A]])</f>
        <v>45932+LEANDRO DE OLIVEIRA MELO - 2151</v>
      </c>
      <c r="D1071" s="1" t="str">
        <f>_xlfn.CONCAT(tabE.Flux[[#This Row],[DATA]],"+",tabE.Flux[[#This Row],[MOTORISTA + MATRÍCULA B]])</f>
        <v>45932+KLEBER OLIVEIRA LIMA - 5849</v>
      </c>
      <c r="E1071" s="1" t="str">
        <f>_xlfn.CONCAT(tabE.Flux[[#This Row],[DATA]],"+",tabE.Flux[[#This Row],[MOTORISTA + MATRÍCULA A]],"+",tabE.Flux[[#This Row],[LINHA]])</f>
        <v>45932+LEANDRO DE OLIVEIRA MELO - 2151+GOIANIA (GO) X BELEM (PA)</v>
      </c>
      <c r="F1071" s="1" t="str">
        <f>_xlfn.CONCAT(tabE.Flux[[#This Row],[DATA]],"+",tabE.Flux[[#This Row],[MOTORISTA + MATRÍCULA B]],"+",tabE.Flux[[#This Row],[LINHA]])</f>
        <v>45932+KLEBER OLIVEIRA LIMA - 5849+GOIANIA (GO) X BELEM (PA)</v>
      </c>
      <c r="G1071" s="1" t="str">
        <f>_xlfn.CONCAT(tabE.Flux[[#This Row],[DATA]],"+",tabE.Flux[[#This Row],[LINHA]])</f>
        <v>45932+GOIANIA (GO) X BELEM (PA)</v>
      </c>
      <c r="H1071" s="125">
        <v>45932</v>
      </c>
      <c r="I1071" s="1" t="s">
        <v>15</v>
      </c>
      <c r="J1071" s="1">
        <v>24013</v>
      </c>
      <c r="K1071" s="126">
        <v>0.76041666666666663</v>
      </c>
      <c r="L1071" s="126">
        <v>0.77083333333333337</v>
      </c>
      <c r="M1071" s="1" t="s">
        <v>33</v>
      </c>
      <c r="N1071" s="1" t="s">
        <v>16</v>
      </c>
      <c r="O1071" s="1" t="s">
        <v>64</v>
      </c>
      <c r="P1071" s="1" t="s">
        <v>102</v>
      </c>
      <c r="Q1071" s="1" t="s">
        <v>20</v>
      </c>
    </row>
    <row r="1072" spans="3:17" x14ac:dyDescent="0.25">
      <c r="C1072" s="1" t="str">
        <f>_xlfn.CONCAT(tabE.Flux[[#This Row],[DATA]],"+",tabE.Flux[[#This Row],[MOTORISTA + MATRÍCULA A]])</f>
        <v>45932+BRUNO MATOS DA ROCHA - 6013</v>
      </c>
      <c r="D1072" s="1" t="str">
        <f>_xlfn.CONCAT(tabE.Flux[[#This Row],[DATA]],"+",tabE.Flux[[#This Row],[MOTORISTA + MATRÍCULA B]])</f>
        <v>45932+ANTONIO FRANCINALDO DE OLIVEIRA MARQUES - 5018</v>
      </c>
      <c r="E1072" s="1" t="str">
        <f>_xlfn.CONCAT(tabE.Flux[[#This Row],[DATA]],"+",tabE.Flux[[#This Row],[MOTORISTA + MATRÍCULA A]],"+",tabE.Flux[[#This Row],[LINHA]])</f>
        <v>45932+BRUNO MATOS DA ROCHA - 6013+GOIANIA (GO) X BELEM (PA)</v>
      </c>
      <c r="F1072" s="1" t="str">
        <f>_xlfn.CONCAT(tabE.Flux[[#This Row],[DATA]],"+",tabE.Flux[[#This Row],[MOTORISTA + MATRÍCULA B]],"+",tabE.Flux[[#This Row],[LINHA]])</f>
        <v>45932+ANTONIO FRANCINALDO DE OLIVEIRA MARQUES - 5018+GOIANIA (GO) X BELEM (PA)</v>
      </c>
      <c r="G1072" s="1" t="str">
        <f>_xlfn.CONCAT(tabE.Flux[[#This Row],[DATA]],"+",tabE.Flux[[#This Row],[LINHA]])</f>
        <v>45932+GOIANIA (GO) X BELEM (PA)</v>
      </c>
      <c r="H1072" s="125">
        <v>45932</v>
      </c>
      <c r="I1072" s="1" t="s">
        <v>15</v>
      </c>
      <c r="J1072" s="1">
        <v>24003</v>
      </c>
      <c r="K1072" s="126">
        <v>0.76041666666666663</v>
      </c>
      <c r="L1072" s="126">
        <v>0.82777777777777772</v>
      </c>
      <c r="M1072" s="1" t="s">
        <v>16</v>
      </c>
      <c r="N1072" s="1" t="s">
        <v>33</v>
      </c>
      <c r="O1072" s="1" t="s">
        <v>147</v>
      </c>
      <c r="P1072" s="1" t="s">
        <v>233</v>
      </c>
      <c r="Q1072" s="1" t="s">
        <v>20</v>
      </c>
    </row>
    <row r="1073" spans="3:17" x14ac:dyDescent="0.25">
      <c r="C1073" s="1" t="str">
        <f>_xlfn.CONCAT(tabE.Flux[[#This Row],[DATA]],"+",tabE.Flux[[#This Row],[MOTORISTA + MATRÍCULA A]])</f>
        <v>45932+JOSE ALVES DE FREITAS NETO - 5027</v>
      </c>
      <c r="D1073" s="1" t="str">
        <f>_xlfn.CONCAT(tabE.Flux[[#This Row],[DATA]],"+",tabE.Flux[[#This Row],[MOTORISTA + MATRÍCULA B]])</f>
        <v>45932+RAIMUNDO COSTA SILVA - 6226</v>
      </c>
      <c r="E1073" s="1" t="str">
        <f>_xlfn.CONCAT(tabE.Flux[[#This Row],[DATA]],"+",tabE.Flux[[#This Row],[MOTORISTA + MATRÍCULA A]],"+",tabE.Flux[[#This Row],[LINHA]])</f>
        <v>45932+JOSE ALVES DE FREITAS NETO - 5027+GOIANIA (GO) X SAO LUIS (MA)</v>
      </c>
      <c r="F1073" s="1" t="str">
        <f>_xlfn.CONCAT(tabE.Flux[[#This Row],[DATA]],"+",tabE.Flux[[#This Row],[MOTORISTA + MATRÍCULA B]],"+",tabE.Flux[[#This Row],[LINHA]])</f>
        <v>45932+RAIMUNDO COSTA SILVA - 6226+GOIANIA (GO) X SAO LUIS (MA)</v>
      </c>
      <c r="G1073" s="1" t="str">
        <f>_xlfn.CONCAT(tabE.Flux[[#This Row],[DATA]],"+",tabE.Flux[[#This Row],[LINHA]])</f>
        <v>45932+GOIANIA (GO) X SAO LUIS (MA)</v>
      </c>
      <c r="H1073" s="125">
        <v>45932</v>
      </c>
      <c r="I1073" s="1" t="s">
        <v>15</v>
      </c>
      <c r="J1073" s="1">
        <v>19016</v>
      </c>
      <c r="K1073" s="126">
        <v>0.40763888888888888</v>
      </c>
      <c r="L1073" s="126">
        <v>0.47013888888888888</v>
      </c>
      <c r="M1073" s="1" t="s">
        <v>16</v>
      </c>
      <c r="N1073" s="1" t="s">
        <v>42</v>
      </c>
      <c r="O1073" s="1" t="s">
        <v>90</v>
      </c>
      <c r="P1073" s="1" t="s">
        <v>45</v>
      </c>
      <c r="Q1073" s="1" t="s">
        <v>23</v>
      </c>
    </row>
    <row r="1074" spans="3:17" x14ac:dyDescent="0.25">
      <c r="C1074" s="1" t="str">
        <f>_xlfn.CONCAT(tabE.Flux[[#This Row],[DATA]],"+",tabE.Flux[[#This Row],[MOTORISTA + MATRÍCULA A]])</f>
        <v>45932+CANCELADO</v>
      </c>
      <c r="D1074" s="1" t="str">
        <f>_xlfn.CONCAT(tabE.Flux[[#This Row],[DATA]],"+",tabE.Flux[[#This Row],[MOTORISTA + MATRÍCULA B]])</f>
        <v>45932+CANCELADO</v>
      </c>
      <c r="E1074" s="1" t="str">
        <f>_xlfn.CONCAT(tabE.Flux[[#This Row],[DATA]],"+",tabE.Flux[[#This Row],[MOTORISTA + MATRÍCULA A]],"+",tabE.Flux[[#This Row],[LINHA]])</f>
        <v>45932+CANCELADO+IMPERATRIZ (MA) X SÃO LUIS (MA)</v>
      </c>
      <c r="F1074" s="1" t="str">
        <f>_xlfn.CONCAT(tabE.Flux[[#This Row],[DATA]],"+",tabE.Flux[[#This Row],[MOTORISTA + MATRÍCULA B]],"+",tabE.Flux[[#This Row],[LINHA]])</f>
        <v>45932+CANCELADO+IMPERATRIZ (MA) X SÃO LUIS (MA)</v>
      </c>
      <c r="G1074" s="1" t="str">
        <f>_xlfn.CONCAT(tabE.Flux[[#This Row],[DATA]],"+",tabE.Flux[[#This Row],[LINHA]])</f>
        <v>45932+IMPERATRIZ (MA) X SÃO LUIS (MA)</v>
      </c>
      <c r="H1074" s="125">
        <v>45932</v>
      </c>
      <c r="I1074" s="1" t="s">
        <v>15</v>
      </c>
      <c r="J1074" s="1" t="s">
        <v>27</v>
      </c>
      <c r="K1074" s="126">
        <v>0.77083333333333337</v>
      </c>
      <c r="L1074" s="126">
        <v>0.8125</v>
      </c>
      <c r="M1074" s="1" t="s">
        <v>16</v>
      </c>
      <c r="N1074" s="1" t="s">
        <v>42</v>
      </c>
      <c r="O1074" s="1" t="s">
        <v>27</v>
      </c>
      <c r="P1074" s="1" t="s">
        <v>27</v>
      </c>
      <c r="Q1074" s="1" t="s">
        <v>47</v>
      </c>
    </row>
    <row r="1075" spans="3:17" x14ac:dyDescent="0.25">
      <c r="C1075" s="1" t="str">
        <f>_xlfn.CONCAT(tabE.Flux[[#This Row],[DATA]],"+",tabE.Flux[[#This Row],[MOTORISTA + MATRÍCULA A]])</f>
        <v>45932+VALDEY OLIVEIRA ARAUJO - 2790</v>
      </c>
      <c r="D1075" s="1" t="str">
        <f>_xlfn.CONCAT(tabE.Flux[[#This Row],[DATA]],"+",tabE.Flux[[#This Row],[MOTORISTA + MATRÍCULA B]])</f>
        <v>45932+JERZUALDO DA SILVA GOMES - 4077</v>
      </c>
      <c r="E1075" s="1" t="str">
        <f>_xlfn.CONCAT(tabE.Flux[[#This Row],[DATA]],"+",tabE.Flux[[#This Row],[MOTORISTA + MATRÍCULA A]],"+",tabE.Flux[[#This Row],[LINHA]])</f>
        <v>45932+VALDEY OLIVEIRA ARAUJO - 2790+GOIANIA (GO) X SAO LUIS (MA)</v>
      </c>
      <c r="F1075" s="1" t="str">
        <f>_xlfn.CONCAT(tabE.Flux[[#This Row],[DATA]],"+",tabE.Flux[[#This Row],[MOTORISTA + MATRÍCULA B]],"+",tabE.Flux[[#This Row],[LINHA]])</f>
        <v>45932+JERZUALDO DA SILVA GOMES - 4077+GOIANIA (GO) X SAO LUIS (MA)</v>
      </c>
      <c r="G1075" s="1" t="str">
        <f>_xlfn.CONCAT(tabE.Flux[[#This Row],[DATA]],"+",tabE.Flux[[#This Row],[LINHA]])</f>
        <v>45932+GOIANIA (GO) X SAO LUIS (MA)</v>
      </c>
      <c r="H1075" s="125">
        <v>45932</v>
      </c>
      <c r="I1075" s="1" t="s">
        <v>15</v>
      </c>
      <c r="J1075" s="1">
        <v>24001</v>
      </c>
      <c r="K1075" s="126">
        <v>0.8125</v>
      </c>
      <c r="L1075" s="126">
        <v>0.84375</v>
      </c>
      <c r="M1075" s="1" t="s">
        <v>16</v>
      </c>
      <c r="N1075" s="1" t="s">
        <v>42</v>
      </c>
      <c r="O1075" s="1" t="s">
        <v>34</v>
      </c>
      <c r="P1075" s="1" t="s">
        <v>130</v>
      </c>
      <c r="Q1075" s="1" t="s">
        <v>23</v>
      </c>
    </row>
    <row r="1076" spans="3:17" x14ac:dyDescent="0.25">
      <c r="C1076" s="1" t="str">
        <f>_xlfn.CONCAT(tabE.Flux[[#This Row],[DATA]],"+",tabE.Flux[[#This Row],[MOTORISTA + MATRÍCULA A]])</f>
        <v>45932+FRANCISCO ALVES DA PAZ JUNIOR - 1247</v>
      </c>
      <c r="D1076" s="1" t="str">
        <f>_xlfn.CONCAT(tabE.Flux[[#This Row],[DATA]],"+",tabE.Flux[[#This Row],[MOTORISTA + MATRÍCULA B]])</f>
        <v>45932+PAULO MORAES DOS SANTOS - 1534</v>
      </c>
      <c r="E1076" s="1" t="str">
        <f>_xlfn.CONCAT(tabE.Flux[[#This Row],[DATA]],"+",tabE.Flux[[#This Row],[MOTORISTA + MATRÍCULA A]],"+",tabE.Flux[[#This Row],[LINHA]])</f>
        <v>45932+FRANCISCO ALVES DA PAZ JUNIOR - 1247+GOIANIA (GO) X TERESINA (PI) VIA STI</v>
      </c>
      <c r="F1076" s="1" t="str">
        <f>_xlfn.CONCAT(tabE.Flux[[#This Row],[DATA]],"+",tabE.Flux[[#This Row],[MOTORISTA + MATRÍCULA B]],"+",tabE.Flux[[#This Row],[LINHA]])</f>
        <v>45932+PAULO MORAES DOS SANTOS - 1534+GOIANIA (GO) X TERESINA (PI) VIA STI</v>
      </c>
      <c r="G1076" s="1" t="str">
        <f>_xlfn.CONCAT(tabE.Flux[[#This Row],[DATA]],"+",tabE.Flux[[#This Row],[LINHA]])</f>
        <v>45932+GOIANIA (GO) X TERESINA (PI) VIA STI</v>
      </c>
      <c r="H1076" s="125">
        <v>45932</v>
      </c>
      <c r="I1076" s="1" t="s">
        <v>15</v>
      </c>
      <c r="J1076" s="1">
        <v>19005</v>
      </c>
      <c r="K1076" s="126">
        <v>0.77083333333333337</v>
      </c>
      <c r="L1076" s="126">
        <v>0.79861111111111116</v>
      </c>
      <c r="M1076" s="1" t="s">
        <v>16</v>
      </c>
      <c r="N1076" s="1" t="s">
        <v>29</v>
      </c>
      <c r="O1076" s="1" t="s">
        <v>144</v>
      </c>
      <c r="P1076" s="1" t="s">
        <v>225</v>
      </c>
      <c r="Q1076" s="1" t="s">
        <v>26</v>
      </c>
    </row>
    <row r="1077" spans="3:17" x14ac:dyDescent="0.25">
      <c r="C1077" s="1" t="str">
        <f>_xlfn.CONCAT(tabE.Flux[[#This Row],[DATA]],"+",tabE.Flux[[#This Row],[MOTORISTA + MATRÍCULA A]])</f>
        <v>45932+PAULO TRINDADE DE ALMEIDA - 5742</v>
      </c>
      <c r="D1077" s="1" t="str">
        <f>_xlfn.CONCAT(tabE.Flux[[#This Row],[DATA]],"+",tabE.Flux[[#This Row],[MOTORISTA + MATRÍCULA B]])</f>
        <v>45932+JEZANIAS GOIS DOS SANTOS - 5573</v>
      </c>
      <c r="E1077" s="1" t="str">
        <f>_xlfn.CONCAT(tabE.Flux[[#This Row],[DATA]],"+",tabE.Flux[[#This Row],[MOTORISTA + MATRÍCULA A]],"+",tabE.Flux[[#This Row],[LINHA]])</f>
        <v>45932+PAULO TRINDADE DE ALMEIDA - 5742+GOIANIA (GO) X SAO LUIS (MA)</v>
      </c>
      <c r="F1077" s="1" t="str">
        <f>_xlfn.CONCAT(tabE.Flux[[#This Row],[DATA]],"+",tabE.Flux[[#This Row],[MOTORISTA + MATRÍCULA B]],"+",tabE.Flux[[#This Row],[LINHA]])</f>
        <v>45932+JEZANIAS GOIS DOS SANTOS - 5573+GOIANIA (GO) X SAO LUIS (MA)</v>
      </c>
      <c r="G1077" s="1" t="str">
        <f>_xlfn.CONCAT(tabE.Flux[[#This Row],[DATA]],"+",tabE.Flux[[#This Row],[LINHA]])</f>
        <v>45932+GOIANIA (GO) X SAO LUIS (MA)</v>
      </c>
      <c r="H1077" s="125">
        <v>45932</v>
      </c>
      <c r="I1077" s="1" t="s">
        <v>15</v>
      </c>
      <c r="J1077" s="1">
        <v>19001</v>
      </c>
      <c r="K1077" s="126">
        <v>0.8125</v>
      </c>
      <c r="L1077" s="126">
        <v>0.84166666666666667</v>
      </c>
      <c r="M1077" s="1" t="s">
        <v>16</v>
      </c>
      <c r="N1077" s="1" t="s">
        <v>17</v>
      </c>
      <c r="O1077" s="1" t="s">
        <v>153</v>
      </c>
      <c r="P1077" s="1" t="s">
        <v>196</v>
      </c>
      <c r="Q1077" s="1" t="s">
        <v>23</v>
      </c>
    </row>
    <row r="1078" spans="3:17" x14ac:dyDescent="0.25">
      <c r="C1078" s="1" t="str">
        <f>_xlfn.CONCAT(tabE.Flux[[#This Row],[DATA]],"+",tabE.Flux[[#This Row],[MOTORISTA + MATRÍCULA A]])</f>
        <v>45932+ELIAS ALVES DE FRANCA - 6046</v>
      </c>
      <c r="D1078" s="1" t="str">
        <f>_xlfn.CONCAT(tabE.Flux[[#This Row],[DATA]],"+",tabE.Flux[[#This Row],[MOTORISTA + MATRÍCULA B]])</f>
        <v>45932+RAFAEL DA SILVA LIMA - 6215</v>
      </c>
      <c r="E1078" s="1" t="str">
        <f>_xlfn.CONCAT(tabE.Flux[[#This Row],[DATA]],"+",tabE.Flux[[#This Row],[MOTORISTA + MATRÍCULA A]],"+",tabE.Flux[[#This Row],[LINHA]])</f>
        <v>45932+ELIAS ALVES DE FRANCA - 6046+FORTALEZA (CE) X SINOP (MT)</v>
      </c>
      <c r="F1078" s="1" t="str">
        <f>_xlfn.CONCAT(tabE.Flux[[#This Row],[DATA]],"+",tabE.Flux[[#This Row],[MOTORISTA + MATRÍCULA B]],"+",tabE.Flux[[#This Row],[LINHA]])</f>
        <v>45932+RAFAEL DA SILVA LIMA - 6215+FORTALEZA (CE) X SINOP (MT)</v>
      </c>
      <c r="G1078" s="1" t="str">
        <f>_xlfn.CONCAT(tabE.Flux[[#This Row],[DATA]],"+",tabE.Flux[[#This Row],[LINHA]])</f>
        <v>45932+FORTALEZA (CE) X SINOP (MT)</v>
      </c>
      <c r="H1078" s="125">
        <v>45932</v>
      </c>
      <c r="I1078" s="1" t="s">
        <v>15</v>
      </c>
      <c r="J1078" s="1">
        <v>19006</v>
      </c>
      <c r="K1078" s="126">
        <v>0.8125</v>
      </c>
      <c r="L1078" s="126">
        <v>0.85416666666666663</v>
      </c>
      <c r="M1078" s="1" t="s">
        <v>16</v>
      </c>
      <c r="N1078" s="1" t="s">
        <v>17</v>
      </c>
      <c r="O1078" s="1" t="s">
        <v>189</v>
      </c>
      <c r="P1078" s="1" t="s">
        <v>190</v>
      </c>
      <c r="Q1078" s="1" t="s">
        <v>32</v>
      </c>
    </row>
    <row r="1079" spans="3:17" x14ac:dyDescent="0.25">
      <c r="C1079" s="1" t="str">
        <f>_xlfn.CONCAT(tabE.Flux[[#This Row],[DATA]],"+",tabE.Flux[[#This Row],[MOTORISTA + MATRÍCULA A]])</f>
        <v>45932+REGISMAR ANTONIO TEODORO DA COSTA - 2966</v>
      </c>
      <c r="D1079" s="1" t="str">
        <f>_xlfn.CONCAT(tabE.Flux[[#This Row],[DATA]],"+",tabE.Flux[[#This Row],[MOTORISTA + MATRÍCULA B]])</f>
        <v>45932+GONCALO ALVES BEZERRA - 748</v>
      </c>
      <c r="E1079" s="1" t="str">
        <f>_xlfn.CONCAT(tabE.Flux[[#This Row],[DATA]],"+",tabE.Flux[[#This Row],[MOTORISTA + MATRÍCULA A]],"+",tabE.Flux[[#This Row],[LINHA]])</f>
        <v>45932+REGISMAR ANTONIO TEODORO DA COSTA - 2966+GOIANIA (GO) X BELEM (PA)</v>
      </c>
      <c r="F1079" s="1" t="str">
        <f>_xlfn.CONCAT(tabE.Flux[[#This Row],[DATA]],"+",tabE.Flux[[#This Row],[MOTORISTA + MATRÍCULA B]],"+",tabE.Flux[[#This Row],[LINHA]])</f>
        <v>45932+GONCALO ALVES BEZERRA - 748+GOIANIA (GO) X BELEM (PA)</v>
      </c>
      <c r="G1079" s="1" t="str">
        <f>_xlfn.CONCAT(tabE.Flux[[#This Row],[DATA]],"+",tabE.Flux[[#This Row],[LINHA]])</f>
        <v>45932+GOIANIA (GO) X BELEM (PA)</v>
      </c>
      <c r="H1079" s="125">
        <v>45932</v>
      </c>
      <c r="I1079" s="1" t="s">
        <v>15</v>
      </c>
      <c r="J1079" s="1">
        <v>19013</v>
      </c>
      <c r="K1079" s="126">
        <v>0.84722222222222221</v>
      </c>
      <c r="L1079" s="126">
        <v>0.87847222222222221</v>
      </c>
      <c r="M1079" s="1" t="s">
        <v>16</v>
      </c>
      <c r="N1079" s="1" t="s">
        <v>17</v>
      </c>
      <c r="O1079" s="1" t="s">
        <v>206</v>
      </c>
      <c r="P1079" s="1" t="s">
        <v>216</v>
      </c>
      <c r="Q1079" s="1" t="s">
        <v>20</v>
      </c>
    </row>
    <row r="1080" spans="3:17" x14ac:dyDescent="0.25">
      <c r="C1080" s="1" t="str">
        <f>_xlfn.CONCAT(tabE.Flux[[#This Row],[DATA]],"+",tabE.Flux[[#This Row],[MOTORISTA + MATRÍCULA A]])</f>
        <v>+</v>
      </c>
      <c r="D1080" s="1" t="str">
        <f>_xlfn.CONCAT(tabE.Flux[[#This Row],[DATA]],"+",tabE.Flux[[#This Row],[MOTORISTA + MATRÍCULA B]])</f>
        <v>+</v>
      </c>
      <c r="E1080" s="1" t="str">
        <f>_xlfn.CONCAT(tabE.Flux[[#This Row],[DATA]],"+",tabE.Flux[[#This Row],[MOTORISTA + MATRÍCULA A]],"+",tabE.Flux[[#This Row],[LINHA]])</f>
        <v>++</v>
      </c>
      <c r="F1080" s="1" t="str">
        <f>_xlfn.CONCAT(tabE.Flux[[#This Row],[DATA]],"+",tabE.Flux[[#This Row],[MOTORISTA + MATRÍCULA B]],"+",tabE.Flux[[#This Row],[LINHA]])</f>
        <v>++</v>
      </c>
      <c r="G1080" s="1" t="str">
        <f>_xlfn.CONCAT(tabE.Flux[[#This Row],[DATA]],"+",tabE.Flux[[#This Row],[LINHA]])</f>
        <v>+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</row>
    <row r="1081" spans="3:17" x14ac:dyDescent="0.25">
      <c r="C1081" s="1" t="str">
        <f>_xlfn.CONCAT(tabE.Flux[[#This Row],[DATA]],"+",tabE.Flux[[#This Row],[MOTORISTA + MATRÍCULA A]])</f>
        <v>45933+CARLOS ALBERTO DE LIMA - 2777</v>
      </c>
      <c r="D1081" s="1" t="str">
        <f>_xlfn.CONCAT(tabE.Flux[[#This Row],[DATA]],"+",tabE.Flux[[#This Row],[MOTORISTA + MATRÍCULA B]])</f>
        <v>45933+NEURI BISPO DA SILVA - 2682</v>
      </c>
      <c r="E1081" s="1" t="str">
        <f>_xlfn.CONCAT(tabE.Flux[[#This Row],[DATA]],"+",tabE.Flux[[#This Row],[MOTORISTA + MATRÍCULA A]],"+",tabE.Flux[[#This Row],[LINHA]])</f>
        <v>45933+CARLOS ALBERTO DE LIMA - 2777+GOIANIA (GO) X BELEM (PA)</v>
      </c>
      <c r="F1081" s="1" t="str">
        <f>_xlfn.CONCAT(tabE.Flux[[#This Row],[DATA]],"+",tabE.Flux[[#This Row],[MOTORISTA + MATRÍCULA B]],"+",tabE.Flux[[#This Row],[LINHA]])</f>
        <v>45933+NEURI BISPO DA SILVA - 2682+GOIANIA (GO) X BELEM (PA)</v>
      </c>
      <c r="G1081" s="1" t="str">
        <f>_xlfn.CONCAT(tabE.Flux[[#This Row],[DATA]],"+",tabE.Flux[[#This Row],[LINHA]])</f>
        <v>45933+GOIANIA (GO) X BELEM (PA)</v>
      </c>
      <c r="H1081" s="125">
        <v>45933</v>
      </c>
      <c r="I1081" s="1" t="s">
        <v>15</v>
      </c>
      <c r="J1081" s="1">
        <v>24013</v>
      </c>
      <c r="K1081" s="126">
        <v>0.25486111111111109</v>
      </c>
      <c r="L1081" s="126">
        <v>0.3</v>
      </c>
      <c r="M1081" s="1" t="s">
        <v>16</v>
      </c>
      <c r="N1081" s="1" t="s">
        <v>17</v>
      </c>
      <c r="O1081" s="1" t="s">
        <v>165</v>
      </c>
      <c r="P1081" s="1" t="s">
        <v>166</v>
      </c>
      <c r="Q1081" s="1" t="s">
        <v>20</v>
      </c>
    </row>
    <row r="1082" spans="3:17" x14ac:dyDescent="0.25">
      <c r="C1082" s="1" t="str">
        <f>_xlfn.CONCAT(tabE.Flux[[#This Row],[DATA]],"+",tabE.Flux[[#This Row],[MOTORISTA + MATRÍCULA A]])</f>
        <v>45933+FRANCISCO RAIMUNDO VIANA DE SOUSA - 5314</v>
      </c>
      <c r="D1082" s="1" t="str">
        <f>_xlfn.CONCAT(tabE.Flux[[#This Row],[DATA]],"+",tabE.Flux[[#This Row],[MOTORISTA + MATRÍCULA B]])</f>
        <v>45933+ANTONIO MARCIO DE SENA RIBEIRO CHAVES - 5061</v>
      </c>
      <c r="E1082" s="1" t="str">
        <f>_xlfn.CONCAT(tabE.Flux[[#This Row],[DATA]],"+",tabE.Flux[[#This Row],[MOTORISTA + MATRÍCULA A]],"+",tabE.Flux[[#This Row],[LINHA]])</f>
        <v>45933+FRANCISCO RAIMUNDO VIANA DE SOUSA - 5314+GOIANIA (GO) X SAO LUIS (MA)</v>
      </c>
      <c r="F1082" s="1" t="str">
        <f>_xlfn.CONCAT(tabE.Flux[[#This Row],[DATA]],"+",tabE.Flux[[#This Row],[MOTORISTA + MATRÍCULA B]],"+",tabE.Flux[[#This Row],[LINHA]])</f>
        <v>45933+ANTONIO MARCIO DE SENA RIBEIRO CHAVES - 5061+GOIANIA (GO) X SAO LUIS (MA)</v>
      </c>
      <c r="G1082" s="1" t="str">
        <f>_xlfn.CONCAT(tabE.Flux[[#This Row],[DATA]],"+",tabE.Flux[[#This Row],[LINHA]])</f>
        <v>45933+GOIANIA (GO) X SAO LUIS (MA)</v>
      </c>
      <c r="H1082" s="125">
        <v>45933</v>
      </c>
      <c r="I1082" s="1" t="s">
        <v>15</v>
      </c>
      <c r="J1082" s="1">
        <v>24010</v>
      </c>
      <c r="K1082" s="126">
        <v>0.32291666666666669</v>
      </c>
      <c r="L1082" s="126">
        <v>0.33333333333333331</v>
      </c>
      <c r="M1082" s="1" t="s">
        <v>16</v>
      </c>
      <c r="N1082" s="1" t="s">
        <v>17</v>
      </c>
      <c r="O1082" s="1" t="s">
        <v>87</v>
      </c>
      <c r="P1082" s="1" t="s">
        <v>235</v>
      </c>
      <c r="Q1082" s="1" t="s">
        <v>23</v>
      </c>
    </row>
    <row r="1083" spans="3:17" x14ac:dyDescent="0.25">
      <c r="C1083" s="1" t="str">
        <f>_xlfn.CONCAT(tabE.Flux[[#This Row],[DATA]],"+",tabE.Flux[[#This Row],[MOTORISTA + MATRÍCULA A]])</f>
        <v>45933+LUIS ANTONIO FARIAS RIBEIRO - 2789</v>
      </c>
      <c r="D1083" s="1" t="str">
        <f>_xlfn.CONCAT(tabE.Flux[[#This Row],[DATA]],"+",tabE.Flux[[#This Row],[MOTORISTA + MATRÍCULA B]])</f>
        <v>45933+RAIMUNDO GUIMARAES ARAUJO - 1920</v>
      </c>
      <c r="E1083" s="1" t="str">
        <f>_xlfn.CONCAT(tabE.Flux[[#This Row],[DATA]],"+",tabE.Flux[[#This Row],[MOTORISTA + MATRÍCULA A]],"+",tabE.Flux[[#This Row],[LINHA]])</f>
        <v>45933+LUIS ANTONIO FARIAS RIBEIRO - 2789+GOIANIA (GO) X TERESINA (PI) VIA STI</v>
      </c>
      <c r="F1083" s="1" t="str">
        <f>_xlfn.CONCAT(tabE.Flux[[#This Row],[DATA]],"+",tabE.Flux[[#This Row],[MOTORISTA + MATRÍCULA B]],"+",tabE.Flux[[#This Row],[LINHA]])</f>
        <v>45933+RAIMUNDO GUIMARAES ARAUJO - 1920+GOIANIA (GO) X TERESINA (PI) VIA STI</v>
      </c>
      <c r="G1083" s="1" t="str">
        <f>_xlfn.CONCAT(tabE.Flux[[#This Row],[DATA]],"+",tabE.Flux[[#This Row],[LINHA]])</f>
        <v>45933+GOIANIA (GO) X TERESINA (PI) VIA STI</v>
      </c>
      <c r="H1083" s="125">
        <v>45933</v>
      </c>
      <c r="I1083" s="1" t="s">
        <v>15</v>
      </c>
      <c r="J1083" s="1">
        <v>19003</v>
      </c>
      <c r="K1083" s="126">
        <v>0.3888888888888889</v>
      </c>
      <c r="L1083" s="126">
        <v>0.39583333333333331</v>
      </c>
      <c r="M1083" s="1" t="s">
        <v>16</v>
      </c>
      <c r="N1083" s="1" t="s">
        <v>17</v>
      </c>
      <c r="O1083" s="1" t="s">
        <v>124</v>
      </c>
      <c r="P1083" s="1" t="s">
        <v>231</v>
      </c>
      <c r="Q1083" s="1" t="s">
        <v>26</v>
      </c>
    </row>
    <row r="1084" spans="3:17" x14ac:dyDescent="0.25">
      <c r="C1084" s="1" t="str">
        <f>_xlfn.CONCAT(tabE.Flux[[#This Row],[DATA]],"+",tabE.Flux[[#This Row],[MOTORISTA + MATRÍCULA A]])</f>
        <v>45933+CANCELADO</v>
      </c>
      <c r="D1084" s="1" t="str">
        <f>_xlfn.CONCAT(tabE.Flux[[#This Row],[DATA]],"+",tabE.Flux[[#This Row],[MOTORISTA + MATRÍCULA B]])</f>
        <v>45933+CANCELADO</v>
      </c>
      <c r="E1084" s="1" t="str">
        <f>_xlfn.CONCAT(tabE.Flux[[#This Row],[DATA]],"+",tabE.Flux[[#This Row],[MOTORISTA + MATRÍCULA A]],"+",tabE.Flux[[#This Row],[LINHA]])</f>
        <v>45933+CANCELADO+</v>
      </c>
      <c r="F1084" s="1" t="str">
        <f>_xlfn.CONCAT(tabE.Flux[[#This Row],[DATA]],"+",tabE.Flux[[#This Row],[MOTORISTA + MATRÍCULA B]],"+",tabE.Flux[[#This Row],[LINHA]])</f>
        <v>45933+CANCELADO+</v>
      </c>
      <c r="G1084" s="1" t="str">
        <f>_xlfn.CONCAT(tabE.Flux[[#This Row],[DATA]],"+",tabE.Flux[[#This Row],[LINHA]])</f>
        <v>45933+</v>
      </c>
      <c r="H1084" s="125">
        <v>45933</v>
      </c>
      <c r="I1084" s="1" t="s">
        <v>15</v>
      </c>
      <c r="J1084" s="1" t="s">
        <v>27</v>
      </c>
      <c r="K1084" s="126">
        <v>0.375</v>
      </c>
      <c r="L1084" s="126">
        <v>0.41666666666666669</v>
      </c>
      <c r="M1084" s="1" t="s">
        <v>16</v>
      </c>
      <c r="N1084" s="1" t="s">
        <v>28</v>
      </c>
      <c r="O1084" s="1" t="s">
        <v>27</v>
      </c>
      <c r="P1084" s="1" t="s">
        <v>27</v>
      </c>
      <c r="Q1084" s="1"/>
    </row>
    <row r="1085" spans="3:17" x14ac:dyDescent="0.25">
      <c r="C1085" s="1" t="str">
        <f>_xlfn.CONCAT(tabE.Flux[[#This Row],[DATA]],"+",tabE.Flux[[#This Row],[MOTORISTA + MATRÍCULA A]])</f>
        <v>45933+JOSE ALVES DA ROCHA - 5035</v>
      </c>
      <c r="D1085" s="1" t="str">
        <f>_xlfn.CONCAT(tabE.Flux[[#This Row],[DATA]],"+",tabE.Flux[[#This Row],[MOTORISTA + MATRÍCULA B]])</f>
        <v>45933+MARCIO DE SOUSA BRASILEIRO - 5828</v>
      </c>
      <c r="E1085" s="1" t="str">
        <f>_xlfn.CONCAT(tabE.Flux[[#This Row],[DATA]],"+",tabE.Flux[[#This Row],[MOTORISTA + MATRÍCULA A]],"+",tabE.Flux[[#This Row],[LINHA]])</f>
        <v>45933+JOSE ALVES DA ROCHA - 5035+FORTALEZA (CE) X SINOP (MT)</v>
      </c>
      <c r="F1085" s="1" t="str">
        <f>_xlfn.CONCAT(tabE.Flux[[#This Row],[DATA]],"+",tabE.Flux[[#This Row],[MOTORISTA + MATRÍCULA B]],"+",tabE.Flux[[#This Row],[LINHA]])</f>
        <v>45933+MARCIO DE SOUSA BRASILEIRO - 5828+FORTALEZA (CE) X SINOP (MT)</v>
      </c>
      <c r="G1085" s="1" t="str">
        <f>_xlfn.CONCAT(tabE.Flux[[#This Row],[DATA]],"+",tabE.Flux[[#This Row],[LINHA]])</f>
        <v>45933+FORTALEZA (CE) X SINOP (MT)</v>
      </c>
      <c r="H1085" s="125">
        <v>45933</v>
      </c>
      <c r="I1085" s="1" t="s">
        <v>15</v>
      </c>
      <c r="J1085" s="1">
        <v>19011</v>
      </c>
      <c r="K1085" s="126">
        <v>0.3888888888888889</v>
      </c>
      <c r="L1085" s="126">
        <v>0.37708333333333333</v>
      </c>
      <c r="M1085" s="1" t="s">
        <v>16</v>
      </c>
      <c r="N1085" s="1" t="s">
        <v>29</v>
      </c>
      <c r="O1085" s="1" t="s">
        <v>91</v>
      </c>
      <c r="P1085" s="1" t="s">
        <v>129</v>
      </c>
      <c r="Q1085" s="1" t="s">
        <v>32</v>
      </c>
    </row>
    <row r="1086" spans="3:17" x14ac:dyDescent="0.25">
      <c r="C1086" s="1" t="str">
        <f>_xlfn.CONCAT(tabE.Flux[[#This Row],[DATA]],"+",tabE.Flux[[#This Row],[MOTORISTA + MATRÍCULA A]])</f>
        <v>45933+ELIEZIO JOSE DOS SANTOS - 2645</v>
      </c>
      <c r="D1086" s="1" t="str">
        <f>_xlfn.CONCAT(tabE.Flux[[#This Row],[DATA]],"+",tabE.Flux[[#This Row],[MOTORISTA + MATRÍCULA B]])</f>
        <v>45933+RONNE RODRIGUES DE SOUSA - 5025</v>
      </c>
      <c r="E1086" s="1" t="str">
        <f>_xlfn.CONCAT(tabE.Flux[[#This Row],[DATA]],"+",tabE.Flux[[#This Row],[MOTORISTA + MATRÍCULA A]],"+",tabE.Flux[[#This Row],[LINHA]])</f>
        <v>45933+ELIEZIO JOSE DOS SANTOS - 2645+GOIANIA (GO) X BELEM (PA)</v>
      </c>
      <c r="F1086" s="1" t="str">
        <f>_xlfn.CONCAT(tabE.Flux[[#This Row],[DATA]],"+",tabE.Flux[[#This Row],[MOTORISTA + MATRÍCULA B]],"+",tabE.Flux[[#This Row],[LINHA]])</f>
        <v>45933+RONNE RODRIGUES DE SOUSA - 5025+GOIANIA (GO) X BELEM (PA)</v>
      </c>
      <c r="G1086" s="1" t="str">
        <f>_xlfn.CONCAT(tabE.Flux[[#This Row],[DATA]],"+",tabE.Flux[[#This Row],[LINHA]])</f>
        <v>45933+GOIANIA (GO) X BELEM (PA)</v>
      </c>
      <c r="H1086" s="125">
        <v>45933</v>
      </c>
      <c r="I1086" s="1" t="s">
        <v>15</v>
      </c>
      <c r="J1086" s="1">
        <v>19002</v>
      </c>
      <c r="K1086" s="126">
        <v>0.38958333333333334</v>
      </c>
      <c r="L1086" s="126">
        <v>0.38541666666666669</v>
      </c>
      <c r="M1086" s="1" t="s">
        <v>16</v>
      </c>
      <c r="N1086" s="1" t="s">
        <v>33</v>
      </c>
      <c r="O1086" s="1" t="s">
        <v>53</v>
      </c>
      <c r="P1086" s="1" t="s">
        <v>85</v>
      </c>
      <c r="Q1086" s="1" t="s">
        <v>20</v>
      </c>
    </row>
    <row r="1087" spans="3:17" x14ac:dyDescent="0.25">
      <c r="C1087" s="1" t="str">
        <f>_xlfn.CONCAT(tabE.Flux[[#This Row],[DATA]],"+",tabE.Flux[[#This Row],[MOTORISTA + MATRÍCULA A]])</f>
        <v>45933+JOSE ORLANDO RODRIGUES DE MIRANDA - 5838</v>
      </c>
      <c r="D1087" s="1" t="str">
        <f>_xlfn.CONCAT(tabE.Flux[[#This Row],[DATA]],"+",tabE.Flux[[#This Row],[MOTORISTA + MATRÍCULA B]])</f>
        <v>45933+EDIMILSON LUIS FRANÇA - 5442</v>
      </c>
      <c r="E1087" s="1" t="str">
        <f>_xlfn.CONCAT(tabE.Flux[[#This Row],[DATA]],"+",tabE.Flux[[#This Row],[MOTORISTA + MATRÍCULA A]],"+",tabE.Flux[[#This Row],[LINHA]])</f>
        <v>45933+JOSE ORLANDO RODRIGUES DE MIRANDA - 5838+</v>
      </c>
      <c r="F1087" s="1" t="str">
        <f>_xlfn.CONCAT(tabE.Flux[[#This Row],[DATA]],"+",tabE.Flux[[#This Row],[MOTORISTA + MATRÍCULA B]],"+",tabE.Flux[[#This Row],[LINHA]])</f>
        <v>45933+EDIMILSON LUIS FRANÇA - 5442+</v>
      </c>
      <c r="G1087" s="1" t="str">
        <f>_xlfn.CONCAT(tabE.Flux[[#This Row],[DATA]],"+",tabE.Flux[[#This Row],[LINHA]])</f>
        <v>45933+</v>
      </c>
      <c r="H1087" s="125">
        <v>45933</v>
      </c>
      <c r="I1087" s="1" t="s">
        <v>15</v>
      </c>
      <c r="J1087" s="1">
        <v>25010</v>
      </c>
      <c r="K1087" s="126">
        <v>0.375</v>
      </c>
      <c r="L1087" s="126">
        <v>0.39930555555555558</v>
      </c>
      <c r="M1087" s="1" t="s">
        <v>36</v>
      </c>
      <c r="N1087" s="1" t="s">
        <v>29</v>
      </c>
      <c r="O1087" s="1" t="s">
        <v>37</v>
      </c>
      <c r="P1087" s="1" t="s">
        <v>89</v>
      </c>
      <c r="Q1087" s="1"/>
    </row>
    <row r="1088" spans="3:17" x14ac:dyDescent="0.25">
      <c r="C1088" s="1" t="str">
        <f>_xlfn.CONCAT(tabE.Flux[[#This Row],[DATA]],"+",tabE.Flux[[#This Row],[MOTORISTA + MATRÍCULA A]])</f>
        <v>45933+IZALMIR RODRIGUES COELHO - 958</v>
      </c>
      <c r="D1088" s="1" t="str">
        <f>_xlfn.CONCAT(tabE.Flux[[#This Row],[DATA]],"+",tabE.Flux[[#This Row],[MOTORISTA + MATRÍCULA B]])</f>
        <v>45933+BERNARDO SOUZA LIMA - 1720</v>
      </c>
      <c r="E1088" s="1" t="str">
        <f>_xlfn.CONCAT(tabE.Flux[[#This Row],[DATA]],"+",tabE.Flux[[#This Row],[MOTORISTA + MATRÍCULA A]],"+",tabE.Flux[[#This Row],[LINHA]])</f>
        <v>45933+IZALMIR RODRIGUES COELHO - 958+GOIANIA (GO) X BELEM (PA)</v>
      </c>
      <c r="F1088" s="1" t="str">
        <f>_xlfn.CONCAT(tabE.Flux[[#This Row],[DATA]],"+",tabE.Flux[[#This Row],[MOTORISTA + MATRÍCULA B]],"+",tabE.Flux[[#This Row],[LINHA]])</f>
        <v>45933+BERNARDO SOUZA LIMA - 1720+GOIANIA (GO) X BELEM (PA)</v>
      </c>
      <c r="G1088" s="1" t="str">
        <f>_xlfn.CONCAT(tabE.Flux[[#This Row],[DATA]],"+",tabE.Flux[[#This Row],[LINHA]])</f>
        <v>45933+GOIANIA (GO) X BELEM (PA)</v>
      </c>
      <c r="H1088" s="125">
        <v>45933</v>
      </c>
      <c r="I1088" s="1" t="s">
        <v>15</v>
      </c>
      <c r="J1088" s="1">
        <v>19021</v>
      </c>
      <c r="K1088" s="126">
        <v>0.375</v>
      </c>
      <c r="L1088" s="126">
        <v>0.41666666666666669</v>
      </c>
      <c r="M1088" s="1" t="s">
        <v>33</v>
      </c>
      <c r="N1088" s="1" t="s">
        <v>16</v>
      </c>
      <c r="O1088" s="1" t="s">
        <v>83</v>
      </c>
      <c r="P1088" s="1" t="s">
        <v>123</v>
      </c>
      <c r="Q1088" s="1" t="s">
        <v>20</v>
      </c>
    </row>
    <row r="1089" spans="3:17" x14ac:dyDescent="0.25">
      <c r="C1089" s="1" t="str">
        <f>_xlfn.CONCAT(tabE.Flux[[#This Row],[DATA]],"+",tabE.Flux[[#This Row],[MOTORISTA + MATRÍCULA A]])</f>
        <v>45933+ALTEMAR DO NASCIMENTO LIMA - 6225</v>
      </c>
      <c r="D1089" s="1" t="str">
        <f>_xlfn.CONCAT(tabE.Flux[[#This Row],[DATA]],"+",tabE.Flux[[#This Row],[MOTORISTA + MATRÍCULA B]])</f>
        <v>45933+JOSE ALVES DE FREITAS NETO - 5027</v>
      </c>
      <c r="E1089" s="1" t="str">
        <f>_xlfn.CONCAT(tabE.Flux[[#This Row],[DATA]],"+",tabE.Flux[[#This Row],[MOTORISTA + MATRÍCULA A]],"+",tabE.Flux[[#This Row],[LINHA]])</f>
        <v>45933+ALTEMAR DO NASCIMENTO LIMA - 6225+GOIANIA (GO) X SAO LUIS (MA)</v>
      </c>
      <c r="F1089" s="1" t="str">
        <f>_xlfn.CONCAT(tabE.Flux[[#This Row],[DATA]],"+",tabE.Flux[[#This Row],[MOTORISTA + MATRÍCULA B]],"+",tabE.Flux[[#This Row],[LINHA]])</f>
        <v>45933+JOSE ALVES DE FREITAS NETO - 5027+GOIANIA (GO) X SAO LUIS (MA)</v>
      </c>
      <c r="G1089" s="1" t="str">
        <f>_xlfn.CONCAT(tabE.Flux[[#This Row],[DATA]],"+",tabE.Flux[[#This Row],[LINHA]])</f>
        <v>45933+GOIANIA (GO) X SAO LUIS (MA)</v>
      </c>
      <c r="H1089" s="125">
        <v>45933</v>
      </c>
      <c r="I1089" s="1" t="s">
        <v>15</v>
      </c>
      <c r="J1089" s="1">
        <v>20014</v>
      </c>
      <c r="K1089" s="126">
        <v>0.25</v>
      </c>
      <c r="L1089" s="126">
        <v>0.29166666666666669</v>
      </c>
      <c r="M1089" s="1" t="s">
        <v>42</v>
      </c>
      <c r="N1089" s="1" t="s">
        <v>16</v>
      </c>
      <c r="O1089" s="1" t="s">
        <v>57</v>
      </c>
      <c r="P1089" s="1" t="s">
        <v>90</v>
      </c>
      <c r="Q1089" s="1" t="s">
        <v>23</v>
      </c>
    </row>
    <row r="1090" spans="3:17" x14ac:dyDescent="0.25">
      <c r="C1090" s="1" t="str">
        <f>_xlfn.CONCAT(tabE.Flux[[#This Row],[DATA]],"+",tabE.Flux[[#This Row],[MOTORISTA + MATRÍCULA A]])</f>
        <v>45933+CARLOS ADRIANO DE SOUZA DO NASCIMENTO - 6222</v>
      </c>
      <c r="D1090" s="1" t="str">
        <f>_xlfn.CONCAT(tabE.Flux[[#This Row],[DATA]],"+",tabE.Flux[[#This Row],[MOTORISTA + MATRÍCULA B]])</f>
        <v>45933+</v>
      </c>
      <c r="E1090" s="1" t="str">
        <f>_xlfn.CONCAT(tabE.Flux[[#This Row],[DATA]],"+",tabE.Flux[[#This Row],[MOTORISTA + MATRÍCULA A]],"+",tabE.Flux[[#This Row],[LINHA]])</f>
        <v>45933+CARLOS ADRIANO DE SOUZA DO NASCIMENTO - 6222+GOIANIA (GO) X SAO LUIS (MA)</v>
      </c>
      <c r="F1090" s="1" t="str">
        <f>_xlfn.CONCAT(tabE.Flux[[#This Row],[DATA]],"+",tabE.Flux[[#This Row],[MOTORISTA + MATRÍCULA B]],"+",tabE.Flux[[#This Row],[LINHA]])</f>
        <v>45933++GOIANIA (GO) X SAO LUIS (MA)</v>
      </c>
      <c r="G1090" s="1" t="str">
        <f>_xlfn.CONCAT(tabE.Flux[[#This Row],[DATA]],"+",tabE.Flux[[#This Row],[LINHA]])</f>
        <v>45933+GOIANIA (GO) X SAO LUIS (MA)</v>
      </c>
      <c r="H1090" s="125">
        <v>45933</v>
      </c>
      <c r="I1090" s="1" t="s">
        <v>15</v>
      </c>
      <c r="J1090" s="1">
        <v>24001</v>
      </c>
      <c r="K1090" s="126">
        <v>0.75</v>
      </c>
      <c r="L1090" s="126">
        <v>0.79166666666666663</v>
      </c>
      <c r="M1090" s="1" t="s">
        <v>42</v>
      </c>
      <c r="N1090" s="1" t="s">
        <v>16</v>
      </c>
      <c r="O1090" s="1" t="s">
        <v>110</v>
      </c>
      <c r="P1090" s="1"/>
      <c r="Q1090" s="1" t="s">
        <v>23</v>
      </c>
    </row>
    <row r="1091" spans="3:17" x14ac:dyDescent="0.25">
      <c r="C1091" s="1" t="str">
        <f>_xlfn.CONCAT(tabE.Flux[[#This Row],[DATA]],"+",tabE.Flux[[#This Row],[MOTORISTA + MATRÍCULA A]])</f>
        <v>45933+CANCELADO</v>
      </c>
      <c r="D1091" s="1" t="str">
        <f>_xlfn.CONCAT(tabE.Flux[[#This Row],[DATA]],"+",tabE.Flux[[#This Row],[MOTORISTA + MATRÍCULA B]])</f>
        <v>45933+CANCELADO</v>
      </c>
      <c r="E1091" s="1" t="str">
        <f>_xlfn.CONCAT(tabE.Flux[[#This Row],[DATA]],"+",tabE.Flux[[#This Row],[MOTORISTA + MATRÍCULA A]],"+",tabE.Flux[[#This Row],[LINHA]])</f>
        <v>45933+CANCELADO+IMPERATRIZ (MA) X SÃO LUIS (MA)</v>
      </c>
      <c r="F1091" s="1" t="str">
        <f>_xlfn.CONCAT(tabE.Flux[[#This Row],[DATA]],"+",tabE.Flux[[#This Row],[MOTORISTA + MATRÍCULA B]],"+",tabE.Flux[[#This Row],[LINHA]])</f>
        <v>45933+CANCELADO+IMPERATRIZ (MA) X SÃO LUIS (MA)</v>
      </c>
      <c r="G1091" s="1" t="str">
        <f>_xlfn.CONCAT(tabE.Flux[[#This Row],[DATA]],"+",tabE.Flux[[#This Row],[LINHA]])</f>
        <v>45933+IMPERATRIZ (MA) X SÃO LUIS (MA)</v>
      </c>
      <c r="H1091" s="125">
        <v>45933</v>
      </c>
      <c r="I1091" s="1" t="s">
        <v>15</v>
      </c>
      <c r="J1091" s="1" t="s">
        <v>27</v>
      </c>
      <c r="K1091" s="126">
        <v>0.77083333333333337</v>
      </c>
      <c r="L1091" s="126">
        <v>0.79513888888888884</v>
      </c>
      <c r="M1091" s="1" t="s">
        <v>42</v>
      </c>
      <c r="N1091" s="1" t="s">
        <v>16</v>
      </c>
      <c r="O1091" s="1" t="s">
        <v>27</v>
      </c>
      <c r="P1091" s="1" t="s">
        <v>27</v>
      </c>
      <c r="Q1091" s="1" t="s">
        <v>47</v>
      </c>
    </row>
    <row r="1092" spans="3:17" x14ac:dyDescent="0.25">
      <c r="C1092" s="1" t="str">
        <f>_xlfn.CONCAT(tabE.Flux[[#This Row],[DATA]],"+",tabE.Flux[[#This Row],[MOTORISTA + MATRÍCULA A]])</f>
        <v>45933+EDILTON MONTEIRO GUNDIM - 6023</v>
      </c>
      <c r="D1092" s="1" t="str">
        <f>_xlfn.CONCAT(tabE.Flux[[#This Row],[DATA]],"+",tabE.Flux[[#This Row],[MOTORISTA + MATRÍCULA B]])</f>
        <v>45933+WOLNEY EDUARDO DE OLIVEIRA - 5607</v>
      </c>
      <c r="E1092" s="1" t="str">
        <f>_xlfn.CONCAT(tabE.Flux[[#This Row],[DATA]],"+",tabE.Flux[[#This Row],[MOTORISTA + MATRÍCULA A]],"+",tabE.Flux[[#This Row],[LINHA]])</f>
        <v>45933+EDILTON MONTEIRO GUNDIM - 6023+GOIANIA (GO) X TERESINA (PI) VIA BC</v>
      </c>
      <c r="F1092" s="1" t="str">
        <f>_xlfn.CONCAT(tabE.Flux[[#This Row],[DATA]],"+",tabE.Flux[[#This Row],[MOTORISTA + MATRÍCULA B]],"+",tabE.Flux[[#This Row],[LINHA]])</f>
        <v>45933+WOLNEY EDUARDO DE OLIVEIRA - 5607+GOIANIA (GO) X TERESINA (PI) VIA BC</v>
      </c>
      <c r="G1092" s="1" t="str">
        <f>_xlfn.CONCAT(tabE.Flux[[#This Row],[DATA]],"+",tabE.Flux[[#This Row],[LINHA]])</f>
        <v>45933+GOIANIA (GO) X TERESINA (PI) VIA BC</v>
      </c>
      <c r="H1092" s="125">
        <v>45933</v>
      </c>
      <c r="I1092" s="1" t="s">
        <v>15</v>
      </c>
      <c r="J1092" s="1">
        <v>25008</v>
      </c>
      <c r="K1092" s="126">
        <v>0.89583333333333337</v>
      </c>
      <c r="L1092" s="126">
        <v>0.91666666666666663</v>
      </c>
      <c r="M1092" s="1" t="s">
        <v>36</v>
      </c>
      <c r="N1092" s="1" t="s">
        <v>17</v>
      </c>
      <c r="O1092" s="1" t="s">
        <v>199</v>
      </c>
      <c r="P1092" s="1" t="s">
        <v>200</v>
      </c>
      <c r="Q1092" s="1" t="s">
        <v>39</v>
      </c>
    </row>
    <row r="1093" spans="3:17" x14ac:dyDescent="0.25">
      <c r="C1093" s="1" t="str">
        <f>_xlfn.CONCAT(tabE.Flux[[#This Row],[DATA]],"+",tabE.Flux[[#This Row],[MOTORISTA + MATRÍCULA A]])</f>
        <v>45933+JARDEL DE SOUSA OLIVEIRA - 5992</v>
      </c>
      <c r="D1093" s="1" t="str">
        <f>_xlfn.CONCAT(tabE.Flux[[#This Row],[DATA]],"+",tabE.Flux[[#This Row],[MOTORISTA + MATRÍCULA B]])</f>
        <v>45933+FRANCISCO BATISTA DE LIMA - 1827</v>
      </c>
      <c r="E1093" s="1" t="str">
        <f>_xlfn.CONCAT(tabE.Flux[[#This Row],[DATA]],"+",tabE.Flux[[#This Row],[MOTORISTA + MATRÍCULA A]],"+",tabE.Flux[[#This Row],[LINHA]])</f>
        <v>45933+JARDEL DE SOUSA OLIVEIRA - 5992+GOIANIA (GO) X BELEM (PA)</v>
      </c>
      <c r="F1093" s="1" t="str">
        <f>_xlfn.CONCAT(tabE.Flux[[#This Row],[DATA]],"+",tabE.Flux[[#This Row],[MOTORISTA + MATRÍCULA B]],"+",tabE.Flux[[#This Row],[LINHA]])</f>
        <v>45933+FRANCISCO BATISTA DE LIMA - 1827+GOIANIA (GO) X BELEM (PA)</v>
      </c>
      <c r="G1093" s="1" t="str">
        <f>_xlfn.CONCAT(tabE.Flux[[#This Row],[DATA]],"+",tabE.Flux[[#This Row],[LINHA]])</f>
        <v>45933+GOIANIA (GO) X BELEM (PA)</v>
      </c>
      <c r="H1093" s="125">
        <v>45933</v>
      </c>
      <c r="I1093" s="1" t="s">
        <v>15</v>
      </c>
      <c r="J1093" s="1">
        <v>24003</v>
      </c>
      <c r="K1093" s="126">
        <v>0.76041666666666663</v>
      </c>
      <c r="L1093" s="126">
        <v>0.77083333333333337</v>
      </c>
      <c r="M1093" s="1" t="s">
        <v>33</v>
      </c>
      <c r="N1093" s="1" t="s">
        <v>16</v>
      </c>
      <c r="O1093" s="1" t="s">
        <v>150</v>
      </c>
      <c r="P1093" s="1" t="s">
        <v>128</v>
      </c>
      <c r="Q1093" s="1" t="s">
        <v>20</v>
      </c>
    </row>
    <row r="1094" spans="3:17" x14ac:dyDescent="0.25">
      <c r="C1094" s="1" t="str">
        <f>_xlfn.CONCAT(tabE.Flux[[#This Row],[DATA]],"+",tabE.Flux[[#This Row],[MOTORISTA + MATRÍCULA A]])</f>
        <v>45933+FRANCISCO LINDONALDO DE SOUSA - 2971</v>
      </c>
      <c r="D1094" s="1" t="str">
        <f>_xlfn.CONCAT(tabE.Flux[[#This Row],[DATA]],"+",tabE.Flux[[#This Row],[MOTORISTA + MATRÍCULA B]])</f>
        <v>45933+AELSON PEREIRA DO NASCIMENTO - 5682</v>
      </c>
      <c r="E1094" s="1" t="str">
        <f>_xlfn.CONCAT(tabE.Flux[[#This Row],[DATA]],"+",tabE.Flux[[#This Row],[MOTORISTA + MATRÍCULA A]],"+",tabE.Flux[[#This Row],[LINHA]])</f>
        <v>45933+FRANCISCO LINDONALDO DE SOUSA - 2971+GOIANIA (GO) X BELEM (PA)</v>
      </c>
      <c r="F1094" s="1" t="str">
        <f>_xlfn.CONCAT(tabE.Flux[[#This Row],[DATA]],"+",tabE.Flux[[#This Row],[MOTORISTA + MATRÍCULA B]],"+",tabE.Flux[[#This Row],[LINHA]])</f>
        <v>45933+AELSON PEREIRA DO NASCIMENTO - 5682+GOIANIA (GO) X BELEM (PA)</v>
      </c>
      <c r="G1094" s="1" t="str">
        <f>_xlfn.CONCAT(tabE.Flux[[#This Row],[DATA]],"+",tabE.Flux[[#This Row],[LINHA]])</f>
        <v>45933+GOIANIA (GO) X BELEM (PA)</v>
      </c>
      <c r="H1094" s="125">
        <v>45933</v>
      </c>
      <c r="I1094" s="1" t="s">
        <v>15</v>
      </c>
      <c r="J1094" s="1">
        <v>25006</v>
      </c>
      <c r="K1094" s="126">
        <v>0.76041666666666663</v>
      </c>
      <c r="L1094" s="126">
        <v>0.82777777777777772</v>
      </c>
      <c r="M1094" s="1" t="s">
        <v>16</v>
      </c>
      <c r="N1094" s="1" t="s">
        <v>33</v>
      </c>
      <c r="O1094" s="1" t="s">
        <v>131</v>
      </c>
      <c r="P1094" s="1" t="s">
        <v>88</v>
      </c>
      <c r="Q1094" s="1" t="s">
        <v>20</v>
      </c>
    </row>
    <row r="1095" spans="3:17" x14ac:dyDescent="0.25">
      <c r="C1095" s="1" t="str">
        <f>_xlfn.CONCAT(tabE.Flux[[#This Row],[DATA]],"+",tabE.Flux[[#This Row],[MOTORISTA + MATRÍCULA A]])</f>
        <v>45933+ESIEL COSTA RODRIGUES - 1749</v>
      </c>
      <c r="D1095" s="1" t="str">
        <f>_xlfn.CONCAT(tabE.Flux[[#This Row],[DATA]],"+",tabE.Flux[[#This Row],[MOTORISTA + MATRÍCULA B]])</f>
        <v>45933+ANTONIO JOSE PEREIRA SOARES - 1774</v>
      </c>
      <c r="E1095" s="1" t="str">
        <f>_xlfn.CONCAT(tabE.Flux[[#This Row],[DATA]],"+",tabE.Flux[[#This Row],[MOTORISTA + MATRÍCULA A]],"+",tabE.Flux[[#This Row],[LINHA]])</f>
        <v>45933+ESIEL COSTA RODRIGUES - 1749+GOIANIA (GO) X SAO LUIS (MA)</v>
      </c>
      <c r="F1095" s="1" t="str">
        <f>_xlfn.CONCAT(tabE.Flux[[#This Row],[DATA]],"+",tabE.Flux[[#This Row],[MOTORISTA + MATRÍCULA B]],"+",tabE.Flux[[#This Row],[LINHA]])</f>
        <v>45933+ANTONIO JOSE PEREIRA SOARES - 1774+GOIANIA (GO) X SAO LUIS (MA)</v>
      </c>
      <c r="G1095" s="1" t="str">
        <f>_xlfn.CONCAT(tabE.Flux[[#This Row],[DATA]],"+",tabE.Flux[[#This Row],[LINHA]])</f>
        <v>45933+GOIANIA (GO) X SAO LUIS (MA)</v>
      </c>
      <c r="H1095" s="125">
        <v>45933</v>
      </c>
      <c r="I1095" s="1" t="s">
        <v>15</v>
      </c>
      <c r="J1095" s="1">
        <v>19019</v>
      </c>
      <c r="K1095" s="126">
        <v>0.40763888888888888</v>
      </c>
      <c r="L1095" s="126">
        <v>0.47013888888888888</v>
      </c>
      <c r="M1095" s="1" t="s">
        <v>16</v>
      </c>
      <c r="N1095" s="1" t="s">
        <v>42</v>
      </c>
      <c r="O1095" s="1" t="s">
        <v>46</v>
      </c>
      <c r="P1095" s="1" t="s">
        <v>52</v>
      </c>
      <c r="Q1095" s="1" t="s">
        <v>23</v>
      </c>
    </row>
    <row r="1096" spans="3:17" x14ac:dyDescent="0.25">
      <c r="C1096" s="1" t="str">
        <f>_xlfn.CONCAT(tabE.Flux[[#This Row],[DATA]],"+",tabE.Flux[[#This Row],[MOTORISTA + MATRÍCULA A]])</f>
        <v>45933+CLAUDIOMAR ALENCAR DO NASCIMENTO - 2970</v>
      </c>
      <c r="D1096" s="1" t="str">
        <f>_xlfn.CONCAT(tabE.Flux[[#This Row],[DATA]],"+",tabE.Flux[[#This Row],[MOTORISTA + MATRÍCULA B]])</f>
        <v>45933+KAYLSON KLEYTON DA SILVA COSTA - 6224</v>
      </c>
      <c r="E1096" s="1" t="str">
        <f>_xlfn.CONCAT(tabE.Flux[[#This Row],[DATA]],"+",tabE.Flux[[#This Row],[MOTORISTA + MATRÍCULA A]],"+",tabE.Flux[[#This Row],[LINHA]])</f>
        <v>45933+CLAUDIOMAR ALENCAR DO NASCIMENTO - 2970+IMPERATRIZ (MA) X SÃO LUIS (MA)</v>
      </c>
      <c r="F1096" s="1" t="str">
        <f>_xlfn.CONCAT(tabE.Flux[[#This Row],[DATA]],"+",tabE.Flux[[#This Row],[MOTORISTA + MATRÍCULA B]],"+",tabE.Flux[[#This Row],[LINHA]])</f>
        <v>45933+KAYLSON KLEYTON DA SILVA COSTA - 6224+IMPERATRIZ (MA) X SÃO LUIS (MA)</v>
      </c>
      <c r="G1096" s="1" t="str">
        <f>_xlfn.CONCAT(tabE.Flux[[#This Row],[DATA]],"+",tabE.Flux[[#This Row],[LINHA]])</f>
        <v>45933+IMPERATRIZ (MA) X SÃO LUIS (MA)</v>
      </c>
      <c r="H1096" s="125">
        <v>45933</v>
      </c>
      <c r="I1096" s="1" t="s">
        <v>15</v>
      </c>
      <c r="J1096" s="1">
        <v>18016</v>
      </c>
      <c r="K1096" s="126">
        <v>0.77083333333333337</v>
      </c>
      <c r="L1096" s="126">
        <v>0.8125</v>
      </c>
      <c r="M1096" s="1" t="s">
        <v>16</v>
      </c>
      <c r="N1096" s="1" t="s">
        <v>42</v>
      </c>
      <c r="O1096" s="1" t="s">
        <v>211</v>
      </c>
      <c r="P1096" s="1" t="s">
        <v>80</v>
      </c>
      <c r="Q1096" s="1" t="s">
        <v>47</v>
      </c>
    </row>
    <row r="1097" spans="3:17" x14ac:dyDescent="0.25">
      <c r="C1097" s="1" t="str">
        <f>_xlfn.CONCAT(tabE.Flux[[#This Row],[DATA]],"+",tabE.Flux[[#This Row],[MOTORISTA + MATRÍCULA A]])</f>
        <v>45933+ANDSON WAGNER NASCIMENTO SOUZA - 2902</v>
      </c>
      <c r="D1097" s="1" t="str">
        <f>_xlfn.CONCAT(tabE.Flux[[#This Row],[DATA]],"+",tabE.Flux[[#This Row],[MOTORISTA + MATRÍCULA B]])</f>
        <v>45933+ALTEMAR DO NASCIMENTO LIMA - 6225</v>
      </c>
      <c r="E1097" s="1" t="str">
        <f>_xlfn.CONCAT(tabE.Flux[[#This Row],[DATA]],"+",tabE.Flux[[#This Row],[MOTORISTA + MATRÍCULA A]],"+",tabE.Flux[[#This Row],[LINHA]])</f>
        <v>45933+ANDSON WAGNER NASCIMENTO SOUZA - 2902+GOIANIA (GO) X SAO LUIS (MA)</v>
      </c>
      <c r="F1097" s="1" t="str">
        <f>_xlfn.CONCAT(tabE.Flux[[#This Row],[DATA]],"+",tabE.Flux[[#This Row],[MOTORISTA + MATRÍCULA B]],"+",tabE.Flux[[#This Row],[LINHA]])</f>
        <v>45933+ALTEMAR DO NASCIMENTO LIMA - 6225+GOIANIA (GO) X SAO LUIS (MA)</v>
      </c>
      <c r="G1097" s="1" t="str">
        <f>_xlfn.CONCAT(tabE.Flux[[#This Row],[DATA]],"+",tabE.Flux[[#This Row],[LINHA]])</f>
        <v>45933+GOIANIA (GO) X SAO LUIS (MA)</v>
      </c>
      <c r="H1097" s="125">
        <v>45933</v>
      </c>
      <c r="I1097" s="1" t="s">
        <v>15</v>
      </c>
      <c r="J1097" s="1">
        <v>24012</v>
      </c>
      <c r="K1097" s="126">
        <v>0.8125</v>
      </c>
      <c r="L1097" s="126">
        <v>0.84375</v>
      </c>
      <c r="M1097" s="1" t="s">
        <v>16</v>
      </c>
      <c r="N1097" s="1" t="s">
        <v>42</v>
      </c>
      <c r="O1097" s="1" t="s">
        <v>232</v>
      </c>
      <c r="P1097" s="1" t="s">
        <v>57</v>
      </c>
      <c r="Q1097" s="1" t="s">
        <v>23</v>
      </c>
    </row>
    <row r="1098" spans="3:17" x14ac:dyDescent="0.25">
      <c r="C1098" s="1" t="str">
        <f>_xlfn.CONCAT(tabE.Flux[[#This Row],[DATA]],"+",tabE.Flux[[#This Row],[MOTORISTA + MATRÍCULA A]])</f>
        <v>45933+ANTONIO MARQUES NETO DOS SANTOS - 1738</v>
      </c>
      <c r="D1098" s="1" t="str">
        <f>_xlfn.CONCAT(tabE.Flux[[#This Row],[DATA]],"+",tabE.Flux[[#This Row],[MOTORISTA + MATRÍCULA B]])</f>
        <v>45933+FRANCISCO DAS CHAGAS DOS SANTOS ANGELO - 5299</v>
      </c>
      <c r="E1098" s="1" t="str">
        <f>_xlfn.CONCAT(tabE.Flux[[#This Row],[DATA]],"+",tabE.Flux[[#This Row],[MOTORISTA + MATRÍCULA A]],"+",tabE.Flux[[#This Row],[LINHA]])</f>
        <v>45933+ANTONIO MARQUES NETO DOS SANTOS - 1738+GOIANIA (GO) X TERESINA (PI) VIA STI</v>
      </c>
      <c r="F1098" s="1" t="str">
        <f>_xlfn.CONCAT(tabE.Flux[[#This Row],[DATA]],"+",tabE.Flux[[#This Row],[MOTORISTA + MATRÍCULA B]],"+",tabE.Flux[[#This Row],[LINHA]])</f>
        <v>45933+FRANCISCO DAS CHAGAS DOS SANTOS ANGELO - 5299+GOIANIA (GO) X TERESINA (PI) VIA STI</v>
      </c>
      <c r="G1098" s="1" t="str">
        <f>_xlfn.CONCAT(tabE.Flux[[#This Row],[DATA]],"+",tabE.Flux[[#This Row],[LINHA]])</f>
        <v>45933+GOIANIA (GO) X TERESINA (PI) VIA STI</v>
      </c>
      <c r="H1098" s="125">
        <v>45933</v>
      </c>
      <c r="I1098" s="1" t="s">
        <v>15</v>
      </c>
      <c r="J1098" s="1">
        <v>19017</v>
      </c>
      <c r="K1098" s="126">
        <v>0.77083333333333337</v>
      </c>
      <c r="L1098" s="126">
        <v>0.79861111111111116</v>
      </c>
      <c r="M1098" s="1" t="s">
        <v>16</v>
      </c>
      <c r="N1098" s="1" t="s">
        <v>29</v>
      </c>
      <c r="O1098" s="1" t="s">
        <v>73</v>
      </c>
      <c r="P1098" s="1" t="s">
        <v>198</v>
      </c>
      <c r="Q1098" s="1" t="s">
        <v>26</v>
      </c>
    </row>
    <row r="1099" spans="3:17" x14ac:dyDescent="0.25">
      <c r="C1099" s="1" t="str">
        <f>_xlfn.CONCAT(tabE.Flux[[#This Row],[DATA]],"+",tabE.Flux[[#This Row],[MOTORISTA + MATRÍCULA A]])</f>
        <v>45933+VILMAR JOSE CAMILO - 948</v>
      </c>
      <c r="D1099" s="1" t="str">
        <f>_xlfn.CONCAT(tabE.Flux[[#This Row],[DATA]],"+",tabE.Flux[[#This Row],[MOTORISTA + MATRÍCULA B]])</f>
        <v>45933+NELIO ALENCAR DOS SANTOS - 1759</v>
      </c>
      <c r="E1099" s="1" t="str">
        <f>_xlfn.CONCAT(tabE.Flux[[#This Row],[DATA]],"+",tabE.Flux[[#This Row],[MOTORISTA + MATRÍCULA A]],"+",tabE.Flux[[#This Row],[LINHA]])</f>
        <v>45933+VILMAR JOSE CAMILO - 948+GOIANIA (GO) X SAO LUIS (MA)</v>
      </c>
      <c r="F1099" s="1" t="str">
        <f>_xlfn.CONCAT(tabE.Flux[[#This Row],[DATA]],"+",tabE.Flux[[#This Row],[MOTORISTA + MATRÍCULA B]],"+",tabE.Flux[[#This Row],[LINHA]])</f>
        <v>45933+NELIO ALENCAR DOS SANTOS - 1759+GOIANIA (GO) X SAO LUIS (MA)</v>
      </c>
      <c r="G1099" s="1" t="str">
        <f>_xlfn.CONCAT(tabE.Flux[[#This Row],[DATA]],"+",tabE.Flux[[#This Row],[LINHA]])</f>
        <v>45933+GOIANIA (GO) X SAO LUIS (MA)</v>
      </c>
      <c r="H1099" s="125">
        <v>45933</v>
      </c>
      <c r="I1099" s="1" t="s">
        <v>15</v>
      </c>
      <c r="J1099" s="1">
        <v>20014</v>
      </c>
      <c r="K1099" s="126">
        <v>0.8125</v>
      </c>
      <c r="L1099" s="126">
        <v>0.84166666666666667</v>
      </c>
      <c r="M1099" s="1" t="s">
        <v>16</v>
      </c>
      <c r="N1099" s="1" t="s">
        <v>17</v>
      </c>
      <c r="O1099" s="1" t="s">
        <v>95</v>
      </c>
      <c r="P1099" s="1" t="s">
        <v>67</v>
      </c>
      <c r="Q1099" s="1" t="s">
        <v>23</v>
      </c>
    </row>
    <row r="1100" spans="3:17" x14ac:dyDescent="0.25">
      <c r="C1100" s="1" t="str">
        <f>_xlfn.CONCAT(tabE.Flux[[#This Row],[DATA]],"+",tabE.Flux[[#This Row],[MOTORISTA + MATRÍCULA A]])</f>
        <v>45933+VALDELY RIBEIRO CAETANO - 5743</v>
      </c>
      <c r="D1100" s="1" t="str">
        <f>_xlfn.CONCAT(tabE.Flux[[#This Row],[DATA]],"+",tabE.Flux[[#This Row],[MOTORISTA + MATRÍCULA B]])</f>
        <v>45933+CORESTINO RODRIGUES CALDEIRA FILHO - 6035</v>
      </c>
      <c r="E1100" s="1" t="str">
        <f>_xlfn.CONCAT(tabE.Flux[[#This Row],[DATA]],"+",tabE.Flux[[#This Row],[MOTORISTA + MATRÍCULA A]],"+",tabE.Flux[[#This Row],[LINHA]])</f>
        <v>45933+VALDELY RIBEIRO CAETANO - 5743+FORTALEZA (CE) X SINOP (MT)</v>
      </c>
      <c r="F1100" s="1" t="str">
        <f>_xlfn.CONCAT(tabE.Flux[[#This Row],[DATA]],"+",tabE.Flux[[#This Row],[MOTORISTA + MATRÍCULA B]],"+",tabE.Flux[[#This Row],[LINHA]])</f>
        <v>45933+CORESTINO RODRIGUES CALDEIRA FILHO - 6035+FORTALEZA (CE) X SINOP (MT)</v>
      </c>
      <c r="G1100" s="1" t="str">
        <f>_xlfn.CONCAT(tabE.Flux[[#This Row],[DATA]],"+",tabE.Flux[[#This Row],[LINHA]])</f>
        <v>45933+FORTALEZA (CE) X SINOP (MT)</v>
      </c>
      <c r="H1100" s="125">
        <v>45933</v>
      </c>
      <c r="I1100" s="1" t="s">
        <v>15</v>
      </c>
      <c r="J1100" s="1">
        <v>20013</v>
      </c>
      <c r="K1100" s="126">
        <v>0.8125</v>
      </c>
      <c r="L1100" s="126">
        <v>0.85416666666666663</v>
      </c>
      <c r="M1100" s="1" t="s">
        <v>16</v>
      </c>
      <c r="N1100" s="1" t="s">
        <v>17</v>
      </c>
      <c r="O1100" s="1" t="s">
        <v>98</v>
      </c>
      <c r="P1100" s="1" t="s">
        <v>99</v>
      </c>
      <c r="Q1100" s="1" t="s">
        <v>32</v>
      </c>
    </row>
    <row r="1101" spans="3:17" x14ac:dyDescent="0.25">
      <c r="C1101" s="1" t="str">
        <f>_xlfn.CONCAT(tabE.Flux[[#This Row],[DATA]],"+",tabE.Flux[[#This Row],[MOTORISTA + MATRÍCULA A]])</f>
        <v>45933+LUIZ CARLOS DE ARAUJO - 1960</v>
      </c>
      <c r="D1101" s="1" t="str">
        <f>_xlfn.CONCAT(tabE.Flux[[#This Row],[DATA]],"+",tabE.Flux[[#This Row],[MOTORISTA + MATRÍCULA B]])</f>
        <v>45933+LUIZ CARLOS GOMES DA SILVA - 1961</v>
      </c>
      <c r="E1101" s="1" t="str">
        <f>_xlfn.CONCAT(tabE.Flux[[#This Row],[DATA]],"+",tabE.Flux[[#This Row],[MOTORISTA + MATRÍCULA A]],"+",tabE.Flux[[#This Row],[LINHA]])</f>
        <v>45933+LUIZ CARLOS DE ARAUJO - 1960+GOIANIA (GO) X BELEM (PA)</v>
      </c>
      <c r="F1101" s="1" t="str">
        <f>_xlfn.CONCAT(tabE.Flux[[#This Row],[DATA]],"+",tabE.Flux[[#This Row],[MOTORISTA + MATRÍCULA B]],"+",tabE.Flux[[#This Row],[LINHA]])</f>
        <v>45933+LUIZ CARLOS GOMES DA SILVA - 1961+GOIANIA (GO) X BELEM (PA)</v>
      </c>
      <c r="G1101" s="1" t="str">
        <f>_xlfn.CONCAT(tabE.Flux[[#This Row],[DATA]],"+",tabE.Flux[[#This Row],[LINHA]])</f>
        <v>45933+GOIANIA (GO) X BELEM (PA)</v>
      </c>
      <c r="H1101" s="125">
        <v>45933</v>
      </c>
      <c r="I1101" s="1" t="s">
        <v>15</v>
      </c>
      <c r="J1101" s="1">
        <v>19021</v>
      </c>
      <c r="K1101" s="126">
        <v>0.84722222222222221</v>
      </c>
      <c r="L1101" s="126">
        <v>0.87847222222222221</v>
      </c>
      <c r="M1101" s="1" t="s">
        <v>16</v>
      </c>
      <c r="N1101" s="1" t="s">
        <v>17</v>
      </c>
      <c r="O1101" s="1" t="s">
        <v>24</v>
      </c>
      <c r="P1101" s="1" t="s">
        <v>25</v>
      </c>
      <c r="Q1101" s="1" t="s">
        <v>20</v>
      </c>
    </row>
    <row r="1102" spans="3:17" x14ac:dyDescent="0.25">
      <c r="C1102" s="1" t="str">
        <f>_xlfn.CONCAT(tabE.Flux[[#This Row],[DATA]],"+",tabE.Flux[[#This Row],[MOTORISTA + MATRÍCULA A]])</f>
        <v>+</v>
      </c>
      <c r="D1102" s="1" t="str">
        <f>_xlfn.CONCAT(tabE.Flux[[#This Row],[DATA]],"+",tabE.Flux[[#This Row],[MOTORISTA + MATRÍCULA B]])</f>
        <v>+</v>
      </c>
      <c r="E1102" s="1" t="str">
        <f>_xlfn.CONCAT(tabE.Flux[[#This Row],[DATA]],"+",tabE.Flux[[#This Row],[MOTORISTA + MATRÍCULA A]],"+",tabE.Flux[[#This Row],[LINHA]])</f>
        <v>++</v>
      </c>
      <c r="F1102" s="1" t="str">
        <f>_xlfn.CONCAT(tabE.Flux[[#This Row],[DATA]],"+",tabE.Flux[[#This Row],[MOTORISTA + MATRÍCULA B]],"+",tabE.Flux[[#This Row],[LINHA]])</f>
        <v>++</v>
      </c>
      <c r="G1102" s="1" t="str">
        <f>_xlfn.CONCAT(tabE.Flux[[#This Row],[DATA]],"+",tabE.Flux[[#This Row],[LINHA]])</f>
        <v>+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</row>
    <row r="1103" spans="3:17" x14ac:dyDescent="0.25">
      <c r="C1103" s="1" t="str">
        <f>_xlfn.CONCAT(tabE.Flux[[#This Row],[DATA]],"+",tabE.Flux[[#This Row],[MOTORISTA + MATRÍCULA A]])</f>
        <v>45934+GILMAR RODRIGUES DE LIMA - 5819</v>
      </c>
      <c r="D1103" s="1" t="str">
        <f>_xlfn.CONCAT(tabE.Flux[[#This Row],[DATA]],"+",tabE.Flux[[#This Row],[MOTORISTA + MATRÍCULA B]])</f>
        <v>45934+LUIZMAR FERREIRA - 6011</v>
      </c>
      <c r="E1103" s="1" t="str">
        <f>_xlfn.CONCAT(tabE.Flux[[#This Row],[DATA]],"+",tabE.Flux[[#This Row],[MOTORISTA + MATRÍCULA A]],"+",tabE.Flux[[#This Row],[LINHA]])</f>
        <v>45934+GILMAR RODRIGUES DE LIMA - 5819+GOIANIA (GO) X BELEM (PA)</v>
      </c>
      <c r="F1103" s="1" t="str">
        <f>_xlfn.CONCAT(tabE.Flux[[#This Row],[DATA]],"+",tabE.Flux[[#This Row],[MOTORISTA + MATRÍCULA B]],"+",tabE.Flux[[#This Row],[LINHA]])</f>
        <v>45934+LUIZMAR FERREIRA - 6011+GOIANIA (GO) X BELEM (PA)</v>
      </c>
      <c r="G1103" s="1" t="str">
        <f>_xlfn.CONCAT(tabE.Flux[[#This Row],[DATA]],"+",tabE.Flux[[#This Row],[LINHA]])</f>
        <v>45934+GOIANIA (GO) X BELEM (PA)</v>
      </c>
      <c r="H1103" s="125">
        <v>45934</v>
      </c>
      <c r="I1103" s="1" t="s">
        <v>15</v>
      </c>
      <c r="J1103" s="1">
        <v>24003</v>
      </c>
      <c r="K1103" s="126">
        <v>0.25486111111111109</v>
      </c>
      <c r="L1103" s="126">
        <v>0.3</v>
      </c>
      <c r="M1103" s="1" t="s">
        <v>16</v>
      </c>
      <c r="N1103" s="1" t="s">
        <v>17</v>
      </c>
      <c r="O1103" s="1" t="s">
        <v>193</v>
      </c>
      <c r="P1103" s="1" t="s">
        <v>229</v>
      </c>
      <c r="Q1103" s="1" t="s">
        <v>20</v>
      </c>
    </row>
    <row r="1104" spans="3:17" x14ac:dyDescent="0.25">
      <c r="C1104" s="1" t="str">
        <f>_xlfn.CONCAT(tabE.Flux[[#This Row],[DATA]],"+",tabE.Flux[[#This Row],[MOTORISTA + MATRÍCULA A]])</f>
        <v>45934+GILDEVAN DE ALMEIDA AGOSTINHO - 1924</v>
      </c>
      <c r="D1104" s="1" t="str">
        <f>_xlfn.CONCAT(tabE.Flux[[#This Row],[DATA]],"+",tabE.Flux[[#This Row],[MOTORISTA + MATRÍCULA B]])</f>
        <v>45934+EUGENIO PEREIRA DOS SANTOS - 1197</v>
      </c>
      <c r="E1104" s="1" t="str">
        <f>_xlfn.CONCAT(tabE.Flux[[#This Row],[DATA]],"+",tabE.Flux[[#This Row],[MOTORISTA + MATRÍCULA A]],"+",tabE.Flux[[#This Row],[LINHA]])</f>
        <v>45934+GILDEVAN DE ALMEIDA AGOSTINHO - 1924+GOIANIA (GO) X SAO LUIS (MA)</v>
      </c>
      <c r="F1104" s="1" t="str">
        <f>_xlfn.CONCAT(tabE.Flux[[#This Row],[DATA]],"+",tabE.Flux[[#This Row],[MOTORISTA + MATRÍCULA B]],"+",tabE.Flux[[#This Row],[LINHA]])</f>
        <v>45934+EUGENIO PEREIRA DOS SANTOS - 1197+GOIANIA (GO) X SAO LUIS (MA)</v>
      </c>
      <c r="G1104" s="1" t="str">
        <f>_xlfn.CONCAT(tabE.Flux[[#This Row],[DATA]],"+",tabE.Flux[[#This Row],[LINHA]])</f>
        <v>45934+GOIANIA (GO) X SAO LUIS (MA)</v>
      </c>
      <c r="H1104" s="125">
        <v>45934</v>
      </c>
      <c r="I1104" s="1" t="s">
        <v>15</v>
      </c>
      <c r="J1104" s="1">
        <v>24001</v>
      </c>
      <c r="K1104" s="126">
        <v>0.32291666666666669</v>
      </c>
      <c r="L1104" s="126">
        <v>0.33333333333333331</v>
      </c>
      <c r="M1104" s="1" t="s">
        <v>16</v>
      </c>
      <c r="N1104" s="1" t="s">
        <v>17</v>
      </c>
      <c r="O1104" s="1" t="s">
        <v>236</v>
      </c>
      <c r="P1104" s="1" t="s">
        <v>264</v>
      </c>
      <c r="Q1104" s="1" t="s">
        <v>23</v>
      </c>
    </row>
    <row r="1105" spans="3:17" x14ac:dyDescent="0.25">
      <c r="C1105" s="1" t="str">
        <f>_xlfn.CONCAT(tabE.Flux[[#This Row],[DATA]],"+",tabE.Flux[[#This Row],[MOTORISTA + MATRÍCULA A]])</f>
        <v>45934+RAINERIO COSTA MENDES - 5850</v>
      </c>
      <c r="D1105" s="1" t="str">
        <f>_xlfn.CONCAT(tabE.Flux[[#This Row],[DATA]],"+",tabE.Flux[[#This Row],[MOTORISTA + MATRÍCULA B]])</f>
        <v>45934+GILVAN DE SOUSA FRANCA - 5834</v>
      </c>
      <c r="E1105" s="1" t="str">
        <f>_xlfn.CONCAT(tabE.Flux[[#This Row],[DATA]],"+",tabE.Flux[[#This Row],[MOTORISTA + MATRÍCULA A]],"+",tabE.Flux[[#This Row],[LINHA]])</f>
        <v>45934+RAINERIO COSTA MENDES - 5850+GOIANIA (GO) X TERESINA (PI) VIA STI</v>
      </c>
      <c r="F1105" s="1" t="str">
        <f>_xlfn.CONCAT(tabE.Flux[[#This Row],[DATA]],"+",tabE.Flux[[#This Row],[MOTORISTA + MATRÍCULA B]],"+",tabE.Flux[[#This Row],[LINHA]])</f>
        <v>45934+GILVAN DE SOUSA FRANCA - 5834+GOIANIA (GO) X TERESINA (PI) VIA STI</v>
      </c>
      <c r="G1105" s="1" t="str">
        <f>_xlfn.CONCAT(tabE.Flux[[#This Row],[DATA]],"+",tabE.Flux[[#This Row],[LINHA]])</f>
        <v>45934+GOIANIA (GO) X TERESINA (PI) VIA STI</v>
      </c>
      <c r="H1105" s="125">
        <v>45934</v>
      </c>
      <c r="I1105" s="1" t="s">
        <v>15</v>
      </c>
      <c r="J1105" s="1">
        <v>19005</v>
      </c>
      <c r="K1105" s="126">
        <v>0.3888888888888889</v>
      </c>
      <c r="L1105" s="126">
        <v>0.39583333333333331</v>
      </c>
      <c r="M1105" s="1" t="s">
        <v>16</v>
      </c>
      <c r="N1105" s="1" t="s">
        <v>17</v>
      </c>
      <c r="O1105" s="1" t="s">
        <v>108</v>
      </c>
      <c r="P1105" s="1" t="s">
        <v>35</v>
      </c>
      <c r="Q1105" s="1" t="s">
        <v>26</v>
      </c>
    </row>
    <row r="1106" spans="3:17" x14ac:dyDescent="0.25">
      <c r="C1106" s="1" t="str">
        <f>_xlfn.CONCAT(tabE.Flux[[#This Row],[DATA]],"+",tabE.Flux[[#This Row],[MOTORISTA + MATRÍCULA A]])</f>
        <v>45934+CANCELADO</v>
      </c>
      <c r="D1106" s="1" t="str">
        <f>_xlfn.CONCAT(tabE.Flux[[#This Row],[DATA]],"+",tabE.Flux[[#This Row],[MOTORISTA + MATRÍCULA B]])</f>
        <v>45934+CANCELADO</v>
      </c>
      <c r="E1106" s="1" t="str">
        <f>_xlfn.CONCAT(tabE.Flux[[#This Row],[DATA]],"+",tabE.Flux[[#This Row],[MOTORISTA + MATRÍCULA A]],"+",tabE.Flux[[#This Row],[LINHA]])</f>
        <v>45934+CANCELADO+</v>
      </c>
      <c r="F1106" s="1" t="str">
        <f>_xlfn.CONCAT(tabE.Flux[[#This Row],[DATA]],"+",tabE.Flux[[#This Row],[MOTORISTA + MATRÍCULA B]],"+",tabE.Flux[[#This Row],[LINHA]])</f>
        <v>45934+CANCELADO+</v>
      </c>
      <c r="G1106" s="1" t="str">
        <f>_xlfn.CONCAT(tabE.Flux[[#This Row],[DATA]],"+",tabE.Flux[[#This Row],[LINHA]])</f>
        <v>45934+</v>
      </c>
      <c r="H1106" s="125">
        <v>45934</v>
      </c>
      <c r="I1106" s="1" t="s">
        <v>15</v>
      </c>
      <c r="J1106" s="1" t="s">
        <v>27</v>
      </c>
      <c r="K1106" s="126">
        <v>0.375</v>
      </c>
      <c r="L1106" s="126">
        <v>0.41666666666666669</v>
      </c>
      <c r="M1106" s="1" t="s">
        <v>16</v>
      </c>
      <c r="N1106" s="1" t="s">
        <v>28</v>
      </c>
      <c r="O1106" s="1" t="s">
        <v>27</v>
      </c>
      <c r="P1106" s="1" t="s">
        <v>27</v>
      </c>
      <c r="Q1106" s="1"/>
    </row>
    <row r="1107" spans="3:17" x14ac:dyDescent="0.25">
      <c r="C1107" s="1" t="str">
        <f>_xlfn.CONCAT(tabE.Flux[[#This Row],[DATA]],"+",tabE.Flux[[#This Row],[MOTORISTA + MATRÍCULA A]])</f>
        <v>45934+JAME DOS SANTOS MOURA - 5332</v>
      </c>
      <c r="D1107" s="1" t="str">
        <f>_xlfn.CONCAT(tabE.Flux[[#This Row],[DATA]],"+",tabE.Flux[[#This Row],[MOTORISTA + MATRÍCULA B]])</f>
        <v>45934+ANTONIO  SOBRINHO DE OLIVEIRA - 5646</v>
      </c>
      <c r="E1107" s="1" t="str">
        <f>_xlfn.CONCAT(tabE.Flux[[#This Row],[DATA]],"+",tabE.Flux[[#This Row],[MOTORISTA + MATRÍCULA A]],"+",tabE.Flux[[#This Row],[LINHA]])</f>
        <v>45934+JAME DOS SANTOS MOURA - 5332+FORTALEZA (CE) X SINOP (MT)</v>
      </c>
      <c r="F1107" s="1" t="str">
        <f>_xlfn.CONCAT(tabE.Flux[[#This Row],[DATA]],"+",tabE.Flux[[#This Row],[MOTORISTA + MATRÍCULA B]],"+",tabE.Flux[[#This Row],[LINHA]])</f>
        <v>45934+ANTONIO  SOBRINHO DE OLIVEIRA - 5646+FORTALEZA (CE) X SINOP (MT)</v>
      </c>
      <c r="G1107" s="1" t="str">
        <f>_xlfn.CONCAT(tabE.Flux[[#This Row],[DATA]],"+",tabE.Flux[[#This Row],[LINHA]])</f>
        <v>45934+FORTALEZA (CE) X SINOP (MT)</v>
      </c>
      <c r="H1107" s="125">
        <v>45934</v>
      </c>
      <c r="I1107" s="1" t="s">
        <v>15</v>
      </c>
      <c r="J1107" s="1">
        <v>19008</v>
      </c>
      <c r="K1107" s="126">
        <v>0.3888888888888889</v>
      </c>
      <c r="L1107" s="126">
        <v>0.37708333333333333</v>
      </c>
      <c r="M1107" s="1" t="s">
        <v>16</v>
      </c>
      <c r="N1107" s="1" t="s">
        <v>29</v>
      </c>
      <c r="O1107" s="1" t="s">
        <v>103</v>
      </c>
      <c r="P1107" s="1" t="s">
        <v>74</v>
      </c>
      <c r="Q1107" s="1" t="s">
        <v>32</v>
      </c>
    </row>
    <row r="1108" spans="3:17" x14ac:dyDescent="0.25">
      <c r="C1108" s="1" t="str">
        <f>_xlfn.CONCAT(tabE.Flux[[#This Row],[DATA]],"+",tabE.Flux[[#This Row],[MOTORISTA + MATRÍCULA A]])</f>
        <v>45934+WESLEY SILVA PAIVA - 5638</v>
      </c>
      <c r="D1108" s="1" t="str">
        <f>_xlfn.CONCAT(tabE.Flux[[#This Row],[DATA]],"+",tabE.Flux[[#This Row],[MOTORISTA + MATRÍCULA B]])</f>
        <v>45934+NILSON CORTEZ MIRANDA - 5636</v>
      </c>
      <c r="E1108" s="1" t="str">
        <f>_xlfn.CONCAT(tabE.Flux[[#This Row],[DATA]],"+",tabE.Flux[[#This Row],[MOTORISTA + MATRÍCULA A]],"+",tabE.Flux[[#This Row],[LINHA]])</f>
        <v>45934+WESLEY SILVA PAIVA - 5638+GOIANIA (GO) X BELEM (PA)</v>
      </c>
      <c r="F1108" s="1" t="str">
        <f>_xlfn.CONCAT(tabE.Flux[[#This Row],[DATA]],"+",tabE.Flux[[#This Row],[MOTORISTA + MATRÍCULA B]],"+",tabE.Flux[[#This Row],[LINHA]])</f>
        <v>45934+NILSON CORTEZ MIRANDA - 5636+GOIANIA (GO) X BELEM (PA)</v>
      </c>
      <c r="G1108" s="1" t="str">
        <f>_xlfn.CONCAT(tabE.Flux[[#This Row],[DATA]],"+",tabE.Flux[[#This Row],[LINHA]])</f>
        <v>45934+GOIANIA (GO) X BELEM (PA)</v>
      </c>
      <c r="H1108" s="125">
        <v>45934</v>
      </c>
      <c r="I1108" s="1" t="s">
        <v>15</v>
      </c>
      <c r="J1108" s="1">
        <v>19007</v>
      </c>
      <c r="K1108" s="126">
        <v>0.38958333333333334</v>
      </c>
      <c r="L1108" s="126">
        <v>0.38541666666666669</v>
      </c>
      <c r="M1108" s="1" t="s">
        <v>16</v>
      </c>
      <c r="N1108" s="1" t="s">
        <v>33</v>
      </c>
      <c r="O1108" s="1" t="s">
        <v>112</v>
      </c>
      <c r="P1108" s="1" t="s">
        <v>75</v>
      </c>
      <c r="Q1108" s="1" t="s">
        <v>20</v>
      </c>
    </row>
    <row r="1109" spans="3:17" x14ac:dyDescent="0.25">
      <c r="C1109" s="1" t="str">
        <f>_xlfn.CONCAT(tabE.Flux[[#This Row],[DATA]],"+",tabE.Flux[[#This Row],[MOTORISTA + MATRÍCULA A]])</f>
        <v>45934+JWEBISON DE BRITO SOUZA - 2999</v>
      </c>
      <c r="D1109" s="1" t="str">
        <f>_xlfn.CONCAT(tabE.Flux[[#This Row],[DATA]],"+",tabE.Flux[[#This Row],[MOTORISTA + MATRÍCULA B]])</f>
        <v>45934+JOSE CLAUDIMAR  CUNHA - 5652</v>
      </c>
      <c r="E1109" s="1" t="str">
        <f>_xlfn.CONCAT(tabE.Flux[[#This Row],[DATA]],"+",tabE.Flux[[#This Row],[MOTORISTA + MATRÍCULA A]],"+",tabE.Flux[[#This Row],[LINHA]])</f>
        <v>45934+JWEBISON DE BRITO SOUZA - 2999+GOIANIA (GO) X TERESINA (PI) VIA BC</v>
      </c>
      <c r="F1109" s="1" t="str">
        <f>_xlfn.CONCAT(tabE.Flux[[#This Row],[DATA]],"+",tabE.Flux[[#This Row],[MOTORISTA + MATRÍCULA B]],"+",tabE.Flux[[#This Row],[LINHA]])</f>
        <v>45934+JOSE CLAUDIMAR  CUNHA - 5652+GOIANIA (GO) X TERESINA (PI) VIA BC</v>
      </c>
      <c r="G1109" s="1" t="str">
        <f>_xlfn.CONCAT(tabE.Flux[[#This Row],[DATA]],"+",tabE.Flux[[#This Row],[LINHA]])</f>
        <v>45934+GOIANIA (GO) X TERESINA (PI) VIA BC</v>
      </c>
      <c r="H1109" s="125">
        <v>45934</v>
      </c>
      <c r="I1109" s="1" t="s">
        <v>15</v>
      </c>
      <c r="J1109" s="1">
        <v>25011</v>
      </c>
      <c r="K1109" s="126">
        <v>0.375</v>
      </c>
      <c r="L1109" s="126">
        <v>0.39930555555555558</v>
      </c>
      <c r="M1109" s="1" t="s">
        <v>36</v>
      </c>
      <c r="N1109" s="1" t="s">
        <v>29</v>
      </c>
      <c r="O1109" s="1" t="s">
        <v>77</v>
      </c>
      <c r="P1109" s="1" t="s">
        <v>140</v>
      </c>
      <c r="Q1109" s="1" t="s">
        <v>39</v>
      </c>
    </row>
    <row r="1110" spans="3:17" x14ac:dyDescent="0.25">
      <c r="C1110" s="1" t="str">
        <f>_xlfn.CONCAT(tabE.Flux[[#This Row],[DATA]],"+",tabE.Flux[[#This Row],[MOTORISTA + MATRÍCULA A]])</f>
        <v>45934+BRUNO MATOS DA ROCHA - 6013</v>
      </c>
      <c r="D1110" s="1" t="str">
        <f>_xlfn.CONCAT(tabE.Flux[[#This Row],[DATA]],"+",tabE.Flux[[#This Row],[MOTORISTA + MATRÍCULA B]])</f>
        <v>45934+ANTONIO FRANCINALDO DE OLIVEIRA MARQUES - 5018</v>
      </c>
      <c r="E1110" s="1" t="str">
        <f>_xlfn.CONCAT(tabE.Flux[[#This Row],[DATA]],"+",tabE.Flux[[#This Row],[MOTORISTA + MATRÍCULA A]],"+",tabE.Flux[[#This Row],[LINHA]])</f>
        <v>45934+BRUNO MATOS DA ROCHA - 6013+GOIANIA (GO) X BELEM (PA)</v>
      </c>
      <c r="F1110" s="1" t="str">
        <f>_xlfn.CONCAT(tabE.Flux[[#This Row],[DATA]],"+",tabE.Flux[[#This Row],[MOTORISTA + MATRÍCULA B]],"+",tabE.Flux[[#This Row],[LINHA]])</f>
        <v>45934+ANTONIO FRANCINALDO DE OLIVEIRA MARQUES - 5018+GOIANIA (GO) X BELEM (PA)</v>
      </c>
      <c r="G1110" s="1" t="str">
        <f>_xlfn.CONCAT(tabE.Flux[[#This Row],[DATA]],"+",tabE.Flux[[#This Row],[LINHA]])</f>
        <v>45934+GOIANIA (GO) X BELEM (PA)</v>
      </c>
      <c r="H1110" s="125">
        <v>45934</v>
      </c>
      <c r="I1110" s="1" t="s">
        <v>15</v>
      </c>
      <c r="J1110" s="1">
        <v>19025</v>
      </c>
      <c r="K1110" s="126">
        <v>0.375</v>
      </c>
      <c r="L1110" s="126">
        <v>0.41666666666666669</v>
      </c>
      <c r="M1110" s="1" t="s">
        <v>33</v>
      </c>
      <c r="N1110" s="1" t="s">
        <v>16</v>
      </c>
      <c r="O1110" s="1" t="s">
        <v>147</v>
      </c>
      <c r="P1110" s="1" t="s">
        <v>233</v>
      </c>
      <c r="Q1110" s="1" t="s">
        <v>20</v>
      </c>
    </row>
    <row r="1111" spans="3:17" x14ac:dyDescent="0.25">
      <c r="C1111" s="1" t="str">
        <f>_xlfn.CONCAT(tabE.Flux[[#This Row],[DATA]],"+",tabE.Flux[[#This Row],[MOTORISTA + MATRÍCULA A]])</f>
        <v>45934+EDIVALDO DE ARAUJO - 6217</v>
      </c>
      <c r="D1111" s="1" t="str">
        <f>_xlfn.CONCAT(tabE.Flux[[#This Row],[DATA]],"+",tabE.Flux[[#This Row],[MOTORISTA + MATRÍCULA B]])</f>
        <v>45934+ESIEL COSTA RODRIGUES - 1749</v>
      </c>
      <c r="E1111" s="1" t="str">
        <f>_xlfn.CONCAT(tabE.Flux[[#This Row],[DATA]],"+",tabE.Flux[[#This Row],[MOTORISTA + MATRÍCULA A]],"+",tabE.Flux[[#This Row],[LINHA]])</f>
        <v>45934+EDIVALDO DE ARAUJO - 6217+GOIANIA (GO) X SAO LUIS (MA)</v>
      </c>
      <c r="F1111" s="1" t="str">
        <f>_xlfn.CONCAT(tabE.Flux[[#This Row],[DATA]],"+",tabE.Flux[[#This Row],[MOTORISTA + MATRÍCULA B]],"+",tabE.Flux[[#This Row],[LINHA]])</f>
        <v>45934+ESIEL COSTA RODRIGUES - 1749+GOIANIA (GO) X SAO LUIS (MA)</v>
      </c>
      <c r="G1111" s="1" t="str">
        <f>_xlfn.CONCAT(tabE.Flux[[#This Row],[DATA]],"+",tabE.Flux[[#This Row],[LINHA]])</f>
        <v>45934+GOIANIA (GO) X SAO LUIS (MA)</v>
      </c>
      <c r="H1111" s="125">
        <v>45934</v>
      </c>
      <c r="I1111" s="1" t="s">
        <v>15</v>
      </c>
      <c r="J1111" s="1">
        <v>19016</v>
      </c>
      <c r="K1111" s="126">
        <v>0.25</v>
      </c>
      <c r="L1111" s="126">
        <v>0.29166666666666669</v>
      </c>
      <c r="M1111" s="1" t="s">
        <v>42</v>
      </c>
      <c r="N1111" s="1" t="s">
        <v>16</v>
      </c>
      <c r="O1111" s="1" t="s">
        <v>55</v>
      </c>
      <c r="P1111" s="1" t="s">
        <v>46</v>
      </c>
      <c r="Q1111" s="1" t="s">
        <v>23</v>
      </c>
    </row>
    <row r="1112" spans="3:17" x14ac:dyDescent="0.25">
      <c r="C1112" s="1" t="str">
        <f>_xlfn.CONCAT(tabE.Flux[[#This Row],[DATA]],"+",tabE.Flux[[#This Row],[MOTORISTA + MATRÍCULA A]])</f>
        <v>45934+RAIMUNDO COSTA SILVA - 6226</v>
      </c>
      <c r="D1112" s="1" t="str">
        <f>_xlfn.CONCAT(tabE.Flux[[#This Row],[DATA]],"+",tabE.Flux[[#This Row],[MOTORISTA + MATRÍCULA B]])</f>
        <v>45934+ANDSON WAGNER NASCIMENTO SOUZA - 2902</v>
      </c>
      <c r="E1112" s="1" t="str">
        <f>_xlfn.CONCAT(tabE.Flux[[#This Row],[DATA]],"+",tabE.Flux[[#This Row],[MOTORISTA + MATRÍCULA A]],"+",tabE.Flux[[#This Row],[LINHA]])</f>
        <v>45934+RAIMUNDO COSTA SILVA - 6226+GOIANIA (GO) X SAO LUIS (MA)</v>
      </c>
      <c r="F1112" s="1" t="str">
        <f>_xlfn.CONCAT(tabE.Flux[[#This Row],[DATA]],"+",tabE.Flux[[#This Row],[MOTORISTA + MATRÍCULA B]],"+",tabE.Flux[[#This Row],[LINHA]])</f>
        <v>45934+ANDSON WAGNER NASCIMENTO SOUZA - 2902+GOIANIA (GO) X SAO LUIS (MA)</v>
      </c>
      <c r="G1112" s="1" t="str">
        <f>_xlfn.CONCAT(tabE.Flux[[#This Row],[DATA]],"+",tabE.Flux[[#This Row],[LINHA]])</f>
        <v>45934+GOIANIA (GO) X SAO LUIS (MA)</v>
      </c>
      <c r="H1112" s="125">
        <v>45934</v>
      </c>
      <c r="I1112" s="1" t="s">
        <v>15</v>
      </c>
      <c r="J1112" s="1">
        <v>24012</v>
      </c>
      <c r="K1112" s="126">
        <v>0.75</v>
      </c>
      <c r="L1112" s="126">
        <v>0.79166666666666663</v>
      </c>
      <c r="M1112" s="1" t="s">
        <v>42</v>
      </c>
      <c r="N1112" s="1" t="s">
        <v>16</v>
      </c>
      <c r="O1112" s="1" t="s">
        <v>45</v>
      </c>
      <c r="P1112" s="1" t="s">
        <v>232</v>
      </c>
      <c r="Q1112" s="1" t="s">
        <v>23</v>
      </c>
    </row>
    <row r="1113" spans="3:17" x14ac:dyDescent="0.25">
      <c r="C1113" s="1" t="str">
        <f>_xlfn.CONCAT(tabE.Flux[[#This Row],[DATA]],"+",tabE.Flux[[#This Row],[MOTORISTA + MATRÍCULA A]])</f>
        <v>45934+CANCELADO</v>
      </c>
      <c r="D1113" s="1" t="str">
        <f>_xlfn.CONCAT(tabE.Flux[[#This Row],[DATA]],"+",tabE.Flux[[#This Row],[MOTORISTA + MATRÍCULA B]])</f>
        <v>45934+CANCELADO</v>
      </c>
      <c r="E1113" s="1" t="str">
        <f>_xlfn.CONCAT(tabE.Flux[[#This Row],[DATA]],"+",tabE.Flux[[#This Row],[MOTORISTA + MATRÍCULA A]],"+",tabE.Flux[[#This Row],[LINHA]])</f>
        <v>45934+CANCELADO+IMPERATRIZ (MA) X SÃO LUIS (MA)</v>
      </c>
      <c r="F1113" s="1" t="str">
        <f>_xlfn.CONCAT(tabE.Flux[[#This Row],[DATA]],"+",tabE.Flux[[#This Row],[MOTORISTA + MATRÍCULA B]],"+",tabE.Flux[[#This Row],[LINHA]])</f>
        <v>45934+CANCELADO+IMPERATRIZ (MA) X SÃO LUIS (MA)</v>
      </c>
      <c r="G1113" s="1" t="str">
        <f>_xlfn.CONCAT(tabE.Flux[[#This Row],[DATA]],"+",tabE.Flux[[#This Row],[LINHA]])</f>
        <v>45934+IMPERATRIZ (MA) X SÃO LUIS (MA)</v>
      </c>
      <c r="H1113" s="125">
        <v>45934</v>
      </c>
      <c r="I1113" s="1" t="s">
        <v>15</v>
      </c>
      <c r="J1113" s="1" t="s">
        <v>27</v>
      </c>
      <c r="K1113" s="126">
        <v>0.77083333333333337</v>
      </c>
      <c r="L1113" s="126">
        <v>0.79513888888888884</v>
      </c>
      <c r="M1113" s="1" t="s">
        <v>42</v>
      </c>
      <c r="N1113" s="1" t="s">
        <v>16</v>
      </c>
      <c r="O1113" s="1" t="s">
        <v>27</v>
      </c>
      <c r="P1113" s="1" t="s">
        <v>27</v>
      </c>
      <c r="Q1113" s="1" t="s">
        <v>47</v>
      </c>
    </row>
    <row r="1114" spans="3:17" x14ac:dyDescent="0.25">
      <c r="C1114" s="1" t="str">
        <f>_xlfn.CONCAT(tabE.Flux[[#This Row],[DATA]],"+",tabE.Flux[[#This Row],[MOTORISTA + MATRÍCULA A]])</f>
        <v>45934+WILLIAN DE SOUZA BANDEIRA - 2025</v>
      </c>
      <c r="D1114" s="1" t="str">
        <f>_xlfn.CONCAT(tabE.Flux[[#This Row],[DATA]],"+",tabE.Flux[[#This Row],[MOTORISTA + MATRÍCULA B]])</f>
        <v>45934+WILMAR JOSE DE SOUZA - 1763</v>
      </c>
      <c r="E1114" s="1" t="str">
        <f>_xlfn.CONCAT(tabE.Flux[[#This Row],[DATA]],"+",tabE.Flux[[#This Row],[MOTORISTA + MATRÍCULA A]],"+",tabE.Flux[[#This Row],[LINHA]])</f>
        <v>45934+WILLIAN DE SOUZA BANDEIRA - 2025+GOIANIA (GO) X TERESINA (PI) VIA BC</v>
      </c>
      <c r="F1114" s="1" t="str">
        <f>_xlfn.CONCAT(tabE.Flux[[#This Row],[DATA]],"+",tabE.Flux[[#This Row],[MOTORISTA + MATRÍCULA B]],"+",tabE.Flux[[#This Row],[LINHA]])</f>
        <v>45934+WILMAR JOSE DE SOUZA - 1763+GOIANIA (GO) X TERESINA (PI) VIA BC</v>
      </c>
      <c r="G1114" s="1" t="str">
        <f>_xlfn.CONCAT(tabE.Flux[[#This Row],[DATA]],"+",tabE.Flux[[#This Row],[LINHA]])</f>
        <v>45934+GOIANIA (GO) X TERESINA (PI) VIA BC</v>
      </c>
      <c r="H1114" s="125">
        <v>45934</v>
      </c>
      <c r="I1114" s="1" t="s">
        <v>15</v>
      </c>
      <c r="J1114" s="1">
        <v>25005</v>
      </c>
      <c r="K1114" s="126">
        <v>0.89583333333333337</v>
      </c>
      <c r="L1114" s="126">
        <v>0.91666666666666663</v>
      </c>
      <c r="M1114" s="1" t="s">
        <v>36</v>
      </c>
      <c r="N1114" s="1" t="s">
        <v>17</v>
      </c>
      <c r="O1114" s="1" t="s">
        <v>219</v>
      </c>
      <c r="P1114" s="1" t="s">
        <v>94</v>
      </c>
      <c r="Q1114" s="1" t="s">
        <v>39</v>
      </c>
    </row>
    <row r="1115" spans="3:17" x14ac:dyDescent="0.25">
      <c r="C1115" s="1" t="str">
        <f>_xlfn.CONCAT(tabE.Flux[[#This Row],[DATA]],"+",tabE.Flux[[#This Row],[MOTORISTA + MATRÍCULA A]])</f>
        <v>45934+ELIEZIO JOSE DOS SANTOS - 2645</v>
      </c>
      <c r="D1115" s="1" t="str">
        <f>_xlfn.CONCAT(tabE.Flux[[#This Row],[DATA]],"+",tabE.Flux[[#This Row],[MOTORISTA + MATRÍCULA B]])</f>
        <v>45934+RONNE RODRIGUES DE SOUSA - 5025</v>
      </c>
      <c r="E1115" s="1" t="str">
        <f>_xlfn.CONCAT(tabE.Flux[[#This Row],[DATA]],"+",tabE.Flux[[#This Row],[MOTORISTA + MATRÍCULA A]],"+",tabE.Flux[[#This Row],[LINHA]])</f>
        <v>45934+ELIEZIO JOSE DOS SANTOS - 2645+GOIANIA (GO) X BELEM (PA)</v>
      </c>
      <c r="F1115" s="1" t="str">
        <f>_xlfn.CONCAT(tabE.Flux[[#This Row],[DATA]],"+",tabE.Flux[[#This Row],[MOTORISTA + MATRÍCULA B]],"+",tabE.Flux[[#This Row],[LINHA]])</f>
        <v>45934+RONNE RODRIGUES DE SOUSA - 5025+GOIANIA (GO) X BELEM (PA)</v>
      </c>
      <c r="G1115" s="1" t="str">
        <f>_xlfn.CONCAT(tabE.Flux[[#This Row],[DATA]],"+",tabE.Flux[[#This Row],[LINHA]])</f>
        <v>45934+GOIANIA (GO) X BELEM (PA)</v>
      </c>
      <c r="H1115" s="125">
        <v>45934</v>
      </c>
      <c r="I1115" s="1" t="s">
        <v>15</v>
      </c>
      <c r="J1115" s="1">
        <v>25006</v>
      </c>
      <c r="K1115" s="126">
        <v>0.76041666666666663</v>
      </c>
      <c r="L1115" s="126">
        <v>0.77083333333333337</v>
      </c>
      <c r="M1115" s="1" t="s">
        <v>33</v>
      </c>
      <c r="N1115" s="1" t="s">
        <v>16</v>
      </c>
      <c r="O1115" s="1" t="s">
        <v>53</v>
      </c>
      <c r="P1115" s="1" t="s">
        <v>85</v>
      </c>
      <c r="Q1115" s="1" t="s">
        <v>20</v>
      </c>
    </row>
    <row r="1116" spans="3:17" x14ac:dyDescent="0.25">
      <c r="C1116" s="1" t="str">
        <f>_xlfn.CONCAT(tabE.Flux[[#This Row],[DATA]],"+",tabE.Flux[[#This Row],[MOTORISTA + MATRÍCULA A]])</f>
        <v>45934+MARCOS ATAIDE SILVA - 1352</v>
      </c>
      <c r="D1116" s="1" t="str">
        <f>_xlfn.CONCAT(tabE.Flux[[#This Row],[DATA]],"+",tabE.Flux[[#This Row],[MOTORISTA + MATRÍCULA B]])</f>
        <v>45934+MARCIO RODRIGUES DA COSTA - 5993</v>
      </c>
      <c r="E1116" s="1" t="str">
        <f>_xlfn.CONCAT(tabE.Flux[[#This Row],[DATA]],"+",tabE.Flux[[#This Row],[MOTORISTA + MATRÍCULA A]],"+",tabE.Flux[[#This Row],[LINHA]])</f>
        <v>45934+MARCOS ATAIDE SILVA - 1352+GOIANIA (GO) X BELEM (PA)</v>
      </c>
      <c r="F1116" s="1" t="str">
        <f>_xlfn.CONCAT(tabE.Flux[[#This Row],[DATA]],"+",tabE.Flux[[#This Row],[MOTORISTA + MATRÍCULA B]],"+",tabE.Flux[[#This Row],[LINHA]])</f>
        <v>45934+MARCIO RODRIGUES DA COSTA - 5993+GOIANIA (GO) X BELEM (PA)</v>
      </c>
      <c r="G1116" s="1" t="str">
        <f>_xlfn.CONCAT(tabE.Flux[[#This Row],[DATA]],"+",tabE.Flux[[#This Row],[LINHA]])</f>
        <v>45934+GOIANIA (GO) X BELEM (PA)</v>
      </c>
      <c r="H1116" s="125">
        <v>45934</v>
      </c>
      <c r="I1116" s="1" t="s">
        <v>15</v>
      </c>
      <c r="J1116" s="1">
        <v>24009</v>
      </c>
      <c r="K1116" s="126">
        <v>0.76041666666666663</v>
      </c>
      <c r="L1116" s="126">
        <v>0.82777777777777772</v>
      </c>
      <c r="M1116" s="1" t="s">
        <v>16</v>
      </c>
      <c r="N1116" s="1" t="s">
        <v>33</v>
      </c>
      <c r="O1116" s="1" t="s">
        <v>113</v>
      </c>
      <c r="P1116" s="1" t="s">
        <v>107</v>
      </c>
      <c r="Q1116" s="1" t="s">
        <v>20</v>
      </c>
    </row>
    <row r="1117" spans="3:17" x14ac:dyDescent="0.25">
      <c r="C1117" s="1" t="str">
        <f>_xlfn.CONCAT(tabE.Flux[[#This Row],[DATA]],"+",tabE.Flux[[#This Row],[MOTORISTA + MATRÍCULA A]])</f>
        <v>45934+FABIO MOREIRA DOS SANTOS - 3073</v>
      </c>
      <c r="D1117" s="1" t="str">
        <f>_xlfn.CONCAT(tabE.Flux[[#This Row],[DATA]],"+",tabE.Flux[[#This Row],[MOTORISTA + MATRÍCULA B]])</f>
        <v>45934+CARLOS ADRIANO DE SOUZA DO NASCIMENTO - 6222</v>
      </c>
      <c r="E1117" s="1" t="str">
        <f>_xlfn.CONCAT(tabE.Flux[[#This Row],[DATA]],"+",tabE.Flux[[#This Row],[MOTORISTA + MATRÍCULA A]],"+",tabE.Flux[[#This Row],[LINHA]])</f>
        <v>45934+FABIO MOREIRA DOS SANTOS - 3073+GOIANIA (GO) X SAO LUIS (MA)</v>
      </c>
      <c r="F1117" s="1" t="str">
        <f>_xlfn.CONCAT(tabE.Flux[[#This Row],[DATA]],"+",tabE.Flux[[#This Row],[MOTORISTA + MATRÍCULA B]],"+",tabE.Flux[[#This Row],[LINHA]])</f>
        <v>45934+CARLOS ADRIANO DE SOUZA DO NASCIMENTO - 6222+GOIANIA (GO) X SAO LUIS (MA)</v>
      </c>
      <c r="G1117" s="1" t="str">
        <f>_xlfn.CONCAT(tabE.Flux[[#This Row],[DATA]],"+",tabE.Flux[[#This Row],[LINHA]])</f>
        <v>45934+GOIANIA (GO) X SAO LUIS (MA)</v>
      </c>
      <c r="H1117" s="125">
        <v>45934</v>
      </c>
      <c r="I1117" s="1" t="s">
        <v>15</v>
      </c>
      <c r="J1117" s="1">
        <v>17200</v>
      </c>
      <c r="K1117" s="126">
        <v>0.40763888888888888</v>
      </c>
      <c r="L1117" s="126">
        <v>0.47013888888888888</v>
      </c>
      <c r="M1117" s="1" t="s">
        <v>16</v>
      </c>
      <c r="N1117" s="1" t="s">
        <v>42</v>
      </c>
      <c r="O1117" s="1" t="s">
        <v>50</v>
      </c>
      <c r="P1117" s="1" t="s">
        <v>110</v>
      </c>
      <c r="Q1117" s="1" t="s">
        <v>23</v>
      </c>
    </row>
    <row r="1118" spans="3:17" x14ac:dyDescent="0.25">
      <c r="C1118" s="1" t="str">
        <f>_xlfn.CONCAT(tabE.Flux[[#This Row],[DATA]],"+",tabE.Flux[[#This Row],[MOTORISTA + MATRÍCULA A]])</f>
        <v>45934+CANCELADO</v>
      </c>
      <c r="D1118" s="1" t="str">
        <f>_xlfn.CONCAT(tabE.Flux[[#This Row],[DATA]],"+",tabE.Flux[[#This Row],[MOTORISTA + MATRÍCULA B]])</f>
        <v>45934+CANCELADO</v>
      </c>
      <c r="E1118" s="1" t="str">
        <f>_xlfn.CONCAT(tabE.Flux[[#This Row],[DATA]],"+",tabE.Flux[[#This Row],[MOTORISTA + MATRÍCULA A]],"+",tabE.Flux[[#This Row],[LINHA]])</f>
        <v>45934+CANCELADO+IMPERATRIZ (MA) X SÃO LUIS (MA)</v>
      </c>
      <c r="F1118" s="1" t="str">
        <f>_xlfn.CONCAT(tabE.Flux[[#This Row],[DATA]],"+",tabE.Flux[[#This Row],[MOTORISTA + MATRÍCULA B]],"+",tabE.Flux[[#This Row],[LINHA]])</f>
        <v>45934+CANCELADO+IMPERATRIZ (MA) X SÃO LUIS (MA)</v>
      </c>
      <c r="G1118" s="1" t="str">
        <f>_xlfn.CONCAT(tabE.Flux[[#This Row],[DATA]],"+",tabE.Flux[[#This Row],[LINHA]])</f>
        <v>45934+IMPERATRIZ (MA) X SÃO LUIS (MA)</v>
      </c>
      <c r="H1118" s="125">
        <v>45934</v>
      </c>
      <c r="I1118" s="1" t="s">
        <v>15</v>
      </c>
      <c r="J1118" s="1" t="s">
        <v>27</v>
      </c>
      <c r="K1118" s="126">
        <v>0.77083333333333337</v>
      </c>
      <c r="L1118" s="126">
        <v>0.8125</v>
      </c>
      <c r="M1118" s="1" t="s">
        <v>16</v>
      </c>
      <c r="N1118" s="1" t="s">
        <v>42</v>
      </c>
      <c r="O1118" s="1" t="s">
        <v>27</v>
      </c>
      <c r="P1118" s="1" t="s">
        <v>27</v>
      </c>
      <c r="Q1118" s="1" t="s">
        <v>47</v>
      </c>
    </row>
    <row r="1119" spans="3:17" x14ac:dyDescent="0.25">
      <c r="C1119" s="1" t="str">
        <f>_xlfn.CONCAT(tabE.Flux[[#This Row],[DATA]],"+",tabE.Flux[[#This Row],[MOTORISTA + MATRÍCULA A]])</f>
        <v>45934+BERNARDO SOUZA LIMA - 1720</v>
      </c>
      <c r="D1119" s="1" t="str">
        <f>_xlfn.CONCAT(tabE.Flux[[#This Row],[DATA]],"+",tabE.Flux[[#This Row],[MOTORISTA + MATRÍCULA B]])</f>
        <v>45934+EDIVALDO DE ARAUJO - 6217</v>
      </c>
      <c r="E1119" s="1" t="str">
        <f>_xlfn.CONCAT(tabE.Flux[[#This Row],[DATA]],"+",tabE.Flux[[#This Row],[MOTORISTA + MATRÍCULA A]],"+",tabE.Flux[[#This Row],[LINHA]])</f>
        <v>45934+BERNARDO SOUZA LIMA - 1720+GOIANIA (GO) X SAO LUIS (MA)</v>
      </c>
      <c r="F1119" s="1" t="str">
        <f>_xlfn.CONCAT(tabE.Flux[[#This Row],[DATA]],"+",tabE.Flux[[#This Row],[MOTORISTA + MATRÍCULA B]],"+",tabE.Flux[[#This Row],[LINHA]])</f>
        <v>45934+EDIVALDO DE ARAUJO - 6217+GOIANIA (GO) X SAO LUIS (MA)</v>
      </c>
      <c r="G1119" s="1" t="str">
        <f>_xlfn.CONCAT(tabE.Flux[[#This Row],[DATA]],"+",tabE.Flux[[#This Row],[LINHA]])</f>
        <v>45934+GOIANIA (GO) X SAO LUIS (MA)</v>
      </c>
      <c r="H1119" s="125">
        <v>45934</v>
      </c>
      <c r="I1119" s="1" t="s">
        <v>15</v>
      </c>
      <c r="J1119" s="1">
        <v>24002</v>
      </c>
      <c r="K1119" s="126">
        <v>0.8125</v>
      </c>
      <c r="L1119" s="126">
        <v>0.84375</v>
      </c>
      <c r="M1119" s="1" t="s">
        <v>16</v>
      </c>
      <c r="N1119" s="1" t="s">
        <v>42</v>
      </c>
      <c r="O1119" s="1" t="s">
        <v>123</v>
      </c>
      <c r="P1119" s="1" t="s">
        <v>55</v>
      </c>
      <c r="Q1119" s="1" t="s">
        <v>23</v>
      </c>
    </row>
    <row r="1120" spans="3:17" x14ac:dyDescent="0.25">
      <c r="C1120" s="1" t="str">
        <f>_xlfn.CONCAT(tabE.Flux[[#This Row],[DATA]],"+",tabE.Flux[[#This Row],[MOTORISTA + MATRÍCULA A]])</f>
        <v>45934+JOSE ALVES DE FREITAS NETO - 5027</v>
      </c>
      <c r="D1120" s="1" t="str">
        <f>_xlfn.CONCAT(tabE.Flux[[#This Row],[DATA]],"+",tabE.Flux[[#This Row],[MOTORISTA + MATRÍCULA B]])</f>
        <v>45934+</v>
      </c>
      <c r="E1120" s="1" t="str">
        <f>_xlfn.CONCAT(tabE.Flux[[#This Row],[DATA]],"+",tabE.Flux[[#This Row],[MOTORISTA + MATRÍCULA A]],"+",tabE.Flux[[#This Row],[LINHA]])</f>
        <v>45934+JOSE ALVES DE FREITAS NETO - 5027+GOIANIA (GO) X TERESINA (PI) VIA STI</v>
      </c>
      <c r="F1120" s="1" t="str">
        <f>_xlfn.CONCAT(tabE.Flux[[#This Row],[DATA]],"+",tabE.Flux[[#This Row],[MOTORISTA + MATRÍCULA B]],"+",tabE.Flux[[#This Row],[LINHA]])</f>
        <v>45934++GOIANIA (GO) X TERESINA (PI) VIA STI</v>
      </c>
      <c r="G1120" s="1" t="str">
        <f>_xlfn.CONCAT(tabE.Flux[[#This Row],[DATA]],"+",tabE.Flux[[#This Row],[LINHA]])</f>
        <v>45934+GOIANIA (GO) X TERESINA (PI) VIA STI</v>
      </c>
      <c r="H1120" s="125">
        <v>45934</v>
      </c>
      <c r="I1120" s="1" t="s">
        <v>15</v>
      </c>
      <c r="J1120" s="1">
        <v>19009</v>
      </c>
      <c r="K1120" s="126">
        <v>0.77083333333333337</v>
      </c>
      <c r="L1120" s="126">
        <v>0.79861111111111116</v>
      </c>
      <c r="M1120" s="1" t="s">
        <v>16</v>
      </c>
      <c r="N1120" s="1" t="s">
        <v>29</v>
      </c>
      <c r="O1120" s="1" t="s">
        <v>90</v>
      </c>
      <c r="P1120" s="1"/>
      <c r="Q1120" s="1" t="s">
        <v>26</v>
      </c>
    </row>
    <row r="1121" spans="3:17" x14ac:dyDescent="0.25">
      <c r="C1121" s="1" t="str">
        <f>_xlfn.CONCAT(tabE.Flux[[#This Row],[DATA]],"+",tabE.Flux[[#This Row],[MOTORISTA + MATRÍCULA A]])</f>
        <v>45934+WALDIR DE ALMEIDA CORTE JUNIOR  5960</v>
      </c>
      <c r="D1121" s="1" t="str">
        <f>_xlfn.CONCAT(tabE.Flux[[#This Row],[DATA]],"+",tabE.Flux[[#This Row],[MOTORISTA + MATRÍCULA B]])</f>
        <v>45934+ALEF DA CRUZ VIEIRA - 5291</v>
      </c>
      <c r="E1121" s="1" t="str">
        <f>_xlfn.CONCAT(tabE.Flux[[#This Row],[DATA]],"+",tabE.Flux[[#This Row],[MOTORISTA + MATRÍCULA A]],"+",tabE.Flux[[#This Row],[LINHA]])</f>
        <v>45934+WALDIR DE ALMEIDA CORTE JUNIOR  5960+GOIANIA (GO) X SAO LUIS (MA)</v>
      </c>
      <c r="F1121" s="1" t="str">
        <f>_xlfn.CONCAT(tabE.Flux[[#This Row],[DATA]],"+",tabE.Flux[[#This Row],[MOTORISTA + MATRÍCULA B]],"+",tabE.Flux[[#This Row],[LINHA]])</f>
        <v>45934+ALEF DA CRUZ VIEIRA - 5291+GOIANIA (GO) X SAO LUIS (MA)</v>
      </c>
      <c r="G1121" s="1" t="str">
        <f>_xlfn.CONCAT(tabE.Flux[[#This Row],[DATA]],"+",tabE.Flux[[#This Row],[LINHA]])</f>
        <v>45934+GOIANIA (GO) X SAO LUIS (MA)</v>
      </c>
      <c r="H1121" s="125">
        <v>45934</v>
      </c>
      <c r="I1121" s="1" t="s">
        <v>15</v>
      </c>
      <c r="J1121" s="1">
        <v>19016</v>
      </c>
      <c r="K1121" s="126">
        <v>0.8125</v>
      </c>
      <c r="L1121" s="126">
        <v>0.84166666666666667</v>
      </c>
      <c r="M1121" s="1" t="s">
        <v>16</v>
      </c>
      <c r="N1121" s="1" t="s">
        <v>17</v>
      </c>
      <c r="O1121" s="1" t="s">
        <v>265</v>
      </c>
      <c r="P1121" s="1" t="s">
        <v>248</v>
      </c>
      <c r="Q1121" s="1" t="s">
        <v>23</v>
      </c>
    </row>
    <row r="1122" spans="3:17" x14ac:dyDescent="0.25">
      <c r="C1122" s="1" t="str">
        <f>_xlfn.CONCAT(tabE.Flux[[#This Row],[DATA]],"+",tabE.Flux[[#This Row],[MOTORISTA + MATRÍCULA A]])</f>
        <v>45934+GESMAR DE SOUZA - 574</v>
      </c>
      <c r="D1122" s="1" t="str">
        <f>_xlfn.CONCAT(tabE.Flux[[#This Row],[DATA]],"+",tabE.Flux[[#This Row],[MOTORISTA + MATRÍCULA B]])</f>
        <v>45934+DELEY CARVALHO DE SOUZA - 5624</v>
      </c>
      <c r="E1122" s="1" t="str">
        <f>_xlfn.CONCAT(tabE.Flux[[#This Row],[DATA]],"+",tabE.Flux[[#This Row],[MOTORISTA + MATRÍCULA A]],"+",tabE.Flux[[#This Row],[LINHA]])</f>
        <v>45934+GESMAR DE SOUZA - 574+FORTALEZA (CE) X SINOP (MT)</v>
      </c>
      <c r="F1122" s="1" t="str">
        <f>_xlfn.CONCAT(tabE.Flux[[#This Row],[DATA]],"+",tabE.Flux[[#This Row],[MOTORISTA + MATRÍCULA B]],"+",tabE.Flux[[#This Row],[LINHA]])</f>
        <v>45934+DELEY CARVALHO DE SOUZA - 5624+FORTALEZA (CE) X SINOP (MT)</v>
      </c>
      <c r="G1122" s="1" t="str">
        <f>_xlfn.CONCAT(tabE.Flux[[#This Row],[DATA]],"+",tabE.Flux[[#This Row],[LINHA]])</f>
        <v>45934+FORTALEZA (CE) X SINOP (MT)</v>
      </c>
      <c r="H1122" s="125">
        <v>45934</v>
      </c>
      <c r="I1122" s="1" t="s">
        <v>15</v>
      </c>
      <c r="J1122" s="1">
        <v>19011</v>
      </c>
      <c r="K1122" s="126">
        <v>0.8125</v>
      </c>
      <c r="L1122" s="126">
        <v>0.85416666666666663</v>
      </c>
      <c r="M1122" s="1" t="s">
        <v>16</v>
      </c>
      <c r="N1122" s="1" t="s">
        <v>17</v>
      </c>
      <c r="O1122" s="1" t="s">
        <v>21</v>
      </c>
      <c r="P1122" s="1" t="s">
        <v>247</v>
      </c>
      <c r="Q1122" s="1" t="s">
        <v>32</v>
      </c>
    </row>
    <row r="1123" spans="3:17" x14ac:dyDescent="0.25">
      <c r="C1123" s="1" t="str">
        <f>_xlfn.CONCAT(tabE.Flux[[#This Row],[DATA]],"+",tabE.Flux[[#This Row],[MOTORISTA + MATRÍCULA A]])</f>
        <v>45934+MAURICIO CARLOS BARROSO - 901</v>
      </c>
      <c r="D1123" s="1" t="str">
        <f>_xlfn.CONCAT(tabE.Flux[[#This Row],[DATA]],"+",tabE.Flux[[#This Row],[MOTORISTA + MATRÍCULA B]])</f>
        <v>45934+JOSE CARLOS DA SILVA - 979</v>
      </c>
      <c r="E1123" s="1" t="str">
        <f>_xlfn.CONCAT(tabE.Flux[[#This Row],[DATA]],"+",tabE.Flux[[#This Row],[MOTORISTA + MATRÍCULA A]],"+",tabE.Flux[[#This Row],[LINHA]])</f>
        <v>45934+MAURICIO CARLOS BARROSO - 901+GOIANIA (GO) X BELEM (PA)</v>
      </c>
      <c r="F1123" s="1" t="str">
        <f>_xlfn.CONCAT(tabE.Flux[[#This Row],[DATA]],"+",tabE.Flux[[#This Row],[MOTORISTA + MATRÍCULA B]],"+",tabE.Flux[[#This Row],[LINHA]])</f>
        <v>45934+JOSE CARLOS DA SILVA - 979+GOIANIA (GO) X BELEM (PA)</v>
      </c>
      <c r="G1123" s="1" t="str">
        <f>_xlfn.CONCAT(tabE.Flux[[#This Row],[DATA]],"+",tabE.Flux[[#This Row],[LINHA]])</f>
        <v>45934+GOIANIA (GO) X BELEM (PA)</v>
      </c>
      <c r="H1123" s="125">
        <v>45934</v>
      </c>
      <c r="I1123" s="1" t="s">
        <v>15</v>
      </c>
      <c r="J1123" s="1">
        <v>19025</v>
      </c>
      <c r="K1123" s="126">
        <v>0.84722222222222221</v>
      </c>
      <c r="L1123" s="126">
        <v>0.87847222222222221</v>
      </c>
      <c r="M1123" s="1" t="s">
        <v>16</v>
      </c>
      <c r="N1123" s="1" t="s">
        <v>17</v>
      </c>
      <c r="O1123" s="1" t="s">
        <v>241</v>
      </c>
      <c r="P1123" s="1" t="s">
        <v>228</v>
      </c>
      <c r="Q1123" s="1" t="s">
        <v>20</v>
      </c>
    </row>
    <row r="1124" spans="3:17" x14ac:dyDescent="0.25">
      <c r="C1124" s="1" t="str">
        <f>_xlfn.CONCAT(tabE.Flux[[#This Row],[DATA]],"+",tabE.Flux[[#This Row],[MOTORISTA + MATRÍCULA A]])</f>
        <v>+</v>
      </c>
      <c r="D1124" s="1" t="str">
        <f>_xlfn.CONCAT(tabE.Flux[[#This Row],[DATA]],"+",tabE.Flux[[#This Row],[MOTORISTA + MATRÍCULA B]])</f>
        <v>+</v>
      </c>
      <c r="E1124" s="1" t="str">
        <f>_xlfn.CONCAT(tabE.Flux[[#This Row],[DATA]],"+",tabE.Flux[[#This Row],[MOTORISTA + MATRÍCULA A]],"+",tabE.Flux[[#This Row],[LINHA]])</f>
        <v>++</v>
      </c>
      <c r="F1124" s="1" t="str">
        <f>_xlfn.CONCAT(tabE.Flux[[#This Row],[DATA]],"+",tabE.Flux[[#This Row],[MOTORISTA + MATRÍCULA B]],"+",tabE.Flux[[#This Row],[LINHA]])</f>
        <v>++</v>
      </c>
      <c r="G1124" s="1" t="str">
        <f>_xlfn.CONCAT(tabE.Flux[[#This Row],[DATA]],"+",tabE.Flux[[#This Row],[LINHA]])</f>
        <v>+</v>
      </c>
      <c r="H1124" s="1"/>
      <c r="I1124" s="1"/>
      <c r="J1124" s="1"/>
      <c r="K1124" s="1"/>
      <c r="L1124" s="1"/>
      <c r="M1124" s="1"/>
      <c r="N1124" s="1"/>
      <c r="O1124" s="1"/>
      <c r="P1124" s="1"/>
      <c r="Q1124" s="1"/>
    </row>
    <row r="1125" spans="3:17" x14ac:dyDescent="0.25">
      <c r="C1125" s="1" t="str">
        <f>_xlfn.CONCAT(tabE.Flux[[#This Row],[DATA]],"+",tabE.Flux[[#This Row],[MOTORISTA + MATRÍCULA A]])</f>
        <v>45935+GERALDO DE OLIVEIRA GOMES - 1360</v>
      </c>
      <c r="D1125" s="1" t="str">
        <f>_xlfn.CONCAT(tabE.Flux[[#This Row],[DATA]],"+",tabE.Flux[[#This Row],[MOTORISTA + MATRÍCULA B]])</f>
        <v>45935+JOSE SOARES DA SILVA FILHO - 3093</v>
      </c>
      <c r="E1125" s="1" t="str">
        <f>_xlfn.CONCAT(tabE.Flux[[#This Row],[DATA]],"+",tabE.Flux[[#This Row],[MOTORISTA + MATRÍCULA A]],"+",tabE.Flux[[#This Row],[LINHA]])</f>
        <v>45935+GERALDO DE OLIVEIRA GOMES - 1360+GOIANIA (GO) X BELEM (PA)</v>
      </c>
      <c r="F1125" s="1" t="str">
        <f>_xlfn.CONCAT(tabE.Flux[[#This Row],[DATA]],"+",tabE.Flux[[#This Row],[MOTORISTA + MATRÍCULA B]],"+",tabE.Flux[[#This Row],[LINHA]])</f>
        <v>45935+JOSE SOARES DA SILVA FILHO - 3093+GOIANIA (GO) X BELEM (PA)</v>
      </c>
      <c r="G1125" s="1" t="str">
        <f>_xlfn.CONCAT(tabE.Flux[[#This Row],[DATA]],"+",tabE.Flux[[#This Row],[LINHA]])</f>
        <v>45935+GOIANIA (GO) X BELEM (PA)</v>
      </c>
      <c r="H1125" s="125">
        <v>45935</v>
      </c>
      <c r="I1125" s="1" t="s">
        <v>15</v>
      </c>
      <c r="J1125" s="1">
        <v>25006</v>
      </c>
      <c r="K1125" s="126">
        <v>0.25486111111111109</v>
      </c>
      <c r="L1125" s="126">
        <v>0.3</v>
      </c>
      <c r="M1125" s="1" t="s">
        <v>16</v>
      </c>
      <c r="N1125" s="1" t="s">
        <v>17</v>
      </c>
      <c r="O1125" s="1" t="s">
        <v>245</v>
      </c>
      <c r="P1125" s="1" t="s">
        <v>171</v>
      </c>
      <c r="Q1125" s="1" t="s">
        <v>20</v>
      </c>
    </row>
    <row r="1126" spans="3:17" x14ac:dyDescent="0.25">
      <c r="C1126" s="1" t="str">
        <f>_xlfn.CONCAT(tabE.Flux[[#This Row],[DATA]],"+",tabE.Flux[[#This Row],[MOTORISTA + MATRÍCULA A]])</f>
        <v>45935+ADEMILTON DE OLIVEIRA SILVA - 5559</v>
      </c>
      <c r="D1126" s="1" t="str">
        <f>_xlfn.CONCAT(tabE.Flux[[#This Row],[DATA]],"+",tabE.Flux[[#This Row],[MOTORISTA + MATRÍCULA B]])</f>
        <v>45935+JOSE HAILTON PEREIRA DOS SANTOS - 6018</v>
      </c>
      <c r="E1126" s="1" t="str">
        <f>_xlfn.CONCAT(tabE.Flux[[#This Row],[DATA]],"+",tabE.Flux[[#This Row],[MOTORISTA + MATRÍCULA A]],"+",tabE.Flux[[#This Row],[LINHA]])</f>
        <v>45935+ADEMILTON DE OLIVEIRA SILVA - 5559+GOIANIA (GO) X SAO LUIS (MA)</v>
      </c>
      <c r="F1126" s="1" t="str">
        <f>_xlfn.CONCAT(tabE.Flux[[#This Row],[DATA]],"+",tabE.Flux[[#This Row],[MOTORISTA + MATRÍCULA B]],"+",tabE.Flux[[#This Row],[LINHA]])</f>
        <v>45935+JOSE HAILTON PEREIRA DOS SANTOS - 6018+GOIANIA (GO) X SAO LUIS (MA)</v>
      </c>
      <c r="G1126" s="1" t="str">
        <f>_xlfn.CONCAT(tabE.Flux[[#This Row],[DATA]],"+",tabE.Flux[[#This Row],[LINHA]])</f>
        <v>45935+GOIANIA (GO) X SAO LUIS (MA)</v>
      </c>
      <c r="H1126" s="125">
        <v>45935</v>
      </c>
      <c r="I1126" s="1" t="s">
        <v>15</v>
      </c>
      <c r="J1126" s="1">
        <v>24012</v>
      </c>
      <c r="K1126" s="126">
        <v>0.32291666666666669</v>
      </c>
      <c r="L1126" s="126">
        <v>0.33333333333333331</v>
      </c>
      <c r="M1126" s="1" t="s">
        <v>16</v>
      </c>
      <c r="N1126" s="1" t="s">
        <v>17</v>
      </c>
      <c r="O1126" s="1" t="s">
        <v>40</v>
      </c>
      <c r="P1126" s="1" t="s">
        <v>141</v>
      </c>
      <c r="Q1126" s="1" t="s">
        <v>23</v>
      </c>
    </row>
    <row r="1127" spans="3:17" x14ac:dyDescent="0.25">
      <c r="C1127" s="1" t="str">
        <f>_xlfn.CONCAT(tabE.Flux[[#This Row],[DATA]],"+",tabE.Flux[[#This Row],[MOTORISTA + MATRÍCULA A]])</f>
        <v>45935+ADAILTON DA SILVA RODRIGUES MENDONCA - 2662</v>
      </c>
      <c r="D1127" s="1" t="str">
        <f>_xlfn.CONCAT(tabE.Flux[[#This Row],[DATA]],"+",tabE.Flux[[#This Row],[MOTORISTA + MATRÍCULA B]])</f>
        <v>45935+ENIO GOMES DE SOUZA - 5825</v>
      </c>
      <c r="E1127" s="1" t="str">
        <f>_xlfn.CONCAT(tabE.Flux[[#This Row],[DATA]],"+",tabE.Flux[[#This Row],[MOTORISTA + MATRÍCULA A]],"+",tabE.Flux[[#This Row],[LINHA]])</f>
        <v>45935+ADAILTON DA SILVA RODRIGUES MENDONCA - 2662+GOIANIA (GO) X TERESINA (PI) VIA STI</v>
      </c>
      <c r="F1127" s="1" t="str">
        <f>_xlfn.CONCAT(tabE.Flux[[#This Row],[DATA]],"+",tabE.Flux[[#This Row],[MOTORISTA + MATRÍCULA B]],"+",tabE.Flux[[#This Row],[LINHA]])</f>
        <v>45935+ENIO GOMES DE SOUZA - 5825+GOIANIA (GO) X TERESINA (PI) VIA STI</v>
      </c>
      <c r="G1127" s="1" t="str">
        <f>_xlfn.CONCAT(tabE.Flux[[#This Row],[DATA]],"+",tabE.Flux[[#This Row],[LINHA]])</f>
        <v>45935+GOIANIA (GO) X TERESINA (PI) VIA STI</v>
      </c>
      <c r="H1127" s="125">
        <v>45935</v>
      </c>
      <c r="I1127" s="1" t="s">
        <v>15</v>
      </c>
      <c r="J1127" s="1">
        <v>19017</v>
      </c>
      <c r="K1127" s="126">
        <v>0.3888888888888889</v>
      </c>
      <c r="L1127" s="126">
        <v>0.39583333333333331</v>
      </c>
      <c r="M1127" s="1" t="s">
        <v>16</v>
      </c>
      <c r="N1127" s="1" t="s">
        <v>17</v>
      </c>
      <c r="O1127" s="1" t="s">
        <v>92</v>
      </c>
      <c r="P1127" s="1" t="s">
        <v>93</v>
      </c>
      <c r="Q1127" s="1" t="s">
        <v>26</v>
      </c>
    </row>
    <row r="1128" spans="3:17" x14ac:dyDescent="0.25">
      <c r="C1128" s="1" t="str">
        <f>_xlfn.CONCAT(tabE.Flux[[#This Row],[DATA]],"+",tabE.Flux[[#This Row],[MOTORISTA + MATRÍCULA A]])</f>
        <v>45935+CANCELADO</v>
      </c>
      <c r="D1128" s="1" t="str">
        <f>_xlfn.CONCAT(tabE.Flux[[#This Row],[DATA]],"+",tabE.Flux[[#This Row],[MOTORISTA + MATRÍCULA B]])</f>
        <v>45935+CANCELADO</v>
      </c>
      <c r="E1128" s="1" t="str">
        <f>_xlfn.CONCAT(tabE.Flux[[#This Row],[DATA]],"+",tabE.Flux[[#This Row],[MOTORISTA + MATRÍCULA A]],"+",tabE.Flux[[#This Row],[LINHA]])</f>
        <v>45935+CANCELADO+IMPERATRIZ (MA) X VILA RICA (MT)</v>
      </c>
      <c r="F1128" s="1" t="str">
        <f>_xlfn.CONCAT(tabE.Flux[[#This Row],[DATA]],"+",tabE.Flux[[#This Row],[MOTORISTA + MATRÍCULA B]],"+",tabE.Flux[[#This Row],[LINHA]])</f>
        <v>45935+CANCELADO+IMPERATRIZ (MA) X VILA RICA (MT)</v>
      </c>
      <c r="G1128" s="1" t="str">
        <f>_xlfn.CONCAT(tabE.Flux[[#This Row],[DATA]],"+",tabE.Flux[[#This Row],[LINHA]])</f>
        <v>45935+IMPERATRIZ (MA) X VILA RICA (MT)</v>
      </c>
      <c r="H1128" s="125">
        <v>45935</v>
      </c>
      <c r="I1128" s="1" t="s">
        <v>15</v>
      </c>
      <c r="J1128" s="1" t="s">
        <v>27</v>
      </c>
      <c r="K1128" s="126">
        <v>0.375</v>
      </c>
      <c r="L1128" s="126">
        <v>0.41666666666666669</v>
      </c>
      <c r="M1128" s="1" t="s">
        <v>16</v>
      </c>
      <c r="N1128" s="1" t="s">
        <v>28</v>
      </c>
      <c r="O1128" s="1" t="s">
        <v>27</v>
      </c>
      <c r="P1128" s="1" t="s">
        <v>27</v>
      </c>
      <c r="Q1128" s="1" t="s">
        <v>100</v>
      </c>
    </row>
    <row r="1129" spans="3:17" x14ac:dyDescent="0.25">
      <c r="C1129" s="1" t="str">
        <f>_xlfn.CONCAT(tabE.Flux[[#This Row],[DATA]],"+",tabE.Flux[[#This Row],[MOTORISTA + MATRÍCULA A]])</f>
        <v>45935+LEANDRO DE OLIVEIRA MELO - 2151</v>
      </c>
      <c r="D1129" s="1" t="str">
        <f>_xlfn.CONCAT(tabE.Flux[[#This Row],[DATA]],"+",tabE.Flux[[#This Row],[MOTORISTA + MATRÍCULA B]])</f>
        <v>45935+EDIMILSON LUIS FRANÇA - 5442</v>
      </c>
      <c r="E1129" s="1" t="str">
        <f>_xlfn.CONCAT(tabE.Flux[[#This Row],[DATA]],"+",tabE.Flux[[#This Row],[MOTORISTA + MATRÍCULA A]],"+",tabE.Flux[[#This Row],[LINHA]])</f>
        <v>45935+LEANDRO DE OLIVEIRA MELO - 2151+FORTALEZA (CE) X SINOP (MT)</v>
      </c>
      <c r="F1129" s="1" t="str">
        <f>_xlfn.CONCAT(tabE.Flux[[#This Row],[DATA]],"+",tabE.Flux[[#This Row],[MOTORISTA + MATRÍCULA B]],"+",tabE.Flux[[#This Row],[LINHA]])</f>
        <v>45935+EDIMILSON LUIS FRANÇA - 5442+FORTALEZA (CE) X SINOP (MT)</v>
      </c>
      <c r="G1129" s="1" t="str">
        <f>_xlfn.CONCAT(tabE.Flux[[#This Row],[DATA]],"+",tabE.Flux[[#This Row],[LINHA]])</f>
        <v>45935+FORTALEZA (CE) X SINOP (MT)</v>
      </c>
      <c r="H1129" s="125">
        <v>45935</v>
      </c>
      <c r="I1129" s="1" t="s">
        <v>15</v>
      </c>
      <c r="J1129" s="1">
        <v>20010</v>
      </c>
      <c r="K1129" s="126">
        <v>0.3888888888888889</v>
      </c>
      <c r="L1129" s="126">
        <v>0.37708333333333333</v>
      </c>
      <c r="M1129" s="1" t="s">
        <v>16</v>
      </c>
      <c r="N1129" s="1" t="s">
        <v>29</v>
      </c>
      <c r="O1129" s="1" t="s">
        <v>64</v>
      </c>
      <c r="P1129" s="1" t="s">
        <v>89</v>
      </c>
      <c r="Q1129" s="1" t="s">
        <v>32</v>
      </c>
    </row>
    <row r="1130" spans="3:17" x14ac:dyDescent="0.25">
      <c r="C1130" s="1" t="str">
        <f>_xlfn.CONCAT(tabE.Flux[[#This Row],[DATA]],"+",tabE.Flux[[#This Row],[MOTORISTA + MATRÍCULA A]])</f>
        <v>45935+JAIRO VIEIRA FERREIRA - 5835</v>
      </c>
      <c r="D1130" s="1" t="str">
        <f>_xlfn.CONCAT(tabE.Flux[[#This Row],[DATA]],"+",tabE.Flux[[#This Row],[MOTORISTA + MATRÍCULA B]])</f>
        <v>45935+RICHARD SOUSA DA SILVA - 1271</v>
      </c>
      <c r="E1130" s="1" t="str">
        <f>_xlfn.CONCAT(tabE.Flux[[#This Row],[DATA]],"+",tabE.Flux[[#This Row],[MOTORISTA + MATRÍCULA A]],"+",tabE.Flux[[#This Row],[LINHA]])</f>
        <v>45935+JAIRO VIEIRA FERREIRA - 5835+GOIANIA (GO) X BELEM (PA)</v>
      </c>
      <c r="F1130" s="1" t="str">
        <f>_xlfn.CONCAT(tabE.Flux[[#This Row],[DATA]],"+",tabE.Flux[[#This Row],[MOTORISTA + MATRÍCULA B]],"+",tabE.Flux[[#This Row],[LINHA]])</f>
        <v>45935+RICHARD SOUSA DA SILVA - 1271+GOIANIA (GO) X BELEM (PA)</v>
      </c>
      <c r="G1130" s="1" t="str">
        <f>_xlfn.CONCAT(tabE.Flux[[#This Row],[DATA]],"+",tabE.Flux[[#This Row],[LINHA]])</f>
        <v>45935+GOIANIA (GO) X BELEM (PA)</v>
      </c>
      <c r="H1130" s="125">
        <v>45935</v>
      </c>
      <c r="I1130" s="1" t="s">
        <v>15</v>
      </c>
      <c r="J1130" s="1">
        <v>20012</v>
      </c>
      <c r="K1130" s="126">
        <v>0.38958333333333334</v>
      </c>
      <c r="L1130" s="126">
        <v>0.38541666666666669</v>
      </c>
      <c r="M1130" s="1" t="s">
        <v>16</v>
      </c>
      <c r="N1130" s="1" t="s">
        <v>33</v>
      </c>
      <c r="O1130" s="1" t="s">
        <v>230</v>
      </c>
      <c r="P1130" s="1" t="s">
        <v>56</v>
      </c>
      <c r="Q1130" s="1" t="s">
        <v>20</v>
      </c>
    </row>
    <row r="1131" spans="3:17" x14ac:dyDescent="0.25">
      <c r="C1131" s="1" t="str">
        <f>_xlfn.CONCAT(tabE.Flux[[#This Row],[DATA]],"+",tabE.Flux[[#This Row],[MOTORISTA + MATRÍCULA A]])</f>
        <v>45935+JOSE ORLANDO RODRIGUES DE MIRANDA - 5838</v>
      </c>
      <c r="D1131" s="1" t="str">
        <f>_xlfn.CONCAT(tabE.Flux[[#This Row],[DATA]],"+",tabE.Flux[[#This Row],[MOTORISTA + MATRÍCULA B]])</f>
        <v>45935+PAULO MORAES DOS SANTOS - 1534</v>
      </c>
      <c r="E1131" s="1" t="str">
        <f>_xlfn.CONCAT(tabE.Flux[[#This Row],[DATA]],"+",tabE.Flux[[#This Row],[MOTORISTA + MATRÍCULA A]],"+",tabE.Flux[[#This Row],[LINHA]])</f>
        <v>45935+JOSE ORLANDO RODRIGUES DE MIRANDA - 5838+GOIANIA (GO) X TERESINA (PI) VIA BC</v>
      </c>
      <c r="F1131" s="1" t="str">
        <f>_xlfn.CONCAT(tabE.Flux[[#This Row],[DATA]],"+",tabE.Flux[[#This Row],[MOTORISTA + MATRÍCULA B]],"+",tabE.Flux[[#This Row],[LINHA]])</f>
        <v>45935+PAULO MORAES DOS SANTOS - 1534+GOIANIA (GO) X TERESINA (PI) VIA BC</v>
      </c>
      <c r="G1131" s="1" t="str">
        <f>_xlfn.CONCAT(tabE.Flux[[#This Row],[DATA]],"+",tabE.Flux[[#This Row],[LINHA]])</f>
        <v>45935+GOIANIA (GO) X TERESINA (PI) VIA BC</v>
      </c>
      <c r="H1131" s="125">
        <v>45935</v>
      </c>
      <c r="I1131" s="1" t="s">
        <v>15</v>
      </c>
      <c r="J1131" s="1">
        <v>24005</v>
      </c>
      <c r="K1131" s="126">
        <v>0.375</v>
      </c>
      <c r="L1131" s="126">
        <v>0.39930555555555558</v>
      </c>
      <c r="M1131" s="1" t="s">
        <v>36</v>
      </c>
      <c r="N1131" s="1" t="s">
        <v>29</v>
      </c>
      <c r="O1131" s="1" t="s">
        <v>37</v>
      </c>
      <c r="P1131" s="1" t="s">
        <v>225</v>
      </c>
      <c r="Q1131" s="1" t="s">
        <v>39</v>
      </c>
    </row>
    <row r="1132" spans="3:17" x14ac:dyDescent="0.25">
      <c r="C1132" s="1" t="str">
        <f>_xlfn.CONCAT(tabE.Flux[[#This Row],[DATA]],"+",tabE.Flux[[#This Row],[MOTORISTA + MATRÍCULA A]])</f>
        <v>45935+CANCELADO</v>
      </c>
      <c r="D1132" s="1" t="str">
        <f>_xlfn.CONCAT(tabE.Flux[[#This Row],[DATA]],"+",tabE.Flux[[#This Row],[MOTORISTA + MATRÍCULA B]])</f>
        <v>45935+CANCELADO</v>
      </c>
      <c r="E1132" s="1" t="str">
        <f>_xlfn.CONCAT(tabE.Flux[[#This Row],[DATA]],"+",tabE.Flux[[#This Row],[MOTORISTA + MATRÍCULA A]],"+",tabE.Flux[[#This Row],[LINHA]])</f>
        <v>45935+CANCELADO+GOIANIA (GO) X BELEM (PA)</v>
      </c>
      <c r="F1132" s="1" t="str">
        <f>_xlfn.CONCAT(tabE.Flux[[#This Row],[DATA]],"+",tabE.Flux[[#This Row],[MOTORISTA + MATRÍCULA B]],"+",tabE.Flux[[#This Row],[LINHA]])</f>
        <v>45935+CANCELADO+GOIANIA (GO) X BELEM (PA)</v>
      </c>
      <c r="G1132" s="1" t="str">
        <f>_xlfn.CONCAT(tabE.Flux[[#This Row],[DATA]],"+",tabE.Flux[[#This Row],[LINHA]])</f>
        <v>45935+GOIANIA (GO) X BELEM (PA)</v>
      </c>
      <c r="H1132" s="125">
        <v>45935</v>
      </c>
      <c r="I1132" s="1" t="s">
        <v>15</v>
      </c>
      <c r="J1132" s="1" t="s">
        <v>27</v>
      </c>
      <c r="K1132" s="126">
        <v>0.375</v>
      </c>
      <c r="L1132" s="126">
        <v>0.41666666666666669</v>
      </c>
      <c r="M1132" s="1" t="s">
        <v>33</v>
      </c>
      <c r="N1132" s="1" t="s">
        <v>16</v>
      </c>
      <c r="O1132" s="1" t="s">
        <v>27</v>
      </c>
      <c r="P1132" s="1" t="s">
        <v>27</v>
      </c>
      <c r="Q1132" s="1" t="s">
        <v>20</v>
      </c>
    </row>
    <row r="1133" spans="3:17" x14ac:dyDescent="0.25">
      <c r="C1133" s="1" t="str">
        <f>_xlfn.CONCAT(tabE.Flux[[#This Row],[DATA]],"+",tabE.Flux[[#This Row],[MOTORISTA + MATRÍCULA A]])</f>
        <v>45935+CANCELADO</v>
      </c>
      <c r="D1133" s="1" t="str">
        <f>_xlfn.CONCAT(tabE.Flux[[#This Row],[DATA]],"+",tabE.Flux[[#This Row],[MOTORISTA + MATRÍCULA B]])</f>
        <v>45935+CANCELADO</v>
      </c>
      <c r="E1133" s="1" t="str">
        <f>_xlfn.CONCAT(tabE.Flux[[#This Row],[DATA]],"+",tabE.Flux[[#This Row],[MOTORISTA + MATRÍCULA A]],"+",tabE.Flux[[#This Row],[LINHA]])</f>
        <v>45935+CANCELADO+GOIANIA (GO) X SAO LUIS (MA)</v>
      </c>
      <c r="F1133" s="1" t="str">
        <f>_xlfn.CONCAT(tabE.Flux[[#This Row],[DATA]],"+",tabE.Flux[[#This Row],[MOTORISTA + MATRÍCULA B]],"+",tabE.Flux[[#This Row],[LINHA]])</f>
        <v>45935+CANCELADO+GOIANIA (GO) X SAO LUIS (MA)</v>
      </c>
      <c r="G1133" s="1" t="str">
        <f>_xlfn.CONCAT(tabE.Flux[[#This Row],[DATA]],"+",tabE.Flux[[#This Row],[LINHA]])</f>
        <v>45935+GOIANIA (GO) X SAO LUIS (MA)</v>
      </c>
      <c r="H1133" s="125">
        <v>45935</v>
      </c>
      <c r="I1133" s="1" t="s">
        <v>15</v>
      </c>
      <c r="J1133" s="1" t="s">
        <v>27</v>
      </c>
      <c r="K1133" s="126">
        <v>0.25</v>
      </c>
      <c r="L1133" s="126">
        <v>0.29166666666666669</v>
      </c>
      <c r="M1133" s="1" t="s">
        <v>42</v>
      </c>
      <c r="N1133" s="1" t="s">
        <v>16</v>
      </c>
      <c r="O1133" s="1" t="s">
        <v>27</v>
      </c>
      <c r="P1133" s="1" t="s">
        <v>27</v>
      </c>
      <c r="Q1133" s="1" t="s">
        <v>23</v>
      </c>
    </row>
    <row r="1134" spans="3:17" x14ac:dyDescent="0.25">
      <c r="C1134" s="1" t="str">
        <f>_xlfn.CONCAT(tabE.Flux[[#This Row],[DATA]],"+",tabE.Flux[[#This Row],[MOTORISTA + MATRÍCULA A]])</f>
        <v>45935+LAUCEANDO DA SILVA ROCHA - 6220</v>
      </c>
      <c r="D1134" s="1" t="str">
        <f>_xlfn.CONCAT(tabE.Flux[[#This Row],[DATA]],"+",tabE.Flux[[#This Row],[MOTORISTA + MATRÍCULA B]])</f>
        <v>45935+BERNARDO SOUZA LIMA - 1720</v>
      </c>
      <c r="E1134" s="1" t="str">
        <f>_xlfn.CONCAT(tabE.Flux[[#This Row],[DATA]],"+",tabE.Flux[[#This Row],[MOTORISTA + MATRÍCULA A]],"+",tabE.Flux[[#This Row],[LINHA]])</f>
        <v>45935+LAUCEANDO DA SILVA ROCHA - 6220+GOIANIA (GO) X SAO LUIS (MA)</v>
      </c>
      <c r="F1134" s="1" t="str">
        <f>_xlfn.CONCAT(tabE.Flux[[#This Row],[DATA]],"+",tabE.Flux[[#This Row],[MOTORISTA + MATRÍCULA B]],"+",tabE.Flux[[#This Row],[LINHA]])</f>
        <v>45935+BERNARDO SOUZA LIMA - 1720+GOIANIA (GO) X SAO LUIS (MA)</v>
      </c>
      <c r="G1134" s="1" t="str">
        <f>_xlfn.CONCAT(tabE.Flux[[#This Row],[DATA]],"+",tabE.Flux[[#This Row],[LINHA]])</f>
        <v>45935+GOIANIA (GO) X SAO LUIS (MA)</v>
      </c>
      <c r="H1134" s="125">
        <v>45935</v>
      </c>
      <c r="I1134" s="1" t="s">
        <v>15</v>
      </c>
      <c r="J1134" s="1">
        <v>24002</v>
      </c>
      <c r="K1134" s="126">
        <v>0.75</v>
      </c>
      <c r="L1134" s="126">
        <v>0.79166666666666663</v>
      </c>
      <c r="M1134" s="1" t="s">
        <v>42</v>
      </c>
      <c r="N1134" s="1" t="s">
        <v>16</v>
      </c>
      <c r="O1134" s="1" t="s">
        <v>86</v>
      </c>
      <c r="P1134" s="1" t="s">
        <v>123</v>
      </c>
      <c r="Q1134" s="1" t="s">
        <v>23</v>
      </c>
    </row>
    <row r="1135" spans="3:17" x14ac:dyDescent="0.25">
      <c r="C1135" s="1" t="str">
        <f>_xlfn.CONCAT(tabE.Flux[[#This Row],[DATA]],"+",tabE.Flux[[#This Row],[MOTORISTA + MATRÍCULA A]])</f>
        <v>45935+ALTEMAR DO NASCIMENTO LIMA - 6225</v>
      </c>
      <c r="D1135" s="1" t="str">
        <f>_xlfn.CONCAT(tabE.Flux[[#This Row],[DATA]],"+",tabE.Flux[[#This Row],[MOTORISTA + MATRÍCULA B]])</f>
        <v>45935+FABIO MOREIRA DOS SANTOS - 3073</v>
      </c>
      <c r="E1135" s="1" t="str">
        <f>_xlfn.CONCAT(tabE.Flux[[#This Row],[DATA]],"+",tabE.Flux[[#This Row],[MOTORISTA + MATRÍCULA A]],"+",tabE.Flux[[#This Row],[LINHA]])</f>
        <v>45935+ALTEMAR DO NASCIMENTO LIMA - 6225+IMPERATRIZ (MA) X SÃO LUIS (MA)</v>
      </c>
      <c r="F1135" s="1" t="str">
        <f>_xlfn.CONCAT(tabE.Flux[[#This Row],[DATA]],"+",tabE.Flux[[#This Row],[MOTORISTA + MATRÍCULA B]],"+",tabE.Flux[[#This Row],[LINHA]])</f>
        <v>45935+FABIO MOREIRA DOS SANTOS - 3073+IMPERATRIZ (MA) X SÃO LUIS (MA)</v>
      </c>
      <c r="G1135" s="1" t="str">
        <f>_xlfn.CONCAT(tabE.Flux[[#This Row],[DATA]],"+",tabE.Flux[[#This Row],[LINHA]])</f>
        <v>45935+IMPERATRIZ (MA) X SÃO LUIS (MA)</v>
      </c>
      <c r="H1135" s="125">
        <v>45935</v>
      </c>
      <c r="I1135" s="1" t="s">
        <v>15</v>
      </c>
      <c r="J1135" s="1">
        <v>18016</v>
      </c>
      <c r="K1135" s="126">
        <v>0.77083333333333337</v>
      </c>
      <c r="L1135" s="126">
        <v>0.79513888888888884</v>
      </c>
      <c r="M1135" s="1" t="s">
        <v>42</v>
      </c>
      <c r="N1135" s="1" t="s">
        <v>16</v>
      </c>
      <c r="O1135" s="1" t="s">
        <v>57</v>
      </c>
      <c r="P1135" s="1" t="s">
        <v>50</v>
      </c>
      <c r="Q1135" s="1" t="s">
        <v>47</v>
      </c>
    </row>
    <row r="1136" spans="3:17" x14ac:dyDescent="0.25">
      <c r="C1136" s="1" t="str">
        <f>_xlfn.CONCAT(tabE.Flux[[#This Row],[DATA]],"+",tabE.Flux[[#This Row],[MOTORISTA + MATRÍCULA A]])</f>
        <v>45935+  TIAGO MARTINS BERNARDES- 5260</v>
      </c>
      <c r="D1136" s="1" t="str">
        <f>_xlfn.CONCAT(tabE.Flux[[#This Row],[DATA]],"+",tabE.Flux[[#This Row],[MOTORISTA + MATRÍCULA B]])</f>
        <v>45935+ROBERTO PEREIRA DE MATOS - 5538</v>
      </c>
      <c r="E1136" s="1" t="str">
        <f>_xlfn.CONCAT(tabE.Flux[[#This Row],[DATA]],"+",tabE.Flux[[#This Row],[MOTORISTA + MATRÍCULA A]],"+",tabE.Flux[[#This Row],[LINHA]])</f>
        <v>45935+  TIAGO MARTINS BERNARDES- 5260+GOIANIA (GO) X TERESINA (PI) VIA BC</v>
      </c>
      <c r="F1136" s="1" t="str">
        <f>_xlfn.CONCAT(tabE.Flux[[#This Row],[DATA]],"+",tabE.Flux[[#This Row],[MOTORISTA + MATRÍCULA B]],"+",tabE.Flux[[#This Row],[LINHA]])</f>
        <v>45935+ROBERTO PEREIRA DE MATOS - 5538+GOIANIA (GO) X TERESINA (PI) VIA BC</v>
      </c>
      <c r="G1136" s="1" t="str">
        <f>_xlfn.CONCAT(tabE.Flux[[#This Row],[DATA]],"+",tabE.Flux[[#This Row],[LINHA]])</f>
        <v>45935+GOIANIA (GO) X TERESINA (PI) VIA BC</v>
      </c>
      <c r="H1136" s="125">
        <v>45935</v>
      </c>
      <c r="I1136" s="1" t="s">
        <v>15</v>
      </c>
      <c r="J1136" s="1">
        <v>25010</v>
      </c>
      <c r="K1136" s="126">
        <v>0.89583333333333337</v>
      </c>
      <c r="L1136" s="126">
        <v>0.91666666666666663</v>
      </c>
      <c r="M1136" s="1" t="s">
        <v>36</v>
      </c>
      <c r="N1136" s="1" t="s">
        <v>17</v>
      </c>
      <c r="O1136" s="1" t="s">
        <v>266</v>
      </c>
      <c r="P1136" s="1" t="s">
        <v>180</v>
      </c>
      <c r="Q1136" s="1" t="s">
        <v>39</v>
      </c>
    </row>
    <row r="1137" spans="3:17" x14ac:dyDescent="0.25">
      <c r="C1137" s="1" t="str">
        <f>_xlfn.CONCAT(tabE.Flux[[#This Row],[DATA]],"+",tabE.Flux[[#This Row],[MOTORISTA + MATRÍCULA A]])</f>
        <v>45935+WESLEY SILVA PAIVA - 5638</v>
      </c>
      <c r="D1137" s="1" t="str">
        <f>_xlfn.CONCAT(tabE.Flux[[#This Row],[DATA]],"+",tabE.Flux[[#This Row],[MOTORISTA + MATRÍCULA B]])</f>
        <v>45935+NILSON CORTEZ MIRANDA - 5636</v>
      </c>
      <c r="E1137" s="1" t="str">
        <f>_xlfn.CONCAT(tabE.Flux[[#This Row],[DATA]],"+",tabE.Flux[[#This Row],[MOTORISTA + MATRÍCULA A]],"+",tabE.Flux[[#This Row],[LINHA]])</f>
        <v>45935+WESLEY SILVA PAIVA - 5638+GOIANIA (GO) X BELEM (PA)</v>
      </c>
      <c r="F1137" s="1" t="str">
        <f>_xlfn.CONCAT(tabE.Flux[[#This Row],[DATA]],"+",tabE.Flux[[#This Row],[MOTORISTA + MATRÍCULA B]],"+",tabE.Flux[[#This Row],[LINHA]])</f>
        <v>45935+NILSON CORTEZ MIRANDA - 5636+GOIANIA (GO) X BELEM (PA)</v>
      </c>
      <c r="G1137" s="1" t="str">
        <f>_xlfn.CONCAT(tabE.Flux[[#This Row],[DATA]],"+",tabE.Flux[[#This Row],[LINHA]])</f>
        <v>45935+GOIANIA (GO) X BELEM (PA)</v>
      </c>
      <c r="H1137" s="125">
        <v>45935</v>
      </c>
      <c r="I1137" s="1" t="s">
        <v>15</v>
      </c>
      <c r="J1137" s="1">
        <v>24009</v>
      </c>
      <c r="K1137" s="126">
        <v>0.76041666666666663</v>
      </c>
      <c r="L1137" s="126">
        <v>0.77083333333333337</v>
      </c>
      <c r="M1137" s="1" t="s">
        <v>33</v>
      </c>
      <c r="N1137" s="1" t="s">
        <v>16</v>
      </c>
      <c r="O1137" s="1" t="s">
        <v>112</v>
      </c>
      <c r="P1137" s="1" t="s">
        <v>75</v>
      </c>
      <c r="Q1137" s="1" t="s">
        <v>20</v>
      </c>
    </row>
    <row r="1138" spans="3:17" x14ac:dyDescent="0.25">
      <c r="C1138" s="1" t="str">
        <f>_xlfn.CONCAT(tabE.Flux[[#This Row],[DATA]],"+",tabE.Flux[[#This Row],[MOTORISTA + MATRÍCULA A]])</f>
        <v>45935+JOSE POLICARPO DE SOUSA NETO - 1472</v>
      </c>
      <c r="D1138" s="1" t="str">
        <f>_xlfn.CONCAT(tabE.Flux[[#This Row],[DATA]],"+",tabE.Flux[[#This Row],[MOTORISTA + MATRÍCULA B]])</f>
        <v>45935+CLODOALDO PEREIRA DE LIMA - 4067</v>
      </c>
      <c r="E1138" s="1" t="str">
        <f>_xlfn.CONCAT(tabE.Flux[[#This Row],[DATA]],"+",tabE.Flux[[#This Row],[MOTORISTA + MATRÍCULA A]],"+",tabE.Flux[[#This Row],[LINHA]])</f>
        <v>45935+JOSE POLICARPO DE SOUSA NETO - 1472+GOIANIA (GO) X BELEM (PA)</v>
      </c>
      <c r="F1138" s="1" t="str">
        <f>_xlfn.CONCAT(tabE.Flux[[#This Row],[DATA]],"+",tabE.Flux[[#This Row],[MOTORISTA + MATRÍCULA B]],"+",tabE.Flux[[#This Row],[LINHA]])</f>
        <v>45935+CLODOALDO PEREIRA DE LIMA - 4067+GOIANIA (GO) X BELEM (PA)</v>
      </c>
      <c r="G1138" s="1" t="str">
        <f>_xlfn.CONCAT(tabE.Flux[[#This Row],[DATA]],"+",tabE.Flux[[#This Row],[LINHA]])</f>
        <v>45935+GOIANIA (GO) X BELEM (PA)</v>
      </c>
      <c r="H1138" s="125">
        <v>45935</v>
      </c>
      <c r="I1138" s="1" t="s">
        <v>15</v>
      </c>
      <c r="J1138" s="1">
        <v>24013</v>
      </c>
      <c r="K1138" s="126">
        <v>0.76041666666666663</v>
      </c>
      <c r="L1138" s="126">
        <v>0.82777777777777772</v>
      </c>
      <c r="M1138" s="1" t="s">
        <v>16</v>
      </c>
      <c r="N1138" s="1" t="s">
        <v>33</v>
      </c>
      <c r="O1138" s="1" t="s">
        <v>54</v>
      </c>
      <c r="P1138" s="1" t="s">
        <v>109</v>
      </c>
      <c r="Q1138" s="1" t="s">
        <v>20</v>
      </c>
    </row>
    <row r="1139" spans="3:17" x14ac:dyDescent="0.25">
      <c r="C1139" s="1" t="str">
        <f>_xlfn.CONCAT(tabE.Flux[[#This Row],[DATA]],"+",tabE.Flux[[#This Row],[MOTORISTA + MATRÍCULA A]])</f>
        <v>45935+KLEBER OLIVEIRA LIMA - 5849</v>
      </c>
      <c r="D1139" s="1" t="str">
        <f>_xlfn.CONCAT(tabE.Flux[[#This Row],[DATA]],"+",tabE.Flux[[#This Row],[MOTORISTA + MATRÍCULA B]])</f>
        <v>45935+PAULO ENEAS FARIAS ARAUJO - 6218</v>
      </c>
      <c r="E1139" s="1" t="str">
        <f>_xlfn.CONCAT(tabE.Flux[[#This Row],[DATA]],"+",tabE.Flux[[#This Row],[MOTORISTA + MATRÍCULA A]],"+",tabE.Flux[[#This Row],[LINHA]])</f>
        <v>45935+KLEBER OLIVEIRA LIMA - 5849+GOIANIA (GO) X SAO LUIS (MA)</v>
      </c>
      <c r="F1139" s="1" t="str">
        <f>_xlfn.CONCAT(tabE.Flux[[#This Row],[DATA]],"+",tabE.Flux[[#This Row],[MOTORISTA + MATRÍCULA B]],"+",tabE.Flux[[#This Row],[LINHA]])</f>
        <v>45935+PAULO ENEAS FARIAS ARAUJO - 6218+GOIANIA (GO) X SAO LUIS (MA)</v>
      </c>
      <c r="G1139" s="1" t="str">
        <f>_xlfn.CONCAT(tabE.Flux[[#This Row],[DATA]],"+",tabE.Flux[[#This Row],[LINHA]])</f>
        <v>45935+GOIANIA (GO) X SAO LUIS (MA)</v>
      </c>
      <c r="H1139" s="125">
        <v>45935</v>
      </c>
      <c r="I1139" s="1" t="s">
        <v>15</v>
      </c>
      <c r="J1139" s="1">
        <v>20019</v>
      </c>
      <c r="K1139" s="126">
        <v>0.40763888888888888</v>
      </c>
      <c r="L1139" s="126">
        <v>0.47013888888888888</v>
      </c>
      <c r="M1139" s="1" t="s">
        <v>16</v>
      </c>
      <c r="N1139" s="1" t="s">
        <v>42</v>
      </c>
      <c r="O1139" s="1" t="s">
        <v>102</v>
      </c>
      <c r="P1139" s="1" t="s">
        <v>43</v>
      </c>
      <c r="Q1139" s="1" t="s">
        <v>23</v>
      </c>
    </row>
    <row r="1140" spans="3:17" x14ac:dyDescent="0.25">
      <c r="C1140" s="1" t="str">
        <f>_xlfn.CONCAT(tabE.Flux[[#This Row],[DATA]],"+",tabE.Flux[[#This Row],[MOTORISTA + MATRÍCULA A]])</f>
        <v>45935+CANCELADO</v>
      </c>
      <c r="D1140" s="1" t="str">
        <f>_xlfn.CONCAT(tabE.Flux[[#This Row],[DATA]],"+",tabE.Flux[[#This Row],[MOTORISTA + MATRÍCULA B]])</f>
        <v>45935+CANCELADO</v>
      </c>
      <c r="E1140" s="1" t="str">
        <f>_xlfn.CONCAT(tabE.Flux[[#This Row],[DATA]],"+",tabE.Flux[[#This Row],[MOTORISTA + MATRÍCULA A]],"+",tabE.Flux[[#This Row],[LINHA]])</f>
        <v>45935+CANCELADO+IMPERATRIZ (MA) X SÃO LUIS (MA)</v>
      </c>
      <c r="F1140" s="1" t="str">
        <f>_xlfn.CONCAT(tabE.Flux[[#This Row],[DATA]],"+",tabE.Flux[[#This Row],[MOTORISTA + MATRÍCULA B]],"+",tabE.Flux[[#This Row],[LINHA]])</f>
        <v>45935+CANCELADO+IMPERATRIZ (MA) X SÃO LUIS (MA)</v>
      </c>
      <c r="G1140" s="1" t="str">
        <f>_xlfn.CONCAT(tabE.Flux[[#This Row],[DATA]],"+",tabE.Flux[[#This Row],[LINHA]])</f>
        <v>45935+IMPERATRIZ (MA) X SÃO LUIS (MA)</v>
      </c>
      <c r="H1140" s="125">
        <v>45935</v>
      </c>
      <c r="I1140" s="1" t="s">
        <v>15</v>
      </c>
      <c r="J1140" s="1" t="s">
        <v>27</v>
      </c>
      <c r="K1140" s="126">
        <v>0.77083333333333337</v>
      </c>
      <c r="L1140" s="126">
        <v>0.8125</v>
      </c>
      <c r="M1140" s="1" t="s">
        <v>16</v>
      </c>
      <c r="N1140" s="1" t="s">
        <v>42</v>
      </c>
      <c r="O1140" s="1" t="s">
        <v>27</v>
      </c>
      <c r="P1140" s="1" t="s">
        <v>27</v>
      </c>
      <c r="Q1140" s="1" t="s">
        <v>47</v>
      </c>
    </row>
    <row r="1141" spans="3:17" x14ac:dyDescent="0.25">
      <c r="C1141" s="1" t="str">
        <f>_xlfn.CONCAT(tabE.Flux[[#This Row],[DATA]],"+",tabE.Flux[[#This Row],[MOTORISTA + MATRÍCULA A]])</f>
        <v>45935+JOSE CARLOS BEZERRA DA SILVA - 3034</v>
      </c>
      <c r="D1141" s="1" t="str">
        <f>_xlfn.CONCAT(tabE.Flux[[#This Row],[DATA]],"+",tabE.Flux[[#This Row],[MOTORISTA + MATRÍCULA B]])</f>
        <v>45935+RAIMUNDO COSTA SILVA - 6226</v>
      </c>
      <c r="E1141" s="1" t="str">
        <f>_xlfn.CONCAT(tabE.Flux[[#This Row],[DATA]],"+",tabE.Flux[[#This Row],[MOTORISTA + MATRÍCULA A]],"+",tabE.Flux[[#This Row],[LINHA]])</f>
        <v>45935+JOSE CARLOS BEZERRA DA SILVA - 3034+GOIANIA (GO) X SAO LUIS (MA)</v>
      </c>
      <c r="F1141" s="1" t="str">
        <f>_xlfn.CONCAT(tabE.Flux[[#This Row],[DATA]],"+",tabE.Flux[[#This Row],[MOTORISTA + MATRÍCULA B]],"+",tabE.Flux[[#This Row],[LINHA]])</f>
        <v>45935+RAIMUNDO COSTA SILVA - 6226+GOIANIA (GO) X SAO LUIS (MA)</v>
      </c>
      <c r="G1141" s="1" t="str">
        <f>_xlfn.CONCAT(tabE.Flux[[#This Row],[DATA]],"+",tabE.Flux[[#This Row],[LINHA]])</f>
        <v>45935+GOIANIA (GO) X SAO LUIS (MA)</v>
      </c>
      <c r="H1141" s="125">
        <v>45935</v>
      </c>
      <c r="I1141" s="1" t="s">
        <v>15</v>
      </c>
      <c r="J1141" s="1">
        <v>25007</v>
      </c>
      <c r="K1141" s="126">
        <v>0.8125</v>
      </c>
      <c r="L1141" s="126">
        <v>0.84375</v>
      </c>
      <c r="M1141" s="1" t="s">
        <v>16</v>
      </c>
      <c r="N1141" s="1" t="s">
        <v>42</v>
      </c>
      <c r="O1141" s="1" t="s">
        <v>76</v>
      </c>
      <c r="P1141" s="1" t="s">
        <v>45</v>
      </c>
      <c r="Q1141" s="1" t="s">
        <v>23</v>
      </c>
    </row>
    <row r="1142" spans="3:17" x14ac:dyDescent="0.25">
      <c r="C1142" s="1" t="str">
        <f>_xlfn.CONCAT(tabE.Flux[[#This Row],[DATA]],"+",tabE.Flux[[#This Row],[MOTORISTA + MATRÍCULA A]])</f>
        <v>45935+IZALMIR RODRIGUES COELHO - 958</v>
      </c>
      <c r="D1142" s="1" t="str">
        <f>_xlfn.CONCAT(tabE.Flux[[#This Row],[DATA]],"+",tabE.Flux[[#This Row],[MOTORISTA + MATRÍCULA B]])</f>
        <v>45935+</v>
      </c>
      <c r="E1142" s="1" t="str">
        <f>_xlfn.CONCAT(tabE.Flux[[#This Row],[DATA]],"+",tabE.Flux[[#This Row],[MOTORISTA + MATRÍCULA A]],"+",tabE.Flux[[#This Row],[LINHA]])</f>
        <v>45935+IZALMIR RODRIGUES COELHO - 958+GOIANIA (GO) X TERESINA (PI) VIA STI</v>
      </c>
      <c r="F1142" s="1" t="str">
        <f>_xlfn.CONCAT(tabE.Flux[[#This Row],[DATA]],"+",tabE.Flux[[#This Row],[MOTORISTA + MATRÍCULA B]],"+",tabE.Flux[[#This Row],[LINHA]])</f>
        <v>45935++GOIANIA (GO) X TERESINA (PI) VIA STI</v>
      </c>
      <c r="G1142" s="1" t="str">
        <f>_xlfn.CONCAT(tabE.Flux[[#This Row],[DATA]],"+",tabE.Flux[[#This Row],[LINHA]])</f>
        <v>45935+GOIANIA (GO) X TERESINA (PI) VIA STI</v>
      </c>
      <c r="H1142" s="125">
        <v>45935</v>
      </c>
      <c r="I1142" s="1" t="s">
        <v>15</v>
      </c>
      <c r="J1142" s="1">
        <v>19026</v>
      </c>
      <c r="K1142" s="126">
        <v>0.77083333333333337</v>
      </c>
      <c r="L1142" s="126">
        <v>0.79861111111111116</v>
      </c>
      <c r="M1142" s="1" t="s">
        <v>16</v>
      </c>
      <c r="N1142" s="1" t="s">
        <v>29</v>
      </c>
      <c r="O1142" s="1" t="s">
        <v>83</v>
      </c>
      <c r="P1142" s="1"/>
      <c r="Q1142" s="1" t="s">
        <v>26</v>
      </c>
    </row>
    <row r="1143" spans="3:17" x14ac:dyDescent="0.25">
      <c r="C1143" s="1" t="str">
        <f>_xlfn.CONCAT(tabE.Flux[[#This Row],[DATA]],"+",tabE.Flux[[#This Row],[MOTORISTA + MATRÍCULA A]])</f>
        <v>45935+CANCELADO</v>
      </c>
      <c r="D1143" s="1" t="str">
        <f>_xlfn.CONCAT(tabE.Flux[[#This Row],[DATA]],"+",tabE.Flux[[#This Row],[MOTORISTA + MATRÍCULA B]])</f>
        <v>45935+CANCELADO</v>
      </c>
      <c r="E1143" s="1" t="str">
        <f>_xlfn.CONCAT(tabE.Flux[[#This Row],[DATA]],"+",tabE.Flux[[#This Row],[MOTORISTA + MATRÍCULA A]],"+",tabE.Flux[[#This Row],[LINHA]])</f>
        <v>45935+CANCELADO+GOIANIA (GO) X SAO LUIS (MA)</v>
      </c>
      <c r="F1143" s="1" t="str">
        <f>_xlfn.CONCAT(tabE.Flux[[#This Row],[DATA]],"+",tabE.Flux[[#This Row],[MOTORISTA + MATRÍCULA B]],"+",tabE.Flux[[#This Row],[LINHA]])</f>
        <v>45935+CANCELADO+GOIANIA (GO) X SAO LUIS (MA)</v>
      </c>
      <c r="G1143" s="1" t="str">
        <f>_xlfn.CONCAT(tabE.Flux[[#This Row],[DATA]],"+",tabE.Flux[[#This Row],[LINHA]])</f>
        <v>45935+GOIANIA (GO) X SAO LUIS (MA)</v>
      </c>
      <c r="H1143" s="125">
        <v>45935</v>
      </c>
      <c r="I1143" s="1" t="s">
        <v>15</v>
      </c>
      <c r="J1143" s="1" t="s">
        <v>27</v>
      </c>
      <c r="K1143" s="126">
        <v>0.8125</v>
      </c>
      <c r="L1143" s="126">
        <v>0.84166666666666667</v>
      </c>
      <c r="M1143" s="1" t="s">
        <v>16</v>
      </c>
      <c r="N1143" s="1" t="s">
        <v>17</v>
      </c>
      <c r="O1143" s="1" t="s">
        <v>27</v>
      </c>
      <c r="P1143" s="1" t="s">
        <v>27</v>
      </c>
      <c r="Q1143" s="1" t="s">
        <v>23</v>
      </c>
    </row>
    <row r="1144" spans="3:17" x14ac:dyDescent="0.25">
      <c r="C1144" s="1" t="str">
        <f>_xlfn.CONCAT(tabE.Flux[[#This Row],[DATA]],"+",tabE.Flux[[#This Row],[MOTORISTA + MATRÍCULA A]])</f>
        <v>45935+VALDIR ALVES MIRANDA - 1364</v>
      </c>
      <c r="D1144" s="1" t="str">
        <f>_xlfn.CONCAT(tabE.Flux[[#This Row],[DATA]],"+",tabE.Flux[[#This Row],[MOTORISTA + MATRÍCULA B]])</f>
        <v>45935+SILVIO SILVA DE OLIVEIRA - 5793</v>
      </c>
      <c r="E1144" s="1" t="str">
        <f>_xlfn.CONCAT(tabE.Flux[[#This Row],[DATA]],"+",tabE.Flux[[#This Row],[MOTORISTA + MATRÍCULA A]],"+",tabE.Flux[[#This Row],[LINHA]])</f>
        <v>45935+VALDIR ALVES MIRANDA - 1364+FORTALEZA (CE) X SINOP (MT)</v>
      </c>
      <c r="F1144" s="1" t="str">
        <f>_xlfn.CONCAT(tabE.Flux[[#This Row],[DATA]],"+",tabE.Flux[[#This Row],[MOTORISTA + MATRÍCULA B]],"+",tabE.Flux[[#This Row],[LINHA]])</f>
        <v>45935+SILVIO SILVA DE OLIVEIRA - 5793+FORTALEZA (CE) X SINOP (MT)</v>
      </c>
      <c r="G1144" s="1" t="str">
        <f>_xlfn.CONCAT(tabE.Flux[[#This Row],[DATA]],"+",tabE.Flux[[#This Row],[LINHA]])</f>
        <v>45935+FORTALEZA (CE) X SINOP (MT)</v>
      </c>
      <c r="H1144" s="125">
        <v>45935</v>
      </c>
      <c r="I1144" s="1" t="s">
        <v>15</v>
      </c>
      <c r="J1144" s="1">
        <v>17600</v>
      </c>
      <c r="K1144" s="126">
        <v>0.8125</v>
      </c>
      <c r="L1144" s="126">
        <v>0.85416666666666663</v>
      </c>
      <c r="M1144" s="1" t="s">
        <v>16</v>
      </c>
      <c r="N1144" s="1" t="s">
        <v>17</v>
      </c>
      <c r="O1144" s="1" t="s">
        <v>118</v>
      </c>
      <c r="P1144" s="1" t="s">
        <v>163</v>
      </c>
      <c r="Q1144" s="1" t="s">
        <v>32</v>
      </c>
    </row>
    <row r="1145" spans="3:17" x14ac:dyDescent="0.25">
      <c r="C1145" s="1" t="str">
        <f>_xlfn.CONCAT(tabE.Flux[[#This Row],[DATA]],"+",tabE.Flux[[#This Row],[MOTORISTA + MATRÍCULA A]])</f>
        <v>45935+CANCELADO</v>
      </c>
      <c r="D1145" s="1" t="str">
        <f>_xlfn.CONCAT(tabE.Flux[[#This Row],[DATA]],"+",tabE.Flux[[#This Row],[MOTORISTA + MATRÍCULA B]])</f>
        <v>45935+CANCELADO</v>
      </c>
      <c r="E1145" s="1" t="str">
        <f>_xlfn.CONCAT(tabE.Flux[[#This Row],[DATA]],"+",tabE.Flux[[#This Row],[MOTORISTA + MATRÍCULA A]],"+",tabE.Flux[[#This Row],[LINHA]])</f>
        <v>45935+CANCELADO+GOIANIA (GO) X BELEM (PA)</v>
      </c>
      <c r="F1145" s="1" t="str">
        <f>_xlfn.CONCAT(tabE.Flux[[#This Row],[DATA]],"+",tabE.Flux[[#This Row],[MOTORISTA + MATRÍCULA B]],"+",tabE.Flux[[#This Row],[LINHA]])</f>
        <v>45935+CANCELADO+GOIANIA (GO) X BELEM (PA)</v>
      </c>
      <c r="G1145" s="1" t="str">
        <f>_xlfn.CONCAT(tabE.Flux[[#This Row],[DATA]],"+",tabE.Flux[[#This Row],[LINHA]])</f>
        <v>45935+GOIANIA (GO) X BELEM (PA)</v>
      </c>
      <c r="H1145" s="125">
        <v>45935</v>
      </c>
      <c r="I1145" s="1" t="s">
        <v>15</v>
      </c>
      <c r="J1145" s="1" t="s">
        <v>27</v>
      </c>
      <c r="K1145" s="126">
        <v>0.84722222222222221</v>
      </c>
      <c r="L1145" s="126">
        <v>0.87847222222222221</v>
      </c>
      <c r="M1145" s="1" t="s">
        <v>16</v>
      </c>
      <c r="N1145" s="1" t="s">
        <v>17</v>
      </c>
      <c r="O1145" s="1" t="s">
        <v>27</v>
      </c>
      <c r="P1145" s="1" t="s">
        <v>27</v>
      </c>
      <c r="Q1145" s="1" t="s">
        <v>20</v>
      </c>
    </row>
    <row r="1146" spans="3:17" x14ac:dyDescent="0.25">
      <c r="C1146" s="1" t="str">
        <f>_xlfn.CONCAT(tabE.Flux[[#This Row],[DATA]],"+",tabE.Flux[[#This Row],[MOTORISTA + MATRÍCULA A]])</f>
        <v>+</v>
      </c>
      <c r="D1146" s="1" t="str">
        <f>_xlfn.CONCAT(tabE.Flux[[#This Row],[DATA]],"+",tabE.Flux[[#This Row],[MOTORISTA + MATRÍCULA B]])</f>
        <v>+</v>
      </c>
      <c r="E1146" s="1" t="str">
        <f>_xlfn.CONCAT(tabE.Flux[[#This Row],[DATA]],"+",tabE.Flux[[#This Row],[MOTORISTA + MATRÍCULA A]],"+",tabE.Flux[[#This Row],[LINHA]])</f>
        <v>++</v>
      </c>
      <c r="F1146" s="1" t="str">
        <f>_xlfn.CONCAT(tabE.Flux[[#This Row],[DATA]],"+",tabE.Flux[[#This Row],[MOTORISTA + MATRÍCULA B]],"+",tabE.Flux[[#This Row],[LINHA]])</f>
        <v>++</v>
      </c>
      <c r="G1146" s="1" t="str">
        <f>_xlfn.CONCAT(tabE.Flux[[#This Row],[DATA]],"+",tabE.Flux[[#This Row],[LINHA]])</f>
        <v>+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</row>
    <row r="1147" spans="3:17" x14ac:dyDescent="0.25">
      <c r="C1147" s="1" t="str">
        <f>_xlfn.CONCAT(tabE.Flux[[#This Row],[DATA]],"+",tabE.Flux[[#This Row],[MOTORISTA + MATRÍCULA A]])</f>
        <v>45936+JOSE PEDRO DA SILVA FREITAS - 1357</v>
      </c>
      <c r="D1147" s="1" t="str">
        <f>_xlfn.CONCAT(tabE.Flux[[#This Row],[DATA]],"+",tabE.Flux[[#This Row],[MOTORISTA + MATRÍCULA B]])</f>
        <v>45936+ADIR CASSIMIRO DA SILVA - 5672</v>
      </c>
      <c r="E1147" s="1" t="str">
        <f>_xlfn.CONCAT(tabE.Flux[[#This Row],[DATA]],"+",tabE.Flux[[#This Row],[MOTORISTA + MATRÍCULA A]],"+",tabE.Flux[[#This Row],[LINHA]])</f>
        <v>45936+JOSE PEDRO DA SILVA FREITAS - 1357+GOIANIA (GO) X BELEM (PA)</v>
      </c>
      <c r="F1147" s="1" t="str">
        <f>_xlfn.CONCAT(tabE.Flux[[#This Row],[DATA]],"+",tabE.Flux[[#This Row],[MOTORISTA + MATRÍCULA B]],"+",tabE.Flux[[#This Row],[LINHA]])</f>
        <v>45936+ADIR CASSIMIRO DA SILVA - 5672+GOIANIA (GO) X BELEM (PA)</v>
      </c>
      <c r="G1147" s="1" t="str">
        <f>_xlfn.CONCAT(tabE.Flux[[#This Row],[DATA]],"+",tabE.Flux[[#This Row],[LINHA]])</f>
        <v>45936+GOIANIA (GO) X BELEM (PA)</v>
      </c>
      <c r="H1147" s="125">
        <v>45936</v>
      </c>
      <c r="I1147" s="1" t="s">
        <v>15</v>
      </c>
      <c r="J1147" s="1">
        <v>24009</v>
      </c>
      <c r="K1147" s="126">
        <v>0.25486111111111109</v>
      </c>
      <c r="L1147" s="126">
        <v>0.3</v>
      </c>
      <c r="M1147" s="1" t="s">
        <v>16</v>
      </c>
      <c r="N1147" s="1" t="s">
        <v>17</v>
      </c>
      <c r="O1147" s="1" t="s">
        <v>106</v>
      </c>
      <c r="P1147" s="1" t="s">
        <v>22</v>
      </c>
      <c r="Q1147" s="1" t="s">
        <v>20</v>
      </c>
    </row>
    <row r="1148" spans="3:17" x14ac:dyDescent="0.25">
      <c r="C1148" s="1" t="str">
        <f>_xlfn.CONCAT(tabE.Flux[[#This Row],[DATA]],"+",tabE.Flux[[#This Row],[MOTORISTA + MATRÍCULA A]])</f>
        <v>45936+CLAUDIOMAR ALENCAR DO NASCIMENTO - 2970</v>
      </c>
      <c r="D1148" s="1" t="str">
        <f>_xlfn.CONCAT(tabE.Flux[[#This Row],[DATA]],"+",tabE.Flux[[#This Row],[MOTORISTA + MATRÍCULA B]])</f>
        <v>45936+JERZUALDO DA SILVA GOMES - 4077</v>
      </c>
      <c r="E1148" s="1" t="str">
        <f>_xlfn.CONCAT(tabE.Flux[[#This Row],[DATA]],"+",tabE.Flux[[#This Row],[MOTORISTA + MATRÍCULA A]],"+",tabE.Flux[[#This Row],[LINHA]])</f>
        <v>45936+CLAUDIOMAR ALENCAR DO NASCIMENTO - 2970+GOIANIA (GO) X SAO LUIS (MA)</v>
      </c>
      <c r="F1148" s="1" t="str">
        <f>_xlfn.CONCAT(tabE.Flux[[#This Row],[DATA]],"+",tabE.Flux[[#This Row],[MOTORISTA + MATRÍCULA B]],"+",tabE.Flux[[#This Row],[LINHA]])</f>
        <v>45936+JERZUALDO DA SILVA GOMES - 4077+GOIANIA (GO) X SAO LUIS (MA)</v>
      </c>
      <c r="G1148" s="1" t="str">
        <f>_xlfn.CONCAT(tabE.Flux[[#This Row],[DATA]],"+",tabE.Flux[[#This Row],[LINHA]])</f>
        <v>45936+GOIANIA (GO) X SAO LUIS (MA)</v>
      </c>
      <c r="H1148" s="125">
        <v>45936</v>
      </c>
      <c r="I1148" s="1" t="s">
        <v>15</v>
      </c>
      <c r="J1148" s="1">
        <v>24002</v>
      </c>
      <c r="K1148" s="126">
        <v>0.32291666666666669</v>
      </c>
      <c r="L1148" s="126">
        <v>0.33333333333333331</v>
      </c>
      <c r="M1148" s="1" t="s">
        <v>16</v>
      </c>
      <c r="N1148" s="1" t="s">
        <v>17</v>
      </c>
      <c r="O1148" s="1" t="s">
        <v>211</v>
      </c>
      <c r="P1148" s="1" t="s">
        <v>130</v>
      </c>
      <c r="Q1148" s="1" t="s">
        <v>23</v>
      </c>
    </row>
    <row r="1149" spans="3:17" x14ac:dyDescent="0.25">
      <c r="C1149" s="1" t="str">
        <f>_xlfn.CONCAT(tabE.Flux[[#This Row],[DATA]],"+",tabE.Flux[[#This Row],[MOTORISTA + MATRÍCULA A]])</f>
        <v>45936+FRANCISCO BATISTA DE LIMA - 1827</v>
      </c>
      <c r="D1149" s="1" t="str">
        <f>_xlfn.CONCAT(tabE.Flux[[#This Row],[DATA]],"+",tabE.Flux[[#This Row],[MOTORISTA + MATRÍCULA B]])</f>
        <v>45936+ANTONIO JOSE PEREIRA SOARES - 1774</v>
      </c>
      <c r="E1149" s="1" t="str">
        <f>_xlfn.CONCAT(tabE.Flux[[#This Row],[DATA]],"+",tabE.Flux[[#This Row],[MOTORISTA + MATRÍCULA A]],"+",tabE.Flux[[#This Row],[LINHA]])</f>
        <v>45936+FRANCISCO BATISTA DE LIMA - 1827+GOIANIA (GO) X TERESINA (PI) VIA STI</v>
      </c>
      <c r="F1149" s="1" t="str">
        <f>_xlfn.CONCAT(tabE.Flux[[#This Row],[DATA]],"+",tabE.Flux[[#This Row],[MOTORISTA + MATRÍCULA B]],"+",tabE.Flux[[#This Row],[LINHA]])</f>
        <v>45936+ANTONIO JOSE PEREIRA SOARES - 1774+GOIANIA (GO) X TERESINA (PI) VIA STI</v>
      </c>
      <c r="G1149" s="1" t="str">
        <f>_xlfn.CONCAT(tabE.Flux[[#This Row],[DATA]],"+",tabE.Flux[[#This Row],[LINHA]])</f>
        <v>45936+GOIANIA (GO) X TERESINA (PI) VIA STI</v>
      </c>
      <c r="H1149" s="125">
        <v>45936</v>
      </c>
      <c r="I1149" s="1" t="s">
        <v>15</v>
      </c>
      <c r="J1149" s="1">
        <v>19009</v>
      </c>
      <c r="K1149" s="126">
        <v>0.3888888888888889</v>
      </c>
      <c r="L1149" s="126">
        <v>0.39583333333333331</v>
      </c>
      <c r="M1149" s="1" t="s">
        <v>16</v>
      </c>
      <c r="N1149" s="1" t="s">
        <v>17</v>
      </c>
      <c r="O1149" s="1" t="s">
        <v>128</v>
      </c>
      <c r="P1149" s="1" t="s">
        <v>52</v>
      </c>
      <c r="Q1149" s="1" t="s">
        <v>26</v>
      </c>
    </row>
    <row r="1150" spans="3:17" x14ac:dyDescent="0.25">
      <c r="C1150" s="1" t="str">
        <f>_xlfn.CONCAT(tabE.Flux[[#This Row],[DATA]],"+",tabE.Flux[[#This Row],[MOTORISTA + MATRÍCULA A]])</f>
        <v>45936+CANCELADO</v>
      </c>
      <c r="D1150" s="1" t="str">
        <f>_xlfn.CONCAT(tabE.Flux[[#This Row],[DATA]],"+",tabE.Flux[[#This Row],[MOTORISTA + MATRÍCULA B]])</f>
        <v>45936+CANCELADO</v>
      </c>
      <c r="E1150" s="1" t="str">
        <f>_xlfn.CONCAT(tabE.Flux[[#This Row],[DATA]],"+",tabE.Flux[[#This Row],[MOTORISTA + MATRÍCULA A]],"+",tabE.Flux[[#This Row],[LINHA]])</f>
        <v>45936+CANCELADO+IMPERATRIZ (MA) X VILA RICA (MT)</v>
      </c>
      <c r="F1150" s="1" t="str">
        <f>_xlfn.CONCAT(tabE.Flux[[#This Row],[DATA]],"+",tabE.Flux[[#This Row],[MOTORISTA + MATRÍCULA B]],"+",tabE.Flux[[#This Row],[LINHA]])</f>
        <v>45936+CANCELADO+IMPERATRIZ (MA) X VILA RICA (MT)</v>
      </c>
      <c r="G1150" s="1" t="str">
        <f>_xlfn.CONCAT(tabE.Flux[[#This Row],[DATA]],"+",tabE.Flux[[#This Row],[LINHA]])</f>
        <v>45936+IMPERATRIZ (MA) X VILA RICA (MT)</v>
      </c>
      <c r="H1150" s="125">
        <v>45936</v>
      </c>
      <c r="I1150" s="1" t="s">
        <v>15</v>
      </c>
      <c r="J1150" s="1" t="s">
        <v>27</v>
      </c>
      <c r="K1150" s="126">
        <v>0.375</v>
      </c>
      <c r="L1150" s="126">
        <v>0.41666666666666669</v>
      </c>
      <c r="M1150" s="1" t="s">
        <v>16</v>
      </c>
      <c r="N1150" s="1" t="s">
        <v>28</v>
      </c>
      <c r="O1150" s="1" t="s">
        <v>27</v>
      </c>
      <c r="P1150" s="1" t="s">
        <v>27</v>
      </c>
      <c r="Q1150" s="1" t="s">
        <v>100</v>
      </c>
    </row>
    <row r="1151" spans="3:17" x14ac:dyDescent="0.25">
      <c r="C1151" s="1" t="str">
        <f>_xlfn.CONCAT(tabE.Flux[[#This Row],[DATA]],"+",tabE.Flux[[#This Row],[MOTORISTA + MATRÍCULA A]])</f>
        <v>45936+JAKTAN DE OLIVEIRA RODRIGUES - 5836</v>
      </c>
      <c r="D1151" s="1" t="str">
        <f>_xlfn.CONCAT(tabE.Flux[[#This Row],[DATA]],"+",tabE.Flux[[#This Row],[MOTORISTA + MATRÍCULA B]])</f>
        <v>45936+JOSE CLAUDIMAR  CUNHA - 5652</v>
      </c>
      <c r="E1151" s="1" t="str">
        <f>_xlfn.CONCAT(tabE.Flux[[#This Row],[DATA]],"+",tabE.Flux[[#This Row],[MOTORISTA + MATRÍCULA A]],"+",tabE.Flux[[#This Row],[LINHA]])</f>
        <v>45936+JAKTAN DE OLIVEIRA RODRIGUES - 5836+FORTALEZA (CE) X SINOP (MT)</v>
      </c>
      <c r="F1151" s="1" t="str">
        <f>_xlfn.CONCAT(tabE.Flux[[#This Row],[DATA]],"+",tabE.Flux[[#This Row],[MOTORISTA + MATRÍCULA B]],"+",tabE.Flux[[#This Row],[LINHA]])</f>
        <v>45936+JOSE CLAUDIMAR  CUNHA - 5652+FORTALEZA (CE) X SINOP (MT)</v>
      </c>
      <c r="G1151" s="1" t="str">
        <f>_xlfn.CONCAT(tabE.Flux[[#This Row],[DATA]],"+",tabE.Flux[[#This Row],[LINHA]])</f>
        <v>45936+FORTALEZA (CE) X SINOP (MT)</v>
      </c>
      <c r="H1151" s="125">
        <v>45936</v>
      </c>
      <c r="I1151" s="1" t="s">
        <v>15</v>
      </c>
      <c r="J1151" s="1">
        <v>19006</v>
      </c>
      <c r="K1151" s="126">
        <v>0.3888888888888889</v>
      </c>
      <c r="L1151" s="126">
        <v>0.37708333333333333</v>
      </c>
      <c r="M1151" s="1" t="s">
        <v>16</v>
      </c>
      <c r="N1151" s="1" t="s">
        <v>29</v>
      </c>
      <c r="O1151" s="1" t="s">
        <v>59</v>
      </c>
      <c r="P1151" s="1" t="s">
        <v>140</v>
      </c>
      <c r="Q1151" s="1" t="s">
        <v>32</v>
      </c>
    </row>
    <row r="1152" spans="3:17" x14ac:dyDescent="0.25">
      <c r="C1152" s="1" t="str">
        <f>_xlfn.CONCAT(tabE.Flux[[#This Row],[DATA]],"+",tabE.Flux[[#This Row],[MOTORISTA + MATRÍCULA A]])</f>
        <v>45936+VALDEY OLIVEIRA ARAUJO - 2790</v>
      </c>
      <c r="D1152" s="1" t="str">
        <f>_xlfn.CONCAT(tabE.Flux[[#This Row],[DATA]],"+",tabE.Flux[[#This Row],[MOTORISTA + MATRÍCULA B]])</f>
        <v>45936+EDUARDO SANTOS BEZERRA - 4066</v>
      </c>
      <c r="E1152" s="1" t="str">
        <f>_xlfn.CONCAT(tabE.Flux[[#This Row],[DATA]],"+",tabE.Flux[[#This Row],[MOTORISTA + MATRÍCULA A]],"+",tabE.Flux[[#This Row],[LINHA]])</f>
        <v>45936+VALDEY OLIVEIRA ARAUJO - 2790+GOIANIA (GO) X BELEM (PA)</v>
      </c>
      <c r="F1152" s="1" t="str">
        <f>_xlfn.CONCAT(tabE.Flux[[#This Row],[DATA]],"+",tabE.Flux[[#This Row],[MOTORISTA + MATRÍCULA B]],"+",tabE.Flux[[#This Row],[LINHA]])</f>
        <v>45936+EDUARDO SANTOS BEZERRA - 4066+GOIANIA (GO) X BELEM (PA)</v>
      </c>
      <c r="G1152" s="1" t="str">
        <f>_xlfn.CONCAT(tabE.Flux[[#This Row],[DATA]],"+",tabE.Flux[[#This Row],[LINHA]])</f>
        <v>45936+GOIANIA (GO) X BELEM (PA)</v>
      </c>
      <c r="H1152" s="125">
        <v>45936</v>
      </c>
      <c r="I1152" s="1" t="s">
        <v>15</v>
      </c>
      <c r="J1152" s="1">
        <v>19022</v>
      </c>
      <c r="K1152" s="126">
        <v>0.38958333333333334</v>
      </c>
      <c r="L1152" s="126">
        <v>0.38541666666666669</v>
      </c>
      <c r="M1152" s="1" t="s">
        <v>16</v>
      </c>
      <c r="N1152" s="1" t="s">
        <v>33</v>
      </c>
      <c r="O1152" s="1" t="s">
        <v>34</v>
      </c>
      <c r="P1152" s="1" t="s">
        <v>148</v>
      </c>
      <c r="Q1152" s="1" t="s">
        <v>20</v>
      </c>
    </row>
    <row r="1153" spans="3:17" x14ac:dyDescent="0.25">
      <c r="C1153" s="1" t="str">
        <f>_xlfn.CONCAT(tabE.Flux[[#This Row],[DATA]],"+",tabE.Flux[[#This Row],[MOTORISTA + MATRÍCULA A]])</f>
        <v>45936+JWEBISON DE BRITO SOUZA - 2999</v>
      </c>
      <c r="D1153" s="1" t="str">
        <f>_xlfn.CONCAT(tabE.Flux[[#This Row],[DATA]],"+",tabE.Flux[[#This Row],[MOTORISTA + MATRÍCULA B]])</f>
        <v>45936+FRANCISCO DAS CHAGAS DOS SANTOS ANGELO - 5299</v>
      </c>
      <c r="E1153" s="1" t="str">
        <f>_xlfn.CONCAT(tabE.Flux[[#This Row],[DATA]],"+",tabE.Flux[[#This Row],[MOTORISTA + MATRÍCULA A]],"+",tabE.Flux[[#This Row],[LINHA]])</f>
        <v>45936+JWEBISON DE BRITO SOUZA - 2999+GOIANIA (GO) X TERESINA (PI) VIA BC</v>
      </c>
      <c r="F1153" s="1" t="str">
        <f>_xlfn.CONCAT(tabE.Flux[[#This Row],[DATA]],"+",tabE.Flux[[#This Row],[MOTORISTA + MATRÍCULA B]],"+",tabE.Flux[[#This Row],[LINHA]])</f>
        <v>45936+FRANCISCO DAS CHAGAS DOS SANTOS ANGELO - 5299+GOIANIA (GO) X TERESINA (PI) VIA BC</v>
      </c>
      <c r="G1153" s="1" t="str">
        <f>_xlfn.CONCAT(tabE.Flux[[#This Row],[DATA]],"+",tabE.Flux[[#This Row],[LINHA]])</f>
        <v>45936+GOIANIA (GO) X TERESINA (PI) VIA BC</v>
      </c>
      <c r="H1153" s="125">
        <v>45936</v>
      </c>
      <c r="I1153" s="1" t="s">
        <v>15</v>
      </c>
      <c r="J1153" s="1">
        <v>25008</v>
      </c>
      <c r="K1153" s="126">
        <v>0.375</v>
      </c>
      <c r="L1153" s="126">
        <v>0.39930555555555558</v>
      </c>
      <c r="M1153" s="1" t="s">
        <v>36</v>
      </c>
      <c r="N1153" s="1" t="s">
        <v>29</v>
      </c>
      <c r="O1153" s="1" t="s">
        <v>77</v>
      </c>
      <c r="P1153" s="1" t="s">
        <v>198</v>
      </c>
      <c r="Q1153" s="1" t="s">
        <v>39</v>
      </c>
    </row>
    <row r="1154" spans="3:17" x14ac:dyDescent="0.25">
      <c r="C1154" s="1" t="str">
        <f>_xlfn.CONCAT(tabE.Flux[[#This Row],[DATA]],"+",tabE.Flux[[#This Row],[MOTORISTA + MATRÍCULA A]])</f>
        <v>45936+MARCOS ATAIDE SILVA - 1352</v>
      </c>
      <c r="D1154" s="1" t="str">
        <f>_xlfn.CONCAT(tabE.Flux[[#This Row],[DATA]],"+",tabE.Flux[[#This Row],[MOTORISTA + MATRÍCULA B]])</f>
        <v>45936+MARCIO RODRIGUES DA COSTA - 5993</v>
      </c>
      <c r="E1154" s="1" t="str">
        <f>_xlfn.CONCAT(tabE.Flux[[#This Row],[DATA]],"+",tabE.Flux[[#This Row],[MOTORISTA + MATRÍCULA A]],"+",tabE.Flux[[#This Row],[LINHA]])</f>
        <v xml:space="preserve">45936+MARCOS ATAIDE SILVA - 1352+GOIANIA (GO) X BELEM </v>
      </c>
      <c r="F1154" s="1" t="str">
        <f>_xlfn.CONCAT(tabE.Flux[[#This Row],[DATA]],"+",tabE.Flux[[#This Row],[MOTORISTA + MATRÍCULA B]],"+",tabE.Flux[[#This Row],[LINHA]])</f>
        <v xml:space="preserve">45936+MARCIO RODRIGUES DA COSTA - 5993+GOIANIA (GO) X BELEM </v>
      </c>
      <c r="G1154" s="1" t="str">
        <f>_xlfn.CONCAT(tabE.Flux[[#This Row],[DATA]],"+",tabE.Flux[[#This Row],[LINHA]])</f>
        <v xml:space="preserve">45936+GOIANIA (GO) X BELEM </v>
      </c>
      <c r="H1154" s="125">
        <v>45936</v>
      </c>
      <c r="I1154" s="1" t="s">
        <v>15</v>
      </c>
      <c r="J1154" s="1">
        <v>19002</v>
      </c>
      <c r="K1154" s="126">
        <v>0.375</v>
      </c>
      <c r="L1154" s="126">
        <v>0.41666666666666669</v>
      </c>
      <c r="M1154" s="1" t="s">
        <v>33</v>
      </c>
      <c r="N1154" s="1" t="s">
        <v>16</v>
      </c>
      <c r="O1154" s="1" t="s">
        <v>113</v>
      </c>
      <c r="P1154" s="1" t="s">
        <v>107</v>
      </c>
      <c r="Q1154" s="1" t="s">
        <v>267</v>
      </c>
    </row>
    <row r="1155" spans="3:17" x14ac:dyDescent="0.25">
      <c r="C1155" s="1" t="str">
        <f>_xlfn.CONCAT(tabE.Flux[[#This Row],[DATA]],"+",tabE.Flux[[#This Row],[MOTORISTA + MATRÍCULA A]])</f>
        <v>45936+CARLOS ADRIANO DE SOUZA DO NASCIMENTO - 6222</v>
      </c>
      <c r="D1155" s="1" t="str">
        <f>_xlfn.CONCAT(tabE.Flux[[#This Row],[DATA]],"+",tabE.Flux[[#This Row],[MOTORISTA + MATRÍCULA B]])</f>
        <v>45936+KLEBER OLIVEIRA LIMA - 5849</v>
      </c>
      <c r="E1155" s="1" t="str">
        <f>_xlfn.CONCAT(tabE.Flux[[#This Row],[DATA]],"+",tabE.Flux[[#This Row],[MOTORISTA + MATRÍCULA A]],"+",tabE.Flux[[#This Row],[LINHA]])</f>
        <v>45936+CARLOS ADRIANO DE SOUZA DO NASCIMENTO - 6222+GOIANIA (GO) X SAO LUIS (MA)</v>
      </c>
      <c r="F1155" s="1" t="str">
        <f>_xlfn.CONCAT(tabE.Flux[[#This Row],[DATA]],"+",tabE.Flux[[#This Row],[MOTORISTA + MATRÍCULA B]],"+",tabE.Flux[[#This Row],[LINHA]])</f>
        <v>45936+KLEBER OLIVEIRA LIMA - 5849+GOIANIA (GO) X SAO LUIS (MA)</v>
      </c>
      <c r="G1155" s="1" t="str">
        <f>_xlfn.CONCAT(tabE.Flux[[#This Row],[DATA]],"+",tabE.Flux[[#This Row],[LINHA]])</f>
        <v>45936+GOIANIA (GO) X SAO LUIS (MA)</v>
      </c>
      <c r="H1155" s="125">
        <v>45936</v>
      </c>
      <c r="I1155" s="1" t="s">
        <v>15</v>
      </c>
      <c r="J1155" s="1">
        <v>17200</v>
      </c>
      <c r="K1155" s="126">
        <v>0.25</v>
      </c>
      <c r="L1155" s="126">
        <v>0.29166666666666669</v>
      </c>
      <c r="M1155" s="1" t="s">
        <v>42</v>
      </c>
      <c r="N1155" s="1" t="s">
        <v>16</v>
      </c>
      <c r="O1155" s="1" t="s">
        <v>110</v>
      </c>
      <c r="P1155" s="1" t="s">
        <v>102</v>
      </c>
      <c r="Q1155" s="1" t="s">
        <v>23</v>
      </c>
    </row>
    <row r="1156" spans="3:17" x14ac:dyDescent="0.25">
      <c r="C1156" s="1" t="str">
        <f>_xlfn.CONCAT(tabE.Flux[[#This Row],[DATA]],"+",tabE.Flux[[#This Row],[MOTORISTA + MATRÍCULA A]])</f>
        <v>45936+KAYLSON KLEYTON DA SILVA COSTA - 6224</v>
      </c>
      <c r="D1156" s="1" t="str">
        <f>_xlfn.CONCAT(tabE.Flux[[#This Row],[DATA]],"+",tabE.Flux[[#This Row],[MOTORISTA + MATRÍCULA B]])</f>
        <v>45936+JOSE CARLOS BEZERRA DA SILVA - 3034</v>
      </c>
      <c r="E1156" s="1" t="str">
        <f>_xlfn.CONCAT(tabE.Flux[[#This Row],[DATA]],"+",tabE.Flux[[#This Row],[MOTORISTA + MATRÍCULA A]],"+",tabE.Flux[[#This Row],[LINHA]])</f>
        <v>45936+KAYLSON KLEYTON DA SILVA COSTA - 6224+GOIANIA (GO) X SAO LUIS (MA)</v>
      </c>
      <c r="F1156" s="1" t="str">
        <f>_xlfn.CONCAT(tabE.Flux[[#This Row],[DATA]],"+",tabE.Flux[[#This Row],[MOTORISTA + MATRÍCULA B]],"+",tabE.Flux[[#This Row],[LINHA]])</f>
        <v>45936+JOSE CARLOS BEZERRA DA SILVA - 3034+GOIANIA (GO) X SAO LUIS (MA)</v>
      </c>
      <c r="G1156" s="1" t="str">
        <f>_xlfn.CONCAT(tabE.Flux[[#This Row],[DATA]],"+",tabE.Flux[[#This Row],[LINHA]])</f>
        <v>45936+GOIANIA (GO) X SAO LUIS (MA)</v>
      </c>
      <c r="H1156" s="125">
        <v>45936</v>
      </c>
      <c r="I1156" s="1" t="s">
        <v>15</v>
      </c>
      <c r="J1156" s="1">
        <v>25007</v>
      </c>
      <c r="K1156" s="126">
        <v>0.75</v>
      </c>
      <c r="L1156" s="126">
        <v>0.79166666666666663</v>
      </c>
      <c r="M1156" s="1" t="s">
        <v>42</v>
      </c>
      <c r="N1156" s="1" t="s">
        <v>16</v>
      </c>
      <c r="O1156" s="1" t="s">
        <v>80</v>
      </c>
      <c r="P1156" s="1" t="s">
        <v>76</v>
      </c>
      <c r="Q1156" s="1" t="s">
        <v>23</v>
      </c>
    </row>
    <row r="1157" spans="3:17" x14ac:dyDescent="0.25">
      <c r="C1157" s="1" t="str">
        <f>_xlfn.CONCAT(tabE.Flux[[#This Row],[DATA]],"+",tabE.Flux[[#This Row],[MOTORISTA + MATRÍCULA A]])</f>
        <v>45936+CANCELADO</v>
      </c>
      <c r="D1157" s="1" t="str">
        <f>_xlfn.CONCAT(tabE.Flux[[#This Row],[DATA]],"+",tabE.Flux[[#This Row],[MOTORISTA + MATRÍCULA B]])</f>
        <v>45936+CANCELADO</v>
      </c>
      <c r="E1157" s="1" t="str">
        <f>_xlfn.CONCAT(tabE.Flux[[#This Row],[DATA]],"+",tabE.Flux[[#This Row],[MOTORISTA + MATRÍCULA A]],"+",tabE.Flux[[#This Row],[LINHA]])</f>
        <v>45936+CANCELADO+IMPERATRIZ (MA) X SÃO LUIS (MA)</v>
      </c>
      <c r="F1157" s="1" t="str">
        <f>_xlfn.CONCAT(tabE.Flux[[#This Row],[DATA]],"+",tabE.Flux[[#This Row],[MOTORISTA + MATRÍCULA B]],"+",tabE.Flux[[#This Row],[LINHA]])</f>
        <v>45936+CANCELADO+IMPERATRIZ (MA) X SÃO LUIS (MA)</v>
      </c>
      <c r="G1157" s="1" t="str">
        <f>_xlfn.CONCAT(tabE.Flux[[#This Row],[DATA]],"+",tabE.Flux[[#This Row],[LINHA]])</f>
        <v>45936+IMPERATRIZ (MA) X SÃO LUIS (MA)</v>
      </c>
      <c r="H1157" s="125">
        <v>45936</v>
      </c>
      <c r="I1157" s="1" t="s">
        <v>15</v>
      </c>
      <c r="J1157" s="1" t="s">
        <v>27</v>
      </c>
      <c r="K1157" s="126">
        <v>0.77083333333333337</v>
      </c>
      <c r="L1157" s="126">
        <v>0.79513888888888884</v>
      </c>
      <c r="M1157" s="1" t="s">
        <v>42</v>
      </c>
      <c r="N1157" s="1" t="s">
        <v>16</v>
      </c>
      <c r="O1157" s="1" t="s">
        <v>27</v>
      </c>
      <c r="P1157" s="1" t="s">
        <v>27</v>
      </c>
      <c r="Q1157" s="1" t="s">
        <v>47</v>
      </c>
    </row>
    <row r="1158" spans="3:17" x14ac:dyDescent="0.25">
      <c r="C1158" s="1" t="str">
        <f>_xlfn.CONCAT(tabE.Flux[[#This Row],[DATA]],"+",tabE.Flux[[#This Row],[MOTORISTA + MATRÍCULA A]])</f>
        <v>45936+VALDIR NUNES DA SILVA - 2989</v>
      </c>
      <c r="D1158" s="1" t="str">
        <f>_xlfn.CONCAT(tabE.Flux[[#This Row],[DATA]],"+",tabE.Flux[[#This Row],[MOTORISTA + MATRÍCULA B]])</f>
        <v>45936+JOAO MONTEIRO DA COSTA - 5187</v>
      </c>
      <c r="E1158" s="1" t="str">
        <f>_xlfn.CONCAT(tabE.Flux[[#This Row],[DATA]],"+",tabE.Flux[[#This Row],[MOTORISTA + MATRÍCULA A]],"+",tabE.Flux[[#This Row],[LINHA]])</f>
        <v>45936+VALDIR NUNES DA SILVA - 2989+GOIANIA (GO) X TERESINA (PI) VIA BC</v>
      </c>
      <c r="F1158" s="1" t="str">
        <f>_xlfn.CONCAT(tabE.Flux[[#This Row],[DATA]],"+",tabE.Flux[[#This Row],[MOTORISTA + MATRÍCULA B]],"+",tabE.Flux[[#This Row],[LINHA]])</f>
        <v>45936+JOAO MONTEIRO DA COSTA - 5187+GOIANIA (GO) X TERESINA (PI) VIA BC</v>
      </c>
      <c r="G1158" s="1" t="str">
        <f>_xlfn.CONCAT(tabE.Flux[[#This Row],[DATA]],"+",tabE.Flux[[#This Row],[LINHA]])</f>
        <v>45936+GOIANIA (GO) X TERESINA (PI) VIA BC</v>
      </c>
      <c r="H1158" s="125">
        <v>45936</v>
      </c>
      <c r="I1158" s="1" t="s">
        <v>15</v>
      </c>
      <c r="J1158" s="1">
        <v>25011</v>
      </c>
      <c r="K1158" s="126">
        <v>0.89583333333333337</v>
      </c>
      <c r="L1158" s="126">
        <v>0.91666666666666663</v>
      </c>
      <c r="M1158" s="1" t="s">
        <v>36</v>
      </c>
      <c r="N1158" s="1" t="s">
        <v>17</v>
      </c>
      <c r="O1158" s="1" t="s">
        <v>134</v>
      </c>
      <c r="P1158" s="1" t="s">
        <v>135</v>
      </c>
      <c r="Q1158" s="1" t="s">
        <v>39</v>
      </c>
    </row>
    <row r="1159" spans="3:17" x14ac:dyDescent="0.25">
      <c r="C1159" s="1" t="str">
        <f>_xlfn.CONCAT(tabE.Flux[[#This Row],[DATA]],"+",tabE.Flux[[#This Row],[MOTORISTA + MATRÍCULA A]])</f>
        <v>45936+JAIRO VIEIRA FERREIRA - 5835</v>
      </c>
      <c r="D1159" s="1" t="str">
        <f>_xlfn.CONCAT(tabE.Flux[[#This Row],[DATA]],"+",tabE.Flux[[#This Row],[MOTORISTA + MATRÍCULA B]])</f>
        <v>45936+RICHARD SOUSA DA SILVA - 1271</v>
      </c>
      <c r="E1159" s="1" t="str">
        <f>_xlfn.CONCAT(tabE.Flux[[#This Row],[DATA]],"+",tabE.Flux[[#This Row],[MOTORISTA + MATRÍCULA A]],"+",tabE.Flux[[#This Row],[LINHA]])</f>
        <v>45936+JAIRO VIEIRA FERREIRA - 5835+GOIANIA (GO) X BELEM (PA)</v>
      </c>
      <c r="F1159" s="1" t="str">
        <f>_xlfn.CONCAT(tabE.Flux[[#This Row],[DATA]],"+",tabE.Flux[[#This Row],[MOTORISTA + MATRÍCULA B]],"+",tabE.Flux[[#This Row],[LINHA]])</f>
        <v>45936+RICHARD SOUSA DA SILVA - 1271+GOIANIA (GO) X BELEM (PA)</v>
      </c>
      <c r="G1159" s="1" t="str">
        <f>_xlfn.CONCAT(tabE.Flux[[#This Row],[DATA]],"+",tabE.Flux[[#This Row],[LINHA]])</f>
        <v>45936+GOIANIA (GO) X BELEM (PA)</v>
      </c>
      <c r="H1159" s="125">
        <v>45936</v>
      </c>
      <c r="I1159" s="1" t="s">
        <v>15</v>
      </c>
      <c r="J1159" s="1">
        <v>24013</v>
      </c>
      <c r="K1159" s="126">
        <v>0.76041666666666663</v>
      </c>
      <c r="L1159" s="126">
        <v>0.77083333333333337</v>
      </c>
      <c r="M1159" s="1" t="s">
        <v>33</v>
      </c>
      <c r="N1159" s="1" t="s">
        <v>16</v>
      </c>
      <c r="O1159" s="1" t="s">
        <v>230</v>
      </c>
      <c r="P1159" s="1" t="s">
        <v>56</v>
      </c>
      <c r="Q1159" s="1" t="s">
        <v>20</v>
      </c>
    </row>
    <row r="1160" spans="3:17" x14ac:dyDescent="0.25">
      <c r="C1160" s="1" t="str">
        <f>_xlfn.CONCAT(tabE.Flux[[#This Row],[DATA]],"+",tabE.Flux[[#This Row],[MOTORISTA + MATRÍCULA A]])</f>
        <v>45936+JEFFERSON CARDOSO DOS SANTOS - 5837</v>
      </c>
      <c r="D1160" s="1" t="str">
        <f>_xlfn.CONCAT(tabE.Flux[[#This Row],[DATA]],"+",tabE.Flux[[#This Row],[MOTORISTA + MATRÍCULA B]])</f>
        <v>45936+JOAO DE JESUS GOUVEIA - 6016</v>
      </c>
      <c r="E1160" s="1" t="str">
        <f>_xlfn.CONCAT(tabE.Flux[[#This Row],[DATA]],"+",tabE.Flux[[#This Row],[MOTORISTA + MATRÍCULA A]],"+",tabE.Flux[[#This Row],[LINHA]])</f>
        <v>45936+JEFFERSON CARDOSO DOS SANTOS - 5837+GOIANIA (GO) X BELEM (PA)</v>
      </c>
      <c r="F1160" s="1" t="str">
        <f>_xlfn.CONCAT(tabE.Flux[[#This Row],[DATA]],"+",tabE.Flux[[#This Row],[MOTORISTA + MATRÍCULA B]],"+",tabE.Flux[[#This Row],[LINHA]])</f>
        <v>45936+JOAO DE JESUS GOUVEIA - 6016+GOIANIA (GO) X BELEM (PA)</v>
      </c>
      <c r="G1160" s="1" t="str">
        <f>_xlfn.CONCAT(tabE.Flux[[#This Row],[DATA]],"+",tabE.Flux[[#This Row],[LINHA]])</f>
        <v>45936+GOIANIA (GO) X BELEM (PA)</v>
      </c>
      <c r="H1160" s="125">
        <v>45936</v>
      </c>
      <c r="I1160" s="1" t="s">
        <v>15</v>
      </c>
      <c r="J1160" s="1">
        <v>24003</v>
      </c>
      <c r="K1160" s="126">
        <v>0.76041666666666663</v>
      </c>
      <c r="L1160" s="126">
        <v>0.82777777777777772</v>
      </c>
      <c r="M1160" s="1" t="s">
        <v>16</v>
      </c>
      <c r="N1160" s="1" t="s">
        <v>33</v>
      </c>
      <c r="O1160" s="1" t="s">
        <v>30</v>
      </c>
      <c r="P1160" s="1" t="s">
        <v>58</v>
      </c>
      <c r="Q1160" s="1" t="s">
        <v>20</v>
      </c>
    </row>
    <row r="1161" spans="3:17" x14ac:dyDescent="0.25">
      <c r="C1161" s="1" t="str">
        <f>_xlfn.CONCAT(tabE.Flux[[#This Row],[DATA]],"+",tabE.Flux[[#This Row],[MOTORISTA + MATRÍCULA A]])</f>
        <v>45936+JARDEL DE SOUSA OLIVEIRA - 5992</v>
      </c>
      <c r="D1161" s="1" t="str">
        <f>_xlfn.CONCAT(tabE.Flux[[#This Row],[DATA]],"+",tabE.Flux[[#This Row],[MOTORISTA + MATRÍCULA B]])</f>
        <v>45936+LAUCEANDO DA SILVA ROCHA - 6220</v>
      </c>
      <c r="E1161" s="1" t="str">
        <f>_xlfn.CONCAT(tabE.Flux[[#This Row],[DATA]],"+",tabE.Flux[[#This Row],[MOTORISTA + MATRÍCULA A]],"+",tabE.Flux[[#This Row],[LINHA]])</f>
        <v>45936+JARDEL DE SOUSA OLIVEIRA - 5992+GOIANIA (GO) X SAO LUIS (MA)</v>
      </c>
      <c r="F1161" s="1" t="str">
        <f>_xlfn.CONCAT(tabE.Flux[[#This Row],[DATA]],"+",tabE.Flux[[#This Row],[MOTORISTA + MATRÍCULA B]],"+",tabE.Flux[[#This Row],[LINHA]])</f>
        <v>45936+LAUCEANDO DA SILVA ROCHA - 6220+GOIANIA (GO) X SAO LUIS (MA)</v>
      </c>
      <c r="G1161" s="1" t="str">
        <f>_xlfn.CONCAT(tabE.Flux[[#This Row],[DATA]],"+",tabE.Flux[[#This Row],[LINHA]])</f>
        <v>45936+GOIANIA (GO) X SAO LUIS (MA)</v>
      </c>
      <c r="H1161" s="125">
        <v>45936</v>
      </c>
      <c r="I1161" s="1" t="s">
        <v>15</v>
      </c>
      <c r="J1161" s="1">
        <v>19001</v>
      </c>
      <c r="K1161" s="126">
        <v>0.40763888888888888</v>
      </c>
      <c r="L1161" s="126">
        <v>0.47013888888888888</v>
      </c>
      <c r="M1161" s="1" t="s">
        <v>16</v>
      </c>
      <c r="N1161" s="1" t="s">
        <v>42</v>
      </c>
      <c r="O1161" s="1" t="s">
        <v>150</v>
      </c>
      <c r="P1161" s="1" t="s">
        <v>86</v>
      </c>
      <c r="Q1161" s="1" t="s">
        <v>23</v>
      </c>
    </row>
    <row r="1162" spans="3:17" x14ac:dyDescent="0.25">
      <c r="C1162" s="1" t="str">
        <f>_xlfn.CONCAT(tabE.Flux[[#This Row],[DATA]],"+",tabE.Flux[[#This Row],[MOTORISTA + MATRÍCULA A]])</f>
        <v>45936+CANCELADO</v>
      </c>
      <c r="D1162" s="1" t="str">
        <f>_xlfn.CONCAT(tabE.Flux[[#This Row],[DATA]],"+",tabE.Flux[[#This Row],[MOTORISTA + MATRÍCULA B]])</f>
        <v>45936+CANCELADO</v>
      </c>
      <c r="E1162" s="1" t="str">
        <f>_xlfn.CONCAT(tabE.Flux[[#This Row],[DATA]],"+",tabE.Flux[[#This Row],[MOTORISTA + MATRÍCULA A]],"+",tabE.Flux[[#This Row],[LINHA]])</f>
        <v>45936+CANCELADO+IMPERATRIZ (MA) X SÃO LUIS (MA)</v>
      </c>
      <c r="F1162" s="1" t="str">
        <f>_xlfn.CONCAT(tabE.Flux[[#This Row],[DATA]],"+",tabE.Flux[[#This Row],[MOTORISTA + MATRÍCULA B]],"+",tabE.Flux[[#This Row],[LINHA]])</f>
        <v>45936+CANCELADO+IMPERATRIZ (MA) X SÃO LUIS (MA)</v>
      </c>
      <c r="G1162" s="1" t="str">
        <f>_xlfn.CONCAT(tabE.Flux[[#This Row],[DATA]],"+",tabE.Flux[[#This Row],[LINHA]])</f>
        <v>45936+IMPERATRIZ (MA) X SÃO LUIS (MA)</v>
      </c>
      <c r="H1162" s="125">
        <v>45936</v>
      </c>
      <c r="I1162" s="1" t="s">
        <v>15</v>
      </c>
      <c r="J1162" s="1" t="s">
        <v>27</v>
      </c>
      <c r="K1162" s="126">
        <v>0.77083333333333337</v>
      </c>
      <c r="L1162" s="126">
        <v>0.8125</v>
      </c>
      <c r="M1162" s="1" t="s">
        <v>16</v>
      </c>
      <c r="N1162" s="1" t="s">
        <v>42</v>
      </c>
      <c r="O1162" s="1" t="s">
        <v>27</v>
      </c>
      <c r="P1162" s="1" t="s">
        <v>27</v>
      </c>
      <c r="Q1162" s="1" t="s">
        <v>47</v>
      </c>
    </row>
    <row r="1163" spans="3:17" x14ac:dyDescent="0.25">
      <c r="C1163" s="1" t="str">
        <f>_xlfn.CONCAT(tabE.Flux[[#This Row],[DATA]],"+",tabE.Flux[[#This Row],[MOTORISTA + MATRÍCULA A]])</f>
        <v>45936+BRUNO MATOS DA ROCHA - 6013</v>
      </c>
      <c r="D1163" s="1" t="str">
        <f>_xlfn.CONCAT(tabE.Flux[[#This Row],[DATA]],"+",tabE.Flux[[#This Row],[MOTORISTA + MATRÍCULA B]])</f>
        <v>45936+CARLOS ADRIANO DE SOUZA DO NASCIMENTO - 6222</v>
      </c>
      <c r="E1163" s="1" t="str">
        <f>_xlfn.CONCAT(tabE.Flux[[#This Row],[DATA]],"+",tabE.Flux[[#This Row],[MOTORISTA + MATRÍCULA A]],"+",tabE.Flux[[#This Row],[LINHA]])</f>
        <v>45936+BRUNO MATOS DA ROCHA - 6013+GOIANIA (GO) X SAO LUIS (MA)</v>
      </c>
      <c r="F1163" s="1" t="str">
        <f>_xlfn.CONCAT(tabE.Flux[[#This Row],[DATA]],"+",tabE.Flux[[#This Row],[MOTORISTA + MATRÍCULA B]],"+",tabE.Flux[[#This Row],[LINHA]])</f>
        <v>45936+CARLOS ADRIANO DE SOUZA DO NASCIMENTO - 6222+GOIANIA (GO) X SAO LUIS (MA)</v>
      </c>
      <c r="G1163" s="1" t="str">
        <f>_xlfn.CONCAT(tabE.Flux[[#This Row],[DATA]],"+",tabE.Flux[[#This Row],[LINHA]])</f>
        <v>45936+GOIANIA (GO) X SAO LUIS (MA)</v>
      </c>
      <c r="H1163" s="125">
        <v>45936</v>
      </c>
      <c r="I1163" s="1" t="s">
        <v>15</v>
      </c>
      <c r="J1163" s="1">
        <v>24001</v>
      </c>
      <c r="K1163" s="126">
        <v>0.8125</v>
      </c>
      <c r="L1163" s="126">
        <v>0.84375</v>
      </c>
      <c r="M1163" s="1" t="s">
        <v>16</v>
      </c>
      <c r="N1163" s="1" t="s">
        <v>42</v>
      </c>
      <c r="O1163" s="1" t="s">
        <v>147</v>
      </c>
      <c r="P1163" s="1" t="s">
        <v>110</v>
      </c>
      <c r="Q1163" s="1" t="s">
        <v>23</v>
      </c>
    </row>
    <row r="1164" spans="3:17" x14ac:dyDescent="0.25">
      <c r="C1164" s="1" t="str">
        <f>_xlfn.CONCAT(tabE.Flux[[#This Row],[DATA]],"+",tabE.Flux[[#This Row],[MOTORISTA + MATRÍCULA A]])</f>
        <v>45936+FRANCISCO LINDONALDO DE SOUSA - 2971</v>
      </c>
      <c r="D1164" s="1" t="str">
        <f>_xlfn.CONCAT(tabE.Flux[[#This Row],[DATA]],"+",tabE.Flux[[#This Row],[MOTORISTA + MATRÍCULA B]])</f>
        <v>45936+DANIEL PEREIRA DA ROCHA - 5298</v>
      </c>
      <c r="E1164" s="1" t="str">
        <f>_xlfn.CONCAT(tabE.Flux[[#This Row],[DATA]],"+",tabE.Flux[[#This Row],[MOTORISTA + MATRÍCULA A]],"+",tabE.Flux[[#This Row],[LINHA]])</f>
        <v>45936+FRANCISCO LINDONALDO DE SOUSA - 2971+GOIANIA (GO) X TERESINA (PI) VIA STI</v>
      </c>
      <c r="F1164" s="1" t="str">
        <f>_xlfn.CONCAT(tabE.Flux[[#This Row],[DATA]],"+",tabE.Flux[[#This Row],[MOTORISTA + MATRÍCULA B]],"+",tabE.Flux[[#This Row],[LINHA]])</f>
        <v>45936+DANIEL PEREIRA DA ROCHA - 5298+GOIANIA (GO) X TERESINA (PI) VIA STI</v>
      </c>
      <c r="G1164" s="1" t="str">
        <f>_xlfn.CONCAT(tabE.Flux[[#This Row],[DATA]],"+",tabE.Flux[[#This Row],[LINHA]])</f>
        <v>45936+GOIANIA (GO) X TERESINA (PI) VIA STI</v>
      </c>
      <c r="H1164" s="125">
        <v>45936</v>
      </c>
      <c r="I1164" s="1" t="s">
        <v>15</v>
      </c>
      <c r="J1164" s="1">
        <v>20016</v>
      </c>
      <c r="K1164" s="126">
        <v>0.77083333333333337</v>
      </c>
      <c r="L1164" s="126">
        <v>0.79861111111111116</v>
      </c>
      <c r="M1164" s="1" t="s">
        <v>16</v>
      </c>
      <c r="N1164" s="1" t="s">
        <v>29</v>
      </c>
      <c r="O1164" s="1" t="s">
        <v>131</v>
      </c>
      <c r="P1164" s="1" t="s">
        <v>184</v>
      </c>
      <c r="Q1164" s="1" t="s">
        <v>26</v>
      </c>
    </row>
    <row r="1165" spans="3:17" x14ac:dyDescent="0.25">
      <c r="C1165" s="1" t="str">
        <f>_xlfn.CONCAT(tabE.Flux[[#This Row],[DATA]],"+",tabE.Flux[[#This Row],[MOTORISTA + MATRÍCULA A]])</f>
        <v>45936+ANTONIO DIAS DE OLIVEIRA - 5309</v>
      </c>
      <c r="D1165" s="1" t="str">
        <f>_xlfn.CONCAT(tabE.Flux[[#This Row],[DATA]],"+",tabE.Flux[[#This Row],[MOTORISTA + MATRÍCULA B]])</f>
        <v>45936+JOAO ANIVAIR DE QUEIROZ - 5608</v>
      </c>
      <c r="E1165" s="1" t="str">
        <f>_xlfn.CONCAT(tabE.Flux[[#This Row],[DATA]],"+",tabE.Flux[[#This Row],[MOTORISTA + MATRÍCULA A]],"+",tabE.Flux[[#This Row],[LINHA]])</f>
        <v>45936+ANTONIO DIAS DE OLIVEIRA - 5309+GOIANIA (GO) X SAO LUIS (MA)</v>
      </c>
      <c r="F1165" s="1" t="str">
        <f>_xlfn.CONCAT(tabE.Flux[[#This Row],[DATA]],"+",tabE.Flux[[#This Row],[MOTORISTA + MATRÍCULA B]],"+",tabE.Flux[[#This Row],[LINHA]])</f>
        <v>45936+JOAO ANIVAIR DE QUEIROZ - 5608+GOIANIA (GO) X SAO LUIS (MA)</v>
      </c>
      <c r="G1165" s="1" t="str">
        <f>_xlfn.CONCAT(tabE.Flux[[#This Row],[DATA]],"+",tabE.Flux[[#This Row],[LINHA]])</f>
        <v>45936+GOIANIA (GO) X SAO LUIS (MA)</v>
      </c>
      <c r="H1165" s="125">
        <v>45936</v>
      </c>
      <c r="I1165" s="1" t="s">
        <v>15</v>
      </c>
      <c r="J1165" s="1">
        <v>17200</v>
      </c>
      <c r="K1165" s="126">
        <v>0.8125</v>
      </c>
      <c r="L1165" s="126">
        <v>0.84166666666666667</v>
      </c>
      <c r="M1165" s="1" t="s">
        <v>16</v>
      </c>
      <c r="N1165" s="1" t="s">
        <v>17</v>
      </c>
      <c r="O1165" s="1" t="s">
        <v>172</v>
      </c>
      <c r="P1165" s="1" t="s">
        <v>156</v>
      </c>
      <c r="Q1165" s="1" t="s">
        <v>23</v>
      </c>
    </row>
    <row r="1166" spans="3:17" x14ac:dyDescent="0.25">
      <c r="C1166" s="1" t="str">
        <f>_xlfn.CONCAT(tabE.Flux[[#This Row],[DATA]],"+",tabE.Flux[[#This Row],[MOTORISTA + MATRÍCULA A]])</f>
        <v>45936+RICARDO VIEIRA GERVASIO - 5297</v>
      </c>
      <c r="D1166" s="1" t="str">
        <f>_xlfn.CONCAT(tabE.Flux[[#This Row],[DATA]],"+",tabE.Flux[[#This Row],[MOTORISTA + MATRÍCULA B]])</f>
        <v>45936+JOSE ATAZ QUINTINO - 6048</v>
      </c>
      <c r="E1166" s="1" t="str">
        <f>_xlfn.CONCAT(tabE.Flux[[#This Row],[DATA]],"+",tabE.Flux[[#This Row],[MOTORISTA + MATRÍCULA A]],"+",tabE.Flux[[#This Row],[LINHA]])</f>
        <v>45936+RICARDO VIEIRA GERVASIO - 5297+FORTALEZA (CE) X SINOP (MT)</v>
      </c>
      <c r="F1166" s="1" t="str">
        <f>_xlfn.CONCAT(tabE.Flux[[#This Row],[DATA]],"+",tabE.Flux[[#This Row],[MOTORISTA + MATRÍCULA B]],"+",tabE.Flux[[#This Row],[LINHA]])</f>
        <v>45936+JOSE ATAZ QUINTINO - 6048+FORTALEZA (CE) X SINOP (MT)</v>
      </c>
      <c r="G1166" s="1" t="str">
        <f>_xlfn.CONCAT(tabE.Flux[[#This Row],[DATA]],"+",tabE.Flux[[#This Row],[LINHA]])</f>
        <v>45936+FORTALEZA (CE) X SINOP (MT)</v>
      </c>
      <c r="H1166" s="125">
        <v>45936</v>
      </c>
      <c r="I1166" s="1" t="s">
        <v>15</v>
      </c>
      <c r="J1166" s="1">
        <v>20017</v>
      </c>
      <c r="K1166" s="126">
        <v>0.8125</v>
      </c>
      <c r="L1166" s="126">
        <v>0.85416666666666663</v>
      </c>
      <c r="M1166" s="1" t="s">
        <v>16</v>
      </c>
      <c r="N1166" s="1" t="s">
        <v>17</v>
      </c>
      <c r="O1166" s="1" t="s">
        <v>203</v>
      </c>
      <c r="P1166" s="1" t="s">
        <v>202</v>
      </c>
      <c r="Q1166" s="1" t="s">
        <v>32</v>
      </c>
    </row>
    <row r="1167" spans="3:17" x14ac:dyDescent="0.25">
      <c r="C1167" s="1" t="str">
        <f>_xlfn.CONCAT(tabE.Flux[[#This Row],[DATA]],"+",tabE.Flux[[#This Row],[MOTORISTA + MATRÍCULA A]])</f>
        <v>45936+GENIVALDO ANTONIO DE SOUZA - 1082</v>
      </c>
      <c r="D1167" s="1" t="str">
        <f>_xlfn.CONCAT(tabE.Flux[[#This Row],[DATA]],"+",tabE.Flux[[#This Row],[MOTORISTA + MATRÍCULA B]])</f>
        <v>45936+GISLE RODRIGUES DE SOUSA - 6047</v>
      </c>
      <c r="E1167" s="1" t="str">
        <f>_xlfn.CONCAT(tabE.Flux[[#This Row],[DATA]],"+",tabE.Flux[[#This Row],[MOTORISTA + MATRÍCULA A]],"+",tabE.Flux[[#This Row],[LINHA]])</f>
        <v>45936+GENIVALDO ANTONIO DE SOUZA - 1082+GOIANIA (GO) X BELEM (PA)</v>
      </c>
      <c r="F1167" s="1" t="str">
        <f>_xlfn.CONCAT(tabE.Flux[[#This Row],[DATA]],"+",tabE.Flux[[#This Row],[MOTORISTA + MATRÍCULA B]],"+",tabE.Flux[[#This Row],[LINHA]])</f>
        <v>45936+GISLE RODRIGUES DE SOUSA - 6047+GOIANIA (GO) X BELEM (PA)</v>
      </c>
      <c r="G1167" s="1" t="str">
        <f>_xlfn.CONCAT(tabE.Flux[[#This Row],[DATA]],"+",tabE.Flux[[#This Row],[LINHA]])</f>
        <v>45936+GOIANIA (GO) X BELEM (PA)</v>
      </c>
      <c r="H1167" s="125">
        <v>45936</v>
      </c>
      <c r="I1167" s="1" t="s">
        <v>15</v>
      </c>
      <c r="J1167" s="1">
        <v>19002</v>
      </c>
      <c r="K1167" s="126">
        <v>0.84722222222222221</v>
      </c>
      <c r="L1167" s="126">
        <v>0.87847222222222221</v>
      </c>
      <c r="M1167" s="1" t="s">
        <v>16</v>
      </c>
      <c r="N1167" s="1" t="s">
        <v>17</v>
      </c>
      <c r="O1167" s="1" t="s">
        <v>185</v>
      </c>
      <c r="P1167" s="1" t="s">
        <v>186</v>
      </c>
      <c r="Q1167" s="1" t="s">
        <v>20</v>
      </c>
    </row>
    <row r="1168" spans="3:17" x14ac:dyDescent="0.25">
      <c r="C1168" s="1" t="str">
        <f>_xlfn.CONCAT(tabE.Flux[[#This Row],[DATA]],"+",tabE.Flux[[#This Row],[MOTORISTA + MATRÍCULA A]])</f>
        <v>+</v>
      </c>
      <c r="D1168" s="1" t="str">
        <f>_xlfn.CONCAT(tabE.Flux[[#This Row],[DATA]],"+",tabE.Flux[[#This Row],[MOTORISTA + MATRÍCULA B]])</f>
        <v>+</v>
      </c>
      <c r="E1168" s="1" t="str">
        <f>_xlfn.CONCAT(tabE.Flux[[#This Row],[DATA]],"+",tabE.Flux[[#This Row],[MOTORISTA + MATRÍCULA A]],"+",tabE.Flux[[#This Row],[LINHA]])</f>
        <v>++</v>
      </c>
      <c r="F1168" s="1" t="str">
        <f>_xlfn.CONCAT(tabE.Flux[[#This Row],[DATA]],"+",tabE.Flux[[#This Row],[MOTORISTA + MATRÍCULA B]],"+",tabE.Flux[[#This Row],[LINHA]])</f>
        <v>++</v>
      </c>
      <c r="G1168" s="1" t="str">
        <f>_xlfn.CONCAT(tabE.Flux[[#This Row],[DATA]],"+",tabE.Flux[[#This Row],[LINHA]])</f>
        <v>+</v>
      </c>
      <c r="H1168" s="1"/>
      <c r="I1168" s="1"/>
      <c r="J1168" s="1"/>
      <c r="K1168" s="1"/>
      <c r="L1168" s="1"/>
      <c r="M1168" s="1"/>
      <c r="N1168" s="1"/>
      <c r="O1168" s="1"/>
      <c r="P1168" s="1"/>
      <c r="Q1168" s="1"/>
    </row>
    <row r="1169" spans="3:17" x14ac:dyDescent="0.25">
      <c r="C1169" s="1" t="str">
        <f>_xlfn.CONCAT(tabE.Flux[[#This Row],[DATA]],"+",tabE.Flux[[#This Row],[MOTORISTA + MATRÍCULA A]])</f>
        <v>45937+CLAUDIO JOSE DO NASCIMENTO - 549</v>
      </c>
      <c r="D1169" s="1" t="str">
        <f>_xlfn.CONCAT(tabE.Flux[[#This Row],[DATA]],"+",tabE.Flux[[#This Row],[MOTORISTA + MATRÍCULA B]])</f>
        <v>45937+COSME CAVALCANTE DA SILVA - 3002</v>
      </c>
      <c r="E1169" s="1" t="str">
        <f>_xlfn.CONCAT(tabE.Flux[[#This Row],[DATA]],"+",tabE.Flux[[#This Row],[MOTORISTA + MATRÍCULA A]],"+",tabE.Flux[[#This Row],[LINHA]])</f>
        <v>45937+CLAUDIO JOSE DO NASCIMENTO - 549+GOIANIA (GO) X BELEM (PA)</v>
      </c>
      <c r="F1169" s="1" t="str">
        <f>_xlfn.CONCAT(tabE.Flux[[#This Row],[DATA]],"+",tabE.Flux[[#This Row],[MOTORISTA + MATRÍCULA B]],"+",tabE.Flux[[#This Row],[LINHA]])</f>
        <v>45937+COSME CAVALCANTE DA SILVA - 3002+GOIANIA (GO) X BELEM (PA)</v>
      </c>
      <c r="G1169" s="1" t="str">
        <f>_xlfn.CONCAT(tabE.Flux[[#This Row],[DATA]],"+",tabE.Flux[[#This Row],[LINHA]])</f>
        <v>45937+GOIANIA (GO) X BELEM (PA)</v>
      </c>
      <c r="H1169" s="125">
        <v>45937</v>
      </c>
      <c r="I1169" s="1" t="s">
        <v>15</v>
      </c>
      <c r="J1169" s="1">
        <v>24013</v>
      </c>
      <c r="K1169" s="126">
        <v>0.25486111111111109</v>
      </c>
      <c r="L1169" s="126">
        <v>0.3</v>
      </c>
      <c r="M1169" s="1" t="s">
        <v>16</v>
      </c>
      <c r="N1169" s="1" t="s">
        <v>17</v>
      </c>
      <c r="O1169" s="1" t="s">
        <v>48</v>
      </c>
      <c r="P1169" s="1" t="s">
        <v>49</v>
      </c>
      <c r="Q1169" s="1" t="s">
        <v>20</v>
      </c>
    </row>
    <row r="1170" spans="3:17" x14ac:dyDescent="0.25">
      <c r="C1170" s="1" t="str">
        <f>_xlfn.CONCAT(tabE.Flux[[#This Row],[DATA]],"+",tabE.Flux[[#This Row],[MOTORISTA + MATRÍCULA A]])</f>
        <v>45937+ANTONIO MARQUES NETO DOS SANTOS - 1738</v>
      </c>
      <c r="D1170" s="1" t="str">
        <f>_xlfn.CONCAT(tabE.Flux[[#This Row],[DATA]],"+",tabE.Flux[[#This Row],[MOTORISTA + MATRÍCULA B]])</f>
        <v>45937+ANDSON WAGNER NASCIMENTO SOUZA - 2902</v>
      </c>
      <c r="E1170" s="1" t="str">
        <f>_xlfn.CONCAT(tabE.Flux[[#This Row],[DATA]],"+",tabE.Flux[[#This Row],[MOTORISTA + MATRÍCULA A]],"+",tabE.Flux[[#This Row],[LINHA]])</f>
        <v>45937+ANTONIO MARQUES NETO DOS SANTOS - 1738+GOIANIA (GO) X SAO LUIS (MA)</v>
      </c>
      <c r="F1170" s="1" t="str">
        <f>_xlfn.CONCAT(tabE.Flux[[#This Row],[DATA]],"+",tabE.Flux[[#This Row],[MOTORISTA + MATRÍCULA B]],"+",tabE.Flux[[#This Row],[LINHA]])</f>
        <v>45937+ANDSON WAGNER NASCIMENTO SOUZA - 2902+GOIANIA (GO) X SAO LUIS (MA)</v>
      </c>
      <c r="G1170" s="1" t="str">
        <f>_xlfn.CONCAT(tabE.Flux[[#This Row],[DATA]],"+",tabE.Flux[[#This Row],[LINHA]])</f>
        <v>45937+GOIANIA (GO) X SAO LUIS (MA)</v>
      </c>
      <c r="H1170" s="125">
        <v>45937</v>
      </c>
      <c r="I1170" s="1" t="s">
        <v>15</v>
      </c>
      <c r="J1170" s="1">
        <v>25007</v>
      </c>
      <c r="K1170" s="126">
        <v>0.32291666666666669</v>
      </c>
      <c r="L1170" s="126">
        <v>0.33333333333333331</v>
      </c>
      <c r="M1170" s="1" t="s">
        <v>16</v>
      </c>
      <c r="N1170" s="1" t="s">
        <v>17</v>
      </c>
      <c r="O1170" s="1" t="s">
        <v>73</v>
      </c>
      <c r="P1170" s="1" t="s">
        <v>232</v>
      </c>
      <c r="Q1170" s="1" t="s">
        <v>23</v>
      </c>
    </row>
    <row r="1171" spans="3:17" x14ac:dyDescent="0.25">
      <c r="C1171" s="1" t="str">
        <f>_xlfn.CONCAT(tabE.Flux[[#This Row],[DATA]],"+",tabE.Flux[[#This Row],[MOTORISTA + MATRÍCULA A]])</f>
        <v>45937+ANTONIO FRANCINALDO DE OLIVEIRA MARQUES - 5018</v>
      </c>
      <c r="D1171" s="1" t="str">
        <f>_xlfn.CONCAT(tabE.Flux[[#This Row],[DATA]],"+",tabE.Flux[[#This Row],[MOTORISTA + MATRÍCULA B]])</f>
        <v>45937+AELSON PEREIRA DO NASCIMENTO - 5682</v>
      </c>
      <c r="E1171" s="1" t="str">
        <f>_xlfn.CONCAT(tabE.Flux[[#This Row],[DATA]],"+",tabE.Flux[[#This Row],[MOTORISTA + MATRÍCULA A]],"+",tabE.Flux[[#This Row],[LINHA]])</f>
        <v>45937+ANTONIO FRANCINALDO DE OLIVEIRA MARQUES - 5018+GOIANIA (GO) X TERESINA (PI) VIA STI</v>
      </c>
      <c r="F1171" s="1" t="str">
        <f>_xlfn.CONCAT(tabE.Flux[[#This Row],[DATA]],"+",tabE.Flux[[#This Row],[MOTORISTA + MATRÍCULA B]],"+",tabE.Flux[[#This Row],[LINHA]])</f>
        <v>45937+AELSON PEREIRA DO NASCIMENTO - 5682+GOIANIA (GO) X TERESINA (PI) VIA STI</v>
      </c>
      <c r="G1171" s="1" t="str">
        <f>_xlfn.CONCAT(tabE.Flux[[#This Row],[DATA]],"+",tabE.Flux[[#This Row],[LINHA]])</f>
        <v>45937+GOIANIA (GO) X TERESINA (PI) VIA STI</v>
      </c>
      <c r="H1171" s="125">
        <v>45937</v>
      </c>
      <c r="I1171" s="1" t="s">
        <v>15</v>
      </c>
      <c r="J1171" s="1">
        <v>19026</v>
      </c>
      <c r="K1171" s="126">
        <v>0.3888888888888889</v>
      </c>
      <c r="L1171" s="126">
        <v>0.39583333333333331</v>
      </c>
      <c r="M1171" s="1" t="s">
        <v>16</v>
      </c>
      <c r="N1171" s="1" t="s">
        <v>17</v>
      </c>
      <c r="O1171" s="1" t="s">
        <v>233</v>
      </c>
      <c r="P1171" s="1" t="s">
        <v>88</v>
      </c>
      <c r="Q1171" s="1" t="s">
        <v>26</v>
      </c>
    </row>
    <row r="1172" spans="3:17" x14ac:dyDescent="0.25">
      <c r="C1172" s="1" t="str">
        <f>_xlfn.CONCAT(tabE.Flux[[#This Row],[DATA]],"+",tabE.Flux[[#This Row],[MOTORISTA + MATRÍCULA A]])</f>
        <v>45937+CANCELADO</v>
      </c>
      <c r="D1172" s="1" t="str">
        <f>_xlfn.CONCAT(tabE.Flux[[#This Row],[DATA]],"+",tabE.Flux[[#This Row],[MOTORISTA + MATRÍCULA B]])</f>
        <v>45937+CANCELADO</v>
      </c>
      <c r="E1172" s="1" t="str">
        <f>_xlfn.CONCAT(tabE.Flux[[#This Row],[DATA]],"+",tabE.Flux[[#This Row],[MOTORISTA + MATRÍCULA A]],"+",tabE.Flux[[#This Row],[LINHA]])</f>
        <v>45937+CANCELADO+</v>
      </c>
      <c r="F1172" s="1" t="str">
        <f>_xlfn.CONCAT(tabE.Flux[[#This Row],[DATA]],"+",tabE.Flux[[#This Row],[MOTORISTA + MATRÍCULA B]],"+",tabE.Flux[[#This Row],[LINHA]])</f>
        <v>45937+CANCELADO+</v>
      </c>
      <c r="G1172" s="1" t="str">
        <f>_xlfn.CONCAT(tabE.Flux[[#This Row],[DATA]],"+",tabE.Flux[[#This Row],[LINHA]])</f>
        <v>45937+</v>
      </c>
      <c r="H1172" s="125">
        <v>45937</v>
      </c>
      <c r="I1172" s="1" t="s">
        <v>15</v>
      </c>
      <c r="J1172" s="1" t="s">
        <v>27</v>
      </c>
      <c r="K1172" s="126">
        <v>0.375</v>
      </c>
      <c r="L1172" s="126">
        <v>0.41666666666666669</v>
      </c>
      <c r="M1172" s="1" t="s">
        <v>16</v>
      </c>
      <c r="N1172" s="1" t="s">
        <v>28</v>
      </c>
      <c r="O1172" s="1" t="s">
        <v>27</v>
      </c>
      <c r="P1172" s="1" t="s">
        <v>27</v>
      </c>
      <c r="Q1172" s="1"/>
    </row>
    <row r="1173" spans="3:17" x14ac:dyDescent="0.25">
      <c r="C1173" s="1" t="str">
        <f>_xlfn.CONCAT(tabE.Flux[[#This Row],[DATA]],"+",tabE.Flux[[#This Row],[MOTORISTA + MATRÍCULA A]])</f>
        <v>45937+ELIEZIO JOSE DOS SANTOS - 2645</v>
      </c>
      <c r="D1173" s="1" t="str">
        <f>_xlfn.CONCAT(tabE.Flux[[#This Row],[DATA]],"+",tabE.Flux[[#This Row],[MOTORISTA + MATRÍCULA B]])</f>
        <v>45937+FRANCISCO CARLOS MELO - 5306</v>
      </c>
      <c r="E1173" s="1" t="str">
        <f>_xlfn.CONCAT(tabE.Flux[[#This Row],[DATA]],"+",tabE.Flux[[#This Row],[MOTORISTA + MATRÍCULA A]],"+",tabE.Flux[[#This Row],[LINHA]])</f>
        <v>45937+ELIEZIO JOSE DOS SANTOS - 2645+FORTALEZA (CE) X SINOP (MT)</v>
      </c>
      <c r="F1173" s="1" t="str">
        <f>_xlfn.CONCAT(tabE.Flux[[#This Row],[DATA]],"+",tabE.Flux[[#This Row],[MOTORISTA + MATRÍCULA B]],"+",tabE.Flux[[#This Row],[LINHA]])</f>
        <v>45937+FRANCISCO CARLOS MELO - 5306+FORTALEZA (CE) X SINOP (MT)</v>
      </c>
      <c r="G1173" s="1" t="str">
        <f>_xlfn.CONCAT(tabE.Flux[[#This Row],[DATA]],"+",tabE.Flux[[#This Row],[LINHA]])</f>
        <v>45937+FORTALEZA (CE) X SINOP (MT)</v>
      </c>
      <c r="H1173" s="125">
        <v>45937</v>
      </c>
      <c r="I1173" s="1" t="s">
        <v>15</v>
      </c>
      <c r="J1173" s="1">
        <v>20013</v>
      </c>
      <c r="K1173" s="126">
        <v>0.3888888888888889</v>
      </c>
      <c r="L1173" s="126">
        <v>0.37708333333333333</v>
      </c>
      <c r="M1173" s="1" t="s">
        <v>16</v>
      </c>
      <c r="N1173" s="1" t="s">
        <v>29</v>
      </c>
      <c r="O1173" s="1" t="s">
        <v>53</v>
      </c>
      <c r="P1173" s="1" t="s">
        <v>142</v>
      </c>
      <c r="Q1173" s="1" t="s">
        <v>32</v>
      </c>
    </row>
    <row r="1174" spans="3:17" x14ac:dyDescent="0.25">
      <c r="C1174" s="1" t="str">
        <f>_xlfn.CONCAT(tabE.Flux[[#This Row],[DATA]],"+",tabE.Flux[[#This Row],[MOTORISTA + MATRÍCULA A]])</f>
        <v>45937+CANCELADO</v>
      </c>
      <c r="D1174" s="1" t="str">
        <f>_xlfn.CONCAT(tabE.Flux[[#This Row],[DATA]],"+",tabE.Flux[[#This Row],[MOTORISTA + MATRÍCULA B]])</f>
        <v>45937+CANCELADO</v>
      </c>
      <c r="E1174" s="1" t="str">
        <f>_xlfn.CONCAT(tabE.Flux[[#This Row],[DATA]],"+",tabE.Flux[[#This Row],[MOTORISTA + MATRÍCULA A]],"+",tabE.Flux[[#This Row],[LINHA]])</f>
        <v>45937+CANCELADO+GOIANIA (GO) X BELEM (PA)</v>
      </c>
      <c r="F1174" s="1" t="str">
        <f>_xlfn.CONCAT(tabE.Flux[[#This Row],[DATA]],"+",tabE.Flux[[#This Row],[MOTORISTA + MATRÍCULA B]],"+",tabE.Flux[[#This Row],[LINHA]])</f>
        <v>45937+CANCELADO+GOIANIA (GO) X BELEM (PA)</v>
      </c>
      <c r="G1174" s="1" t="str">
        <f>_xlfn.CONCAT(tabE.Flux[[#This Row],[DATA]],"+",tabE.Flux[[#This Row],[LINHA]])</f>
        <v>45937+GOIANIA (GO) X BELEM (PA)</v>
      </c>
      <c r="H1174" s="125">
        <v>45937</v>
      </c>
      <c r="I1174" s="1" t="s">
        <v>15</v>
      </c>
      <c r="J1174" s="1" t="s">
        <v>27</v>
      </c>
      <c r="K1174" s="126">
        <v>0.38958333333333334</v>
      </c>
      <c r="L1174" s="126">
        <v>0.38541666666666669</v>
      </c>
      <c r="M1174" s="1" t="s">
        <v>16</v>
      </c>
      <c r="N1174" s="1" t="s">
        <v>33</v>
      </c>
      <c r="O1174" s="1" t="s">
        <v>27</v>
      </c>
      <c r="P1174" s="1" t="s">
        <v>27</v>
      </c>
      <c r="Q1174" s="1" t="s">
        <v>20</v>
      </c>
    </row>
    <row r="1175" spans="3:17" x14ac:dyDescent="0.25">
      <c r="C1175" s="1" t="str">
        <f>_xlfn.CONCAT(tabE.Flux[[#This Row],[DATA]],"+",tabE.Flux[[#This Row],[MOTORISTA + MATRÍCULA A]])</f>
        <v>45937+ESIEL COSTA RODRIGUES - 1749</v>
      </c>
      <c r="D1175" s="1" t="str">
        <f>_xlfn.CONCAT(tabE.Flux[[#This Row],[DATA]],"+",tabE.Flux[[#This Row],[MOTORISTA + MATRÍCULA B]])</f>
        <v>45937+MARCOS AUGUSTO SILVA ROCHA - 5268</v>
      </c>
      <c r="E1175" s="1" t="str">
        <f>_xlfn.CONCAT(tabE.Flux[[#This Row],[DATA]],"+",tabE.Flux[[#This Row],[MOTORISTA + MATRÍCULA A]],"+",tabE.Flux[[#This Row],[LINHA]])</f>
        <v>45937+ESIEL COSTA RODRIGUES - 1749+GOIANIA (GO) X TERESINA (PI) VIA BC</v>
      </c>
      <c r="F1175" s="1" t="str">
        <f>_xlfn.CONCAT(tabE.Flux[[#This Row],[DATA]],"+",tabE.Flux[[#This Row],[MOTORISTA + MATRÍCULA B]],"+",tabE.Flux[[#This Row],[LINHA]])</f>
        <v>45937+MARCOS AUGUSTO SILVA ROCHA - 5268+GOIANIA (GO) X TERESINA (PI) VIA BC</v>
      </c>
      <c r="G1175" s="1" t="str">
        <f>_xlfn.CONCAT(tabE.Flux[[#This Row],[DATA]],"+",tabE.Flux[[#This Row],[LINHA]])</f>
        <v>45937+GOIANIA (GO) X TERESINA (PI) VIA BC</v>
      </c>
      <c r="H1175" s="125">
        <v>45937</v>
      </c>
      <c r="I1175" s="1" t="s">
        <v>15</v>
      </c>
      <c r="J1175" s="1">
        <v>25009</v>
      </c>
      <c r="K1175" s="126">
        <v>0.375</v>
      </c>
      <c r="L1175" s="126">
        <v>0.39930555555555558</v>
      </c>
      <c r="M1175" s="1" t="s">
        <v>36</v>
      </c>
      <c r="N1175" s="1" t="s">
        <v>29</v>
      </c>
      <c r="O1175" s="1" t="s">
        <v>46</v>
      </c>
      <c r="P1175" s="1" t="s">
        <v>221</v>
      </c>
      <c r="Q1175" s="1" t="s">
        <v>39</v>
      </c>
    </row>
    <row r="1176" spans="3:17" x14ac:dyDescent="0.25">
      <c r="C1176" s="1" t="str">
        <f>_xlfn.CONCAT(tabE.Flux[[#This Row],[DATA]],"+",tabE.Flux[[#This Row],[MOTORISTA + MATRÍCULA A]])</f>
        <v>45937+JOSE POLICARPO DE SOUSA NETO - 1472</v>
      </c>
      <c r="D1176" s="1" t="str">
        <f>_xlfn.CONCAT(tabE.Flux[[#This Row],[DATA]],"+",tabE.Flux[[#This Row],[MOTORISTA + MATRÍCULA B]])</f>
        <v>45937+CLODOALDO PEREIRA DE LIMA - 4067</v>
      </c>
      <c r="E1176" s="1" t="str">
        <f>_xlfn.CONCAT(tabE.Flux[[#This Row],[DATA]],"+",tabE.Flux[[#This Row],[MOTORISTA + MATRÍCULA A]],"+",tabE.Flux[[#This Row],[LINHA]])</f>
        <v>45937+JOSE POLICARPO DE SOUSA NETO - 1472+GOIANIA (GO) X BELEM (PA)</v>
      </c>
      <c r="F1176" s="1" t="str">
        <f>_xlfn.CONCAT(tabE.Flux[[#This Row],[DATA]],"+",tabE.Flux[[#This Row],[MOTORISTA + MATRÍCULA B]],"+",tabE.Flux[[#This Row],[LINHA]])</f>
        <v>45937+CLODOALDO PEREIRA DE LIMA - 4067+GOIANIA (GO) X BELEM (PA)</v>
      </c>
      <c r="G1176" s="1" t="str">
        <f>_xlfn.CONCAT(tabE.Flux[[#This Row],[DATA]],"+",tabE.Flux[[#This Row],[LINHA]])</f>
        <v>45937+GOIANIA (GO) X BELEM (PA)</v>
      </c>
      <c r="H1176" s="125">
        <v>45937</v>
      </c>
      <c r="I1176" s="1" t="s">
        <v>15</v>
      </c>
      <c r="J1176" s="1">
        <v>20012</v>
      </c>
      <c r="K1176" s="126">
        <v>0.375</v>
      </c>
      <c r="L1176" s="126">
        <v>0.41666666666666669</v>
      </c>
      <c r="M1176" s="1" t="s">
        <v>33</v>
      </c>
      <c r="N1176" s="1" t="s">
        <v>16</v>
      </c>
      <c r="O1176" s="1" t="s">
        <v>54</v>
      </c>
      <c r="P1176" s="1" t="s">
        <v>109</v>
      </c>
      <c r="Q1176" s="1" t="s">
        <v>20</v>
      </c>
    </row>
    <row r="1177" spans="3:17" x14ac:dyDescent="0.25">
      <c r="C1177" s="1" t="str">
        <f>_xlfn.CONCAT(tabE.Flux[[#This Row],[DATA]],"+",tabE.Flux[[#This Row],[MOTORISTA + MATRÍCULA A]])</f>
        <v>45937+EDIVALDO DE ARAUJO - 6217</v>
      </c>
      <c r="D1177" s="1" t="str">
        <f>_xlfn.CONCAT(tabE.Flux[[#This Row],[DATA]],"+",tabE.Flux[[#This Row],[MOTORISTA + MATRÍCULA B]])</f>
        <v>45937+JARDEL DE SOUSA OLIVEIRA - 5992</v>
      </c>
      <c r="E1177" s="1" t="str">
        <f>_xlfn.CONCAT(tabE.Flux[[#This Row],[DATA]],"+",tabE.Flux[[#This Row],[MOTORISTA + MATRÍCULA A]],"+",tabE.Flux[[#This Row],[LINHA]])</f>
        <v>45937+EDIVALDO DE ARAUJO - 6217+GOIANIA (GO) X SAO LUIS (MA)</v>
      </c>
      <c r="F1177" s="1" t="str">
        <f>_xlfn.CONCAT(tabE.Flux[[#This Row],[DATA]],"+",tabE.Flux[[#This Row],[MOTORISTA + MATRÍCULA B]],"+",tabE.Flux[[#This Row],[LINHA]])</f>
        <v>45937+JARDEL DE SOUSA OLIVEIRA - 5992+GOIANIA (GO) X SAO LUIS (MA)</v>
      </c>
      <c r="G1177" s="1" t="str">
        <f>_xlfn.CONCAT(tabE.Flux[[#This Row],[DATA]],"+",tabE.Flux[[#This Row],[LINHA]])</f>
        <v>45937+GOIANIA (GO) X SAO LUIS (MA)</v>
      </c>
      <c r="H1177" s="125">
        <v>45937</v>
      </c>
      <c r="I1177" s="1" t="s">
        <v>15</v>
      </c>
      <c r="J1177" s="1">
        <v>19019</v>
      </c>
      <c r="K1177" s="126">
        <v>0.25</v>
      </c>
      <c r="L1177" s="126">
        <v>0.29166666666666669</v>
      </c>
      <c r="M1177" s="1" t="s">
        <v>42</v>
      </c>
      <c r="N1177" s="1" t="s">
        <v>16</v>
      </c>
      <c r="O1177" s="1" t="s">
        <v>55</v>
      </c>
      <c r="P1177" s="1" t="s">
        <v>150</v>
      </c>
      <c r="Q1177" s="1" t="s">
        <v>23</v>
      </c>
    </row>
    <row r="1178" spans="3:17" x14ac:dyDescent="0.25">
      <c r="C1178" s="1" t="str">
        <f>_xlfn.CONCAT(tabE.Flux[[#This Row],[DATA]],"+",tabE.Flux[[#This Row],[MOTORISTA + MATRÍCULA A]])</f>
        <v>45937+PAULO ENEAS FARIAS ARAUJO - 6218</v>
      </c>
      <c r="D1178" s="1" t="str">
        <f>_xlfn.CONCAT(tabE.Flux[[#This Row],[DATA]],"+",tabE.Flux[[#This Row],[MOTORISTA + MATRÍCULA B]])</f>
        <v>45937+BRUNO MATOS DA ROCHA - 6013</v>
      </c>
      <c r="E1178" s="1" t="str">
        <f>_xlfn.CONCAT(tabE.Flux[[#This Row],[DATA]],"+",tabE.Flux[[#This Row],[MOTORISTA + MATRÍCULA A]],"+",tabE.Flux[[#This Row],[LINHA]])</f>
        <v>45937+PAULO ENEAS FARIAS ARAUJO - 6218+GOIANIA (GO) X SAO LUIS (MA)</v>
      </c>
      <c r="F1178" s="1" t="str">
        <f>_xlfn.CONCAT(tabE.Flux[[#This Row],[DATA]],"+",tabE.Flux[[#This Row],[MOTORISTA + MATRÍCULA B]],"+",tabE.Flux[[#This Row],[LINHA]])</f>
        <v>45937+BRUNO MATOS DA ROCHA - 6013+GOIANIA (GO) X SAO LUIS (MA)</v>
      </c>
      <c r="G1178" s="1" t="str">
        <f>_xlfn.CONCAT(tabE.Flux[[#This Row],[DATA]],"+",tabE.Flux[[#This Row],[LINHA]])</f>
        <v>45937+GOIANIA (GO) X SAO LUIS (MA)</v>
      </c>
      <c r="H1178" s="125">
        <v>45937</v>
      </c>
      <c r="I1178" s="1" t="s">
        <v>15</v>
      </c>
      <c r="J1178" s="1">
        <v>24001</v>
      </c>
      <c r="K1178" s="126">
        <v>0.75</v>
      </c>
      <c r="L1178" s="126">
        <v>0.79166666666666663</v>
      </c>
      <c r="M1178" s="1" t="s">
        <v>42</v>
      </c>
      <c r="N1178" s="1" t="s">
        <v>16</v>
      </c>
      <c r="O1178" s="1" t="s">
        <v>43</v>
      </c>
      <c r="P1178" s="1" t="s">
        <v>147</v>
      </c>
      <c r="Q1178" s="1" t="s">
        <v>23</v>
      </c>
    </row>
    <row r="1179" spans="3:17" x14ac:dyDescent="0.25">
      <c r="C1179" s="1" t="str">
        <f>_xlfn.CONCAT(tabE.Flux[[#This Row],[DATA]],"+",tabE.Flux[[#This Row],[MOTORISTA + MATRÍCULA A]])</f>
        <v>45937+CANCELADO</v>
      </c>
      <c r="D1179" s="1" t="str">
        <f>_xlfn.CONCAT(tabE.Flux[[#This Row],[DATA]],"+",tabE.Flux[[#This Row],[MOTORISTA + MATRÍCULA B]])</f>
        <v>45937+CANCELADO</v>
      </c>
      <c r="E1179" s="1" t="str">
        <f>_xlfn.CONCAT(tabE.Flux[[#This Row],[DATA]],"+",tabE.Flux[[#This Row],[MOTORISTA + MATRÍCULA A]],"+",tabE.Flux[[#This Row],[LINHA]])</f>
        <v>45937+CANCELADO+IMPERATRIZ (MA) X SÃO LUIS (MA)</v>
      </c>
      <c r="F1179" s="1" t="str">
        <f>_xlfn.CONCAT(tabE.Flux[[#This Row],[DATA]],"+",tabE.Flux[[#This Row],[MOTORISTA + MATRÍCULA B]],"+",tabE.Flux[[#This Row],[LINHA]])</f>
        <v>45937+CANCELADO+IMPERATRIZ (MA) X SÃO LUIS (MA)</v>
      </c>
      <c r="G1179" s="1" t="str">
        <f>_xlfn.CONCAT(tabE.Flux[[#This Row],[DATA]],"+",tabE.Flux[[#This Row],[LINHA]])</f>
        <v>45937+IMPERATRIZ (MA) X SÃO LUIS (MA)</v>
      </c>
      <c r="H1179" s="125">
        <v>45937</v>
      </c>
      <c r="I1179" s="1" t="s">
        <v>15</v>
      </c>
      <c r="J1179" s="1" t="s">
        <v>27</v>
      </c>
      <c r="K1179" s="126">
        <v>0.77083333333333337</v>
      </c>
      <c r="L1179" s="126">
        <v>0.79513888888888884</v>
      </c>
      <c r="M1179" s="1" t="s">
        <v>42</v>
      </c>
      <c r="N1179" s="1" t="s">
        <v>16</v>
      </c>
      <c r="O1179" s="1" t="s">
        <v>27</v>
      </c>
      <c r="P1179" s="1" t="s">
        <v>27</v>
      </c>
      <c r="Q1179" s="1" t="s">
        <v>47</v>
      </c>
    </row>
    <row r="1180" spans="3:17" x14ac:dyDescent="0.25">
      <c r="C1180" s="1" t="str">
        <f>_xlfn.CONCAT(tabE.Flux[[#This Row],[DATA]],"+",tabE.Flux[[#This Row],[MOTORISTA + MATRÍCULA A]])</f>
        <v>45937+EURIPEDES BORGES DOS SANTOS - 5017</v>
      </c>
      <c r="D1180" s="1" t="str">
        <f>_xlfn.CONCAT(tabE.Flux[[#This Row],[DATA]],"+",tabE.Flux[[#This Row],[MOTORISTA + MATRÍCULA B]])</f>
        <v>45937+SANDRO CARLOS DE SOUSA - 5181</v>
      </c>
      <c r="E1180" s="1" t="str">
        <f>_xlfn.CONCAT(tabE.Flux[[#This Row],[DATA]],"+",tabE.Flux[[#This Row],[MOTORISTA + MATRÍCULA A]],"+",tabE.Flux[[#This Row],[LINHA]])</f>
        <v>45937+EURIPEDES BORGES DOS SANTOS - 5017+GOIANIA (GO) X TERESINA (PI) VIA BC</v>
      </c>
      <c r="F1180" s="1" t="str">
        <f>_xlfn.CONCAT(tabE.Flux[[#This Row],[DATA]],"+",tabE.Flux[[#This Row],[MOTORISTA + MATRÍCULA B]],"+",tabE.Flux[[#This Row],[LINHA]])</f>
        <v>45937+SANDRO CARLOS DE SOUSA - 5181+GOIANIA (GO) X TERESINA (PI) VIA BC</v>
      </c>
      <c r="G1180" s="1" t="str">
        <f>_xlfn.CONCAT(tabE.Flux[[#This Row],[DATA]],"+",tabE.Flux[[#This Row],[LINHA]])</f>
        <v>45937+GOIANIA (GO) X TERESINA (PI) VIA BC</v>
      </c>
      <c r="H1180" s="125">
        <v>45937</v>
      </c>
      <c r="I1180" s="1" t="s">
        <v>15</v>
      </c>
      <c r="J1180" s="1">
        <v>25008</v>
      </c>
      <c r="K1180" s="126">
        <v>0.89583333333333337</v>
      </c>
      <c r="L1180" s="126">
        <v>0.91666666666666663</v>
      </c>
      <c r="M1180" s="1" t="s">
        <v>36</v>
      </c>
      <c r="N1180" s="1" t="s">
        <v>17</v>
      </c>
      <c r="O1180" s="1" t="s">
        <v>121</v>
      </c>
      <c r="P1180" s="1" t="s">
        <v>120</v>
      </c>
      <c r="Q1180" s="1" t="s">
        <v>39</v>
      </c>
    </row>
    <row r="1181" spans="3:17" x14ac:dyDescent="0.25">
      <c r="C1181" s="1" t="str">
        <f>_xlfn.CONCAT(tabE.Flux[[#This Row],[DATA]],"+",tabE.Flux[[#This Row],[MOTORISTA + MATRÍCULA A]])</f>
        <v>45937+VALDEY OLIVEIRA ARAUJO - 2790</v>
      </c>
      <c r="D1181" s="1" t="str">
        <f>_xlfn.CONCAT(tabE.Flux[[#This Row],[DATA]],"+",tabE.Flux[[#This Row],[MOTORISTA + MATRÍCULA B]])</f>
        <v>45937+EDUARDO SANTOS BEZERRA - 4066</v>
      </c>
      <c r="E1181" s="1" t="str">
        <f>_xlfn.CONCAT(tabE.Flux[[#This Row],[DATA]],"+",tabE.Flux[[#This Row],[MOTORISTA + MATRÍCULA A]],"+",tabE.Flux[[#This Row],[LINHA]])</f>
        <v>45937+VALDEY OLIVEIRA ARAUJO - 2790+GOIANIA (GO) X BELEM (PA)</v>
      </c>
      <c r="F1181" s="1" t="str">
        <f>_xlfn.CONCAT(tabE.Flux[[#This Row],[DATA]],"+",tabE.Flux[[#This Row],[MOTORISTA + MATRÍCULA B]],"+",tabE.Flux[[#This Row],[LINHA]])</f>
        <v>45937+EDUARDO SANTOS BEZERRA - 4066+GOIANIA (GO) X BELEM (PA)</v>
      </c>
      <c r="G1181" s="1" t="str">
        <f>_xlfn.CONCAT(tabE.Flux[[#This Row],[DATA]],"+",tabE.Flux[[#This Row],[LINHA]])</f>
        <v>45937+GOIANIA (GO) X BELEM (PA)</v>
      </c>
      <c r="H1181" s="125">
        <v>45937</v>
      </c>
      <c r="I1181" s="1" t="s">
        <v>15</v>
      </c>
      <c r="J1181" s="1">
        <v>24003</v>
      </c>
      <c r="K1181" s="126">
        <v>0.76041666666666663</v>
      </c>
      <c r="L1181" s="126">
        <v>0.77083333333333337</v>
      </c>
      <c r="M1181" s="1" t="s">
        <v>33</v>
      </c>
      <c r="N1181" s="1" t="s">
        <v>16</v>
      </c>
      <c r="O1181" s="1" t="s">
        <v>34</v>
      </c>
      <c r="P1181" s="1" t="s">
        <v>148</v>
      </c>
      <c r="Q1181" s="1" t="s">
        <v>20</v>
      </c>
    </row>
    <row r="1182" spans="3:17" x14ac:dyDescent="0.25">
      <c r="C1182" s="1" t="str">
        <f>_xlfn.CONCAT(tabE.Flux[[#This Row],[DATA]],"+",tabE.Flux[[#This Row],[MOTORISTA + MATRÍCULA A]])</f>
        <v>45937+JAME DOS SANTOS MOURA - 5332</v>
      </c>
      <c r="D1182" s="1" t="str">
        <f>_xlfn.CONCAT(tabE.Flux[[#This Row],[DATA]],"+",tabE.Flux[[#This Row],[MOTORISTA + MATRÍCULA B]])</f>
        <v>45937+REINAN JOSE BORGES SOUSA - 1075</v>
      </c>
      <c r="E1182" s="1" t="str">
        <f>_xlfn.CONCAT(tabE.Flux[[#This Row],[DATA]],"+",tabE.Flux[[#This Row],[MOTORISTA + MATRÍCULA A]],"+",tabE.Flux[[#This Row],[LINHA]])</f>
        <v>45937+JAME DOS SANTOS MOURA - 5332+GOIANIA (GO) X BELEM (PA)</v>
      </c>
      <c r="F1182" s="1" t="str">
        <f>_xlfn.CONCAT(tabE.Flux[[#This Row],[DATA]],"+",tabE.Flux[[#This Row],[MOTORISTA + MATRÍCULA B]],"+",tabE.Flux[[#This Row],[LINHA]])</f>
        <v>45937+REINAN JOSE BORGES SOUSA - 1075+GOIANIA (GO) X BELEM (PA)</v>
      </c>
      <c r="G1182" s="1" t="str">
        <f>_xlfn.CONCAT(tabE.Flux[[#This Row],[DATA]],"+",tabE.Flux[[#This Row],[LINHA]])</f>
        <v>45937+GOIANIA (GO) X BELEM (PA)</v>
      </c>
      <c r="H1182" s="125">
        <v>45937</v>
      </c>
      <c r="I1182" s="1" t="s">
        <v>15</v>
      </c>
      <c r="J1182" s="1">
        <v>25006</v>
      </c>
      <c r="K1182" s="126">
        <v>0.76041666666666663</v>
      </c>
      <c r="L1182" s="126">
        <v>0.82777777777777772</v>
      </c>
      <c r="M1182" s="1" t="s">
        <v>16</v>
      </c>
      <c r="N1182" s="1" t="s">
        <v>33</v>
      </c>
      <c r="O1182" s="1" t="s">
        <v>103</v>
      </c>
      <c r="P1182" s="1" t="s">
        <v>84</v>
      </c>
      <c r="Q1182" s="1" t="s">
        <v>20</v>
      </c>
    </row>
    <row r="1183" spans="3:17" x14ac:dyDescent="0.25">
      <c r="C1183" s="1" t="str">
        <f>_xlfn.CONCAT(tabE.Flux[[#This Row],[DATA]],"+",tabE.Flux[[#This Row],[MOTORISTA + MATRÍCULA A]])</f>
        <v>45937+CANCELADO</v>
      </c>
      <c r="D1183" s="1" t="str">
        <f>_xlfn.CONCAT(tabE.Flux[[#This Row],[DATA]],"+",tabE.Flux[[#This Row],[MOTORISTA + MATRÍCULA B]])</f>
        <v>45937+CANCELADO</v>
      </c>
      <c r="E1183" s="1" t="str">
        <f>_xlfn.CONCAT(tabE.Flux[[#This Row],[DATA]],"+",tabE.Flux[[#This Row],[MOTORISTA + MATRÍCULA A]],"+",tabE.Flux[[#This Row],[LINHA]])</f>
        <v>45937+CANCELADO+GOIANIA (GO) X SAO LUIS (MA)</v>
      </c>
      <c r="F1183" s="1" t="str">
        <f>_xlfn.CONCAT(tabE.Flux[[#This Row],[DATA]],"+",tabE.Flux[[#This Row],[MOTORISTA + MATRÍCULA B]],"+",tabE.Flux[[#This Row],[LINHA]])</f>
        <v>45937+CANCELADO+GOIANIA (GO) X SAO LUIS (MA)</v>
      </c>
      <c r="G1183" s="1" t="str">
        <f>_xlfn.CONCAT(tabE.Flux[[#This Row],[DATA]],"+",tabE.Flux[[#This Row],[LINHA]])</f>
        <v>45937+GOIANIA (GO) X SAO LUIS (MA)</v>
      </c>
      <c r="H1183" s="125">
        <v>45937</v>
      </c>
      <c r="I1183" s="1" t="s">
        <v>15</v>
      </c>
      <c r="J1183" s="1" t="s">
        <v>27</v>
      </c>
      <c r="K1183" s="126">
        <v>0.40763888888888888</v>
      </c>
      <c r="L1183" s="126">
        <v>0.47013888888888888</v>
      </c>
      <c r="M1183" s="1" t="s">
        <v>16</v>
      </c>
      <c r="N1183" s="1" t="s">
        <v>42</v>
      </c>
      <c r="O1183" s="1" t="s">
        <v>27</v>
      </c>
      <c r="P1183" s="1" t="s">
        <v>27</v>
      </c>
      <c r="Q1183" s="1" t="s">
        <v>23</v>
      </c>
    </row>
    <row r="1184" spans="3:17" x14ac:dyDescent="0.25">
      <c r="C1184" s="1" t="str">
        <f>_xlfn.CONCAT(tabE.Flux[[#This Row],[DATA]],"+",tabE.Flux[[#This Row],[MOTORISTA + MATRÍCULA A]])</f>
        <v>45937+CANCELADO</v>
      </c>
      <c r="D1184" s="1" t="str">
        <f>_xlfn.CONCAT(tabE.Flux[[#This Row],[DATA]],"+",tabE.Flux[[#This Row],[MOTORISTA + MATRÍCULA B]])</f>
        <v>45937+CANCELADO</v>
      </c>
      <c r="E1184" s="1" t="str">
        <f>_xlfn.CONCAT(tabE.Flux[[#This Row],[DATA]],"+",tabE.Flux[[#This Row],[MOTORISTA + MATRÍCULA A]],"+",tabE.Flux[[#This Row],[LINHA]])</f>
        <v>45937+CANCELADO+IMPERATRIZ (MA) X SÃO LUIS (MA)</v>
      </c>
      <c r="F1184" s="1" t="str">
        <f>_xlfn.CONCAT(tabE.Flux[[#This Row],[DATA]],"+",tabE.Flux[[#This Row],[MOTORISTA + MATRÍCULA B]],"+",tabE.Flux[[#This Row],[LINHA]])</f>
        <v>45937+CANCELADO+IMPERATRIZ (MA) X SÃO LUIS (MA)</v>
      </c>
      <c r="G1184" s="1" t="str">
        <f>_xlfn.CONCAT(tabE.Flux[[#This Row],[DATA]],"+",tabE.Flux[[#This Row],[LINHA]])</f>
        <v>45937+IMPERATRIZ (MA) X SÃO LUIS (MA)</v>
      </c>
      <c r="H1184" s="125">
        <v>45937</v>
      </c>
      <c r="I1184" s="1" t="s">
        <v>15</v>
      </c>
      <c r="J1184" s="1" t="s">
        <v>27</v>
      </c>
      <c r="K1184" s="126">
        <v>0.77083333333333337</v>
      </c>
      <c r="L1184" s="126">
        <v>0.8125</v>
      </c>
      <c r="M1184" s="1" t="s">
        <v>16</v>
      </c>
      <c r="N1184" s="1" t="s">
        <v>42</v>
      </c>
      <c r="O1184" s="1" t="s">
        <v>27</v>
      </c>
      <c r="P1184" s="1" t="s">
        <v>27</v>
      </c>
      <c r="Q1184" s="1" t="s">
        <v>47</v>
      </c>
    </row>
    <row r="1185" spans="3:17" x14ac:dyDescent="0.25">
      <c r="C1185" s="1" t="str">
        <f>_xlfn.CONCAT(tabE.Flux[[#This Row],[DATA]],"+",tabE.Flux[[#This Row],[MOTORISTA + MATRÍCULA A]])</f>
        <v>45937+LEANDRO DE OLIVEIRA MELO - 2151</v>
      </c>
      <c r="D1185" s="1" t="str">
        <f>_xlfn.CONCAT(tabE.Flux[[#This Row],[DATA]],"+",tabE.Flux[[#This Row],[MOTORISTA + MATRÍCULA B]])</f>
        <v>45937+EDIVALDO DE ARAUJO - 6217</v>
      </c>
      <c r="E1185" s="1" t="str">
        <f>_xlfn.CONCAT(tabE.Flux[[#This Row],[DATA]],"+",tabE.Flux[[#This Row],[MOTORISTA + MATRÍCULA A]],"+",tabE.Flux[[#This Row],[LINHA]])</f>
        <v>45937+LEANDRO DE OLIVEIRA MELO - 2151+GOIANIA (GO) X SAO LUIS (MA)</v>
      </c>
      <c r="F1185" s="1" t="str">
        <f>_xlfn.CONCAT(tabE.Flux[[#This Row],[DATA]],"+",tabE.Flux[[#This Row],[MOTORISTA + MATRÍCULA B]],"+",tabE.Flux[[#This Row],[LINHA]])</f>
        <v>45937+EDIVALDO DE ARAUJO - 6217+GOIANIA (GO) X SAO LUIS (MA)</v>
      </c>
      <c r="G1185" s="1" t="str">
        <f>_xlfn.CONCAT(tabE.Flux[[#This Row],[DATA]],"+",tabE.Flux[[#This Row],[LINHA]])</f>
        <v>45937+GOIANIA (GO) X SAO LUIS (MA)</v>
      </c>
      <c r="H1185" s="125">
        <v>45937</v>
      </c>
      <c r="I1185" s="1" t="s">
        <v>15</v>
      </c>
      <c r="J1185" s="1">
        <v>24012</v>
      </c>
      <c r="K1185" s="126">
        <v>0.8125</v>
      </c>
      <c r="L1185" s="126">
        <v>0.84375</v>
      </c>
      <c r="M1185" s="1" t="s">
        <v>16</v>
      </c>
      <c r="N1185" s="1" t="s">
        <v>42</v>
      </c>
      <c r="O1185" s="1" t="s">
        <v>64</v>
      </c>
      <c r="P1185" s="1" t="s">
        <v>55</v>
      </c>
      <c r="Q1185" s="1" t="s">
        <v>23</v>
      </c>
    </row>
    <row r="1186" spans="3:17" x14ac:dyDescent="0.25">
      <c r="C1186" s="1" t="str">
        <f>_xlfn.CONCAT(tabE.Flux[[#This Row],[DATA]],"+",tabE.Flux[[#This Row],[MOTORISTA + MATRÍCULA A]])</f>
        <v>45937+JOSE ALVES DA ROCHA - 5035</v>
      </c>
      <c r="D1186" s="1" t="str">
        <f>_xlfn.CONCAT(tabE.Flux[[#This Row],[DATA]],"+",tabE.Flux[[#This Row],[MOTORISTA + MATRÍCULA B]])</f>
        <v>45937+</v>
      </c>
      <c r="E1186" s="1" t="str">
        <f>_xlfn.CONCAT(tabE.Flux[[#This Row],[DATA]],"+",tabE.Flux[[#This Row],[MOTORISTA + MATRÍCULA A]],"+",tabE.Flux[[#This Row],[LINHA]])</f>
        <v>45937+JOSE ALVES DA ROCHA - 5035+GOIANIA (GO) X TERESINA (PI) VIA STI</v>
      </c>
      <c r="F1186" s="1" t="str">
        <f>_xlfn.CONCAT(tabE.Flux[[#This Row],[DATA]],"+",tabE.Flux[[#This Row],[MOTORISTA + MATRÍCULA B]],"+",tabE.Flux[[#This Row],[LINHA]])</f>
        <v>45937++GOIANIA (GO) X TERESINA (PI) VIA STI</v>
      </c>
      <c r="G1186" s="1" t="str">
        <f>_xlfn.CONCAT(tabE.Flux[[#This Row],[DATA]],"+",tabE.Flux[[#This Row],[LINHA]])</f>
        <v>45937+GOIANIA (GO) X TERESINA (PI) VIA STI</v>
      </c>
      <c r="H1186" s="125">
        <v>45937</v>
      </c>
      <c r="I1186" s="1" t="s">
        <v>15</v>
      </c>
      <c r="J1186" s="1">
        <v>20014</v>
      </c>
      <c r="K1186" s="126">
        <v>0.77083333333333337</v>
      </c>
      <c r="L1186" s="126">
        <v>0.79861111111111116</v>
      </c>
      <c r="M1186" s="1" t="s">
        <v>16</v>
      </c>
      <c r="N1186" s="1" t="s">
        <v>29</v>
      </c>
      <c r="O1186" s="1" t="s">
        <v>91</v>
      </c>
      <c r="P1186" s="1"/>
      <c r="Q1186" s="1" t="s">
        <v>26</v>
      </c>
    </row>
    <row r="1187" spans="3:17" x14ac:dyDescent="0.25">
      <c r="C1187" s="1" t="str">
        <f>_xlfn.CONCAT(tabE.Flux[[#This Row],[DATA]],"+",tabE.Flux[[#This Row],[MOTORISTA + MATRÍCULA A]])</f>
        <v>45937+ELIAS ALVES DE FRANCA - 6046</v>
      </c>
      <c r="D1187" s="1" t="str">
        <f>_xlfn.CONCAT(tabE.Flux[[#This Row],[DATA]],"+",tabE.Flux[[#This Row],[MOTORISTA + MATRÍCULA B]])</f>
        <v>45937+RAFAEL DA SILVA LIMA - 6215</v>
      </c>
      <c r="E1187" s="1" t="str">
        <f>_xlfn.CONCAT(tabE.Flux[[#This Row],[DATA]],"+",tabE.Flux[[#This Row],[MOTORISTA + MATRÍCULA A]],"+",tabE.Flux[[#This Row],[LINHA]])</f>
        <v>45937+ELIAS ALVES DE FRANCA - 6046+GOIANIA (GO) X SAO LUIS (MA)</v>
      </c>
      <c r="F1187" s="1" t="str">
        <f>_xlfn.CONCAT(tabE.Flux[[#This Row],[DATA]],"+",tabE.Flux[[#This Row],[MOTORISTA + MATRÍCULA B]],"+",tabE.Flux[[#This Row],[LINHA]])</f>
        <v>45937+RAFAEL DA SILVA LIMA - 6215+GOIANIA (GO) X SAO LUIS (MA)</v>
      </c>
      <c r="G1187" s="1" t="str">
        <f>_xlfn.CONCAT(tabE.Flux[[#This Row],[DATA]],"+",tabE.Flux[[#This Row],[LINHA]])</f>
        <v>45937+GOIANIA (GO) X SAO LUIS (MA)</v>
      </c>
      <c r="H1187" s="125">
        <v>45937</v>
      </c>
      <c r="I1187" s="1" t="s">
        <v>15</v>
      </c>
      <c r="J1187" s="1">
        <v>19012</v>
      </c>
      <c r="K1187" s="126">
        <v>0.8125</v>
      </c>
      <c r="L1187" s="126">
        <v>0.84166666666666667</v>
      </c>
      <c r="M1187" s="1" t="s">
        <v>16</v>
      </c>
      <c r="N1187" s="1" t="s">
        <v>17</v>
      </c>
      <c r="O1187" s="1" t="s">
        <v>189</v>
      </c>
      <c r="P1187" s="1" t="s">
        <v>190</v>
      </c>
      <c r="Q1187" s="1" t="s">
        <v>23</v>
      </c>
    </row>
    <row r="1188" spans="3:17" x14ac:dyDescent="0.25">
      <c r="C1188" s="1" t="str">
        <f>_xlfn.CONCAT(tabE.Flux[[#This Row],[DATA]],"+",tabE.Flux[[#This Row],[MOTORISTA + MATRÍCULA A]])</f>
        <v>45937+  IVANILSON BARBOSA PEREIRA- 5434</v>
      </c>
      <c r="D1188" s="1" t="str">
        <f>_xlfn.CONCAT(tabE.Flux[[#This Row],[DATA]],"+",tabE.Flux[[#This Row],[MOTORISTA + MATRÍCULA B]])</f>
        <v>45937+JOSE EVANGELISTA DA SILVA - 5199</v>
      </c>
      <c r="E1188" s="1" t="str">
        <f>_xlfn.CONCAT(tabE.Flux[[#This Row],[DATA]],"+",tabE.Flux[[#This Row],[MOTORISTA + MATRÍCULA A]],"+",tabE.Flux[[#This Row],[LINHA]])</f>
        <v>45937+  IVANILSON BARBOSA PEREIRA- 5434+FORTALEZA (CE) X SINOP (MT)</v>
      </c>
      <c r="F1188" s="1" t="str">
        <f>_xlfn.CONCAT(tabE.Flux[[#This Row],[DATA]],"+",tabE.Flux[[#This Row],[MOTORISTA + MATRÍCULA B]],"+",tabE.Flux[[#This Row],[LINHA]])</f>
        <v>45937+JOSE EVANGELISTA DA SILVA - 5199+FORTALEZA (CE) X SINOP (MT)</v>
      </c>
      <c r="G1188" s="1" t="str">
        <f>_xlfn.CONCAT(tabE.Flux[[#This Row],[DATA]],"+",tabE.Flux[[#This Row],[LINHA]])</f>
        <v>45937+FORTALEZA (CE) X SINOP (MT)</v>
      </c>
      <c r="H1188" s="125">
        <v>45937</v>
      </c>
      <c r="I1188" s="1" t="s">
        <v>15</v>
      </c>
      <c r="J1188" s="1">
        <v>19024</v>
      </c>
      <c r="K1188" s="126">
        <v>0.8125</v>
      </c>
      <c r="L1188" s="126">
        <v>0.85416666666666663</v>
      </c>
      <c r="M1188" s="1" t="s">
        <v>16</v>
      </c>
      <c r="N1188" s="1" t="s">
        <v>17</v>
      </c>
      <c r="O1188" s="1" t="s">
        <v>152</v>
      </c>
      <c r="P1188" s="1" t="s">
        <v>151</v>
      </c>
      <c r="Q1188" s="1" t="s">
        <v>32</v>
      </c>
    </row>
    <row r="1189" spans="3:17" x14ac:dyDescent="0.25">
      <c r="C1189" s="1" t="str">
        <f>_xlfn.CONCAT(tabE.Flux[[#This Row],[DATA]],"+",tabE.Flux[[#This Row],[MOTORISTA + MATRÍCULA A]])</f>
        <v>45937+EDINANDES LUIZ DA SILVA - 2651</v>
      </c>
      <c r="D1189" s="1" t="str">
        <f>_xlfn.CONCAT(tabE.Flux[[#This Row],[DATA]],"+",tabE.Flux[[#This Row],[MOTORISTA + MATRÍCULA B]])</f>
        <v>45937+JEZANIAS GOIS DOS SANTOS - 5573</v>
      </c>
      <c r="E1189" s="1" t="str">
        <f>_xlfn.CONCAT(tabE.Flux[[#This Row],[DATA]],"+",tabE.Flux[[#This Row],[MOTORISTA + MATRÍCULA A]],"+",tabE.Flux[[#This Row],[LINHA]])</f>
        <v>45937+EDINANDES LUIZ DA SILVA - 2651+GOIANIA (GO) X BELEM (PA)</v>
      </c>
      <c r="F1189" s="1" t="str">
        <f>_xlfn.CONCAT(tabE.Flux[[#This Row],[DATA]],"+",tabE.Flux[[#This Row],[MOTORISTA + MATRÍCULA B]],"+",tabE.Flux[[#This Row],[LINHA]])</f>
        <v>45937+JEZANIAS GOIS DOS SANTOS - 5573+GOIANIA (GO) X BELEM (PA)</v>
      </c>
      <c r="G1189" s="1" t="str">
        <f>_xlfn.CONCAT(tabE.Flux[[#This Row],[DATA]],"+",tabE.Flux[[#This Row],[LINHA]])</f>
        <v>45937+GOIANIA (GO) X BELEM (PA)</v>
      </c>
      <c r="H1189" s="125">
        <v>45937</v>
      </c>
      <c r="I1189" s="1" t="s">
        <v>15</v>
      </c>
      <c r="J1189" s="1">
        <v>20012</v>
      </c>
      <c r="K1189" s="126">
        <v>0.84722222222222221</v>
      </c>
      <c r="L1189" s="126">
        <v>0.87847222222222221</v>
      </c>
      <c r="M1189" s="1" t="s">
        <v>16</v>
      </c>
      <c r="N1189" s="1" t="s">
        <v>17</v>
      </c>
      <c r="O1189" s="1" t="s">
        <v>195</v>
      </c>
      <c r="P1189" s="1" t="s">
        <v>196</v>
      </c>
      <c r="Q1189" s="1" t="s">
        <v>20</v>
      </c>
    </row>
    <row r="1190" spans="3:17" x14ac:dyDescent="0.25">
      <c r="C1190" s="1" t="str">
        <f>_xlfn.CONCAT(tabE.Flux[[#This Row],[DATA]],"+",tabE.Flux[[#This Row],[MOTORISTA + MATRÍCULA A]])</f>
        <v>+</v>
      </c>
      <c r="D1190" s="1" t="str">
        <f>_xlfn.CONCAT(tabE.Flux[[#This Row],[DATA]],"+",tabE.Flux[[#This Row],[MOTORISTA + MATRÍCULA B]])</f>
        <v>+</v>
      </c>
      <c r="E1190" s="1" t="str">
        <f>_xlfn.CONCAT(tabE.Flux[[#This Row],[DATA]],"+",tabE.Flux[[#This Row],[MOTORISTA + MATRÍCULA A]],"+",tabE.Flux[[#This Row],[LINHA]])</f>
        <v>++</v>
      </c>
      <c r="F1190" s="1" t="str">
        <f>_xlfn.CONCAT(tabE.Flux[[#This Row],[DATA]],"+",tabE.Flux[[#This Row],[MOTORISTA + MATRÍCULA B]],"+",tabE.Flux[[#This Row],[LINHA]])</f>
        <v>++</v>
      </c>
      <c r="G1190" s="1" t="str">
        <f>_xlfn.CONCAT(tabE.Flux[[#This Row],[DATA]],"+",tabE.Flux[[#This Row],[LINHA]])</f>
        <v>+</v>
      </c>
      <c r="H1190" s="1"/>
      <c r="I1190" s="1"/>
      <c r="J1190" s="1"/>
      <c r="K1190" s="1"/>
      <c r="L1190" s="1"/>
      <c r="M1190" s="1"/>
      <c r="N1190" s="1"/>
      <c r="O1190" s="1"/>
      <c r="P1190" s="1"/>
      <c r="Q1190" s="1"/>
    </row>
    <row r="1191" spans="3:17" x14ac:dyDescent="0.25">
      <c r="C1191" s="1" t="str">
        <f>_xlfn.CONCAT(tabE.Flux[[#This Row],[DATA]],"+",tabE.Flux[[#This Row],[MOTORISTA + MATRÍCULA A]])</f>
        <v>45938+JUSCELINO PIRES GONCALVES - 1343</v>
      </c>
      <c r="D1191" s="1" t="str">
        <f>_xlfn.CONCAT(tabE.Flux[[#This Row],[DATA]],"+",tabE.Flux[[#This Row],[MOTORISTA + MATRÍCULA B]])</f>
        <v>45938+  LAZARO VIEIRA DA SILVA- 5428</v>
      </c>
      <c r="E1191" s="1" t="str">
        <f>_xlfn.CONCAT(tabE.Flux[[#This Row],[DATA]],"+",tabE.Flux[[#This Row],[MOTORISTA + MATRÍCULA A]],"+",tabE.Flux[[#This Row],[LINHA]])</f>
        <v>45938+JUSCELINO PIRES GONCALVES - 1343+GOIANIA (GO) X BELEM (PA)</v>
      </c>
      <c r="F1191" s="1" t="str">
        <f>_xlfn.CONCAT(tabE.Flux[[#This Row],[DATA]],"+",tabE.Flux[[#This Row],[MOTORISTA + MATRÍCULA B]],"+",tabE.Flux[[#This Row],[LINHA]])</f>
        <v>45938+  LAZARO VIEIRA DA SILVA- 5428+GOIANIA (GO) X BELEM (PA)</v>
      </c>
      <c r="G1191" s="1" t="str">
        <f>_xlfn.CONCAT(tabE.Flux[[#This Row],[DATA]],"+",tabE.Flux[[#This Row],[LINHA]])</f>
        <v>45938+GOIANIA (GO) X BELEM (PA)</v>
      </c>
      <c r="H1191" s="125">
        <v>45938</v>
      </c>
      <c r="I1191" s="1" t="s">
        <v>15</v>
      </c>
      <c r="J1191" s="1">
        <v>24003</v>
      </c>
      <c r="K1191" s="126">
        <v>0.25486111111111109</v>
      </c>
      <c r="L1191" s="126">
        <v>0.3</v>
      </c>
      <c r="M1191" s="1" t="s">
        <v>16</v>
      </c>
      <c r="N1191" s="1" t="s">
        <v>17</v>
      </c>
      <c r="O1191" s="1" t="s">
        <v>138</v>
      </c>
      <c r="P1191" s="1" t="s">
        <v>133</v>
      </c>
      <c r="Q1191" s="1" t="s">
        <v>20</v>
      </c>
    </row>
    <row r="1192" spans="3:17" x14ac:dyDescent="0.25">
      <c r="C1192" s="1" t="str">
        <f>_xlfn.CONCAT(tabE.Flux[[#This Row],[DATA]],"+",tabE.Flux[[#This Row],[MOTORISTA + MATRÍCULA A]])</f>
        <v>45938+RONALDO ADRIANO COSTA SANTOS - 5637</v>
      </c>
      <c r="D1192" s="1" t="str">
        <f>_xlfn.CONCAT(tabE.Flux[[#This Row],[DATA]],"+",tabE.Flux[[#This Row],[MOTORISTA + MATRÍCULA B]])</f>
        <v>45938+REGINALDO DE SOUSA OLIVEIRA - 5412</v>
      </c>
      <c r="E1192" s="1" t="str">
        <f>_xlfn.CONCAT(tabE.Flux[[#This Row],[DATA]],"+",tabE.Flux[[#This Row],[MOTORISTA + MATRÍCULA A]],"+",tabE.Flux[[#This Row],[LINHA]])</f>
        <v>45938+RONALDO ADRIANO COSTA SANTOS - 5637+GOIANIA (GO) X SAO LUIS (MA)</v>
      </c>
      <c r="F1192" s="1" t="str">
        <f>_xlfn.CONCAT(tabE.Flux[[#This Row],[DATA]],"+",tabE.Flux[[#This Row],[MOTORISTA + MATRÍCULA B]],"+",tabE.Flux[[#This Row],[LINHA]])</f>
        <v>45938+REGINALDO DE SOUSA OLIVEIRA - 5412+GOIANIA (GO) X SAO LUIS (MA)</v>
      </c>
      <c r="G1192" s="1" t="str">
        <f>_xlfn.CONCAT(tabE.Flux[[#This Row],[DATA]],"+",tabE.Flux[[#This Row],[LINHA]])</f>
        <v>45938+GOIANIA (GO) X SAO LUIS (MA)</v>
      </c>
      <c r="H1192" s="125">
        <v>45938</v>
      </c>
      <c r="I1192" s="1" t="s">
        <v>15</v>
      </c>
      <c r="J1192" s="1">
        <v>24001</v>
      </c>
      <c r="K1192" s="126">
        <v>0.32291666666666669</v>
      </c>
      <c r="L1192" s="126">
        <v>0.33333333333333331</v>
      </c>
      <c r="M1192" s="1" t="s">
        <v>16</v>
      </c>
      <c r="N1192" s="1" t="s">
        <v>17</v>
      </c>
      <c r="O1192" s="1" t="s">
        <v>41</v>
      </c>
      <c r="P1192" s="1" t="s">
        <v>239</v>
      </c>
      <c r="Q1192" s="1" t="s">
        <v>23</v>
      </c>
    </row>
    <row r="1193" spans="3:17" x14ac:dyDescent="0.25">
      <c r="C1193" s="1" t="str">
        <f>_xlfn.CONCAT(tabE.Flux[[#This Row],[DATA]],"+",tabE.Flux[[#This Row],[MOTORISTA + MATRÍCULA A]])</f>
        <v>45938+MARCOS ROBERTO DE SOUSA - 5236</v>
      </c>
      <c r="D1193" s="1" t="str">
        <f>_xlfn.CONCAT(tabE.Flux[[#This Row],[DATA]],"+",tabE.Flux[[#This Row],[MOTORISTA + MATRÍCULA B]])</f>
        <v>45938+BERNARDO SOUZA LIMA - 1720</v>
      </c>
      <c r="E1193" s="1" t="str">
        <f>_xlfn.CONCAT(tabE.Flux[[#This Row],[DATA]],"+",tabE.Flux[[#This Row],[MOTORISTA + MATRÍCULA A]],"+",tabE.Flux[[#This Row],[LINHA]])</f>
        <v>45938+MARCOS ROBERTO DE SOUSA - 5236+GOIANIA (GO) X TERESINA (PI) VIA STI</v>
      </c>
      <c r="F1193" s="1" t="str">
        <f>_xlfn.CONCAT(tabE.Flux[[#This Row],[DATA]],"+",tabE.Flux[[#This Row],[MOTORISTA + MATRÍCULA B]],"+",tabE.Flux[[#This Row],[LINHA]])</f>
        <v>45938+BERNARDO SOUZA LIMA - 1720+GOIANIA (GO) X TERESINA (PI) VIA STI</v>
      </c>
      <c r="G1193" s="1" t="str">
        <f>_xlfn.CONCAT(tabE.Flux[[#This Row],[DATA]],"+",tabE.Flux[[#This Row],[LINHA]])</f>
        <v>45938+GOIANIA (GO) X TERESINA (PI) VIA STI</v>
      </c>
      <c r="H1193" s="125">
        <v>45938</v>
      </c>
      <c r="I1193" s="1" t="s">
        <v>15</v>
      </c>
      <c r="J1193" s="1">
        <v>19018</v>
      </c>
      <c r="K1193" s="126">
        <v>0.3888888888888889</v>
      </c>
      <c r="L1193" s="126">
        <v>0.39583333333333331</v>
      </c>
      <c r="M1193" s="1" t="s">
        <v>16</v>
      </c>
      <c r="N1193" s="1" t="s">
        <v>17</v>
      </c>
      <c r="O1193" s="1" t="s">
        <v>234</v>
      </c>
      <c r="P1193" s="1" t="s">
        <v>123</v>
      </c>
      <c r="Q1193" s="1" t="s">
        <v>26</v>
      </c>
    </row>
    <row r="1194" spans="3:17" x14ac:dyDescent="0.25">
      <c r="C1194" s="1" t="str">
        <f>_xlfn.CONCAT(tabE.Flux[[#This Row],[DATA]],"+",tabE.Flux[[#This Row],[MOTORISTA + MATRÍCULA A]])</f>
        <v>45938+CANCELADO</v>
      </c>
      <c r="D1194" s="1" t="str">
        <f>_xlfn.CONCAT(tabE.Flux[[#This Row],[DATA]],"+",tabE.Flux[[#This Row],[MOTORISTA + MATRÍCULA B]])</f>
        <v>45938+CANCELADO</v>
      </c>
      <c r="E1194" s="1" t="str">
        <f>_xlfn.CONCAT(tabE.Flux[[#This Row],[DATA]],"+",tabE.Flux[[#This Row],[MOTORISTA + MATRÍCULA A]],"+",tabE.Flux[[#This Row],[LINHA]])</f>
        <v>45938+CANCELADO+</v>
      </c>
      <c r="F1194" s="1" t="str">
        <f>_xlfn.CONCAT(tabE.Flux[[#This Row],[DATA]],"+",tabE.Flux[[#This Row],[MOTORISTA + MATRÍCULA B]],"+",tabE.Flux[[#This Row],[LINHA]])</f>
        <v>45938+CANCELADO+</v>
      </c>
      <c r="G1194" s="1" t="str">
        <f>_xlfn.CONCAT(tabE.Flux[[#This Row],[DATA]],"+",tabE.Flux[[#This Row],[LINHA]])</f>
        <v>45938+</v>
      </c>
      <c r="H1194" s="125">
        <v>45938</v>
      </c>
      <c r="I1194" s="1" t="s">
        <v>15</v>
      </c>
      <c r="J1194" s="1" t="s">
        <v>27</v>
      </c>
      <c r="K1194" s="126">
        <v>0.375</v>
      </c>
      <c r="L1194" s="126">
        <v>0.41666666666666669</v>
      </c>
      <c r="M1194" s="1" t="s">
        <v>16</v>
      </c>
      <c r="N1194" s="1" t="s">
        <v>28</v>
      </c>
      <c r="O1194" s="1" t="s">
        <v>27</v>
      </c>
      <c r="P1194" s="1" t="s">
        <v>27</v>
      </c>
      <c r="Q1194" s="1"/>
    </row>
    <row r="1195" spans="3:17" x14ac:dyDescent="0.25">
      <c r="C1195" s="1" t="str">
        <f>_xlfn.CONCAT(tabE.Flux[[#This Row],[DATA]],"+",tabE.Flux[[#This Row],[MOTORISTA + MATRÍCULA A]])</f>
        <v>45938+RAIMUNDO GUIMARAES ARAUJO - 1920</v>
      </c>
      <c r="D1195" s="1" t="str">
        <f>_xlfn.CONCAT(tabE.Flux[[#This Row],[DATA]],"+",tabE.Flux[[#This Row],[MOTORISTA + MATRÍCULA B]])</f>
        <v>45938+FRANCISCO DAS CHAGAS DOS SANTOS ANGELO - 5299</v>
      </c>
      <c r="E1195" s="1" t="str">
        <f>_xlfn.CONCAT(tabE.Flux[[#This Row],[DATA]],"+",tabE.Flux[[#This Row],[MOTORISTA + MATRÍCULA A]],"+",tabE.Flux[[#This Row],[LINHA]])</f>
        <v>45938+RAIMUNDO GUIMARAES ARAUJO - 1920+FORTALEZA (CE) X SINOP (MT)</v>
      </c>
      <c r="F1195" s="1" t="str">
        <f>_xlfn.CONCAT(tabE.Flux[[#This Row],[DATA]],"+",tabE.Flux[[#This Row],[MOTORISTA + MATRÍCULA B]],"+",tabE.Flux[[#This Row],[LINHA]])</f>
        <v>45938+FRANCISCO DAS CHAGAS DOS SANTOS ANGELO - 5299+FORTALEZA (CE) X SINOP (MT)</v>
      </c>
      <c r="G1195" s="1" t="str">
        <f>_xlfn.CONCAT(tabE.Flux[[#This Row],[DATA]],"+",tabE.Flux[[#This Row],[LINHA]])</f>
        <v>45938+FORTALEZA (CE) X SINOP (MT)</v>
      </c>
      <c r="H1195" s="125">
        <v>45938</v>
      </c>
      <c r="I1195" s="1" t="s">
        <v>15</v>
      </c>
      <c r="J1195" s="1">
        <v>19005</v>
      </c>
      <c r="K1195" s="126">
        <v>0.3888888888888889</v>
      </c>
      <c r="L1195" s="126">
        <v>0.37708333333333333</v>
      </c>
      <c r="M1195" s="1" t="s">
        <v>16</v>
      </c>
      <c r="N1195" s="1" t="s">
        <v>29</v>
      </c>
      <c r="O1195" s="1" t="s">
        <v>231</v>
      </c>
      <c r="P1195" s="1" t="s">
        <v>198</v>
      </c>
      <c r="Q1195" s="1" t="s">
        <v>32</v>
      </c>
    </row>
    <row r="1196" spans="3:17" x14ac:dyDescent="0.25">
      <c r="C1196" s="1" t="str">
        <f>_xlfn.CONCAT(tabE.Flux[[#This Row],[DATA]],"+",tabE.Flux[[#This Row],[MOTORISTA + MATRÍCULA A]])</f>
        <v>45938+FRANCISCO RAIMUNDO VIANA DE SOUSA - 5314</v>
      </c>
      <c r="D1196" s="1" t="str">
        <f>_xlfn.CONCAT(tabE.Flux[[#This Row],[DATA]],"+",tabE.Flux[[#This Row],[MOTORISTA + MATRÍCULA B]])</f>
        <v>45938+ANTONIO MARCIO DE SENA RIBEIRO CHAVES - 5061</v>
      </c>
      <c r="E1196" s="1" t="str">
        <f>_xlfn.CONCAT(tabE.Flux[[#This Row],[DATA]],"+",tabE.Flux[[#This Row],[MOTORISTA + MATRÍCULA A]],"+",tabE.Flux[[#This Row],[LINHA]])</f>
        <v>45938+FRANCISCO RAIMUNDO VIANA DE SOUSA - 5314+GOIANIA (GO) X BELEM (PA)</v>
      </c>
      <c r="F1196" s="1" t="str">
        <f>_xlfn.CONCAT(tabE.Flux[[#This Row],[DATA]],"+",tabE.Flux[[#This Row],[MOTORISTA + MATRÍCULA B]],"+",tabE.Flux[[#This Row],[LINHA]])</f>
        <v>45938+ANTONIO MARCIO DE SENA RIBEIRO CHAVES - 5061+GOIANIA (GO) X BELEM (PA)</v>
      </c>
      <c r="G1196" s="1" t="str">
        <f>_xlfn.CONCAT(tabE.Flux[[#This Row],[DATA]],"+",tabE.Flux[[#This Row],[LINHA]])</f>
        <v>45938+GOIANIA (GO) X BELEM (PA)</v>
      </c>
      <c r="H1196" s="125">
        <v>45938</v>
      </c>
      <c r="I1196" s="1" t="s">
        <v>15</v>
      </c>
      <c r="J1196" s="1">
        <v>19011</v>
      </c>
      <c r="K1196" s="126">
        <v>0.38958333333333334</v>
      </c>
      <c r="L1196" s="126">
        <v>0.38541666666666669</v>
      </c>
      <c r="M1196" s="1" t="s">
        <v>16</v>
      </c>
      <c r="N1196" s="1" t="s">
        <v>33</v>
      </c>
      <c r="O1196" s="1" t="s">
        <v>87</v>
      </c>
      <c r="P1196" s="1" t="s">
        <v>235</v>
      </c>
      <c r="Q1196" s="1" t="s">
        <v>20</v>
      </c>
    </row>
    <row r="1197" spans="3:17" x14ac:dyDescent="0.25">
      <c r="C1197" s="1" t="str">
        <f>_xlfn.CONCAT(tabE.Flux[[#This Row],[DATA]],"+",tabE.Flux[[#This Row],[MOTORISTA + MATRÍCULA A]])</f>
        <v>45938+JOSE ORLANDO RODRIGUES DE MIRANDA - 5838</v>
      </c>
      <c r="D1197" s="1" t="str">
        <f>_xlfn.CONCAT(tabE.Flux[[#This Row],[DATA]],"+",tabE.Flux[[#This Row],[MOTORISTA + MATRÍCULA B]])</f>
        <v>45938+DANYLSON BATISTA SANTANA - 5829</v>
      </c>
      <c r="E1197" s="1" t="str">
        <f>_xlfn.CONCAT(tabE.Flux[[#This Row],[DATA]],"+",tabE.Flux[[#This Row],[MOTORISTA + MATRÍCULA A]],"+",tabE.Flux[[#This Row],[LINHA]])</f>
        <v>45938+JOSE ORLANDO RODRIGUES DE MIRANDA - 5838+GOIANIA (GO) X TERESINA (PI) VIA BC</v>
      </c>
      <c r="F1197" s="1" t="str">
        <f>_xlfn.CONCAT(tabE.Flux[[#This Row],[DATA]],"+",tabE.Flux[[#This Row],[MOTORISTA + MATRÍCULA B]],"+",tabE.Flux[[#This Row],[LINHA]])</f>
        <v>45938+DANYLSON BATISTA SANTANA - 5829+GOIANIA (GO) X TERESINA (PI) VIA BC</v>
      </c>
      <c r="G1197" s="1" t="str">
        <f>_xlfn.CONCAT(tabE.Flux[[#This Row],[DATA]],"+",tabE.Flux[[#This Row],[LINHA]])</f>
        <v>45938+GOIANIA (GO) X TERESINA (PI) VIA BC</v>
      </c>
      <c r="H1197" s="125">
        <v>45938</v>
      </c>
      <c r="I1197" s="1" t="s">
        <v>15</v>
      </c>
      <c r="J1197" s="1">
        <v>24011</v>
      </c>
      <c r="K1197" s="126">
        <v>0.375</v>
      </c>
      <c r="L1197" s="126">
        <v>0.39930555555555558</v>
      </c>
      <c r="M1197" s="1" t="s">
        <v>36</v>
      </c>
      <c r="N1197" s="1" t="s">
        <v>29</v>
      </c>
      <c r="O1197" s="1" t="s">
        <v>37</v>
      </c>
      <c r="P1197" s="1" t="s">
        <v>60</v>
      </c>
      <c r="Q1197" s="1" t="s">
        <v>39</v>
      </c>
    </row>
    <row r="1198" spans="3:17" x14ac:dyDescent="0.25">
      <c r="C1198" s="1" t="str">
        <f>_xlfn.CONCAT(tabE.Flux[[#This Row],[DATA]],"+",tabE.Flux[[#This Row],[MOTORISTA + MATRÍCULA A]])</f>
        <v>45938+JEFFERSON CARDOSO DOS SANTOS - 5837</v>
      </c>
      <c r="D1198" s="1" t="str">
        <f>_xlfn.CONCAT(tabE.Flux[[#This Row],[DATA]],"+",tabE.Flux[[#This Row],[MOTORISTA + MATRÍCULA B]])</f>
        <v>45938+JOAO DE JESUS GOUVEIA - 6016</v>
      </c>
      <c r="E1198" s="1" t="str">
        <f>_xlfn.CONCAT(tabE.Flux[[#This Row],[DATA]],"+",tabE.Flux[[#This Row],[MOTORISTA + MATRÍCULA A]],"+",tabE.Flux[[#This Row],[LINHA]])</f>
        <v>45938+JEFFERSON CARDOSO DOS SANTOS - 5837+GOIANIA (GO) X BELEM (PA)</v>
      </c>
      <c r="F1198" s="1" t="str">
        <f>_xlfn.CONCAT(tabE.Flux[[#This Row],[DATA]],"+",tabE.Flux[[#This Row],[MOTORISTA + MATRÍCULA B]],"+",tabE.Flux[[#This Row],[LINHA]])</f>
        <v>45938+JOAO DE JESUS GOUVEIA - 6016+GOIANIA (GO) X BELEM (PA)</v>
      </c>
      <c r="G1198" s="1" t="str">
        <f>_xlfn.CONCAT(tabE.Flux[[#This Row],[DATA]],"+",tabE.Flux[[#This Row],[LINHA]])</f>
        <v>45938+GOIANIA (GO) X BELEM (PA)</v>
      </c>
      <c r="H1198" s="125">
        <v>45938</v>
      </c>
      <c r="I1198" s="1" t="s">
        <v>15</v>
      </c>
      <c r="J1198" s="1">
        <v>19022</v>
      </c>
      <c r="K1198" s="126">
        <v>0.375</v>
      </c>
      <c r="L1198" s="126">
        <v>0.41666666666666669</v>
      </c>
      <c r="M1198" s="1" t="s">
        <v>33</v>
      </c>
      <c r="N1198" s="1" t="s">
        <v>16</v>
      </c>
      <c r="O1198" s="1" t="s">
        <v>30</v>
      </c>
      <c r="P1198" s="1" t="s">
        <v>58</v>
      </c>
      <c r="Q1198" s="1" t="s">
        <v>20</v>
      </c>
    </row>
    <row r="1199" spans="3:17" x14ac:dyDescent="0.25">
      <c r="C1199" s="1" t="str">
        <f>_xlfn.CONCAT(tabE.Flux[[#This Row],[DATA]],"+",tabE.Flux[[#This Row],[MOTORISTA + MATRÍCULA A]])</f>
        <v>45938+ALTEMAR DO NASCIMENTO LIMA - 6225</v>
      </c>
      <c r="D1199" s="1" t="str">
        <f>_xlfn.CONCAT(tabE.Flux[[#This Row],[DATA]],"+",tabE.Flux[[#This Row],[MOTORISTA + MATRÍCULA B]])</f>
        <v>45938+FRANCISCO ALVES DA PAZ JUNIOR - 1247</v>
      </c>
      <c r="E1199" s="1" t="str">
        <f>_xlfn.CONCAT(tabE.Flux[[#This Row],[DATA]],"+",tabE.Flux[[#This Row],[MOTORISTA + MATRÍCULA A]],"+",tabE.Flux[[#This Row],[LINHA]])</f>
        <v>45938+ALTEMAR DO NASCIMENTO LIMA - 6225+GOIANIA (GO) X SAO LUIS (MA)</v>
      </c>
      <c r="F1199" s="1" t="str">
        <f>_xlfn.CONCAT(tabE.Flux[[#This Row],[DATA]],"+",tabE.Flux[[#This Row],[MOTORISTA + MATRÍCULA B]],"+",tabE.Flux[[#This Row],[LINHA]])</f>
        <v>45938+FRANCISCO ALVES DA PAZ JUNIOR - 1247+GOIANIA (GO) X SAO LUIS (MA)</v>
      </c>
      <c r="G1199" s="1" t="str">
        <f>_xlfn.CONCAT(tabE.Flux[[#This Row],[DATA]],"+",tabE.Flux[[#This Row],[LINHA]])</f>
        <v>45938+GOIANIA (GO) X SAO LUIS (MA)</v>
      </c>
      <c r="H1199" s="125">
        <v>45938</v>
      </c>
      <c r="I1199" s="1" t="s">
        <v>15</v>
      </c>
      <c r="J1199" s="1">
        <v>20019</v>
      </c>
      <c r="K1199" s="126">
        <v>0.25</v>
      </c>
      <c r="L1199" s="126">
        <v>0.29166666666666669</v>
      </c>
      <c r="M1199" s="1" t="s">
        <v>42</v>
      </c>
      <c r="N1199" s="1" t="s">
        <v>16</v>
      </c>
      <c r="O1199" s="1" t="s">
        <v>57</v>
      </c>
      <c r="P1199" s="1" t="s">
        <v>144</v>
      </c>
      <c r="Q1199" s="1" t="s">
        <v>23</v>
      </c>
    </row>
    <row r="1200" spans="3:17" x14ac:dyDescent="0.25">
      <c r="C1200" s="1" t="str">
        <f>_xlfn.CONCAT(tabE.Flux[[#This Row],[DATA]],"+",tabE.Flux[[#This Row],[MOTORISTA + MATRÍCULA A]])</f>
        <v>45938+RAIMUNDO COSTA SILVA - 6226</v>
      </c>
      <c r="D1200" s="1" t="str">
        <f>_xlfn.CONCAT(tabE.Flux[[#This Row],[DATA]],"+",tabE.Flux[[#This Row],[MOTORISTA + MATRÍCULA B]])</f>
        <v>45938+LEANDRO DE OLIVEIRA MELO - 2151</v>
      </c>
      <c r="E1200" s="1" t="str">
        <f>_xlfn.CONCAT(tabE.Flux[[#This Row],[DATA]],"+",tabE.Flux[[#This Row],[MOTORISTA + MATRÍCULA A]],"+",tabE.Flux[[#This Row],[LINHA]])</f>
        <v>45938+RAIMUNDO COSTA SILVA - 6226+GOIANIA (GO) X SAO LUIS (MA)</v>
      </c>
      <c r="F1200" s="1" t="str">
        <f>_xlfn.CONCAT(tabE.Flux[[#This Row],[DATA]],"+",tabE.Flux[[#This Row],[MOTORISTA + MATRÍCULA B]],"+",tabE.Flux[[#This Row],[LINHA]])</f>
        <v>45938+LEANDRO DE OLIVEIRA MELO - 2151+GOIANIA (GO) X SAO LUIS (MA)</v>
      </c>
      <c r="G1200" s="1" t="str">
        <f>_xlfn.CONCAT(tabE.Flux[[#This Row],[DATA]],"+",tabE.Flux[[#This Row],[LINHA]])</f>
        <v>45938+GOIANIA (GO) X SAO LUIS (MA)</v>
      </c>
      <c r="H1200" s="125">
        <v>45938</v>
      </c>
      <c r="I1200" s="1" t="s">
        <v>15</v>
      </c>
      <c r="J1200" s="1">
        <v>24012</v>
      </c>
      <c r="K1200" s="126">
        <v>0.75</v>
      </c>
      <c r="L1200" s="126">
        <v>0.79166666666666663</v>
      </c>
      <c r="M1200" s="1" t="s">
        <v>42</v>
      </c>
      <c r="N1200" s="1" t="s">
        <v>16</v>
      </c>
      <c r="O1200" s="1" t="s">
        <v>45</v>
      </c>
      <c r="P1200" s="1" t="s">
        <v>64</v>
      </c>
      <c r="Q1200" s="1" t="s">
        <v>23</v>
      </c>
    </row>
    <row r="1201" spans="3:17" x14ac:dyDescent="0.25">
      <c r="C1201" s="1" t="str">
        <f>_xlfn.CONCAT(tabE.Flux[[#This Row],[DATA]],"+",tabE.Flux[[#This Row],[MOTORISTA + MATRÍCULA A]])</f>
        <v>45938+CANCELADO</v>
      </c>
      <c r="D1201" s="1" t="str">
        <f>_xlfn.CONCAT(tabE.Flux[[#This Row],[DATA]],"+",tabE.Flux[[#This Row],[MOTORISTA + MATRÍCULA B]])</f>
        <v>45938+CANCELADO</v>
      </c>
      <c r="E1201" s="1" t="str">
        <f>_xlfn.CONCAT(tabE.Flux[[#This Row],[DATA]],"+",tabE.Flux[[#This Row],[MOTORISTA + MATRÍCULA A]],"+",tabE.Flux[[#This Row],[LINHA]])</f>
        <v>45938+CANCELADO+IMPERATRIZ (MA) X SÃO LUIS (MA)</v>
      </c>
      <c r="F1201" s="1" t="str">
        <f>_xlfn.CONCAT(tabE.Flux[[#This Row],[DATA]],"+",tabE.Flux[[#This Row],[MOTORISTA + MATRÍCULA B]],"+",tabE.Flux[[#This Row],[LINHA]])</f>
        <v>45938+CANCELADO+IMPERATRIZ (MA) X SÃO LUIS (MA)</v>
      </c>
      <c r="G1201" s="1" t="str">
        <f>_xlfn.CONCAT(tabE.Flux[[#This Row],[DATA]],"+",tabE.Flux[[#This Row],[LINHA]])</f>
        <v>45938+IMPERATRIZ (MA) X SÃO LUIS (MA)</v>
      </c>
      <c r="H1201" s="125">
        <v>45938</v>
      </c>
      <c r="I1201" s="1" t="s">
        <v>15</v>
      </c>
      <c r="J1201" s="1" t="s">
        <v>27</v>
      </c>
      <c r="K1201" s="126">
        <v>0.77083333333333337</v>
      </c>
      <c r="L1201" s="126">
        <v>0.79513888888888884</v>
      </c>
      <c r="M1201" s="1" t="s">
        <v>42</v>
      </c>
      <c r="N1201" s="1" t="s">
        <v>16</v>
      </c>
      <c r="O1201" s="1" t="s">
        <v>27</v>
      </c>
      <c r="P1201" s="1" t="s">
        <v>27</v>
      </c>
      <c r="Q1201" s="1" t="s">
        <v>47</v>
      </c>
    </row>
    <row r="1202" spans="3:17" x14ac:dyDescent="0.25">
      <c r="C1202" s="1" t="str">
        <f>_xlfn.CONCAT(tabE.Flux[[#This Row],[DATA]],"+",tabE.Flux[[#This Row],[MOTORISTA + MATRÍCULA A]])</f>
        <v>45938+GENIVAL MIRANDA LEITE - 1953</v>
      </c>
      <c r="D1202" s="1" t="str">
        <f>_xlfn.CONCAT(tabE.Flux[[#This Row],[DATA]],"+",tabE.Flux[[#This Row],[MOTORISTA + MATRÍCULA B]])</f>
        <v>45938+JOAO BATISTA DA SILVA - 1823</v>
      </c>
      <c r="E1202" s="1" t="str">
        <f>_xlfn.CONCAT(tabE.Flux[[#This Row],[DATA]],"+",tabE.Flux[[#This Row],[MOTORISTA + MATRÍCULA A]],"+",tabE.Flux[[#This Row],[LINHA]])</f>
        <v>45938+GENIVAL MIRANDA LEITE - 1953+GOIANIA (GO) X TERESINA (PI) VIA BC</v>
      </c>
      <c r="F1202" s="1" t="str">
        <f>_xlfn.CONCAT(tabE.Flux[[#This Row],[DATA]],"+",tabE.Flux[[#This Row],[MOTORISTA + MATRÍCULA B]],"+",tabE.Flux[[#This Row],[LINHA]])</f>
        <v>45938+JOAO BATISTA DA SILVA - 1823+GOIANIA (GO) X TERESINA (PI) VIA BC</v>
      </c>
      <c r="G1202" s="1" t="str">
        <f>_xlfn.CONCAT(tabE.Flux[[#This Row],[DATA]],"+",tabE.Flux[[#This Row],[LINHA]])</f>
        <v>45938+GOIANIA (GO) X TERESINA (PI) VIA BC</v>
      </c>
      <c r="H1202" s="125">
        <v>45938</v>
      </c>
      <c r="I1202" s="1" t="s">
        <v>15</v>
      </c>
      <c r="J1202" s="1">
        <v>24005</v>
      </c>
      <c r="K1202" s="126">
        <v>0.89583333333333337</v>
      </c>
      <c r="L1202" s="126">
        <v>0.91666666666666663</v>
      </c>
      <c r="M1202" s="1" t="s">
        <v>36</v>
      </c>
      <c r="N1202" s="1" t="s">
        <v>17</v>
      </c>
      <c r="O1202" s="1" t="s">
        <v>252</v>
      </c>
      <c r="P1202" s="1" t="s">
        <v>253</v>
      </c>
      <c r="Q1202" s="1" t="s">
        <v>39</v>
      </c>
    </row>
    <row r="1203" spans="3:17" x14ac:dyDescent="0.25">
      <c r="C1203" s="1" t="str">
        <f>_xlfn.CONCAT(tabE.Flux[[#This Row],[DATA]],"+",tabE.Flux[[#This Row],[MOTORISTA + MATRÍCULA A]])</f>
        <v>45938+RONNE RODRIGUES DE SOUSA - 5025</v>
      </c>
      <c r="D1203" s="1" t="str">
        <f>_xlfn.CONCAT(tabE.Flux[[#This Row],[DATA]],"+",tabE.Flux[[#This Row],[MOTORISTA + MATRÍCULA B]])</f>
        <v>45938+EDIVALDO DOS SANTOS SOUZA - 905</v>
      </c>
      <c r="E1203" s="1" t="str">
        <f>_xlfn.CONCAT(tabE.Flux[[#This Row],[DATA]],"+",tabE.Flux[[#This Row],[MOTORISTA + MATRÍCULA A]],"+",tabE.Flux[[#This Row],[LINHA]])</f>
        <v>45938+RONNE RODRIGUES DE SOUSA - 5025+GOIANIA (GO) X BELEM (PA)</v>
      </c>
      <c r="F1203" s="1" t="str">
        <f>_xlfn.CONCAT(tabE.Flux[[#This Row],[DATA]],"+",tabE.Flux[[#This Row],[MOTORISTA + MATRÍCULA B]],"+",tabE.Flux[[#This Row],[LINHA]])</f>
        <v>45938+EDIVALDO DOS SANTOS SOUZA - 905+GOIANIA (GO) X BELEM (PA)</v>
      </c>
      <c r="G1203" s="1" t="str">
        <f>_xlfn.CONCAT(tabE.Flux[[#This Row],[DATA]],"+",tabE.Flux[[#This Row],[LINHA]])</f>
        <v>45938+GOIANIA (GO) X BELEM (PA)</v>
      </c>
      <c r="H1203" s="125">
        <v>45938</v>
      </c>
      <c r="I1203" s="1" t="s">
        <v>15</v>
      </c>
      <c r="J1203" s="1">
        <v>25006</v>
      </c>
      <c r="K1203" s="126">
        <v>0.76041666666666663</v>
      </c>
      <c r="L1203" s="126">
        <v>0.77083333333333337</v>
      </c>
      <c r="M1203" s="1" t="s">
        <v>33</v>
      </c>
      <c r="N1203" s="1" t="s">
        <v>16</v>
      </c>
      <c r="O1203" s="1" t="s">
        <v>85</v>
      </c>
      <c r="P1203" s="1" t="s">
        <v>187</v>
      </c>
      <c r="Q1203" s="1" t="s">
        <v>20</v>
      </c>
    </row>
    <row r="1204" spans="3:17" x14ac:dyDescent="0.25">
      <c r="C1204" s="1" t="str">
        <f>_xlfn.CONCAT(tabE.Flux[[#This Row],[DATA]],"+",tabE.Flux[[#This Row],[MOTORISTA + MATRÍCULA A]])</f>
        <v>45938+LUIZ CARLOS MARIANO SIQUEIRA - 5634</v>
      </c>
      <c r="D1204" s="1" t="str">
        <f>_xlfn.CONCAT(tabE.Flux[[#This Row],[DATA]],"+",tabE.Flux[[#This Row],[MOTORISTA + MATRÍCULA B]])</f>
        <v>45938+WESLEY SILVA PAIVA - 5638</v>
      </c>
      <c r="E1204" s="1" t="str">
        <f>_xlfn.CONCAT(tabE.Flux[[#This Row],[DATA]],"+",tabE.Flux[[#This Row],[MOTORISTA + MATRÍCULA A]],"+",tabE.Flux[[#This Row],[LINHA]])</f>
        <v>45938+LUIZ CARLOS MARIANO SIQUEIRA - 5634+GOIANIA (GO) X BELEM (PA)</v>
      </c>
      <c r="F1204" s="1" t="str">
        <f>_xlfn.CONCAT(tabE.Flux[[#This Row],[DATA]],"+",tabE.Flux[[#This Row],[MOTORISTA + MATRÍCULA B]],"+",tabE.Flux[[#This Row],[LINHA]])</f>
        <v>45938+WESLEY SILVA PAIVA - 5638+GOIANIA (GO) X BELEM (PA)</v>
      </c>
      <c r="G1204" s="1" t="str">
        <f>_xlfn.CONCAT(tabE.Flux[[#This Row],[DATA]],"+",tabE.Flux[[#This Row],[LINHA]])</f>
        <v>45938+GOIANIA (GO) X BELEM (PA)</v>
      </c>
      <c r="H1204" s="125">
        <v>45938</v>
      </c>
      <c r="I1204" s="1" t="s">
        <v>15</v>
      </c>
      <c r="J1204" s="1">
        <v>25010</v>
      </c>
      <c r="K1204" s="126">
        <v>0.76041666666666663</v>
      </c>
      <c r="L1204" s="126">
        <v>0.82777777777777772</v>
      </c>
      <c r="M1204" s="1" t="s">
        <v>16</v>
      </c>
      <c r="N1204" s="1" t="s">
        <v>33</v>
      </c>
      <c r="O1204" s="1" t="s">
        <v>51</v>
      </c>
      <c r="P1204" s="1" t="s">
        <v>112</v>
      </c>
      <c r="Q1204" s="1" t="s">
        <v>20</v>
      </c>
    </row>
    <row r="1205" spans="3:17" x14ac:dyDescent="0.25">
      <c r="C1205" s="1" t="str">
        <f>_xlfn.CONCAT(tabE.Flux[[#This Row],[DATA]],"+",tabE.Flux[[#This Row],[MOTORISTA + MATRÍCULA A]])</f>
        <v>45938+LUIS ANTONIO FARIAS RIBEIRO - 2789</v>
      </c>
      <c r="D1205" s="1" t="str">
        <f>_xlfn.CONCAT(tabE.Flux[[#This Row],[DATA]],"+",tabE.Flux[[#This Row],[MOTORISTA + MATRÍCULA B]])</f>
        <v>45938+PAULO ENEAS FARIAS ARAUJO - 6218</v>
      </c>
      <c r="E1205" s="1" t="str">
        <f>_xlfn.CONCAT(tabE.Flux[[#This Row],[DATA]],"+",tabE.Flux[[#This Row],[MOTORISTA + MATRÍCULA A]],"+",tabE.Flux[[#This Row],[LINHA]])</f>
        <v>45938+LUIS ANTONIO FARIAS RIBEIRO - 2789+GOIANIA (GO) X SAO LUIS (MA)</v>
      </c>
      <c r="F1205" s="1" t="str">
        <f>_xlfn.CONCAT(tabE.Flux[[#This Row],[DATA]],"+",tabE.Flux[[#This Row],[MOTORISTA + MATRÍCULA B]],"+",tabE.Flux[[#This Row],[LINHA]])</f>
        <v>45938+PAULO ENEAS FARIAS ARAUJO - 6218+GOIANIA (GO) X SAO LUIS (MA)</v>
      </c>
      <c r="G1205" s="1" t="str">
        <f>_xlfn.CONCAT(tabE.Flux[[#This Row],[DATA]],"+",tabE.Flux[[#This Row],[LINHA]])</f>
        <v>45938+GOIANIA (GO) X SAO LUIS (MA)</v>
      </c>
      <c r="H1205" s="125">
        <v>45938</v>
      </c>
      <c r="I1205" s="1" t="s">
        <v>15</v>
      </c>
      <c r="J1205" s="1">
        <v>20018</v>
      </c>
      <c r="K1205" s="126">
        <v>0.40763888888888888</v>
      </c>
      <c r="L1205" s="126">
        <v>0.47013888888888888</v>
      </c>
      <c r="M1205" s="1" t="s">
        <v>16</v>
      </c>
      <c r="N1205" s="1" t="s">
        <v>42</v>
      </c>
      <c r="O1205" s="1" t="s">
        <v>124</v>
      </c>
      <c r="P1205" s="1" t="s">
        <v>43</v>
      </c>
      <c r="Q1205" s="1" t="s">
        <v>23</v>
      </c>
    </row>
    <row r="1206" spans="3:17" x14ac:dyDescent="0.25">
      <c r="C1206" s="1" t="str">
        <f>_xlfn.CONCAT(tabE.Flux[[#This Row],[DATA]],"+",tabE.Flux[[#This Row],[MOTORISTA + MATRÍCULA A]])</f>
        <v>45938+CANCELADO</v>
      </c>
      <c r="D1206" s="1" t="str">
        <f>_xlfn.CONCAT(tabE.Flux[[#This Row],[DATA]],"+",tabE.Flux[[#This Row],[MOTORISTA + MATRÍCULA B]])</f>
        <v>45938+CANCELADO</v>
      </c>
      <c r="E1206" s="1" t="str">
        <f>_xlfn.CONCAT(tabE.Flux[[#This Row],[DATA]],"+",tabE.Flux[[#This Row],[MOTORISTA + MATRÍCULA A]],"+",tabE.Flux[[#This Row],[LINHA]])</f>
        <v>45938+CANCELADO+IMPERATRIZ (MA) X SÃO LUIS (MA)</v>
      </c>
      <c r="F1206" s="1" t="str">
        <f>_xlfn.CONCAT(tabE.Flux[[#This Row],[DATA]],"+",tabE.Flux[[#This Row],[MOTORISTA + MATRÍCULA B]],"+",tabE.Flux[[#This Row],[LINHA]])</f>
        <v>45938+CANCELADO+IMPERATRIZ (MA) X SÃO LUIS (MA)</v>
      </c>
      <c r="G1206" s="1" t="str">
        <f>_xlfn.CONCAT(tabE.Flux[[#This Row],[DATA]],"+",tabE.Flux[[#This Row],[LINHA]])</f>
        <v>45938+IMPERATRIZ (MA) X SÃO LUIS (MA)</v>
      </c>
      <c r="H1206" s="125">
        <v>45938</v>
      </c>
      <c r="I1206" s="1" t="s">
        <v>15</v>
      </c>
      <c r="J1206" s="1" t="s">
        <v>27</v>
      </c>
      <c r="K1206" s="126">
        <v>0.77083333333333337</v>
      </c>
      <c r="L1206" s="126">
        <v>0.8125</v>
      </c>
      <c r="M1206" s="1" t="s">
        <v>16</v>
      </c>
      <c r="N1206" s="1" t="s">
        <v>42</v>
      </c>
      <c r="O1206" s="1" t="s">
        <v>27</v>
      </c>
      <c r="P1206" s="1" t="s">
        <v>27</v>
      </c>
      <c r="Q1206" s="1" t="s">
        <v>47</v>
      </c>
    </row>
    <row r="1207" spans="3:17" x14ac:dyDescent="0.25">
      <c r="C1207" s="1" t="str">
        <f>_xlfn.CONCAT(tabE.Flux[[#This Row],[DATA]],"+",tabE.Flux[[#This Row],[MOTORISTA + MATRÍCULA A]])</f>
        <v>45938+JOSE ALVES DE FREITAS NETO - 5027</v>
      </c>
      <c r="D1207" s="1" t="str">
        <f>_xlfn.CONCAT(tabE.Flux[[#This Row],[DATA]],"+",tabE.Flux[[#This Row],[MOTORISTA + MATRÍCULA B]])</f>
        <v>45938+ALTEMAR DO NASCIMENTO LIMA - 6225</v>
      </c>
      <c r="E1207" s="1" t="str">
        <f>_xlfn.CONCAT(tabE.Flux[[#This Row],[DATA]],"+",tabE.Flux[[#This Row],[MOTORISTA + MATRÍCULA A]],"+",tabE.Flux[[#This Row],[LINHA]])</f>
        <v>45938+JOSE ALVES DE FREITAS NETO - 5027+GOIANIA (GO) X SAO LUIS (MA)</v>
      </c>
      <c r="F1207" s="1" t="str">
        <f>_xlfn.CONCAT(tabE.Flux[[#This Row],[DATA]],"+",tabE.Flux[[#This Row],[MOTORISTA + MATRÍCULA B]],"+",tabE.Flux[[#This Row],[LINHA]])</f>
        <v>45938+ALTEMAR DO NASCIMENTO LIMA - 6225+GOIANIA (GO) X SAO LUIS (MA)</v>
      </c>
      <c r="G1207" s="1" t="str">
        <f>_xlfn.CONCAT(tabE.Flux[[#This Row],[DATA]],"+",tabE.Flux[[#This Row],[LINHA]])</f>
        <v>45938+GOIANIA (GO) X SAO LUIS (MA)</v>
      </c>
      <c r="H1207" s="125">
        <v>45938</v>
      </c>
      <c r="I1207" s="1" t="s">
        <v>15</v>
      </c>
      <c r="J1207" s="1">
        <v>24002</v>
      </c>
      <c r="K1207" s="126">
        <v>0.8125</v>
      </c>
      <c r="L1207" s="126">
        <v>0.84375</v>
      </c>
      <c r="M1207" s="1" t="s">
        <v>16</v>
      </c>
      <c r="N1207" s="1" t="s">
        <v>42</v>
      </c>
      <c r="O1207" s="1" t="s">
        <v>90</v>
      </c>
      <c r="P1207" s="1" t="s">
        <v>57</v>
      </c>
      <c r="Q1207" s="1" t="s">
        <v>23</v>
      </c>
    </row>
    <row r="1208" spans="3:17" x14ac:dyDescent="0.25">
      <c r="C1208" s="1" t="str">
        <f>_xlfn.CONCAT(tabE.Flux[[#This Row],[DATA]],"+",tabE.Flux[[#This Row],[MOTORISTA + MATRÍCULA A]])</f>
        <v>45938+MARCIO RODRIGUES DA COSTA - 5993</v>
      </c>
      <c r="D1208" s="1" t="str">
        <f>_xlfn.CONCAT(tabE.Flux[[#This Row],[DATA]],"+",tabE.Flux[[#This Row],[MOTORISTA + MATRÍCULA B]])</f>
        <v>45938+ADRIASIO SOARES MENDES - 5440</v>
      </c>
      <c r="E1208" s="1" t="str">
        <f>_xlfn.CONCAT(tabE.Flux[[#This Row],[DATA]],"+",tabE.Flux[[#This Row],[MOTORISTA + MATRÍCULA A]],"+",tabE.Flux[[#This Row],[LINHA]])</f>
        <v>45938+MARCIO RODRIGUES DA COSTA - 5993+GOIANIA (GO) X TERESINA (PI) VIA STI</v>
      </c>
      <c r="F1208" s="1" t="str">
        <f>_xlfn.CONCAT(tabE.Flux[[#This Row],[DATA]],"+",tabE.Flux[[#This Row],[MOTORISTA + MATRÍCULA B]],"+",tabE.Flux[[#This Row],[LINHA]])</f>
        <v>45938+ADRIASIO SOARES MENDES - 5440+GOIANIA (GO) X TERESINA (PI) VIA STI</v>
      </c>
      <c r="G1208" s="1" t="str">
        <f>_xlfn.CONCAT(tabE.Flux[[#This Row],[DATA]],"+",tabE.Flux[[#This Row],[LINHA]])</f>
        <v>45938+GOIANIA (GO) X TERESINA (PI) VIA STI</v>
      </c>
      <c r="H1208" s="125">
        <v>45938</v>
      </c>
      <c r="I1208" s="1" t="s">
        <v>15</v>
      </c>
      <c r="J1208" s="1">
        <v>19016</v>
      </c>
      <c r="K1208" s="126">
        <v>0.77083333333333337</v>
      </c>
      <c r="L1208" s="126">
        <v>0.79861111111111116</v>
      </c>
      <c r="M1208" s="1" t="s">
        <v>16</v>
      </c>
      <c r="N1208" s="1" t="s">
        <v>29</v>
      </c>
      <c r="O1208" s="1" t="s">
        <v>107</v>
      </c>
      <c r="P1208" s="1" t="s">
        <v>242</v>
      </c>
      <c r="Q1208" s="1" t="s">
        <v>26</v>
      </c>
    </row>
    <row r="1209" spans="3:17" x14ac:dyDescent="0.25">
      <c r="C1209" s="1" t="str">
        <f>_xlfn.CONCAT(tabE.Flux[[#This Row],[DATA]],"+",tabE.Flux[[#This Row],[MOTORISTA + MATRÍCULA A]])</f>
        <v>45938+DIVINO FERREIRA DA SILVA - 1946</v>
      </c>
      <c r="D1209" s="1" t="str">
        <f>_xlfn.CONCAT(tabE.Flux[[#This Row],[DATA]],"+",tabE.Flux[[#This Row],[MOTORISTA + MATRÍCULA B]])</f>
        <v>45938+  TIAGO MARTINS BERNARDES- 5260</v>
      </c>
      <c r="E1209" s="1" t="str">
        <f>_xlfn.CONCAT(tabE.Flux[[#This Row],[DATA]],"+",tabE.Flux[[#This Row],[MOTORISTA + MATRÍCULA A]],"+",tabE.Flux[[#This Row],[LINHA]])</f>
        <v>45938+DIVINO FERREIRA DA SILVA - 1946+GOIANIA (GO) X SAO LUIS (MA)</v>
      </c>
      <c r="F1209" s="1" t="str">
        <f>_xlfn.CONCAT(tabE.Flux[[#This Row],[DATA]],"+",tabE.Flux[[#This Row],[MOTORISTA + MATRÍCULA B]],"+",tabE.Flux[[#This Row],[LINHA]])</f>
        <v>45938+  TIAGO MARTINS BERNARDES- 5260+GOIANIA (GO) X SAO LUIS (MA)</v>
      </c>
      <c r="G1209" s="1" t="str">
        <f>_xlfn.CONCAT(tabE.Flux[[#This Row],[DATA]],"+",tabE.Flux[[#This Row],[LINHA]])</f>
        <v>45938+GOIANIA (GO) X SAO LUIS (MA)</v>
      </c>
      <c r="H1209" s="125">
        <v>45938</v>
      </c>
      <c r="I1209" s="1" t="s">
        <v>15</v>
      </c>
      <c r="J1209" s="1">
        <v>20019</v>
      </c>
      <c r="K1209" s="126">
        <v>0.8125</v>
      </c>
      <c r="L1209" s="126">
        <v>0.84166666666666667</v>
      </c>
      <c r="M1209" s="1" t="s">
        <v>16</v>
      </c>
      <c r="N1209" s="1" t="s">
        <v>17</v>
      </c>
      <c r="O1209" s="1" t="s">
        <v>238</v>
      </c>
      <c r="P1209" s="1" t="s">
        <v>266</v>
      </c>
      <c r="Q1209" s="1" t="s">
        <v>23</v>
      </c>
    </row>
    <row r="1210" spans="3:17" x14ac:dyDescent="0.25">
      <c r="C1210" s="1" t="str">
        <f>_xlfn.CONCAT(tabE.Flux[[#This Row],[DATA]],"+",tabE.Flux[[#This Row],[MOTORISTA + MATRÍCULA A]])</f>
        <v>45938+CLEYTON CEZAR DA SILVA - 5741</v>
      </c>
      <c r="D1210" s="1" t="str">
        <f>_xlfn.CONCAT(tabE.Flux[[#This Row],[DATA]],"+",tabE.Flux[[#This Row],[MOTORISTA + MATRÍCULA B]])</f>
        <v>45938+JANIO CEZAR DOS SANTOS - 6021</v>
      </c>
      <c r="E1210" s="1" t="str">
        <f>_xlfn.CONCAT(tabE.Flux[[#This Row],[DATA]],"+",tabE.Flux[[#This Row],[MOTORISTA + MATRÍCULA A]],"+",tabE.Flux[[#This Row],[LINHA]])</f>
        <v>45938+CLEYTON CEZAR DA SILVA - 5741+FORTALEZA (CE) X SINOP (MT)</v>
      </c>
      <c r="F1210" s="1" t="str">
        <f>_xlfn.CONCAT(tabE.Flux[[#This Row],[DATA]],"+",tabE.Flux[[#This Row],[MOTORISTA + MATRÍCULA B]],"+",tabE.Flux[[#This Row],[LINHA]])</f>
        <v>45938+JANIO CEZAR DOS SANTOS - 6021+FORTALEZA (CE) X SINOP (MT)</v>
      </c>
      <c r="G1210" s="1" t="str">
        <f>_xlfn.CONCAT(tabE.Flux[[#This Row],[DATA]],"+",tabE.Flux[[#This Row],[LINHA]])</f>
        <v>45938+FORTALEZA (CE) X SINOP (MT)</v>
      </c>
      <c r="H1210" s="125">
        <v>45938</v>
      </c>
      <c r="I1210" s="1" t="s">
        <v>15</v>
      </c>
      <c r="J1210" s="1">
        <v>20013</v>
      </c>
      <c r="K1210" s="126">
        <v>0.8125</v>
      </c>
      <c r="L1210" s="126">
        <v>0.85416666666666663</v>
      </c>
      <c r="M1210" s="1" t="s">
        <v>16</v>
      </c>
      <c r="N1210" s="1" t="s">
        <v>17</v>
      </c>
      <c r="O1210" s="1" t="s">
        <v>155</v>
      </c>
      <c r="P1210" s="1" t="s">
        <v>115</v>
      </c>
      <c r="Q1210" s="1" t="s">
        <v>32</v>
      </c>
    </row>
    <row r="1211" spans="3:17" x14ac:dyDescent="0.25">
      <c r="C1211" s="1" t="str">
        <f>_xlfn.CONCAT(tabE.Flux[[#This Row],[DATA]],"+",tabE.Flux[[#This Row],[MOTORISTA + MATRÍCULA A]])</f>
        <v>45938+VALTER PEREIRA MACIEL - 5630</v>
      </c>
      <c r="D1211" s="1" t="str">
        <f>_xlfn.CONCAT(tabE.Flux[[#This Row],[DATA]],"+",tabE.Flux[[#This Row],[MOTORISTA + MATRÍCULA B]])</f>
        <v>45938+GERALDO MARTINS DOS SANTOS - 5610</v>
      </c>
      <c r="E1211" s="1" t="str">
        <f>_xlfn.CONCAT(tabE.Flux[[#This Row],[DATA]],"+",tabE.Flux[[#This Row],[MOTORISTA + MATRÍCULA A]],"+",tabE.Flux[[#This Row],[LINHA]])</f>
        <v>45938+VALTER PEREIRA MACIEL - 5630+GOIANIA (GO) X BELEM (PA)</v>
      </c>
      <c r="F1211" s="1" t="str">
        <f>_xlfn.CONCAT(tabE.Flux[[#This Row],[DATA]],"+",tabE.Flux[[#This Row],[MOTORISTA + MATRÍCULA B]],"+",tabE.Flux[[#This Row],[LINHA]])</f>
        <v>45938+GERALDO MARTINS DOS SANTOS - 5610+GOIANIA (GO) X BELEM (PA)</v>
      </c>
      <c r="G1211" s="1" t="str">
        <f>_xlfn.CONCAT(tabE.Flux[[#This Row],[DATA]],"+",tabE.Flux[[#This Row],[LINHA]])</f>
        <v>45938+GOIANIA (GO) X BELEM (PA)</v>
      </c>
      <c r="H1211" s="125">
        <v>45938</v>
      </c>
      <c r="I1211" s="1" t="s">
        <v>15</v>
      </c>
      <c r="J1211" s="1">
        <v>19022</v>
      </c>
      <c r="K1211" s="126">
        <v>0.84722222222222221</v>
      </c>
      <c r="L1211" s="126">
        <v>0.87847222222222221</v>
      </c>
      <c r="M1211" s="1" t="s">
        <v>16</v>
      </c>
      <c r="N1211" s="1" t="s">
        <v>17</v>
      </c>
      <c r="O1211" s="1" t="s">
        <v>208</v>
      </c>
      <c r="P1211" s="1" t="s">
        <v>209</v>
      </c>
      <c r="Q1211" s="1" t="s">
        <v>20</v>
      </c>
    </row>
    <row r="1212" spans="3:17" x14ac:dyDescent="0.25">
      <c r="C1212" s="1" t="str">
        <f>_xlfn.CONCAT(tabE.Flux[[#This Row],[DATA]],"+",tabE.Flux[[#This Row],[MOTORISTA + MATRÍCULA A]])</f>
        <v>+</v>
      </c>
      <c r="D1212" s="1" t="str">
        <f>_xlfn.CONCAT(tabE.Flux[[#This Row],[DATA]],"+",tabE.Flux[[#This Row],[MOTORISTA + MATRÍCULA B]])</f>
        <v>+</v>
      </c>
      <c r="E1212" s="1" t="str">
        <f>_xlfn.CONCAT(tabE.Flux[[#This Row],[DATA]],"+",tabE.Flux[[#This Row],[MOTORISTA + MATRÍCULA A]],"+",tabE.Flux[[#This Row],[LINHA]])</f>
        <v>++</v>
      </c>
      <c r="F1212" s="1" t="str">
        <f>_xlfn.CONCAT(tabE.Flux[[#This Row],[DATA]],"+",tabE.Flux[[#This Row],[MOTORISTA + MATRÍCULA B]],"+",tabE.Flux[[#This Row],[LINHA]])</f>
        <v>++</v>
      </c>
      <c r="G1212" s="1" t="str">
        <f>_xlfn.CONCAT(tabE.Flux[[#This Row],[DATA]],"+",tabE.Flux[[#This Row],[LINHA]])</f>
        <v>+</v>
      </c>
      <c r="H1212" s="1"/>
      <c r="I1212" s="1"/>
      <c r="J1212" s="1"/>
      <c r="K1212" s="1"/>
      <c r="L1212" s="1"/>
      <c r="M1212" s="1"/>
      <c r="N1212" s="1"/>
      <c r="O1212" s="1"/>
      <c r="P1212" s="1"/>
      <c r="Q1212" s="1"/>
    </row>
    <row r="1213" spans="3:17" x14ac:dyDescent="0.25">
      <c r="C1213" s="1" t="str">
        <f>_xlfn.CONCAT(tabE.Flux[[#This Row],[DATA]],"+",tabE.Flux[[#This Row],[MOTORISTA + MATRÍCULA A]])</f>
        <v>45939+HILTON RODRIGUES DA COSTA - 866</v>
      </c>
      <c r="D1213" s="1" t="str">
        <f>_xlfn.CONCAT(tabE.Flux[[#This Row],[DATA]],"+",tabE.Flux[[#This Row],[MOTORISTA + MATRÍCULA B]])</f>
        <v>45939+DJALMA SOARES GUIMARAES - 1948</v>
      </c>
      <c r="E1213" s="1" t="str">
        <f>_xlfn.CONCAT(tabE.Flux[[#This Row],[DATA]],"+",tabE.Flux[[#This Row],[MOTORISTA + MATRÍCULA A]],"+",tabE.Flux[[#This Row],[LINHA]])</f>
        <v>45939+HILTON RODRIGUES DA COSTA - 866+GOIANIA (GO) X BELEM (PA)</v>
      </c>
      <c r="F1213" s="1" t="str">
        <f>_xlfn.CONCAT(tabE.Flux[[#This Row],[DATA]],"+",tabE.Flux[[#This Row],[MOTORISTA + MATRÍCULA B]],"+",tabE.Flux[[#This Row],[LINHA]])</f>
        <v>45939+DJALMA SOARES GUIMARAES - 1948+GOIANIA (GO) X BELEM (PA)</v>
      </c>
      <c r="G1213" s="1" t="str">
        <f>_xlfn.CONCAT(tabE.Flux[[#This Row],[DATA]],"+",tabE.Flux[[#This Row],[LINHA]])</f>
        <v>45939+GOIANIA (GO) X BELEM (PA)</v>
      </c>
      <c r="H1213" s="125">
        <v>45939</v>
      </c>
      <c r="I1213" s="1" t="s">
        <v>15</v>
      </c>
      <c r="J1213" s="1">
        <v>25006</v>
      </c>
      <c r="K1213" s="126">
        <v>0.25486111111111109</v>
      </c>
      <c r="L1213" s="126">
        <v>0.3</v>
      </c>
      <c r="M1213" s="1" t="s">
        <v>16</v>
      </c>
      <c r="N1213" s="1" t="s">
        <v>17</v>
      </c>
      <c r="O1213" s="1" t="s">
        <v>256</v>
      </c>
      <c r="P1213" s="1" t="s">
        <v>237</v>
      </c>
      <c r="Q1213" s="1" t="s">
        <v>20</v>
      </c>
    </row>
    <row r="1214" spans="3:17" x14ac:dyDescent="0.25">
      <c r="C1214" s="1" t="str">
        <f>_xlfn.CONCAT(tabE.Flux[[#This Row],[DATA]],"+",tabE.Flux[[#This Row],[MOTORISTA + MATRÍCULA A]])</f>
        <v>45939+KLEBER OLIVEIRA LIMA - 5849</v>
      </c>
      <c r="D1214" s="1" t="str">
        <f>_xlfn.CONCAT(tabE.Flux[[#This Row],[DATA]],"+",tabE.Flux[[#This Row],[MOTORISTA + MATRÍCULA B]])</f>
        <v>45939+ANTONIO RAMIRO WEBER - 5452</v>
      </c>
      <c r="E1214" s="1" t="str">
        <f>_xlfn.CONCAT(tabE.Flux[[#This Row],[DATA]],"+",tabE.Flux[[#This Row],[MOTORISTA + MATRÍCULA A]],"+",tabE.Flux[[#This Row],[LINHA]])</f>
        <v>45939+KLEBER OLIVEIRA LIMA - 5849+GOIANIA (GO) X SAO LUIS (MA)</v>
      </c>
      <c r="F1214" s="1" t="str">
        <f>_xlfn.CONCAT(tabE.Flux[[#This Row],[DATA]],"+",tabE.Flux[[#This Row],[MOTORISTA + MATRÍCULA B]],"+",tabE.Flux[[#This Row],[LINHA]])</f>
        <v>45939+ANTONIO RAMIRO WEBER - 5452+GOIANIA (GO) X SAO LUIS (MA)</v>
      </c>
      <c r="G1214" s="1" t="str">
        <f>_xlfn.CONCAT(tabE.Flux[[#This Row],[DATA]],"+",tabE.Flux[[#This Row],[LINHA]])</f>
        <v>45939+GOIANIA (GO) X SAO LUIS (MA)</v>
      </c>
      <c r="H1214" s="125">
        <v>45939</v>
      </c>
      <c r="I1214" s="1" t="s">
        <v>15</v>
      </c>
      <c r="J1214" s="1">
        <v>24012</v>
      </c>
      <c r="K1214" s="126">
        <v>0.32291666666666669</v>
      </c>
      <c r="L1214" s="126">
        <v>0.33333333333333331</v>
      </c>
      <c r="M1214" s="1" t="s">
        <v>16</v>
      </c>
      <c r="N1214" s="1" t="s">
        <v>17</v>
      </c>
      <c r="O1214" s="1" t="s">
        <v>102</v>
      </c>
      <c r="P1214" s="1" t="s">
        <v>79</v>
      </c>
      <c r="Q1214" s="1" t="s">
        <v>23</v>
      </c>
    </row>
    <row r="1215" spans="3:17" x14ac:dyDescent="0.25">
      <c r="C1215" s="1" t="str">
        <f>_xlfn.CONCAT(tabE.Flux[[#This Row],[DATA]],"+",tabE.Flux[[#This Row],[MOTORISTA + MATRÍCULA A]])</f>
        <v>45939+FRANCISCO ALVES DA PAZ JUNIOR - 1247</v>
      </c>
      <c r="D1215" s="1" t="str">
        <f>_xlfn.CONCAT(tabE.Flux[[#This Row],[DATA]],"+",tabE.Flux[[#This Row],[MOTORISTA + MATRÍCULA B]])</f>
        <v>45939+FABIO MOREIRA DOS SANTOS - 3073</v>
      </c>
      <c r="E1215" s="1" t="str">
        <f>_xlfn.CONCAT(tabE.Flux[[#This Row],[DATA]],"+",tabE.Flux[[#This Row],[MOTORISTA + MATRÍCULA A]],"+",tabE.Flux[[#This Row],[LINHA]])</f>
        <v>45939+FRANCISCO ALVES DA PAZ JUNIOR - 1247+GOIANIA (GO) X TERESINA (PI) VIA STI</v>
      </c>
      <c r="F1215" s="1" t="str">
        <f>_xlfn.CONCAT(tabE.Flux[[#This Row],[DATA]],"+",tabE.Flux[[#This Row],[MOTORISTA + MATRÍCULA B]],"+",tabE.Flux[[#This Row],[LINHA]])</f>
        <v>45939+FABIO MOREIRA DOS SANTOS - 3073+GOIANIA (GO) X TERESINA (PI) VIA STI</v>
      </c>
      <c r="G1215" s="1" t="str">
        <f>_xlfn.CONCAT(tabE.Flux[[#This Row],[DATA]],"+",tabE.Flux[[#This Row],[LINHA]])</f>
        <v>45939+GOIANIA (GO) X TERESINA (PI) VIA STI</v>
      </c>
      <c r="H1215" s="125">
        <v>45939</v>
      </c>
      <c r="I1215" s="1" t="s">
        <v>15</v>
      </c>
      <c r="J1215" s="1">
        <v>19008</v>
      </c>
      <c r="K1215" s="126">
        <v>0.3888888888888889</v>
      </c>
      <c r="L1215" s="126">
        <v>0.39583333333333331</v>
      </c>
      <c r="M1215" s="1" t="s">
        <v>16</v>
      </c>
      <c r="N1215" s="1" t="s">
        <v>17</v>
      </c>
      <c r="O1215" s="1" t="s">
        <v>144</v>
      </c>
      <c r="P1215" s="1" t="s">
        <v>50</v>
      </c>
      <c r="Q1215" s="1" t="s">
        <v>26</v>
      </c>
    </row>
    <row r="1216" spans="3:17" x14ac:dyDescent="0.25">
      <c r="C1216" s="1" t="str">
        <f>_xlfn.CONCAT(tabE.Flux[[#This Row],[DATA]],"+",tabE.Flux[[#This Row],[MOTORISTA + MATRÍCULA A]])</f>
        <v>45939+CANCELADO</v>
      </c>
      <c r="D1216" s="1" t="str">
        <f>_xlfn.CONCAT(tabE.Flux[[#This Row],[DATA]],"+",tabE.Flux[[#This Row],[MOTORISTA + MATRÍCULA B]])</f>
        <v>45939+CANCELADO</v>
      </c>
      <c r="E1216" s="1" t="str">
        <f>_xlfn.CONCAT(tabE.Flux[[#This Row],[DATA]],"+",tabE.Flux[[#This Row],[MOTORISTA + MATRÍCULA A]],"+",tabE.Flux[[#This Row],[LINHA]])</f>
        <v>45939+CANCELADO+</v>
      </c>
      <c r="F1216" s="1" t="str">
        <f>_xlfn.CONCAT(tabE.Flux[[#This Row],[DATA]],"+",tabE.Flux[[#This Row],[MOTORISTA + MATRÍCULA B]],"+",tabE.Flux[[#This Row],[LINHA]])</f>
        <v>45939+CANCELADO+</v>
      </c>
      <c r="G1216" s="1" t="str">
        <f>_xlfn.CONCAT(tabE.Flux[[#This Row],[DATA]],"+",tabE.Flux[[#This Row],[LINHA]])</f>
        <v>45939+</v>
      </c>
      <c r="H1216" s="125">
        <v>45939</v>
      </c>
      <c r="I1216" s="1" t="s">
        <v>15</v>
      </c>
      <c r="J1216" s="1" t="s">
        <v>27</v>
      </c>
      <c r="K1216" s="126">
        <v>0.375</v>
      </c>
      <c r="L1216" s="126">
        <v>0.41666666666666669</v>
      </c>
      <c r="M1216" s="1" t="s">
        <v>16</v>
      </c>
      <c r="N1216" s="1" t="s">
        <v>28</v>
      </c>
      <c r="O1216" s="1" t="s">
        <v>27</v>
      </c>
      <c r="P1216" s="1" t="s">
        <v>27</v>
      </c>
      <c r="Q1216" s="1"/>
    </row>
    <row r="1217" spans="3:17" x14ac:dyDescent="0.25">
      <c r="C1217" s="1" t="str">
        <f>_xlfn.CONCAT(tabE.Flux[[#This Row],[DATA]],"+",tabE.Flux[[#This Row],[MOTORISTA + MATRÍCULA A]])</f>
        <v>45939+JAIRO VIEIRA FERREIRA - 5835</v>
      </c>
      <c r="D1217" s="1" t="str">
        <f>_xlfn.CONCAT(tabE.Flux[[#This Row],[DATA]],"+",tabE.Flux[[#This Row],[MOTORISTA + MATRÍCULA B]])</f>
        <v>45939+LUIZ ANDRE GOMES DE SOUSA - 5654</v>
      </c>
      <c r="E1217" s="1" t="str">
        <f>_xlfn.CONCAT(tabE.Flux[[#This Row],[DATA]],"+",tabE.Flux[[#This Row],[MOTORISTA + MATRÍCULA A]],"+",tabE.Flux[[#This Row],[LINHA]])</f>
        <v>45939+JAIRO VIEIRA FERREIRA - 5835+FORTALEZA (CE) X SINOP (MT)</v>
      </c>
      <c r="F1217" s="1" t="str">
        <f>_xlfn.CONCAT(tabE.Flux[[#This Row],[DATA]],"+",tabE.Flux[[#This Row],[MOTORISTA + MATRÍCULA B]],"+",tabE.Flux[[#This Row],[LINHA]])</f>
        <v>45939+LUIZ ANDRE GOMES DE SOUSA - 5654+FORTALEZA (CE) X SINOP (MT)</v>
      </c>
      <c r="G1217" s="1" t="str">
        <f>_xlfn.CONCAT(tabE.Flux[[#This Row],[DATA]],"+",tabE.Flux[[#This Row],[LINHA]])</f>
        <v>45939+FORTALEZA (CE) X SINOP (MT)</v>
      </c>
      <c r="H1217" s="125">
        <v>45939</v>
      </c>
      <c r="I1217" s="1" t="s">
        <v>15</v>
      </c>
      <c r="J1217" s="1">
        <v>19015</v>
      </c>
      <c r="K1217" s="126">
        <v>0.3888888888888889</v>
      </c>
      <c r="L1217" s="126">
        <v>0.37708333333333333</v>
      </c>
      <c r="M1217" s="1" t="s">
        <v>16</v>
      </c>
      <c r="N1217" s="1" t="s">
        <v>29</v>
      </c>
      <c r="O1217" s="1" t="s">
        <v>230</v>
      </c>
      <c r="P1217" s="1" t="s">
        <v>257</v>
      </c>
      <c r="Q1217" s="1" t="s">
        <v>32</v>
      </c>
    </row>
    <row r="1218" spans="3:17" x14ac:dyDescent="0.25">
      <c r="C1218" s="1" t="str">
        <f>_xlfn.CONCAT(tabE.Flux[[#This Row],[DATA]],"+",tabE.Flux[[#This Row],[MOTORISTA + MATRÍCULA A]])</f>
        <v>45939+GILDEVAN DE ALMEIDA AGOSTINHO - 1924</v>
      </c>
      <c r="D1218" s="1" t="str">
        <f>_xlfn.CONCAT(tabE.Flux[[#This Row],[DATA]],"+",tabE.Flux[[#This Row],[MOTORISTA + MATRÍCULA B]])</f>
        <v>45939+EUGENIO PEREIRA DOS SANTOS - 1197</v>
      </c>
      <c r="E1218" s="1" t="str">
        <f>_xlfn.CONCAT(tabE.Flux[[#This Row],[DATA]],"+",tabE.Flux[[#This Row],[MOTORISTA + MATRÍCULA A]],"+",tabE.Flux[[#This Row],[LINHA]])</f>
        <v>45939+GILDEVAN DE ALMEIDA AGOSTINHO - 1924+GOIANIA (GO) X BELEM (PA)</v>
      </c>
      <c r="F1218" s="1" t="str">
        <f>_xlfn.CONCAT(tabE.Flux[[#This Row],[DATA]],"+",tabE.Flux[[#This Row],[MOTORISTA + MATRÍCULA B]],"+",tabE.Flux[[#This Row],[LINHA]])</f>
        <v>45939+EUGENIO PEREIRA DOS SANTOS - 1197+GOIANIA (GO) X BELEM (PA)</v>
      </c>
      <c r="G1218" s="1" t="str">
        <f>_xlfn.CONCAT(tabE.Flux[[#This Row],[DATA]],"+",tabE.Flux[[#This Row],[LINHA]])</f>
        <v>45939+GOIANIA (GO) X BELEM (PA)</v>
      </c>
      <c r="H1218" s="125">
        <v>45939</v>
      </c>
      <c r="I1218" s="1" t="s">
        <v>15</v>
      </c>
      <c r="J1218" s="1">
        <v>19014</v>
      </c>
      <c r="K1218" s="126">
        <v>0.38958333333333334</v>
      </c>
      <c r="L1218" s="126">
        <v>0.38541666666666669</v>
      </c>
      <c r="M1218" s="1" t="s">
        <v>16</v>
      </c>
      <c r="N1218" s="1" t="s">
        <v>33</v>
      </c>
      <c r="O1218" s="1" t="s">
        <v>236</v>
      </c>
      <c r="P1218" s="1" t="s">
        <v>264</v>
      </c>
      <c r="Q1218" s="1" t="s">
        <v>20</v>
      </c>
    </row>
    <row r="1219" spans="3:17" x14ac:dyDescent="0.25">
      <c r="C1219" s="1" t="str">
        <f>_xlfn.CONCAT(tabE.Flux[[#This Row],[DATA]],"+",tabE.Flux[[#This Row],[MOTORISTA + MATRÍCULA A]])</f>
        <v>45939+JWEBISON DE BRITO SOUZA - 2999</v>
      </c>
      <c r="D1219" s="1" t="str">
        <f>_xlfn.CONCAT(tabE.Flux[[#This Row],[DATA]],"+",tabE.Flux[[#This Row],[MOTORISTA + MATRÍCULA B]])</f>
        <v>45939+DANIEL PEREIRA DA ROCHA - 5298</v>
      </c>
      <c r="E1219" s="1" t="str">
        <f>_xlfn.CONCAT(tabE.Flux[[#This Row],[DATA]],"+",tabE.Flux[[#This Row],[MOTORISTA + MATRÍCULA A]],"+",tabE.Flux[[#This Row],[LINHA]])</f>
        <v>45939+JWEBISON DE BRITO SOUZA - 2999+GOIANIA (GO) X TERESINA (PI) VIA BC</v>
      </c>
      <c r="F1219" s="1" t="str">
        <f>_xlfn.CONCAT(tabE.Flux[[#This Row],[DATA]],"+",tabE.Flux[[#This Row],[MOTORISTA + MATRÍCULA B]],"+",tabE.Flux[[#This Row],[LINHA]])</f>
        <v>45939+DANIEL PEREIRA DA ROCHA - 5298+GOIANIA (GO) X TERESINA (PI) VIA BC</v>
      </c>
      <c r="G1219" s="1" t="str">
        <f>_xlfn.CONCAT(tabE.Flux[[#This Row],[DATA]],"+",tabE.Flux[[#This Row],[LINHA]])</f>
        <v>45939+GOIANIA (GO) X TERESINA (PI) VIA BC</v>
      </c>
      <c r="H1219" s="125">
        <v>45939</v>
      </c>
      <c r="I1219" s="1" t="s">
        <v>15</v>
      </c>
      <c r="J1219" s="1">
        <v>25011</v>
      </c>
      <c r="K1219" s="126">
        <v>0.375</v>
      </c>
      <c r="L1219" s="126">
        <v>0.39930555555555558</v>
      </c>
      <c r="M1219" s="1" t="s">
        <v>36</v>
      </c>
      <c r="N1219" s="1" t="s">
        <v>29</v>
      </c>
      <c r="O1219" s="1" t="s">
        <v>77</v>
      </c>
      <c r="P1219" s="1" t="s">
        <v>184</v>
      </c>
      <c r="Q1219" s="1" t="s">
        <v>39</v>
      </c>
    </row>
    <row r="1220" spans="3:17" x14ac:dyDescent="0.25">
      <c r="C1220" s="1" t="str">
        <f>_xlfn.CONCAT(tabE.Flux[[#This Row],[DATA]],"+",tabE.Flux[[#This Row],[MOTORISTA + MATRÍCULA A]])</f>
        <v>45939+REINAN JOSE BORGES SOUSA - 1075</v>
      </c>
      <c r="D1220" s="1" t="str">
        <f>_xlfn.CONCAT(tabE.Flux[[#This Row],[DATA]],"+",tabE.Flux[[#This Row],[MOTORISTA + MATRÍCULA B]])</f>
        <v>45939+JAME DOS SANTOS MOURA - 5332</v>
      </c>
      <c r="E1220" s="1" t="str">
        <f>_xlfn.CONCAT(tabE.Flux[[#This Row],[DATA]],"+",tabE.Flux[[#This Row],[MOTORISTA + MATRÍCULA A]],"+",tabE.Flux[[#This Row],[LINHA]])</f>
        <v>45939+REINAN JOSE BORGES SOUSA - 1075+GOIANIA (GO) X BELEM (PA)</v>
      </c>
      <c r="F1220" s="1" t="str">
        <f>_xlfn.CONCAT(tabE.Flux[[#This Row],[DATA]],"+",tabE.Flux[[#This Row],[MOTORISTA + MATRÍCULA B]],"+",tabE.Flux[[#This Row],[LINHA]])</f>
        <v>45939+JAME DOS SANTOS MOURA - 5332+GOIANIA (GO) X BELEM (PA)</v>
      </c>
      <c r="G1220" s="1" t="str">
        <f>_xlfn.CONCAT(tabE.Flux[[#This Row],[DATA]],"+",tabE.Flux[[#This Row],[LINHA]])</f>
        <v>45939+GOIANIA (GO) X BELEM (PA)</v>
      </c>
      <c r="H1220" s="125">
        <v>45939</v>
      </c>
      <c r="I1220" s="1" t="s">
        <v>15</v>
      </c>
      <c r="J1220" s="1">
        <v>19007</v>
      </c>
      <c r="K1220" s="126">
        <v>0.375</v>
      </c>
      <c r="L1220" s="126">
        <v>0.41666666666666669</v>
      </c>
      <c r="M1220" s="1" t="s">
        <v>33</v>
      </c>
      <c r="N1220" s="1" t="s">
        <v>16</v>
      </c>
      <c r="O1220" s="1" t="s">
        <v>84</v>
      </c>
      <c r="P1220" s="1" t="s">
        <v>103</v>
      </c>
      <c r="Q1220" s="1" t="s">
        <v>20</v>
      </c>
    </row>
    <row r="1221" spans="3:17" x14ac:dyDescent="0.25">
      <c r="C1221" s="1" t="str">
        <f>_xlfn.CONCAT(tabE.Flux[[#This Row],[DATA]],"+",tabE.Flux[[#This Row],[MOTORISTA + MATRÍCULA A]])</f>
        <v>45939+LAUCEANDO DA SILVA ROCHA - 6220</v>
      </c>
      <c r="D1221" s="1" t="str">
        <f>_xlfn.CONCAT(tabE.Flux[[#This Row],[DATA]],"+",tabE.Flux[[#This Row],[MOTORISTA + MATRÍCULA B]])</f>
        <v>45939+LUIS ANTONIO FARIAS RIBEIRO - 2789</v>
      </c>
      <c r="E1221" s="1" t="str">
        <f>_xlfn.CONCAT(tabE.Flux[[#This Row],[DATA]],"+",tabE.Flux[[#This Row],[MOTORISTA + MATRÍCULA A]],"+",tabE.Flux[[#This Row],[LINHA]])</f>
        <v>45939+LAUCEANDO DA SILVA ROCHA - 6220+GOIANIA (GO) X SAO LUIS (MA)</v>
      </c>
      <c r="F1221" s="1" t="str">
        <f>_xlfn.CONCAT(tabE.Flux[[#This Row],[DATA]],"+",tabE.Flux[[#This Row],[MOTORISTA + MATRÍCULA B]],"+",tabE.Flux[[#This Row],[LINHA]])</f>
        <v>45939+LUIS ANTONIO FARIAS RIBEIRO - 2789+GOIANIA (GO) X SAO LUIS (MA)</v>
      </c>
      <c r="G1221" s="1" t="str">
        <f>_xlfn.CONCAT(tabE.Flux[[#This Row],[DATA]],"+",tabE.Flux[[#This Row],[LINHA]])</f>
        <v>45939+GOIANIA (GO) X SAO LUIS (MA)</v>
      </c>
      <c r="H1221" s="125">
        <v>45939</v>
      </c>
      <c r="I1221" s="1" t="s">
        <v>15</v>
      </c>
      <c r="J1221" s="1">
        <v>19001</v>
      </c>
      <c r="K1221" s="126">
        <v>0.25</v>
      </c>
      <c r="L1221" s="126">
        <v>0.29166666666666669</v>
      </c>
      <c r="M1221" s="1" t="s">
        <v>42</v>
      </c>
      <c r="N1221" s="1" t="s">
        <v>16</v>
      </c>
      <c r="O1221" s="1" t="s">
        <v>86</v>
      </c>
      <c r="P1221" s="1" t="s">
        <v>124</v>
      </c>
      <c r="Q1221" s="1" t="s">
        <v>23</v>
      </c>
    </row>
    <row r="1222" spans="3:17" x14ac:dyDescent="0.25">
      <c r="C1222" s="1" t="str">
        <f>_xlfn.CONCAT(tabE.Flux[[#This Row],[DATA]],"+",tabE.Flux[[#This Row],[MOTORISTA + MATRÍCULA A]])</f>
        <v>45939+KAYLSON KLEYTON DA SILVA COSTA - 6224</v>
      </c>
      <c r="D1222" s="1" t="str">
        <f>_xlfn.CONCAT(tabE.Flux[[#This Row],[DATA]],"+",tabE.Flux[[#This Row],[MOTORISTA + MATRÍCULA B]])</f>
        <v>45939+JOSE ALVES DE FREITAS NETO - 5027</v>
      </c>
      <c r="E1222" s="1" t="str">
        <f>_xlfn.CONCAT(tabE.Flux[[#This Row],[DATA]],"+",tabE.Flux[[#This Row],[MOTORISTA + MATRÍCULA A]],"+",tabE.Flux[[#This Row],[LINHA]])</f>
        <v>45939+KAYLSON KLEYTON DA SILVA COSTA - 6224+GOIANIA (GO) X SAO LUIS (MA)</v>
      </c>
      <c r="F1222" s="1" t="str">
        <f>_xlfn.CONCAT(tabE.Flux[[#This Row],[DATA]],"+",tabE.Flux[[#This Row],[MOTORISTA + MATRÍCULA B]],"+",tabE.Flux[[#This Row],[LINHA]])</f>
        <v>45939+JOSE ALVES DE FREITAS NETO - 5027+GOIANIA (GO) X SAO LUIS (MA)</v>
      </c>
      <c r="G1222" s="1" t="str">
        <f>_xlfn.CONCAT(tabE.Flux[[#This Row],[DATA]],"+",tabE.Flux[[#This Row],[LINHA]])</f>
        <v>45939+GOIANIA (GO) X SAO LUIS (MA)</v>
      </c>
      <c r="H1222" s="125">
        <v>45939</v>
      </c>
      <c r="I1222" s="1" t="s">
        <v>15</v>
      </c>
      <c r="J1222" s="1">
        <v>24002</v>
      </c>
      <c r="K1222" s="126">
        <v>0.75</v>
      </c>
      <c r="L1222" s="126">
        <v>0.79166666666666663</v>
      </c>
      <c r="M1222" s="1" t="s">
        <v>42</v>
      </c>
      <c r="N1222" s="1" t="s">
        <v>16</v>
      </c>
      <c r="O1222" s="1" t="s">
        <v>80</v>
      </c>
      <c r="P1222" s="1" t="s">
        <v>90</v>
      </c>
      <c r="Q1222" s="1" t="s">
        <v>23</v>
      </c>
    </row>
    <row r="1223" spans="3:17" x14ac:dyDescent="0.25">
      <c r="C1223" s="1" t="str">
        <f>_xlfn.CONCAT(tabE.Flux[[#This Row],[DATA]],"+",tabE.Flux[[#This Row],[MOTORISTA + MATRÍCULA A]])</f>
        <v>45939+CANCELADO</v>
      </c>
      <c r="D1223" s="1" t="str">
        <f>_xlfn.CONCAT(tabE.Flux[[#This Row],[DATA]],"+",tabE.Flux[[#This Row],[MOTORISTA + MATRÍCULA B]])</f>
        <v>45939+CANCELADO</v>
      </c>
      <c r="E1223" s="1" t="str">
        <f>_xlfn.CONCAT(tabE.Flux[[#This Row],[DATA]],"+",tabE.Flux[[#This Row],[MOTORISTA + MATRÍCULA A]],"+",tabE.Flux[[#This Row],[LINHA]])</f>
        <v>45939+CANCELADO+IMPERATRIZ (MA) X SÃO LUIS (MA)</v>
      </c>
      <c r="F1223" s="1" t="str">
        <f>_xlfn.CONCAT(tabE.Flux[[#This Row],[DATA]],"+",tabE.Flux[[#This Row],[MOTORISTA + MATRÍCULA B]],"+",tabE.Flux[[#This Row],[LINHA]])</f>
        <v>45939+CANCELADO+IMPERATRIZ (MA) X SÃO LUIS (MA)</v>
      </c>
      <c r="G1223" s="1" t="str">
        <f>_xlfn.CONCAT(tabE.Flux[[#This Row],[DATA]],"+",tabE.Flux[[#This Row],[LINHA]])</f>
        <v>45939+IMPERATRIZ (MA) X SÃO LUIS (MA)</v>
      </c>
      <c r="H1223" s="125">
        <v>45939</v>
      </c>
      <c r="I1223" s="1" t="s">
        <v>15</v>
      </c>
      <c r="J1223" s="1" t="s">
        <v>27</v>
      </c>
      <c r="K1223" s="126">
        <v>0.77083333333333337</v>
      </c>
      <c r="L1223" s="126">
        <v>0.79513888888888884</v>
      </c>
      <c r="M1223" s="1" t="s">
        <v>42</v>
      </c>
      <c r="N1223" s="1" t="s">
        <v>16</v>
      </c>
      <c r="O1223" s="1" t="s">
        <v>27</v>
      </c>
      <c r="P1223" s="1" t="s">
        <v>27</v>
      </c>
      <c r="Q1223" s="1" t="s">
        <v>47</v>
      </c>
    </row>
    <row r="1224" spans="3:17" x14ac:dyDescent="0.25">
      <c r="C1224" s="1" t="str">
        <f>_xlfn.CONCAT(tabE.Flux[[#This Row],[DATA]],"+",tabE.Flux[[#This Row],[MOTORISTA + MATRÍCULA A]])</f>
        <v>45939+WILSON FERREIRA DE JESUS - 1407</v>
      </c>
      <c r="D1224" s="1" t="str">
        <f>_xlfn.CONCAT(tabE.Flux[[#This Row],[DATA]],"+",tabE.Flux[[#This Row],[MOTORISTA + MATRÍCULA B]])</f>
        <v>45939+WILSON MARTINS ROCHA - 105</v>
      </c>
      <c r="E1224" s="1" t="str">
        <f>_xlfn.CONCAT(tabE.Flux[[#This Row],[DATA]],"+",tabE.Flux[[#This Row],[MOTORISTA + MATRÍCULA A]],"+",tabE.Flux[[#This Row],[LINHA]])</f>
        <v>45939+WILSON FERREIRA DE JESUS - 1407+GOIANIA (GO) X TERESINA (PI) VIA BC</v>
      </c>
      <c r="F1224" s="1" t="str">
        <f>_xlfn.CONCAT(tabE.Flux[[#This Row],[DATA]],"+",tabE.Flux[[#This Row],[MOTORISTA + MATRÍCULA B]],"+",tabE.Flux[[#This Row],[LINHA]])</f>
        <v>45939+WILSON MARTINS ROCHA - 105+GOIANIA (GO) X TERESINA (PI) VIA BC</v>
      </c>
      <c r="G1224" s="1" t="str">
        <f>_xlfn.CONCAT(tabE.Flux[[#This Row],[DATA]],"+",tabE.Flux[[#This Row],[LINHA]])</f>
        <v>45939+GOIANIA (GO) X TERESINA (PI) VIA BC</v>
      </c>
      <c r="H1224" s="125">
        <v>45939</v>
      </c>
      <c r="I1224" s="1" t="s">
        <v>15</v>
      </c>
      <c r="J1224" s="1">
        <v>25009</v>
      </c>
      <c r="K1224" s="126">
        <v>0.89583333333333337</v>
      </c>
      <c r="L1224" s="126">
        <v>0.91666666666666663</v>
      </c>
      <c r="M1224" s="1" t="s">
        <v>36</v>
      </c>
      <c r="N1224" s="1" t="s">
        <v>17</v>
      </c>
      <c r="O1224" s="1" t="s">
        <v>82</v>
      </c>
      <c r="P1224" s="1" t="s">
        <v>81</v>
      </c>
      <c r="Q1224" s="1" t="s">
        <v>39</v>
      </c>
    </row>
    <row r="1225" spans="3:17" x14ac:dyDescent="0.25">
      <c r="C1225" s="1" t="str">
        <f>_xlfn.CONCAT(tabE.Flux[[#This Row],[DATA]],"+",tabE.Flux[[#This Row],[MOTORISTA + MATRÍCULA A]])</f>
        <v>45939+FRANCISCO RAIMUNDO VIANA DE SOUSA - 5314</v>
      </c>
      <c r="D1225" s="1" t="str">
        <f>_xlfn.CONCAT(tabE.Flux[[#This Row],[DATA]],"+",tabE.Flux[[#This Row],[MOTORISTA + MATRÍCULA B]])</f>
        <v>45939+ANTONIO MARCIO DE SENA RIBEIRO CHAVES - 5061</v>
      </c>
      <c r="E1225" s="1" t="str">
        <f>_xlfn.CONCAT(tabE.Flux[[#This Row],[DATA]],"+",tabE.Flux[[#This Row],[MOTORISTA + MATRÍCULA A]],"+",tabE.Flux[[#This Row],[LINHA]])</f>
        <v>45939+FRANCISCO RAIMUNDO VIANA DE SOUSA - 5314+GOIANIA (GO) X BELEM (PA)</v>
      </c>
      <c r="F1225" s="1" t="str">
        <f>_xlfn.CONCAT(tabE.Flux[[#This Row],[DATA]],"+",tabE.Flux[[#This Row],[MOTORISTA + MATRÍCULA B]],"+",tabE.Flux[[#This Row],[LINHA]])</f>
        <v>45939+ANTONIO MARCIO DE SENA RIBEIRO CHAVES - 5061+GOIANIA (GO) X BELEM (PA)</v>
      </c>
      <c r="G1225" s="1" t="str">
        <f>_xlfn.CONCAT(tabE.Flux[[#This Row],[DATA]],"+",tabE.Flux[[#This Row],[LINHA]])</f>
        <v>45939+GOIANIA (GO) X BELEM (PA)</v>
      </c>
      <c r="H1225" s="125">
        <v>45939</v>
      </c>
      <c r="I1225" s="1" t="s">
        <v>15</v>
      </c>
      <c r="J1225" s="1">
        <v>25010</v>
      </c>
      <c r="K1225" s="126">
        <v>0.76041666666666663</v>
      </c>
      <c r="L1225" s="126">
        <v>0.77083333333333337</v>
      </c>
      <c r="M1225" s="1" t="s">
        <v>33</v>
      </c>
      <c r="N1225" s="1" t="s">
        <v>16</v>
      </c>
      <c r="O1225" s="1" t="s">
        <v>87</v>
      </c>
      <c r="P1225" s="1" t="s">
        <v>235</v>
      </c>
      <c r="Q1225" s="1" t="s">
        <v>20</v>
      </c>
    </row>
    <row r="1226" spans="3:17" x14ac:dyDescent="0.25">
      <c r="C1226" s="1" t="str">
        <f>_xlfn.CONCAT(tabE.Flux[[#This Row],[DATA]],"+",tabE.Flux[[#This Row],[MOTORISTA + MATRÍCULA A]])</f>
        <v>45939+JARDEL DE SOUSA OLIVEIRA - 5992</v>
      </c>
      <c r="D1226" s="1" t="str">
        <f>_xlfn.CONCAT(tabE.Flux[[#This Row],[DATA]],"+",tabE.Flux[[#This Row],[MOTORISTA + MATRÍCULA B]])</f>
        <v>45939+JAKTAN DE OLIVEIRA RODRIGUES - 5836</v>
      </c>
      <c r="E1226" s="1" t="str">
        <f>_xlfn.CONCAT(tabE.Flux[[#This Row],[DATA]],"+",tabE.Flux[[#This Row],[MOTORISTA + MATRÍCULA A]],"+",tabE.Flux[[#This Row],[LINHA]])</f>
        <v>45939+JARDEL DE SOUSA OLIVEIRA - 5992+GOIANIA (GO) X BELEM (PA)</v>
      </c>
      <c r="F1226" s="1" t="str">
        <f>_xlfn.CONCAT(tabE.Flux[[#This Row],[DATA]],"+",tabE.Flux[[#This Row],[MOTORISTA + MATRÍCULA B]],"+",tabE.Flux[[#This Row],[LINHA]])</f>
        <v>45939+JAKTAN DE OLIVEIRA RODRIGUES - 5836+GOIANIA (GO) X BELEM (PA)</v>
      </c>
      <c r="G1226" s="1" t="str">
        <f>_xlfn.CONCAT(tabE.Flux[[#This Row],[DATA]],"+",tabE.Flux[[#This Row],[LINHA]])</f>
        <v>45939+GOIANIA (GO) X BELEM (PA)</v>
      </c>
      <c r="H1226" s="125">
        <v>45939</v>
      </c>
      <c r="I1226" s="1" t="s">
        <v>15</v>
      </c>
      <c r="J1226" s="1">
        <v>24013</v>
      </c>
      <c r="K1226" s="126">
        <v>0.76041666666666663</v>
      </c>
      <c r="L1226" s="126">
        <v>0.82777777777777772</v>
      </c>
      <c r="M1226" s="1" t="s">
        <v>16</v>
      </c>
      <c r="N1226" s="1" t="s">
        <v>33</v>
      </c>
      <c r="O1226" s="1" t="s">
        <v>150</v>
      </c>
      <c r="P1226" s="1" t="s">
        <v>59</v>
      </c>
      <c r="Q1226" s="1" t="s">
        <v>20</v>
      </c>
    </row>
    <row r="1227" spans="3:17" x14ac:dyDescent="0.25">
      <c r="C1227" s="1" t="str">
        <f>_xlfn.CONCAT(tabE.Flux[[#This Row],[DATA]],"+",tabE.Flux[[#This Row],[MOTORISTA + MATRÍCULA A]])</f>
        <v>45939+JOSE CARLOS BEZERRA DA SILVA - 3034</v>
      </c>
      <c r="D1227" s="1" t="str">
        <f>_xlfn.CONCAT(tabE.Flux[[#This Row],[DATA]],"+",tabE.Flux[[#This Row],[MOTORISTA + MATRÍCULA B]])</f>
        <v>45939+RAIMUNDO COSTA SILVA - 6226</v>
      </c>
      <c r="E1227" s="1" t="str">
        <f>_xlfn.CONCAT(tabE.Flux[[#This Row],[DATA]],"+",tabE.Flux[[#This Row],[MOTORISTA + MATRÍCULA A]],"+",tabE.Flux[[#This Row],[LINHA]])</f>
        <v>45939+JOSE CARLOS BEZERRA DA SILVA - 3034+GOIANIA (GO) X SAO LUIS (MA)</v>
      </c>
      <c r="F1227" s="1" t="str">
        <f>_xlfn.CONCAT(tabE.Flux[[#This Row],[DATA]],"+",tabE.Flux[[#This Row],[MOTORISTA + MATRÍCULA B]],"+",tabE.Flux[[#This Row],[LINHA]])</f>
        <v>45939+RAIMUNDO COSTA SILVA - 6226+GOIANIA (GO) X SAO LUIS (MA)</v>
      </c>
      <c r="G1227" s="1" t="str">
        <f>_xlfn.CONCAT(tabE.Flux[[#This Row],[DATA]],"+",tabE.Flux[[#This Row],[LINHA]])</f>
        <v>45939+GOIANIA (GO) X SAO LUIS (MA)</v>
      </c>
      <c r="H1227" s="125">
        <v>45939</v>
      </c>
      <c r="I1227" s="1" t="s">
        <v>15</v>
      </c>
      <c r="J1227" s="1">
        <v>19006</v>
      </c>
      <c r="K1227" s="126">
        <v>0.40763888888888888</v>
      </c>
      <c r="L1227" s="126">
        <v>0.47013888888888888</v>
      </c>
      <c r="M1227" s="1" t="s">
        <v>16</v>
      </c>
      <c r="N1227" s="1" t="s">
        <v>42</v>
      </c>
      <c r="O1227" s="1" t="s">
        <v>76</v>
      </c>
      <c r="P1227" s="1" t="s">
        <v>45</v>
      </c>
      <c r="Q1227" s="1" t="s">
        <v>23</v>
      </c>
    </row>
    <row r="1228" spans="3:17" x14ac:dyDescent="0.25">
      <c r="C1228" s="1" t="str">
        <f>_xlfn.CONCAT(tabE.Flux[[#This Row],[DATA]],"+",tabE.Flux[[#This Row],[MOTORISTA + MATRÍCULA A]])</f>
        <v>45939+CANCELADO</v>
      </c>
      <c r="D1228" s="1" t="str">
        <f>_xlfn.CONCAT(tabE.Flux[[#This Row],[DATA]],"+",tabE.Flux[[#This Row],[MOTORISTA + MATRÍCULA B]])</f>
        <v>45939+CANCELADO</v>
      </c>
      <c r="E1228" s="1" t="str">
        <f>_xlfn.CONCAT(tabE.Flux[[#This Row],[DATA]],"+",tabE.Flux[[#This Row],[MOTORISTA + MATRÍCULA A]],"+",tabE.Flux[[#This Row],[LINHA]])</f>
        <v>45939+CANCELADO+IMPERATRIZ (MA) X SÃO LUIS (MA)</v>
      </c>
      <c r="F1228" s="1" t="str">
        <f>_xlfn.CONCAT(tabE.Flux[[#This Row],[DATA]],"+",tabE.Flux[[#This Row],[MOTORISTA + MATRÍCULA B]],"+",tabE.Flux[[#This Row],[LINHA]])</f>
        <v>45939+CANCELADO+IMPERATRIZ (MA) X SÃO LUIS (MA)</v>
      </c>
      <c r="G1228" s="1" t="str">
        <f>_xlfn.CONCAT(tabE.Flux[[#This Row],[DATA]],"+",tabE.Flux[[#This Row],[LINHA]])</f>
        <v>45939+IMPERATRIZ (MA) X SÃO LUIS (MA)</v>
      </c>
      <c r="H1228" s="125">
        <v>45939</v>
      </c>
      <c r="I1228" s="1" t="s">
        <v>15</v>
      </c>
      <c r="J1228" s="1" t="s">
        <v>27</v>
      </c>
      <c r="K1228" s="126">
        <v>0.77083333333333337</v>
      </c>
      <c r="L1228" s="126">
        <v>0.8125</v>
      </c>
      <c r="M1228" s="1" t="s">
        <v>16</v>
      </c>
      <c r="N1228" s="1" t="s">
        <v>42</v>
      </c>
      <c r="O1228" s="1" t="s">
        <v>27</v>
      </c>
      <c r="P1228" s="1" t="s">
        <v>27</v>
      </c>
      <c r="Q1228" s="1" t="s">
        <v>47</v>
      </c>
    </row>
    <row r="1229" spans="3:17" x14ac:dyDescent="0.25">
      <c r="C1229" s="1" t="str">
        <f>_xlfn.CONCAT(tabE.Flux[[#This Row],[DATA]],"+",tabE.Flux[[#This Row],[MOTORISTA + MATRÍCULA A]])</f>
        <v>45939+MARCOS ATAIDE SILVA - 1352</v>
      </c>
      <c r="D1229" s="1" t="str">
        <f>_xlfn.CONCAT(tabE.Flux[[#This Row],[DATA]],"+",tabE.Flux[[#This Row],[MOTORISTA + MATRÍCULA B]])</f>
        <v>45939+LAUCEANDO DA SILVA ROCHA - 6220</v>
      </c>
      <c r="E1229" s="1" t="str">
        <f>_xlfn.CONCAT(tabE.Flux[[#This Row],[DATA]],"+",tabE.Flux[[#This Row],[MOTORISTA + MATRÍCULA A]],"+",tabE.Flux[[#This Row],[LINHA]])</f>
        <v>45939+MARCOS ATAIDE SILVA - 1352+GOIANIA (GO) X SAO LUIS (MA)</v>
      </c>
      <c r="F1229" s="1" t="str">
        <f>_xlfn.CONCAT(tabE.Flux[[#This Row],[DATA]],"+",tabE.Flux[[#This Row],[MOTORISTA + MATRÍCULA B]],"+",tabE.Flux[[#This Row],[LINHA]])</f>
        <v>45939+LAUCEANDO DA SILVA ROCHA - 6220+GOIANIA (GO) X SAO LUIS (MA)</v>
      </c>
      <c r="G1229" s="1" t="str">
        <f>_xlfn.CONCAT(tabE.Flux[[#This Row],[DATA]],"+",tabE.Flux[[#This Row],[LINHA]])</f>
        <v>45939+GOIANIA (GO) X SAO LUIS (MA)</v>
      </c>
      <c r="H1229" s="125">
        <v>45939</v>
      </c>
      <c r="I1229" s="1" t="s">
        <v>15</v>
      </c>
      <c r="J1229" s="1">
        <v>24015</v>
      </c>
      <c r="K1229" s="126">
        <v>0.8125</v>
      </c>
      <c r="L1229" s="126">
        <v>0.84375</v>
      </c>
      <c r="M1229" s="1" t="s">
        <v>16</v>
      </c>
      <c r="N1229" s="1" t="s">
        <v>42</v>
      </c>
      <c r="O1229" s="1" t="s">
        <v>113</v>
      </c>
      <c r="P1229" s="1" t="s">
        <v>86</v>
      </c>
      <c r="Q1229" s="1" t="s">
        <v>23</v>
      </c>
    </row>
    <row r="1230" spans="3:17" x14ac:dyDescent="0.25">
      <c r="C1230" s="1" t="str">
        <f>_xlfn.CONCAT(tabE.Flux[[#This Row],[DATA]],"+",tabE.Flux[[#This Row],[MOTORISTA + MATRÍCULA A]])</f>
        <v>45939+RICHARD SOUSA DA SILVA - 1271</v>
      </c>
      <c r="D1230" s="1" t="str">
        <f>_xlfn.CONCAT(tabE.Flux[[#This Row],[DATA]],"+",tabE.Flux[[#This Row],[MOTORISTA + MATRÍCULA B]])</f>
        <v>45939+JOAO FLAVIO DE SOUSA SILVA - 5270</v>
      </c>
      <c r="E1230" s="1" t="str">
        <f>_xlfn.CONCAT(tabE.Flux[[#This Row],[DATA]],"+",tabE.Flux[[#This Row],[MOTORISTA + MATRÍCULA A]],"+",tabE.Flux[[#This Row],[LINHA]])</f>
        <v>45939+RICHARD SOUSA DA SILVA - 1271+GOIANIA (GO) X TERESINA (PI) VIA STI</v>
      </c>
      <c r="F1230" s="1" t="str">
        <f>_xlfn.CONCAT(tabE.Flux[[#This Row],[DATA]],"+",tabE.Flux[[#This Row],[MOTORISTA + MATRÍCULA B]],"+",tabE.Flux[[#This Row],[LINHA]])</f>
        <v>45939+JOAO FLAVIO DE SOUSA SILVA - 5270+GOIANIA (GO) X TERESINA (PI) VIA STI</v>
      </c>
      <c r="G1230" s="1" t="str">
        <f>_xlfn.CONCAT(tabE.Flux[[#This Row],[DATA]],"+",tabE.Flux[[#This Row],[LINHA]])</f>
        <v>45939+GOIANIA (GO) X TERESINA (PI) VIA STI</v>
      </c>
      <c r="H1230" s="125">
        <v>45939</v>
      </c>
      <c r="I1230" s="1" t="s">
        <v>15</v>
      </c>
      <c r="J1230" s="1">
        <v>17300</v>
      </c>
      <c r="K1230" s="126">
        <v>0.77083333333333337</v>
      </c>
      <c r="L1230" s="126">
        <v>0.79861111111111116</v>
      </c>
      <c r="M1230" s="1" t="s">
        <v>16</v>
      </c>
      <c r="N1230" s="1" t="s">
        <v>29</v>
      </c>
      <c r="O1230" s="1" t="s">
        <v>56</v>
      </c>
      <c r="P1230" s="1" t="s">
        <v>222</v>
      </c>
      <c r="Q1230" s="1" t="s">
        <v>26</v>
      </c>
    </row>
    <row r="1231" spans="3:17" x14ac:dyDescent="0.25">
      <c r="C1231" s="1" t="str">
        <f>_xlfn.CONCAT(tabE.Flux[[#This Row],[DATA]],"+",tabE.Flux[[#This Row],[MOTORISTA + MATRÍCULA A]])</f>
        <v>45939+EDIMAR FRANCISCO ALEIXO - 5593</v>
      </c>
      <c r="D1231" s="1" t="str">
        <f>_xlfn.CONCAT(tabE.Flux[[#This Row],[DATA]],"+",tabE.Flux[[#This Row],[MOTORISTA + MATRÍCULA B]])</f>
        <v>45939+LUCIANO CARNEIRO ALVES - 5757</v>
      </c>
      <c r="E1231" s="1" t="str">
        <f>_xlfn.CONCAT(tabE.Flux[[#This Row],[DATA]],"+",tabE.Flux[[#This Row],[MOTORISTA + MATRÍCULA A]],"+",tabE.Flux[[#This Row],[LINHA]])</f>
        <v>45939+EDIMAR FRANCISCO ALEIXO - 5593+GOIANIA (GO) X SAO LUIS (MA)</v>
      </c>
      <c r="F1231" s="1" t="str">
        <f>_xlfn.CONCAT(tabE.Flux[[#This Row],[DATA]],"+",tabE.Flux[[#This Row],[MOTORISTA + MATRÍCULA B]],"+",tabE.Flux[[#This Row],[LINHA]])</f>
        <v>45939+LUCIANO CARNEIRO ALVES - 5757+GOIANIA (GO) X SAO LUIS (MA)</v>
      </c>
      <c r="G1231" s="1" t="str">
        <f>_xlfn.CONCAT(tabE.Flux[[#This Row],[DATA]],"+",tabE.Flux[[#This Row],[LINHA]])</f>
        <v>45939+GOIANIA (GO) X SAO LUIS (MA)</v>
      </c>
      <c r="H1231" s="125">
        <v>45939</v>
      </c>
      <c r="I1231" s="1" t="s">
        <v>15</v>
      </c>
      <c r="J1231" s="1">
        <v>19001</v>
      </c>
      <c r="K1231" s="126">
        <v>0.8125</v>
      </c>
      <c r="L1231" s="126">
        <v>0.84166666666666667</v>
      </c>
      <c r="M1231" s="1" t="s">
        <v>16</v>
      </c>
      <c r="N1231" s="1" t="s">
        <v>17</v>
      </c>
      <c r="O1231" s="1" t="s">
        <v>212</v>
      </c>
      <c r="P1231" s="1" t="s">
        <v>213</v>
      </c>
      <c r="Q1231" s="1" t="s">
        <v>23</v>
      </c>
    </row>
    <row r="1232" spans="3:17" x14ac:dyDescent="0.25">
      <c r="C1232" s="1" t="str">
        <f>_xlfn.CONCAT(tabE.Flux[[#This Row],[DATA]],"+",tabE.Flux[[#This Row],[MOTORISTA + MATRÍCULA A]])</f>
        <v>45939+ANDRE LUIZ DA SILVA - 5188</v>
      </c>
      <c r="D1232" s="1" t="str">
        <f>_xlfn.CONCAT(tabE.Flux[[#This Row],[DATA]],"+",tabE.Flux[[#This Row],[MOTORISTA + MATRÍCULA B]])</f>
        <v>45939+LUSIMAR SOARES ROCHA - 5987</v>
      </c>
      <c r="E1232" s="1" t="str">
        <f>_xlfn.CONCAT(tabE.Flux[[#This Row],[DATA]],"+",tabE.Flux[[#This Row],[MOTORISTA + MATRÍCULA A]],"+",tabE.Flux[[#This Row],[LINHA]])</f>
        <v>45939+ANDRE LUIZ DA SILVA - 5188+FORTALEZA (CE) X SINOP (MT)</v>
      </c>
      <c r="F1232" s="1" t="str">
        <f>_xlfn.CONCAT(tabE.Flux[[#This Row],[DATA]],"+",tabE.Flux[[#This Row],[MOTORISTA + MATRÍCULA B]],"+",tabE.Flux[[#This Row],[LINHA]])</f>
        <v>45939+LUSIMAR SOARES ROCHA - 5987+FORTALEZA (CE) X SINOP (MT)</v>
      </c>
      <c r="G1232" s="1" t="str">
        <f>_xlfn.CONCAT(tabE.Flux[[#This Row],[DATA]],"+",tabE.Flux[[#This Row],[LINHA]])</f>
        <v>45939+FORTALEZA (CE) X SINOP (MT)</v>
      </c>
      <c r="H1232" s="125">
        <v>45939</v>
      </c>
      <c r="I1232" s="1" t="s">
        <v>15</v>
      </c>
      <c r="J1232" s="1">
        <v>20016</v>
      </c>
      <c r="K1232" s="126">
        <v>0.8125</v>
      </c>
      <c r="L1232" s="126">
        <v>0.85416666666666663</v>
      </c>
      <c r="M1232" s="1" t="s">
        <v>16</v>
      </c>
      <c r="N1232" s="1" t="s">
        <v>17</v>
      </c>
      <c r="O1232" s="1" t="s">
        <v>18</v>
      </c>
      <c r="P1232" s="1" t="s">
        <v>214</v>
      </c>
      <c r="Q1232" s="1" t="s">
        <v>32</v>
      </c>
    </row>
    <row r="1233" spans="3:17" x14ac:dyDescent="0.25">
      <c r="C1233" s="1" t="str">
        <f>_xlfn.CONCAT(tabE.Flux[[#This Row],[DATA]],"+",tabE.Flux[[#This Row],[MOTORISTA + MATRÍCULA A]])</f>
        <v>45939+VALDINAR ALVES DE FRANÇA 5959</v>
      </c>
      <c r="D1233" s="1" t="str">
        <f>_xlfn.CONCAT(tabE.Flux[[#This Row],[DATA]],"+",tabE.Flux[[#This Row],[MOTORISTA + MATRÍCULA B]])</f>
        <v>45939+JOSENILTON FRANCISCO LIMA - 3037</v>
      </c>
      <c r="E1233" s="1" t="str">
        <f>_xlfn.CONCAT(tabE.Flux[[#This Row],[DATA]],"+",tabE.Flux[[#This Row],[MOTORISTA + MATRÍCULA A]],"+",tabE.Flux[[#This Row],[LINHA]])</f>
        <v>45939+VALDINAR ALVES DE FRANÇA 5959+GOIANIA (GO) X BELEM (PA)</v>
      </c>
      <c r="F1233" s="1" t="str">
        <f>_xlfn.CONCAT(tabE.Flux[[#This Row],[DATA]],"+",tabE.Flux[[#This Row],[MOTORISTA + MATRÍCULA B]],"+",tabE.Flux[[#This Row],[LINHA]])</f>
        <v>45939+JOSENILTON FRANCISCO LIMA - 3037+GOIANIA (GO) X BELEM (PA)</v>
      </c>
      <c r="G1233" s="1" t="str">
        <f>_xlfn.CONCAT(tabE.Flux[[#This Row],[DATA]],"+",tabE.Flux[[#This Row],[LINHA]])</f>
        <v>45939+GOIANIA (GO) X BELEM (PA)</v>
      </c>
      <c r="H1233" s="125">
        <v>45939</v>
      </c>
      <c r="I1233" s="1" t="s">
        <v>15</v>
      </c>
      <c r="J1233" s="1">
        <v>19007</v>
      </c>
      <c r="K1233" s="126">
        <v>0.84722222222222221</v>
      </c>
      <c r="L1233" s="126">
        <v>0.87847222222222221</v>
      </c>
      <c r="M1233" s="1" t="s">
        <v>16</v>
      </c>
      <c r="N1233" s="1" t="s">
        <v>17</v>
      </c>
      <c r="O1233" s="1" t="s">
        <v>178</v>
      </c>
      <c r="P1233" s="1" t="s">
        <v>177</v>
      </c>
      <c r="Q1233" s="1" t="s">
        <v>20</v>
      </c>
    </row>
    <row r="1234" spans="3:17" x14ac:dyDescent="0.25">
      <c r="C1234" s="1" t="str">
        <f>_xlfn.CONCAT(tabE.Flux[[#This Row],[DATA]],"+",tabE.Flux[[#This Row],[MOTORISTA + MATRÍCULA A]])</f>
        <v>+</v>
      </c>
      <c r="D1234" s="1" t="str">
        <f>_xlfn.CONCAT(tabE.Flux[[#This Row],[DATA]],"+",tabE.Flux[[#This Row],[MOTORISTA + MATRÍCULA B]])</f>
        <v>+</v>
      </c>
      <c r="E1234" s="1" t="str">
        <f>_xlfn.CONCAT(tabE.Flux[[#This Row],[DATA]],"+",tabE.Flux[[#This Row],[MOTORISTA + MATRÍCULA A]],"+",tabE.Flux[[#This Row],[LINHA]])</f>
        <v>++</v>
      </c>
      <c r="F1234" s="1" t="str">
        <f>_xlfn.CONCAT(tabE.Flux[[#This Row],[DATA]],"+",tabE.Flux[[#This Row],[MOTORISTA + MATRÍCULA B]],"+",tabE.Flux[[#This Row],[LINHA]])</f>
        <v>++</v>
      </c>
      <c r="G1234" s="1" t="str">
        <f>_xlfn.CONCAT(tabE.Flux[[#This Row],[DATA]],"+",tabE.Flux[[#This Row],[LINHA]])</f>
        <v>+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3:17" x14ac:dyDescent="0.25">
      <c r="C1235" s="1" t="str">
        <f>_xlfn.CONCAT(tabE.Flux[[#This Row],[DATA]],"+",tabE.Flux[[#This Row],[MOTORISTA + MATRÍCULA A]])</f>
        <v>45940+MARCUS AUGUSTO DE CARVALHO - 2398</v>
      </c>
      <c r="D1235" s="1" t="str">
        <f>_xlfn.CONCAT(tabE.Flux[[#This Row],[DATA]],"+",tabE.Flux[[#This Row],[MOTORISTA + MATRÍCULA B]])</f>
        <v>45940+LUIS CARLOS VIEIRA DE MELO SOUZA - 5535</v>
      </c>
      <c r="E1235" s="1" t="str">
        <f>_xlfn.CONCAT(tabE.Flux[[#This Row],[DATA]],"+",tabE.Flux[[#This Row],[MOTORISTA + MATRÍCULA A]],"+",tabE.Flux[[#This Row],[LINHA]])</f>
        <v>45940+MARCUS AUGUSTO DE CARVALHO - 2398+GOIANIA (GO) X BELEM (PA)</v>
      </c>
      <c r="F1235" s="1" t="str">
        <f>_xlfn.CONCAT(tabE.Flux[[#This Row],[DATA]],"+",tabE.Flux[[#This Row],[MOTORISTA + MATRÍCULA B]],"+",tabE.Flux[[#This Row],[LINHA]])</f>
        <v>45940+LUIS CARLOS VIEIRA DE MELO SOUZA - 5535+GOIANIA (GO) X BELEM (PA)</v>
      </c>
      <c r="G1235" s="1" t="str">
        <f>_xlfn.CONCAT(tabE.Flux[[#This Row],[DATA]],"+",tabE.Flux[[#This Row],[LINHA]])</f>
        <v>45940+GOIANIA (GO) X BELEM (PA)</v>
      </c>
      <c r="H1235" s="125">
        <v>45940</v>
      </c>
      <c r="I1235" s="1" t="s">
        <v>15</v>
      </c>
      <c r="J1235" s="1">
        <v>25010</v>
      </c>
      <c r="K1235" s="126">
        <v>0.25486111111111109</v>
      </c>
      <c r="L1235" s="126">
        <v>0.3</v>
      </c>
      <c r="M1235" s="1" t="s">
        <v>16</v>
      </c>
      <c r="N1235" s="1" t="s">
        <v>17</v>
      </c>
      <c r="O1235" s="1" t="s">
        <v>116</v>
      </c>
      <c r="P1235" s="1" t="s">
        <v>117</v>
      </c>
      <c r="Q1235" s="1" t="s">
        <v>20</v>
      </c>
    </row>
    <row r="1236" spans="3:17" x14ac:dyDescent="0.25">
      <c r="C1236" s="1" t="str">
        <f>_xlfn.CONCAT(tabE.Flux[[#This Row],[DATA]],"+",tabE.Flux[[#This Row],[MOTORISTA + MATRÍCULA A]])</f>
        <v>45940+IZALMIR RODRIGUES COELHO - 958</v>
      </c>
      <c r="D1236" s="1" t="str">
        <f>_xlfn.CONCAT(tabE.Flux[[#This Row],[DATA]],"+",tabE.Flux[[#This Row],[MOTORISTA + MATRÍCULA B]])</f>
        <v>45940+FRANCISCO LINDONALDO DE SOUSA - 2971</v>
      </c>
      <c r="E1236" s="1" t="str">
        <f>_xlfn.CONCAT(tabE.Flux[[#This Row],[DATA]],"+",tabE.Flux[[#This Row],[MOTORISTA + MATRÍCULA A]],"+",tabE.Flux[[#This Row],[LINHA]])</f>
        <v>45940+IZALMIR RODRIGUES COELHO - 958+GOIANIA (GO) X SAO LUIS (MA)</v>
      </c>
      <c r="F1236" s="1" t="str">
        <f>_xlfn.CONCAT(tabE.Flux[[#This Row],[DATA]],"+",tabE.Flux[[#This Row],[MOTORISTA + MATRÍCULA B]],"+",tabE.Flux[[#This Row],[LINHA]])</f>
        <v>45940+FRANCISCO LINDONALDO DE SOUSA - 2971+GOIANIA (GO) X SAO LUIS (MA)</v>
      </c>
      <c r="G1236" s="1" t="str">
        <f>_xlfn.CONCAT(tabE.Flux[[#This Row],[DATA]],"+",tabE.Flux[[#This Row],[LINHA]])</f>
        <v>45940+GOIANIA (GO) X SAO LUIS (MA)</v>
      </c>
      <c r="H1236" s="125">
        <v>45940</v>
      </c>
      <c r="I1236" s="1" t="s">
        <v>15</v>
      </c>
      <c r="J1236" s="1">
        <v>24002</v>
      </c>
      <c r="K1236" s="126">
        <v>0.32291666666666669</v>
      </c>
      <c r="L1236" s="126">
        <v>0.33333333333333331</v>
      </c>
      <c r="M1236" s="1" t="s">
        <v>16</v>
      </c>
      <c r="N1236" s="1" t="s">
        <v>17</v>
      </c>
      <c r="O1236" s="1" t="s">
        <v>83</v>
      </c>
      <c r="P1236" s="1" t="s">
        <v>131</v>
      </c>
      <c r="Q1236" s="1" t="s">
        <v>23</v>
      </c>
    </row>
    <row r="1237" spans="3:17" x14ac:dyDescent="0.25">
      <c r="C1237" s="1" t="str">
        <f>_xlfn.CONCAT(tabE.Flux[[#This Row],[DATA]],"+",tabE.Flux[[#This Row],[MOTORISTA + MATRÍCULA A]])</f>
        <v>45940+KLEBSON ALVES FREIRES - 3060</v>
      </c>
      <c r="D1237" s="1" t="str">
        <f>_xlfn.CONCAT(tabE.Flux[[#This Row],[DATA]],"+",tabE.Flux[[#This Row],[MOTORISTA + MATRÍCULA B]])</f>
        <v>45940+BRUNO MATOS DA ROCHA - 6013</v>
      </c>
      <c r="E1237" s="1" t="str">
        <f>_xlfn.CONCAT(tabE.Flux[[#This Row],[DATA]],"+",tabE.Flux[[#This Row],[MOTORISTA + MATRÍCULA A]],"+",tabE.Flux[[#This Row],[LINHA]])</f>
        <v>45940+KLEBSON ALVES FREIRES - 3060+GOIANIA (GO) X TERESINA (PI) VIA STI</v>
      </c>
      <c r="F1237" s="1" t="str">
        <f>_xlfn.CONCAT(tabE.Flux[[#This Row],[DATA]],"+",tabE.Flux[[#This Row],[MOTORISTA + MATRÍCULA B]],"+",tabE.Flux[[#This Row],[LINHA]])</f>
        <v>45940+BRUNO MATOS DA ROCHA - 6013+GOIANIA (GO) X TERESINA (PI) VIA STI</v>
      </c>
      <c r="G1237" s="1" t="str">
        <f>_xlfn.CONCAT(tabE.Flux[[#This Row],[DATA]],"+",tabE.Flux[[#This Row],[LINHA]])</f>
        <v>45940+GOIANIA (GO) X TERESINA (PI) VIA STI</v>
      </c>
      <c r="H1237" s="125">
        <v>45940</v>
      </c>
      <c r="I1237" s="1" t="s">
        <v>15</v>
      </c>
      <c r="J1237" s="1">
        <v>19005</v>
      </c>
      <c r="K1237" s="126">
        <v>0.3888888888888889</v>
      </c>
      <c r="L1237" s="126">
        <v>0.39583333333333331</v>
      </c>
      <c r="M1237" s="1" t="s">
        <v>16</v>
      </c>
      <c r="N1237" s="1" t="s">
        <v>17</v>
      </c>
      <c r="O1237" s="1" t="s">
        <v>161</v>
      </c>
      <c r="P1237" s="1" t="s">
        <v>147</v>
      </c>
      <c r="Q1237" s="1" t="s">
        <v>26</v>
      </c>
    </row>
    <row r="1238" spans="3:17" x14ac:dyDescent="0.25">
      <c r="C1238" s="1" t="str">
        <f>_xlfn.CONCAT(tabE.Flux[[#This Row],[DATA]],"+",tabE.Flux[[#This Row],[MOTORISTA + MATRÍCULA A]])</f>
        <v>45940+CANCELADO</v>
      </c>
      <c r="D1238" s="1" t="str">
        <f>_xlfn.CONCAT(tabE.Flux[[#This Row],[DATA]],"+",tabE.Flux[[#This Row],[MOTORISTA + MATRÍCULA B]])</f>
        <v>45940+CANCELADO</v>
      </c>
      <c r="E1238" s="1" t="str">
        <f>_xlfn.CONCAT(tabE.Flux[[#This Row],[DATA]],"+",tabE.Flux[[#This Row],[MOTORISTA + MATRÍCULA A]],"+",tabE.Flux[[#This Row],[LINHA]])</f>
        <v>45940+CANCELADO+</v>
      </c>
      <c r="F1238" s="1" t="str">
        <f>_xlfn.CONCAT(tabE.Flux[[#This Row],[DATA]],"+",tabE.Flux[[#This Row],[MOTORISTA + MATRÍCULA B]],"+",tabE.Flux[[#This Row],[LINHA]])</f>
        <v>45940+CANCELADO+</v>
      </c>
      <c r="G1238" s="1" t="str">
        <f>_xlfn.CONCAT(tabE.Flux[[#This Row],[DATA]],"+",tabE.Flux[[#This Row],[LINHA]])</f>
        <v>45940+</v>
      </c>
      <c r="H1238" s="125">
        <v>45940</v>
      </c>
      <c r="I1238" s="1" t="s">
        <v>15</v>
      </c>
      <c r="J1238" s="1" t="s">
        <v>27</v>
      </c>
      <c r="K1238" s="126">
        <v>0.375</v>
      </c>
      <c r="L1238" s="126">
        <v>0.41666666666666669</v>
      </c>
      <c r="M1238" s="1" t="s">
        <v>16</v>
      </c>
      <c r="N1238" s="1" t="s">
        <v>28</v>
      </c>
      <c r="O1238" s="1" t="s">
        <v>27</v>
      </c>
      <c r="P1238" s="1" t="s">
        <v>27</v>
      </c>
      <c r="Q1238" s="1"/>
    </row>
    <row r="1239" spans="3:17" x14ac:dyDescent="0.25">
      <c r="C1239" s="1" t="str">
        <f>_xlfn.CONCAT(tabE.Flux[[#This Row],[DATA]],"+",tabE.Flux[[#This Row],[MOTORISTA + MATRÍCULA A]])</f>
        <v>45940+RAINERIO COSTA MENDES - 5850</v>
      </c>
      <c r="D1239" s="1" t="str">
        <f>_xlfn.CONCAT(tabE.Flux[[#This Row],[DATA]],"+",tabE.Flux[[#This Row],[MOTORISTA + MATRÍCULA B]])</f>
        <v>45940+DANYLSON BATISTA SANTANA - 5829</v>
      </c>
      <c r="E1239" s="1" t="str">
        <f>_xlfn.CONCAT(tabE.Flux[[#This Row],[DATA]],"+",tabE.Flux[[#This Row],[MOTORISTA + MATRÍCULA A]],"+",tabE.Flux[[#This Row],[LINHA]])</f>
        <v>45940+RAINERIO COSTA MENDES - 5850+FORTALEZA (CE) X SINOP (MT)</v>
      </c>
      <c r="F1239" s="1" t="str">
        <f>_xlfn.CONCAT(tabE.Flux[[#This Row],[DATA]],"+",tabE.Flux[[#This Row],[MOTORISTA + MATRÍCULA B]],"+",tabE.Flux[[#This Row],[LINHA]])</f>
        <v>45940+DANYLSON BATISTA SANTANA - 5829+FORTALEZA (CE) X SINOP (MT)</v>
      </c>
      <c r="G1239" s="1" t="str">
        <f>_xlfn.CONCAT(tabE.Flux[[#This Row],[DATA]],"+",tabE.Flux[[#This Row],[LINHA]])</f>
        <v>45940+FORTALEZA (CE) X SINOP (MT)</v>
      </c>
      <c r="H1239" s="125">
        <v>45940</v>
      </c>
      <c r="I1239" s="1" t="s">
        <v>15</v>
      </c>
      <c r="J1239" s="1">
        <v>17200</v>
      </c>
      <c r="K1239" s="126">
        <v>0.3888888888888889</v>
      </c>
      <c r="L1239" s="126">
        <v>0.37708333333333333</v>
      </c>
      <c r="M1239" s="1" t="s">
        <v>16</v>
      </c>
      <c r="N1239" s="1" t="s">
        <v>29</v>
      </c>
      <c r="O1239" s="1" t="s">
        <v>108</v>
      </c>
      <c r="P1239" s="1" t="s">
        <v>60</v>
      </c>
      <c r="Q1239" s="1" t="s">
        <v>32</v>
      </c>
    </row>
    <row r="1240" spans="3:17" x14ac:dyDescent="0.25">
      <c r="C1240" s="1" t="str">
        <f>_xlfn.CONCAT(tabE.Flux[[#This Row],[DATA]],"+",tabE.Flux[[#This Row],[MOTORISTA + MATRÍCULA A]])</f>
        <v>45940+JOSE HAILTON PEREIRA DOS SANTOS - 6018</v>
      </c>
      <c r="D1240" s="1" t="str">
        <f>_xlfn.CONCAT(tabE.Flux[[#This Row],[DATA]],"+",tabE.Flux[[#This Row],[MOTORISTA + MATRÍCULA B]])</f>
        <v>45940+ADEMILTON DE OLIVEIRA SILVA - 5559</v>
      </c>
      <c r="E1240" s="1" t="str">
        <f>_xlfn.CONCAT(tabE.Flux[[#This Row],[DATA]],"+",tabE.Flux[[#This Row],[MOTORISTA + MATRÍCULA A]],"+",tabE.Flux[[#This Row],[LINHA]])</f>
        <v>45940+JOSE HAILTON PEREIRA DOS SANTOS - 6018+GOIANIA (GO) X BELEM (PA)</v>
      </c>
      <c r="F1240" s="1" t="str">
        <f>_xlfn.CONCAT(tabE.Flux[[#This Row],[DATA]],"+",tabE.Flux[[#This Row],[MOTORISTA + MATRÍCULA B]],"+",tabE.Flux[[#This Row],[LINHA]])</f>
        <v>45940+ADEMILTON DE OLIVEIRA SILVA - 5559+GOIANIA (GO) X BELEM (PA)</v>
      </c>
      <c r="G1240" s="1" t="str">
        <f>_xlfn.CONCAT(tabE.Flux[[#This Row],[DATA]],"+",tabE.Flux[[#This Row],[LINHA]])</f>
        <v>45940+GOIANIA (GO) X BELEM (PA)</v>
      </c>
      <c r="H1240" s="125">
        <v>45940</v>
      </c>
      <c r="I1240" s="1" t="s">
        <v>15</v>
      </c>
      <c r="J1240" s="1">
        <v>20017</v>
      </c>
      <c r="K1240" s="126">
        <v>0.38958333333333334</v>
      </c>
      <c r="L1240" s="126">
        <v>0.38541666666666669</v>
      </c>
      <c r="M1240" s="1" t="s">
        <v>16</v>
      </c>
      <c r="N1240" s="1" t="s">
        <v>33</v>
      </c>
      <c r="O1240" s="1" t="s">
        <v>141</v>
      </c>
      <c r="P1240" s="1" t="s">
        <v>40</v>
      </c>
      <c r="Q1240" s="1" t="s">
        <v>20</v>
      </c>
    </row>
    <row r="1241" spans="3:17" x14ac:dyDescent="0.25">
      <c r="C1241" s="1" t="str">
        <f>_xlfn.CONCAT(tabE.Flux[[#This Row],[DATA]],"+",tabE.Flux[[#This Row],[MOTORISTA + MATRÍCULA A]])</f>
        <v>45940+JOSE ORLANDO RODRIGUES DE MIRANDA - 5838</v>
      </c>
      <c r="D1241" s="1" t="str">
        <f>_xlfn.CONCAT(tabE.Flux[[#This Row],[DATA]],"+",tabE.Flux[[#This Row],[MOTORISTA + MATRÍCULA B]])</f>
        <v>45940+ADRIASIO SOARES MENDES - 5440</v>
      </c>
      <c r="E1241" s="1" t="str">
        <f>_xlfn.CONCAT(tabE.Flux[[#This Row],[DATA]],"+",tabE.Flux[[#This Row],[MOTORISTA + MATRÍCULA A]],"+",tabE.Flux[[#This Row],[LINHA]])</f>
        <v>45940+JOSE ORLANDO RODRIGUES DE MIRANDA - 5838+GOIANIA (GO) X TERESINA (PI) VIA BC</v>
      </c>
      <c r="F1241" s="1" t="str">
        <f>_xlfn.CONCAT(tabE.Flux[[#This Row],[DATA]],"+",tabE.Flux[[#This Row],[MOTORISTA + MATRÍCULA B]],"+",tabE.Flux[[#This Row],[LINHA]])</f>
        <v>45940+ADRIASIO SOARES MENDES - 5440+GOIANIA (GO) X TERESINA (PI) VIA BC</v>
      </c>
      <c r="G1241" s="1" t="str">
        <f>_xlfn.CONCAT(tabE.Flux[[#This Row],[DATA]],"+",tabE.Flux[[#This Row],[LINHA]])</f>
        <v>45940+GOIANIA (GO) X TERESINA (PI) VIA BC</v>
      </c>
      <c r="H1241" s="125">
        <v>45940</v>
      </c>
      <c r="I1241" s="1" t="s">
        <v>15</v>
      </c>
      <c r="J1241" s="1">
        <v>24010</v>
      </c>
      <c r="K1241" s="126">
        <v>0.375</v>
      </c>
      <c r="L1241" s="126">
        <v>0.39930555555555558</v>
      </c>
      <c r="M1241" s="1" t="s">
        <v>36</v>
      </c>
      <c r="N1241" s="1" t="s">
        <v>29</v>
      </c>
      <c r="O1241" s="1" t="s">
        <v>37</v>
      </c>
      <c r="P1241" s="1" t="s">
        <v>242</v>
      </c>
      <c r="Q1241" s="1" t="s">
        <v>39</v>
      </c>
    </row>
    <row r="1242" spans="3:17" x14ac:dyDescent="0.25">
      <c r="C1242" s="1" t="str">
        <f>_xlfn.CONCAT(tabE.Flux[[#This Row],[DATA]],"+",tabE.Flux[[#This Row],[MOTORISTA + MATRÍCULA A]])</f>
        <v>45940+WESLEY SILVA PAIVA - 5638</v>
      </c>
      <c r="D1242" s="1" t="str">
        <f>_xlfn.CONCAT(tabE.Flux[[#This Row],[DATA]],"+",tabE.Flux[[#This Row],[MOTORISTA + MATRÍCULA B]])</f>
        <v>45940+LUIZ CARLOS MARIANO SIQUEIRA - 5634</v>
      </c>
      <c r="E1242" s="1" t="str">
        <f>_xlfn.CONCAT(tabE.Flux[[#This Row],[DATA]],"+",tabE.Flux[[#This Row],[MOTORISTA + MATRÍCULA A]],"+",tabE.Flux[[#This Row],[LINHA]])</f>
        <v>45940+WESLEY SILVA PAIVA - 5638+GOIANIA (GO) X BELEM (PA)</v>
      </c>
      <c r="F1242" s="1" t="str">
        <f>_xlfn.CONCAT(tabE.Flux[[#This Row],[DATA]],"+",tabE.Flux[[#This Row],[MOTORISTA + MATRÍCULA B]],"+",tabE.Flux[[#This Row],[LINHA]])</f>
        <v>45940+LUIZ CARLOS MARIANO SIQUEIRA - 5634+GOIANIA (GO) X BELEM (PA)</v>
      </c>
      <c r="G1242" s="1" t="str">
        <f>_xlfn.CONCAT(tabE.Flux[[#This Row],[DATA]],"+",tabE.Flux[[#This Row],[LINHA]])</f>
        <v>45940+GOIANIA (GO) X BELEM (PA)</v>
      </c>
      <c r="H1242" s="125">
        <v>45940</v>
      </c>
      <c r="I1242" s="1" t="s">
        <v>15</v>
      </c>
      <c r="J1242" s="1">
        <v>19011</v>
      </c>
      <c r="K1242" s="126">
        <v>0.375</v>
      </c>
      <c r="L1242" s="126">
        <v>0.41666666666666669</v>
      </c>
      <c r="M1242" s="1" t="s">
        <v>33</v>
      </c>
      <c r="N1242" s="1" t="s">
        <v>16</v>
      </c>
      <c r="O1242" s="1" t="s">
        <v>112</v>
      </c>
      <c r="P1242" s="1" t="s">
        <v>51</v>
      </c>
      <c r="Q1242" s="1" t="s">
        <v>20</v>
      </c>
    </row>
    <row r="1243" spans="3:17" x14ac:dyDescent="0.25">
      <c r="C1243" s="1" t="str">
        <f>_xlfn.CONCAT(tabE.Flux[[#This Row],[DATA]],"+",tabE.Flux[[#This Row],[MOTORISTA + MATRÍCULA A]])</f>
        <v>45940+CARLOS ADRIANO DE SOUZA DO NASCIMENTO - 6222</v>
      </c>
      <c r="D1243" s="1" t="str">
        <f>_xlfn.CONCAT(tabE.Flux[[#This Row],[DATA]],"+",tabE.Flux[[#This Row],[MOTORISTA + MATRÍCULA B]])</f>
        <v>45940+JOSE CARLOS BEZERRA DA SILVA - 3034</v>
      </c>
      <c r="E1243" s="1" t="str">
        <f>_xlfn.CONCAT(tabE.Flux[[#This Row],[DATA]],"+",tabE.Flux[[#This Row],[MOTORISTA + MATRÍCULA A]],"+",tabE.Flux[[#This Row],[LINHA]])</f>
        <v>45940+CARLOS ADRIANO DE SOUZA DO NASCIMENTO - 6222+GOIANIA (GO) X SAO LUIS (MA)</v>
      </c>
      <c r="F1243" s="1" t="str">
        <f>_xlfn.CONCAT(tabE.Flux[[#This Row],[DATA]],"+",tabE.Flux[[#This Row],[MOTORISTA + MATRÍCULA B]],"+",tabE.Flux[[#This Row],[LINHA]])</f>
        <v>45940+JOSE CARLOS BEZERRA DA SILVA - 3034+GOIANIA (GO) X SAO LUIS (MA)</v>
      </c>
      <c r="G1243" s="1" t="str">
        <f>_xlfn.CONCAT(tabE.Flux[[#This Row],[DATA]],"+",tabE.Flux[[#This Row],[LINHA]])</f>
        <v>45940+GOIANIA (GO) X SAO LUIS (MA)</v>
      </c>
      <c r="H1243" s="125">
        <v>45940</v>
      </c>
      <c r="I1243" s="1" t="s">
        <v>15</v>
      </c>
      <c r="J1243" s="1">
        <v>20018</v>
      </c>
      <c r="K1243" s="126">
        <v>0.25</v>
      </c>
      <c r="L1243" s="126">
        <v>0.29166666666666669</v>
      </c>
      <c r="M1243" s="1" t="s">
        <v>42</v>
      </c>
      <c r="N1243" s="1" t="s">
        <v>16</v>
      </c>
      <c r="O1243" s="1" t="s">
        <v>110</v>
      </c>
      <c r="P1243" s="1" t="s">
        <v>76</v>
      </c>
      <c r="Q1243" s="1" t="s">
        <v>23</v>
      </c>
    </row>
    <row r="1244" spans="3:17" x14ac:dyDescent="0.25">
      <c r="C1244" s="1" t="str">
        <f>_xlfn.CONCAT(tabE.Flux[[#This Row],[DATA]],"+",tabE.Flux[[#This Row],[MOTORISTA + MATRÍCULA A]])</f>
        <v>45940+PAULO ENEAS FARIAS ARAUJO - 6218</v>
      </c>
      <c r="D1244" s="1" t="str">
        <f>_xlfn.CONCAT(tabE.Flux[[#This Row],[DATA]],"+",tabE.Flux[[#This Row],[MOTORISTA + MATRÍCULA B]])</f>
        <v>45940+MARCOS ATAIDE SILVA - 1352</v>
      </c>
      <c r="E1244" s="1" t="str">
        <f>_xlfn.CONCAT(tabE.Flux[[#This Row],[DATA]],"+",tabE.Flux[[#This Row],[MOTORISTA + MATRÍCULA A]],"+",tabE.Flux[[#This Row],[LINHA]])</f>
        <v>45940+PAULO ENEAS FARIAS ARAUJO - 6218+GOIANIA (GO) X SAO LUIS (MA)</v>
      </c>
      <c r="F1244" s="1" t="str">
        <f>_xlfn.CONCAT(tabE.Flux[[#This Row],[DATA]],"+",tabE.Flux[[#This Row],[MOTORISTA + MATRÍCULA B]],"+",tabE.Flux[[#This Row],[LINHA]])</f>
        <v>45940+MARCOS ATAIDE SILVA - 1352+GOIANIA (GO) X SAO LUIS (MA)</v>
      </c>
      <c r="G1244" s="1" t="str">
        <f>_xlfn.CONCAT(tabE.Flux[[#This Row],[DATA]],"+",tabE.Flux[[#This Row],[LINHA]])</f>
        <v>45940+GOIANIA (GO) X SAO LUIS (MA)</v>
      </c>
      <c r="H1244" s="125">
        <v>45940</v>
      </c>
      <c r="I1244" s="1" t="s">
        <v>15</v>
      </c>
      <c r="J1244" s="1">
        <v>24015</v>
      </c>
      <c r="K1244" s="126">
        <v>0.75</v>
      </c>
      <c r="L1244" s="126">
        <v>0.79166666666666663</v>
      </c>
      <c r="M1244" s="1" t="s">
        <v>42</v>
      </c>
      <c r="N1244" s="1" t="s">
        <v>16</v>
      </c>
      <c r="O1244" s="1" t="s">
        <v>43</v>
      </c>
      <c r="P1244" s="1" t="s">
        <v>113</v>
      </c>
      <c r="Q1244" s="1" t="s">
        <v>23</v>
      </c>
    </row>
    <row r="1245" spans="3:17" x14ac:dyDescent="0.25">
      <c r="C1245" s="1" t="str">
        <f>_xlfn.CONCAT(tabE.Flux[[#This Row],[DATA]],"+",tabE.Flux[[#This Row],[MOTORISTA + MATRÍCULA A]])</f>
        <v>45940+CANCELADO</v>
      </c>
      <c r="D1245" s="1" t="str">
        <f>_xlfn.CONCAT(tabE.Flux[[#This Row],[DATA]],"+",tabE.Flux[[#This Row],[MOTORISTA + MATRÍCULA B]])</f>
        <v>45940+CANCELADO</v>
      </c>
      <c r="E1245" s="1" t="str">
        <f>_xlfn.CONCAT(tabE.Flux[[#This Row],[DATA]],"+",tabE.Flux[[#This Row],[MOTORISTA + MATRÍCULA A]],"+",tabE.Flux[[#This Row],[LINHA]])</f>
        <v>45940+CANCELADO+IMPERATRIZ (MA) X SÃO LUIS (MA)</v>
      </c>
      <c r="F1245" s="1" t="str">
        <f>_xlfn.CONCAT(tabE.Flux[[#This Row],[DATA]],"+",tabE.Flux[[#This Row],[MOTORISTA + MATRÍCULA B]],"+",tabE.Flux[[#This Row],[LINHA]])</f>
        <v>45940+CANCELADO+IMPERATRIZ (MA) X SÃO LUIS (MA)</v>
      </c>
      <c r="G1245" s="1" t="str">
        <f>_xlfn.CONCAT(tabE.Flux[[#This Row],[DATA]],"+",tabE.Flux[[#This Row],[LINHA]])</f>
        <v>45940+IMPERATRIZ (MA) X SÃO LUIS (MA)</v>
      </c>
      <c r="H1245" s="125">
        <v>45940</v>
      </c>
      <c r="I1245" s="1" t="s">
        <v>15</v>
      </c>
      <c r="J1245" s="1" t="s">
        <v>27</v>
      </c>
      <c r="K1245" s="126">
        <v>0.77083333333333337</v>
      </c>
      <c r="L1245" s="126">
        <v>0.79513888888888884</v>
      </c>
      <c r="M1245" s="1" t="s">
        <v>42</v>
      </c>
      <c r="N1245" s="1" t="s">
        <v>16</v>
      </c>
      <c r="O1245" s="1" t="s">
        <v>27</v>
      </c>
      <c r="P1245" s="1" t="s">
        <v>27</v>
      </c>
      <c r="Q1245" s="1" t="s">
        <v>47</v>
      </c>
    </row>
    <row r="1246" spans="3:17" x14ac:dyDescent="0.25">
      <c r="C1246" s="1" t="str">
        <f>_xlfn.CONCAT(tabE.Flux[[#This Row],[DATA]],"+",tabE.Flux[[#This Row],[MOTORISTA + MATRÍCULA A]])</f>
        <v>45940+AILTON LEITE ORTIZ DE CAMARGO - 1642</v>
      </c>
      <c r="D1246" s="1" t="str">
        <f>_xlfn.CONCAT(tabE.Flux[[#This Row],[DATA]],"+",tabE.Flux[[#This Row],[MOTORISTA + MATRÍCULA B]])</f>
        <v>45940+ALCENILDE BARBOSA ARAUJO - 1745</v>
      </c>
      <c r="E1246" s="1" t="str">
        <f>_xlfn.CONCAT(tabE.Flux[[#This Row],[DATA]],"+",tabE.Flux[[#This Row],[MOTORISTA + MATRÍCULA A]],"+",tabE.Flux[[#This Row],[LINHA]])</f>
        <v>45940+AILTON LEITE ORTIZ DE CAMARGO - 1642+GOIANIA (GO) X TERESINA (PI) VIA BC</v>
      </c>
      <c r="F1246" s="1" t="str">
        <f>_xlfn.CONCAT(tabE.Flux[[#This Row],[DATA]],"+",tabE.Flux[[#This Row],[MOTORISTA + MATRÍCULA B]],"+",tabE.Flux[[#This Row],[LINHA]])</f>
        <v>45940+ALCENILDE BARBOSA ARAUJO - 1745+GOIANIA (GO) X TERESINA (PI) VIA BC</v>
      </c>
      <c r="G1246" s="1" t="str">
        <f>_xlfn.CONCAT(tabE.Flux[[#This Row],[DATA]],"+",tabE.Flux[[#This Row],[LINHA]])</f>
        <v>45940+GOIANIA (GO) X TERESINA (PI) VIA BC</v>
      </c>
      <c r="H1246" s="125">
        <v>45940</v>
      </c>
      <c r="I1246" s="1" t="s">
        <v>15</v>
      </c>
      <c r="J1246" s="1">
        <v>24011</v>
      </c>
      <c r="K1246" s="126">
        <v>0.89583333333333337</v>
      </c>
      <c r="L1246" s="126">
        <v>0.91666666666666663</v>
      </c>
      <c r="M1246" s="1" t="s">
        <v>36</v>
      </c>
      <c r="N1246" s="1" t="s">
        <v>17</v>
      </c>
      <c r="O1246" s="1" t="s">
        <v>136</v>
      </c>
      <c r="P1246" s="1" t="s">
        <v>137</v>
      </c>
      <c r="Q1246" s="1" t="s">
        <v>39</v>
      </c>
    </row>
    <row r="1247" spans="3:17" x14ac:dyDescent="0.25">
      <c r="C1247" s="1" t="str">
        <f>_xlfn.CONCAT(tabE.Flux[[#This Row],[DATA]],"+",tabE.Flux[[#This Row],[MOTORISTA + MATRÍCULA A]])</f>
        <v>45940+EUGENIO PEREIRA DOS SANTOS - 1197</v>
      </c>
      <c r="D1247" s="1" t="str">
        <f>_xlfn.CONCAT(tabE.Flux[[#This Row],[DATA]],"+",tabE.Flux[[#This Row],[MOTORISTA + MATRÍCULA B]])</f>
        <v>45940+GILDEVAN DE ALMEIDA AGOSTINHO - 1924</v>
      </c>
      <c r="E1247" s="1" t="str">
        <f>_xlfn.CONCAT(tabE.Flux[[#This Row],[DATA]],"+",tabE.Flux[[#This Row],[MOTORISTA + MATRÍCULA A]],"+",tabE.Flux[[#This Row],[LINHA]])</f>
        <v>45940+EUGENIO PEREIRA DOS SANTOS - 1197+GOIANIA (GO) X BELEM (PA)</v>
      </c>
      <c r="F1247" s="1" t="str">
        <f>_xlfn.CONCAT(tabE.Flux[[#This Row],[DATA]],"+",tabE.Flux[[#This Row],[MOTORISTA + MATRÍCULA B]],"+",tabE.Flux[[#This Row],[LINHA]])</f>
        <v>45940+GILDEVAN DE ALMEIDA AGOSTINHO - 1924+GOIANIA (GO) X BELEM (PA)</v>
      </c>
      <c r="G1247" s="1" t="str">
        <f>_xlfn.CONCAT(tabE.Flux[[#This Row],[DATA]],"+",tabE.Flux[[#This Row],[LINHA]])</f>
        <v>45940+GOIANIA (GO) X BELEM (PA)</v>
      </c>
      <c r="H1247" s="125">
        <v>45940</v>
      </c>
      <c r="I1247" s="1" t="s">
        <v>15</v>
      </c>
      <c r="J1247" s="1">
        <v>24013</v>
      </c>
      <c r="K1247" s="126">
        <v>0.76041666666666663</v>
      </c>
      <c r="L1247" s="126">
        <v>0.77083333333333337</v>
      </c>
      <c r="M1247" s="1" t="s">
        <v>33</v>
      </c>
      <c r="N1247" s="1" t="s">
        <v>16</v>
      </c>
      <c r="O1247" s="1" t="s">
        <v>264</v>
      </c>
      <c r="P1247" s="1" t="s">
        <v>236</v>
      </c>
      <c r="Q1247" s="1" t="s">
        <v>20</v>
      </c>
    </row>
    <row r="1248" spans="3:17" x14ac:dyDescent="0.25">
      <c r="C1248" s="1" t="str">
        <f>_xlfn.CONCAT(tabE.Flux[[#This Row],[DATA]],"+",tabE.Flux[[#This Row],[MOTORISTA + MATRÍCULA A]])</f>
        <v>45940+LUIS ANTONIO FARIAS RIBEIRO - 2789</v>
      </c>
      <c r="D1248" s="1" t="str">
        <f>_xlfn.CONCAT(tabE.Flux[[#This Row],[DATA]],"+",tabE.Flux[[#This Row],[MOTORISTA + MATRÍCULA B]])</f>
        <v>45940+JOSE POLICARPO DE SOUSA NETO - 1472</v>
      </c>
      <c r="E1248" s="1" t="str">
        <f>_xlfn.CONCAT(tabE.Flux[[#This Row],[DATA]],"+",tabE.Flux[[#This Row],[MOTORISTA + MATRÍCULA A]],"+",tabE.Flux[[#This Row],[LINHA]])</f>
        <v>45940+LUIS ANTONIO FARIAS RIBEIRO - 2789+GOIANIA (GO) X BELEM (PA)</v>
      </c>
      <c r="F1248" s="1" t="str">
        <f>_xlfn.CONCAT(tabE.Flux[[#This Row],[DATA]],"+",tabE.Flux[[#This Row],[MOTORISTA + MATRÍCULA B]],"+",tabE.Flux[[#This Row],[LINHA]])</f>
        <v>45940+JOSE POLICARPO DE SOUSA NETO - 1472+GOIANIA (GO) X BELEM (PA)</v>
      </c>
      <c r="G1248" s="1" t="str">
        <f>_xlfn.CONCAT(tabE.Flux[[#This Row],[DATA]],"+",tabE.Flux[[#This Row],[LINHA]])</f>
        <v>45940+GOIANIA (GO) X BELEM (PA)</v>
      </c>
      <c r="H1248" s="125">
        <v>45940</v>
      </c>
      <c r="I1248" s="1" t="s">
        <v>15</v>
      </c>
      <c r="J1248" s="1">
        <v>24001</v>
      </c>
      <c r="K1248" s="126">
        <v>0.76041666666666663</v>
      </c>
      <c r="L1248" s="126">
        <v>0.82777777777777772</v>
      </c>
      <c r="M1248" s="1" t="s">
        <v>16</v>
      </c>
      <c r="N1248" s="1" t="s">
        <v>33</v>
      </c>
      <c r="O1248" s="1" t="s">
        <v>124</v>
      </c>
      <c r="P1248" s="1" t="s">
        <v>54</v>
      </c>
      <c r="Q1248" s="1" t="s">
        <v>20</v>
      </c>
    </row>
    <row r="1249" spans="3:17" x14ac:dyDescent="0.25">
      <c r="C1249" s="1" t="str">
        <f>_xlfn.CONCAT(tabE.Flux[[#This Row],[DATA]],"+",tabE.Flux[[#This Row],[MOTORISTA + MATRÍCULA A]])</f>
        <v>45940+MARCIO DE SOUSA MATOS - 5264</v>
      </c>
      <c r="D1249" s="1" t="str">
        <f>_xlfn.CONCAT(tabE.Flux[[#This Row],[DATA]],"+",tabE.Flux[[#This Row],[MOTORISTA + MATRÍCULA B]])</f>
        <v>45940+JEFFERSON CARDOSO DOS SANTOS - 5837</v>
      </c>
      <c r="E1249" s="1" t="str">
        <f>_xlfn.CONCAT(tabE.Flux[[#This Row],[DATA]],"+",tabE.Flux[[#This Row],[MOTORISTA + MATRÍCULA A]],"+",tabE.Flux[[#This Row],[LINHA]])</f>
        <v>45940+MARCIO DE SOUSA MATOS - 5264+</v>
      </c>
      <c r="F1249" s="1" t="str">
        <f>_xlfn.CONCAT(tabE.Flux[[#This Row],[DATA]],"+",tabE.Flux[[#This Row],[MOTORISTA + MATRÍCULA B]],"+",tabE.Flux[[#This Row],[LINHA]])</f>
        <v>45940+JEFFERSON CARDOSO DOS SANTOS - 5837+</v>
      </c>
      <c r="G1249" s="1" t="str">
        <f>_xlfn.CONCAT(tabE.Flux[[#This Row],[DATA]],"+",tabE.Flux[[#This Row],[LINHA]])</f>
        <v>45940+</v>
      </c>
      <c r="H1249" s="125">
        <v>45940</v>
      </c>
      <c r="I1249" s="1" t="s">
        <v>15</v>
      </c>
      <c r="J1249" s="1">
        <v>19009</v>
      </c>
      <c r="K1249" s="126">
        <v>0.80208333333333337</v>
      </c>
      <c r="L1249" s="126">
        <v>0.84375</v>
      </c>
      <c r="M1249" s="1" t="s">
        <v>16</v>
      </c>
      <c r="N1249" s="1" t="s">
        <v>33</v>
      </c>
      <c r="O1249" s="1" t="s">
        <v>62</v>
      </c>
      <c r="P1249" s="1" t="s">
        <v>30</v>
      </c>
      <c r="Q1249" s="1"/>
    </row>
    <row r="1250" spans="3:17" x14ac:dyDescent="0.25">
      <c r="C1250" s="1" t="str">
        <f>_xlfn.CONCAT(tabE.Flux[[#This Row],[DATA]],"+",tabE.Flux[[#This Row],[MOTORISTA + MATRÍCULA A]])</f>
        <v>45940+GILVAN DE SOUSA FRANCA - 5834</v>
      </c>
      <c r="D1250" s="1" t="str">
        <f>_xlfn.CONCAT(tabE.Flux[[#This Row],[DATA]],"+",tabE.Flux[[#This Row],[MOTORISTA + MATRÍCULA B]])</f>
        <v>45940+KAYLSON KLEYTON DA SILVA COSTA - 6224</v>
      </c>
      <c r="E1250" s="1" t="str">
        <f>_xlfn.CONCAT(tabE.Flux[[#This Row],[DATA]],"+",tabE.Flux[[#This Row],[MOTORISTA + MATRÍCULA A]],"+",tabE.Flux[[#This Row],[LINHA]])</f>
        <v>45940+GILVAN DE SOUSA FRANCA - 5834+GOIANIA (GO) X SAO LUIS (MA)</v>
      </c>
      <c r="F1250" s="1" t="str">
        <f>_xlfn.CONCAT(tabE.Flux[[#This Row],[DATA]],"+",tabE.Flux[[#This Row],[MOTORISTA + MATRÍCULA B]],"+",tabE.Flux[[#This Row],[LINHA]])</f>
        <v>45940+KAYLSON KLEYTON DA SILVA COSTA - 6224+GOIANIA (GO) X SAO LUIS (MA)</v>
      </c>
      <c r="G1250" s="1" t="str">
        <f>_xlfn.CONCAT(tabE.Flux[[#This Row],[DATA]],"+",tabE.Flux[[#This Row],[LINHA]])</f>
        <v>45940+GOIANIA (GO) X SAO LUIS (MA)</v>
      </c>
      <c r="H1250" s="125">
        <v>45940</v>
      </c>
      <c r="I1250" s="1" t="s">
        <v>15</v>
      </c>
      <c r="J1250" s="1">
        <v>19002</v>
      </c>
      <c r="K1250" s="126">
        <v>0.40763888888888888</v>
      </c>
      <c r="L1250" s="126">
        <v>0.47013888888888888</v>
      </c>
      <c r="M1250" s="1" t="s">
        <v>16</v>
      </c>
      <c r="N1250" s="1" t="s">
        <v>42</v>
      </c>
      <c r="O1250" s="1" t="s">
        <v>35</v>
      </c>
      <c r="P1250" s="1" t="s">
        <v>80</v>
      </c>
      <c r="Q1250" s="1" t="s">
        <v>23</v>
      </c>
    </row>
    <row r="1251" spans="3:17" x14ac:dyDescent="0.25">
      <c r="C1251" s="1" t="str">
        <f>_xlfn.CONCAT(tabE.Flux[[#This Row],[DATA]],"+",tabE.Flux[[#This Row],[MOTORISTA + MATRÍCULA A]])</f>
        <v>45940+ELIEZIO JOSE DOS SANTOS - 2645</v>
      </c>
      <c r="D1251" s="1" t="str">
        <f>_xlfn.CONCAT(tabE.Flux[[#This Row],[DATA]],"+",tabE.Flux[[#This Row],[MOTORISTA + MATRÍCULA B]])</f>
        <v>45940+EDIVALDO DE ARAUJO - 6217</v>
      </c>
      <c r="E1251" s="1" t="str">
        <f>_xlfn.CONCAT(tabE.Flux[[#This Row],[DATA]],"+",tabE.Flux[[#This Row],[MOTORISTA + MATRÍCULA A]],"+",tabE.Flux[[#This Row],[LINHA]])</f>
        <v>45940+ELIEZIO JOSE DOS SANTOS - 2645+IMPERATRIZ (MA) X SÃO LUIS (MA)</v>
      </c>
      <c r="F1251" s="1" t="str">
        <f>_xlfn.CONCAT(tabE.Flux[[#This Row],[DATA]],"+",tabE.Flux[[#This Row],[MOTORISTA + MATRÍCULA B]],"+",tabE.Flux[[#This Row],[LINHA]])</f>
        <v>45940+EDIVALDO DE ARAUJO - 6217+IMPERATRIZ (MA) X SÃO LUIS (MA)</v>
      </c>
      <c r="G1251" s="1" t="str">
        <f>_xlfn.CONCAT(tabE.Flux[[#This Row],[DATA]],"+",tabE.Flux[[#This Row],[LINHA]])</f>
        <v>45940+IMPERATRIZ (MA) X SÃO LUIS (MA)</v>
      </c>
      <c r="H1251" s="125">
        <v>45940</v>
      </c>
      <c r="I1251" s="1" t="s">
        <v>15</v>
      </c>
      <c r="J1251" s="1">
        <v>19020</v>
      </c>
      <c r="K1251" s="126">
        <v>0.77083333333333337</v>
      </c>
      <c r="L1251" s="126">
        <v>0.8125</v>
      </c>
      <c r="M1251" s="1" t="s">
        <v>16</v>
      </c>
      <c r="N1251" s="1" t="s">
        <v>42</v>
      </c>
      <c r="O1251" s="1" t="s">
        <v>53</v>
      </c>
      <c r="P1251" s="1" t="s">
        <v>55</v>
      </c>
      <c r="Q1251" s="1" t="s">
        <v>47</v>
      </c>
    </row>
    <row r="1252" spans="3:17" x14ac:dyDescent="0.25">
      <c r="C1252" s="1" t="str">
        <f>_xlfn.CONCAT(tabE.Flux[[#This Row],[DATA]],"+",tabE.Flux[[#This Row],[MOTORISTA + MATRÍCULA A]])</f>
        <v>45940+EDUARDO SANTOS BEZERRA - 4066</v>
      </c>
      <c r="D1252" s="1" t="str">
        <f>_xlfn.CONCAT(tabE.Flux[[#This Row],[DATA]],"+",tabE.Flux[[#This Row],[MOTORISTA + MATRÍCULA B]])</f>
        <v>45940+CARLOS ADRIANO DE SOUZA DO NASCIMENTO - 6222</v>
      </c>
      <c r="E1252" s="1" t="str">
        <f>_xlfn.CONCAT(tabE.Flux[[#This Row],[DATA]],"+",tabE.Flux[[#This Row],[MOTORISTA + MATRÍCULA A]],"+",tabE.Flux[[#This Row],[LINHA]])</f>
        <v>45940+EDUARDO SANTOS BEZERRA - 4066+GOIANIA (GO) X SAO LUIS (MA)</v>
      </c>
      <c r="F1252" s="1" t="str">
        <f>_xlfn.CONCAT(tabE.Flux[[#This Row],[DATA]],"+",tabE.Flux[[#This Row],[MOTORISTA + MATRÍCULA B]],"+",tabE.Flux[[#This Row],[LINHA]])</f>
        <v>45940+CARLOS ADRIANO DE SOUZA DO NASCIMENTO - 6222+GOIANIA (GO) X SAO LUIS (MA)</v>
      </c>
      <c r="G1252" s="1" t="str">
        <f>_xlfn.CONCAT(tabE.Flux[[#This Row],[DATA]],"+",tabE.Flux[[#This Row],[LINHA]])</f>
        <v>45940+GOIANIA (GO) X SAO LUIS (MA)</v>
      </c>
      <c r="H1252" s="125">
        <v>45940</v>
      </c>
      <c r="I1252" s="1" t="s">
        <v>15</v>
      </c>
      <c r="J1252" s="1">
        <v>24003</v>
      </c>
      <c r="K1252" s="126">
        <v>0.8125</v>
      </c>
      <c r="L1252" s="126">
        <v>0.84375</v>
      </c>
      <c r="M1252" s="1" t="s">
        <v>16</v>
      </c>
      <c r="N1252" s="1" t="s">
        <v>42</v>
      </c>
      <c r="O1252" s="1" t="s">
        <v>148</v>
      </c>
      <c r="P1252" s="1" t="s">
        <v>110</v>
      </c>
      <c r="Q1252" s="1" t="s">
        <v>23</v>
      </c>
    </row>
    <row r="1253" spans="3:17" x14ac:dyDescent="0.25">
      <c r="C1253" s="1" t="str">
        <f>_xlfn.CONCAT(tabE.Flux[[#This Row],[DATA]],"+",tabE.Flux[[#This Row],[MOTORISTA + MATRÍCULA A]])</f>
        <v>45940+VALDEY OLIVEIRA ARAUJO - 2790</v>
      </c>
      <c r="D1253" s="1" t="str">
        <f>_xlfn.CONCAT(tabE.Flux[[#This Row],[DATA]],"+",tabE.Flux[[#This Row],[MOTORISTA + MATRÍCULA B]])</f>
        <v>45940+GENIVAN LEAL TEIXEIRA - 5302</v>
      </c>
      <c r="E1253" s="1" t="str">
        <f>_xlfn.CONCAT(tabE.Flux[[#This Row],[DATA]],"+",tabE.Flux[[#This Row],[MOTORISTA + MATRÍCULA A]],"+",tabE.Flux[[#This Row],[LINHA]])</f>
        <v>45940+VALDEY OLIVEIRA ARAUJO - 2790+GOIANIA (GO) X TERESINA (PI) VIA STI</v>
      </c>
      <c r="F1253" s="1" t="str">
        <f>_xlfn.CONCAT(tabE.Flux[[#This Row],[DATA]],"+",tabE.Flux[[#This Row],[MOTORISTA + MATRÍCULA B]],"+",tabE.Flux[[#This Row],[LINHA]])</f>
        <v>45940+GENIVAN LEAL TEIXEIRA - 5302+GOIANIA (GO) X TERESINA (PI) VIA STI</v>
      </c>
      <c r="G1253" s="1" t="str">
        <f>_xlfn.CONCAT(tabE.Flux[[#This Row],[DATA]],"+",tabE.Flux[[#This Row],[LINHA]])</f>
        <v>45940+GOIANIA (GO) X TERESINA (PI) VIA STI</v>
      </c>
      <c r="H1253" s="125">
        <v>45940</v>
      </c>
      <c r="I1253" s="1" t="s">
        <v>15</v>
      </c>
      <c r="J1253" s="1">
        <v>19025</v>
      </c>
      <c r="K1253" s="126">
        <v>0.77083333333333337</v>
      </c>
      <c r="L1253" s="126">
        <v>0.79861111111111116</v>
      </c>
      <c r="M1253" s="1" t="s">
        <v>16</v>
      </c>
      <c r="N1253" s="1" t="s">
        <v>29</v>
      </c>
      <c r="O1253" s="1" t="s">
        <v>34</v>
      </c>
      <c r="P1253" s="1" t="s">
        <v>38</v>
      </c>
      <c r="Q1253" s="1" t="s">
        <v>26</v>
      </c>
    </row>
    <row r="1254" spans="3:17" x14ac:dyDescent="0.25">
      <c r="C1254" s="1" t="str">
        <f>_xlfn.CONCAT(tabE.Flux[[#This Row],[DATA]],"+",tabE.Flux[[#This Row],[MOTORISTA + MATRÍCULA A]])</f>
        <v>45940+RONALDO MANOEL TEIXEIRA - 5308</v>
      </c>
      <c r="D1254" s="1" t="str">
        <f>_xlfn.CONCAT(tabE.Flux[[#This Row],[DATA]],"+",tabE.Flux[[#This Row],[MOTORISTA + MATRÍCULA B]])</f>
        <v>45940+JOAO AMARAL DA SILVA JUNIOR - 5290</v>
      </c>
      <c r="E1254" s="1" t="str">
        <f>_xlfn.CONCAT(tabE.Flux[[#This Row],[DATA]],"+",tabE.Flux[[#This Row],[MOTORISTA + MATRÍCULA A]],"+",tabE.Flux[[#This Row],[LINHA]])</f>
        <v>45940+RONALDO MANOEL TEIXEIRA - 5308+GOIANIA (GO) X SAO LUIS (MA)</v>
      </c>
      <c r="F1254" s="1" t="str">
        <f>_xlfn.CONCAT(tabE.Flux[[#This Row],[DATA]],"+",tabE.Flux[[#This Row],[MOTORISTA + MATRÍCULA B]],"+",tabE.Flux[[#This Row],[LINHA]])</f>
        <v>45940+JOAO AMARAL DA SILVA JUNIOR - 5290+GOIANIA (GO) X SAO LUIS (MA)</v>
      </c>
      <c r="G1254" s="1" t="str">
        <f>_xlfn.CONCAT(tabE.Flux[[#This Row],[DATA]],"+",tabE.Flux[[#This Row],[LINHA]])</f>
        <v>45940+GOIANIA (GO) X SAO LUIS (MA)</v>
      </c>
      <c r="H1254" s="125">
        <v>45940</v>
      </c>
      <c r="I1254" s="1" t="s">
        <v>15</v>
      </c>
      <c r="J1254" s="1">
        <v>20018</v>
      </c>
      <c r="K1254" s="126">
        <v>0.8125</v>
      </c>
      <c r="L1254" s="126">
        <v>0.84166666666666667</v>
      </c>
      <c r="M1254" s="1" t="s">
        <v>16</v>
      </c>
      <c r="N1254" s="1" t="s">
        <v>17</v>
      </c>
      <c r="O1254" s="1" t="s">
        <v>220</v>
      </c>
      <c r="P1254" s="1" t="s">
        <v>215</v>
      </c>
      <c r="Q1254" s="1" t="s">
        <v>23</v>
      </c>
    </row>
    <row r="1255" spans="3:17" x14ac:dyDescent="0.25">
      <c r="C1255" s="1" t="str">
        <f>_xlfn.CONCAT(tabE.Flux[[#This Row],[DATA]],"+",tabE.Flux[[#This Row],[MOTORISTA + MATRÍCULA A]])</f>
        <v>45940+IRISVAN DE JESUS - 5708</v>
      </c>
      <c r="D1255" s="1" t="str">
        <f>_xlfn.CONCAT(tabE.Flux[[#This Row],[DATA]],"+",tabE.Flux[[#This Row],[MOTORISTA + MATRÍCULA B]])</f>
        <v>45940+ROBERTO PEREIRA DE MATOS - 5538</v>
      </c>
      <c r="E1255" s="1" t="str">
        <f>_xlfn.CONCAT(tabE.Flux[[#This Row],[DATA]],"+",tabE.Flux[[#This Row],[MOTORISTA + MATRÍCULA A]],"+",tabE.Flux[[#This Row],[LINHA]])</f>
        <v>45940+IRISVAN DE JESUS - 5708+FORTALEZA (CE) X SINOP (MT)</v>
      </c>
      <c r="F1255" s="1" t="str">
        <f>_xlfn.CONCAT(tabE.Flux[[#This Row],[DATA]],"+",tabE.Flux[[#This Row],[MOTORISTA + MATRÍCULA B]],"+",tabE.Flux[[#This Row],[LINHA]])</f>
        <v>45940+ROBERTO PEREIRA DE MATOS - 5538+FORTALEZA (CE) X SINOP (MT)</v>
      </c>
      <c r="G1255" s="1" t="str">
        <f>_xlfn.CONCAT(tabE.Flux[[#This Row],[DATA]],"+",tabE.Flux[[#This Row],[LINHA]])</f>
        <v>45940+FORTALEZA (CE) X SINOP (MT)</v>
      </c>
      <c r="H1255" s="125">
        <v>45940</v>
      </c>
      <c r="I1255" s="1" t="s">
        <v>15</v>
      </c>
      <c r="J1255" s="1">
        <v>20014</v>
      </c>
      <c r="K1255" s="126">
        <v>0.8125</v>
      </c>
      <c r="L1255" s="126">
        <v>0.85416666666666663</v>
      </c>
      <c r="M1255" s="1" t="s">
        <v>16</v>
      </c>
      <c r="N1255" s="1" t="s">
        <v>17</v>
      </c>
      <c r="O1255" s="1" t="s">
        <v>96</v>
      </c>
      <c r="P1255" s="1" t="s">
        <v>180</v>
      </c>
      <c r="Q1255" s="1" t="s">
        <v>32</v>
      </c>
    </row>
    <row r="1256" spans="3:17" x14ac:dyDescent="0.25">
      <c r="C1256" s="1" t="str">
        <f>_xlfn.CONCAT(tabE.Flux[[#This Row],[DATA]],"+",tabE.Flux[[#This Row],[MOTORISTA + MATRÍCULA A]])</f>
        <v>45940+VALDIR ALVES MIRANDA - 1364</v>
      </c>
      <c r="D1256" s="1" t="str">
        <f>_xlfn.CONCAT(tabE.Flux[[#This Row],[DATA]],"+",tabE.Flux[[#This Row],[MOTORISTA + MATRÍCULA B]])</f>
        <v>45940+SILVIO SILVA DE OLIVEIRA - 5793</v>
      </c>
      <c r="E1256" s="1" t="str">
        <f>_xlfn.CONCAT(tabE.Flux[[#This Row],[DATA]],"+",tabE.Flux[[#This Row],[MOTORISTA + MATRÍCULA A]],"+",tabE.Flux[[#This Row],[LINHA]])</f>
        <v>45940+VALDIR ALVES MIRANDA - 1364+GOIANIA (GO) X BELEM (PA)</v>
      </c>
      <c r="F1256" s="1" t="str">
        <f>_xlfn.CONCAT(tabE.Flux[[#This Row],[DATA]],"+",tabE.Flux[[#This Row],[MOTORISTA + MATRÍCULA B]],"+",tabE.Flux[[#This Row],[LINHA]])</f>
        <v>45940+SILVIO SILVA DE OLIVEIRA - 5793+GOIANIA (GO) X BELEM (PA)</v>
      </c>
      <c r="G1256" s="1" t="str">
        <f>_xlfn.CONCAT(tabE.Flux[[#This Row],[DATA]],"+",tabE.Flux[[#This Row],[LINHA]])</f>
        <v>45940+GOIANIA (GO) X BELEM (PA)</v>
      </c>
      <c r="H1256" s="125">
        <v>45940</v>
      </c>
      <c r="I1256" s="1" t="s">
        <v>15</v>
      </c>
      <c r="J1256" s="1">
        <v>19011</v>
      </c>
      <c r="K1256" s="126">
        <v>0.84722222222222221</v>
      </c>
      <c r="L1256" s="126">
        <v>0.87847222222222221</v>
      </c>
      <c r="M1256" s="1" t="s">
        <v>16</v>
      </c>
      <c r="N1256" s="1" t="s">
        <v>17</v>
      </c>
      <c r="O1256" s="1" t="s">
        <v>118</v>
      </c>
      <c r="P1256" s="1" t="s">
        <v>163</v>
      </c>
      <c r="Q1256" s="1" t="s">
        <v>20</v>
      </c>
    </row>
    <row r="1257" spans="3:17" x14ac:dyDescent="0.25">
      <c r="C1257" s="1" t="str">
        <f>_xlfn.CONCAT(tabE.Flux[[#This Row],[DATA]],"+",tabE.Flux[[#This Row],[MOTORISTA + MATRÍCULA A]])</f>
        <v>+</v>
      </c>
      <c r="D1257" s="1" t="str">
        <f>_xlfn.CONCAT(tabE.Flux[[#This Row],[DATA]],"+",tabE.Flux[[#This Row],[MOTORISTA + MATRÍCULA B]])</f>
        <v>+</v>
      </c>
      <c r="E1257" s="1" t="str">
        <f>_xlfn.CONCAT(tabE.Flux[[#This Row],[DATA]],"+",tabE.Flux[[#This Row],[MOTORISTA + MATRÍCULA A]],"+",tabE.Flux[[#This Row],[LINHA]])</f>
        <v>++</v>
      </c>
      <c r="F1257" s="1" t="str">
        <f>_xlfn.CONCAT(tabE.Flux[[#This Row],[DATA]],"+",tabE.Flux[[#This Row],[MOTORISTA + MATRÍCULA B]],"+",tabE.Flux[[#This Row],[LINHA]])</f>
        <v>++</v>
      </c>
      <c r="G1257" s="1" t="str">
        <f>_xlfn.CONCAT(tabE.Flux[[#This Row],[DATA]],"+",tabE.Flux[[#This Row],[LINHA]])</f>
        <v>+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3:17" x14ac:dyDescent="0.25">
      <c r="C1258" s="1" t="str">
        <f>_xlfn.CONCAT(tabE.Flux[[#This Row],[DATA]],"+",tabE.Flux[[#This Row],[MOTORISTA + MATRÍCULA A]])</f>
        <v>45941+VALDIVINO GONCALVES DA SILVA - 5724</v>
      </c>
      <c r="D1258" s="1" t="str">
        <f>_xlfn.CONCAT(tabE.Flux[[#This Row],[DATA]],"+",tabE.Flux[[#This Row],[MOTORISTA + MATRÍCULA B]])</f>
        <v>45941+LOURIVAL FRANCISCO DA COSTA - 5826</v>
      </c>
      <c r="E1258" s="1" t="str">
        <f>_xlfn.CONCAT(tabE.Flux[[#This Row],[DATA]],"+",tabE.Flux[[#This Row],[MOTORISTA + MATRÍCULA A]],"+",tabE.Flux[[#This Row],[LINHA]])</f>
        <v>45941+VALDIVINO GONCALVES DA SILVA - 5724+GOIANIA (GO) X BELEM (PA)</v>
      </c>
      <c r="F1258" s="1" t="str">
        <f>_xlfn.CONCAT(tabE.Flux[[#This Row],[DATA]],"+",tabE.Flux[[#This Row],[MOTORISTA + MATRÍCULA B]],"+",tabE.Flux[[#This Row],[LINHA]])</f>
        <v>45941+LOURIVAL FRANCISCO DA COSTA - 5826+GOIANIA (GO) X BELEM (PA)</v>
      </c>
      <c r="G1258" s="1" t="str">
        <f>_xlfn.CONCAT(tabE.Flux[[#This Row],[DATA]],"+",tabE.Flux[[#This Row],[LINHA]])</f>
        <v>45941+GOIANIA (GO) X BELEM (PA)</v>
      </c>
      <c r="H1258" s="125">
        <v>45941</v>
      </c>
      <c r="I1258" s="1" t="s">
        <v>15</v>
      </c>
      <c r="J1258" s="1">
        <v>24013</v>
      </c>
      <c r="K1258" s="126">
        <v>0.25486111111111109</v>
      </c>
      <c r="L1258" s="126">
        <v>0.3</v>
      </c>
      <c r="M1258" s="1" t="s">
        <v>16</v>
      </c>
      <c r="N1258" s="1" t="s">
        <v>17</v>
      </c>
      <c r="O1258" s="1" t="s">
        <v>168</v>
      </c>
      <c r="P1258" s="1" t="s">
        <v>68</v>
      </c>
      <c r="Q1258" s="1" t="s">
        <v>20</v>
      </c>
    </row>
    <row r="1259" spans="3:17" x14ac:dyDescent="0.25">
      <c r="C1259" s="1" t="str">
        <f>_xlfn.CONCAT(tabE.Flux[[#This Row],[DATA]],"+",tabE.Flux[[#This Row],[MOTORISTA + MATRÍCULA A]])</f>
        <v>45941+ESIEL COSTA RODRIGUES - 1749</v>
      </c>
      <c r="D1259" s="1" t="str">
        <f>_xlfn.CONCAT(tabE.Flux[[#This Row],[DATA]],"+",tabE.Flux[[#This Row],[MOTORISTA + MATRÍCULA B]])</f>
        <v>45941+LEANDRO DE OLIVEIRA MELO - 2151</v>
      </c>
      <c r="E1259" s="1" t="str">
        <f>_xlfn.CONCAT(tabE.Flux[[#This Row],[DATA]],"+",tabE.Flux[[#This Row],[MOTORISTA + MATRÍCULA A]],"+",tabE.Flux[[#This Row],[LINHA]])</f>
        <v>45941+ESIEL COSTA RODRIGUES - 1749+GOIANIA (GO) X SAO LUIS (MA)</v>
      </c>
      <c r="F1259" s="1" t="str">
        <f>_xlfn.CONCAT(tabE.Flux[[#This Row],[DATA]],"+",tabE.Flux[[#This Row],[MOTORISTA + MATRÍCULA B]],"+",tabE.Flux[[#This Row],[LINHA]])</f>
        <v>45941+LEANDRO DE OLIVEIRA MELO - 2151+GOIANIA (GO) X SAO LUIS (MA)</v>
      </c>
      <c r="G1259" s="1" t="str">
        <f>_xlfn.CONCAT(tabE.Flux[[#This Row],[DATA]],"+",tabE.Flux[[#This Row],[LINHA]])</f>
        <v>45941+GOIANIA (GO) X SAO LUIS (MA)</v>
      </c>
      <c r="H1259" s="125">
        <v>45941</v>
      </c>
      <c r="I1259" s="1" t="s">
        <v>15</v>
      </c>
      <c r="J1259" s="1">
        <v>24015</v>
      </c>
      <c r="K1259" s="126">
        <v>0.32291666666666669</v>
      </c>
      <c r="L1259" s="126">
        <v>0.33333333333333331</v>
      </c>
      <c r="M1259" s="1" t="s">
        <v>16</v>
      </c>
      <c r="N1259" s="1" t="s">
        <v>17</v>
      </c>
      <c r="O1259" s="1" t="s">
        <v>46</v>
      </c>
      <c r="P1259" s="1" t="s">
        <v>64</v>
      </c>
      <c r="Q1259" s="1" t="s">
        <v>23</v>
      </c>
    </row>
    <row r="1260" spans="3:17" x14ac:dyDescent="0.25">
      <c r="C1260" s="1" t="str">
        <f>_xlfn.CONCAT(tabE.Flux[[#This Row],[DATA]],"+",tabE.Flux[[#This Row],[MOTORISTA + MATRÍCULA A]])</f>
        <v>45941+JOSE ALVES DA ROCHA - 5035</v>
      </c>
      <c r="D1260" s="1" t="str">
        <f>_xlfn.CONCAT(tabE.Flux[[#This Row],[DATA]],"+",tabE.Flux[[#This Row],[MOTORISTA + MATRÍCULA B]])</f>
        <v>45941+NILSON CORTEZ MIRANDA - 5636</v>
      </c>
      <c r="E1260" s="1" t="str">
        <f>_xlfn.CONCAT(tabE.Flux[[#This Row],[DATA]],"+",tabE.Flux[[#This Row],[MOTORISTA + MATRÍCULA A]],"+",tabE.Flux[[#This Row],[LINHA]])</f>
        <v>45941+JOSE ALVES DA ROCHA - 5035+GOIANIA (GO) X TERESINA (PI) VIA STI</v>
      </c>
      <c r="F1260" s="1" t="str">
        <f>_xlfn.CONCAT(tabE.Flux[[#This Row],[DATA]],"+",tabE.Flux[[#This Row],[MOTORISTA + MATRÍCULA B]],"+",tabE.Flux[[#This Row],[LINHA]])</f>
        <v>45941+NILSON CORTEZ MIRANDA - 5636+GOIANIA (GO) X TERESINA (PI) VIA STI</v>
      </c>
      <c r="G1260" s="1" t="str">
        <f>_xlfn.CONCAT(tabE.Flux[[#This Row],[DATA]],"+",tabE.Flux[[#This Row],[LINHA]])</f>
        <v>45941+GOIANIA (GO) X TERESINA (PI) VIA STI</v>
      </c>
      <c r="H1260" s="125">
        <v>45941</v>
      </c>
      <c r="I1260" s="1" t="s">
        <v>15</v>
      </c>
      <c r="J1260" s="1">
        <v>19013</v>
      </c>
      <c r="K1260" s="126">
        <v>0.3888888888888889</v>
      </c>
      <c r="L1260" s="126">
        <v>0.39583333333333331</v>
      </c>
      <c r="M1260" s="1" t="s">
        <v>16</v>
      </c>
      <c r="N1260" s="1" t="s">
        <v>17</v>
      </c>
      <c r="O1260" s="1" t="s">
        <v>91</v>
      </c>
      <c r="P1260" s="1" t="s">
        <v>75</v>
      </c>
      <c r="Q1260" s="1" t="s">
        <v>26</v>
      </c>
    </row>
    <row r="1261" spans="3:17" x14ac:dyDescent="0.25">
      <c r="C1261" s="1" t="str">
        <f>_xlfn.CONCAT(tabE.Flux[[#This Row],[DATA]],"+",tabE.Flux[[#This Row],[MOTORISTA + MATRÍCULA A]])</f>
        <v>45941+CANCELADO</v>
      </c>
      <c r="D1261" s="1" t="str">
        <f>_xlfn.CONCAT(tabE.Flux[[#This Row],[DATA]],"+",tabE.Flux[[#This Row],[MOTORISTA + MATRÍCULA B]])</f>
        <v>45941+CANCELADO</v>
      </c>
      <c r="E1261" s="1" t="str">
        <f>_xlfn.CONCAT(tabE.Flux[[#This Row],[DATA]],"+",tabE.Flux[[#This Row],[MOTORISTA + MATRÍCULA A]],"+",tabE.Flux[[#This Row],[LINHA]])</f>
        <v>45941+CANCELADO+</v>
      </c>
      <c r="F1261" s="1" t="str">
        <f>_xlfn.CONCAT(tabE.Flux[[#This Row],[DATA]],"+",tabE.Flux[[#This Row],[MOTORISTA + MATRÍCULA B]],"+",tabE.Flux[[#This Row],[LINHA]])</f>
        <v>45941+CANCELADO+</v>
      </c>
      <c r="G1261" s="1" t="str">
        <f>_xlfn.CONCAT(tabE.Flux[[#This Row],[DATA]],"+",tabE.Flux[[#This Row],[LINHA]])</f>
        <v>45941+</v>
      </c>
      <c r="H1261" s="125">
        <v>45941</v>
      </c>
      <c r="I1261" s="1" t="s">
        <v>15</v>
      </c>
      <c r="J1261" s="1" t="s">
        <v>27</v>
      </c>
      <c r="K1261" s="126">
        <v>0.375</v>
      </c>
      <c r="L1261" s="126">
        <v>0.41666666666666669</v>
      </c>
      <c r="M1261" s="1" t="s">
        <v>16</v>
      </c>
      <c r="N1261" s="1" t="s">
        <v>28</v>
      </c>
      <c r="O1261" s="1" t="s">
        <v>27</v>
      </c>
      <c r="P1261" s="1" t="s">
        <v>27</v>
      </c>
      <c r="Q1261" s="1"/>
    </row>
    <row r="1262" spans="3:17" x14ac:dyDescent="0.25">
      <c r="C1262" s="1" t="str">
        <f>_xlfn.CONCAT(tabE.Flux[[#This Row],[DATA]],"+",tabE.Flux[[#This Row],[MOTORISTA + MATRÍCULA A]])</f>
        <v>45941+RONNE RODRIGUES DE SOUSA - 5025</v>
      </c>
      <c r="D1262" s="1" t="str">
        <f>_xlfn.CONCAT(tabE.Flux[[#This Row],[DATA]],"+",tabE.Flux[[#This Row],[MOTORISTA + MATRÍCULA B]])</f>
        <v>45941+DANIEL PEREIRA DA ROCHA - 5298</v>
      </c>
      <c r="E1262" s="1" t="str">
        <f>_xlfn.CONCAT(tabE.Flux[[#This Row],[DATA]],"+",tabE.Flux[[#This Row],[MOTORISTA + MATRÍCULA A]],"+",tabE.Flux[[#This Row],[LINHA]])</f>
        <v>45941+RONNE RODRIGUES DE SOUSA - 5025+FORTALEZA (CE) X SINOP (MT)</v>
      </c>
      <c r="F1262" s="1" t="str">
        <f>_xlfn.CONCAT(tabE.Flux[[#This Row],[DATA]],"+",tabE.Flux[[#This Row],[MOTORISTA + MATRÍCULA B]],"+",tabE.Flux[[#This Row],[LINHA]])</f>
        <v>45941+DANIEL PEREIRA DA ROCHA - 5298+FORTALEZA (CE) X SINOP (MT)</v>
      </c>
      <c r="G1262" s="1" t="str">
        <f>_xlfn.CONCAT(tabE.Flux[[#This Row],[DATA]],"+",tabE.Flux[[#This Row],[LINHA]])</f>
        <v>45941+FORTALEZA (CE) X SINOP (MT)</v>
      </c>
      <c r="H1262" s="125">
        <v>45941</v>
      </c>
      <c r="I1262" s="1" t="s">
        <v>15</v>
      </c>
      <c r="J1262" s="1">
        <v>19024</v>
      </c>
      <c r="K1262" s="126">
        <v>0.3888888888888889</v>
      </c>
      <c r="L1262" s="126">
        <v>0.37708333333333333</v>
      </c>
      <c r="M1262" s="1" t="s">
        <v>16</v>
      </c>
      <c r="N1262" s="1" t="s">
        <v>29</v>
      </c>
      <c r="O1262" s="1" t="s">
        <v>85</v>
      </c>
      <c r="P1262" s="1" t="s">
        <v>184</v>
      </c>
      <c r="Q1262" s="1" t="s">
        <v>32</v>
      </c>
    </row>
    <row r="1263" spans="3:17" x14ac:dyDescent="0.25">
      <c r="C1263" s="1" t="str">
        <f>_xlfn.CONCAT(tabE.Flux[[#This Row],[DATA]],"+",tabE.Flux[[#This Row],[MOTORISTA + MATRÍCULA A]])</f>
        <v>45941+CLAUDIOMAR ALENCAR DO NASCIMENTO - 2970</v>
      </c>
      <c r="D1263" s="1" t="str">
        <f>_xlfn.CONCAT(tabE.Flux[[#This Row],[DATA]],"+",tabE.Flux[[#This Row],[MOTORISTA + MATRÍCULA B]])</f>
        <v>45941+JERZUALDO DA SILVA GOMES - 4077</v>
      </c>
      <c r="E1263" s="1" t="str">
        <f>_xlfn.CONCAT(tabE.Flux[[#This Row],[DATA]],"+",tabE.Flux[[#This Row],[MOTORISTA + MATRÍCULA A]],"+",tabE.Flux[[#This Row],[LINHA]])</f>
        <v>45941+CLAUDIOMAR ALENCAR DO NASCIMENTO - 2970+GOIANIA (GO) X BELEM (PA)</v>
      </c>
      <c r="F1263" s="1" t="str">
        <f>_xlfn.CONCAT(tabE.Flux[[#This Row],[DATA]],"+",tabE.Flux[[#This Row],[MOTORISTA + MATRÍCULA B]],"+",tabE.Flux[[#This Row],[LINHA]])</f>
        <v>45941+JERZUALDO DA SILVA GOMES - 4077+GOIANIA (GO) X BELEM (PA)</v>
      </c>
      <c r="G1263" s="1" t="str">
        <f>_xlfn.CONCAT(tabE.Flux[[#This Row],[DATA]],"+",tabE.Flux[[#This Row],[LINHA]])</f>
        <v>45941+GOIANIA (GO) X BELEM (PA)</v>
      </c>
      <c r="H1263" s="125">
        <v>45941</v>
      </c>
      <c r="I1263" s="1" t="s">
        <v>15</v>
      </c>
      <c r="J1263" s="1">
        <v>19012</v>
      </c>
      <c r="K1263" s="126">
        <v>0.38958333333333334</v>
      </c>
      <c r="L1263" s="126">
        <v>0.38541666666666669</v>
      </c>
      <c r="M1263" s="1" t="s">
        <v>16</v>
      </c>
      <c r="N1263" s="1" t="s">
        <v>33</v>
      </c>
      <c r="O1263" s="1" t="s">
        <v>211</v>
      </c>
      <c r="P1263" s="1" t="s">
        <v>130</v>
      </c>
      <c r="Q1263" s="1" t="s">
        <v>20</v>
      </c>
    </row>
    <row r="1264" spans="3:17" x14ac:dyDescent="0.25">
      <c r="C1264" s="1" t="str">
        <f>_xlfn.CONCAT(tabE.Flux[[#This Row],[DATA]],"+",tabE.Flux[[#This Row],[MOTORISTA + MATRÍCULA A]])</f>
        <v>45941+JWEBISON DE BRITO SOUZA - 2999</v>
      </c>
      <c r="D1264" s="1" t="str">
        <f>_xlfn.CONCAT(tabE.Flux[[#This Row],[DATA]],"+",tabE.Flux[[#This Row],[MOTORISTA + MATRÍCULA B]])</f>
        <v>45941+ANTONIO LEONESIO CAMPELO DA SILVA - 5303</v>
      </c>
      <c r="E1264" s="1" t="str">
        <f>_xlfn.CONCAT(tabE.Flux[[#This Row],[DATA]],"+",tabE.Flux[[#This Row],[MOTORISTA + MATRÍCULA A]],"+",tabE.Flux[[#This Row],[LINHA]])</f>
        <v>45941+JWEBISON DE BRITO SOUZA - 2999+GOIANIA (GO) X TERESINA (PI) VIA BC</v>
      </c>
      <c r="F1264" s="1" t="str">
        <f>_xlfn.CONCAT(tabE.Flux[[#This Row],[DATA]],"+",tabE.Flux[[#This Row],[MOTORISTA + MATRÍCULA B]],"+",tabE.Flux[[#This Row],[LINHA]])</f>
        <v>45941+ANTONIO LEONESIO CAMPELO DA SILVA - 5303+GOIANIA (GO) X TERESINA (PI) VIA BC</v>
      </c>
      <c r="G1264" s="1" t="str">
        <f>_xlfn.CONCAT(tabE.Flux[[#This Row],[DATA]],"+",tabE.Flux[[#This Row],[LINHA]])</f>
        <v>45941+GOIANIA (GO) X TERESINA (PI) VIA BC</v>
      </c>
      <c r="H1264" s="125">
        <v>45941</v>
      </c>
      <c r="I1264" s="1" t="s">
        <v>15</v>
      </c>
      <c r="J1264" s="1">
        <v>25005</v>
      </c>
      <c r="K1264" s="126">
        <v>0.375</v>
      </c>
      <c r="L1264" s="126">
        <v>0.39930555555555558</v>
      </c>
      <c r="M1264" s="1" t="s">
        <v>36</v>
      </c>
      <c r="N1264" s="1" t="s">
        <v>29</v>
      </c>
      <c r="O1264" s="1" t="s">
        <v>77</v>
      </c>
      <c r="P1264" s="1" t="s">
        <v>111</v>
      </c>
      <c r="Q1264" s="1" t="s">
        <v>39</v>
      </c>
    </row>
    <row r="1265" spans="3:17" x14ac:dyDescent="0.25">
      <c r="C1265" s="1" t="str">
        <f>_xlfn.CONCAT(tabE.Flux[[#This Row],[DATA]],"+",tabE.Flux[[#This Row],[MOTORISTA + MATRÍCULA A]])</f>
        <v>45941+JARDEL DE SOUSA OLIVEIRA - 5992</v>
      </c>
      <c r="D1265" s="1" t="str">
        <f>_xlfn.CONCAT(tabE.Flux[[#This Row],[DATA]],"+",tabE.Flux[[#This Row],[MOTORISTA + MATRÍCULA B]])</f>
        <v>45941+JAKTAN DE OLIVEIRA RODRIGUES - 5836</v>
      </c>
      <c r="E1265" s="1" t="str">
        <f>_xlfn.CONCAT(tabE.Flux[[#This Row],[DATA]],"+",tabE.Flux[[#This Row],[MOTORISTA + MATRÍCULA A]],"+",tabE.Flux[[#This Row],[LINHA]])</f>
        <v>45941+JARDEL DE SOUSA OLIVEIRA - 5992+GOIANIA (GO) X BELEM (PA)</v>
      </c>
      <c r="F1265" s="1" t="str">
        <f>_xlfn.CONCAT(tabE.Flux[[#This Row],[DATA]],"+",tabE.Flux[[#This Row],[MOTORISTA + MATRÍCULA B]],"+",tabE.Flux[[#This Row],[LINHA]])</f>
        <v>45941+JAKTAN DE OLIVEIRA RODRIGUES - 5836+GOIANIA (GO) X BELEM (PA)</v>
      </c>
      <c r="G1265" s="1" t="str">
        <f>_xlfn.CONCAT(tabE.Flux[[#This Row],[DATA]],"+",tabE.Flux[[#This Row],[LINHA]])</f>
        <v>45941+GOIANIA (GO) X BELEM (PA)</v>
      </c>
      <c r="H1265" s="125">
        <v>45941</v>
      </c>
      <c r="I1265" s="1" t="s">
        <v>15</v>
      </c>
      <c r="J1265" s="1">
        <v>19014</v>
      </c>
      <c r="K1265" s="126">
        <v>0.375</v>
      </c>
      <c r="L1265" s="126">
        <v>0.41666666666666669</v>
      </c>
      <c r="M1265" s="1" t="s">
        <v>33</v>
      </c>
      <c r="N1265" s="1" t="s">
        <v>16</v>
      </c>
      <c r="O1265" s="1" t="s">
        <v>150</v>
      </c>
      <c r="P1265" s="1" t="s">
        <v>59</v>
      </c>
      <c r="Q1265" s="1" t="s">
        <v>20</v>
      </c>
    </row>
    <row r="1266" spans="3:17" x14ac:dyDescent="0.25">
      <c r="C1266" s="1" t="str">
        <f>_xlfn.CONCAT(tabE.Flux[[#This Row],[DATA]],"+",tabE.Flux[[#This Row],[MOTORISTA + MATRÍCULA A]])</f>
        <v>45941+ALTEMAR DO NASCIMENTO LIMA - 6225</v>
      </c>
      <c r="D1266" s="1" t="str">
        <f>_xlfn.CONCAT(tabE.Flux[[#This Row],[DATA]],"+",tabE.Flux[[#This Row],[MOTORISTA + MATRÍCULA B]])</f>
        <v>45941+GILVAN DE SOUSA FRANCA - 5834</v>
      </c>
      <c r="E1266" s="1" t="str">
        <f>_xlfn.CONCAT(tabE.Flux[[#This Row],[DATA]],"+",tabE.Flux[[#This Row],[MOTORISTA + MATRÍCULA A]],"+",tabE.Flux[[#This Row],[LINHA]])</f>
        <v>45941+ALTEMAR DO NASCIMENTO LIMA - 6225+GOIANIA (GO) X SAO LUIS (MA)</v>
      </c>
      <c r="F1266" s="1" t="str">
        <f>_xlfn.CONCAT(tabE.Flux[[#This Row],[DATA]],"+",tabE.Flux[[#This Row],[MOTORISTA + MATRÍCULA B]],"+",tabE.Flux[[#This Row],[LINHA]])</f>
        <v>45941+GILVAN DE SOUSA FRANCA - 5834+GOIANIA (GO) X SAO LUIS (MA)</v>
      </c>
      <c r="G1266" s="1" t="str">
        <f>_xlfn.CONCAT(tabE.Flux[[#This Row],[DATA]],"+",tabE.Flux[[#This Row],[LINHA]])</f>
        <v>45941+GOIANIA (GO) X SAO LUIS (MA)</v>
      </c>
      <c r="H1266" s="125">
        <v>45941</v>
      </c>
      <c r="I1266" s="1" t="s">
        <v>15</v>
      </c>
      <c r="J1266" s="1">
        <v>19006</v>
      </c>
      <c r="K1266" s="126">
        <v>0.25</v>
      </c>
      <c r="L1266" s="126">
        <v>0.29166666666666669</v>
      </c>
      <c r="M1266" s="1" t="s">
        <v>42</v>
      </c>
      <c r="N1266" s="1" t="s">
        <v>16</v>
      </c>
      <c r="O1266" s="1" t="s">
        <v>57</v>
      </c>
      <c r="P1266" s="1" t="s">
        <v>35</v>
      </c>
      <c r="Q1266" s="1" t="s">
        <v>23</v>
      </c>
    </row>
    <row r="1267" spans="3:17" x14ac:dyDescent="0.25">
      <c r="C1267" s="1" t="str">
        <f>_xlfn.CONCAT(tabE.Flux[[#This Row],[DATA]],"+",tabE.Flux[[#This Row],[MOTORISTA + MATRÍCULA A]])</f>
        <v>45941+RAIMUNDO COSTA SILVA - 6226</v>
      </c>
      <c r="D1267" s="1" t="str">
        <f>_xlfn.CONCAT(tabE.Flux[[#This Row],[DATA]],"+",tabE.Flux[[#This Row],[MOTORISTA + MATRÍCULA B]])</f>
        <v>45941+EDUARDO SANTOS BEZERRA - 4066</v>
      </c>
      <c r="E1267" s="1" t="str">
        <f>_xlfn.CONCAT(tabE.Flux[[#This Row],[DATA]],"+",tabE.Flux[[#This Row],[MOTORISTA + MATRÍCULA A]],"+",tabE.Flux[[#This Row],[LINHA]])</f>
        <v>45941+RAIMUNDO COSTA SILVA - 6226+GOIANIA (GO) X SAO LUIS (MA)</v>
      </c>
      <c r="F1267" s="1" t="str">
        <f>_xlfn.CONCAT(tabE.Flux[[#This Row],[DATA]],"+",tabE.Flux[[#This Row],[MOTORISTA + MATRÍCULA B]],"+",tabE.Flux[[#This Row],[LINHA]])</f>
        <v>45941+EDUARDO SANTOS BEZERRA - 4066+GOIANIA (GO) X SAO LUIS (MA)</v>
      </c>
      <c r="G1267" s="1" t="str">
        <f>_xlfn.CONCAT(tabE.Flux[[#This Row],[DATA]],"+",tabE.Flux[[#This Row],[LINHA]])</f>
        <v>45941+GOIANIA (GO) X SAO LUIS (MA)</v>
      </c>
      <c r="H1267" s="125">
        <v>45941</v>
      </c>
      <c r="I1267" s="1" t="s">
        <v>15</v>
      </c>
      <c r="J1267" s="1">
        <v>24003</v>
      </c>
      <c r="K1267" s="126">
        <v>0.75</v>
      </c>
      <c r="L1267" s="126">
        <v>0.79166666666666663</v>
      </c>
      <c r="M1267" s="1" t="s">
        <v>42</v>
      </c>
      <c r="N1267" s="1" t="s">
        <v>16</v>
      </c>
      <c r="O1267" s="1" t="s">
        <v>45</v>
      </c>
      <c r="P1267" s="1" t="s">
        <v>148</v>
      </c>
      <c r="Q1267" s="1" t="s">
        <v>23</v>
      </c>
    </row>
    <row r="1268" spans="3:17" x14ac:dyDescent="0.25">
      <c r="C1268" s="1" t="str">
        <f>_xlfn.CONCAT(tabE.Flux[[#This Row],[DATA]],"+",tabE.Flux[[#This Row],[MOTORISTA + MATRÍCULA A]])</f>
        <v>45941+CANCELADO</v>
      </c>
      <c r="D1268" s="1" t="str">
        <f>_xlfn.CONCAT(tabE.Flux[[#This Row],[DATA]],"+",tabE.Flux[[#This Row],[MOTORISTA + MATRÍCULA B]])</f>
        <v>45941+CANCELADO</v>
      </c>
      <c r="E1268" s="1" t="str">
        <f>_xlfn.CONCAT(tabE.Flux[[#This Row],[DATA]],"+",tabE.Flux[[#This Row],[MOTORISTA + MATRÍCULA A]],"+",tabE.Flux[[#This Row],[LINHA]])</f>
        <v>45941+CANCELADO+IMPERATRIZ (MA) X SÃO LUIS (MA)</v>
      </c>
      <c r="F1268" s="1" t="str">
        <f>_xlfn.CONCAT(tabE.Flux[[#This Row],[DATA]],"+",tabE.Flux[[#This Row],[MOTORISTA + MATRÍCULA B]],"+",tabE.Flux[[#This Row],[LINHA]])</f>
        <v>45941+CANCELADO+IMPERATRIZ (MA) X SÃO LUIS (MA)</v>
      </c>
      <c r="G1268" s="1" t="str">
        <f>_xlfn.CONCAT(tabE.Flux[[#This Row],[DATA]],"+",tabE.Flux[[#This Row],[LINHA]])</f>
        <v>45941+IMPERATRIZ (MA) X SÃO LUIS (MA)</v>
      </c>
      <c r="H1268" s="125">
        <v>45941</v>
      </c>
      <c r="I1268" s="1" t="s">
        <v>15</v>
      </c>
      <c r="J1268" s="1" t="s">
        <v>27</v>
      </c>
      <c r="K1268" s="126">
        <v>0.77083333333333337</v>
      </c>
      <c r="L1268" s="126">
        <v>0.79513888888888884</v>
      </c>
      <c r="M1268" s="1" t="s">
        <v>42</v>
      </c>
      <c r="N1268" s="1" t="s">
        <v>16</v>
      </c>
      <c r="O1268" s="1" t="s">
        <v>27</v>
      </c>
      <c r="P1268" s="1" t="s">
        <v>27</v>
      </c>
      <c r="Q1268" s="1" t="s">
        <v>47</v>
      </c>
    </row>
    <row r="1269" spans="3:17" x14ac:dyDescent="0.25">
      <c r="C1269" s="1" t="str">
        <f>_xlfn.CONCAT(tabE.Flux[[#This Row],[DATA]],"+",tabE.Flux[[#This Row],[MOTORISTA + MATRÍCULA A]])</f>
        <v>45941+ANTONIO DIAS DE OLIVEIRA - 5309</v>
      </c>
      <c r="D1269" s="1" t="str">
        <f>_xlfn.CONCAT(tabE.Flux[[#This Row],[DATA]],"+",tabE.Flux[[#This Row],[MOTORISTA + MATRÍCULA B]])</f>
        <v>45941+ISMAEL ANTERO FARIAS - 6230</v>
      </c>
      <c r="E1269" s="1" t="str">
        <f>_xlfn.CONCAT(tabE.Flux[[#This Row],[DATA]],"+",tabE.Flux[[#This Row],[MOTORISTA + MATRÍCULA A]],"+",tabE.Flux[[#This Row],[LINHA]])</f>
        <v>45941+ANTONIO DIAS DE OLIVEIRA - 5309+GOIANIA (GO) X TERESINA (PI) VIA BC</v>
      </c>
      <c r="F1269" s="1" t="str">
        <f>_xlfn.CONCAT(tabE.Flux[[#This Row],[DATA]],"+",tabE.Flux[[#This Row],[MOTORISTA + MATRÍCULA B]],"+",tabE.Flux[[#This Row],[LINHA]])</f>
        <v>45941+ISMAEL ANTERO FARIAS - 6230+GOIANIA (GO) X TERESINA (PI) VIA BC</v>
      </c>
      <c r="G1269" s="1" t="str">
        <f>_xlfn.CONCAT(tabE.Flux[[#This Row],[DATA]],"+",tabE.Flux[[#This Row],[LINHA]])</f>
        <v>45941+GOIANIA (GO) X TERESINA (PI) VIA BC</v>
      </c>
      <c r="H1269" s="125">
        <v>45941</v>
      </c>
      <c r="I1269" s="1" t="s">
        <v>15</v>
      </c>
      <c r="J1269" s="1">
        <v>25011</v>
      </c>
      <c r="K1269" s="126">
        <v>0.89583333333333337</v>
      </c>
      <c r="L1269" s="126">
        <v>0.91666666666666663</v>
      </c>
      <c r="M1269" s="1" t="s">
        <v>36</v>
      </c>
      <c r="N1269" s="1" t="s">
        <v>17</v>
      </c>
      <c r="O1269" s="1" t="s">
        <v>172</v>
      </c>
      <c r="P1269" s="1" t="s">
        <v>205</v>
      </c>
      <c r="Q1269" s="1" t="s">
        <v>39</v>
      </c>
    </row>
    <row r="1270" spans="3:17" x14ac:dyDescent="0.25">
      <c r="C1270" s="1" t="str">
        <f>_xlfn.CONCAT(tabE.Flux[[#This Row],[DATA]],"+",tabE.Flux[[#This Row],[MOTORISTA + MATRÍCULA A]])</f>
        <v>45941+JOSE HAILTON PEREIRA DOS SANTOS - 6018</v>
      </c>
      <c r="D1270" s="1" t="str">
        <f>_xlfn.CONCAT(tabE.Flux[[#This Row],[DATA]],"+",tabE.Flux[[#This Row],[MOTORISTA + MATRÍCULA B]])</f>
        <v>45941+ADEMILTON DE OLIVEIRA SILVA - 5559</v>
      </c>
      <c r="E1270" s="1" t="str">
        <f>_xlfn.CONCAT(tabE.Flux[[#This Row],[DATA]],"+",tabE.Flux[[#This Row],[MOTORISTA + MATRÍCULA A]],"+",tabE.Flux[[#This Row],[LINHA]])</f>
        <v>45941+JOSE HAILTON PEREIRA DOS SANTOS - 6018+GOIANIA (GO) X BELEM (PA)</v>
      </c>
      <c r="F1270" s="1" t="str">
        <f>_xlfn.CONCAT(tabE.Flux[[#This Row],[DATA]],"+",tabE.Flux[[#This Row],[MOTORISTA + MATRÍCULA B]],"+",tabE.Flux[[#This Row],[LINHA]])</f>
        <v>45941+ADEMILTON DE OLIVEIRA SILVA - 5559+GOIANIA (GO) X BELEM (PA)</v>
      </c>
      <c r="G1270" s="1" t="str">
        <f>_xlfn.CONCAT(tabE.Flux[[#This Row],[DATA]],"+",tabE.Flux[[#This Row],[LINHA]])</f>
        <v>45941+GOIANIA (GO) X BELEM (PA)</v>
      </c>
      <c r="H1270" s="125">
        <v>45941</v>
      </c>
      <c r="I1270" s="1" t="s">
        <v>15</v>
      </c>
      <c r="J1270" s="1">
        <v>24001</v>
      </c>
      <c r="K1270" s="126">
        <v>0.76041666666666663</v>
      </c>
      <c r="L1270" s="126">
        <v>0.77083333333333337</v>
      </c>
      <c r="M1270" s="1" t="s">
        <v>33</v>
      </c>
      <c r="N1270" s="1" t="s">
        <v>16</v>
      </c>
      <c r="O1270" s="1" t="s">
        <v>141</v>
      </c>
      <c r="P1270" s="1" t="s">
        <v>40</v>
      </c>
      <c r="Q1270" s="1" t="s">
        <v>20</v>
      </c>
    </row>
    <row r="1271" spans="3:17" x14ac:dyDescent="0.25">
      <c r="C1271" s="1" t="str">
        <f>_xlfn.CONCAT(tabE.Flux[[#This Row],[DATA]],"+",tabE.Flux[[#This Row],[MOTORISTA + MATRÍCULA A]])</f>
        <v>45941+ANTONIO JOSE PEREIRA SOARES - 1774</v>
      </c>
      <c r="D1271" s="1" t="str">
        <f>_xlfn.CONCAT(tabE.Flux[[#This Row],[DATA]],"+",tabE.Flux[[#This Row],[MOTORISTA + MATRÍCULA B]])</f>
        <v>45941+RAIMUNDO GUIMARAES ARAUJO - 1920</v>
      </c>
      <c r="E1271" s="1" t="str">
        <f>_xlfn.CONCAT(tabE.Flux[[#This Row],[DATA]],"+",tabE.Flux[[#This Row],[MOTORISTA + MATRÍCULA A]],"+",tabE.Flux[[#This Row],[LINHA]])</f>
        <v>45941+ANTONIO JOSE PEREIRA SOARES - 1774+GOIANIA (GO) X BELEM (PA)</v>
      </c>
      <c r="F1271" s="1" t="str">
        <f>_xlfn.CONCAT(tabE.Flux[[#This Row],[DATA]],"+",tabE.Flux[[#This Row],[MOTORISTA + MATRÍCULA B]],"+",tabE.Flux[[#This Row],[LINHA]])</f>
        <v>45941+RAIMUNDO GUIMARAES ARAUJO - 1920+GOIANIA (GO) X BELEM (PA)</v>
      </c>
      <c r="G1271" s="1" t="str">
        <f>_xlfn.CONCAT(tabE.Flux[[#This Row],[DATA]],"+",tabE.Flux[[#This Row],[LINHA]])</f>
        <v>45941+GOIANIA (GO) X BELEM (PA)</v>
      </c>
      <c r="H1271" s="125">
        <v>45941</v>
      </c>
      <c r="I1271" s="1" t="s">
        <v>15</v>
      </c>
      <c r="J1271" s="1">
        <v>24005</v>
      </c>
      <c r="K1271" s="126">
        <v>0.76041666666666663</v>
      </c>
      <c r="L1271" s="126">
        <v>0.82777777777777772</v>
      </c>
      <c r="M1271" s="1" t="s">
        <v>16</v>
      </c>
      <c r="N1271" s="1" t="s">
        <v>33</v>
      </c>
      <c r="O1271" s="1" t="s">
        <v>52</v>
      </c>
      <c r="P1271" s="1" t="s">
        <v>231</v>
      </c>
      <c r="Q1271" s="1" t="s">
        <v>20</v>
      </c>
    </row>
    <row r="1272" spans="3:17" x14ac:dyDescent="0.25">
      <c r="C1272" s="1" t="str">
        <f>_xlfn.CONCAT(tabE.Flux[[#This Row],[DATA]],"+",tabE.Flux[[#This Row],[MOTORISTA + MATRÍCULA A]])</f>
        <v>45941+FRANCISCO BATISTA DE LIMA - 1827</v>
      </c>
      <c r="D1272" s="1" t="str">
        <f>_xlfn.CONCAT(tabE.Flux[[#This Row],[DATA]],"+",tabE.Flux[[#This Row],[MOTORISTA + MATRÍCULA B]])</f>
        <v>45941+PAULO ENEAS FARIAS ARAUJO - 6218</v>
      </c>
      <c r="E1272" s="1" t="str">
        <f>_xlfn.CONCAT(tabE.Flux[[#This Row],[DATA]],"+",tabE.Flux[[#This Row],[MOTORISTA + MATRÍCULA A]],"+",tabE.Flux[[#This Row],[LINHA]])</f>
        <v>45941+FRANCISCO BATISTA DE LIMA - 1827+GOIANIA (GO) X SAO LUIS (MA)</v>
      </c>
      <c r="F1272" s="1" t="str">
        <f>_xlfn.CONCAT(tabE.Flux[[#This Row],[DATA]],"+",tabE.Flux[[#This Row],[MOTORISTA + MATRÍCULA B]],"+",tabE.Flux[[#This Row],[LINHA]])</f>
        <v>45941+PAULO ENEAS FARIAS ARAUJO - 6218+GOIANIA (GO) X SAO LUIS (MA)</v>
      </c>
      <c r="G1272" s="1" t="str">
        <f>_xlfn.CONCAT(tabE.Flux[[#This Row],[DATA]],"+",tabE.Flux[[#This Row],[LINHA]])</f>
        <v>45941+GOIANIA (GO) X SAO LUIS (MA)</v>
      </c>
      <c r="H1272" s="125">
        <v>45941</v>
      </c>
      <c r="I1272" s="1" t="s">
        <v>15</v>
      </c>
      <c r="J1272" s="1">
        <v>19021</v>
      </c>
      <c r="K1272" s="126">
        <v>0.40763888888888888</v>
      </c>
      <c r="L1272" s="126">
        <v>0.47013888888888888</v>
      </c>
      <c r="M1272" s="1" t="s">
        <v>16</v>
      </c>
      <c r="N1272" s="1" t="s">
        <v>42</v>
      </c>
      <c r="O1272" s="1" t="s">
        <v>128</v>
      </c>
      <c r="P1272" s="1" t="s">
        <v>43</v>
      </c>
      <c r="Q1272" s="1" t="s">
        <v>23</v>
      </c>
    </row>
    <row r="1273" spans="3:17" x14ac:dyDescent="0.25">
      <c r="C1273" s="1" t="str">
        <f>_xlfn.CONCAT(tabE.Flux[[#This Row],[DATA]],"+",tabE.Flux[[#This Row],[MOTORISTA + MATRÍCULA A]])</f>
        <v>45941+CANCELADO</v>
      </c>
      <c r="D1273" s="1" t="str">
        <f>_xlfn.CONCAT(tabE.Flux[[#This Row],[DATA]],"+",tabE.Flux[[#This Row],[MOTORISTA + MATRÍCULA B]])</f>
        <v>45941+CANCELADO</v>
      </c>
      <c r="E1273" s="1" t="str">
        <f>_xlfn.CONCAT(tabE.Flux[[#This Row],[DATA]],"+",tabE.Flux[[#This Row],[MOTORISTA + MATRÍCULA A]],"+",tabE.Flux[[#This Row],[LINHA]])</f>
        <v>45941+CANCELADO+IMPERATRIZ (MA) X SÃO LUIS (MA)</v>
      </c>
      <c r="F1273" s="1" t="str">
        <f>_xlfn.CONCAT(tabE.Flux[[#This Row],[DATA]],"+",tabE.Flux[[#This Row],[MOTORISTA + MATRÍCULA B]],"+",tabE.Flux[[#This Row],[LINHA]])</f>
        <v>45941+CANCELADO+IMPERATRIZ (MA) X SÃO LUIS (MA)</v>
      </c>
      <c r="G1273" s="1" t="str">
        <f>_xlfn.CONCAT(tabE.Flux[[#This Row],[DATA]],"+",tabE.Flux[[#This Row],[LINHA]])</f>
        <v>45941+IMPERATRIZ (MA) X SÃO LUIS (MA)</v>
      </c>
      <c r="H1273" s="125">
        <v>45941</v>
      </c>
      <c r="I1273" s="1" t="s">
        <v>15</v>
      </c>
      <c r="J1273" s="1" t="s">
        <v>27</v>
      </c>
      <c r="K1273" s="126">
        <v>0.77083333333333337</v>
      </c>
      <c r="L1273" s="126">
        <v>0.8125</v>
      </c>
      <c r="M1273" s="1" t="s">
        <v>16</v>
      </c>
      <c r="N1273" s="1" t="s">
        <v>42</v>
      </c>
      <c r="O1273" s="1" t="s">
        <v>27</v>
      </c>
      <c r="P1273" s="1" t="s">
        <v>27</v>
      </c>
      <c r="Q1273" s="1" t="s">
        <v>47</v>
      </c>
    </row>
    <row r="1274" spans="3:17" x14ac:dyDescent="0.25">
      <c r="C1274" s="1" t="str">
        <f>_xlfn.CONCAT(tabE.Flux[[#This Row],[DATA]],"+",tabE.Flux[[#This Row],[MOTORISTA + MATRÍCULA A]])</f>
        <v>45941+REINAN JOSE BORGES SOUSA - 1075</v>
      </c>
      <c r="D1274" s="1" t="str">
        <f>_xlfn.CONCAT(tabE.Flux[[#This Row],[DATA]],"+",tabE.Flux[[#This Row],[MOTORISTA + MATRÍCULA B]])</f>
        <v>45941+ALTEMAR DO NASCIMENTO LIMA - 6225</v>
      </c>
      <c r="E1274" s="1" t="str">
        <f>_xlfn.CONCAT(tabE.Flux[[#This Row],[DATA]],"+",tabE.Flux[[#This Row],[MOTORISTA + MATRÍCULA A]],"+",tabE.Flux[[#This Row],[LINHA]])</f>
        <v>45941+REINAN JOSE BORGES SOUSA - 1075+GOIANIA (GO) X SAO LUIS (MA)</v>
      </c>
      <c r="F1274" s="1" t="str">
        <f>_xlfn.CONCAT(tabE.Flux[[#This Row],[DATA]],"+",tabE.Flux[[#This Row],[MOTORISTA + MATRÍCULA B]],"+",tabE.Flux[[#This Row],[LINHA]])</f>
        <v>45941+ALTEMAR DO NASCIMENTO LIMA - 6225+GOIANIA (GO) X SAO LUIS (MA)</v>
      </c>
      <c r="G1274" s="1" t="str">
        <f>_xlfn.CONCAT(tabE.Flux[[#This Row],[DATA]],"+",tabE.Flux[[#This Row],[LINHA]])</f>
        <v>45941+GOIANIA (GO) X SAO LUIS (MA)</v>
      </c>
      <c r="H1274" s="125">
        <v>45941</v>
      </c>
      <c r="I1274" s="1" t="s">
        <v>15</v>
      </c>
      <c r="J1274" s="1">
        <v>24012</v>
      </c>
      <c r="K1274" s="126">
        <v>0.8125</v>
      </c>
      <c r="L1274" s="126">
        <v>0.84375</v>
      </c>
      <c r="M1274" s="1" t="s">
        <v>16</v>
      </c>
      <c r="N1274" s="1" t="s">
        <v>42</v>
      </c>
      <c r="O1274" s="1" t="s">
        <v>84</v>
      </c>
      <c r="P1274" s="1" t="s">
        <v>57</v>
      </c>
      <c r="Q1274" s="1" t="s">
        <v>23</v>
      </c>
    </row>
    <row r="1275" spans="3:17" x14ac:dyDescent="0.25">
      <c r="C1275" s="1" t="str">
        <f>_xlfn.CONCAT(tabE.Flux[[#This Row],[DATA]],"+",tabE.Flux[[#This Row],[MOTORISTA + MATRÍCULA A]])</f>
        <v>45941+JAME DOS SANTOS MOURA - 5332</v>
      </c>
      <c r="D1275" s="1" t="str">
        <f>_xlfn.CONCAT(tabE.Flux[[#This Row],[DATA]],"+",tabE.Flux[[#This Row],[MOTORISTA + MATRÍCULA B]])</f>
        <v>45941+PEDRO PAULO DO NASCIMENTO DO CARMO - 2559</v>
      </c>
      <c r="E1275" s="1" t="str">
        <f>_xlfn.CONCAT(tabE.Flux[[#This Row],[DATA]],"+",tabE.Flux[[#This Row],[MOTORISTA + MATRÍCULA A]],"+",tabE.Flux[[#This Row],[LINHA]])</f>
        <v>45941+JAME DOS SANTOS MOURA - 5332+GOIANIA (GO) X TERESINA (PI) VIA STI</v>
      </c>
      <c r="F1275" s="1" t="str">
        <f>_xlfn.CONCAT(tabE.Flux[[#This Row],[DATA]],"+",tabE.Flux[[#This Row],[MOTORISTA + MATRÍCULA B]],"+",tabE.Flux[[#This Row],[LINHA]])</f>
        <v>45941+PEDRO PAULO DO NASCIMENTO DO CARMO - 2559+GOIANIA (GO) X TERESINA (PI) VIA STI</v>
      </c>
      <c r="G1275" s="1" t="str">
        <f>_xlfn.CONCAT(tabE.Flux[[#This Row],[DATA]],"+",tabE.Flux[[#This Row],[LINHA]])</f>
        <v>45941+GOIANIA (GO) X TERESINA (PI) VIA STI</v>
      </c>
      <c r="H1275" s="125">
        <v>45941</v>
      </c>
      <c r="I1275" s="1" t="s">
        <v>15</v>
      </c>
      <c r="J1275" s="1">
        <v>19018</v>
      </c>
      <c r="K1275" s="126">
        <v>0.77083333333333337</v>
      </c>
      <c r="L1275" s="126">
        <v>0.79861111111111116</v>
      </c>
      <c r="M1275" s="1" t="s">
        <v>16</v>
      </c>
      <c r="N1275" s="1" t="s">
        <v>29</v>
      </c>
      <c r="O1275" s="1" t="s">
        <v>103</v>
      </c>
      <c r="P1275" s="1" t="s">
        <v>175</v>
      </c>
      <c r="Q1275" s="1" t="s">
        <v>26</v>
      </c>
    </row>
    <row r="1276" spans="3:17" x14ac:dyDescent="0.25">
      <c r="C1276" s="1" t="str">
        <f>_xlfn.CONCAT(tabE.Flux[[#This Row],[DATA]],"+",tabE.Flux[[#This Row],[MOTORISTA + MATRÍCULA A]])</f>
        <v>45941+JOSE ANTONIO INACIO VIEIRA - 5279</v>
      </c>
      <c r="D1276" s="1" t="str">
        <f>_xlfn.CONCAT(tabE.Flux[[#This Row],[DATA]],"+",tabE.Flux[[#This Row],[MOTORISTA + MATRÍCULA B]])</f>
        <v>45941+EMIVAL GOMES DE MELO - 5673</v>
      </c>
      <c r="E1276" s="1" t="str">
        <f>_xlfn.CONCAT(tabE.Flux[[#This Row],[DATA]],"+",tabE.Flux[[#This Row],[MOTORISTA + MATRÍCULA A]],"+",tabE.Flux[[#This Row],[LINHA]])</f>
        <v>45941+JOSE ANTONIO INACIO VIEIRA - 5279+GOIANIA (GO) X SAO LUIS (MA)</v>
      </c>
      <c r="F1276" s="1" t="str">
        <f>_xlfn.CONCAT(tabE.Flux[[#This Row],[DATA]],"+",tabE.Flux[[#This Row],[MOTORISTA + MATRÍCULA B]],"+",tabE.Flux[[#This Row],[LINHA]])</f>
        <v>45941+EMIVAL GOMES DE MELO - 5673+GOIANIA (GO) X SAO LUIS (MA)</v>
      </c>
      <c r="G1276" s="1" t="str">
        <f>_xlfn.CONCAT(tabE.Flux[[#This Row],[DATA]],"+",tabE.Flux[[#This Row],[LINHA]])</f>
        <v>45941+GOIANIA (GO) X SAO LUIS (MA)</v>
      </c>
      <c r="H1276" s="125">
        <v>45941</v>
      </c>
      <c r="I1276" s="1" t="s">
        <v>15</v>
      </c>
      <c r="J1276" s="1">
        <v>19006</v>
      </c>
      <c r="K1276" s="126">
        <v>0.8125</v>
      </c>
      <c r="L1276" s="126">
        <v>0.84166666666666667</v>
      </c>
      <c r="M1276" s="1" t="s">
        <v>16</v>
      </c>
      <c r="N1276" s="1" t="s">
        <v>17</v>
      </c>
      <c r="O1276" s="1" t="s">
        <v>126</v>
      </c>
      <c r="P1276" s="1" t="s">
        <v>145</v>
      </c>
      <c r="Q1276" s="1" t="s">
        <v>23</v>
      </c>
    </row>
    <row r="1277" spans="3:17" x14ac:dyDescent="0.25">
      <c r="C1277" s="1" t="str">
        <f>_xlfn.CONCAT(tabE.Flux[[#This Row],[DATA]],"+",tabE.Flux[[#This Row],[MOTORISTA + MATRÍCULA A]])</f>
        <v>45941+RICARDO VIEIRA GERVASIO - 5297</v>
      </c>
      <c r="D1277" s="1" t="str">
        <f>_xlfn.CONCAT(tabE.Flux[[#This Row],[DATA]],"+",tabE.Flux[[#This Row],[MOTORISTA + MATRÍCULA B]])</f>
        <v>45941+JOSE ATAZ QUINTINO - 6048</v>
      </c>
      <c r="E1277" s="1" t="str">
        <f>_xlfn.CONCAT(tabE.Flux[[#This Row],[DATA]],"+",tabE.Flux[[#This Row],[MOTORISTA + MATRÍCULA A]],"+",tabE.Flux[[#This Row],[LINHA]])</f>
        <v>45941+RICARDO VIEIRA GERVASIO - 5297+FORTALEZA (CE) X SINOP (MT)</v>
      </c>
      <c r="F1277" s="1" t="str">
        <f>_xlfn.CONCAT(tabE.Flux[[#This Row],[DATA]],"+",tabE.Flux[[#This Row],[MOTORISTA + MATRÍCULA B]],"+",tabE.Flux[[#This Row],[LINHA]])</f>
        <v>45941+JOSE ATAZ QUINTINO - 6048+FORTALEZA (CE) X SINOP (MT)</v>
      </c>
      <c r="G1277" s="1" t="str">
        <f>_xlfn.CONCAT(tabE.Flux[[#This Row],[DATA]],"+",tabE.Flux[[#This Row],[LINHA]])</f>
        <v>45941+FORTALEZA (CE) X SINOP (MT)</v>
      </c>
      <c r="H1277" s="125">
        <v>45941</v>
      </c>
      <c r="I1277" s="1" t="s">
        <v>15</v>
      </c>
      <c r="J1277" s="1">
        <v>19016</v>
      </c>
      <c r="K1277" s="126">
        <v>0.8125</v>
      </c>
      <c r="L1277" s="126">
        <v>0.85416666666666663</v>
      </c>
      <c r="M1277" s="1" t="s">
        <v>16</v>
      </c>
      <c r="N1277" s="1" t="s">
        <v>17</v>
      </c>
      <c r="O1277" s="1" t="s">
        <v>203</v>
      </c>
      <c r="P1277" s="1" t="s">
        <v>202</v>
      </c>
      <c r="Q1277" s="1" t="s">
        <v>32</v>
      </c>
    </row>
    <row r="1278" spans="3:17" x14ac:dyDescent="0.25">
      <c r="C1278" s="1" t="str">
        <f>_xlfn.CONCAT(tabE.Flux[[#This Row],[DATA]],"+",tabE.Flux[[#This Row],[MOTORISTA + MATRÍCULA A]])</f>
        <v>45941+EDINANDES LUIZ DA SILVA - 2651</v>
      </c>
      <c r="D1278" s="1" t="str">
        <f>_xlfn.CONCAT(tabE.Flux[[#This Row],[DATA]],"+",tabE.Flux[[#This Row],[MOTORISTA + MATRÍCULA B]])</f>
        <v>45941+JEZANIAS GOIS DOS SANTOS - 5573</v>
      </c>
      <c r="E1278" s="1" t="str">
        <f>_xlfn.CONCAT(tabE.Flux[[#This Row],[DATA]],"+",tabE.Flux[[#This Row],[MOTORISTA + MATRÍCULA A]],"+",tabE.Flux[[#This Row],[LINHA]])</f>
        <v>45941+EDINANDES LUIZ DA SILVA - 2651+GOIANIA (GO) X BELEM (PA)</v>
      </c>
      <c r="F1278" s="1" t="str">
        <f>_xlfn.CONCAT(tabE.Flux[[#This Row],[DATA]],"+",tabE.Flux[[#This Row],[MOTORISTA + MATRÍCULA B]],"+",tabE.Flux[[#This Row],[LINHA]])</f>
        <v>45941+JEZANIAS GOIS DOS SANTOS - 5573+GOIANIA (GO) X BELEM (PA)</v>
      </c>
      <c r="G1278" s="1" t="str">
        <f>_xlfn.CONCAT(tabE.Flux[[#This Row],[DATA]],"+",tabE.Flux[[#This Row],[LINHA]])</f>
        <v>45941+GOIANIA (GO) X BELEM (PA)</v>
      </c>
      <c r="H1278" s="125">
        <v>45941</v>
      </c>
      <c r="I1278" s="1" t="s">
        <v>15</v>
      </c>
      <c r="J1278" s="1">
        <v>19014</v>
      </c>
      <c r="K1278" s="126">
        <v>0.84722222222222221</v>
      </c>
      <c r="L1278" s="126">
        <v>0.87847222222222221</v>
      </c>
      <c r="M1278" s="1" t="s">
        <v>16</v>
      </c>
      <c r="N1278" s="1" t="s">
        <v>17</v>
      </c>
      <c r="O1278" s="1" t="s">
        <v>195</v>
      </c>
      <c r="P1278" s="1" t="s">
        <v>196</v>
      </c>
      <c r="Q1278" s="1" t="s">
        <v>20</v>
      </c>
    </row>
    <row r="1279" spans="3:17" x14ac:dyDescent="0.25">
      <c r="C1279" s="1" t="str">
        <f>_xlfn.CONCAT(tabE.Flux[[#This Row],[DATA]],"+",tabE.Flux[[#This Row],[MOTORISTA + MATRÍCULA A]])</f>
        <v>+</v>
      </c>
      <c r="D1279" s="1" t="str">
        <f>_xlfn.CONCAT(tabE.Flux[[#This Row],[DATA]],"+",tabE.Flux[[#This Row],[MOTORISTA + MATRÍCULA B]])</f>
        <v>+</v>
      </c>
      <c r="E1279" s="1" t="str">
        <f>_xlfn.CONCAT(tabE.Flux[[#This Row],[DATA]],"+",tabE.Flux[[#This Row],[MOTORISTA + MATRÍCULA A]],"+",tabE.Flux[[#This Row],[LINHA]])</f>
        <v>++</v>
      </c>
      <c r="F1279" s="1" t="str">
        <f>_xlfn.CONCAT(tabE.Flux[[#This Row],[DATA]],"+",tabE.Flux[[#This Row],[MOTORISTA + MATRÍCULA B]],"+",tabE.Flux[[#This Row],[LINHA]])</f>
        <v>++</v>
      </c>
      <c r="G1279" s="1" t="str">
        <f>_xlfn.CONCAT(tabE.Flux[[#This Row],[DATA]],"+",tabE.Flux[[#This Row],[LINHA]])</f>
        <v>+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</row>
    <row r="1280" spans="3:17" x14ac:dyDescent="0.25">
      <c r="C1280" s="1" t="str">
        <f>_xlfn.CONCAT(tabE.Flux[[#This Row],[DATA]],"+",tabE.Flux[[#This Row],[MOTORISTA + MATRÍCULA A]])</f>
        <v>45942+  IVANILSON BARBOSA PEREIRA- 5434</v>
      </c>
      <c r="D1280" s="1" t="str">
        <f>_xlfn.CONCAT(tabE.Flux[[#This Row],[DATA]],"+",tabE.Flux[[#This Row],[MOTORISTA + MATRÍCULA B]])</f>
        <v>45942+JOSE EVANGELISTA DA SILVA - 5199</v>
      </c>
      <c r="E1280" s="1" t="str">
        <f>_xlfn.CONCAT(tabE.Flux[[#This Row],[DATA]],"+",tabE.Flux[[#This Row],[MOTORISTA + MATRÍCULA A]],"+",tabE.Flux[[#This Row],[LINHA]])</f>
        <v>45942+  IVANILSON BARBOSA PEREIRA- 5434+GOIANIA (GO) X BELEM (PA)</v>
      </c>
      <c r="F1280" s="1" t="str">
        <f>_xlfn.CONCAT(tabE.Flux[[#This Row],[DATA]],"+",tabE.Flux[[#This Row],[MOTORISTA + MATRÍCULA B]],"+",tabE.Flux[[#This Row],[LINHA]])</f>
        <v>45942+JOSE EVANGELISTA DA SILVA - 5199+GOIANIA (GO) X BELEM (PA)</v>
      </c>
      <c r="G1280" s="1" t="str">
        <f>_xlfn.CONCAT(tabE.Flux[[#This Row],[DATA]],"+",tabE.Flux[[#This Row],[LINHA]])</f>
        <v>45942+GOIANIA (GO) X BELEM (PA)</v>
      </c>
      <c r="H1280" s="125">
        <v>45942</v>
      </c>
      <c r="I1280" s="1" t="s">
        <v>15</v>
      </c>
      <c r="J1280" s="1">
        <v>24001</v>
      </c>
      <c r="K1280" s="126">
        <v>0.25486111111111109</v>
      </c>
      <c r="L1280" s="126">
        <v>0.3</v>
      </c>
      <c r="M1280" s="1" t="s">
        <v>16</v>
      </c>
      <c r="N1280" s="1" t="s">
        <v>17</v>
      </c>
      <c r="O1280" s="1" t="s">
        <v>152</v>
      </c>
      <c r="P1280" s="1" t="s">
        <v>151</v>
      </c>
      <c r="Q1280" s="1" t="s">
        <v>20</v>
      </c>
    </row>
    <row r="1281" spans="3:17" x14ac:dyDescent="0.25">
      <c r="C1281" s="1" t="str">
        <f>_xlfn.CONCAT(tabE.Flux[[#This Row],[DATA]],"+",tabE.Flux[[#This Row],[MOTORISTA + MATRÍCULA A]])</f>
        <v>45942+CLODOALDO PEREIRA DE LIMA - 4067</v>
      </c>
      <c r="D1281" s="1" t="str">
        <f>_xlfn.CONCAT(tabE.Flux[[#This Row],[DATA]],"+",tabE.Flux[[#This Row],[MOTORISTA + MATRÍCULA B]])</f>
        <v>45942+JOSE ALVES DE FREITAS NETO - 5027</v>
      </c>
      <c r="E1281" s="1" t="str">
        <f>_xlfn.CONCAT(tabE.Flux[[#This Row],[DATA]],"+",tabE.Flux[[#This Row],[MOTORISTA + MATRÍCULA A]],"+",tabE.Flux[[#This Row],[LINHA]])</f>
        <v>45942+CLODOALDO PEREIRA DE LIMA - 4067+GOIANIA (GO) X SAO LUIS (MA)</v>
      </c>
      <c r="F1281" s="1" t="str">
        <f>_xlfn.CONCAT(tabE.Flux[[#This Row],[DATA]],"+",tabE.Flux[[#This Row],[MOTORISTA + MATRÍCULA B]],"+",tabE.Flux[[#This Row],[LINHA]])</f>
        <v>45942+JOSE ALVES DE FREITAS NETO - 5027+GOIANIA (GO) X SAO LUIS (MA)</v>
      </c>
      <c r="G1281" s="1" t="str">
        <f>_xlfn.CONCAT(tabE.Flux[[#This Row],[DATA]],"+",tabE.Flux[[#This Row],[LINHA]])</f>
        <v>45942+GOIANIA (GO) X SAO LUIS (MA)</v>
      </c>
      <c r="H1281" s="125">
        <v>45942</v>
      </c>
      <c r="I1281" s="1" t="s">
        <v>15</v>
      </c>
      <c r="J1281" s="1">
        <v>24003</v>
      </c>
      <c r="K1281" s="126">
        <v>0.32291666666666669</v>
      </c>
      <c r="L1281" s="126">
        <v>0.33333333333333331</v>
      </c>
      <c r="M1281" s="1" t="s">
        <v>16</v>
      </c>
      <c r="N1281" s="1" t="s">
        <v>17</v>
      </c>
      <c r="O1281" s="1" t="s">
        <v>109</v>
      </c>
      <c r="P1281" s="1" t="s">
        <v>90</v>
      </c>
      <c r="Q1281" s="1" t="s">
        <v>23</v>
      </c>
    </row>
    <row r="1282" spans="3:17" x14ac:dyDescent="0.25">
      <c r="C1282" s="1" t="str">
        <f>_xlfn.CONCAT(tabE.Flux[[#This Row],[DATA]],"+",tabE.Flux[[#This Row],[MOTORISTA + MATRÍCULA A]])</f>
        <v>45942+ELISEU TORRES DE OLIVEIRA - 561</v>
      </c>
      <c r="D1282" s="1" t="str">
        <f>_xlfn.CONCAT(tabE.Flux[[#This Row],[DATA]],"+",tabE.Flux[[#This Row],[MOTORISTA + MATRÍCULA B]])</f>
        <v>45942+JULIO EDER NERES DA SILVA - 1767</v>
      </c>
      <c r="E1282" s="1" t="str">
        <f>_xlfn.CONCAT(tabE.Flux[[#This Row],[DATA]],"+",tabE.Flux[[#This Row],[MOTORISTA + MATRÍCULA A]],"+",tabE.Flux[[#This Row],[LINHA]])</f>
        <v>45942+ELISEU TORRES DE OLIVEIRA - 561+GOIANIA (GO) X TERESINA (PI) VIA STI</v>
      </c>
      <c r="F1282" s="1" t="str">
        <f>_xlfn.CONCAT(tabE.Flux[[#This Row],[DATA]],"+",tabE.Flux[[#This Row],[MOTORISTA + MATRÍCULA B]],"+",tabE.Flux[[#This Row],[LINHA]])</f>
        <v>45942+JULIO EDER NERES DA SILVA - 1767+GOIANIA (GO) X TERESINA (PI) VIA STI</v>
      </c>
      <c r="G1282" s="1" t="str">
        <f>_xlfn.CONCAT(tabE.Flux[[#This Row],[DATA]],"+",tabE.Flux[[#This Row],[LINHA]])</f>
        <v>45942+GOIANIA (GO) X TERESINA (PI) VIA STI</v>
      </c>
      <c r="H1282" s="125">
        <v>45942</v>
      </c>
      <c r="I1282" s="1" t="s">
        <v>15</v>
      </c>
      <c r="J1282" s="1">
        <v>17200</v>
      </c>
      <c r="K1282" s="126">
        <v>0.3888888888888889</v>
      </c>
      <c r="L1282" s="126">
        <v>0.39583333333333331</v>
      </c>
      <c r="M1282" s="1" t="s">
        <v>16</v>
      </c>
      <c r="N1282" s="1" t="s">
        <v>17</v>
      </c>
      <c r="O1282" s="1" t="s">
        <v>169</v>
      </c>
      <c r="P1282" s="1" t="s">
        <v>170</v>
      </c>
      <c r="Q1282" s="1" t="s">
        <v>26</v>
      </c>
    </row>
    <row r="1283" spans="3:17" x14ac:dyDescent="0.25">
      <c r="C1283" s="1" t="str">
        <f>_xlfn.CONCAT(tabE.Flux[[#This Row],[DATA]],"+",tabE.Flux[[#This Row],[MOTORISTA + MATRÍCULA A]])</f>
        <v>45942+CANCELADO</v>
      </c>
      <c r="D1283" s="1" t="str">
        <f>_xlfn.CONCAT(tabE.Flux[[#This Row],[DATA]],"+",tabE.Flux[[#This Row],[MOTORISTA + MATRÍCULA B]])</f>
        <v>45942+CANCELADO</v>
      </c>
      <c r="E1283" s="1" t="str">
        <f>_xlfn.CONCAT(tabE.Flux[[#This Row],[DATA]],"+",tabE.Flux[[#This Row],[MOTORISTA + MATRÍCULA A]],"+",tabE.Flux[[#This Row],[LINHA]])</f>
        <v>45942+CANCELADO+IMPERATRIZ (MA) X VILA RICA (MT)</v>
      </c>
      <c r="F1283" s="1" t="str">
        <f>_xlfn.CONCAT(tabE.Flux[[#This Row],[DATA]],"+",tabE.Flux[[#This Row],[MOTORISTA + MATRÍCULA B]],"+",tabE.Flux[[#This Row],[LINHA]])</f>
        <v>45942+CANCELADO+IMPERATRIZ (MA) X VILA RICA (MT)</v>
      </c>
      <c r="G1283" s="1" t="str">
        <f>_xlfn.CONCAT(tabE.Flux[[#This Row],[DATA]],"+",tabE.Flux[[#This Row],[LINHA]])</f>
        <v>45942+IMPERATRIZ (MA) X VILA RICA (MT)</v>
      </c>
      <c r="H1283" s="125">
        <v>45942</v>
      </c>
      <c r="I1283" s="1" t="s">
        <v>15</v>
      </c>
      <c r="J1283" s="1" t="s">
        <v>27</v>
      </c>
      <c r="K1283" s="126">
        <v>0.375</v>
      </c>
      <c r="L1283" s="126">
        <v>0.41666666666666669</v>
      </c>
      <c r="M1283" s="1" t="s">
        <v>16</v>
      </c>
      <c r="N1283" s="1" t="s">
        <v>28</v>
      </c>
      <c r="O1283" s="1" t="s">
        <v>27</v>
      </c>
      <c r="P1283" s="1" t="s">
        <v>27</v>
      </c>
      <c r="Q1283" s="1" t="s">
        <v>100</v>
      </c>
    </row>
    <row r="1284" spans="3:17" x14ac:dyDescent="0.25">
      <c r="C1284" s="1" t="str">
        <f>_xlfn.CONCAT(tabE.Flux[[#This Row],[DATA]],"+",tabE.Flux[[#This Row],[MOTORISTA + MATRÍCULA A]])</f>
        <v>45942+ANTONIO FRANCINALDO DE OLIVEIRA MARQUES - 5018</v>
      </c>
      <c r="D1284" s="1" t="str">
        <f>_xlfn.CONCAT(tabE.Flux[[#This Row],[DATA]],"+",tabE.Flux[[#This Row],[MOTORISTA + MATRÍCULA B]])</f>
        <v>45942+ADRIASIO SOARES MENDES - 5440</v>
      </c>
      <c r="E1284" s="1" t="str">
        <f>_xlfn.CONCAT(tabE.Flux[[#This Row],[DATA]],"+",tabE.Flux[[#This Row],[MOTORISTA + MATRÍCULA A]],"+",tabE.Flux[[#This Row],[LINHA]])</f>
        <v>45942+ANTONIO FRANCINALDO DE OLIVEIRA MARQUES - 5018+FORTALEZA (CE) X SINOP (MT)</v>
      </c>
      <c r="F1284" s="1" t="str">
        <f>_xlfn.CONCAT(tabE.Flux[[#This Row],[DATA]],"+",tabE.Flux[[#This Row],[MOTORISTA + MATRÍCULA B]],"+",tabE.Flux[[#This Row],[LINHA]])</f>
        <v>45942+ADRIASIO SOARES MENDES - 5440+FORTALEZA (CE) X SINOP (MT)</v>
      </c>
      <c r="G1284" s="1" t="str">
        <f>_xlfn.CONCAT(tabE.Flux[[#This Row],[DATA]],"+",tabE.Flux[[#This Row],[LINHA]])</f>
        <v>45942+FORTALEZA (CE) X SINOP (MT)</v>
      </c>
      <c r="H1284" s="125">
        <v>45942</v>
      </c>
      <c r="I1284" s="1" t="s">
        <v>15</v>
      </c>
      <c r="J1284" s="1">
        <v>20013</v>
      </c>
      <c r="K1284" s="126">
        <v>0.3888888888888889</v>
      </c>
      <c r="L1284" s="126">
        <v>0.37708333333333333</v>
      </c>
      <c r="M1284" s="1" t="s">
        <v>16</v>
      </c>
      <c r="N1284" s="1" t="s">
        <v>29</v>
      </c>
      <c r="O1284" s="1" t="s">
        <v>233</v>
      </c>
      <c r="P1284" s="1" t="s">
        <v>242</v>
      </c>
      <c r="Q1284" s="1" t="s">
        <v>32</v>
      </c>
    </row>
    <row r="1285" spans="3:17" x14ac:dyDescent="0.25">
      <c r="C1285" s="1" t="str">
        <f>_xlfn.CONCAT(tabE.Flux[[#This Row],[DATA]],"+",tabE.Flux[[#This Row],[MOTORISTA + MATRÍCULA A]])</f>
        <v>45942+FRANCISCO RAIMUNDO VIANA DE SOUSA - 5314</v>
      </c>
      <c r="D1285" s="1" t="str">
        <f>_xlfn.CONCAT(tabE.Flux[[#This Row],[DATA]],"+",tabE.Flux[[#This Row],[MOTORISTA + MATRÍCULA B]])</f>
        <v>45942+MARCIO RODRIGUES DA COSTA - 5993</v>
      </c>
      <c r="E1285" s="1" t="str">
        <f>_xlfn.CONCAT(tabE.Flux[[#This Row],[DATA]],"+",tabE.Flux[[#This Row],[MOTORISTA + MATRÍCULA A]],"+",tabE.Flux[[#This Row],[LINHA]])</f>
        <v>45942+FRANCISCO RAIMUNDO VIANA DE SOUSA - 5314+GOIANIA (GO) X BELEM (PA)</v>
      </c>
      <c r="F1285" s="1" t="str">
        <f>_xlfn.CONCAT(tabE.Flux[[#This Row],[DATA]],"+",tabE.Flux[[#This Row],[MOTORISTA + MATRÍCULA B]],"+",tabE.Flux[[#This Row],[LINHA]])</f>
        <v>45942+MARCIO RODRIGUES DA COSTA - 5993+GOIANIA (GO) X BELEM (PA)</v>
      </c>
      <c r="G1285" s="1" t="str">
        <f>_xlfn.CONCAT(tabE.Flux[[#This Row],[DATA]],"+",tabE.Flux[[#This Row],[LINHA]])</f>
        <v>45942+GOIANIA (GO) X BELEM (PA)</v>
      </c>
      <c r="H1285" s="125">
        <v>45942</v>
      </c>
      <c r="I1285" s="1" t="s">
        <v>15</v>
      </c>
      <c r="J1285" s="1">
        <v>20019</v>
      </c>
      <c r="K1285" s="126">
        <v>0.38958333333333334</v>
      </c>
      <c r="L1285" s="126">
        <v>0.38541666666666669</v>
      </c>
      <c r="M1285" s="1" t="s">
        <v>16</v>
      </c>
      <c r="N1285" s="1" t="s">
        <v>33</v>
      </c>
      <c r="O1285" s="1" t="s">
        <v>87</v>
      </c>
      <c r="P1285" s="1" t="s">
        <v>107</v>
      </c>
      <c r="Q1285" s="1" t="s">
        <v>20</v>
      </c>
    </row>
    <row r="1286" spans="3:17" x14ac:dyDescent="0.25">
      <c r="C1286" s="1" t="str">
        <f>_xlfn.CONCAT(tabE.Flux[[#This Row],[DATA]],"+",tabE.Flux[[#This Row],[MOTORISTA + MATRÍCULA A]])</f>
        <v>45942+JOSE ORLANDO RODRIGUES DE MIRANDA - 5838</v>
      </c>
      <c r="D1286" s="1" t="str">
        <f>_xlfn.CONCAT(tabE.Flux[[#This Row],[DATA]],"+",tabE.Flux[[#This Row],[MOTORISTA + MATRÍCULA B]])</f>
        <v>45942+JOAO FLAVIO DE SOUSA SILVA - 5270</v>
      </c>
      <c r="E1286" s="1" t="str">
        <f>_xlfn.CONCAT(tabE.Flux[[#This Row],[DATA]],"+",tabE.Flux[[#This Row],[MOTORISTA + MATRÍCULA A]],"+",tabE.Flux[[#This Row],[LINHA]])</f>
        <v>45942+JOSE ORLANDO RODRIGUES DE MIRANDA - 5838+GOIANIA (GO) X TERESINA (PI) VIA BC</v>
      </c>
      <c r="F1286" s="1" t="str">
        <f>_xlfn.CONCAT(tabE.Flux[[#This Row],[DATA]],"+",tabE.Flux[[#This Row],[MOTORISTA + MATRÍCULA B]],"+",tabE.Flux[[#This Row],[LINHA]])</f>
        <v>45942+JOAO FLAVIO DE SOUSA SILVA - 5270+GOIANIA (GO) X TERESINA (PI) VIA BC</v>
      </c>
      <c r="G1286" s="1" t="str">
        <f>_xlfn.CONCAT(tabE.Flux[[#This Row],[DATA]],"+",tabE.Flux[[#This Row],[LINHA]])</f>
        <v>45942+GOIANIA (GO) X TERESINA (PI) VIA BC</v>
      </c>
      <c r="H1286" s="125">
        <v>45942</v>
      </c>
      <c r="I1286" s="1" t="s">
        <v>15</v>
      </c>
      <c r="J1286" s="1">
        <v>24014</v>
      </c>
      <c r="K1286" s="126">
        <v>0.375</v>
      </c>
      <c r="L1286" s="126">
        <v>0.39930555555555558</v>
      </c>
      <c r="M1286" s="1" t="s">
        <v>36</v>
      </c>
      <c r="N1286" s="1" t="s">
        <v>29</v>
      </c>
      <c r="O1286" s="1" t="s">
        <v>37</v>
      </c>
      <c r="P1286" s="1" t="s">
        <v>222</v>
      </c>
      <c r="Q1286" s="1" t="s">
        <v>39</v>
      </c>
    </row>
    <row r="1287" spans="3:17" x14ac:dyDescent="0.25">
      <c r="C1287" s="1" t="str">
        <f>_xlfn.CONCAT(tabE.Flux[[#This Row],[DATA]],"+",tabE.Flux[[#This Row],[MOTORISTA + MATRÍCULA A]])</f>
        <v>45942+CANCELADO</v>
      </c>
      <c r="D1287" s="1" t="str">
        <f>_xlfn.CONCAT(tabE.Flux[[#This Row],[DATA]],"+",tabE.Flux[[#This Row],[MOTORISTA + MATRÍCULA B]])</f>
        <v>45942+CANCELADO</v>
      </c>
      <c r="E1287" s="1" t="str">
        <f>_xlfn.CONCAT(tabE.Flux[[#This Row],[DATA]],"+",tabE.Flux[[#This Row],[MOTORISTA + MATRÍCULA A]],"+",tabE.Flux[[#This Row],[LINHA]])</f>
        <v>45942+CANCELADO+GOIANIA (GO) X BELEM (PA)</v>
      </c>
      <c r="F1287" s="1" t="str">
        <f>_xlfn.CONCAT(tabE.Flux[[#This Row],[DATA]],"+",tabE.Flux[[#This Row],[MOTORISTA + MATRÍCULA B]],"+",tabE.Flux[[#This Row],[LINHA]])</f>
        <v>45942+CANCELADO+GOIANIA (GO) X BELEM (PA)</v>
      </c>
      <c r="G1287" s="1" t="str">
        <f>_xlfn.CONCAT(tabE.Flux[[#This Row],[DATA]],"+",tabE.Flux[[#This Row],[LINHA]])</f>
        <v>45942+GOIANIA (GO) X BELEM (PA)</v>
      </c>
      <c r="H1287" s="125">
        <v>45942</v>
      </c>
      <c r="I1287" s="1" t="s">
        <v>15</v>
      </c>
      <c r="J1287" s="1" t="s">
        <v>27</v>
      </c>
      <c r="K1287" s="126">
        <v>0.375</v>
      </c>
      <c r="L1287" s="126">
        <v>0.41666666666666669</v>
      </c>
      <c r="M1287" s="1" t="s">
        <v>33</v>
      </c>
      <c r="N1287" s="1" t="s">
        <v>16</v>
      </c>
      <c r="O1287" s="1" t="s">
        <v>27</v>
      </c>
      <c r="P1287" s="1" t="s">
        <v>27</v>
      </c>
      <c r="Q1287" s="1" t="s">
        <v>20</v>
      </c>
    </row>
    <row r="1288" spans="3:17" x14ac:dyDescent="0.25">
      <c r="C1288" s="1" t="str">
        <f>_xlfn.CONCAT(tabE.Flux[[#This Row],[DATA]],"+",tabE.Flux[[#This Row],[MOTORISTA + MATRÍCULA A]])</f>
        <v>45942+CANCELADO</v>
      </c>
      <c r="D1288" s="1" t="str">
        <f>_xlfn.CONCAT(tabE.Flux[[#This Row],[DATA]],"+",tabE.Flux[[#This Row],[MOTORISTA + MATRÍCULA B]])</f>
        <v>45942+CANCELADO</v>
      </c>
      <c r="E1288" s="1" t="str">
        <f>_xlfn.CONCAT(tabE.Flux[[#This Row],[DATA]],"+",tabE.Flux[[#This Row],[MOTORISTA + MATRÍCULA A]],"+",tabE.Flux[[#This Row],[LINHA]])</f>
        <v>45942+CANCELADO+GOIANIA (GO) X SAO LUIS (MA)</v>
      </c>
      <c r="F1288" s="1" t="str">
        <f>_xlfn.CONCAT(tabE.Flux[[#This Row],[DATA]],"+",tabE.Flux[[#This Row],[MOTORISTA + MATRÍCULA B]],"+",tabE.Flux[[#This Row],[LINHA]])</f>
        <v>45942+CANCELADO+GOIANIA (GO) X SAO LUIS (MA)</v>
      </c>
      <c r="G1288" s="1" t="str">
        <f>_xlfn.CONCAT(tabE.Flux[[#This Row],[DATA]],"+",tabE.Flux[[#This Row],[LINHA]])</f>
        <v>45942+GOIANIA (GO) X SAO LUIS (MA)</v>
      </c>
      <c r="H1288" s="125">
        <v>45942</v>
      </c>
      <c r="I1288" s="1" t="s">
        <v>15</v>
      </c>
      <c r="J1288" s="1" t="s">
        <v>27</v>
      </c>
      <c r="K1288" s="126">
        <v>0.25</v>
      </c>
      <c r="L1288" s="126">
        <v>0.29166666666666669</v>
      </c>
      <c r="M1288" s="1" t="s">
        <v>42</v>
      </c>
      <c r="N1288" s="1" t="s">
        <v>16</v>
      </c>
      <c r="O1288" s="1" t="s">
        <v>27</v>
      </c>
      <c r="P1288" s="1" t="s">
        <v>27</v>
      </c>
      <c r="Q1288" s="1" t="s">
        <v>23</v>
      </c>
    </row>
    <row r="1289" spans="3:17" x14ac:dyDescent="0.25">
      <c r="C1289" s="1" t="str">
        <f>_xlfn.CONCAT(tabE.Flux[[#This Row],[DATA]],"+",tabE.Flux[[#This Row],[MOTORISTA + MATRÍCULA A]])</f>
        <v>45942+LAUCEANDO DA SILVA ROCHA - 6220</v>
      </c>
      <c r="D1289" s="1" t="str">
        <f>_xlfn.CONCAT(tabE.Flux[[#This Row],[DATA]],"+",tabE.Flux[[#This Row],[MOTORISTA + MATRÍCULA B]])</f>
        <v>45942+REINAN JOSE BORGES SOUSA - 1075</v>
      </c>
      <c r="E1289" s="1" t="str">
        <f>_xlfn.CONCAT(tabE.Flux[[#This Row],[DATA]],"+",tabE.Flux[[#This Row],[MOTORISTA + MATRÍCULA A]],"+",tabE.Flux[[#This Row],[LINHA]])</f>
        <v>45942+LAUCEANDO DA SILVA ROCHA - 6220+GOIANIA (GO) X SAO LUIS (MA)</v>
      </c>
      <c r="F1289" s="1" t="str">
        <f>_xlfn.CONCAT(tabE.Flux[[#This Row],[DATA]],"+",tabE.Flux[[#This Row],[MOTORISTA + MATRÍCULA B]],"+",tabE.Flux[[#This Row],[LINHA]])</f>
        <v>45942+REINAN JOSE BORGES SOUSA - 1075+GOIANIA (GO) X SAO LUIS (MA)</v>
      </c>
      <c r="G1289" s="1" t="str">
        <f>_xlfn.CONCAT(tabE.Flux[[#This Row],[DATA]],"+",tabE.Flux[[#This Row],[LINHA]])</f>
        <v>45942+GOIANIA (GO) X SAO LUIS (MA)</v>
      </c>
      <c r="H1289" s="125">
        <v>45942</v>
      </c>
      <c r="I1289" s="1" t="s">
        <v>15</v>
      </c>
      <c r="J1289" s="1">
        <v>24012</v>
      </c>
      <c r="K1289" s="126">
        <v>0.75</v>
      </c>
      <c r="L1289" s="126">
        <v>0.79166666666666663</v>
      </c>
      <c r="M1289" s="1" t="s">
        <v>42</v>
      </c>
      <c r="N1289" s="1" t="s">
        <v>16</v>
      </c>
      <c r="O1289" s="1" t="s">
        <v>86</v>
      </c>
      <c r="P1289" s="1" t="s">
        <v>84</v>
      </c>
      <c r="Q1289" s="1" t="s">
        <v>23</v>
      </c>
    </row>
    <row r="1290" spans="3:17" x14ac:dyDescent="0.25">
      <c r="C1290" s="1" t="str">
        <f>_xlfn.CONCAT(tabE.Flux[[#This Row],[DATA]],"+",tabE.Flux[[#This Row],[MOTORISTA + MATRÍCULA A]])</f>
        <v>45942+EDIVALDO DE ARAUJO - 6217</v>
      </c>
      <c r="D1290" s="1" t="str">
        <f>_xlfn.CONCAT(tabE.Flux[[#This Row],[DATA]],"+",tabE.Flux[[#This Row],[MOTORISTA + MATRÍCULA B]])</f>
        <v>45942+FRANCISCO BATISTA DE LIMA - 1827</v>
      </c>
      <c r="E1290" s="1" t="str">
        <f>_xlfn.CONCAT(tabE.Flux[[#This Row],[DATA]],"+",tabE.Flux[[#This Row],[MOTORISTA + MATRÍCULA A]],"+",tabE.Flux[[#This Row],[LINHA]])</f>
        <v>45942+EDIVALDO DE ARAUJO - 6217+IMPERATRIZ (MA) X SÃO LUIS (MA)</v>
      </c>
      <c r="F1290" s="1" t="str">
        <f>_xlfn.CONCAT(tabE.Flux[[#This Row],[DATA]],"+",tabE.Flux[[#This Row],[MOTORISTA + MATRÍCULA B]],"+",tabE.Flux[[#This Row],[LINHA]])</f>
        <v>45942+FRANCISCO BATISTA DE LIMA - 1827+IMPERATRIZ (MA) X SÃO LUIS (MA)</v>
      </c>
      <c r="G1290" s="1" t="str">
        <f>_xlfn.CONCAT(tabE.Flux[[#This Row],[DATA]],"+",tabE.Flux[[#This Row],[LINHA]])</f>
        <v>45942+IMPERATRIZ (MA) X SÃO LUIS (MA)</v>
      </c>
      <c r="H1290" s="125">
        <v>45942</v>
      </c>
      <c r="I1290" s="1" t="s">
        <v>15</v>
      </c>
      <c r="J1290" s="1">
        <v>19002</v>
      </c>
      <c r="K1290" s="126">
        <v>0.77083333333333337</v>
      </c>
      <c r="L1290" s="126">
        <v>0.79513888888888884</v>
      </c>
      <c r="M1290" s="1" t="s">
        <v>42</v>
      </c>
      <c r="N1290" s="1" t="s">
        <v>16</v>
      </c>
      <c r="O1290" s="1" t="s">
        <v>55</v>
      </c>
      <c r="P1290" s="1" t="s">
        <v>128</v>
      </c>
      <c r="Q1290" s="1" t="s">
        <v>47</v>
      </c>
    </row>
    <row r="1291" spans="3:17" x14ac:dyDescent="0.25">
      <c r="C1291" s="1" t="str">
        <f>_xlfn.CONCAT(tabE.Flux[[#This Row],[DATA]],"+",tabE.Flux[[#This Row],[MOTORISTA + MATRÍCULA A]])</f>
        <v>45942+REGISMAR ANTONIO TEODORO DA COSTA - 2966</v>
      </c>
      <c r="D1291" s="1" t="str">
        <f>_xlfn.CONCAT(tabE.Flux[[#This Row],[DATA]],"+",tabE.Flux[[#This Row],[MOTORISTA + MATRÍCULA B]])</f>
        <v>45942+GONCALO ALVES BEZERRA - 748</v>
      </c>
      <c r="E1291" s="1" t="str">
        <f>_xlfn.CONCAT(tabE.Flux[[#This Row],[DATA]],"+",tabE.Flux[[#This Row],[MOTORISTA + MATRÍCULA A]],"+",tabE.Flux[[#This Row],[LINHA]])</f>
        <v>45942+REGISMAR ANTONIO TEODORO DA COSTA - 2966+GOIANIA (GO) X TERESINA (PI) VIA BC</v>
      </c>
      <c r="F1291" s="1" t="str">
        <f>_xlfn.CONCAT(tabE.Flux[[#This Row],[DATA]],"+",tabE.Flux[[#This Row],[MOTORISTA + MATRÍCULA B]],"+",tabE.Flux[[#This Row],[LINHA]])</f>
        <v>45942+GONCALO ALVES BEZERRA - 748+GOIANIA (GO) X TERESINA (PI) VIA BC</v>
      </c>
      <c r="G1291" s="1" t="str">
        <f>_xlfn.CONCAT(tabE.Flux[[#This Row],[DATA]],"+",tabE.Flux[[#This Row],[LINHA]])</f>
        <v>45942+GOIANIA (GO) X TERESINA (PI) VIA BC</v>
      </c>
      <c r="H1291" s="125">
        <v>45942</v>
      </c>
      <c r="I1291" s="1" t="s">
        <v>15</v>
      </c>
      <c r="J1291" s="1">
        <v>24010</v>
      </c>
      <c r="K1291" s="126">
        <v>0.89583333333333337</v>
      </c>
      <c r="L1291" s="126">
        <v>0.91666666666666663</v>
      </c>
      <c r="M1291" s="1" t="s">
        <v>36</v>
      </c>
      <c r="N1291" s="1" t="s">
        <v>17</v>
      </c>
      <c r="O1291" s="1" t="s">
        <v>206</v>
      </c>
      <c r="P1291" s="1" t="s">
        <v>216</v>
      </c>
      <c r="Q1291" s="1" t="s">
        <v>39</v>
      </c>
    </row>
    <row r="1292" spans="3:17" x14ac:dyDescent="0.25">
      <c r="C1292" s="1" t="str">
        <f>_xlfn.CONCAT(tabE.Flux[[#This Row],[DATA]],"+",tabE.Flux[[#This Row],[MOTORISTA + MATRÍCULA A]])</f>
        <v>45942+CLAUDIOMAR ALENCAR DO NASCIMENTO - 2970</v>
      </c>
      <c r="D1292" s="1" t="str">
        <f>_xlfn.CONCAT(tabE.Flux[[#This Row],[DATA]],"+",tabE.Flux[[#This Row],[MOTORISTA + MATRÍCULA B]])</f>
        <v>45942+JERZUALDO DA SILVA GOMES - 4077</v>
      </c>
      <c r="E1292" s="1" t="str">
        <f>_xlfn.CONCAT(tabE.Flux[[#This Row],[DATA]],"+",tabE.Flux[[#This Row],[MOTORISTA + MATRÍCULA A]],"+",tabE.Flux[[#This Row],[LINHA]])</f>
        <v>45942+CLAUDIOMAR ALENCAR DO NASCIMENTO - 2970+GOIANIA (GO) X BELEM (PA)</v>
      </c>
      <c r="F1292" s="1" t="str">
        <f>_xlfn.CONCAT(tabE.Flux[[#This Row],[DATA]],"+",tabE.Flux[[#This Row],[MOTORISTA + MATRÍCULA B]],"+",tabE.Flux[[#This Row],[LINHA]])</f>
        <v>45942+JERZUALDO DA SILVA GOMES - 4077+GOIANIA (GO) X BELEM (PA)</v>
      </c>
      <c r="G1292" s="1" t="str">
        <f>_xlfn.CONCAT(tabE.Flux[[#This Row],[DATA]],"+",tabE.Flux[[#This Row],[LINHA]])</f>
        <v>45942+GOIANIA (GO) X BELEM (PA)</v>
      </c>
      <c r="H1292" s="125">
        <v>45942</v>
      </c>
      <c r="I1292" s="1" t="s">
        <v>15</v>
      </c>
      <c r="J1292" s="1">
        <v>24005</v>
      </c>
      <c r="K1292" s="126">
        <v>0.76041666666666663</v>
      </c>
      <c r="L1292" s="126">
        <v>0.77083333333333337</v>
      </c>
      <c r="M1292" s="1" t="s">
        <v>33</v>
      </c>
      <c r="N1292" s="1" t="s">
        <v>16</v>
      </c>
      <c r="O1292" s="1" t="s">
        <v>211</v>
      </c>
      <c r="P1292" s="1" t="s">
        <v>130</v>
      </c>
      <c r="Q1292" s="1" t="s">
        <v>20</v>
      </c>
    </row>
    <row r="1293" spans="3:17" x14ac:dyDescent="0.25">
      <c r="C1293" s="1" t="str">
        <f>_xlfn.CONCAT(tabE.Flux[[#This Row],[DATA]],"+",tabE.Flux[[#This Row],[MOTORISTA + MATRÍCULA A]])</f>
        <v>45942+JAIRO VIEIRA FERREIRA - 5835</v>
      </c>
      <c r="D1293" s="1" t="str">
        <f>_xlfn.CONCAT(tabE.Flux[[#This Row],[DATA]],"+",tabE.Flux[[#This Row],[MOTORISTA + MATRÍCULA B]])</f>
        <v>45942+JOSE CARLOS BEZERRA DA SILVA - 3034</v>
      </c>
      <c r="E1293" s="1" t="str">
        <f>_xlfn.CONCAT(tabE.Flux[[#This Row],[DATA]],"+",tabE.Flux[[#This Row],[MOTORISTA + MATRÍCULA A]],"+",tabE.Flux[[#This Row],[LINHA]])</f>
        <v>45942+JAIRO VIEIRA FERREIRA - 5835+GOIANIA (GO) X BELEM (PA)</v>
      </c>
      <c r="F1293" s="1" t="str">
        <f>_xlfn.CONCAT(tabE.Flux[[#This Row],[DATA]],"+",tabE.Flux[[#This Row],[MOTORISTA + MATRÍCULA B]],"+",tabE.Flux[[#This Row],[LINHA]])</f>
        <v>45942+JOSE CARLOS BEZERRA DA SILVA - 3034+GOIANIA (GO) X BELEM (PA)</v>
      </c>
      <c r="G1293" s="1" t="str">
        <f>_xlfn.CONCAT(tabE.Flux[[#This Row],[DATA]],"+",tabE.Flux[[#This Row],[LINHA]])</f>
        <v>45942+GOIANIA (GO) X BELEM (PA)</v>
      </c>
      <c r="H1293" s="125">
        <v>45942</v>
      </c>
      <c r="I1293" s="1" t="s">
        <v>15</v>
      </c>
      <c r="J1293" s="1">
        <v>25009</v>
      </c>
      <c r="K1293" s="126">
        <v>0.76041666666666663</v>
      </c>
      <c r="L1293" s="126">
        <v>0.82777777777777772</v>
      </c>
      <c r="M1293" s="1" t="s">
        <v>16</v>
      </c>
      <c r="N1293" s="1" t="s">
        <v>33</v>
      </c>
      <c r="O1293" s="1" t="s">
        <v>230</v>
      </c>
      <c r="P1293" s="1" t="s">
        <v>76</v>
      </c>
      <c r="Q1293" s="1" t="s">
        <v>20</v>
      </c>
    </row>
    <row r="1294" spans="3:17" x14ac:dyDescent="0.25">
      <c r="C1294" s="1" t="str">
        <f>_xlfn.CONCAT(tabE.Flux[[#This Row],[DATA]],"+",tabE.Flux[[#This Row],[MOTORISTA + MATRÍCULA A]])</f>
        <v>45942+AELSON PEREIRA DO NASCIMENTO - 5682</v>
      </c>
      <c r="D1294" s="1" t="str">
        <f>_xlfn.CONCAT(tabE.Flux[[#This Row],[DATA]],"+",tabE.Flux[[#This Row],[MOTORISTA + MATRÍCULA B]])</f>
        <v>45942+KAYLSON KLEYTON DA SILVA COSTA - 6224</v>
      </c>
      <c r="E1294" s="1" t="str">
        <f>_xlfn.CONCAT(tabE.Flux[[#This Row],[DATA]],"+",tabE.Flux[[#This Row],[MOTORISTA + MATRÍCULA A]],"+",tabE.Flux[[#This Row],[LINHA]])</f>
        <v>45942+AELSON PEREIRA DO NASCIMENTO - 5682+GOIANIA (GO) X SAO LUIS (MA)</v>
      </c>
      <c r="F1294" s="1" t="str">
        <f>_xlfn.CONCAT(tabE.Flux[[#This Row],[DATA]],"+",tabE.Flux[[#This Row],[MOTORISTA + MATRÍCULA B]],"+",tabE.Flux[[#This Row],[LINHA]])</f>
        <v>45942+KAYLSON KLEYTON DA SILVA COSTA - 6224+GOIANIA (GO) X SAO LUIS (MA)</v>
      </c>
      <c r="G1294" s="1" t="str">
        <f>_xlfn.CONCAT(tabE.Flux[[#This Row],[DATA]],"+",tabE.Flux[[#This Row],[LINHA]])</f>
        <v>45942+GOIANIA (GO) X SAO LUIS (MA)</v>
      </c>
      <c r="H1294" s="125">
        <v>45942</v>
      </c>
      <c r="I1294" s="1" t="s">
        <v>15</v>
      </c>
      <c r="J1294" s="1">
        <v>19017</v>
      </c>
      <c r="K1294" s="126">
        <v>0.40763888888888888</v>
      </c>
      <c r="L1294" s="126">
        <v>0.47013888888888888</v>
      </c>
      <c r="M1294" s="1" t="s">
        <v>16</v>
      </c>
      <c r="N1294" s="1" t="s">
        <v>42</v>
      </c>
      <c r="O1294" s="1" t="s">
        <v>88</v>
      </c>
      <c r="P1294" s="1" t="s">
        <v>80</v>
      </c>
      <c r="Q1294" s="1" t="s">
        <v>23</v>
      </c>
    </row>
    <row r="1295" spans="3:17" x14ac:dyDescent="0.25">
      <c r="C1295" s="1" t="str">
        <f>_xlfn.CONCAT(tabE.Flux[[#This Row],[DATA]],"+",tabE.Flux[[#This Row],[MOTORISTA + MATRÍCULA A]])</f>
        <v>45942+CANCELADO</v>
      </c>
      <c r="D1295" s="1" t="str">
        <f>_xlfn.CONCAT(tabE.Flux[[#This Row],[DATA]],"+",tabE.Flux[[#This Row],[MOTORISTA + MATRÍCULA B]])</f>
        <v>45942+CANCELADO</v>
      </c>
      <c r="E1295" s="1" t="str">
        <f>_xlfn.CONCAT(tabE.Flux[[#This Row],[DATA]],"+",tabE.Flux[[#This Row],[MOTORISTA + MATRÍCULA A]],"+",tabE.Flux[[#This Row],[LINHA]])</f>
        <v>45942+CANCELADO+IMPERATRIZ (MA) X SÃO LUIS (MA)</v>
      </c>
      <c r="F1295" s="1" t="str">
        <f>_xlfn.CONCAT(tabE.Flux[[#This Row],[DATA]],"+",tabE.Flux[[#This Row],[MOTORISTA + MATRÍCULA B]],"+",tabE.Flux[[#This Row],[LINHA]])</f>
        <v>45942+CANCELADO+IMPERATRIZ (MA) X SÃO LUIS (MA)</v>
      </c>
      <c r="G1295" s="1" t="str">
        <f>_xlfn.CONCAT(tabE.Flux[[#This Row],[DATA]],"+",tabE.Flux[[#This Row],[LINHA]])</f>
        <v>45942+IMPERATRIZ (MA) X SÃO LUIS (MA)</v>
      </c>
      <c r="H1295" s="125">
        <v>45942</v>
      </c>
      <c r="I1295" s="1" t="s">
        <v>15</v>
      </c>
      <c r="J1295" s="1" t="s">
        <v>27</v>
      </c>
      <c r="K1295" s="126">
        <v>0.77083333333333337</v>
      </c>
      <c r="L1295" s="126">
        <v>0.8125</v>
      </c>
      <c r="M1295" s="1" t="s">
        <v>16</v>
      </c>
      <c r="N1295" s="1" t="s">
        <v>42</v>
      </c>
      <c r="O1295" s="1" t="s">
        <v>27</v>
      </c>
      <c r="P1295" s="1" t="s">
        <v>27</v>
      </c>
      <c r="Q1295" s="1" t="s">
        <v>47</v>
      </c>
    </row>
    <row r="1296" spans="3:17" x14ac:dyDescent="0.25">
      <c r="C1296" s="1" t="str">
        <f>_xlfn.CONCAT(tabE.Flux[[#This Row],[DATA]],"+",tabE.Flux[[#This Row],[MOTORISTA + MATRÍCULA A]])</f>
        <v>45942+LUIZ CARLOS MARIANO SIQUEIRA - 5634</v>
      </c>
      <c r="D1296" s="1" t="str">
        <f>_xlfn.CONCAT(tabE.Flux[[#This Row],[DATA]],"+",tabE.Flux[[#This Row],[MOTORISTA + MATRÍCULA B]])</f>
        <v>45942+RAIMUNDO COSTA SILVA - 6226</v>
      </c>
      <c r="E1296" s="1" t="str">
        <f>_xlfn.CONCAT(tabE.Flux[[#This Row],[DATA]],"+",tabE.Flux[[#This Row],[MOTORISTA + MATRÍCULA A]],"+",tabE.Flux[[#This Row],[LINHA]])</f>
        <v>45942+LUIZ CARLOS MARIANO SIQUEIRA - 5634+GOIANIA (GO) X SAO LUIS (MA)</v>
      </c>
      <c r="F1296" s="1" t="str">
        <f>_xlfn.CONCAT(tabE.Flux[[#This Row],[DATA]],"+",tabE.Flux[[#This Row],[MOTORISTA + MATRÍCULA B]],"+",tabE.Flux[[#This Row],[LINHA]])</f>
        <v>45942+RAIMUNDO COSTA SILVA - 6226+GOIANIA (GO) X SAO LUIS (MA)</v>
      </c>
      <c r="G1296" s="1" t="str">
        <f>_xlfn.CONCAT(tabE.Flux[[#This Row],[DATA]],"+",tabE.Flux[[#This Row],[LINHA]])</f>
        <v>45942+GOIANIA (GO) X SAO LUIS (MA)</v>
      </c>
      <c r="H1296" s="125">
        <v>45942</v>
      </c>
      <c r="I1296" s="1" t="s">
        <v>15</v>
      </c>
      <c r="J1296" s="1">
        <v>24016</v>
      </c>
      <c r="K1296" s="126">
        <v>0.8125</v>
      </c>
      <c r="L1296" s="126">
        <v>0.84375</v>
      </c>
      <c r="M1296" s="1" t="s">
        <v>16</v>
      </c>
      <c r="N1296" s="1" t="s">
        <v>42</v>
      </c>
      <c r="O1296" s="1" t="s">
        <v>51</v>
      </c>
      <c r="P1296" s="1" t="s">
        <v>45</v>
      </c>
      <c r="Q1296" s="1" t="s">
        <v>23</v>
      </c>
    </row>
    <row r="1297" spans="3:17" x14ac:dyDescent="0.25">
      <c r="C1297" s="1" t="str">
        <f>_xlfn.CONCAT(tabE.Flux[[#This Row],[DATA]],"+",tabE.Flux[[#This Row],[MOTORISTA + MATRÍCULA A]])</f>
        <v>45942+ANTONIO MARCIO DE SENA RIBEIRO CHAVES - 5061</v>
      </c>
      <c r="D1297" s="1" t="str">
        <f>_xlfn.CONCAT(tabE.Flux[[#This Row],[DATA]],"+",tabE.Flux[[#This Row],[MOTORISTA + MATRÍCULA B]])</f>
        <v>45942+PEDRO PAULO DO NASCIMENTO DO CARMO - 2559</v>
      </c>
      <c r="E1297" s="1" t="str">
        <f>_xlfn.CONCAT(tabE.Flux[[#This Row],[DATA]],"+",tabE.Flux[[#This Row],[MOTORISTA + MATRÍCULA A]],"+",tabE.Flux[[#This Row],[LINHA]])</f>
        <v>45942+ANTONIO MARCIO DE SENA RIBEIRO CHAVES - 5061+GOIANIA (GO) X TERESINA (PI) VIA STI</v>
      </c>
      <c r="F1297" s="1" t="str">
        <f>_xlfn.CONCAT(tabE.Flux[[#This Row],[DATA]],"+",tabE.Flux[[#This Row],[MOTORISTA + MATRÍCULA B]],"+",tabE.Flux[[#This Row],[LINHA]])</f>
        <v>45942+PEDRO PAULO DO NASCIMENTO DO CARMO - 2559+GOIANIA (GO) X TERESINA (PI) VIA STI</v>
      </c>
      <c r="G1297" s="1" t="str">
        <f>_xlfn.CONCAT(tabE.Flux[[#This Row],[DATA]],"+",tabE.Flux[[#This Row],[LINHA]])</f>
        <v>45942+GOIANIA (GO) X TERESINA (PI) VIA STI</v>
      </c>
      <c r="H1297" s="125">
        <v>45942</v>
      </c>
      <c r="I1297" s="1" t="s">
        <v>15</v>
      </c>
      <c r="J1297" s="1">
        <v>19008</v>
      </c>
      <c r="K1297" s="126">
        <v>0.77083333333333337</v>
      </c>
      <c r="L1297" s="126">
        <v>0.79861111111111116</v>
      </c>
      <c r="M1297" s="1" t="s">
        <v>16</v>
      </c>
      <c r="N1297" s="1" t="s">
        <v>29</v>
      </c>
      <c r="O1297" s="1" t="s">
        <v>235</v>
      </c>
      <c r="P1297" s="1" t="s">
        <v>175</v>
      </c>
      <c r="Q1297" s="1" t="s">
        <v>26</v>
      </c>
    </row>
    <row r="1298" spans="3:17" x14ac:dyDescent="0.25">
      <c r="C1298" s="1" t="str">
        <f>_xlfn.CONCAT(tabE.Flux[[#This Row],[DATA]],"+",tabE.Flux[[#This Row],[MOTORISTA + MATRÍCULA A]])</f>
        <v>45942+CANCELADO</v>
      </c>
      <c r="D1298" s="1" t="str">
        <f>_xlfn.CONCAT(tabE.Flux[[#This Row],[DATA]],"+",tabE.Flux[[#This Row],[MOTORISTA + MATRÍCULA B]])</f>
        <v>45942+CANCELADO</v>
      </c>
      <c r="E1298" s="1" t="str">
        <f>_xlfn.CONCAT(tabE.Flux[[#This Row],[DATA]],"+",tabE.Flux[[#This Row],[MOTORISTA + MATRÍCULA A]],"+",tabE.Flux[[#This Row],[LINHA]])</f>
        <v>45942+CANCELADO+GOIANIA (GO) X SAO LUIS (MA)</v>
      </c>
      <c r="F1298" s="1" t="str">
        <f>_xlfn.CONCAT(tabE.Flux[[#This Row],[DATA]],"+",tabE.Flux[[#This Row],[MOTORISTA + MATRÍCULA B]],"+",tabE.Flux[[#This Row],[LINHA]])</f>
        <v>45942+CANCELADO+GOIANIA (GO) X SAO LUIS (MA)</v>
      </c>
      <c r="G1298" s="1" t="str">
        <f>_xlfn.CONCAT(tabE.Flux[[#This Row],[DATA]],"+",tabE.Flux[[#This Row],[LINHA]])</f>
        <v>45942+GOIANIA (GO) X SAO LUIS (MA)</v>
      </c>
      <c r="H1298" s="125">
        <v>45942</v>
      </c>
      <c r="I1298" s="1" t="s">
        <v>15</v>
      </c>
      <c r="J1298" s="1" t="s">
        <v>27</v>
      </c>
      <c r="K1298" s="126">
        <v>0.8125</v>
      </c>
      <c r="L1298" s="126">
        <v>0.84166666666666667</v>
      </c>
      <c r="M1298" s="1" t="s">
        <v>16</v>
      </c>
      <c r="N1298" s="1" t="s">
        <v>17</v>
      </c>
      <c r="O1298" s="1" t="s">
        <v>27</v>
      </c>
      <c r="P1298" s="1" t="s">
        <v>27</v>
      </c>
      <c r="Q1298" s="1" t="s">
        <v>23</v>
      </c>
    </row>
    <row r="1299" spans="3:17" x14ac:dyDescent="0.25">
      <c r="C1299" s="1" t="str">
        <f>_xlfn.CONCAT(tabE.Flux[[#This Row],[DATA]],"+",tabE.Flux[[#This Row],[MOTORISTA + MATRÍCULA A]])</f>
        <v>45942+CARLOS ALBERTO DE LIMA - 2777</v>
      </c>
      <c r="D1299" s="1" t="str">
        <f>_xlfn.CONCAT(tabE.Flux[[#This Row],[DATA]],"+",tabE.Flux[[#This Row],[MOTORISTA + MATRÍCULA B]])</f>
        <v>45942+NEURI BISPO DA SILVA - 2682</v>
      </c>
      <c r="E1299" s="1" t="str">
        <f>_xlfn.CONCAT(tabE.Flux[[#This Row],[DATA]],"+",tabE.Flux[[#This Row],[MOTORISTA + MATRÍCULA A]],"+",tabE.Flux[[#This Row],[LINHA]])</f>
        <v>45942+CARLOS ALBERTO DE LIMA - 2777+FORTALEZA (CE) X SINOP (MT)</v>
      </c>
      <c r="F1299" s="1" t="str">
        <f>_xlfn.CONCAT(tabE.Flux[[#This Row],[DATA]],"+",tabE.Flux[[#This Row],[MOTORISTA + MATRÍCULA B]],"+",tabE.Flux[[#This Row],[LINHA]])</f>
        <v>45942+NEURI BISPO DA SILVA - 2682+FORTALEZA (CE) X SINOP (MT)</v>
      </c>
      <c r="G1299" s="1" t="str">
        <f>_xlfn.CONCAT(tabE.Flux[[#This Row],[DATA]],"+",tabE.Flux[[#This Row],[LINHA]])</f>
        <v>45942+FORTALEZA (CE) X SINOP (MT)</v>
      </c>
      <c r="H1299" s="125">
        <v>45942</v>
      </c>
      <c r="I1299" s="1" t="s">
        <v>15</v>
      </c>
      <c r="J1299" s="1">
        <v>19015</v>
      </c>
      <c r="K1299" s="126">
        <v>0.8125</v>
      </c>
      <c r="L1299" s="126">
        <v>0.85416666666666663</v>
      </c>
      <c r="M1299" s="1" t="s">
        <v>16</v>
      </c>
      <c r="N1299" s="1" t="s">
        <v>17</v>
      </c>
      <c r="O1299" s="1" t="s">
        <v>165</v>
      </c>
      <c r="P1299" s="1" t="s">
        <v>166</v>
      </c>
      <c r="Q1299" s="1" t="s">
        <v>32</v>
      </c>
    </row>
    <row r="1300" spans="3:17" x14ac:dyDescent="0.25">
      <c r="C1300" s="1" t="str">
        <f>_xlfn.CONCAT(tabE.Flux[[#This Row],[DATA]],"+",tabE.Flux[[#This Row],[MOTORISTA + MATRÍCULA A]])</f>
        <v>45942+CANCELADO</v>
      </c>
      <c r="D1300" s="1" t="str">
        <f>_xlfn.CONCAT(tabE.Flux[[#This Row],[DATA]],"+",tabE.Flux[[#This Row],[MOTORISTA + MATRÍCULA B]])</f>
        <v>45942+CANCELADO</v>
      </c>
      <c r="E1300" s="1" t="str">
        <f>_xlfn.CONCAT(tabE.Flux[[#This Row],[DATA]],"+",tabE.Flux[[#This Row],[MOTORISTA + MATRÍCULA A]],"+",tabE.Flux[[#This Row],[LINHA]])</f>
        <v>45942+CANCELADO+GOIANIA (GO) X BELEM (PA)</v>
      </c>
      <c r="F1300" s="1" t="str">
        <f>_xlfn.CONCAT(tabE.Flux[[#This Row],[DATA]],"+",tabE.Flux[[#This Row],[MOTORISTA + MATRÍCULA B]],"+",tabE.Flux[[#This Row],[LINHA]])</f>
        <v>45942+CANCELADO+GOIANIA (GO) X BELEM (PA)</v>
      </c>
      <c r="G1300" s="1" t="str">
        <f>_xlfn.CONCAT(tabE.Flux[[#This Row],[DATA]],"+",tabE.Flux[[#This Row],[LINHA]])</f>
        <v>45942+GOIANIA (GO) X BELEM (PA)</v>
      </c>
      <c r="H1300" s="125">
        <v>45942</v>
      </c>
      <c r="I1300" s="1" t="s">
        <v>15</v>
      </c>
      <c r="J1300" s="1" t="s">
        <v>27</v>
      </c>
      <c r="K1300" s="126">
        <v>0.84722222222222221</v>
      </c>
      <c r="L1300" s="126">
        <v>0.87847222222222221</v>
      </c>
      <c r="M1300" s="1" t="s">
        <v>16</v>
      </c>
      <c r="N1300" s="1" t="s">
        <v>17</v>
      </c>
      <c r="O1300" s="1" t="s">
        <v>27</v>
      </c>
      <c r="P1300" s="1" t="s">
        <v>27</v>
      </c>
      <c r="Q1300" s="1" t="s">
        <v>20</v>
      </c>
    </row>
    <row r="1301" spans="3:17" x14ac:dyDescent="0.25">
      <c r="C1301" s="1" t="str">
        <f>_xlfn.CONCAT(tabE.Flux[[#This Row],[DATA]],"+",tabE.Flux[[#This Row],[MOTORISTA + MATRÍCULA A]])</f>
        <v>+</v>
      </c>
      <c r="D1301" s="1" t="str">
        <f>_xlfn.CONCAT(tabE.Flux[[#This Row],[DATA]],"+",tabE.Flux[[#This Row],[MOTORISTA + MATRÍCULA B]])</f>
        <v>+</v>
      </c>
      <c r="E1301" s="1" t="str">
        <f>_xlfn.CONCAT(tabE.Flux[[#This Row],[DATA]],"+",tabE.Flux[[#This Row],[MOTORISTA + MATRÍCULA A]],"+",tabE.Flux[[#This Row],[LINHA]])</f>
        <v>++</v>
      </c>
      <c r="F1301" s="1" t="str">
        <f>_xlfn.CONCAT(tabE.Flux[[#This Row],[DATA]],"+",tabE.Flux[[#This Row],[MOTORISTA + MATRÍCULA B]],"+",tabE.Flux[[#This Row],[LINHA]])</f>
        <v>++</v>
      </c>
      <c r="G1301" s="1" t="str">
        <f>_xlfn.CONCAT(tabE.Flux[[#This Row],[DATA]],"+",tabE.Flux[[#This Row],[LINHA]])</f>
        <v>+</v>
      </c>
      <c r="H1301" s="1"/>
      <c r="I1301" s="1"/>
      <c r="J1301" s="1"/>
      <c r="K1301" s="1"/>
      <c r="L1301" s="1"/>
      <c r="M1301" s="1"/>
      <c r="N1301" s="1"/>
      <c r="O1301" s="1"/>
      <c r="P1301" s="1"/>
      <c r="Q1301" s="1"/>
    </row>
    <row r="1302" spans="3:17" x14ac:dyDescent="0.25">
      <c r="C1302" s="1" t="str">
        <f>_xlfn.CONCAT(tabE.Flux[[#This Row],[DATA]],"+",tabE.Flux[[#This Row],[MOTORISTA + MATRÍCULA A]])</f>
        <v>45943+EDILTON MONTEIRO GUNDIM - 6023</v>
      </c>
      <c r="D1302" s="1" t="str">
        <f>_xlfn.CONCAT(tabE.Flux[[#This Row],[DATA]],"+",tabE.Flux[[#This Row],[MOTORISTA + MATRÍCULA B]])</f>
        <v>45943+WOLNEY EDUARDO DE OLIVEIRA - 5607</v>
      </c>
      <c r="E1302" s="1" t="str">
        <f>_xlfn.CONCAT(tabE.Flux[[#This Row],[DATA]],"+",tabE.Flux[[#This Row],[MOTORISTA + MATRÍCULA A]],"+",tabE.Flux[[#This Row],[LINHA]])</f>
        <v>45943+EDILTON MONTEIRO GUNDIM - 6023+GOIANIA (GO) X BELEM (PA)</v>
      </c>
      <c r="F1302" s="1" t="str">
        <f>_xlfn.CONCAT(tabE.Flux[[#This Row],[DATA]],"+",tabE.Flux[[#This Row],[MOTORISTA + MATRÍCULA B]],"+",tabE.Flux[[#This Row],[LINHA]])</f>
        <v>45943+WOLNEY EDUARDO DE OLIVEIRA - 5607+GOIANIA (GO) X BELEM (PA)</v>
      </c>
      <c r="G1302" s="1" t="str">
        <f>_xlfn.CONCAT(tabE.Flux[[#This Row],[DATA]],"+",tabE.Flux[[#This Row],[LINHA]])</f>
        <v>45943+GOIANIA (GO) X BELEM (PA)</v>
      </c>
      <c r="H1302" s="125">
        <v>45943</v>
      </c>
      <c r="I1302" s="1" t="s">
        <v>15</v>
      </c>
      <c r="J1302" s="1">
        <v>24005</v>
      </c>
      <c r="K1302" s="126">
        <v>0.25486111111111109</v>
      </c>
      <c r="L1302" s="126">
        <v>0.3</v>
      </c>
      <c r="M1302" s="1" t="s">
        <v>16</v>
      </c>
      <c r="N1302" s="1" t="s">
        <v>17</v>
      </c>
      <c r="O1302" s="1" t="s">
        <v>199</v>
      </c>
      <c r="P1302" s="1" t="s">
        <v>200</v>
      </c>
      <c r="Q1302" s="1" t="s">
        <v>20</v>
      </c>
    </row>
    <row r="1303" spans="3:17" x14ac:dyDescent="0.25">
      <c r="C1303" s="1" t="str">
        <f>_xlfn.CONCAT(tabE.Flux[[#This Row],[DATA]],"+",tabE.Flux[[#This Row],[MOTORISTA + MATRÍCULA A]])</f>
        <v>45943+WESLEY SILVA PAIVA - 5638</v>
      </c>
      <c r="D1303" s="1" t="str">
        <f>_xlfn.CONCAT(tabE.Flux[[#This Row],[DATA]],"+",tabE.Flux[[#This Row],[MOTORISTA + MATRÍCULA B]])</f>
        <v>45943+MARCOS ATAIDE SILVA - 1352</v>
      </c>
      <c r="E1303" s="1" t="str">
        <f>_xlfn.CONCAT(tabE.Flux[[#This Row],[DATA]],"+",tabE.Flux[[#This Row],[MOTORISTA + MATRÍCULA A]],"+",tabE.Flux[[#This Row],[LINHA]])</f>
        <v>45943+WESLEY SILVA PAIVA - 5638+GOIANIA (GO) X SAO LUIS (MA)</v>
      </c>
      <c r="F1303" s="1" t="str">
        <f>_xlfn.CONCAT(tabE.Flux[[#This Row],[DATA]],"+",tabE.Flux[[#This Row],[MOTORISTA + MATRÍCULA B]],"+",tabE.Flux[[#This Row],[LINHA]])</f>
        <v>45943+MARCOS ATAIDE SILVA - 1352+GOIANIA (GO) X SAO LUIS (MA)</v>
      </c>
      <c r="G1303" s="1" t="str">
        <f>_xlfn.CONCAT(tabE.Flux[[#This Row],[DATA]],"+",tabE.Flux[[#This Row],[LINHA]])</f>
        <v>45943+GOIANIA (GO) X SAO LUIS (MA)</v>
      </c>
      <c r="H1303" s="125">
        <v>45943</v>
      </c>
      <c r="I1303" s="1" t="s">
        <v>15</v>
      </c>
      <c r="J1303" s="1">
        <v>24012</v>
      </c>
      <c r="K1303" s="126">
        <v>0.32291666666666669</v>
      </c>
      <c r="L1303" s="126">
        <v>0.33333333333333331</v>
      </c>
      <c r="M1303" s="1" t="s">
        <v>16</v>
      </c>
      <c r="N1303" s="1" t="s">
        <v>17</v>
      </c>
      <c r="O1303" s="1" t="s">
        <v>112</v>
      </c>
      <c r="P1303" s="1" t="s">
        <v>113</v>
      </c>
      <c r="Q1303" s="1" t="s">
        <v>23</v>
      </c>
    </row>
    <row r="1304" spans="3:17" x14ac:dyDescent="0.25">
      <c r="C1304" s="1" t="str">
        <f>_xlfn.CONCAT(tabE.Flux[[#This Row],[DATA]],"+",tabE.Flux[[#This Row],[MOTORISTA + MATRÍCULA A]])</f>
        <v>45943+ELIEZIO JOSE DOS SANTOS - 2645</v>
      </c>
      <c r="D1304" s="1" t="str">
        <f>_xlfn.CONCAT(tabE.Flux[[#This Row],[DATA]],"+",tabE.Flux[[#This Row],[MOTORISTA + MATRÍCULA B]])</f>
        <v>45943+MANOEL MESSIAS SILVA DOS SANTOS - 1833</v>
      </c>
      <c r="E1304" s="1" t="str">
        <f>_xlfn.CONCAT(tabE.Flux[[#This Row],[DATA]],"+",tabE.Flux[[#This Row],[MOTORISTA + MATRÍCULA A]],"+",tabE.Flux[[#This Row],[LINHA]])</f>
        <v>45943+ELIEZIO JOSE DOS SANTOS - 2645+GOIANIA (GO) X TERESINA (PI) VIA STI</v>
      </c>
      <c r="F1304" s="1" t="str">
        <f>_xlfn.CONCAT(tabE.Flux[[#This Row],[DATA]],"+",tabE.Flux[[#This Row],[MOTORISTA + MATRÍCULA B]],"+",tabE.Flux[[#This Row],[LINHA]])</f>
        <v>45943+MANOEL MESSIAS SILVA DOS SANTOS - 1833+GOIANIA (GO) X TERESINA (PI) VIA STI</v>
      </c>
      <c r="G1304" s="1" t="str">
        <f>_xlfn.CONCAT(tabE.Flux[[#This Row],[DATA]],"+",tabE.Flux[[#This Row],[LINHA]])</f>
        <v>45943+GOIANIA (GO) X TERESINA (PI) VIA STI</v>
      </c>
      <c r="H1304" s="125">
        <v>45943</v>
      </c>
      <c r="I1304" s="1" t="s">
        <v>15</v>
      </c>
      <c r="J1304" s="1">
        <v>19018</v>
      </c>
      <c r="K1304" s="126">
        <v>0.3888888888888889</v>
      </c>
      <c r="L1304" s="126">
        <v>0.39583333333333331</v>
      </c>
      <c r="M1304" s="1" t="s">
        <v>16</v>
      </c>
      <c r="N1304" s="1" t="s">
        <v>17</v>
      </c>
      <c r="O1304" s="1" t="s">
        <v>53</v>
      </c>
      <c r="P1304" s="1" t="s">
        <v>173</v>
      </c>
      <c r="Q1304" s="1" t="s">
        <v>26</v>
      </c>
    </row>
    <row r="1305" spans="3:17" x14ac:dyDescent="0.25">
      <c r="C1305" s="1" t="str">
        <f>_xlfn.CONCAT(tabE.Flux[[#This Row],[DATA]],"+",tabE.Flux[[#This Row],[MOTORISTA + MATRÍCULA A]])</f>
        <v>45943+CANCELADO</v>
      </c>
      <c r="D1305" s="1" t="str">
        <f>_xlfn.CONCAT(tabE.Flux[[#This Row],[DATA]],"+",tabE.Flux[[#This Row],[MOTORISTA + MATRÍCULA B]])</f>
        <v>45943+CANCELADO</v>
      </c>
      <c r="E1305" s="1" t="str">
        <f>_xlfn.CONCAT(tabE.Flux[[#This Row],[DATA]],"+",tabE.Flux[[#This Row],[MOTORISTA + MATRÍCULA A]],"+",tabE.Flux[[#This Row],[LINHA]])</f>
        <v>45943+CANCELADO+</v>
      </c>
      <c r="F1305" s="1" t="str">
        <f>_xlfn.CONCAT(tabE.Flux[[#This Row],[DATA]],"+",tabE.Flux[[#This Row],[MOTORISTA + MATRÍCULA B]],"+",tabE.Flux[[#This Row],[LINHA]])</f>
        <v>45943+CANCELADO+</v>
      </c>
      <c r="G1305" s="1" t="str">
        <f>_xlfn.CONCAT(tabE.Flux[[#This Row],[DATA]],"+",tabE.Flux[[#This Row],[LINHA]])</f>
        <v>45943+</v>
      </c>
      <c r="H1305" s="125">
        <v>45943</v>
      </c>
      <c r="I1305" s="1" t="s">
        <v>15</v>
      </c>
      <c r="J1305" s="1" t="s">
        <v>27</v>
      </c>
      <c r="K1305" s="126">
        <v>0.375</v>
      </c>
      <c r="L1305" s="126">
        <v>0.41666666666666669</v>
      </c>
      <c r="M1305" s="1" t="s">
        <v>16</v>
      </c>
      <c r="N1305" s="1" t="s">
        <v>28</v>
      </c>
      <c r="O1305" s="1" t="s">
        <v>27</v>
      </c>
      <c r="P1305" s="1" t="s">
        <v>27</v>
      </c>
      <c r="Q1305" s="1"/>
    </row>
    <row r="1306" spans="3:17" x14ac:dyDescent="0.25">
      <c r="C1306" s="1" t="str">
        <f>_xlfn.CONCAT(tabE.Flux[[#This Row],[DATA]],"+",tabE.Flux[[#This Row],[MOTORISTA + MATRÍCULA A]])</f>
        <v>45943+  GILDEVAN DE ALMEIDA AGOSTINHO- 1924</v>
      </c>
      <c r="D1306" s="1" t="str">
        <f>_xlfn.CONCAT(tabE.Flux[[#This Row],[DATA]],"+",tabE.Flux[[#This Row],[MOTORISTA + MATRÍCULA B]])</f>
        <v>45943+ANTONIO LEONESIO CAMPELO DA SILVA - 5303</v>
      </c>
      <c r="E1306" s="1" t="str">
        <f>_xlfn.CONCAT(tabE.Flux[[#This Row],[DATA]],"+",tabE.Flux[[#This Row],[MOTORISTA + MATRÍCULA A]],"+",tabE.Flux[[#This Row],[LINHA]])</f>
        <v>45943+  GILDEVAN DE ALMEIDA AGOSTINHO- 1924+FORTALEZA (CE) X SINOP (MT)</v>
      </c>
      <c r="F1306" s="1" t="str">
        <f>_xlfn.CONCAT(tabE.Flux[[#This Row],[DATA]],"+",tabE.Flux[[#This Row],[MOTORISTA + MATRÍCULA B]],"+",tabE.Flux[[#This Row],[LINHA]])</f>
        <v>45943+ANTONIO LEONESIO CAMPELO DA SILVA - 5303+FORTALEZA (CE) X SINOP (MT)</v>
      </c>
      <c r="G1306" s="1" t="str">
        <f>_xlfn.CONCAT(tabE.Flux[[#This Row],[DATA]],"+",tabE.Flux[[#This Row],[LINHA]])</f>
        <v>45943+FORTALEZA (CE) X SINOP (MT)</v>
      </c>
      <c r="H1306" s="125">
        <v>45943</v>
      </c>
      <c r="I1306" s="1" t="s">
        <v>15</v>
      </c>
      <c r="J1306" s="1">
        <v>19022</v>
      </c>
      <c r="K1306" s="126">
        <v>0.3888888888888889</v>
      </c>
      <c r="L1306" s="126">
        <v>0.37708333333333333</v>
      </c>
      <c r="M1306" s="1" t="s">
        <v>16</v>
      </c>
      <c r="N1306" s="1" t="s">
        <v>29</v>
      </c>
      <c r="O1306" s="1" t="s">
        <v>262</v>
      </c>
      <c r="P1306" s="1" t="s">
        <v>111</v>
      </c>
      <c r="Q1306" s="1" t="s">
        <v>32</v>
      </c>
    </row>
    <row r="1307" spans="3:17" x14ac:dyDescent="0.25">
      <c r="C1307" s="1" t="str">
        <f>_xlfn.CONCAT(tabE.Flux[[#This Row],[DATA]],"+",tabE.Flux[[#This Row],[MOTORISTA + MATRÍCULA A]])</f>
        <v>45943+RICHARD SOUSA DA SILVA - 1271</v>
      </c>
      <c r="D1307" s="1" t="str">
        <f>_xlfn.CONCAT(tabE.Flux[[#This Row],[DATA]],"+",tabE.Flux[[#This Row],[MOTORISTA + MATRÍCULA B]])</f>
        <v>45943+REGINALDO DE SOUSA OLIVEIRA - 5412</v>
      </c>
      <c r="E1307" s="1" t="str">
        <f>_xlfn.CONCAT(tabE.Flux[[#This Row],[DATA]],"+",tabE.Flux[[#This Row],[MOTORISTA + MATRÍCULA A]],"+",tabE.Flux[[#This Row],[LINHA]])</f>
        <v>45943+RICHARD SOUSA DA SILVA - 1271+GOIANIA (GO) X BELEM (PA)</v>
      </c>
      <c r="F1307" s="1" t="str">
        <f>_xlfn.CONCAT(tabE.Flux[[#This Row],[DATA]],"+",tabE.Flux[[#This Row],[MOTORISTA + MATRÍCULA B]],"+",tabE.Flux[[#This Row],[LINHA]])</f>
        <v>45943+REGINALDO DE SOUSA OLIVEIRA - 5412+GOIANIA (GO) X BELEM (PA)</v>
      </c>
      <c r="G1307" s="1" t="str">
        <f>_xlfn.CONCAT(tabE.Flux[[#This Row],[DATA]],"+",tabE.Flux[[#This Row],[LINHA]])</f>
        <v>45943+GOIANIA (GO) X BELEM (PA)</v>
      </c>
      <c r="H1307" s="125">
        <v>45943</v>
      </c>
      <c r="I1307" s="1" t="s">
        <v>15</v>
      </c>
      <c r="J1307" s="1">
        <v>19001</v>
      </c>
      <c r="K1307" s="126">
        <v>0.38958333333333334</v>
      </c>
      <c r="L1307" s="126">
        <v>0.38541666666666669</v>
      </c>
      <c r="M1307" s="1" t="s">
        <v>16</v>
      </c>
      <c r="N1307" s="1" t="s">
        <v>33</v>
      </c>
      <c r="O1307" s="1" t="s">
        <v>56</v>
      </c>
      <c r="P1307" s="1" t="s">
        <v>239</v>
      </c>
      <c r="Q1307" s="1" t="s">
        <v>20</v>
      </c>
    </row>
    <row r="1308" spans="3:17" x14ac:dyDescent="0.25">
      <c r="C1308" s="1" t="str">
        <f>_xlfn.CONCAT(tabE.Flux[[#This Row],[DATA]],"+",tabE.Flux[[#This Row],[MOTORISTA + MATRÍCULA A]])</f>
        <v>45943+JWEBISON DE BRITO SOUZA - 2999</v>
      </c>
      <c r="D1308" s="1" t="str">
        <f>_xlfn.CONCAT(tabE.Flux[[#This Row],[DATA]],"+",tabE.Flux[[#This Row],[MOTORISTA + MATRÍCULA B]])</f>
        <v>45943+GENIVAN LEAL TEIXEIRA - 5302</v>
      </c>
      <c r="E1308" s="1" t="str">
        <f>_xlfn.CONCAT(tabE.Flux[[#This Row],[DATA]],"+",tabE.Flux[[#This Row],[MOTORISTA + MATRÍCULA A]],"+",tabE.Flux[[#This Row],[LINHA]])</f>
        <v>45943+JWEBISON DE BRITO SOUZA - 2999+GOIANIA (GO) X TERESINA (PI) VIA BC</v>
      </c>
      <c r="F1308" s="1" t="str">
        <f>_xlfn.CONCAT(tabE.Flux[[#This Row],[DATA]],"+",tabE.Flux[[#This Row],[MOTORISTA + MATRÍCULA B]],"+",tabE.Flux[[#This Row],[LINHA]])</f>
        <v>45943+GENIVAN LEAL TEIXEIRA - 5302+GOIANIA (GO) X TERESINA (PI) VIA BC</v>
      </c>
      <c r="G1308" s="1" t="str">
        <f>_xlfn.CONCAT(tabE.Flux[[#This Row],[DATA]],"+",tabE.Flux[[#This Row],[LINHA]])</f>
        <v>45943+GOIANIA (GO) X TERESINA (PI) VIA BC</v>
      </c>
      <c r="H1308" s="125">
        <v>45943</v>
      </c>
      <c r="I1308" s="1" t="s">
        <v>15</v>
      </c>
      <c r="J1308" s="1">
        <v>25007</v>
      </c>
      <c r="K1308" s="126">
        <v>0.375</v>
      </c>
      <c r="L1308" s="126">
        <v>0.39930555555555558</v>
      </c>
      <c r="M1308" s="1" t="s">
        <v>36</v>
      </c>
      <c r="N1308" s="1" t="s">
        <v>29</v>
      </c>
      <c r="O1308" s="1" t="s">
        <v>77</v>
      </c>
      <c r="P1308" s="1" t="s">
        <v>38</v>
      </c>
      <c r="Q1308" s="1" t="s">
        <v>39</v>
      </c>
    </row>
    <row r="1309" spans="3:17" x14ac:dyDescent="0.25">
      <c r="C1309" s="1" t="str">
        <f>_xlfn.CONCAT(tabE.Flux[[#This Row],[DATA]],"+",tabE.Flux[[#This Row],[MOTORISTA + MATRÍCULA A]])</f>
        <v>45943+EDIVALDO DOS SANTOS SOUZA - 905</v>
      </c>
      <c r="D1309" s="1" t="str">
        <f>_xlfn.CONCAT(tabE.Flux[[#This Row],[DATA]],"+",tabE.Flux[[#This Row],[MOTORISTA + MATRÍCULA B]])</f>
        <v>45943+BERNARDO SOUZA LIMA - 1720</v>
      </c>
      <c r="E1309" s="1" t="str">
        <f>_xlfn.CONCAT(tabE.Flux[[#This Row],[DATA]],"+",tabE.Flux[[#This Row],[MOTORISTA + MATRÍCULA A]],"+",tabE.Flux[[#This Row],[LINHA]])</f>
        <v>45943+EDIVALDO DOS SANTOS SOUZA - 905+GOIANIA (GO) X BELEM (PA)</v>
      </c>
      <c r="F1309" s="1" t="str">
        <f>_xlfn.CONCAT(tabE.Flux[[#This Row],[DATA]],"+",tabE.Flux[[#This Row],[MOTORISTA + MATRÍCULA B]],"+",tabE.Flux[[#This Row],[LINHA]])</f>
        <v>45943+BERNARDO SOUZA LIMA - 1720+GOIANIA (GO) X BELEM (PA)</v>
      </c>
      <c r="G1309" s="1" t="str">
        <f>_xlfn.CONCAT(tabE.Flux[[#This Row],[DATA]],"+",tabE.Flux[[#This Row],[LINHA]])</f>
        <v>45943+GOIANIA (GO) X BELEM (PA)</v>
      </c>
      <c r="H1309" s="125">
        <v>45943</v>
      </c>
      <c r="I1309" s="1" t="s">
        <v>15</v>
      </c>
      <c r="J1309" s="1">
        <v>19009</v>
      </c>
      <c r="K1309" s="126">
        <v>0.375</v>
      </c>
      <c r="L1309" s="126">
        <v>0.41666666666666669</v>
      </c>
      <c r="M1309" s="1" t="s">
        <v>33</v>
      </c>
      <c r="N1309" s="1" t="s">
        <v>16</v>
      </c>
      <c r="O1309" s="1" t="s">
        <v>187</v>
      </c>
      <c r="P1309" s="1" t="s">
        <v>123</v>
      </c>
      <c r="Q1309" s="1" t="s">
        <v>20</v>
      </c>
    </row>
    <row r="1310" spans="3:17" x14ac:dyDescent="0.25">
      <c r="C1310" s="1" t="str">
        <f>_xlfn.CONCAT(tabE.Flux[[#This Row],[DATA]],"+",tabE.Flux[[#This Row],[MOTORISTA + MATRÍCULA A]])</f>
        <v>45943+PAULO ENEAS FARIAS ARAUJO - 6218</v>
      </c>
      <c r="D1310" s="1" t="str">
        <f>_xlfn.CONCAT(tabE.Flux[[#This Row],[DATA]],"+",tabE.Flux[[#This Row],[MOTORISTA + MATRÍCULA B]])</f>
        <v>45943+AELSON PEREIRA DO NASCIMENTO - 5682</v>
      </c>
      <c r="E1310" s="1" t="str">
        <f>_xlfn.CONCAT(tabE.Flux[[#This Row],[DATA]],"+",tabE.Flux[[#This Row],[MOTORISTA + MATRÍCULA A]],"+",tabE.Flux[[#This Row],[LINHA]])</f>
        <v>45943+PAULO ENEAS FARIAS ARAUJO - 6218+GOIANIA (GO) X SAO LUIS (MA)</v>
      </c>
      <c r="F1310" s="1" t="str">
        <f>_xlfn.CONCAT(tabE.Flux[[#This Row],[DATA]],"+",tabE.Flux[[#This Row],[MOTORISTA + MATRÍCULA B]],"+",tabE.Flux[[#This Row],[LINHA]])</f>
        <v>45943+AELSON PEREIRA DO NASCIMENTO - 5682+GOIANIA (GO) X SAO LUIS (MA)</v>
      </c>
      <c r="G1310" s="1" t="str">
        <f>_xlfn.CONCAT(tabE.Flux[[#This Row],[DATA]],"+",tabE.Flux[[#This Row],[LINHA]])</f>
        <v>45943+GOIANIA (GO) X SAO LUIS (MA)</v>
      </c>
      <c r="H1310" s="125">
        <v>45943</v>
      </c>
      <c r="I1310" s="1" t="s">
        <v>15</v>
      </c>
      <c r="J1310" s="1">
        <v>19020</v>
      </c>
      <c r="K1310" s="126">
        <v>0.25</v>
      </c>
      <c r="L1310" s="126">
        <v>0.29166666666666669</v>
      </c>
      <c r="M1310" s="1" t="s">
        <v>42</v>
      </c>
      <c r="N1310" s="1" t="s">
        <v>16</v>
      </c>
      <c r="O1310" s="1" t="s">
        <v>43</v>
      </c>
      <c r="P1310" s="1" t="s">
        <v>88</v>
      </c>
      <c r="Q1310" s="1" t="s">
        <v>23</v>
      </c>
    </row>
    <row r="1311" spans="3:17" x14ac:dyDescent="0.25">
      <c r="C1311" s="1" t="str">
        <f>_xlfn.CONCAT(tabE.Flux[[#This Row],[DATA]],"+",tabE.Flux[[#This Row],[MOTORISTA + MATRÍCULA A]])</f>
        <v>45943+CARLOS ADRIANO DE SOUZA DO NASCIMENTO - 6222</v>
      </c>
      <c r="D1311" s="1" t="str">
        <f>_xlfn.CONCAT(tabE.Flux[[#This Row],[DATA]],"+",tabE.Flux[[#This Row],[MOTORISTA + MATRÍCULA B]])</f>
        <v>45943+LUIZ CARLOS MARIANO SIQUEIRA - 5634</v>
      </c>
      <c r="E1311" s="1" t="str">
        <f>_xlfn.CONCAT(tabE.Flux[[#This Row],[DATA]],"+",tabE.Flux[[#This Row],[MOTORISTA + MATRÍCULA A]],"+",tabE.Flux[[#This Row],[LINHA]])</f>
        <v>45943+CARLOS ADRIANO DE SOUZA DO NASCIMENTO - 6222+GOIANIA (GO) X SAO LUIS (MA)</v>
      </c>
      <c r="F1311" s="1" t="str">
        <f>_xlfn.CONCAT(tabE.Flux[[#This Row],[DATA]],"+",tabE.Flux[[#This Row],[MOTORISTA + MATRÍCULA B]],"+",tabE.Flux[[#This Row],[LINHA]])</f>
        <v>45943+LUIZ CARLOS MARIANO SIQUEIRA - 5634+GOIANIA (GO) X SAO LUIS (MA)</v>
      </c>
      <c r="G1311" s="1" t="str">
        <f>_xlfn.CONCAT(tabE.Flux[[#This Row],[DATA]],"+",tabE.Flux[[#This Row],[LINHA]])</f>
        <v>45943+GOIANIA (GO) X SAO LUIS (MA)</v>
      </c>
      <c r="H1311" s="125">
        <v>45943</v>
      </c>
      <c r="I1311" s="1" t="s">
        <v>15</v>
      </c>
      <c r="J1311" s="1">
        <v>24016</v>
      </c>
      <c r="K1311" s="126">
        <v>0.75</v>
      </c>
      <c r="L1311" s="126">
        <v>0.79166666666666663</v>
      </c>
      <c r="M1311" s="1" t="s">
        <v>42</v>
      </c>
      <c r="N1311" s="1" t="s">
        <v>16</v>
      </c>
      <c r="O1311" s="1" t="s">
        <v>110</v>
      </c>
      <c r="P1311" s="1" t="s">
        <v>51</v>
      </c>
      <c r="Q1311" s="1" t="s">
        <v>23</v>
      </c>
    </row>
    <row r="1312" spans="3:17" x14ac:dyDescent="0.25">
      <c r="C1312" s="1" t="str">
        <f>_xlfn.CONCAT(tabE.Flux[[#This Row],[DATA]],"+",tabE.Flux[[#This Row],[MOTORISTA + MATRÍCULA A]])</f>
        <v>45943+CANCELADO</v>
      </c>
      <c r="D1312" s="1" t="str">
        <f>_xlfn.CONCAT(tabE.Flux[[#This Row],[DATA]],"+",tabE.Flux[[#This Row],[MOTORISTA + MATRÍCULA B]])</f>
        <v>45943+CANCELADO</v>
      </c>
      <c r="E1312" s="1" t="str">
        <f>_xlfn.CONCAT(tabE.Flux[[#This Row],[DATA]],"+",tabE.Flux[[#This Row],[MOTORISTA + MATRÍCULA A]],"+",tabE.Flux[[#This Row],[LINHA]])</f>
        <v>45943+CANCELADO+IMPERATRIZ (MA) X SÃO LUIS (MA)</v>
      </c>
      <c r="F1312" s="1" t="str">
        <f>_xlfn.CONCAT(tabE.Flux[[#This Row],[DATA]],"+",tabE.Flux[[#This Row],[MOTORISTA + MATRÍCULA B]],"+",tabE.Flux[[#This Row],[LINHA]])</f>
        <v>45943+CANCELADO+IMPERATRIZ (MA) X SÃO LUIS (MA)</v>
      </c>
      <c r="G1312" s="1" t="str">
        <f>_xlfn.CONCAT(tabE.Flux[[#This Row],[DATA]],"+",tabE.Flux[[#This Row],[LINHA]])</f>
        <v>45943+IMPERATRIZ (MA) X SÃO LUIS (MA)</v>
      </c>
      <c r="H1312" s="125">
        <v>45943</v>
      </c>
      <c r="I1312" s="1" t="s">
        <v>15</v>
      </c>
      <c r="J1312" s="1" t="s">
        <v>27</v>
      </c>
      <c r="K1312" s="126">
        <v>0.77083333333333337</v>
      </c>
      <c r="L1312" s="126">
        <v>0.79513888888888884</v>
      </c>
      <c r="M1312" s="1" t="s">
        <v>42</v>
      </c>
      <c r="N1312" s="1" t="s">
        <v>16</v>
      </c>
      <c r="O1312" s="1" t="s">
        <v>27</v>
      </c>
      <c r="P1312" s="1" t="s">
        <v>27</v>
      </c>
      <c r="Q1312" s="1" t="s">
        <v>47</v>
      </c>
    </row>
    <row r="1313" spans="3:17" x14ac:dyDescent="0.25">
      <c r="C1313" s="1" t="str">
        <f>_xlfn.CONCAT(tabE.Flux[[#This Row],[DATA]],"+",tabE.Flux[[#This Row],[MOTORISTA + MATRÍCULA A]])</f>
        <v>45943+LUIZ CARLOS GOMES DA SILVA - 1961</v>
      </c>
      <c r="D1313" s="1" t="str">
        <f>_xlfn.CONCAT(tabE.Flux[[#This Row],[DATA]],"+",tabE.Flux[[#This Row],[MOTORISTA + MATRÍCULA B]])</f>
        <v>45943+DELEY CARVALHO DE SOUZA - 5624</v>
      </c>
      <c r="E1313" s="1" t="str">
        <f>_xlfn.CONCAT(tabE.Flux[[#This Row],[DATA]],"+",tabE.Flux[[#This Row],[MOTORISTA + MATRÍCULA A]],"+",tabE.Flux[[#This Row],[LINHA]])</f>
        <v>45943+LUIZ CARLOS GOMES DA SILVA - 1961+GOIANIA (GO) X TERESINA (PI) VIA BC</v>
      </c>
      <c r="F1313" s="1" t="str">
        <f>_xlfn.CONCAT(tabE.Flux[[#This Row],[DATA]],"+",tabE.Flux[[#This Row],[MOTORISTA + MATRÍCULA B]],"+",tabE.Flux[[#This Row],[LINHA]])</f>
        <v>45943+DELEY CARVALHO DE SOUZA - 5624+GOIANIA (GO) X TERESINA (PI) VIA BC</v>
      </c>
      <c r="G1313" s="1" t="str">
        <f>_xlfn.CONCAT(tabE.Flux[[#This Row],[DATA]],"+",tabE.Flux[[#This Row],[LINHA]])</f>
        <v>45943+GOIANIA (GO) X TERESINA (PI) VIA BC</v>
      </c>
      <c r="H1313" s="125">
        <v>45943</v>
      </c>
      <c r="I1313" s="1" t="s">
        <v>15</v>
      </c>
      <c r="J1313" s="1">
        <v>25005</v>
      </c>
      <c r="K1313" s="126">
        <v>0.89583333333333337</v>
      </c>
      <c r="L1313" s="126">
        <v>0.91666666666666663</v>
      </c>
      <c r="M1313" s="1" t="s">
        <v>36</v>
      </c>
      <c r="N1313" s="1" t="s">
        <v>17</v>
      </c>
      <c r="O1313" s="1" t="s">
        <v>25</v>
      </c>
      <c r="P1313" s="1" t="s">
        <v>247</v>
      </c>
      <c r="Q1313" s="1" t="s">
        <v>39</v>
      </c>
    </row>
    <row r="1314" spans="3:17" x14ac:dyDescent="0.25">
      <c r="C1314" s="1" t="str">
        <f>_xlfn.CONCAT(tabE.Flux[[#This Row],[DATA]],"+",tabE.Flux[[#This Row],[MOTORISTA + MATRÍCULA A]])</f>
        <v>45943+FRANCISCO RAIMUNDO VIANA DE SOUSA - 5314</v>
      </c>
      <c r="D1314" s="1" t="str">
        <f>_xlfn.CONCAT(tabE.Flux[[#This Row],[DATA]],"+",tabE.Flux[[#This Row],[MOTORISTA + MATRÍCULA B]])</f>
        <v>45943+MARCIO RODRIGUES DA COSTA - 5993</v>
      </c>
      <c r="E1314" s="1" t="str">
        <f>_xlfn.CONCAT(tabE.Flux[[#This Row],[DATA]],"+",tabE.Flux[[#This Row],[MOTORISTA + MATRÍCULA A]],"+",tabE.Flux[[#This Row],[LINHA]])</f>
        <v>45943+FRANCISCO RAIMUNDO VIANA DE SOUSA - 5314+GOIANIA (GO) X BELEM (PA)</v>
      </c>
      <c r="F1314" s="1" t="str">
        <f>_xlfn.CONCAT(tabE.Flux[[#This Row],[DATA]],"+",tabE.Flux[[#This Row],[MOTORISTA + MATRÍCULA B]],"+",tabE.Flux[[#This Row],[LINHA]])</f>
        <v>45943+MARCIO RODRIGUES DA COSTA - 5993+GOIANIA (GO) X BELEM (PA)</v>
      </c>
      <c r="G1314" s="1" t="str">
        <f>_xlfn.CONCAT(tabE.Flux[[#This Row],[DATA]],"+",tabE.Flux[[#This Row],[LINHA]])</f>
        <v>45943+GOIANIA (GO) X BELEM (PA)</v>
      </c>
      <c r="H1314" s="125">
        <v>45943</v>
      </c>
      <c r="I1314" s="1" t="s">
        <v>15</v>
      </c>
      <c r="J1314" s="1">
        <v>25009</v>
      </c>
      <c r="K1314" s="126">
        <v>0.76041666666666663</v>
      </c>
      <c r="L1314" s="126">
        <v>0.77083333333333337</v>
      </c>
      <c r="M1314" s="1" t="s">
        <v>33</v>
      </c>
      <c r="N1314" s="1" t="s">
        <v>16</v>
      </c>
      <c r="O1314" s="1" t="s">
        <v>87</v>
      </c>
      <c r="P1314" s="1" t="s">
        <v>107</v>
      </c>
      <c r="Q1314" s="1" t="s">
        <v>20</v>
      </c>
    </row>
    <row r="1315" spans="3:17" x14ac:dyDescent="0.25">
      <c r="C1315" s="1" t="str">
        <f>_xlfn.CONCAT(tabE.Flux[[#This Row],[DATA]],"+",tabE.Flux[[#This Row],[MOTORISTA + MATRÍCULA A]])</f>
        <v>45943+RAINERIO COSTA MENDES - 5850</v>
      </c>
      <c r="D1315" s="1" t="str">
        <f>_xlfn.CONCAT(tabE.Flux[[#This Row],[DATA]],"+",tabE.Flux[[#This Row],[MOTORISTA + MATRÍCULA B]])</f>
        <v>45943+GILVAN DE SOUSA FRANCA - 5834</v>
      </c>
      <c r="E1315" s="1" t="str">
        <f>_xlfn.CONCAT(tabE.Flux[[#This Row],[DATA]],"+",tabE.Flux[[#This Row],[MOTORISTA + MATRÍCULA A]],"+",tabE.Flux[[#This Row],[LINHA]])</f>
        <v>45943+RAINERIO COSTA MENDES - 5850+GOIANIA (GO) X BELEM (PA)</v>
      </c>
      <c r="F1315" s="1" t="str">
        <f>_xlfn.CONCAT(tabE.Flux[[#This Row],[DATA]],"+",tabE.Flux[[#This Row],[MOTORISTA + MATRÍCULA B]],"+",tabE.Flux[[#This Row],[LINHA]])</f>
        <v>45943+GILVAN DE SOUSA FRANCA - 5834+GOIANIA (GO) X BELEM (PA)</v>
      </c>
      <c r="G1315" s="1" t="str">
        <f>_xlfn.CONCAT(tabE.Flux[[#This Row],[DATA]],"+",tabE.Flux[[#This Row],[LINHA]])</f>
        <v>45943+GOIANIA (GO) X BELEM (PA)</v>
      </c>
      <c r="H1315" s="125">
        <v>45943</v>
      </c>
      <c r="I1315" s="1" t="s">
        <v>15</v>
      </c>
      <c r="J1315" s="1">
        <v>24011</v>
      </c>
      <c r="K1315" s="126">
        <v>0.76041666666666663</v>
      </c>
      <c r="L1315" s="126">
        <v>0.82777777777777772</v>
      </c>
      <c r="M1315" s="1" t="s">
        <v>16</v>
      </c>
      <c r="N1315" s="1" t="s">
        <v>33</v>
      </c>
      <c r="O1315" s="1" t="s">
        <v>108</v>
      </c>
      <c r="P1315" s="1" t="s">
        <v>35</v>
      </c>
      <c r="Q1315" s="1" t="s">
        <v>20</v>
      </c>
    </row>
    <row r="1316" spans="3:17" x14ac:dyDescent="0.25">
      <c r="C1316" s="1" t="str">
        <f>_xlfn.CONCAT(tabE.Flux[[#This Row],[DATA]],"+",tabE.Flux[[#This Row],[MOTORISTA + MATRÍCULA A]])</f>
        <v>45943+EUGENIO PEREIRA DOS SANTOS - 1197</v>
      </c>
      <c r="D1316" s="1" t="str">
        <f>_xlfn.CONCAT(tabE.Flux[[#This Row],[DATA]],"+",tabE.Flux[[#This Row],[MOTORISTA + MATRÍCULA B]])</f>
        <v>45943+LAUCEANDO DA SILVA ROCHA - 6220</v>
      </c>
      <c r="E1316" s="1" t="str">
        <f>_xlfn.CONCAT(tabE.Flux[[#This Row],[DATA]],"+",tabE.Flux[[#This Row],[MOTORISTA + MATRÍCULA A]],"+",tabE.Flux[[#This Row],[LINHA]])</f>
        <v>45943+EUGENIO PEREIRA DOS SANTOS - 1197+GOIANIA (GO) X SAO LUIS (MA)</v>
      </c>
      <c r="F1316" s="1" t="str">
        <f>_xlfn.CONCAT(tabE.Flux[[#This Row],[DATA]],"+",tabE.Flux[[#This Row],[MOTORISTA + MATRÍCULA B]],"+",tabE.Flux[[#This Row],[LINHA]])</f>
        <v>45943+LAUCEANDO DA SILVA ROCHA - 6220+GOIANIA (GO) X SAO LUIS (MA)</v>
      </c>
      <c r="G1316" s="1" t="str">
        <f>_xlfn.CONCAT(tabE.Flux[[#This Row],[DATA]],"+",tabE.Flux[[#This Row],[LINHA]])</f>
        <v>45943+GOIANIA (GO) X SAO LUIS (MA)</v>
      </c>
      <c r="H1316" s="125">
        <v>45943</v>
      </c>
      <c r="I1316" s="1" t="s">
        <v>15</v>
      </c>
      <c r="J1316" s="1">
        <v>19026</v>
      </c>
      <c r="K1316" s="126">
        <v>0.40763888888888888</v>
      </c>
      <c r="L1316" s="126">
        <v>0.47013888888888888</v>
      </c>
      <c r="M1316" s="1" t="s">
        <v>16</v>
      </c>
      <c r="N1316" s="1" t="s">
        <v>42</v>
      </c>
      <c r="O1316" s="1" t="s">
        <v>264</v>
      </c>
      <c r="P1316" s="1" t="s">
        <v>86</v>
      </c>
      <c r="Q1316" s="1" t="s">
        <v>23</v>
      </c>
    </row>
    <row r="1317" spans="3:17" x14ac:dyDescent="0.25">
      <c r="C1317" s="1" t="str">
        <f>_xlfn.CONCAT(tabE.Flux[[#This Row],[DATA]],"+",tabE.Flux[[#This Row],[MOTORISTA + MATRÍCULA A]])</f>
        <v>45943+CANCELADO</v>
      </c>
      <c r="D1317" s="1" t="str">
        <f>_xlfn.CONCAT(tabE.Flux[[#This Row],[DATA]],"+",tabE.Flux[[#This Row],[MOTORISTA + MATRÍCULA B]])</f>
        <v>45943+CANCELADO</v>
      </c>
      <c r="E1317" s="1" t="str">
        <f>_xlfn.CONCAT(tabE.Flux[[#This Row],[DATA]],"+",tabE.Flux[[#This Row],[MOTORISTA + MATRÍCULA A]],"+",tabE.Flux[[#This Row],[LINHA]])</f>
        <v>45943+CANCELADO+IMPERATRIZ (MA) X SÃO LUIS (MA)</v>
      </c>
      <c r="F1317" s="1" t="str">
        <f>_xlfn.CONCAT(tabE.Flux[[#This Row],[DATA]],"+",tabE.Flux[[#This Row],[MOTORISTA + MATRÍCULA B]],"+",tabE.Flux[[#This Row],[LINHA]])</f>
        <v>45943+CANCELADO+IMPERATRIZ (MA) X SÃO LUIS (MA)</v>
      </c>
      <c r="G1317" s="1" t="str">
        <f>_xlfn.CONCAT(tabE.Flux[[#This Row],[DATA]],"+",tabE.Flux[[#This Row],[LINHA]])</f>
        <v>45943+IMPERATRIZ (MA) X SÃO LUIS (MA)</v>
      </c>
      <c r="H1317" s="125">
        <v>45943</v>
      </c>
      <c r="I1317" s="1" t="s">
        <v>15</v>
      </c>
      <c r="J1317" s="1" t="s">
        <v>27</v>
      </c>
      <c r="K1317" s="126">
        <v>0.77083333333333337</v>
      </c>
      <c r="L1317" s="126">
        <v>0.8125</v>
      </c>
      <c r="M1317" s="1" t="s">
        <v>16</v>
      </c>
      <c r="N1317" s="1" t="s">
        <v>42</v>
      </c>
      <c r="O1317" s="1" t="s">
        <v>27</v>
      </c>
      <c r="P1317" s="1" t="s">
        <v>27</v>
      </c>
      <c r="Q1317" s="1" t="s">
        <v>47</v>
      </c>
    </row>
    <row r="1318" spans="3:17" x14ac:dyDescent="0.25">
      <c r="C1318" s="1" t="str">
        <f>_xlfn.CONCAT(tabE.Flux[[#This Row],[DATA]],"+",tabE.Flux[[#This Row],[MOTORISTA + MATRÍCULA A]])</f>
        <v>45943+RONALDO ADRIANO COSTA SANTOS - 5637</v>
      </c>
      <c r="D1318" s="1" t="str">
        <f>_xlfn.CONCAT(tabE.Flux[[#This Row],[DATA]],"+",tabE.Flux[[#This Row],[MOTORISTA + MATRÍCULA B]])</f>
        <v>45943+PAULO ENEAS FARIAS ARAUJO - 6218</v>
      </c>
      <c r="E1318" s="1" t="str">
        <f>_xlfn.CONCAT(tabE.Flux[[#This Row],[DATA]],"+",tabE.Flux[[#This Row],[MOTORISTA + MATRÍCULA A]],"+",tabE.Flux[[#This Row],[LINHA]])</f>
        <v>45943+RONALDO ADRIANO COSTA SANTOS - 5637+GOIANIA (GO) X SAO LUIS (MA)</v>
      </c>
      <c r="F1318" s="1" t="str">
        <f>_xlfn.CONCAT(tabE.Flux[[#This Row],[DATA]],"+",tabE.Flux[[#This Row],[MOTORISTA + MATRÍCULA B]],"+",tabE.Flux[[#This Row],[LINHA]])</f>
        <v>45943+PAULO ENEAS FARIAS ARAUJO - 6218+GOIANIA (GO) X SAO LUIS (MA)</v>
      </c>
      <c r="G1318" s="1" t="str">
        <f>_xlfn.CONCAT(tabE.Flux[[#This Row],[DATA]],"+",tabE.Flux[[#This Row],[LINHA]])</f>
        <v>45943+GOIANIA (GO) X SAO LUIS (MA)</v>
      </c>
      <c r="H1318" s="125">
        <v>45943</v>
      </c>
      <c r="I1318" s="1" t="s">
        <v>15</v>
      </c>
      <c r="J1318" s="1">
        <v>24013</v>
      </c>
      <c r="K1318" s="126">
        <v>0.8125</v>
      </c>
      <c r="L1318" s="126">
        <v>0.84375</v>
      </c>
      <c r="M1318" s="1" t="s">
        <v>16</v>
      </c>
      <c r="N1318" s="1" t="s">
        <v>42</v>
      </c>
      <c r="O1318" s="1" t="s">
        <v>41</v>
      </c>
      <c r="P1318" s="1" t="s">
        <v>43</v>
      </c>
      <c r="Q1318" s="1" t="s">
        <v>23</v>
      </c>
    </row>
    <row r="1319" spans="3:17" x14ac:dyDescent="0.25">
      <c r="C1319" s="1" t="str">
        <f>_xlfn.CONCAT(tabE.Flux[[#This Row],[DATA]],"+",tabE.Flux[[#This Row],[MOTORISTA + MATRÍCULA A]])</f>
        <v>45943+ADEMILTON DE OLIVEIRA SILVA - 5559</v>
      </c>
      <c r="D1319" s="1" t="str">
        <f>_xlfn.CONCAT(tabE.Flux[[#This Row],[DATA]],"+",tabE.Flux[[#This Row],[MOTORISTA + MATRÍCULA B]])</f>
        <v>45943+PAULO MORAES DOS SANTOS - 1534</v>
      </c>
      <c r="E1319" s="1" t="str">
        <f>_xlfn.CONCAT(tabE.Flux[[#This Row],[DATA]],"+",tabE.Flux[[#This Row],[MOTORISTA + MATRÍCULA A]],"+",tabE.Flux[[#This Row],[LINHA]])</f>
        <v>45943+ADEMILTON DE OLIVEIRA SILVA - 5559+GOIANIA (GO) X TERESINA (PI) VIA STI</v>
      </c>
      <c r="F1319" s="1" t="str">
        <f>_xlfn.CONCAT(tabE.Flux[[#This Row],[DATA]],"+",tabE.Flux[[#This Row],[MOTORISTA + MATRÍCULA B]],"+",tabE.Flux[[#This Row],[LINHA]])</f>
        <v>45943+PAULO MORAES DOS SANTOS - 1534+GOIANIA (GO) X TERESINA (PI) VIA STI</v>
      </c>
      <c r="G1319" s="1" t="str">
        <f>_xlfn.CONCAT(tabE.Flux[[#This Row],[DATA]],"+",tabE.Flux[[#This Row],[LINHA]])</f>
        <v>45943+GOIANIA (GO) X TERESINA (PI) VIA STI</v>
      </c>
      <c r="H1319" s="125">
        <v>45943</v>
      </c>
      <c r="I1319" s="1" t="s">
        <v>15</v>
      </c>
      <c r="J1319" s="1">
        <v>19005</v>
      </c>
      <c r="K1319" s="126">
        <v>0.77083333333333337</v>
      </c>
      <c r="L1319" s="126">
        <v>0.79861111111111116</v>
      </c>
      <c r="M1319" s="1" t="s">
        <v>16</v>
      </c>
      <c r="N1319" s="1" t="s">
        <v>29</v>
      </c>
      <c r="O1319" s="1" t="s">
        <v>40</v>
      </c>
      <c r="P1319" s="1" t="s">
        <v>225</v>
      </c>
      <c r="Q1319" s="1" t="s">
        <v>26</v>
      </c>
    </row>
    <row r="1320" spans="3:17" x14ac:dyDescent="0.25">
      <c r="C1320" s="1" t="str">
        <f>_xlfn.CONCAT(tabE.Flux[[#This Row],[DATA]],"+",tabE.Flux[[#This Row],[MOTORISTA + MATRÍCULA A]])</f>
        <v>45943+ADALTON ALMEIDA DE SOUZA - 1941</v>
      </c>
      <c r="D1320" s="1" t="str">
        <f>_xlfn.CONCAT(tabE.Flux[[#This Row],[DATA]],"+",tabE.Flux[[#This Row],[MOTORISTA + MATRÍCULA B]])</f>
        <v>45943+JAKTAN DE OLIVEIRA RODRIGUES - 5836</v>
      </c>
      <c r="E1320" s="1" t="str">
        <f>_xlfn.CONCAT(tabE.Flux[[#This Row],[DATA]],"+",tabE.Flux[[#This Row],[MOTORISTA + MATRÍCULA A]],"+",tabE.Flux[[#This Row],[LINHA]])</f>
        <v>45943+ADALTON ALMEIDA DE SOUZA - 1941+GOIANIA (GO) X SAO LUIS (MA)</v>
      </c>
      <c r="F1320" s="1" t="str">
        <f>_xlfn.CONCAT(tabE.Flux[[#This Row],[DATA]],"+",tabE.Flux[[#This Row],[MOTORISTA + MATRÍCULA B]],"+",tabE.Flux[[#This Row],[LINHA]])</f>
        <v>45943+JAKTAN DE OLIVEIRA RODRIGUES - 5836+GOIANIA (GO) X SAO LUIS (MA)</v>
      </c>
      <c r="G1320" s="1" t="str">
        <f>_xlfn.CONCAT(tabE.Flux[[#This Row],[DATA]],"+",tabE.Flux[[#This Row],[LINHA]])</f>
        <v>45943+GOIANIA (GO) X SAO LUIS (MA)</v>
      </c>
      <c r="H1320" s="125">
        <v>45943</v>
      </c>
      <c r="I1320" s="1" t="s">
        <v>15</v>
      </c>
      <c r="J1320" s="1">
        <v>19020</v>
      </c>
      <c r="K1320" s="126">
        <v>0.8125</v>
      </c>
      <c r="L1320" s="126">
        <v>0.84166666666666667</v>
      </c>
      <c r="M1320" s="1" t="s">
        <v>16</v>
      </c>
      <c r="N1320" s="1" t="s">
        <v>17</v>
      </c>
      <c r="O1320" s="1" t="s">
        <v>132</v>
      </c>
      <c r="P1320" s="1" t="s">
        <v>59</v>
      </c>
      <c r="Q1320" s="1" t="s">
        <v>23</v>
      </c>
    </row>
    <row r="1321" spans="3:17" x14ac:dyDescent="0.25">
      <c r="C1321" s="1" t="str">
        <f>_xlfn.CONCAT(tabE.Flux[[#This Row],[DATA]],"+",tabE.Flux[[#This Row],[MOTORISTA + MATRÍCULA A]])</f>
        <v>45943+GERALDO DE OLIVEIRA GOMES - 1360</v>
      </c>
      <c r="D1321" s="1" t="str">
        <f>_xlfn.CONCAT(tabE.Flux[[#This Row],[DATA]],"+",tabE.Flux[[#This Row],[MOTORISTA + MATRÍCULA B]])</f>
        <v>45943+JOSE SOARES DA SILVA FILHO - 3093</v>
      </c>
      <c r="E1321" s="1" t="str">
        <f>_xlfn.CONCAT(tabE.Flux[[#This Row],[DATA]],"+",tabE.Flux[[#This Row],[MOTORISTA + MATRÍCULA A]],"+",tabE.Flux[[#This Row],[LINHA]])</f>
        <v>45943+GERALDO DE OLIVEIRA GOMES - 1360+FORTALEZA (CE) X SINOP (MT)</v>
      </c>
      <c r="F1321" s="1" t="str">
        <f>_xlfn.CONCAT(tabE.Flux[[#This Row],[DATA]],"+",tabE.Flux[[#This Row],[MOTORISTA + MATRÍCULA B]],"+",tabE.Flux[[#This Row],[LINHA]])</f>
        <v>45943+JOSE SOARES DA SILVA FILHO - 3093+FORTALEZA (CE) X SINOP (MT)</v>
      </c>
      <c r="G1321" s="1" t="str">
        <f>_xlfn.CONCAT(tabE.Flux[[#This Row],[DATA]],"+",tabE.Flux[[#This Row],[LINHA]])</f>
        <v>45943+FORTALEZA (CE) X SINOP (MT)</v>
      </c>
      <c r="H1321" s="125">
        <v>45943</v>
      </c>
      <c r="I1321" s="1" t="s">
        <v>15</v>
      </c>
      <c r="J1321" s="1">
        <v>19025</v>
      </c>
      <c r="K1321" s="126">
        <v>0.8125</v>
      </c>
      <c r="L1321" s="126">
        <v>0.85416666666666663</v>
      </c>
      <c r="M1321" s="1" t="s">
        <v>16</v>
      </c>
      <c r="N1321" s="1" t="s">
        <v>17</v>
      </c>
      <c r="O1321" s="1" t="s">
        <v>245</v>
      </c>
      <c r="P1321" s="1" t="s">
        <v>171</v>
      </c>
      <c r="Q1321" s="1" t="s">
        <v>32</v>
      </c>
    </row>
    <row r="1322" spans="3:17" x14ac:dyDescent="0.25">
      <c r="C1322" s="1" t="str">
        <f>_xlfn.CONCAT(tabE.Flux[[#This Row],[DATA]],"+",tabE.Flux[[#This Row],[MOTORISTA + MATRÍCULA A]])</f>
        <v>45943+VILMAR JOSE CAMILO - 948</v>
      </c>
      <c r="D1322" s="1" t="str">
        <f>_xlfn.CONCAT(tabE.Flux[[#This Row],[DATA]],"+",tabE.Flux[[#This Row],[MOTORISTA + MATRÍCULA B]])</f>
        <v>45943+NELIO ALENCAR DOS SANTOS - 1759</v>
      </c>
      <c r="E1322" s="1" t="str">
        <f>_xlfn.CONCAT(tabE.Flux[[#This Row],[DATA]],"+",tabE.Flux[[#This Row],[MOTORISTA + MATRÍCULA A]],"+",tabE.Flux[[#This Row],[LINHA]])</f>
        <v>45943+VILMAR JOSE CAMILO - 948+GOIANIA (GO) X BELEM (PA)</v>
      </c>
      <c r="F1322" s="1" t="str">
        <f>_xlfn.CONCAT(tabE.Flux[[#This Row],[DATA]],"+",tabE.Flux[[#This Row],[MOTORISTA + MATRÍCULA B]],"+",tabE.Flux[[#This Row],[LINHA]])</f>
        <v>45943+NELIO ALENCAR DOS SANTOS - 1759+GOIANIA (GO) X BELEM (PA)</v>
      </c>
      <c r="G1322" s="1" t="str">
        <f>_xlfn.CONCAT(tabE.Flux[[#This Row],[DATA]],"+",tabE.Flux[[#This Row],[LINHA]])</f>
        <v>45943+GOIANIA (GO) X BELEM (PA)</v>
      </c>
      <c r="H1322" s="125">
        <v>45943</v>
      </c>
      <c r="I1322" s="1" t="s">
        <v>15</v>
      </c>
      <c r="J1322" s="1">
        <v>19009</v>
      </c>
      <c r="K1322" s="126">
        <v>0.84722222222222221</v>
      </c>
      <c r="L1322" s="126">
        <v>0.87847222222222221</v>
      </c>
      <c r="M1322" s="1" t="s">
        <v>16</v>
      </c>
      <c r="N1322" s="1" t="s">
        <v>17</v>
      </c>
      <c r="O1322" s="1" t="s">
        <v>95</v>
      </c>
      <c r="P1322" s="1" t="s">
        <v>67</v>
      </c>
      <c r="Q1322" s="1" t="s">
        <v>20</v>
      </c>
    </row>
    <row r="1323" spans="3:17" x14ac:dyDescent="0.25">
      <c r="C1323" s="1" t="str">
        <f>_xlfn.CONCAT(tabE.Flux[[#This Row],[DATA]],"+",tabE.Flux[[#This Row],[MOTORISTA + MATRÍCULA A]])</f>
        <v>+</v>
      </c>
      <c r="D1323" s="1" t="str">
        <f>_xlfn.CONCAT(tabE.Flux[[#This Row],[DATA]],"+",tabE.Flux[[#This Row],[MOTORISTA + MATRÍCULA B]])</f>
        <v>+</v>
      </c>
      <c r="E1323" s="1" t="str">
        <f>_xlfn.CONCAT(tabE.Flux[[#This Row],[DATA]],"+",tabE.Flux[[#This Row],[MOTORISTA + MATRÍCULA A]],"+",tabE.Flux[[#This Row],[LINHA]])</f>
        <v>++</v>
      </c>
      <c r="F1323" s="1" t="str">
        <f>_xlfn.CONCAT(tabE.Flux[[#This Row],[DATA]],"+",tabE.Flux[[#This Row],[MOTORISTA + MATRÍCULA B]],"+",tabE.Flux[[#This Row],[LINHA]])</f>
        <v>++</v>
      </c>
      <c r="G1323" s="1" t="str">
        <f>_xlfn.CONCAT(tabE.Flux[[#This Row],[DATA]],"+",tabE.Flux[[#This Row],[LINHA]])</f>
        <v>+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</row>
    <row r="1324" spans="3:17" x14ac:dyDescent="0.25">
      <c r="C1324" s="1" t="str">
        <f>_xlfn.CONCAT(tabE.Flux[[#This Row],[DATA]],"+",tabE.Flux[[#This Row],[MOTORISTA + MATRÍCULA A]])</f>
        <v>45944+DIVINO FERREIRA DA SILVA - 1946</v>
      </c>
      <c r="D1324" s="1" t="str">
        <f>_xlfn.CONCAT(tabE.Flux[[#This Row],[DATA]],"+",tabE.Flux[[#This Row],[MOTORISTA + MATRÍCULA B]])</f>
        <v>45944+TIAGO MARTINS BERNARDES - 5260</v>
      </c>
      <c r="E1324" s="1" t="str">
        <f>_xlfn.CONCAT(tabE.Flux[[#This Row],[DATA]],"+",tabE.Flux[[#This Row],[MOTORISTA + MATRÍCULA A]],"+",tabE.Flux[[#This Row],[LINHA]])</f>
        <v>45944+DIVINO FERREIRA DA SILVA - 1946+GOIANIA (GO) X BELEM (PA)</v>
      </c>
      <c r="F1324" s="1" t="str">
        <f>_xlfn.CONCAT(tabE.Flux[[#This Row],[DATA]],"+",tabE.Flux[[#This Row],[MOTORISTA + MATRÍCULA B]],"+",tabE.Flux[[#This Row],[LINHA]])</f>
        <v>45944+TIAGO MARTINS BERNARDES - 5260+GOIANIA (GO) X BELEM (PA)</v>
      </c>
      <c r="G1324" s="1" t="str">
        <f>_xlfn.CONCAT(tabE.Flux[[#This Row],[DATA]],"+",tabE.Flux[[#This Row],[LINHA]])</f>
        <v>45944+GOIANIA (GO) X BELEM (PA)</v>
      </c>
      <c r="H1324" s="125">
        <v>45944</v>
      </c>
      <c r="I1324" s="1" t="s">
        <v>15</v>
      </c>
      <c r="J1324" s="1">
        <v>25009</v>
      </c>
      <c r="K1324" s="126">
        <v>0.25486111111111109</v>
      </c>
      <c r="L1324" s="126">
        <v>0.3</v>
      </c>
      <c r="M1324" s="1" t="s">
        <v>16</v>
      </c>
      <c r="N1324" s="1" t="s">
        <v>17</v>
      </c>
      <c r="O1324" s="1" t="s">
        <v>238</v>
      </c>
      <c r="P1324" s="1" t="s">
        <v>179</v>
      </c>
      <c r="Q1324" s="1" t="s">
        <v>20</v>
      </c>
    </row>
    <row r="1325" spans="3:17" x14ac:dyDescent="0.25">
      <c r="C1325" s="1" t="str">
        <f>_xlfn.CONCAT(tabE.Flux[[#This Row],[DATA]],"+",tabE.Flux[[#This Row],[MOTORISTA + MATRÍCULA A]])</f>
        <v>45944+JOAO DE JESUS GOUVEIA - 6016</v>
      </c>
      <c r="D1325" s="1" t="str">
        <f>_xlfn.CONCAT(tabE.Flux[[#This Row],[DATA]],"+",tabE.Flux[[#This Row],[MOTORISTA + MATRÍCULA B]])</f>
        <v>45944+VALDEY OLIVEIRA ARAUJO - 2790</v>
      </c>
      <c r="E1325" s="1" t="str">
        <f>_xlfn.CONCAT(tabE.Flux[[#This Row],[DATA]],"+",tabE.Flux[[#This Row],[MOTORISTA + MATRÍCULA A]],"+",tabE.Flux[[#This Row],[LINHA]])</f>
        <v>45944+JOAO DE JESUS GOUVEIA - 6016+GOIANIA (GO) X SAO LUIS (MA)</v>
      </c>
      <c r="F1325" s="1" t="str">
        <f>_xlfn.CONCAT(tabE.Flux[[#This Row],[DATA]],"+",tabE.Flux[[#This Row],[MOTORISTA + MATRÍCULA B]],"+",tabE.Flux[[#This Row],[LINHA]])</f>
        <v>45944+VALDEY OLIVEIRA ARAUJO - 2790+GOIANIA (GO) X SAO LUIS (MA)</v>
      </c>
      <c r="G1325" s="1" t="str">
        <f>_xlfn.CONCAT(tabE.Flux[[#This Row],[DATA]],"+",tabE.Flux[[#This Row],[LINHA]])</f>
        <v>45944+GOIANIA (GO) X SAO LUIS (MA)</v>
      </c>
      <c r="H1325" s="125">
        <v>45944</v>
      </c>
      <c r="I1325" s="1" t="s">
        <v>15</v>
      </c>
      <c r="J1325" s="1">
        <v>24016</v>
      </c>
      <c r="K1325" s="126">
        <v>0.32291666666666669</v>
      </c>
      <c r="L1325" s="126">
        <v>0.33333333333333331</v>
      </c>
      <c r="M1325" s="1" t="s">
        <v>16</v>
      </c>
      <c r="N1325" s="1" t="s">
        <v>17</v>
      </c>
      <c r="O1325" s="1" t="s">
        <v>58</v>
      </c>
      <c r="P1325" s="1" t="s">
        <v>34</v>
      </c>
      <c r="Q1325" s="1" t="s">
        <v>23</v>
      </c>
    </row>
    <row r="1326" spans="3:17" x14ac:dyDescent="0.25">
      <c r="C1326" s="1" t="str">
        <f>_xlfn.CONCAT(tabE.Flux[[#This Row],[DATA]],"+",tabE.Flux[[#This Row],[MOTORISTA + MATRÍCULA A]])</f>
        <v>45944+JARDEL DE SOUSA OLIVEIRA - 5992</v>
      </c>
      <c r="D1326" s="1" t="str">
        <f>_xlfn.CONCAT(tabE.Flux[[#This Row],[DATA]],"+",tabE.Flux[[#This Row],[MOTORISTA + MATRÍCULA B]])</f>
        <v>45944+JOSE POLICARPO DE SOUSA NETO - 1472</v>
      </c>
      <c r="E1326" s="1" t="str">
        <f>_xlfn.CONCAT(tabE.Flux[[#This Row],[DATA]],"+",tabE.Flux[[#This Row],[MOTORISTA + MATRÍCULA A]],"+",tabE.Flux[[#This Row],[LINHA]])</f>
        <v>45944+JARDEL DE SOUSA OLIVEIRA - 5992+GOIANIA (GO) X TERESINA (PI) VIA STI</v>
      </c>
      <c r="F1326" s="1" t="str">
        <f>_xlfn.CONCAT(tabE.Flux[[#This Row],[DATA]],"+",tabE.Flux[[#This Row],[MOTORISTA + MATRÍCULA B]],"+",tabE.Flux[[#This Row],[LINHA]])</f>
        <v>45944+JOSE POLICARPO DE SOUSA NETO - 1472+GOIANIA (GO) X TERESINA (PI) VIA STI</v>
      </c>
      <c r="G1326" s="1" t="str">
        <f>_xlfn.CONCAT(tabE.Flux[[#This Row],[DATA]],"+",tabE.Flux[[#This Row],[LINHA]])</f>
        <v>45944+GOIANIA (GO) X TERESINA (PI) VIA STI</v>
      </c>
      <c r="H1326" s="125">
        <v>45944</v>
      </c>
      <c r="I1326" s="1" t="s">
        <v>15</v>
      </c>
      <c r="J1326" s="1">
        <v>19002</v>
      </c>
      <c r="K1326" s="126">
        <v>0.3888888888888889</v>
      </c>
      <c r="L1326" s="126">
        <v>0.39583333333333331</v>
      </c>
      <c r="M1326" s="1" t="s">
        <v>16</v>
      </c>
      <c r="N1326" s="1" t="s">
        <v>17</v>
      </c>
      <c r="O1326" s="1" t="s">
        <v>150</v>
      </c>
      <c r="P1326" s="1" t="s">
        <v>54</v>
      </c>
      <c r="Q1326" s="1" t="s">
        <v>26</v>
      </c>
    </row>
    <row r="1327" spans="3:17" x14ac:dyDescent="0.25">
      <c r="C1327" s="1" t="str">
        <f>_xlfn.CONCAT(tabE.Flux[[#This Row],[DATA]],"+",tabE.Flux[[#This Row],[MOTORISTA + MATRÍCULA A]])</f>
        <v>45944+CANCELADO</v>
      </c>
      <c r="D1327" s="1" t="str">
        <f>_xlfn.CONCAT(tabE.Flux[[#This Row],[DATA]],"+",tabE.Flux[[#This Row],[MOTORISTA + MATRÍCULA B]])</f>
        <v>45944+CANCELADO</v>
      </c>
      <c r="E1327" s="1" t="str">
        <f>_xlfn.CONCAT(tabE.Flux[[#This Row],[DATA]],"+",tabE.Flux[[#This Row],[MOTORISTA + MATRÍCULA A]],"+",tabE.Flux[[#This Row],[LINHA]])</f>
        <v>45944+CANCELADO+</v>
      </c>
      <c r="F1327" s="1" t="str">
        <f>_xlfn.CONCAT(tabE.Flux[[#This Row],[DATA]],"+",tabE.Flux[[#This Row],[MOTORISTA + MATRÍCULA B]],"+",tabE.Flux[[#This Row],[LINHA]])</f>
        <v>45944+CANCELADO+</v>
      </c>
      <c r="G1327" s="1" t="str">
        <f>_xlfn.CONCAT(tabE.Flux[[#This Row],[DATA]],"+",tabE.Flux[[#This Row],[LINHA]])</f>
        <v>45944+</v>
      </c>
      <c r="H1327" s="125">
        <v>45944</v>
      </c>
      <c r="I1327" s="1" t="s">
        <v>15</v>
      </c>
      <c r="J1327" s="1" t="s">
        <v>27</v>
      </c>
      <c r="K1327" s="126">
        <v>0.375</v>
      </c>
      <c r="L1327" s="126">
        <v>0.41666666666666669</v>
      </c>
      <c r="M1327" s="1" t="s">
        <v>16</v>
      </c>
      <c r="N1327" s="1" t="s">
        <v>28</v>
      </c>
      <c r="O1327" s="1" t="s">
        <v>27</v>
      </c>
      <c r="P1327" s="1" t="s">
        <v>27</v>
      </c>
      <c r="Q1327" s="1"/>
    </row>
    <row r="1328" spans="3:17" x14ac:dyDescent="0.25">
      <c r="C1328" s="1" t="str">
        <f>_xlfn.CONCAT(tabE.Flux[[#This Row],[DATA]],"+",tabE.Flux[[#This Row],[MOTORISTA + MATRÍCULA A]])</f>
        <v>45944+EDUARDO SANTOS BEZERRA - 4066</v>
      </c>
      <c r="D1328" s="1" t="str">
        <f>_xlfn.CONCAT(tabE.Flux[[#This Row],[DATA]],"+",tabE.Flux[[#This Row],[MOTORISTA + MATRÍCULA B]])</f>
        <v>45944+JOAO FLAVIO DE SOUSA SILVA - 5270</v>
      </c>
      <c r="E1328" s="1" t="str">
        <f>_xlfn.CONCAT(tabE.Flux[[#This Row],[DATA]],"+",tabE.Flux[[#This Row],[MOTORISTA + MATRÍCULA A]],"+",tabE.Flux[[#This Row],[LINHA]])</f>
        <v>45944+EDUARDO SANTOS BEZERRA - 4066+FORTALEZA (CE) X SINOP (MT)</v>
      </c>
      <c r="F1328" s="1" t="str">
        <f>_xlfn.CONCAT(tabE.Flux[[#This Row],[DATA]],"+",tabE.Flux[[#This Row],[MOTORISTA + MATRÍCULA B]],"+",tabE.Flux[[#This Row],[LINHA]])</f>
        <v>45944+JOAO FLAVIO DE SOUSA SILVA - 5270+FORTALEZA (CE) X SINOP (MT)</v>
      </c>
      <c r="G1328" s="1" t="str">
        <f>_xlfn.CONCAT(tabE.Flux[[#This Row],[DATA]],"+",tabE.Flux[[#This Row],[LINHA]])</f>
        <v>45944+FORTALEZA (CE) X SINOP (MT)</v>
      </c>
      <c r="H1328" s="125">
        <v>45944</v>
      </c>
      <c r="I1328" s="1" t="s">
        <v>15</v>
      </c>
      <c r="J1328" s="1">
        <v>20018</v>
      </c>
      <c r="K1328" s="126">
        <v>0.3888888888888889</v>
      </c>
      <c r="L1328" s="126">
        <v>0.37708333333333333</v>
      </c>
      <c r="M1328" s="1" t="s">
        <v>16</v>
      </c>
      <c r="N1328" s="1" t="s">
        <v>29</v>
      </c>
      <c r="O1328" s="1" t="s">
        <v>148</v>
      </c>
      <c r="P1328" s="1" t="s">
        <v>222</v>
      </c>
      <c r="Q1328" s="1" t="s">
        <v>32</v>
      </c>
    </row>
    <row r="1329" spans="3:17" x14ac:dyDescent="0.25">
      <c r="C1329" s="1" t="str">
        <f>_xlfn.CONCAT(tabE.Flux[[#This Row],[DATA]],"+",tabE.Flux[[#This Row],[MOTORISTA + MATRÍCULA A]])</f>
        <v>45944+CANCELADO</v>
      </c>
      <c r="D1329" s="1" t="str">
        <f>_xlfn.CONCAT(tabE.Flux[[#This Row],[DATA]],"+",tabE.Flux[[#This Row],[MOTORISTA + MATRÍCULA B]])</f>
        <v>45944+CANCELADO</v>
      </c>
      <c r="E1329" s="1" t="str">
        <f>_xlfn.CONCAT(tabE.Flux[[#This Row],[DATA]],"+",tabE.Flux[[#This Row],[MOTORISTA + MATRÍCULA A]],"+",tabE.Flux[[#This Row],[LINHA]])</f>
        <v>45944+CANCELADO+GOIANIA (GO) X BELEM (PA)</v>
      </c>
      <c r="F1329" s="1" t="str">
        <f>_xlfn.CONCAT(tabE.Flux[[#This Row],[DATA]],"+",tabE.Flux[[#This Row],[MOTORISTA + MATRÍCULA B]],"+",tabE.Flux[[#This Row],[LINHA]])</f>
        <v>45944+CANCELADO+GOIANIA (GO) X BELEM (PA)</v>
      </c>
      <c r="G1329" s="1" t="str">
        <f>_xlfn.CONCAT(tabE.Flux[[#This Row],[DATA]],"+",tabE.Flux[[#This Row],[LINHA]])</f>
        <v>45944+GOIANIA (GO) X BELEM (PA)</v>
      </c>
      <c r="H1329" s="125">
        <v>45944</v>
      </c>
      <c r="I1329" s="1" t="s">
        <v>15</v>
      </c>
      <c r="J1329" s="1" t="s">
        <v>27</v>
      </c>
      <c r="K1329" s="126">
        <v>0.38958333333333334</v>
      </c>
      <c r="L1329" s="126">
        <v>0.38541666666666669</v>
      </c>
      <c r="M1329" s="1" t="s">
        <v>16</v>
      </c>
      <c r="N1329" s="1" t="s">
        <v>33</v>
      </c>
      <c r="O1329" s="1" t="s">
        <v>27</v>
      </c>
      <c r="P1329" s="1" t="s">
        <v>27</v>
      </c>
      <c r="Q1329" s="1" t="s">
        <v>20</v>
      </c>
    </row>
    <row r="1330" spans="3:17" x14ac:dyDescent="0.25">
      <c r="C1330" s="1" t="str">
        <f>_xlfn.CONCAT(tabE.Flux[[#This Row],[DATA]],"+",tabE.Flux[[#This Row],[MOTORISTA + MATRÍCULA A]])</f>
        <v>45944+MARCIO DE SOUSA MATOS - 5264</v>
      </c>
      <c r="D1330" s="1" t="str">
        <f>_xlfn.CONCAT(tabE.Flux[[#This Row],[DATA]],"+",tabE.Flux[[#This Row],[MOTORISTA + MATRÍCULA B]])</f>
        <v>45944+KEITH NOLAN CARNEIRO BARBOSA - 5653</v>
      </c>
      <c r="E1330" s="1" t="str">
        <f>_xlfn.CONCAT(tabE.Flux[[#This Row],[DATA]],"+",tabE.Flux[[#This Row],[MOTORISTA + MATRÍCULA A]],"+",tabE.Flux[[#This Row],[LINHA]])</f>
        <v>45944+MARCIO DE SOUSA MATOS - 5264+GOIANIA (GO) X TERESINA (PI) VIA BC</v>
      </c>
      <c r="F1330" s="1" t="str">
        <f>_xlfn.CONCAT(tabE.Flux[[#This Row],[DATA]],"+",tabE.Flux[[#This Row],[MOTORISTA + MATRÍCULA B]],"+",tabE.Flux[[#This Row],[LINHA]])</f>
        <v>45944+KEITH NOLAN CARNEIRO BARBOSA - 5653+GOIANIA (GO) X TERESINA (PI) VIA BC</v>
      </c>
      <c r="G1330" s="1" t="str">
        <f>_xlfn.CONCAT(tabE.Flux[[#This Row],[DATA]],"+",tabE.Flux[[#This Row],[LINHA]])</f>
        <v>45944+GOIANIA (GO) X TERESINA (PI) VIA BC</v>
      </c>
      <c r="H1330" s="125">
        <v>45944</v>
      </c>
      <c r="I1330" s="1" t="s">
        <v>15</v>
      </c>
      <c r="J1330" s="1">
        <v>25008</v>
      </c>
      <c r="K1330" s="126">
        <v>0.375</v>
      </c>
      <c r="L1330" s="126">
        <v>0.39930555555555558</v>
      </c>
      <c r="M1330" s="1" t="s">
        <v>36</v>
      </c>
      <c r="N1330" s="1" t="s">
        <v>29</v>
      </c>
      <c r="O1330" s="1" t="s">
        <v>62</v>
      </c>
      <c r="P1330" s="1" t="s">
        <v>122</v>
      </c>
      <c r="Q1330" s="1" t="s">
        <v>39</v>
      </c>
    </row>
    <row r="1331" spans="3:17" x14ac:dyDescent="0.25">
      <c r="C1331" s="1" t="str">
        <f>_xlfn.CONCAT(tabE.Flux[[#This Row],[DATA]],"+",tabE.Flux[[#This Row],[MOTORISTA + MATRÍCULA A]])</f>
        <v>45944+JAIRO VIEIRA FERREIRA - 5835</v>
      </c>
      <c r="D1331" s="1" t="str">
        <f>_xlfn.CONCAT(tabE.Flux[[#This Row],[DATA]],"+",tabE.Flux[[#This Row],[MOTORISTA + MATRÍCULA B]])</f>
        <v>45944+JOSE CARLOS BEZERRA DA SILVA - 3034</v>
      </c>
      <c r="E1331" s="1" t="str">
        <f>_xlfn.CONCAT(tabE.Flux[[#This Row],[DATA]],"+",tabE.Flux[[#This Row],[MOTORISTA + MATRÍCULA A]],"+",tabE.Flux[[#This Row],[LINHA]])</f>
        <v>45944+JAIRO VIEIRA FERREIRA - 5835+GOIANIA (GO) X BELEM (PA)</v>
      </c>
      <c r="F1331" s="1" t="str">
        <f>_xlfn.CONCAT(tabE.Flux[[#This Row],[DATA]],"+",tabE.Flux[[#This Row],[MOTORISTA + MATRÍCULA B]],"+",tabE.Flux[[#This Row],[LINHA]])</f>
        <v>45944+JOSE CARLOS BEZERRA DA SILVA - 3034+GOIANIA (GO) X BELEM (PA)</v>
      </c>
      <c r="G1331" s="1" t="str">
        <f>_xlfn.CONCAT(tabE.Flux[[#This Row],[DATA]],"+",tabE.Flux[[#This Row],[LINHA]])</f>
        <v>45944+GOIANIA (GO) X BELEM (PA)</v>
      </c>
      <c r="H1331" s="125">
        <v>45944</v>
      </c>
      <c r="I1331" s="1" t="s">
        <v>15</v>
      </c>
      <c r="J1331" s="1">
        <v>20019</v>
      </c>
      <c r="K1331" s="126">
        <v>0.375</v>
      </c>
      <c r="L1331" s="126">
        <v>0.41666666666666669</v>
      </c>
      <c r="M1331" s="1" t="s">
        <v>33</v>
      </c>
      <c r="N1331" s="1" t="s">
        <v>16</v>
      </c>
      <c r="O1331" s="1" t="s">
        <v>230</v>
      </c>
      <c r="P1331" s="1" t="s">
        <v>76</v>
      </c>
      <c r="Q1331" s="1" t="s">
        <v>20</v>
      </c>
    </row>
    <row r="1332" spans="3:17" x14ac:dyDescent="0.25">
      <c r="C1332" s="1" t="str">
        <f>_xlfn.CONCAT(tabE.Flux[[#This Row],[DATA]],"+",tabE.Flux[[#This Row],[MOTORISTA + MATRÍCULA A]])</f>
        <v>45944+RAIMUNDO COSTA SILVA - 6226</v>
      </c>
      <c r="D1332" s="1" t="str">
        <f>_xlfn.CONCAT(tabE.Flux[[#This Row],[DATA]],"+",tabE.Flux[[#This Row],[MOTORISTA + MATRÍCULA B]])</f>
        <v>45944+EUGENIO PEREIRA DOS SANTOS - 1197</v>
      </c>
      <c r="E1332" s="1" t="str">
        <f>_xlfn.CONCAT(tabE.Flux[[#This Row],[DATA]],"+",tabE.Flux[[#This Row],[MOTORISTA + MATRÍCULA A]],"+",tabE.Flux[[#This Row],[LINHA]])</f>
        <v>45944+RAIMUNDO COSTA SILVA - 6226+GOIANIA (GO) X SAO LUIS (MA)</v>
      </c>
      <c r="F1332" s="1" t="str">
        <f>_xlfn.CONCAT(tabE.Flux[[#This Row],[DATA]],"+",tabE.Flux[[#This Row],[MOTORISTA + MATRÍCULA B]],"+",tabE.Flux[[#This Row],[LINHA]])</f>
        <v>45944+EUGENIO PEREIRA DOS SANTOS - 1197+GOIANIA (GO) X SAO LUIS (MA)</v>
      </c>
      <c r="G1332" s="1" t="str">
        <f>_xlfn.CONCAT(tabE.Flux[[#This Row],[DATA]],"+",tabE.Flux[[#This Row],[LINHA]])</f>
        <v>45944+GOIANIA (GO) X SAO LUIS (MA)</v>
      </c>
      <c r="H1332" s="125">
        <v>45944</v>
      </c>
      <c r="I1332" s="1" t="s">
        <v>15</v>
      </c>
      <c r="J1332" s="1">
        <v>19021</v>
      </c>
      <c r="K1332" s="126">
        <v>0.25</v>
      </c>
      <c r="L1332" s="126">
        <v>0.29166666666666669</v>
      </c>
      <c r="M1332" s="1" t="s">
        <v>42</v>
      </c>
      <c r="N1332" s="1" t="s">
        <v>16</v>
      </c>
      <c r="O1332" s="1" t="s">
        <v>45</v>
      </c>
      <c r="P1332" s="1" t="s">
        <v>264</v>
      </c>
      <c r="Q1332" s="1" t="s">
        <v>23</v>
      </c>
    </row>
    <row r="1333" spans="3:17" x14ac:dyDescent="0.25">
      <c r="C1333" s="1" t="str">
        <f>_xlfn.CONCAT(tabE.Flux[[#This Row],[DATA]],"+",tabE.Flux[[#This Row],[MOTORISTA + MATRÍCULA A]])</f>
        <v>45944+ALTEMAR DO NASCIMENTO LIMA - 6225</v>
      </c>
      <c r="D1333" s="1" t="str">
        <f>_xlfn.CONCAT(tabE.Flux[[#This Row],[DATA]],"+",tabE.Flux[[#This Row],[MOTORISTA + MATRÍCULA B]])</f>
        <v>45944+RAINERIO COSTA MENDES - 5850</v>
      </c>
      <c r="E1333" s="1" t="str">
        <f>_xlfn.CONCAT(tabE.Flux[[#This Row],[DATA]],"+",tabE.Flux[[#This Row],[MOTORISTA + MATRÍCULA A]],"+",tabE.Flux[[#This Row],[LINHA]])</f>
        <v>45944+ALTEMAR DO NASCIMENTO LIMA - 6225+GOIANIA (GO) X SAO LUIS (MA)</v>
      </c>
      <c r="F1333" s="1" t="str">
        <f>_xlfn.CONCAT(tabE.Flux[[#This Row],[DATA]],"+",tabE.Flux[[#This Row],[MOTORISTA + MATRÍCULA B]],"+",tabE.Flux[[#This Row],[LINHA]])</f>
        <v>45944+RAINERIO COSTA MENDES - 5850+GOIANIA (GO) X SAO LUIS (MA)</v>
      </c>
      <c r="G1333" s="1" t="str">
        <f>_xlfn.CONCAT(tabE.Flux[[#This Row],[DATA]],"+",tabE.Flux[[#This Row],[LINHA]])</f>
        <v>45944+GOIANIA (GO) X SAO LUIS (MA)</v>
      </c>
      <c r="H1333" s="125">
        <v>45944</v>
      </c>
      <c r="I1333" s="1" t="s">
        <v>15</v>
      </c>
      <c r="J1333" s="1">
        <v>24013</v>
      </c>
      <c r="K1333" s="126">
        <v>0.75</v>
      </c>
      <c r="L1333" s="126">
        <v>0.79166666666666663</v>
      </c>
      <c r="M1333" s="1" t="s">
        <v>42</v>
      </c>
      <c r="N1333" s="1" t="s">
        <v>16</v>
      </c>
      <c r="O1333" s="1" t="s">
        <v>57</v>
      </c>
      <c r="P1333" s="1" t="s">
        <v>108</v>
      </c>
      <c r="Q1333" s="1" t="s">
        <v>23</v>
      </c>
    </row>
    <row r="1334" spans="3:17" x14ac:dyDescent="0.25">
      <c r="C1334" s="1" t="str">
        <f>_xlfn.CONCAT(tabE.Flux[[#This Row],[DATA]],"+",tabE.Flux[[#This Row],[MOTORISTA + MATRÍCULA A]])</f>
        <v>45944+CANCELADO</v>
      </c>
      <c r="D1334" s="1" t="str">
        <f>_xlfn.CONCAT(tabE.Flux[[#This Row],[DATA]],"+",tabE.Flux[[#This Row],[MOTORISTA + MATRÍCULA B]])</f>
        <v>45944+CANCELADO</v>
      </c>
      <c r="E1334" s="1" t="str">
        <f>_xlfn.CONCAT(tabE.Flux[[#This Row],[DATA]],"+",tabE.Flux[[#This Row],[MOTORISTA + MATRÍCULA A]],"+",tabE.Flux[[#This Row],[LINHA]])</f>
        <v>45944+CANCELADO+IMPERATRIZ (MA) X SÃO LUIS (MA)</v>
      </c>
      <c r="F1334" s="1" t="str">
        <f>_xlfn.CONCAT(tabE.Flux[[#This Row],[DATA]],"+",tabE.Flux[[#This Row],[MOTORISTA + MATRÍCULA B]],"+",tabE.Flux[[#This Row],[LINHA]])</f>
        <v>45944+CANCELADO+IMPERATRIZ (MA) X SÃO LUIS (MA)</v>
      </c>
      <c r="G1334" s="1" t="str">
        <f>_xlfn.CONCAT(tabE.Flux[[#This Row],[DATA]],"+",tabE.Flux[[#This Row],[LINHA]])</f>
        <v>45944+IMPERATRIZ (MA) X SÃO LUIS (MA)</v>
      </c>
      <c r="H1334" s="125">
        <v>45944</v>
      </c>
      <c r="I1334" s="1" t="s">
        <v>15</v>
      </c>
      <c r="J1334" s="1" t="s">
        <v>27</v>
      </c>
      <c r="K1334" s="126">
        <v>0.77083333333333337</v>
      </c>
      <c r="L1334" s="126">
        <v>0.79513888888888884</v>
      </c>
      <c r="M1334" s="1" t="s">
        <v>42</v>
      </c>
      <c r="N1334" s="1" t="s">
        <v>16</v>
      </c>
      <c r="O1334" s="1" t="s">
        <v>27</v>
      </c>
      <c r="P1334" s="1" t="s">
        <v>27</v>
      </c>
      <c r="Q1334" s="1" t="s">
        <v>47</v>
      </c>
    </row>
    <row r="1335" spans="3:17" x14ac:dyDescent="0.25">
      <c r="C1335" s="1" t="str">
        <f>_xlfn.CONCAT(tabE.Flux[[#This Row],[DATA]],"+",tabE.Flux[[#This Row],[MOTORISTA + MATRÍCULA A]])</f>
        <v>45944+MAURICIO CARLOS BARROSO - 901</v>
      </c>
      <c r="D1335" s="1" t="str">
        <f>_xlfn.CONCAT(tabE.Flux[[#This Row],[DATA]],"+",tabE.Flux[[#This Row],[MOTORISTA + MATRÍCULA B]])</f>
        <v>45944+JOSE CARLOS DA SILVA - 979</v>
      </c>
      <c r="E1335" s="1" t="str">
        <f>_xlfn.CONCAT(tabE.Flux[[#This Row],[DATA]],"+",tabE.Flux[[#This Row],[MOTORISTA + MATRÍCULA A]],"+",tabE.Flux[[#This Row],[LINHA]])</f>
        <v>45944+MAURICIO CARLOS BARROSO - 901+GOIANIA (GO) X TERESINA (PI) VIA BC</v>
      </c>
      <c r="F1335" s="1" t="str">
        <f>_xlfn.CONCAT(tabE.Flux[[#This Row],[DATA]],"+",tabE.Flux[[#This Row],[MOTORISTA + MATRÍCULA B]],"+",tabE.Flux[[#This Row],[LINHA]])</f>
        <v>45944+JOSE CARLOS DA SILVA - 979+GOIANIA (GO) X TERESINA (PI) VIA BC</v>
      </c>
      <c r="G1335" s="1" t="str">
        <f>_xlfn.CONCAT(tabE.Flux[[#This Row],[DATA]],"+",tabE.Flux[[#This Row],[LINHA]])</f>
        <v>45944+GOIANIA (GO) X TERESINA (PI) VIA BC</v>
      </c>
      <c r="H1335" s="125">
        <v>45944</v>
      </c>
      <c r="I1335" s="1" t="s">
        <v>15</v>
      </c>
      <c r="J1335" s="1">
        <v>24014</v>
      </c>
      <c r="K1335" s="126">
        <v>0.89583333333333337</v>
      </c>
      <c r="L1335" s="126">
        <v>0.91666666666666663</v>
      </c>
      <c r="M1335" s="1" t="s">
        <v>36</v>
      </c>
      <c r="N1335" s="1" t="s">
        <v>17</v>
      </c>
      <c r="O1335" s="1" t="s">
        <v>241</v>
      </c>
      <c r="P1335" s="1" t="s">
        <v>228</v>
      </c>
      <c r="Q1335" s="1" t="s">
        <v>39</v>
      </c>
    </row>
    <row r="1336" spans="3:17" x14ac:dyDescent="0.25">
      <c r="C1336" s="1" t="str">
        <f>_xlfn.CONCAT(tabE.Flux[[#This Row],[DATA]],"+",tabE.Flux[[#This Row],[MOTORISTA + MATRÍCULA A]])</f>
        <v>45944+RICHARD SOUSA DA SILVA - 1271</v>
      </c>
      <c r="D1336" s="1" t="str">
        <f>_xlfn.CONCAT(tabE.Flux[[#This Row],[DATA]],"+",tabE.Flux[[#This Row],[MOTORISTA + MATRÍCULA B]])</f>
        <v>45944+REGINALDO DE SOUSA OLIVEIRA - 5412</v>
      </c>
      <c r="E1336" s="1" t="str">
        <f>_xlfn.CONCAT(tabE.Flux[[#This Row],[DATA]],"+",tabE.Flux[[#This Row],[MOTORISTA + MATRÍCULA A]],"+",tabE.Flux[[#This Row],[LINHA]])</f>
        <v>45944+RICHARD SOUSA DA SILVA - 1271+GOIANIA (GO) X BELEM (PA)</v>
      </c>
      <c r="F1336" s="1" t="str">
        <f>_xlfn.CONCAT(tabE.Flux[[#This Row],[DATA]],"+",tabE.Flux[[#This Row],[MOTORISTA + MATRÍCULA B]],"+",tabE.Flux[[#This Row],[LINHA]])</f>
        <v>45944+REGINALDO DE SOUSA OLIVEIRA - 5412+GOIANIA (GO) X BELEM (PA)</v>
      </c>
      <c r="G1336" s="1" t="str">
        <f>_xlfn.CONCAT(tabE.Flux[[#This Row],[DATA]],"+",tabE.Flux[[#This Row],[LINHA]])</f>
        <v>45944+GOIANIA (GO) X BELEM (PA)</v>
      </c>
      <c r="H1336" s="125">
        <v>45944</v>
      </c>
      <c r="I1336" s="1" t="s">
        <v>15</v>
      </c>
      <c r="J1336" s="1">
        <v>24011</v>
      </c>
      <c r="K1336" s="126">
        <v>0.76041666666666663</v>
      </c>
      <c r="L1336" s="126">
        <v>0.77083333333333337</v>
      </c>
      <c r="M1336" s="1" t="s">
        <v>33</v>
      </c>
      <c r="N1336" s="1" t="s">
        <v>16</v>
      </c>
      <c r="O1336" s="1" t="s">
        <v>56</v>
      </c>
      <c r="P1336" s="1" t="s">
        <v>239</v>
      </c>
      <c r="Q1336" s="1" t="s">
        <v>20</v>
      </c>
    </row>
    <row r="1337" spans="3:17" x14ac:dyDescent="0.25">
      <c r="C1337" s="1" t="str">
        <f>_xlfn.CONCAT(tabE.Flux[[#This Row],[DATA]],"+",tabE.Flux[[#This Row],[MOTORISTA + MATRÍCULA A]])</f>
        <v>45944+FABIO MOREIRA DOS SANTOS - 3073</v>
      </c>
      <c r="D1337" s="1" t="str">
        <f>_xlfn.CONCAT(tabE.Flux[[#This Row],[DATA]],"+",tabE.Flux[[#This Row],[MOTORISTA + MATRÍCULA B]])</f>
        <v>45944+FRANCISCO ALVES DA PAZ JUNIOR - 1247</v>
      </c>
      <c r="E1337" s="1" t="str">
        <f>_xlfn.CONCAT(tabE.Flux[[#This Row],[DATA]],"+",tabE.Flux[[#This Row],[MOTORISTA + MATRÍCULA A]],"+",tabE.Flux[[#This Row],[LINHA]])</f>
        <v>45944+FABIO MOREIRA DOS SANTOS - 3073+GOIANIA (GO) X BELEM (PA)</v>
      </c>
      <c r="F1337" s="1" t="str">
        <f>_xlfn.CONCAT(tabE.Flux[[#This Row],[DATA]],"+",tabE.Flux[[#This Row],[MOTORISTA + MATRÍCULA B]],"+",tabE.Flux[[#This Row],[LINHA]])</f>
        <v>45944+FRANCISCO ALVES DA PAZ JUNIOR - 1247+GOIANIA (GO) X BELEM (PA)</v>
      </c>
      <c r="G1337" s="1" t="str">
        <f>_xlfn.CONCAT(tabE.Flux[[#This Row],[DATA]],"+",tabE.Flux[[#This Row],[LINHA]])</f>
        <v>45944+GOIANIA (GO) X BELEM (PA)</v>
      </c>
      <c r="H1337" s="125">
        <v>45944</v>
      </c>
      <c r="I1337" s="1" t="s">
        <v>15</v>
      </c>
      <c r="J1337" s="1">
        <v>24001</v>
      </c>
      <c r="K1337" s="126">
        <v>0.76041666666666663</v>
      </c>
      <c r="L1337" s="126">
        <v>0.82777777777777772</v>
      </c>
      <c r="M1337" s="1" t="s">
        <v>16</v>
      </c>
      <c r="N1337" s="1" t="s">
        <v>33</v>
      </c>
      <c r="O1337" s="1" t="s">
        <v>50</v>
      </c>
      <c r="P1337" s="1" t="s">
        <v>144</v>
      </c>
      <c r="Q1337" s="1" t="s">
        <v>20</v>
      </c>
    </row>
    <row r="1338" spans="3:17" x14ac:dyDescent="0.25">
      <c r="C1338" s="1" t="str">
        <f>_xlfn.CONCAT(tabE.Flux[[#This Row],[DATA]],"+",tabE.Flux[[#This Row],[MOTORISTA + MATRÍCULA A]])</f>
        <v>45944+CANCELADO</v>
      </c>
      <c r="D1338" s="1" t="str">
        <f>_xlfn.CONCAT(tabE.Flux[[#This Row],[DATA]],"+",tabE.Flux[[#This Row],[MOTORISTA + MATRÍCULA B]])</f>
        <v>45944+CANCELADO</v>
      </c>
      <c r="E1338" s="1" t="str">
        <f>_xlfn.CONCAT(tabE.Flux[[#This Row],[DATA]],"+",tabE.Flux[[#This Row],[MOTORISTA + MATRÍCULA A]],"+",tabE.Flux[[#This Row],[LINHA]])</f>
        <v>45944+CANCELADO+GOIANIA (GO) X SAO LUIS (MA)</v>
      </c>
      <c r="F1338" s="1" t="str">
        <f>_xlfn.CONCAT(tabE.Flux[[#This Row],[DATA]],"+",tabE.Flux[[#This Row],[MOTORISTA + MATRÍCULA B]],"+",tabE.Flux[[#This Row],[LINHA]])</f>
        <v>45944+CANCELADO+GOIANIA (GO) X SAO LUIS (MA)</v>
      </c>
      <c r="G1338" s="1" t="str">
        <f>_xlfn.CONCAT(tabE.Flux[[#This Row],[DATA]],"+",tabE.Flux[[#This Row],[LINHA]])</f>
        <v>45944+GOIANIA (GO) X SAO LUIS (MA)</v>
      </c>
      <c r="H1338" s="125">
        <v>45944</v>
      </c>
      <c r="I1338" s="1" t="s">
        <v>15</v>
      </c>
      <c r="J1338" s="1" t="s">
        <v>27</v>
      </c>
      <c r="K1338" s="126">
        <v>0.40763888888888888</v>
      </c>
      <c r="L1338" s="126">
        <v>0.47013888888888888</v>
      </c>
      <c r="M1338" s="1" t="s">
        <v>16</v>
      </c>
      <c r="N1338" s="1" t="s">
        <v>42</v>
      </c>
      <c r="O1338" s="1" t="s">
        <v>27</v>
      </c>
      <c r="P1338" s="1" t="s">
        <v>27</v>
      </c>
      <c r="Q1338" s="1" t="s">
        <v>23</v>
      </c>
    </row>
    <row r="1339" spans="3:17" x14ac:dyDescent="0.25">
      <c r="C1339" s="1" t="str">
        <f>_xlfn.CONCAT(tabE.Flux[[#This Row],[DATA]],"+",tabE.Flux[[#This Row],[MOTORISTA + MATRÍCULA A]])</f>
        <v>45944+CANCELADO</v>
      </c>
      <c r="D1339" s="1" t="str">
        <f>_xlfn.CONCAT(tabE.Flux[[#This Row],[DATA]],"+",tabE.Flux[[#This Row],[MOTORISTA + MATRÍCULA B]])</f>
        <v>45944+CANCELADO</v>
      </c>
      <c r="E1339" s="1" t="str">
        <f>_xlfn.CONCAT(tabE.Flux[[#This Row],[DATA]],"+",tabE.Flux[[#This Row],[MOTORISTA + MATRÍCULA A]],"+",tabE.Flux[[#This Row],[LINHA]])</f>
        <v>45944+CANCELADO+IMPERATRIZ (MA) X SÃO LUIS (MA)</v>
      </c>
      <c r="F1339" s="1" t="str">
        <f>_xlfn.CONCAT(tabE.Flux[[#This Row],[DATA]],"+",tabE.Flux[[#This Row],[MOTORISTA + MATRÍCULA B]],"+",tabE.Flux[[#This Row],[LINHA]])</f>
        <v>45944+CANCELADO+IMPERATRIZ (MA) X SÃO LUIS (MA)</v>
      </c>
      <c r="G1339" s="1" t="str">
        <f>_xlfn.CONCAT(tabE.Flux[[#This Row],[DATA]],"+",tabE.Flux[[#This Row],[LINHA]])</f>
        <v>45944+IMPERATRIZ (MA) X SÃO LUIS (MA)</v>
      </c>
      <c r="H1339" s="125">
        <v>45944</v>
      </c>
      <c r="I1339" s="1" t="s">
        <v>15</v>
      </c>
      <c r="J1339" s="1" t="s">
        <v>27</v>
      </c>
      <c r="K1339" s="126">
        <v>0.77083333333333337</v>
      </c>
      <c r="L1339" s="126">
        <v>0.8125</v>
      </c>
      <c r="M1339" s="1" t="s">
        <v>16</v>
      </c>
      <c r="N1339" s="1" t="s">
        <v>42</v>
      </c>
      <c r="O1339" s="1" t="s">
        <v>27</v>
      </c>
      <c r="P1339" s="1" t="s">
        <v>27</v>
      </c>
      <c r="Q1339" s="1" t="s">
        <v>47</v>
      </c>
    </row>
    <row r="1340" spans="3:17" x14ac:dyDescent="0.25">
      <c r="C1340" s="1" t="str">
        <f>_xlfn.CONCAT(tabE.Flux[[#This Row],[DATA]],"+",tabE.Flux[[#This Row],[MOTORISTA + MATRÍCULA A]])</f>
        <v>45944+ANTONIO MARQUES NETO DOS SANTOS - 1738</v>
      </c>
      <c r="D1340" s="1" t="str">
        <f>_xlfn.CONCAT(tabE.Flux[[#This Row],[DATA]],"+",tabE.Flux[[#This Row],[MOTORISTA + MATRÍCULA B]])</f>
        <v>45944+RAIMUNDO COSTA SILVA - 6226</v>
      </c>
      <c r="E1340" s="1" t="str">
        <f>_xlfn.CONCAT(tabE.Flux[[#This Row],[DATA]],"+",tabE.Flux[[#This Row],[MOTORISTA + MATRÍCULA A]],"+",tabE.Flux[[#This Row],[LINHA]])</f>
        <v>45944+ANTONIO MARQUES NETO DOS SANTOS - 1738+GOIANIA (GO) X SAO LUIS (MA)</v>
      </c>
      <c r="F1340" s="1" t="str">
        <f>_xlfn.CONCAT(tabE.Flux[[#This Row],[DATA]],"+",tabE.Flux[[#This Row],[MOTORISTA + MATRÍCULA B]],"+",tabE.Flux[[#This Row],[LINHA]])</f>
        <v>45944+RAIMUNDO COSTA SILVA - 6226+GOIANIA (GO) X SAO LUIS (MA)</v>
      </c>
      <c r="G1340" s="1" t="str">
        <f>_xlfn.CONCAT(tabE.Flux[[#This Row],[DATA]],"+",tabE.Flux[[#This Row],[LINHA]])</f>
        <v>45944+GOIANIA (GO) X SAO LUIS (MA)</v>
      </c>
      <c r="H1340" s="125">
        <v>45944</v>
      </c>
      <c r="I1340" s="1" t="s">
        <v>15</v>
      </c>
      <c r="J1340" s="1">
        <v>24003</v>
      </c>
      <c r="K1340" s="126">
        <v>0.8125</v>
      </c>
      <c r="L1340" s="126">
        <v>0.84375</v>
      </c>
      <c r="M1340" s="1" t="s">
        <v>16</v>
      </c>
      <c r="N1340" s="1" t="s">
        <v>42</v>
      </c>
      <c r="O1340" s="1" t="s">
        <v>73</v>
      </c>
      <c r="P1340" s="1" t="s">
        <v>45</v>
      </c>
      <c r="Q1340" s="1" t="s">
        <v>23</v>
      </c>
    </row>
    <row r="1341" spans="3:17" x14ac:dyDescent="0.25">
      <c r="C1341" s="1" t="str">
        <f>_xlfn.CONCAT(tabE.Flux[[#This Row],[DATA]],"+",tabE.Flux[[#This Row],[MOTORISTA + MATRÍCULA A]])</f>
        <v>45944+JEFFERSON CARDOSO DOS SANTOS - 5837</v>
      </c>
      <c r="D1341" s="1" t="str">
        <f>_xlfn.CONCAT(tabE.Flux[[#This Row],[DATA]],"+",tabE.Flux[[#This Row],[MOTORISTA + MATRÍCULA B]])</f>
        <v>45944+FRANCISCO PESSOA DE CARVALHO - 5276</v>
      </c>
      <c r="E1341" s="1" t="str">
        <f>_xlfn.CONCAT(tabE.Flux[[#This Row],[DATA]],"+",tabE.Flux[[#This Row],[MOTORISTA + MATRÍCULA A]],"+",tabE.Flux[[#This Row],[LINHA]])</f>
        <v>45944+JEFFERSON CARDOSO DOS SANTOS - 5837+GOIANIA (GO) X TERESINA (PI) VIA STI</v>
      </c>
      <c r="F1341" s="1" t="str">
        <f>_xlfn.CONCAT(tabE.Flux[[#This Row],[DATA]],"+",tabE.Flux[[#This Row],[MOTORISTA + MATRÍCULA B]],"+",tabE.Flux[[#This Row],[LINHA]])</f>
        <v>45944+FRANCISCO PESSOA DE CARVALHO - 5276+GOIANIA (GO) X TERESINA (PI) VIA STI</v>
      </c>
      <c r="G1341" s="1" t="str">
        <f>_xlfn.CONCAT(tabE.Flux[[#This Row],[DATA]],"+",tabE.Flux[[#This Row],[LINHA]])</f>
        <v>45944+GOIANIA (GO) X TERESINA (PI) VIA STI</v>
      </c>
      <c r="H1341" s="125">
        <v>45944</v>
      </c>
      <c r="I1341" s="1" t="s">
        <v>15</v>
      </c>
      <c r="J1341" s="1">
        <v>19007</v>
      </c>
      <c r="K1341" s="126">
        <v>0.77083333333333337</v>
      </c>
      <c r="L1341" s="126">
        <v>0.79861111111111116</v>
      </c>
      <c r="M1341" s="1" t="s">
        <v>16</v>
      </c>
      <c r="N1341" s="1" t="s">
        <v>29</v>
      </c>
      <c r="O1341" s="1" t="s">
        <v>30</v>
      </c>
      <c r="P1341" s="1" t="s">
        <v>188</v>
      </c>
      <c r="Q1341" s="1" t="s">
        <v>26</v>
      </c>
    </row>
    <row r="1342" spans="3:17" x14ac:dyDescent="0.25">
      <c r="C1342" s="1" t="str">
        <f>_xlfn.CONCAT(tabE.Flux[[#This Row],[DATA]],"+",tabE.Flux[[#This Row],[MOTORISTA + MATRÍCULA A]])</f>
        <v>45944+JADILSON LIMA VIEIRA - 1108</v>
      </c>
      <c r="D1342" s="1" t="str">
        <f>_xlfn.CONCAT(tabE.Flux[[#This Row],[DATA]],"+",tabE.Flux[[#This Row],[MOTORISTA + MATRÍCULA B]])</f>
        <v>45944+CORESTINO RODRIGUES CALDEIRA FILHO - 6035</v>
      </c>
      <c r="E1342" s="1" t="str">
        <f>_xlfn.CONCAT(tabE.Flux[[#This Row],[DATA]],"+",tabE.Flux[[#This Row],[MOTORISTA + MATRÍCULA A]],"+",tabE.Flux[[#This Row],[LINHA]])</f>
        <v>45944+JADILSON LIMA VIEIRA - 1108+GOIANIA (GO) X SAO LUIS (MA)</v>
      </c>
      <c r="F1342" s="1" t="str">
        <f>_xlfn.CONCAT(tabE.Flux[[#This Row],[DATA]],"+",tabE.Flux[[#This Row],[MOTORISTA + MATRÍCULA B]],"+",tabE.Flux[[#This Row],[LINHA]])</f>
        <v>45944+CORESTINO RODRIGUES CALDEIRA FILHO - 6035+GOIANIA (GO) X SAO LUIS (MA)</v>
      </c>
      <c r="G1342" s="1" t="str">
        <f>_xlfn.CONCAT(tabE.Flux[[#This Row],[DATA]],"+",tabE.Flux[[#This Row],[LINHA]])</f>
        <v>45944+GOIANIA (GO) X SAO LUIS (MA)</v>
      </c>
      <c r="H1342" s="125">
        <v>45944</v>
      </c>
      <c r="I1342" s="1" t="s">
        <v>15</v>
      </c>
      <c r="J1342" s="1">
        <v>19021</v>
      </c>
      <c r="K1342" s="126">
        <v>0.8125</v>
      </c>
      <c r="L1342" s="126">
        <v>0.84166666666666667</v>
      </c>
      <c r="M1342" s="1" t="s">
        <v>16</v>
      </c>
      <c r="N1342" s="1" t="s">
        <v>17</v>
      </c>
      <c r="O1342" s="1" t="s">
        <v>66</v>
      </c>
      <c r="P1342" s="1" t="s">
        <v>99</v>
      </c>
      <c r="Q1342" s="1" t="s">
        <v>23</v>
      </c>
    </row>
    <row r="1343" spans="3:17" x14ac:dyDescent="0.25">
      <c r="C1343" s="1" t="str">
        <f>_xlfn.CONCAT(tabE.Flux[[#This Row],[DATA]],"+",tabE.Flux[[#This Row],[MOTORISTA + MATRÍCULA A]])</f>
        <v>45944+CLEYTON CEZAR DA SILVA - 5741</v>
      </c>
      <c r="D1343" s="1" t="str">
        <f>_xlfn.CONCAT(tabE.Flux[[#This Row],[DATA]],"+",tabE.Flux[[#This Row],[MOTORISTA + MATRÍCULA B]])</f>
        <v>45944+WILLIAN DE SOUZA BANDEIRA - 2025</v>
      </c>
      <c r="E1343" s="1" t="str">
        <f>_xlfn.CONCAT(tabE.Flux[[#This Row],[DATA]],"+",tabE.Flux[[#This Row],[MOTORISTA + MATRÍCULA A]],"+",tabE.Flux[[#This Row],[LINHA]])</f>
        <v>45944+CLEYTON CEZAR DA SILVA - 5741+FORTALEZA (CE) X SINOP (MT)</v>
      </c>
      <c r="F1343" s="1" t="str">
        <f>_xlfn.CONCAT(tabE.Flux[[#This Row],[DATA]],"+",tabE.Flux[[#This Row],[MOTORISTA + MATRÍCULA B]],"+",tabE.Flux[[#This Row],[LINHA]])</f>
        <v>45944+WILLIAN DE SOUZA BANDEIRA - 2025+FORTALEZA (CE) X SINOP (MT)</v>
      </c>
      <c r="G1343" s="1" t="str">
        <f>_xlfn.CONCAT(tabE.Flux[[#This Row],[DATA]],"+",tabE.Flux[[#This Row],[LINHA]])</f>
        <v>45944+FORTALEZA (CE) X SINOP (MT)</v>
      </c>
      <c r="H1343" s="125">
        <v>45944</v>
      </c>
      <c r="I1343" s="1" t="s">
        <v>15</v>
      </c>
      <c r="J1343" s="1">
        <v>19024</v>
      </c>
      <c r="K1343" s="126">
        <v>0.8125</v>
      </c>
      <c r="L1343" s="126">
        <v>0.85416666666666663</v>
      </c>
      <c r="M1343" s="1" t="s">
        <v>16</v>
      </c>
      <c r="N1343" s="1" t="s">
        <v>17</v>
      </c>
      <c r="O1343" s="1" t="s">
        <v>155</v>
      </c>
      <c r="P1343" s="1" t="s">
        <v>219</v>
      </c>
      <c r="Q1343" s="1" t="s">
        <v>32</v>
      </c>
    </row>
    <row r="1344" spans="3:17" x14ac:dyDescent="0.25">
      <c r="C1344" s="1" t="str">
        <f>_xlfn.CONCAT(tabE.Flux[[#This Row],[DATA]],"+",tabE.Flux[[#This Row],[MOTORISTA + MATRÍCULA A]])</f>
        <v>45944+EDIMAR FRANCISCO ALEIXO - 5593</v>
      </c>
      <c r="D1344" s="1" t="str">
        <f>_xlfn.CONCAT(tabE.Flux[[#This Row],[DATA]],"+",tabE.Flux[[#This Row],[MOTORISTA + MATRÍCULA B]])</f>
        <v>45944+LUCIANO CARNEIRO ALVES - 5757</v>
      </c>
      <c r="E1344" s="1" t="str">
        <f>_xlfn.CONCAT(tabE.Flux[[#This Row],[DATA]],"+",tabE.Flux[[#This Row],[MOTORISTA + MATRÍCULA A]],"+",tabE.Flux[[#This Row],[LINHA]])</f>
        <v>45944+EDIMAR FRANCISCO ALEIXO - 5593+GOIANIA (GO) X BELEM (PA)</v>
      </c>
      <c r="F1344" s="1" t="str">
        <f>_xlfn.CONCAT(tabE.Flux[[#This Row],[DATA]],"+",tabE.Flux[[#This Row],[MOTORISTA + MATRÍCULA B]],"+",tabE.Flux[[#This Row],[LINHA]])</f>
        <v>45944+LUCIANO CARNEIRO ALVES - 5757+GOIANIA (GO) X BELEM (PA)</v>
      </c>
      <c r="G1344" s="1" t="str">
        <f>_xlfn.CONCAT(tabE.Flux[[#This Row],[DATA]],"+",tabE.Flux[[#This Row],[LINHA]])</f>
        <v>45944+GOIANIA (GO) X BELEM (PA)</v>
      </c>
      <c r="H1344" s="125">
        <v>45944</v>
      </c>
      <c r="I1344" s="1" t="s">
        <v>15</v>
      </c>
      <c r="J1344" s="1">
        <v>20019</v>
      </c>
      <c r="K1344" s="126">
        <v>0.84722222222222221</v>
      </c>
      <c r="L1344" s="126">
        <v>0.87847222222222221</v>
      </c>
      <c r="M1344" s="1" t="s">
        <v>16</v>
      </c>
      <c r="N1344" s="1" t="s">
        <v>17</v>
      </c>
      <c r="O1344" s="1" t="s">
        <v>212</v>
      </c>
      <c r="P1344" s="1" t="s">
        <v>213</v>
      </c>
      <c r="Q1344" s="1" t="s">
        <v>20</v>
      </c>
    </row>
    <row r="1345" spans="3:17" x14ac:dyDescent="0.25">
      <c r="C1345" s="1" t="str">
        <f>_xlfn.CONCAT(tabE.Flux[[#This Row],[DATA]],"+",tabE.Flux[[#This Row],[MOTORISTA + MATRÍCULA A]])</f>
        <v>+</v>
      </c>
      <c r="D1345" s="1" t="str">
        <f>_xlfn.CONCAT(tabE.Flux[[#This Row],[DATA]],"+",tabE.Flux[[#This Row],[MOTORISTA + MATRÍCULA B]])</f>
        <v>+</v>
      </c>
      <c r="E1345" s="1" t="str">
        <f>_xlfn.CONCAT(tabE.Flux[[#This Row],[DATA]],"+",tabE.Flux[[#This Row],[MOTORISTA + MATRÍCULA A]],"+",tabE.Flux[[#This Row],[LINHA]])</f>
        <v>++</v>
      </c>
      <c r="F1345" s="1" t="str">
        <f>_xlfn.CONCAT(tabE.Flux[[#This Row],[DATA]],"+",tabE.Flux[[#This Row],[MOTORISTA + MATRÍCULA B]],"+",tabE.Flux[[#This Row],[LINHA]])</f>
        <v>++</v>
      </c>
      <c r="G1345" s="1" t="str">
        <f>_xlfn.CONCAT(tabE.Flux[[#This Row],[DATA]],"+",tabE.Flux[[#This Row],[LINHA]])</f>
        <v>+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/>
    </row>
    <row r="1346" spans="3:17" x14ac:dyDescent="0.25">
      <c r="C1346" s="1" t="str">
        <f>_xlfn.CONCAT(tabE.Flux[[#This Row],[DATA]],"+",tabE.Flux[[#This Row],[MOTORISTA + MATRÍCULA A]])</f>
        <v>45945+REINAN JOSE BORGES SOUSA - 1075</v>
      </c>
      <c r="D1346" s="1" t="str">
        <f>_xlfn.CONCAT(tabE.Flux[[#This Row],[DATA]],"+",tabE.Flux[[#This Row],[MOTORISTA + MATRÍCULA B]])</f>
        <v>45945+JAME DOS SANTOS MOURA - 5332</v>
      </c>
      <c r="E1346" s="1" t="str">
        <f>_xlfn.CONCAT(tabE.Flux[[#This Row],[DATA]],"+",tabE.Flux[[#This Row],[MOTORISTA + MATRÍCULA A]],"+",tabE.Flux[[#This Row],[LINHA]])</f>
        <v>45945+REINAN JOSE BORGES SOUSA - 1075+GOIANIA (GO) X BELEM (PA)</v>
      </c>
      <c r="F1346" s="1" t="str">
        <f>_xlfn.CONCAT(tabE.Flux[[#This Row],[DATA]],"+",tabE.Flux[[#This Row],[MOTORISTA + MATRÍCULA B]],"+",tabE.Flux[[#This Row],[LINHA]])</f>
        <v>45945+JAME DOS SANTOS MOURA - 5332+GOIANIA (GO) X BELEM (PA)</v>
      </c>
      <c r="G1346" s="1" t="str">
        <f>_xlfn.CONCAT(tabE.Flux[[#This Row],[DATA]],"+",tabE.Flux[[#This Row],[LINHA]])</f>
        <v>45945+GOIANIA (GO) X BELEM (PA)</v>
      </c>
      <c r="H1346" s="125">
        <v>45945</v>
      </c>
      <c r="I1346" s="1" t="s">
        <v>15</v>
      </c>
      <c r="J1346" s="1">
        <v>24011</v>
      </c>
      <c r="K1346" s="126">
        <v>0.25486111111111109</v>
      </c>
      <c r="L1346" s="126">
        <v>0.3</v>
      </c>
      <c r="M1346" s="1" t="s">
        <v>16</v>
      </c>
      <c r="N1346" s="1" t="s">
        <v>17</v>
      </c>
      <c r="O1346" s="1" t="s">
        <v>84</v>
      </c>
      <c r="P1346" s="1" t="s">
        <v>103</v>
      </c>
      <c r="Q1346" s="1" t="s">
        <v>20</v>
      </c>
    </row>
    <row r="1347" spans="3:17" x14ac:dyDescent="0.25">
      <c r="C1347" s="1" t="str">
        <f>_xlfn.CONCAT(tabE.Flux[[#This Row],[DATA]],"+",tabE.Flux[[#This Row],[MOTORISTA + MATRÍCULA A]])</f>
        <v>45945+ANDRE LUIZ DA SILVA - 5188</v>
      </c>
      <c r="D1347" s="1" t="str">
        <f>_xlfn.CONCAT(tabE.Flux[[#This Row],[DATA]],"+",tabE.Flux[[#This Row],[MOTORISTA + MATRÍCULA B]])</f>
        <v>45945+LUSIMAR SOARES ROCHA - 5987</v>
      </c>
      <c r="E1347" s="1" t="str">
        <f>_xlfn.CONCAT(tabE.Flux[[#This Row],[DATA]],"+",tabE.Flux[[#This Row],[MOTORISTA + MATRÍCULA A]],"+",tabE.Flux[[#This Row],[LINHA]])</f>
        <v>45945+ANDRE LUIZ DA SILVA - 5188+GOIANIA (GO) X SAO LUIS (MA)</v>
      </c>
      <c r="F1347" s="1" t="str">
        <f>_xlfn.CONCAT(tabE.Flux[[#This Row],[DATA]],"+",tabE.Flux[[#This Row],[MOTORISTA + MATRÍCULA B]],"+",tabE.Flux[[#This Row],[LINHA]])</f>
        <v>45945+LUSIMAR SOARES ROCHA - 5987+GOIANIA (GO) X SAO LUIS (MA)</v>
      </c>
      <c r="G1347" s="1" t="str">
        <f>_xlfn.CONCAT(tabE.Flux[[#This Row],[DATA]],"+",tabE.Flux[[#This Row],[LINHA]])</f>
        <v>45945+GOIANIA (GO) X SAO LUIS (MA)</v>
      </c>
      <c r="H1347" s="125">
        <v>45945</v>
      </c>
      <c r="I1347" s="1" t="s">
        <v>15</v>
      </c>
      <c r="J1347" s="1">
        <v>24013</v>
      </c>
      <c r="K1347" s="126">
        <v>0.32291666666666669</v>
      </c>
      <c r="L1347" s="126">
        <v>0.33333333333333331</v>
      </c>
      <c r="M1347" s="1" t="s">
        <v>16</v>
      </c>
      <c r="N1347" s="1" t="s">
        <v>17</v>
      </c>
      <c r="O1347" s="1" t="s">
        <v>18</v>
      </c>
      <c r="P1347" s="1" t="s">
        <v>214</v>
      </c>
      <c r="Q1347" s="1" t="s">
        <v>23</v>
      </c>
    </row>
    <row r="1348" spans="3:17" x14ac:dyDescent="0.25">
      <c r="C1348" s="1" t="str">
        <f>_xlfn.CONCAT(tabE.Flux[[#This Row],[DATA]],"+",tabE.Flux[[#This Row],[MOTORISTA + MATRÍCULA A]])</f>
        <v>45945+JOSE ORLANDO RODRIGUES DE MIRANDA - 5838</v>
      </c>
      <c r="D1348" s="1" t="str">
        <f>_xlfn.CONCAT(tabE.Flux[[#This Row],[DATA]],"+",tabE.Flux[[#This Row],[MOTORISTA + MATRÍCULA B]])</f>
        <v>45945+RONNE RODRIGUES DE SOUSA - 5025</v>
      </c>
      <c r="E1348" s="1" t="str">
        <f>_xlfn.CONCAT(tabE.Flux[[#This Row],[DATA]],"+",tabE.Flux[[#This Row],[MOTORISTA + MATRÍCULA A]],"+",tabE.Flux[[#This Row],[LINHA]])</f>
        <v>45945+JOSE ORLANDO RODRIGUES DE MIRANDA - 5838+GOIANIA (GO) X TERESINA (PI) VIA STI</v>
      </c>
      <c r="F1348" s="1" t="str">
        <f>_xlfn.CONCAT(tabE.Flux[[#This Row],[DATA]],"+",tabE.Flux[[#This Row],[MOTORISTA + MATRÍCULA B]],"+",tabE.Flux[[#This Row],[LINHA]])</f>
        <v>45945+RONNE RODRIGUES DE SOUSA - 5025+GOIANIA (GO) X TERESINA (PI) VIA STI</v>
      </c>
      <c r="G1348" s="1" t="str">
        <f>_xlfn.CONCAT(tabE.Flux[[#This Row],[DATA]],"+",tabE.Flux[[#This Row],[LINHA]])</f>
        <v>45945+GOIANIA (GO) X TERESINA (PI) VIA STI</v>
      </c>
      <c r="H1348" s="125">
        <v>45945</v>
      </c>
      <c r="I1348" s="1" t="s">
        <v>15</v>
      </c>
      <c r="J1348" s="1">
        <v>19008</v>
      </c>
      <c r="K1348" s="126">
        <v>0.3888888888888889</v>
      </c>
      <c r="L1348" s="126">
        <v>0.39583333333333331</v>
      </c>
      <c r="M1348" s="1" t="s">
        <v>16</v>
      </c>
      <c r="N1348" s="1" t="s">
        <v>17</v>
      </c>
      <c r="O1348" s="1" t="s">
        <v>37</v>
      </c>
      <c r="P1348" s="1" t="s">
        <v>85</v>
      </c>
      <c r="Q1348" s="1" t="s">
        <v>26</v>
      </c>
    </row>
    <row r="1349" spans="3:17" x14ac:dyDescent="0.25">
      <c r="C1349" s="1" t="str">
        <f>_xlfn.CONCAT(tabE.Flux[[#This Row],[DATA]],"+",tabE.Flux[[#This Row],[MOTORISTA + MATRÍCULA A]])</f>
        <v>45945+CANCELADO</v>
      </c>
      <c r="D1349" s="1" t="str">
        <f>_xlfn.CONCAT(tabE.Flux[[#This Row],[DATA]],"+",tabE.Flux[[#This Row],[MOTORISTA + MATRÍCULA B]])</f>
        <v>45945+CANCELADO</v>
      </c>
      <c r="E1349" s="1" t="str">
        <f>_xlfn.CONCAT(tabE.Flux[[#This Row],[DATA]],"+",tabE.Flux[[#This Row],[MOTORISTA + MATRÍCULA A]],"+",tabE.Flux[[#This Row],[LINHA]])</f>
        <v>45945+CANCELADO+</v>
      </c>
      <c r="F1349" s="1" t="str">
        <f>_xlfn.CONCAT(tabE.Flux[[#This Row],[DATA]],"+",tabE.Flux[[#This Row],[MOTORISTA + MATRÍCULA B]],"+",tabE.Flux[[#This Row],[LINHA]])</f>
        <v>45945+CANCELADO+</v>
      </c>
      <c r="G1349" s="1" t="str">
        <f>_xlfn.CONCAT(tabE.Flux[[#This Row],[DATA]],"+",tabE.Flux[[#This Row],[LINHA]])</f>
        <v>45945+</v>
      </c>
      <c r="H1349" s="125">
        <v>45945</v>
      </c>
      <c r="I1349" s="1" t="s">
        <v>15</v>
      </c>
      <c r="J1349" s="1" t="s">
        <v>27</v>
      </c>
      <c r="K1349" s="126">
        <v>0.375</v>
      </c>
      <c r="L1349" s="126">
        <v>0.41666666666666669</v>
      </c>
      <c r="M1349" s="1" t="s">
        <v>16</v>
      </c>
      <c r="N1349" s="1" t="s">
        <v>28</v>
      </c>
      <c r="O1349" s="1" t="s">
        <v>27</v>
      </c>
      <c r="P1349" s="1" t="s">
        <v>27</v>
      </c>
      <c r="Q1349" s="1"/>
    </row>
    <row r="1350" spans="3:17" x14ac:dyDescent="0.25">
      <c r="C1350" s="1" t="str">
        <f>_xlfn.CONCAT(tabE.Flux[[#This Row],[DATA]],"+",tabE.Flux[[#This Row],[MOTORISTA + MATRÍCULA A]])</f>
        <v>45945+IZALMIR RODRIGUES COELHO - 958</v>
      </c>
      <c r="D1350" s="1" t="str">
        <f>_xlfn.CONCAT(tabE.Flux[[#This Row],[DATA]],"+",tabE.Flux[[#This Row],[MOTORISTA + MATRÍCULA B]])</f>
        <v>45945+GENIVAN LEAL TEIXEIRA - 5302</v>
      </c>
      <c r="E1350" s="1" t="str">
        <f>_xlfn.CONCAT(tabE.Flux[[#This Row],[DATA]],"+",tabE.Flux[[#This Row],[MOTORISTA + MATRÍCULA A]],"+",tabE.Flux[[#This Row],[LINHA]])</f>
        <v>45945+IZALMIR RODRIGUES COELHO - 958+FORTALEZA (CE) X SINOP (MT)</v>
      </c>
      <c r="F1350" s="1" t="str">
        <f>_xlfn.CONCAT(tabE.Flux[[#This Row],[DATA]],"+",tabE.Flux[[#This Row],[MOTORISTA + MATRÍCULA B]],"+",tabE.Flux[[#This Row],[LINHA]])</f>
        <v>45945+GENIVAN LEAL TEIXEIRA - 5302+FORTALEZA (CE) X SINOP (MT)</v>
      </c>
      <c r="G1350" s="1" t="str">
        <f>_xlfn.CONCAT(tabE.Flux[[#This Row],[DATA]],"+",tabE.Flux[[#This Row],[LINHA]])</f>
        <v>45945+FORTALEZA (CE) X SINOP (MT)</v>
      </c>
      <c r="H1350" s="125">
        <v>45945</v>
      </c>
      <c r="I1350" s="1" t="s">
        <v>15</v>
      </c>
      <c r="J1350" s="1">
        <v>17200</v>
      </c>
      <c r="K1350" s="126">
        <v>0.3888888888888889</v>
      </c>
      <c r="L1350" s="126">
        <v>0.37708333333333333</v>
      </c>
      <c r="M1350" s="1" t="s">
        <v>16</v>
      </c>
      <c r="N1350" s="1" t="s">
        <v>29</v>
      </c>
      <c r="O1350" s="1" t="s">
        <v>83</v>
      </c>
      <c r="P1350" s="1" t="s">
        <v>38</v>
      </c>
      <c r="Q1350" s="1" t="s">
        <v>32</v>
      </c>
    </row>
    <row r="1351" spans="3:17" x14ac:dyDescent="0.25">
      <c r="C1351" s="1" t="str">
        <f>_xlfn.CONCAT(tabE.Flux[[#This Row],[DATA]],"+",tabE.Flux[[#This Row],[MOTORISTA + MATRÍCULA A]])</f>
        <v>45945+FRANCISCO LINDONALDO DE SOUSA - 2971</v>
      </c>
      <c r="D1351" s="1" t="str">
        <f>_xlfn.CONCAT(tabE.Flux[[#This Row],[DATA]],"+",tabE.Flux[[#This Row],[MOTORISTA + MATRÍCULA B]])</f>
        <v>45945+RONALDO ADRIANO COSTA SANTOS - 5637</v>
      </c>
      <c r="E1351" s="1" t="str">
        <f>_xlfn.CONCAT(tabE.Flux[[#This Row],[DATA]],"+",tabE.Flux[[#This Row],[MOTORISTA + MATRÍCULA A]],"+",tabE.Flux[[#This Row],[LINHA]])</f>
        <v>45945+FRANCISCO LINDONALDO DE SOUSA - 2971+GOIANIA (GO) X BELEM (PA)</v>
      </c>
      <c r="F1351" s="1" t="str">
        <f>_xlfn.CONCAT(tabE.Flux[[#This Row],[DATA]],"+",tabE.Flux[[#This Row],[MOTORISTA + MATRÍCULA B]],"+",tabE.Flux[[#This Row],[LINHA]])</f>
        <v>45945+RONALDO ADRIANO COSTA SANTOS - 5637+GOIANIA (GO) X BELEM (PA)</v>
      </c>
      <c r="G1351" s="1" t="str">
        <f>_xlfn.CONCAT(tabE.Flux[[#This Row],[DATA]],"+",tabE.Flux[[#This Row],[LINHA]])</f>
        <v>45945+GOIANIA (GO) X BELEM (PA)</v>
      </c>
      <c r="H1351" s="125">
        <v>45945</v>
      </c>
      <c r="I1351" s="1" t="s">
        <v>15</v>
      </c>
      <c r="J1351" s="1">
        <v>19013</v>
      </c>
      <c r="K1351" s="126">
        <v>0.38958333333333334</v>
      </c>
      <c r="L1351" s="126">
        <v>0.38541666666666669</v>
      </c>
      <c r="M1351" s="1" t="s">
        <v>16</v>
      </c>
      <c r="N1351" s="1" t="s">
        <v>33</v>
      </c>
      <c r="O1351" s="1" t="s">
        <v>131</v>
      </c>
      <c r="P1351" s="1" t="s">
        <v>41</v>
      </c>
      <c r="Q1351" s="1" t="s">
        <v>20</v>
      </c>
    </row>
    <row r="1352" spans="3:17" x14ac:dyDescent="0.25">
      <c r="C1352" s="1" t="str">
        <f>_xlfn.CONCAT(tabE.Flux[[#This Row],[DATA]],"+",tabE.Flux[[#This Row],[MOTORISTA + MATRÍCULA A]])</f>
        <v>45945+JWEBISON DE BRITO SOUZA - 2999</v>
      </c>
      <c r="D1352" s="1" t="str">
        <f>_xlfn.CONCAT(tabE.Flux[[#This Row],[DATA]],"+",tabE.Flux[[#This Row],[MOTORISTA + MATRÍCULA B]])</f>
        <v>45945+MARCOS AUGUSTO SILVA ROCHA - 5268</v>
      </c>
      <c r="E1352" s="1" t="str">
        <f>_xlfn.CONCAT(tabE.Flux[[#This Row],[DATA]],"+",tabE.Flux[[#This Row],[MOTORISTA + MATRÍCULA A]],"+",tabE.Flux[[#This Row],[LINHA]])</f>
        <v>45945+JWEBISON DE BRITO SOUZA - 2999+GOIANIA (GO) X TERESINA (PI) VIA BC</v>
      </c>
      <c r="F1352" s="1" t="str">
        <f>_xlfn.CONCAT(tabE.Flux[[#This Row],[DATA]],"+",tabE.Flux[[#This Row],[MOTORISTA + MATRÍCULA B]],"+",tabE.Flux[[#This Row],[LINHA]])</f>
        <v>45945+MARCOS AUGUSTO SILVA ROCHA - 5268+GOIANIA (GO) X TERESINA (PI) VIA BC</v>
      </c>
      <c r="G1352" s="1" t="str">
        <f>_xlfn.CONCAT(tabE.Flux[[#This Row],[DATA]],"+",tabE.Flux[[#This Row],[LINHA]])</f>
        <v>45945+GOIANIA (GO) X TERESINA (PI) VIA BC</v>
      </c>
      <c r="H1352" s="125">
        <v>45945</v>
      </c>
      <c r="I1352" s="1" t="s">
        <v>15</v>
      </c>
      <c r="J1352" s="1">
        <v>25006</v>
      </c>
      <c r="K1352" s="126">
        <v>0.375</v>
      </c>
      <c r="L1352" s="126">
        <v>0.39930555555555558</v>
      </c>
      <c r="M1352" s="1" t="s">
        <v>36</v>
      </c>
      <c r="N1352" s="1" t="s">
        <v>29</v>
      </c>
      <c r="O1352" s="1" t="s">
        <v>77</v>
      </c>
      <c r="P1352" s="1" t="s">
        <v>221</v>
      </c>
      <c r="Q1352" s="1" t="s">
        <v>39</v>
      </c>
    </row>
    <row r="1353" spans="3:17" x14ac:dyDescent="0.25">
      <c r="C1353" s="1" t="str">
        <f>_xlfn.CONCAT(tabE.Flux[[#This Row],[DATA]],"+",tabE.Flux[[#This Row],[MOTORISTA + MATRÍCULA A]])</f>
        <v>45945+RAINERIO COSTA MENDES - 5850</v>
      </c>
      <c r="D1353" s="1" t="str">
        <f>_xlfn.CONCAT(tabE.Flux[[#This Row],[DATA]],"+",tabE.Flux[[#This Row],[MOTORISTA + MATRÍCULA B]])</f>
        <v>45945+GILVAN DE SOUSA FRANCA - 5834</v>
      </c>
      <c r="E1353" s="1" t="str">
        <f>_xlfn.CONCAT(tabE.Flux[[#This Row],[DATA]],"+",tabE.Flux[[#This Row],[MOTORISTA + MATRÍCULA A]],"+",tabE.Flux[[#This Row],[LINHA]])</f>
        <v>45945+RAINERIO COSTA MENDES - 5850+GOIANIA (GO) X BELEM (PA)</v>
      </c>
      <c r="F1353" s="1" t="str">
        <f>_xlfn.CONCAT(tabE.Flux[[#This Row],[DATA]],"+",tabE.Flux[[#This Row],[MOTORISTA + MATRÍCULA B]],"+",tabE.Flux[[#This Row],[LINHA]])</f>
        <v>45945+GILVAN DE SOUSA FRANCA - 5834+GOIANIA (GO) X BELEM (PA)</v>
      </c>
      <c r="G1353" s="1" t="str">
        <f>_xlfn.CONCAT(tabE.Flux[[#This Row],[DATA]],"+",tabE.Flux[[#This Row],[LINHA]])</f>
        <v>45945+GOIANIA (GO) X BELEM (PA)</v>
      </c>
      <c r="H1353" s="125">
        <v>45945</v>
      </c>
      <c r="I1353" s="1" t="s">
        <v>15</v>
      </c>
      <c r="J1353" s="1">
        <v>19012</v>
      </c>
      <c r="K1353" s="126">
        <v>0.375</v>
      </c>
      <c r="L1353" s="126">
        <v>0.41666666666666669</v>
      </c>
      <c r="M1353" s="1" t="s">
        <v>33</v>
      </c>
      <c r="N1353" s="1" t="s">
        <v>16</v>
      </c>
      <c r="O1353" s="1" t="s">
        <v>108</v>
      </c>
      <c r="P1353" s="1" t="s">
        <v>35</v>
      </c>
      <c r="Q1353" s="1" t="s">
        <v>20</v>
      </c>
    </row>
    <row r="1354" spans="3:17" x14ac:dyDescent="0.25">
      <c r="C1354" s="1" t="str">
        <f>_xlfn.CONCAT(tabE.Flux[[#This Row],[DATA]],"+",tabE.Flux[[#This Row],[MOTORISTA + MATRÍCULA A]])</f>
        <v>45945+KAYLSON KLEYTON DA SILVA COSTA - 6224</v>
      </c>
      <c r="D1354" s="1" t="str">
        <f>_xlfn.CONCAT(tabE.Flux[[#This Row],[DATA]],"+",tabE.Flux[[#This Row],[MOTORISTA + MATRÍCULA B]])</f>
        <v>45945+LUIS ANTONIO FARIAS RIBEIRO - 2789</v>
      </c>
      <c r="E1354" s="1" t="str">
        <f>_xlfn.CONCAT(tabE.Flux[[#This Row],[DATA]],"+",tabE.Flux[[#This Row],[MOTORISTA + MATRÍCULA A]],"+",tabE.Flux[[#This Row],[LINHA]])</f>
        <v>45945+KAYLSON KLEYTON DA SILVA COSTA - 6224+GOIANIA (GO) X SAO LUIS (MA)</v>
      </c>
      <c r="F1354" s="1" t="str">
        <f>_xlfn.CONCAT(tabE.Flux[[#This Row],[DATA]],"+",tabE.Flux[[#This Row],[MOTORISTA + MATRÍCULA B]],"+",tabE.Flux[[#This Row],[LINHA]])</f>
        <v>45945+LUIS ANTONIO FARIAS RIBEIRO - 2789+GOIANIA (GO) X SAO LUIS (MA)</v>
      </c>
      <c r="G1354" s="1" t="str">
        <f>_xlfn.CONCAT(tabE.Flux[[#This Row],[DATA]],"+",tabE.Flux[[#This Row],[LINHA]])</f>
        <v>45945+GOIANIA (GO) X SAO LUIS (MA)</v>
      </c>
      <c r="H1354" s="125">
        <v>45945</v>
      </c>
      <c r="I1354" s="1" t="s">
        <v>15</v>
      </c>
      <c r="J1354" s="1">
        <v>19017</v>
      </c>
      <c r="K1354" s="126">
        <v>0.25</v>
      </c>
      <c r="L1354" s="126">
        <v>0.29166666666666669</v>
      </c>
      <c r="M1354" s="1" t="s">
        <v>42</v>
      </c>
      <c r="N1354" s="1" t="s">
        <v>16</v>
      </c>
      <c r="O1354" s="1" t="s">
        <v>80</v>
      </c>
      <c r="P1354" s="1" t="s">
        <v>124</v>
      </c>
      <c r="Q1354" s="1" t="s">
        <v>23</v>
      </c>
    </row>
    <row r="1355" spans="3:17" x14ac:dyDescent="0.25">
      <c r="C1355" s="1" t="str">
        <f>_xlfn.CONCAT(tabE.Flux[[#This Row],[DATA]],"+",tabE.Flux[[#This Row],[MOTORISTA + MATRÍCULA A]])</f>
        <v>45945+EDIVALDO DE ARAUJO - 6217</v>
      </c>
      <c r="D1355" s="1" t="str">
        <f>_xlfn.CONCAT(tabE.Flux[[#This Row],[DATA]],"+",tabE.Flux[[#This Row],[MOTORISTA + MATRÍCULA B]])</f>
        <v>45945+ANTONIO MARQUES NETO DOS SANTOS - 1738</v>
      </c>
      <c r="E1355" s="1" t="str">
        <f>_xlfn.CONCAT(tabE.Flux[[#This Row],[DATA]],"+",tabE.Flux[[#This Row],[MOTORISTA + MATRÍCULA A]],"+",tabE.Flux[[#This Row],[LINHA]])</f>
        <v>45945+EDIVALDO DE ARAUJO - 6217+GOIANIA (GO) X SAO LUIS (MA)</v>
      </c>
      <c r="F1355" s="1" t="str">
        <f>_xlfn.CONCAT(tabE.Flux[[#This Row],[DATA]],"+",tabE.Flux[[#This Row],[MOTORISTA + MATRÍCULA B]],"+",tabE.Flux[[#This Row],[LINHA]])</f>
        <v>45945+ANTONIO MARQUES NETO DOS SANTOS - 1738+GOIANIA (GO) X SAO LUIS (MA)</v>
      </c>
      <c r="G1355" s="1" t="str">
        <f>_xlfn.CONCAT(tabE.Flux[[#This Row],[DATA]],"+",tabE.Flux[[#This Row],[LINHA]])</f>
        <v>45945+GOIANIA (GO) X SAO LUIS (MA)</v>
      </c>
      <c r="H1355" s="125">
        <v>45945</v>
      </c>
      <c r="I1355" s="1" t="s">
        <v>15</v>
      </c>
      <c r="J1355" s="1">
        <v>24003</v>
      </c>
      <c r="K1355" s="126">
        <v>0.75</v>
      </c>
      <c r="L1355" s="126">
        <v>0.79166666666666663</v>
      </c>
      <c r="M1355" s="1" t="s">
        <v>42</v>
      </c>
      <c r="N1355" s="1" t="s">
        <v>16</v>
      </c>
      <c r="O1355" s="1" t="s">
        <v>55</v>
      </c>
      <c r="P1355" s="1" t="s">
        <v>73</v>
      </c>
      <c r="Q1355" s="1" t="s">
        <v>23</v>
      </c>
    </row>
    <row r="1356" spans="3:17" x14ac:dyDescent="0.25">
      <c r="C1356" s="1" t="str">
        <f>_xlfn.CONCAT(tabE.Flux[[#This Row],[DATA]],"+",tabE.Flux[[#This Row],[MOTORISTA + MATRÍCULA A]])</f>
        <v>45945+CANCELADO</v>
      </c>
      <c r="D1356" s="1" t="str">
        <f>_xlfn.CONCAT(tabE.Flux[[#This Row],[DATA]],"+",tabE.Flux[[#This Row],[MOTORISTA + MATRÍCULA B]])</f>
        <v>45945+CANCELADO</v>
      </c>
      <c r="E1356" s="1" t="str">
        <f>_xlfn.CONCAT(tabE.Flux[[#This Row],[DATA]],"+",tabE.Flux[[#This Row],[MOTORISTA + MATRÍCULA A]],"+",tabE.Flux[[#This Row],[LINHA]])</f>
        <v>45945+CANCELADO+IMPERATRIZ (MA) X SÃO LUIS (MA)</v>
      </c>
      <c r="F1356" s="1" t="str">
        <f>_xlfn.CONCAT(tabE.Flux[[#This Row],[DATA]],"+",tabE.Flux[[#This Row],[MOTORISTA + MATRÍCULA B]],"+",tabE.Flux[[#This Row],[LINHA]])</f>
        <v>45945+CANCELADO+IMPERATRIZ (MA) X SÃO LUIS (MA)</v>
      </c>
      <c r="G1356" s="1" t="str">
        <f>_xlfn.CONCAT(tabE.Flux[[#This Row],[DATA]],"+",tabE.Flux[[#This Row],[LINHA]])</f>
        <v>45945+IMPERATRIZ (MA) X SÃO LUIS (MA)</v>
      </c>
      <c r="H1356" s="125">
        <v>45945</v>
      </c>
      <c r="I1356" s="1" t="s">
        <v>15</v>
      </c>
      <c r="J1356" s="1" t="s">
        <v>27</v>
      </c>
      <c r="K1356" s="126">
        <v>0.77083333333333337</v>
      </c>
      <c r="L1356" s="126">
        <v>0.79513888888888884</v>
      </c>
      <c r="M1356" s="1" t="s">
        <v>42</v>
      </c>
      <c r="N1356" s="1" t="s">
        <v>16</v>
      </c>
      <c r="O1356" s="1" t="s">
        <v>27</v>
      </c>
      <c r="P1356" s="1" t="s">
        <v>27</v>
      </c>
      <c r="Q1356" s="1" t="s">
        <v>47</v>
      </c>
    </row>
    <row r="1357" spans="3:17" x14ac:dyDescent="0.25">
      <c r="C1357" s="1" t="str">
        <f>_xlfn.CONCAT(tabE.Flux[[#This Row],[DATA]],"+",tabE.Flux[[#This Row],[MOTORISTA + MATRÍCULA A]])</f>
        <v>45945+JOSE PEDRO DA SILVA FREITAS - 1357</v>
      </c>
      <c r="D1357" s="1" t="str">
        <f>_xlfn.CONCAT(tabE.Flux[[#This Row],[DATA]],"+",tabE.Flux[[#This Row],[MOTORISTA + MATRÍCULA B]])</f>
        <v>45945+ADIR CASSIMIRO DA SILVA - 5672</v>
      </c>
      <c r="E1357" s="1" t="str">
        <f>_xlfn.CONCAT(tabE.Flux[[#This Row],[DATA]],"+",tabE.Flux[[#This Row],[MOTORISTA + MATRÍCULA A]],"+",tabE.Flux[[#This Row],[LINHA]])</f>
        <v>45945+JOSE PEDRO DA SILVA FREITAS - 1357+GOIANIA (GO) X TERESINA (PI) VIA BC</v>
      </c>
      <c r="F1357" s="1" t="str">
        <f>_xlfn.CONCAT(tabE.Flux[[#This Row],[DATA]],"+",tabE.Flux[[#This Row],[MOTORISTA + MATRÍCULA B]],"+",tabE.Flux[[#This Row],[LINHA]])</f>
        <v>45945+ADIR CASSIMIRO DA SILVA - 5672+GOIANIA (GO) X TERESINA (PI) VIA BC</v>
      </c>
      <c r="G1357" s="1" t="str">
        <f>_xlfn.CONCAT(tabE.Flux[[#This Row],[DATA]],"+",tabE.Flux[[#This Row],[LINHA]])</f>
        <v>45945+GOIANIA (GO) X TERESINA (PI) VIA BC</v>
      </c>
      <c r="H1357" s="125">
        <v>45945</v>
      </c>
      <c r="I1357" s="1" t="s">
        <v>15</v>
      </c>
      <c r="J1357" s="1">
        <v>25007</v>
      </c>
      <c r="K1357" s="126">
        <v>0.89583333333333337</v>
      </c>
      <c r="L1357" s="126">
        <v>0.91666666666666663</v>
      </c>
      <c r="M1357" s="1" t="s">
        <v>36</v>
      </c>
      <c r="N1357" s="1" t="s">
        <v>17</v>
      </c>
      <c r="O1357" s="1" t="s">
        <v>106</v>
      </c>
      <c r="P1357" s="1" t="s">
        <v>22</v>
      </c>
      <c r="Q1357" s="1" t="s">
        <v>39</v>
      </c>
    </row>
    <row r="1358" spans="3:17" x14ac:dyDescent="0.25">
      <c r="C1358" s="1" t="str">
        <f>_xlfn.CONCAT(tabE.Flux[[#This Row],[DATA]],"+",tabE.Flux[[#This Row],[MOTORISTA + MATRÍCULA A]])</f>
        <v>45945+MARCOS ROBERTO DE SOUSA - 5236</v>
      </c>
      <c r="D1358" s="1" t="str">
        <f>_xlfn.CONCAT(tabE.Flux[[#This Row],[DATA]],"+",tabE.Flux[[#This Row],[MOTORISTA + MATRÍCULA B]])</f>
        <v>45945+ANTONIO RAMIRO WEBER - 5452</v>
      </c>
      <c r="E1358" s="1" t="str">
        <f>_xlfn.CONCAT(tabE.Flux[[#This Row],[DATA]],"+",tabE.Flux[[#This Row],[MOTORISTA + MATRÍCULA A]],"+",tabE.Flux[[#This Row],[LINHA]])</f>
        <v>45945+MARCOS ROBERTO DE SOUSA - 5236+GOIANIA (GO) X BELEM (PA)</v>
      </c>
      <c r="F1358" s="1" t="str">
        <f>_xlfn.CONCAT(tabE.Flux[[#This Row],[DATA]],"+",tabE.Flux[[#This Row],[MOTORISTA + MATRÍCULA B]],"+",tabE.Flux[[#This Row],[LINHA]])</f>
        <v>45945+ANTONIO RAMIRO WEBER - 5452+GOIANIA (GO) X BELEM (PA)</v>
      </c>
      <c r="G1358" s="1" t="str">
        <f>_xlfn.CONCAT(tabE.Flux[[#This Row],[DATA]],"+",tabE.Flux[[#This Row],[LINHA]])</f>
        <v>45945+GOIANIA (GO) X BELEM (PA)</v>
      </c>
      <c r="H1358" s="125">
        <v>45945</v>
      </c>
      <c r="I1358" s="1" t="s">
        <v>15</v>
      </c>
      <c r="J1358" s="1">
        <v>24001</v>
      </c>
      <c r="K1358" s="126">
        <v>0.76041666666666663</v>
      </c>
      <c r="L1358" s="126">
        <v>0.77083333333333337</v>
      </c>
      <c r="M1358" s="1" t="s">
        <v>33</v>
      </c>
      <c r="N1358" s="1" t="s">
        <v>16</v>
      </c>
      <c r="O1358" s="1" t="s">
        <v>234</v>
      </c>
      <c r="P1358" s="1" t="s">
        <v>79</v>
      </c>
      <c r="Q1358" s="1" t="s">
        <v>20</v>
      </c>
    </row>
    <row r="1359" spans="3:17" x14ac:dyDescent="0.25">
      <c r="C1359" s="1" t="str">
        <f>_xlfn.CONCAT(tabE.Flux[[#This Row],[DATA]],"+",tabE.Flux[[#This Row],[MOTORISTA + MATRÍCULA A]])</f>
        <v>45945+FRANCISCO BATISTA DE LIMA - 1827</v>
      </c>
      <c r="D1359" s="1" t="str">
        <f>_xlfn.CONCAT(tabE.Flux[[#This Row],[DATA]],"+",tabE.Flux[[#This Row],[MOTORISTA + MATRÍCULA B]])</f>
        <v>45945+KLEBER OLIVEIRA LIMA - 5849</v>
      </c>
      <c r="E1359" s="1" t="str">
        <f>_xlfn.CONCAT(tabE.Flux[[#This Row],[DATA]],"+",tabE.Flux[[#This Row],[MOTORISTA + MATRÍCULA A]],"+",tabE.Flux[[#This Row],[LINHA]])</f>
        <v>45945+FRANCISCO BATISTA DE LIMA - 1827+GOIANIA (GO) X BELEM (PA)</v>
      </c>
      <c r="F1359" s="1" t="str">
        <f>_xlfn.CONCAT(tabE.Flux[[#This Row],[DATA]],"+",tabE.Flux[[#This Row],[MOTORISTA + MATRÍCULA B]],"+",tabE.Flux[[#This Row],[LINHA]])</f>
        <v>45945+KLEBER OLIVEIRA LIMA - 5849+GOIANIA (GO) X BELEM (PA)</v>
      </c>
      <c r="G1359" s="1" t="str">
        <f>_xlfn.CONCAT(tabE.Flux[[#This Row],[DATA]],"+",tabE.Flux[[#This Row],[LINHA]])</f>
        <v>45945+GOIANIA (GO) X BELEM (PA)</v>
      </c>
      <c r="H1359" s="125">
        <v>45945</v>
      </c>
      <c r="I1359" s="1" t="s">
        <v>15</v>
      </c>
      <c r="J1359" s="1">
        <v>24012</v>
      </c>
      <c r="K1359" s="126">
        <v>0.76041666666666663</v>
      </c>
      <c r="L1359" s="126">
        <v>0.82777777777777772</v>
      </c>
      <c r="M1359" s="1" t="s">
        <v>16</v>
      </c>
      <c r="N1359" s="1" t="s">
        <v>33</v>
      </c>
      <c r="O1359" s="1" t="s">
        <v>128</v>
      </c>
      <c r="P1359" s="1" t="s">
        <v>102</v>
      </c>
      <c r="Q1359" s="1" t="s">
        <v>20</v>
      </c>
    </row>
    <row r="1360" spans="3:17" x14ac:dyDescent="0.25">
      <c r="C1360" s="1" t="str">
        <f>_xlfn.CONCAT(tabE.Flux[[#This Row],[DATA]],"+",tabE.Flux[[#This Row],[MOTORISTA + MATRÍCULA A]])</f>
        <v>45945+CLAUDIOMAR ALENCAR DO NASCIMENTO - 2970</v>
      </c>
      <c r="D1360" s="1" t="str">
        <f>_xlfn.CONCAT(tabE.Flux[[#This Row],[DATA]],"+",tabE.Flux[[#This Row],[MOTORISTA + MATRÍCULA B]])</f>
        <v>45945+ALTEMAR DO NASCIMENTO LIMA - 6225</v>
      </c>
      <c r="E1360" s="1" t="str">
        <f>_xlfn.CONCAT(tabE.Flux[[#This Row],[DATA]],"+",tabE.Flux[[#This Row],[MOTORISTA + MATRÍCULA A]],"+",tabE.Flux[[#This Row],[LINHA]])</f>
        <v>45945+CLAUDIOMAR ALENCAR DO NASCIMENTO - 2970+GOIANIA (GO) X SAO LUIS (MA)</v>
      </c>
      <c r="F1360" s="1" t="str">
        <f>_xlfn.CONCAT(tabE.Flux[[#This Row],[DATA]],"+",tabE.Flux[[#This Row],[MOTORISTA + MATRÍCULA B]],"+",tabE.Flux[[#This Row],[LINHA]])</f>
        <v>45945+ALTEMAR DO NASCIMENTO LIMA - 6225+GOIANIA (GO) X SAO LUIS (MA)</v>
      </c>
      <c r="G1360" s="1" t="str">
        <f>_xlfn.CONCAT(tabE.Flux[[#This Row],[DATA]],"+",tabE.Flux[[#This Row],[LINHA]])</f>
        <v>45945+GOIANIA (GO) X SAO LUIS (MA)</v>
      </c>
      <c r="H1360" s="125">
        <v>45945</v>
      </c>
      <c r="I1360" s="1" t="s">
        <v>15</v>
      </c>
      <c r="J1360" s="1">
        <v>19016</v>
      </c>
      <c r="K1360" s="126">
        <v>0.40763888888888888</v>
      </c>
      <c r="L1360" s="126">
        <v>0.47013888888888888</v>
      </c>
      <c r="M1360" s="1" t="s">
        <v>16</v>
      </c>
      <c r="N1360" s="1" t="s">
        <v>42</v>
      </c>
      <c r="O1360" s="1" t="s">
        <v>211</v>
      </c>
      <c r="P1360" s="1" t="s">
        <v>57</v>
      </c>
      <c r="Q1360" s="1" t="s">
        <v>23</v>
      </c>
    </row>
    <row r="1361" spans="3:17" x14ac:dyDescent="0.25">
      <c r="C1361" s="1" t="str">
        <f>_xlfn.CONCAT(tabE.Flux[[#This Row],[DATA]],"+",tabE.Flux[[#This Row],[MOTORISTA + MATRÍCULA A]])</f>
        <v>45945+CANCELADO</v>
      </c>
      <c r="D1361" s="1" t="str">
        <f>_xlfn.CONCAT(tabE.Flux[[#This Row],[DATA]],"+",tabE.Flux[[#This Row],[MOTORISTA + MATRÍCULA B]])</f>
        <v>45945+CANCELADO</v>
      </c>
      <c r="E1361" s="1" t="str">
        <f>_xlfn.CONCAT(tabE.Flux[[#This Row],[DATA]],"+",tabE.Flux[[#This Row],[MOTORISTA + MATRÍCULA A]],"+",tabE.Flux[[#This Row],[LINHA]])</f>
        <v>45945+CANCELADO+IMPERATRIZ (MA) X SÃO LUIS (MA)</v>
      </c>
      <c r="F1361" s="1" t="str">
        <f>_xlfn.CONCAT(tabE.Flux[[#This Row],[DATA]],"+",tabE.Flux[[#This Row],[MOTORISTA + MATRÍCULA B]],"+",tabE.Flux[[#This Row],[LINHA]])</f>
        <v>45945+CANCELADO+IMPERATRIZ (MA) X SÃO LUIS (MA)</v>
      </c>
      <c r="G1361" s="1" t="str">
        <f>_xlfn.CONCAT(tabE.Flux[[#This Row],[DATA]],"+",tabE.Flux[[#This Row],[LINHA]])</f>
        <v>45945+IMPERATRIZ (MA) X SÃO LUIS (MA)</v>
      </c>
      <c r="H1361" s="125">
        <v>45945</v>
      </c>
      <c r="I1361" s="1" t="s">
        <v>15</v>
      </c>
      <c r="J1361" s="1" t="s">
        <v>27</v>
      </c>
      <c r="K1361" s="126">
        <v>0.77083333333333337</v>
      </c>
      <c r="L1361" s="126">
        <v>0.8125</v>
      </c>
      <c r="M1361" s="1" t="s">
        <v>16</v>
      </c>
      <c r="N1361" s="1" t="s">
        <v>42</v>
      </c>
      <c r="O1361" s="1" t="s">
        <v>27</v>
      </c>
      <c r="P1361" s="1" t="s">
        <v>27</v>
      </c>
      <c r="Q1361" s="1" t="s">
        <v>47</v>
      </c>
    </row>
    <row r="1362" spans="3:17" x14ac:dyDescent="0.25">
      <c r="C1362" s="1" t="str">
        <f>_xlfn.CONCAT(tabE.Flux[[#This Row],[DATA]],"+",tabE.Flux[[#This Row],[MOTORISTA + MATRÍCULA A]])</f>
        <v>45945+JERZUALDO DA SILVA GOMES - 4077</v>
      </c>
      <c r="D1362" s="1" t="str">
        <f>_xlfn.CONCAT(tabE.Flux[[#This Row],[DATA]],"+",tabE.Flux[[#This Row],[MOTORISTA + MATRÍCULA B]])</f>
        <v>45945+KAYLSON KLEYTON DA SILVA COSTA - 6224</v>
      </c>
      <c r="E1362" s="1" t="str">
        <f>_xlfn.CONCAT(tabE.Flux[[#This Row],[DATA]],"+",tabE.Flux[[#This Row],[MOTORISTA + MATRÍCULA A]],"+",tabE.Flux[[#This Row],[LINHA]])</f>
        <v>45945+JERZUALDO DA SILVA GOMES - 4077+GOIANIA (GO) X SAO LUIS (MA)</v>
      </c>
      <c r="F1362" s="1" t="str">
        <f>_xlfn.CONCAT(tabE.Flux[[#This Row],[DATA]],"+",tabE.Flux[[#This Row],[MOTORISTA + MATRÍCULA B]],"+",tabE.Flux[[#This Row],[LINHA]])</f>
        <v>45945+KAYLSON KLEYTON DA SILVA COSTA - 6224+GOIANIA (GO) X SAO LUIS (MA)</v>
      </c>
      <c r="G1362" s="1" t="str">
        <f>_xlfn.CONCAT(tabE.Flux[[#This Row],[DATA]],"+",tabE.Flux[[#This Row],[LINHA]])</f>
        <v>45945+GOIANIA (GO) X SAO LUIS (MA)</v>
      </c>
      <c r="H1362" s="125">
        <v>45945</v>
      </c>
      <c r="I1362" s="1" t="s">
        <v>15</v>
      </c>
      <c r="J1362" s="1">
        <v>24005</v>
      </c>
      <c r="K1362" s="126">
        <v>0.8125</v>
      </c>
      <c r="L1362" s="126">
        <v>0.84375</v>
      </c>
      <c r="M1362" s="1" t="s">
        <v>16</v>
      </c>
      <c r="N1362" s="1" t="s">
        <v>42</v>
      </c>
      <c r="O1362" s="1" t="s">
        <v>130</v>
      </c>
      <c r="P1362" s="1" t="s">
        <v>80</v>
      </c>
      <c r="Q1362" s="1" t="s">
        <v>23</v>
      </c>
    </row>
    <row r="1363" spans="3:17" x14ac:dyDescent="0.25">
      <c r="C1363" s="1" t="str">
        <f>_xlfn.CONCAT(tabE.Flux[[#This Row],[DATA]],"+",tabE.Flux[[#This Row],[MOTORISTA + MATRÍCULA A]])</f>
        <v>45945+ANTONIO JOSE PEREIRA SOARES - 1774</v>
      </c>
      <c r="D1363" s="1" t="str">
        <f>_xlfn.CONCAT(tabE.Flux[[#This Row],[DATA]],"+",tabE.Flux[[#This Row],[MOTORISTA + MATRÍCULA B]])</f>
        <v>45945+ANTONIO  SOBRINHO DE OLIVEIRA - 5646</v>
      </c>
      <c r="E1363" s="1" t="str">
        <f>_xlfn.CONCAT(tabE.Flux[[#This Row],[DATA]],"+",tabE.Flux[[#This Row],[MOTORISTA + MATRÍCULA A]],"+",tabE.Flux[[#This Row],[LINHA]])</f>
        <v>45945+ANTONIO JOSE PEREIRA SOARES - 1774+GOIANIA (GO) X TERESINA (PI) VIA STI</v>
      </c>
      <c r="F1363" s="1" t="str">
        <f>_xlfn.CONCAT(tabE.Flux[[#This Row],[DATA]],"+",tabE.Flux[[#This Row],[MOTORISTA + MATRÍCULA B]],"+",tabE.Flux[[#This Row],[LINHA]])</f>
        <v>45945+ANTONIO  SOBRINHO DE OLIVEIRA - 5646+GOIANIA (GO) X TERESINA (PI) VIA STI</v>
      </c>
      <c r="G1363" s="1" t="str">
        <f>_xlfn.CONCAT(tabE.Flux[[#This Row],[DATA]],"+",tabE.Flux[[#This Row],[LINHA]])</f>
        <v>45945+GOIANIA (GO) X TERESINA (PI) VIA STI</v>
      </c>
      <c r="H1363" s="125">
        <v>45945</v>
      </c>
      <c r="I1363" s="1" t="s">
        <v>15</v>
      </c>
      <c r="J1363" s="1">
        <v>19015</v>
      </c>
      <c r="K1363" s="126">
        <v>0.77083333333333337</v>
      </c>
      <c r="L1363" s="126">
        <v>0.79861111111111116</v>
      </c>
      <c r="M1363" s="1" t="s">
        <v>16</v>
      </c>
      <c r="N1363" s="1" t="s">
        <v>29</v>
      </c>
      <c r="O1363" s="1" t="s">
        <v>52</v>
      </c>
      <c r="P1363" s="1" t="s">
        <v>74</v>
      </c>
      <c r="Q1363" s="1" t="s">
        <v>26</v>
      </c>
    </row>
    <row r="1364" spans="3:17" x14ac:dyDescent="0.25">
      <c r="C1364" s="1" t="str">
        <f>_xlfn.CONCAT(tabE.Flux[[#This Row],[DATA]],"+",tabE.Flux[[#This Row],[MOTORISTA + MATRÍCULA A]])</f>
        <v>45945+JOAO AMARAL DA SILVA JUNIOR - 5290</v>
      </c>
      <c r="D1364" s="1" t="str">
        <f>_xlfn.CONCAT(tabE.Flux[[#This Row],[DATA]],"+",tabE.Flux[[#This Row],[MOTORISTA + MATRÍCULA B]])</f>
        <v>45945+ALEF DA CRUZ VIEIRA - 5291</v>
      </c>
      <c r="E1364" s="1" t="str">
        <f>_xlfn.CONCAT(tabE.Flux[[#This Row],[DATA]],"+",tabE.Flux[[#This Row],[MOTORISTA + MATRÍCULA A]],"+",tabE.Flux[[#This Row],[LINHA]])</f>
        <v>45945+JOAO AMARAL DA SILVA JUNIOR - 5290+GOIANIA (GO) X SAO LUIS (MA)</v>
      </c>
      <c r="F1364" s="1" t="str">
        <f>_xlfn.CONCAT(tabE.Flux[[#This Row],[DATA]],"+",tabE.Flux[[#This Row],[MOTORISTA + MATRÍCULA B]],"+",tabE.Flux[[#This Row],[LINHA]])</f>
        <v>45945+ALEF DA CRUZ VIEIRA - 5291+GOIANIA (GO) X SAO LUIS (MA)</v>
      </c>
      <c r="G1364" s="1" t="str">
        <f>_xlfn.CONCAT(tabE.Flux[[#This Row],[DATA]],"+",tabE.Flux[[#This Row],[LINHA]])</f>
        <v>45945+GOIANIA (GO) X SAO LUIS (MA)</v>
      </c>
      <c r="H1364" s="125">
        <v>45945</v>
      </c>
      <c r="I1364" s="1" t="s">
        <v>15</v>
      </c>
      <c r="J1364" s="1">
        <v>19017</v>
      </c>
      <c r="K1364" s="126">
        <v>0.8125</v>
      </c>
      <c r="L1364" s="126">
        <v>0.84166666666666667</v>
      </c>
      <c r="M1364" s="1" t="s">
        <v>16</v>
      </c>
      <c r="N1364" s="1" t="s">
        <v>17</v>
      </c>
      <c r="O1364" s="1" t="s">
        <v>215</v>
      </c>
      <c r="P1364" s="1" t="s">
        <v>248</v>
      </c>
      <c r="Q1364" s="1" t="s">
        <v>23</v>
      </c>
    </row>
    <row r="1365" spans="3:17" x14ac:dyDescent="0.25">
      <c r="C1365" s="1" t="str">
        <f>_xlfn.CONCAT(tabE.Flux[[#This Row],[DATA]],"+",tabE.Flux[[#This Row],[MOTORISTA + MATRÍCULA A]])</f>
        <v>45945+ADAILTON DA SILVA RODRIGUES MENDONCA - 2662</v>
      </c>
      <c r="D1365" s="1" t="str">
        <f>_xlfn.CONCAT(tabE.Flux[[#This Row],[DATA]],"+",tabE.Flux[[#This Row],[MOTORISTA + MATRÍCULA B]])</f>
        <v>45945+ENIO GOMES DE SOUZA - 5825</v>
      </c>
      <c r="E1365" s="1" t="str">
        <f>_xlfn.CONCAT(tabE.Flux[[#This Row],[DATA]],"+",tabE.Flux[[#This Row],[MOTORISTA + MATRÍCULA A]],"+",tabE.Flux[[#This Row],[LINHA]])</f>
        <v>45945+ADAILTON DA SILVA RODRIGUES MENDONCA - 2662+FORTALEZA (CE) X SINOP (MT)</v>
      </c>
      <c r="F1365" s="1" t="str">
        <f>_xlfn.CONCAT(tabE.Flux[[#This Row],[DATA]],"+",tabE.Flux[[#This Row],[MOTORISTA + MATRÍCULA B]],"+",tabE.Flux[[#This Row],[LINHA]])</f>
        <v>45945+ENIO GOMES DE SOUZA - 5825+FORTALEZA (CE) X SINOP (MT)</v>
      </c>
      <c r="G1365" s="1" t="str">
        <f>_xlfn.CONCAT(tabE.Flux[[#This Row],[DATA]],"+",tabE.Flux[[#This Row],[LINHA]])</f>
        <v>45945+FORTALEZA (CE) X SINOP (MT)</v>
      </c>
      <c r="H1365" s="125">
        <v>45945</v>
      </c>
      <c r="I1365" s="1" t="s">
        <v>15</v>
      </c>
      <c r="J1365" s="1">
        <v>19005</v>
      </c>
      <c r="K1365" s="126">
        <v>0.8125</v>
      </c>
      <c r="L1365" s="126">
        <v>0.85416666666666663</v>
      </c>
      <c r="M1365" s="1" t="s">
        <v>16</v>
      </c>
      <c r="N1365" s="1" t="s">
        <v>17</v>
      </c>
      <c r="O1365" s="1" t="s">
        <v>92</v>
      </c>
      <c r="P1365" s="1" t="s">
        <v>93</v>
      </c>
      <c r="Q1365" s="1" t="s">
        <v>32</v>
      </c>
    </row>
    <row r="1366" spans="3:17" x14ac:dyDescent="0.25">
      <c r="C1366" s="1" t="str">
        <f>_xlfn.CONCAT(tabE.Flux[[#This Row],[DATA]],"+",tabE.Flux[[#This Row],[MOTORISTA + MATRÍCULA A]])</f>
        <v>45945+JOAO MONTEIRO DA COSTA - 5187</v>
      </c>
      <c r="D1366" s="1" t="str">
        <f>_xlfn.CONCAT(tabE.Flux[[#This Row],[DATA]],"+",tabE.Flux[[#This Row],[MOTORISTA + MATRÍCULA B]])</f>
        <v>45945+GESMAR DE SOUZA - 574</v>
      </c>
      <c r="E1366" s="1" t="str">
        <f>_xlfn.CONCAT(tabE.Flux[[#This Row],[DATA]],"+",tabE.Flux[[#This Row],[MOTORISTA + MATRÍCULA A]],"+",tabE.Flux[[#This Row],[LINHA]])</f>
        <v>45945+JOAO MONTEIRO DA COSTA - 5187+GOIANIA (GO) X BELEM (PA)</v>
      </c>
      <c r="F1366" s="1" t="str">
        <f>_xlfn.CONCAT(tabE.Flux[[#This Row],[DATA]],"+",tabE.Flux[[#This Row],[MOTORISTA + MATRÍCULA B]],"+",tabE.Flux[[#This Row],[LINHA]])</f>
        <v>45945+GESMAR DE SOUZA - 574+GOIANIA (GO) X BELEM (PA)</v>
      </c>
      <c r="G1366" s="1" t="str">
        <f>_xlfn.CONCAT(tabE.Flux[[#This Row],[DATA]],"+",tabE.Flux[[#This Row],[LINHA]])</f>
        <v>45945+GOIANIA (GO) X BELEM (PA)</v>
      </c>
      <c r="H1366" s="125">
        <v>45945</v>
      </c>
      <c r="I1366" s="1" t="s">
        <v>15</v>
      </c>
      <c r="J1366" s="1">
        <v>19012</v>
      </c>
      <c r="K1366" s="126">
        <v>0.84722222222222221</v>
      </c>
      <c r="L1366" s="126">
        <v>0.87847222222222221</v>
      </c>
      <c r="M1366" s="1" t="s">
        <v>16</v>
      </c>
      <c r="N1366" s="1" t="s">
        <v>17</v>
      </c>
      <c r="O1366" s="1" t="s">
        <v>135</v>
      </c>
      <c r="P1366" s="1" t="s">
        <v>21</v>
      </c>
      <c r="Q1366" s="1" t="s">
        <v>20</v>
      </c>
    </row>
    <row r="1367" spans="3:17" x14ac:dyDescent="0.25">
      <c r="C1367" s="1" t="str">
        <f>_xlfn.CONCAT(tabE.Flux[[#This Row],[DATA]],"+",tabE.Flux[[#This Row],[MOTORISTA + MATRÍCULA A]])</f>
        <v>+</v>
      </c>
      <c r="D1367" s="1" t="str">
        <f>_xlfn.CONCAT(tabE.Flux[[#This Row],[DATA]],"+",tabE.Flux[[#This Row],[MOTORISTA + MATRÍCULA B]])</f>
        <v>+</v>
      </c>
      <c r="E1367" s="1" t="str">
        <f>_xlfn.CONCAT(tabE.Flux[[#This Row],[DATA]],"+",tabE.Flux[[#This Row],[MOTORISTA + MATRÍCULA A]],"+",tabE.Flux[[#This Row],[LINHA]])</f>
        <v>++</v>
      </c>
      <c r="F1367" s="1" t="str">
        <f>_xlfn.CONCAT(tabE.Flux[[#This Row],[DATA]],"+",tabE.Flux[[#This Row],[MOTORISTA + MATRÍCULA B]],"+",tabE.Flux[[#This Row],[LINHA]])</f>
        <v>++</v>
      </c>
      <c r="G1367" s="1" t="str">
        <f>_xlfn.CONCAT(tabE.Flux[[#This Row],[DATA]],"+",tabE.Flux[[#This Row],[LINHA]])</f>
        <v>+</v>
      </c>
      <c r="H1367" s="1"/>
      <c r="I1367" s="1"/>
      <c r="J1367" s="1"/>
      <c r="K1367" s="1"/>
      <c r="L1367" s="1"/>
      <c r="M1367" s="1"/>
      <c r="N1367" s="1"/>
      <c r="O1367" s="1"/>
      <c r="P1367" s="1"/>
      <c r="Q1367" s="1"/>
    </row>
    <row r="1368" spans="3:17" x14ac:dyDescent="0.25">
      <c r="C1368" s="1" t="str">
        <f>_xlfn.CONCAT(tabE.Flux[[#This Row],[DATA]],"+",tabE.Flux[[#This Row],[MOTORISTA + MATRÍCULA A]])</f>
        <v>45946+WENDER PEDRO DA SILVA - 1596</v>
      </c>
      <c r="D1368" s="1" t="str">
        <f>_xlfn.CONCAT(tabE.Flux[[#This Row],[DATA]],"+",tabE.Flux[[#This Row],[MOTORISTA + MATRÍCULA B]])</f>
        <v>45946+JANIO CEZAR DOS SANTOS - 6021</v>
      </c>
      <c r="E1368" s="1" t="str">
        <f>_xlfn.CONCAT(tabE.Flux[[#This Row],[DATA]],"+",tabE.Flux[[#This Row],[MOTORISTA + MATRÍCULA A]],"+",tabE.Flux[[#This Row],[LINHA]])</f>
        <v>45946+WENDER PEDRO DA SILVA - 1596+GOIANIA (GO) X BELEM (PA)</v>
      </c>
      <c r="F1368" s="1" t="str">
        <f>_xlfn.CONCAT(tabE.Flux[[#This Row],[DATA]],"+",tabE.Flux[[#This Row],[MOTORISTA + MATRÍCULA B]],"+",tabE.Flux[[#This Row],[LINHA]])</f>
        <v>45946+JANIO CEZAR DOS SANTOS - 6021+GOIANIA (GO) X BELEM (PA)</v>
      </c>
      <c r="G1368" s="1" t="str">
        <f>_xlfn.CONCAT(tabE.Flux[[#This Row],[DATA]],"+",tabE.Flux[[#This Row],[LINHA]])</f>
        <v>45946+GOIANIA (GO) X BELEM (PA)</v>
      </c>
      <c r="H1368" s="125">
        <v>45946</v>
      </c>
      <c r="I1368" s="1" t="s">
        <v>15</v>
      </c>
      <c r="J1368" s="1">
        <v>24001</v>
      </c>
      <c r="K1368" s="126">
        <v>0.25486111111111109</v>
      </c>
      <c r="L1368" s="126">
        <v>0.3</v>
      </c>
      <c r="M1368" s="1" t="s">
        <v>16</v>
      </c>
      <c r="N1368" s="1" t="s">
        <v>17</v>
      </c>
      <c r="O1368" s="1" t="s">
        <v>207</v>
      </c>
      <c r="P1368" s="1" t="s">
        <v>115</v>
      </c>
      <c r="Q1368" s="1" t="s">
        <v>20</v>
      </c>
    </row>
    <row r="1369" spans="3:17" x14ac:dyDescent="0.25">
      <c r="C1369" s="1" t="str">
        <f>_xlfn.CONCAT(tabE.Flux[[#This Row],[DATA]],"+",tabE.Flux[[#This Row],[MOTORISTA + MATRÍCULA A]])</f>
        <v>45946+EDIVALDO DOS SANTOS SOUZA - 905</v>
      </c>
      <c r="D1369" s="1" t="str">
        <f>_xlfn.CONCAT(tabE.Flux[[#This Row],[DATA]],"+",tabE.Flux[[#This Row],[MOTORISTA + MATRÍCULA B]])</f>
        <v>45946+LUIZ CARLOS MARIANO SIQUEIRA - 5634</v>
      </c>
      <c r="E1369" s="1" t="str">
        <f>_xlfn.CONCAT(tabE.Flux[[#This Row],[DATA]],"+",tabE.Flux[[#This Row],[MOTORISTA + MATRÍCULA A]],"+",tabE.Flux[[#This Row],[LINHA]])</f>
        <v>45946+EDIVALDO DOS SANTOS SOUZA - 905+GOIANIA (GO) X SAO LUIS (MA)</v>
      </c>
      <c r="F1369" s="1" t="str">
        <f>_xlfn.CONCAT(tabE.Flux[[#This Row],[DATA]],"+",tabE.Flux[[#This Row],[MOTORISTA + MATRÍCULA B]],"+",tabE.Flux[[#This Row],[LINHA]])</f>
        <v>45946+LUIZ CARLOS MARIANO SIQUEIRA - 5634+GOIANIA (GO) X SAO LUIS (MA)</v>
      </c>
      <c r="G1369" s="1" t="str">
        <f>_xlfn.CONCAT(tabE.Flux[[#This Row],[DATA]],"+",tabE.Flux[[#This Row],[LINHA]])</f>
        <v>45946+GOIANIA (GO) X SAO LUIS (MA)</v>
      </c>
      <c r="H1369" s="125">
        <v>45946</v>
      </c>
      <c r="I1369" s="1" t="s">
        <v>15</v>
      </c>
      <c r="J1369" s="1">
        <v>24003</v>
      </c>
      <c r="K1369" s="126">
        <v>0.32291666666666669</v>
      </c>
      <c r="L1369" s="126">
        <v>0.33333333333333331</v>
      </c>
      <c r="M1369" s="1" t="s">
        <v>16</v>
      </c>
      <c r="N1369" s="1" t="s">
        <v>17</v>
      </c>
      <c r="O1369" s="1" t="s">
        <v>187</v>
      </c>
      <c r="P1369" s="1" t="s">
        <v>51</v>
      </c>
      <c r="Q1369" s="1" t="s">
        <v>23</v>
      </c>
    </row>
    <row r="1370" spans="3:17" x14ac:dyDescent="0.25">
      <c r="C1370" s="1" t="str">
        <f>_xlfn.CONCAT(tabE.Flux[[#This Row],[DATA]],"+",tabE.Flux[[#This Row],[MOTORISTA + MATRÍCULA A]])</f>
        <v>45946+MARCIO RODRIGUES DA COSTA - 5993</v>
      </c>
      <c r="D1370" s="1" t="str">
        <f>_xlfn.CONCAT(tabE.Flux[[#This Row],[DATA]],"+",tabE.Flux[[#This Row],[MOTORISTA + MATRÍCULA B]])</f>
        <v>45946+JOSE CARLOS BEZERRA DA SILVA - 3034</v>
      </c>
      <c r="E1370" s="1" t="str">
        <f>_xlfn.CONCAT(tabE.Flux[[#This Row],[DATA]],"+",tabE.Flux[[#This Row],[MOTORISTA + MATRÍCULA A]],"+",tabE.Flux[[#This Row],[LINHA]])</f>
        <v>45946+MARCIO RODRIGUES DA COSTA - 5993+GOIANIA (GO) X TERESINA (PI) VIA STI</v>
      </c>
      <c r="F1370" s="1" t="str">
        <f>_xlfn.CONCAT(tabE.Flux[[#This Row],[DATA]],"+",tabE.Flux[[#This Row],[MOTORISTA + MATRÍCULA B]],"+",tabE.Flux[[#This Row],[LINHA]])</f>
        <v>45946+JOSE CARLOS BEZERRA DA SILVA - 3034+GOIANIA (GO) X TERESINA (PI) VIA STI</v>
      </c>
      <c r="G1370" s="1" t="str">
        <f>_xlfn.CONCAT(tabE.Flux[[#This Row],[DATA]],"+",tabE.Flux[[#This Row],[LINHA]])</f>
        <v>45946+GOIANIA (GO) X TERESINA (PI) VIA STI</v>
      </c>
      <c r="H1370" s="125">
        <v>45946</v>
      </c>
      <c r="I1370" s="1" t="s">
        <v>15</v>
      </c>
      <c r="J1370" s="1">
        <v>19007</v>
      </c>
      <c r="K1370" s="126">
        <v>0.3888888888888889</v>
      </c>
      <c r="L1370" s="126">
        <v>0.39583333333333331</v>
      </c>
      <c r="M1370" s="1" t="s">
        <v>16</v>
      </c>
      <c r="N1370" s="1" t="s">
        <v>17</v>
      </c>
      <c r="O1370" s="1" t="s">
        <v>107</v>
      </c>
      <c r="P1370" s="1" t="s">
        <v>76</v>
      </c>
      <c r="Q1370" s="1" t="s">
        <v>26</v>
      </c>
    </row>
    <row r="1371" spans="3:17" x14ac:dyDescent="0.25">
      <c r="C1371" s="1" t="str">
        <f>_xlfn.CONCAT(tabE.Flux[[#This Row],[DATA]],"+",tabE.Flux[[#This Row],[MOTORISTA + MATRÍCULA A]])</f>
        <v>45946+CANCELADO</v>
      </c>
      <c r="D1371" s="1" t="str">
        <f>_xlfn.CONCAT(tabE.Flux[[#This Row],[DATA]],"+",tabE.Flux[[#This Row],[MOTORISTA + MATRÍCULA B]])</f>
        <v>45946+CANCELADO</v>
      </c>
      <c r="E1371" s="1" t="str">
        <f>_xlfn.CONCAT(tabE.Flux[[#This Row],[DATA]],"+",tabE.Flux[[#This Row],[MOTORISTA + MATRÍCULA A]],"+",tabE.Flux[[#This Row],[LINHA]])</f>
        <v>45946+CANCELADO+</v>
      </c>
      <c r="F1371" s="1" t="str">
        <f>_xlfn.CONCAT(tabE.Flux[[#This Row],[DATA]],"+",tabE.Flux[[#This Row],[MOTORISTA + MATRÍCULA B]],"+",tabE.Flux[[#This Row],[LINHA]])</f>
        <v>45946+CANCELADO+</v>
      </c>
      <c r="G1371" s="1" t="str">
        <f>_xlfn.CONCAT(tabE.Flux[[#This Row],[DATA]],"+",tabE.Flux[[#This Row],[LINHA]])</f>
        <v>45946+</v>
      </c>
      <c r="H1371" s="125">
        <v>45946</v>
      </c>
      <c r="I1371" s="1" t="s">
        <v>15</v>
      </c>
      <c r="J1371" s="1" t="s">
        <v>27</v>
      </c>
      <c r="K1371" s="126">
        <v>0.375</v>
      </c>
      <c r="L1371" s="126">
        <v>0.41666666666666669</v>
      </c>
      <c r="M1371" s="1" t="s">
        <v>16</v>
      </c>
      <c r="N1371" s="1" t="s">
        <v>28</v>
      </c>
      <c r="O1371" s="1" t="s">
        <v>27</v>
      </c>
      <c r="P1371" s="1" t="s">
        <v>27</v>
      </c>
      <c r="Q1371" s="1"/>
    </row>
    <row r="1372" spans="3:17" x14ac:dyDescent="0.25">
      <c r="C1372" s="1" t="str">
        <f>_xlfn.CONCAT(tabE.Flux[[#This Row],[DATA]],"+",tabE.Flux[[#This Row],[MOTORISTA + MATRÍCULA A]])</f>
        <v>45946+BERNARDO SOUZA LIMA - 1720</v>
      </c>
      <c r="D1372" s="1" t="str">
        <f>_xlfn.CONCAT(tabE.Flux[[#This Row],[DATA]],"+",tabE.Flux[[#This Row],[MOTORISTA + MATRÍCULA B]])</f>
        <v>45946+ANTONIO LEONESIO CAMPELO DA SILVA - 5303</v>
      </c>
      <c r="E1372" s="1" t="str">
        <f>_xlfn.CONCAT(tabE.Flux[[#This Row],[DATA]],"+",tabE.Flux[[#This Row],[MOTORISTA + MATRÍCULA A]],"+",tabE.Flux[[#This Row],[LINHA]])</f>
        <v>45946+BERNARDO SOUZA LIMA - 1720+FORTALEZA (CE) X SINOP (MT)</v>
      </c>
      <c r="F1372" s="1" t="str">
        <f>_xlfn.CONCAT(tabE.Flux[[#This Row],[DATA]],"+",tabE.Flux[[#This Row],[MOTORISTA + MATRÍCULA B]],"+",tabE.Flux[[#This Row],[LINHA]])</f>
        <v>45946+ANTONIO LEONESIO CAMPELO DA SILVA - 5303+FORTALEZA (CE) X SINOP (MT)</v>
      </c>
      <c r="G1372" s="1" t="str">
        <f>_xlfn.CONCAT(tabE.Flux[[#This Row],[DATA]],"+",tabE.Flux[[#This Row],[LINHA]])</f>
        <v>45946+FORTALEZA (CE) X SINOP (MT)</v>
      </c>
      <c r="H1372" s="125">
        <v>45946</v>
      </c>
      <c r="I1372" s="1" t="s">
        <v>15</v>
      </c>
      <c r="J1372" s="1">
        <v>19014</v>
      </c>
      <c r="K1372" s="126">
        <v>0.3888888888888889</v>
      </c>
      <c r="L1372" s="126">
        <v>0.37708333333333333</v>
      </c>
      <c r="M1372" s="1" t="s">
        <v>16</v>
      </c>
      <c r="N1372" s="1" t="s">
        <v>29</v>
      </c>
      <c r="O1372" s="1" t="s">
        <v>123</v>
      </c>
      <c r="P1372" s="1" t="s">
        <v>111</v>
      </c>
      <c r="Q1372" s="1" t="s">
        <v>32</v>
      </c>
    </row>
    <row r="1373" spans="3:17" x14ac:dyDescent="0.25">
      <c r="C1373" s="1" t="str">
        <f>_xlfn.CONCAT(tabE.Flux[[#This Row],[DATA]],"+",tabE.Flux[[#This Row],[MOTORISTA + MATRÍCULA A]])</f>
        <v>45946+ESIEL COSTA RODRIGUES - 1749</v>
      </c>
      <c r="D1373" s="1" t="str">
        <f>_xlfn.CONCAT(tabE.Flux[[#This Row],[DATA]],"+",tabE.Flux[[#This Row],[MOTORISTA + MATRÍCULA B]])</f>
        <v>45946+LEANDRO DE OLIVEIRA MELO - 2151</v>
      </c>
      <c r="E1373" s="1" t="str">
        <f>_xlfn.CONCAT(tabE.Flux[[#This Row],[DATA]],"+",tabE.Flux[[#This Row],[MOTORISTA + MATRÍCULA A]],"+",tabE.Flux[[#This Row],[LINHA]])</f>
        <v>45946+ESIEL COSTA RODRIGUES - 1749+GOIANIA (GO) X BELEM (PA)</v>
      </c>
      <c r="F1373" s="1" t="str">
        <f>_xlfn.CONCAT(tabE.Flux[[#This Row],[DATA]],"+",tabE.Flux[[#This Row],[MOTORISTA + MATRÍCULA B]],"+",tabE.Flux[[#This Row],[LINHA]])</f>
        <v>45946+LEANDRO DE OLIVEIRA MELO - 2151+GOIANIA (GO) X BELEM (PA)</v>
      </c>
      <c r="G1373" s="1" t="str">
        <f>_xlfn.CONCAT(tabE.Flux[[#This Row],[DATA]],"+",tabE.Flux[[#This Row],[LINHA]])</f>
        <v>45946+GOIANIA (GO) X BELEM (PA)</v>
      </c>
      <c r="H1373" s="125">
        <v>45946</v>
      </c>
      <c r="I1373" s="1" t="s">
        <v>15</v>
      </c>
      <c r="J1373" s="1">
        <v>20022</v>
      </c>
      <c r="K1373" s="126">
        <v>0.38958333333333334</v>
      </c>
      <c r="L1373" s="126">
        <v>0.38541666666666669</v>
      </c>
      <c r="M1373" s="1" t="s">
        <v>16</v>
      </c>
      <c r="N1373" s="1" t="s">
        <v>33</v>
      </c>
      <c r="O1373" s="1" t="s">
        <v>46</v>
      </c>
      <c r="P1373" s="1" t="s">
        <v>64</v>
      </c>
      <c r="Q1373" s="1" t="s">
        <v>20</v>
      </c>
    </row>
    <row r="1374" spans="3:17" x14ac:dyDescent="0.25">
      <c r="C1374" s="1" t="str">
        <f>_xlfn.CONCAT(tabE.Flux[[#This Row],[DATA]],"+",tabE.Flux[[#This Row],[MOTORISTA + MATRÍCULA A]])</f>
        <v>45946+MARCIO DE SOUSA MATOS - 5264</v>
      </c>
      <c r="D1374" s="1" t="str">
        <f>_xlfn.CONCAT(tabE.Flux[[#This Row],[DATA]],"+",tabE.Flux[[#This Row],[MOTORISTA + MATRÍCULA B]])</f>
        <v>45946+PAULO MORAES DOS SANTOS - 1534</v>
      </c>
      <c r="E1374" s="1" t="str">
        <f>_xlfn.CONCAT(tabE.Flux[[#This Row],[DATA]],"+",tabE.Flux[[#This Row],[MOTORISTA + MATRÍCULA A]],"+",tabE.Flux[[#This Row],[LINHA]])</f>
        <v>45946+MARCIO DE SOUSA MATOS - 5264+GOIANIA (GO) X TERESINA (PI) VIA BC</v>
      </c>
      <c r="F1374" s="1" t="str">
        <f>_xlfn.CONCAT(tabE.Flux[[#This Row],[DATA]],"+",tabE.Flux[[#This Row],[MOTORISTA + MATRÍCULA B]],"+",tabE.Flux[[#This Row],[LINHA]])</f>
        <v>45946+PAULO MORAES DOS SANTOS - 1534+GOIANIA (GO) X TERESINA (PI) VIA BC</v>
      </c>
      <c r="G1374" s="1" t="str">
        <f>_xlfn.CONCAT(tabE.Flux[[#This Row],[DATA]],"+",tabE.Flux[[#This Row],[LINHA]])</f>
        <v>45946+GOIANIA (GO) X TERESINA (PI) VIA BC</v>
      </c>
      <c r="H1374" s="125">
        <v>45946</v>
      </c>
      <c r="I1374" s="1" t="s">
        <v>15</v>
      </c>
      <c r="J1374" s="1">
        <v>25010</v>
      </c>
      <c r="K1374" s="126">
        <v>0.375</v>
      </c>
      <c r="L1374" s="126">
        <v>0.39930555555555558</v>
      </c>
      <c r="M1374" s="1" t="s">
        <v>36</v>
      </c>
      <c r="N1374" s="1" t="s">
        <v>29</v>
      </c>
      <c r="O1374" s="1" t="s">
        <v>62</v>
      </c>
      <c r="P1374" s="1" t="s">
        <v>225</v>
      </c>
      <c r="Q1374" s="1" t="s">
        <v>39</v>
      </c>
    </row>
    <row r="1375" spans="3:17" x14ac:dyDescent="0.25">
      <c r="C1375" s="1" t="str">
        <f>_xlfn.CONCAT(tabE.Flux[[#This Row],[DATA]],"+",tabE.Flux[[#This Row],[MOTORISTA + MATRÍCULA A]])</f>
        <v>45946+FABIO MOREIRA DOS SANTOS - 3073</v>
      </c>
      <c r="D1375" s="1" t="str">
        <f>_xlfn.CONCAT(tabE.Flux[[#This Row],[DATA]],"+",tabE.Flux[[#This Row],[MOTORISTA + MATRÍCULA B]])</f>
        <v>45946+FRANCISCO ALVES DA PAZ JUNIOR - 1247</v>
      </c>
      <c r="E1375" s="1" t="str">
        <f>_xlfn.CONCAT(tabE.Flux[[#This Row],[DATA]],"+",tabE.Flux[[#This Row],[MOTORISTA + MATRÍCULA A]],"+",tabE.Flux[[#This Row],[LINHA]])</f>
        <v>45946+FABIO MOREIRA DOS SANTOS - 3073+GOIANIA (GO) X BELEM (PA)</v>
      </c>
      <c r="F1375" s="1" t="str">
        <f>_xlfn.CONCAT(tabE.Flux[[#This Row],[DATA]],"+",tabE.Flux[[#This Row],[MOTORISTA + MATRÍCULA B]],"+",tabE.Flux[[#This Row],[LINHA]])</f>
        <v>45946+FRANCISCO ALVES DA PAZ JUNIOR - 1247+GOIANIA (GO) X BELEM (PA)</v>
      </c>
      <c r="G1375" s="1" t="str">
        <f>_xlfn.CONCAT(tabE.Flux[[#This Row],[DATA]],"+",tabE.Flux[[#This Row],[LINHA]])</f>
        <v>45946+GOIANIA (GO) X BELEM (PA)</v>
      </c>
      <c r="H1375" s="125">
        <v>45946</v>
      </c>
      <c r="I1375" s="1" t="s">
        <v>15</v>
      </c>
      <c r="J1375" s="1">
        <v>19001</v>
      </c>
      <c r="K1375" s="126">
        <v>0.375</v>
      </c>
      <c r="L1375" s="126">
        <v>0.41666666666666669</v>
      </c>
      <c r="M1375" s="1" t="s">
        <v>33</v>
      </c>
      <c r="N1375" s="1" t="s">
        <v>16</v>
      </c>
      <c r="O1375" s="1" t="s">
        <v>50</v>
      </c>
      <c r="P1375" s="1" t="s">
        <v>144</v>
      </c>
      <c r="Q1375" s="1" t="s">
        <v>20</v>
      </c>
    </row>
    <row r="1376" spans="3:17" x14ac:dyDescent="0.25">
      <c r="C1376" s="1" t="str">
        <f>_xlfn.CONCAT(tabE.Flux[[#This Row],[DATA]],"+",tabE.Flux[[#This Row],[MOTORISTA + MATRÍCULA A]])</f>
        <v>45946+LAUCEANDO DA SILVA ROCHA - 6220</v>
      </c>
      <c r="D1376" s="1" t="str">
        <f>_xlfn.CONCAT(tabE.Flux[[#This Row],[DATA]],"+",tabE.Flux[[#This Row],[MOTORISTA + MATRÍCULA B]])</f>
        <v>45946+CLAUDIOMAR ALENCAR DO NASCIMENTO - 2970</v>
      </c>
      <c r="E1376" s="1" t="str">
        <f>_xlfn.CONCAT(tabE.Flux[[#This Row],[DATA]],"+",tabE.Flux[[#This Row],[MOTORISTA + MATRÍCULA A]],"+",tabE.Flux[[#This Row],[LINHA]])</f>
        <v>45946+LAUCEANDO DA SILVA ROCHA - 6220+GOIANIA (GO) X SAO LUIS (MA)</v>
      </c>
      <c r="F1376" s="1" t="str">
        <f>_xlfn.CONCAT(tabE.Flux[[#This Row],[DATA]],"+",tabE.Flux[[#This Row],[MOTORISTA + MATRÍCULA B]],"+",tabE.Flux[[#This Row],[LINHA]])</f>
        <v>45946+CLAUDIOMAR ALENCAR DO NASCIMENTO - 2970+GOIANIA (GO) X SAO LUIS (MA)</v>
      </c>
      <c r="G1376" s="1" t="str">
        <f>_xlfn.CONCAT(tabE.Flux[[#This Row],[DATA]],"+",tabE.Flux[[#This Row],[LINHA]])</f>
        <v>45946+GOIANIA (GO) X SAO LUIS (MA)</v>
      </c>
      <c r="H1376" s="125">
        <v>45946</v>
      </c>
      <c r="I1376" s="1" t="s">
        <v>15</v>
      </c>
      <c r="J1376" s="1">
        <v>19026</v>
      </c>
      <c r="K1376" s="126">
        <v>0.25</v>
      </c>
      <c r="L1376" s="126">
        <v>0.29166666666666669</v>
      </c>
      <c r="M1376" s="1" t="s">
        <v>42</v>
      </c>
      <c r="N1376" s="1" t="s">
        <v>16</v>
      </c>
      <c r="O1376" s="1" t="s">
        <v>86</v>
      </c>
      <c r="P1376" s="1" t="s">
        <v>211</v>
      </c>
      <c r="Q1376" s="1" t="s">
        <v>23</v>
      </c>
    </row>
    <row r="1377" spans="3:17" x14ac:dyDescent="0.25">
      <c r="C1377" s="1" t="str">
        <f>_xlfn.CONCAT(tabE.Flux[[#This Row],[DATA]],"+",tabE.Flux[[#This Row],[MOTORISTA + MATRÍCULA A]])</f>
        <v>45946+PAULO ENEAS FARIAS ARAUJO - 6218</v>
      </c>
      <c r="D1377" s="1" t="str">
        <f>_xlfn.CONCAT(tabE.Flux[[#This Row],[DATA]],"+",tabE.Flux[[#This Row],[MOTORISTA + MATRÍCULA B]])</f>
        <v>45946+JERZUALDO DA SILVA GOMES - 4077</v>
      </c>
      <c r="E1377" s="1" t="str">
        <f>_xlfn.CONCAT(tabE.Flux[[#This Row],[DATA]],"+",tabE.Flux[[#This Row],[MOTORISTA + MATRÍCULA A]],"+",tabE.Flux[[#This Row],[LINHA]])</f>
        <v>45946+PAULO ENEAS FARIAS ARAUJO - 6218+GOIANIA (GO) X SAO LUIS (MA)</v>
      </c>
      <c r="F1377" s="1" t="str">
        <f>_xlfn.CONCAT(tabE.Flux[[#This Row],[DATA]],"+",tabE.Flux[[#This Row],[MOTORISTA + MATRÍCULA B]],"+",tabE.Flux[[#This Row],[LINHA]])</f>
        <v>45946+JERZUALDO DA SILVA GOMES - 4077+GOIANIA (GO) X SAO LUIS (MA)</v>
      </c>
      <c r="G1377" s="1" t="str">
        <f>_xlfn.CONCAT(tabE.Flux[[#This Row],[DATA]],"+",tabE.Flux[[#This Row],[LINHA]])</f>
        <v>45946+GOIANIA (GO) X SAO LUIS (MA)</v>
      </c>
      <c r="H1377" s="125">
        <v>45946</v>
      </c>
      <c r="I1377" s="1" t="s">
        <v>15</v>
      </c>
      <c r="J1377" s="1">
        <v>24005</v>
      </c>
      <c r="K1377" s="126">
        <v>0.75</v>
      </c>
      <c r="L1377" s="126">
        <v>0.79166666666666663</v>
      </c>
      <c r="M1377" s="1" t="s">
        <v>42</v>
      </c>
      <c r="N1377" s="1" t="s">
        <v>16</v>
      </c>
      <c r="O1377" s="1" t="s">
        <v>43</v>
      </c>
      <c r="P1377" s="1" t="s">
        <v>130</v>
      </c>
      <c r="Q1377" s="1" t="s">
        <v>23</v>
      </c>
    </row>
    <row r="1378" spans="3:17" x14ac:dyDescent="0.25">
      <c r="C1378" s="1" t="str">
        <f>_xlfn.CONCAT(tabE.Flux[[#This Row],[DATA]],"+",tabE.Flux[[#This Row],[MOTORISTA + MATRÍCULA A]])</f>
        <v>45946+CANCELADO</v>
      </c>
      <c r="D1378" s="1" t="str">
        <f>_xlfn.CONCAT(tabE.Flux[[#This Row],[DATA]],"+",tabE.Flux[[#This Row],[MOTORISTA + MATRÍCULA B]])</f>
        <v>45946+CANCELADO</v>
      </c>
      <c r="E1378" s="1" t="str">
        <f>_xlfn.CONCAT(tabE.Flux[[#This Row],[DATA]],"+",tabE.Flux[[#This Row],[MOTORISTA + MATRÍCULA A]],"+",tabE.Flux[[#This Row],[LINHA]])</f>
        <v>45946+CANCELADO+IMPERATRIZ (MA) X SÃO LUIS (MA)</v>
      </c>
      <c r="F1378" s="1" t="str">
        <f>_xlfn.CONCAT(tabE.Flux[[#This Row],[DATA]],"+",tabE.Flux[[#This Row],[MOTORISTA + MATRÍCULA B]],"+",tabE.Flux[[#This Row],[LINHA]])</f>
        <v>45946+CANCELADO+IMPERATRIZ (MA) X SÃO LUIS (MA)</v>
      </c>
      <c r="G1378" s="1" t="str">
        <f>_xlfn.CONCAT(tabE.Flux[[#This Row],[DATA]],"+",tabE.Flux[[#This Row],[LINHA]])</f>
        <v>45946+IMPERATRIZ (MA) X SÃO LUIS (MA)</v>
      </c>
      <c r="H1378" s="125">
        <v>45946</v>
      </c>
      <c r="I1378" s="1" t="s">
        <v>15</v>
      </c>
      <c r="J1378" s="1" t="s">
        <v>27</v>
      </c>
      <c r="K1378" s="126">
        <v>0.77083333333333337</v>
      </c>
      <c r="L1378" s="126">
        <v>0.79513888888888884</v>
      </c>
      <c r="M1378" s="1" t="s">
        <v>42</v>
      </c>
      <c r="N1378" s="1" t="s">
        <v>16</v>
      </c>
      <c r="O1378" s="1" t="s">
        <v>27</v>
      </c>
      <c r="P1378" s="1" t="s">
        <v>27</v>
      </c>
      <c r="Q1378" s="1" t="s">
        <v>47</v>
      </c>
    </row>
    <row r="1379" spans="3:17" x14ac:dyDescent="0.25">
      <c r="C1379" s="1" t="str">
        <f>_xlfn.CONCAT(tabE.Flux[[#This Row],[DATA]],"+",tabE.Flux[[#This Row],[MOTORISTA + MATRÍCULA A]])</f>
        <v>45946+VALDIR NUNES DA SILVA - 2989</v>
      </c>
      <c r="D1379" s="1" t="str">
        <f>_xlfn.CONCAT(tabE.Flux[[#This Row],[DATA]],"+",tabE.Flux[[#This Row],[MOTORISTA + MATRÍCULA B]])</f>
        <v>45946+RAFAEL JOSE TOME DE LIMA - 5537</v>
      </c>
      <c r="E1379" s="1" t="str">
        <f>_xlfn.CONCAT(tabE.Flux[[#This Row],[DATA]],"+",tabE.Flux[[#This Row],[MOTORISTA + MATRÍCULA A]],"+",tabE.Flux[[#This Row],[LINHA]])</f>
        <v>45946+VALDIR NUNES DA SILVA - 2989+GOIANIA (GO) X TERESINA (PI) VIA BC</v>
      </c>
      <c r="F1379" s="1" t="str">
        <f>_xlfn.CONCAT(tabE.Flux[[#This Row],[DATA]],"+",tabE.Flux[[#This Row],[MOTORISTA + MATRÍCULA B]],"+",tabE.Flux[[#This Row],[LINHA]])</f>
        <v>45946+RAFAEL JOSE TOME DE LIMA - 5537+GOIANIA (GO) X TERESINA (PI) VIA BC</v>
      </c>
      <c r="G1379" s="1" t="str">
        <f>_xlfn.CONCAT(tabE.Flux[[#This Row],[DATA]],"+",tabE.Flux[[#This Row],[LINHA]])</f>
        <v>45946+GOIANIA (GO) X TERESINA (PI) VIA BC</v>
      </c>
      <c r="H1379" s="125">
        <v>45946</v>
      </c>
      <c r="I1379" s="1" t="s">
        <v>15</v>
      </c>
      <c r="J1379" s="1">
        <v>25008</v>
      </c>
      <c r="K1379" s="126">
        <v>0.89583333333333337</v>
      </c>
      <c r="L1379" s="126">
        <v>0.91666666666666663</v>
      </c>
      <c r="M1379" s="1" t="s">
        <v>36</v>
      </c>
      <c r="N1379" s="1" t="s">
        <v>17</v>
      </c>
      <c r="O1379" s="1" t="s">
        <v>134</v>
      </c>
      <c r="P1379" s="1" t="s">
        <v>181</v>
      </c>
      <c r="Q1379" s="1" t="s">
        <v>39</v>
      </c>
    </row>
    <row r="1380" spans="3:17" x14ac:dyDescent="0.25">
      <c r="C1380" s="1" t="str">
        <f>_xlfn.CONCAT(tabE.Flux[[#This Row],[DATA]],"+",tabE.Flux[[#This Row],[MOTORISTA + MATRÍCULA A]])</f>
        <v>45946+FRANCISCO LINDONALDO DE SOUSA - 2971</v>
      </c>
      <c r="D1380" s="1" t="str">
        <f>_xlfn.CONCAT(tabE.Flux[[#This Row],[DATA]],"+",tabE.Flux[[#This Row],[MOTORISTA + MATRÍCULA B]])</f>
        <v>45946+RONALDO ADRIANO COSTA SANTOS - 5637</v>
      </c>
      <c r="E1380" s="1" t="str">
        <f>_xlfn.CONCAT(tabE.Flux[[#This Row],[DATA]],"+",tabE.Flux[[#This Row],[MOTORISTA + MATRÍCULA A]],"+",tabE.Flux[[#This Row],[LINHA]])</f>
        <v>45946+FRANCISCO LINDONALDO DE SOUSA - 2971+GOIANIA (GO) X BELEM (PA)</v>
      </c>
      <c r="F1380" s="1" t="str">
        <f>_xlfn.CONCAT(tabE.Flux[[#This Row],[DATA]],"+",tabE.Flux[[#This Row],[MOTORISTA + MATRÍCULA B]],"+",tabE.Flux[[#This Row],[LINHA]])</f>
        <v>45946+RONALDO ADRIANO COSTA SANTOS - 5637+GOIANIA (GO) X BELEM (PA)</v>
      </c>
      <c r="G1380" s="1" t="str">
        <f>_xlfn.CONCAT(tabE.Flux[[#This Row],[DATA]],"+",tabE.Flux[[#This Row],[LINHA]])</f>
        <v>45946+GOIANIA (GO) X BELEM (PA)</v>
      </c>
      <c r="H1380" s="125">
        <v>45946</v>
      </c>
      <c r="I1380" s="1" t="s">
        <v>15</v>
      </c>
      <c r="J1380" s="1">
        <v>24012</v>
      </c>
      <c r="K1380" s="126">
        <v>0.76041666666666663</v>
      </c>
      <c r="L1380" s="126">
        <v>0.77083333333333337</v>
      </c>
      <c r="M1380" s="1" t="s">
        <v>33</v>
      </c>
      <c r="N1380" s="1" t="s">
        <v>16</v>
      </c>
      <c r="O1380" s="1" t="s">
        <v>131</v>
      </c>
      <c r="P1380" s="1" t="s">
        <v>41</v>
      </c>
      <c r="Q1380" s="1" t="s">
        <v>20</v>
      </c>
    </row>
    <row r="1381" spans="3:17" x14ac:dyDescent="0.25">
      <c r="C1381" s="1" t="str">
        <f>_xlfn.CONCAT(tabE.Flux[[#This Row],[DATA]],"+",tabE.Flux[[#This Row],[MOTORISTA + MATRÍCULA A]])</f>
        <v>45946+AELSON PEREIRA DO NASCIMENTO - 5682</v>
      </c>
      <c r="D1381" s="1" t="str">
        <f>_xlfn.CONCAT(tabE.Flux[[#This Row],[DATA]],"+",tabE.Flux[[#This Row],[MOTORISTA + MATRÍCULA B]])</f>
        <v>45946+ANTONIO MARCIO DE SENA RIBEIRO CHAVES - 5061</v>
      </c>
      <c r="E1381" s="1" t="str">
        <f>_xlfn.CONCAT(tabE.Flux[[#This Row],[DATA]],"+",tabE.Flux[[#This Row],[MOTORISTA + MATRÍCULA A]],"+",tabE.Flux[[#This Row],[LINHA]])</f>
        <v>45946+AELSON PEREIRA DO NASCIMENTO - 5682+GOIANIA (GO) X BELEM (PA)</v>
      </c>
      <c r="F1381" s="1" t="str">
        <f>_xlfn.CONCAT(tabE.Flux[[#This Row],[DATA]],"+",tabE.Flux[[#This Row],[MOTORISTA + MATRÍCULA B]],"+",tabE.Flux[[#This Row],[LINHA]])</f>
        <v>45946+ANTONIO MARCIO DE SENA RIBEIRO CHAVES - 5061+GOIANIA (GO) X BELEM (PA)</v>
      </c>
      <c r="G1381" s="1" t="str">
        <f>_xlfn.CONCAT(tabE.Flux[[#This Row],[DATA]],"+",tabE.Flux[[#This Row],[LINHA]])</f>
        <v>45946+GOIANIA (GO) X BELEM (PA)</v>
      </c>
      <c r="H1381" s="125">
        <v>45946</v>
      </c>
      <c r="I1381" s="1" t="s">
        <v>15</v>
      </c>
      <c r="J1381" s="1">
        <v>25005</v>
      </c>
      <c r="K1381" s="126">
        <v>0.76041666666666663</v>
      </c>
      <c r="L1381" s="126">
        <v>0.82777777777777772</v>
      </c>
      <c r="M1381" s="1" t="s">
        <v>16</v>
      </c>
      <c r="N1381" s="1" t="s">
        <v>33</v>
      </c>
      <c r="O1381" s="1" t="s">
        <v>88</v>
      </c>
      <c r="P1381" s="1" t="s">
        <v>235</v>
      </c>
      <c r="Q1381" s="1" t="s">
        <v>20</v>
      </c>
    </row>
    <row r="1382" spans="3:17" x14ac:dyDescent="0.25">
      <c r="C1382" s="1" t="str">
        <f>_xlfn.CONCAT(tabE.Flux[[#This Row],[DATA]],"+",tabE.Flux[[#This Row],[MOTORISTA + MATRÍCULA A]])</f>
        <v>45946+FRANCISCO RAIMUNDO VIANA DE SOUSA - 5314</v>
      </c>
      <c r="D1382" s="1" t="str">
        <f>_xlfn.CONCAT(tabE.Flux[[#This Row],[DATA]],"+",tabE.Flux[[#This Row],[MOTORISTA + MATRÍCULA B]])</f>
        <v>45946+EDIVALDO DE ARAUJO - 6217</v>
      </c>
      <c r="E1382" s="1" t="str">
        <f>_xlfn.CONCAT(tabE.Flux[[#This Row],[DATA]],"+",tabE.Flux[[#This Row],[MOTORISTA + MATRÍCULA A]],"+",tabE.Flux[[#This Row],[LINHA]])</f>
        <v>45946+FRANCISCO RAIMUNDO VIANA DE SOUSA - 5314+GOIANIA (GO) X SAO LUIS (MA)</v>
      </c>
      <c r="F1382" s="1" t="str">
        <f>_xlfn.CONCAT(tabE.Flux[[#This Row],[DATA]],"+",tabE.Flux[[#This Row],[MOTORISTA + MATRÍCULA B]],"+",tabE.Flux[[#This Row],[LINHA]])</f>
        <v>45946+EDIVALDO DE ARAUJO - 6217+GOIANIA (GO) X SAO LUIS (MA)</v>
      </c>
      <c r="G1382" s="1" t="str">
        <f>_xlfn.CONCAT(tabE.Flux[[#This Row],[DATA]],"+",tabE.Flux[[#This Row],[LINHA]])</f>
        <v>45946+GOIANIA (GO) X SAO LUIS (MA)</v>
      </c>
      <c r="H1382" s="125">
        <v>45946</v>
      </c>
      <c r="I1382" s="1" t="s">
        <v>15</v>
      </c>
      <c r="J1382" s="1">
        <v>20014</v>
      </c>
      <c r="K1382" s="126">
        <v>0.40763888888888888</v>
      </c>
      <c r="L1382" s="126">
        <v>0.47013888888888888</v>
      </c>
      <c r="M1382" s="1" t="s">
        <v>16</v>
      </c>
      <c r="N1382" s="1" t="s">
        <v>42</v>
      </c>
      <c r="O1382" s="1" t="s">
        <v>87</v>
      </c>
      <c r="P1382" s="1" t="s">
        <v>55</v>
      </c>
      <c r="Q1382" s="1" t="s">
        <v>23</v>
      </c>
    </row>
    <row r="1383" spans="3:17" x14ac:dyDescent="0.25">
      <c r="C1383" s="1" t="str">
        <f>_xlfn.CONCAT(tabE.Flux[[#This Row],[DATA]],"+",tabE.Flux[[#This Row],[MOTORISTA + MATRÍCULA A]])</f>
        <v>45946+CANCELADO</v>
      </c>
      <c r="D1383" s="1" t="str">
        <f>_xlfn.CONCAT(tabE.Flux[[#This Row],[DATA]],"+",tabE.Flux[[#This Row],[MOTORISTA + MATRÍCULA B]])</f>
        <v>45946+CANCELADO</v>
      </c>
      <c r="E1383" s="1" t="str">
        <f>_xlfn.CONCAT(tabE.Flux[[#This Row],[DATA]],"+",tabE.Flux[[#This Row],[MOTORISTA + MATRÍCULA A]],"+",tabE.Flux[[#This Row],[LINHA]])</f>
        <v>45946+CANCELADO+IMPERATRIZ (MA) X SÃO LUIS (MA)</v>
      </c>
      <c r="F1383" s="1" t="str">
        <f>_xlfn.CONCAT(tabE.Flux[[#This Row],[DATA]],"+",tabE.Flux[[#This Row],[MOTORISTA + MATRÍCULA B]],"+",tabE.Flux[[#This Row],[LINHA]])</f>
        <v>45946+CANCELADO+IMPERATRIZ (MA) X SÃO LUIS (MA)</v>
      </c>
      <c r="G1383" s="1" t="str">
        <f>_xlfn.CONCAT(tabE.Flux[[#This Row],[DATA]],"+",tabE.Flux[[#This Row],[LINHA]])</f>
        <v>45946+IMPERATRIZ (MA) X SÃO LUIS (MA)</v>
      </c>
      <c r="H1383" s="125">
        <v>45946</v>
      </c>
      <c r="I1383" s="1" t="s">
        <v>15</v>
      </c>
      <c r="J1383" s="1" t="s">
        <v>27</v>
      </c>
      <c r="K1383" s="126">
        <v>0.77083333333333337</v>
      </c>
      <c r="L1383" s="126">
        <v>0.8125</v>
      </c>
      <c r="M1383" s="1" t="s">
        <v>16</v>
      </c>
      <c r="N1383" s="1" t="s">
        <v>42</v>
      </c>
      <c r="O1383" s="1" t="s">
        <v>27</v>
      </c>
      <c r="P1383" s="1" t="s">
        <v>27</v>
      </c>
      <c r="Q1383" s="1" t="s">
        <v>47</v>
      </c>
    </row>
    <row r="1384" spans="3:17" x14ac:dyDescent="0.25">
      <c r="C1384" s="1" t="str">
        <f>_xlfn.CONCAT(tabE.Flux[[#This Row],[DATA]],"+",tabE.Flux[[#This Row],[MOTORISTA + MATRÍCULA A]])</f>
        <v>45946+ANTONIO FRANCINALDO DE OLIVEIRA MARQUES - 5018</v>
      </c>
      <c r="D1384" s="1" t="str">
        <f>_xlfn.CONCAT(tabE.Flux[[#This Row],[DATA]],"+",tabE.Flux[[#This Row],[MOTORISTA + MATRÍCULA B]])</f>
        <v>45946+LAUCEANDO DA SILVA ROCHA - 6220</v>
      </c>
      <c r="E1384" s="1" t="str">
        <f>_xlfn.CONCAT(tabE.Flux[[#This Row],[DATA]],"+",tabE.Flux[[#This Row],[MOTORISTA + MATRÍCULA A]],"+",tabE.Flux[[#This Row],[LINHA]])</f>
        <v>45946+ANTONIO FRANCINALDO DE OLIVEIRA MARQUES - 5018+GOIANIA (GO) X SAO LUIS (MA)</v>
      </c>
      <c r="F1384" s="1" t="str">
        <f>_xlfn.CONCAT(tabE.Flux[[#This Row],[DATA]],"+",tabE.Flux[[#This Row],[MOTORISTA + MATRÍCULA B]],"+",tabE.Flux[[#This Row],[LINHA]])</f>
        <v>45946+LAUCEANDO DA SILVA ROCHA - 6220+GOIANIA (GO) X SAO LUIS (MA)</v>
      </c>
      <c r="G1384" s="1" t="str">
        <f>_xlfn.CONCAT(tabE.Flux[[#This Row],[DATA]],"+",tabE.Flux[[#This Row],[LINHA]])</f>
        <v>45946+GOIANIA (GO) X SAO LUIS (MA)</v>
      </c>
      <c r="H1384" s="125">
        <v>45946</v>
      </c>
      <c r="I1384" s="1" t="s">
        <v>15</v>
      </c>
      <c r="J1384" s="1">
        <v>24004</v>
      </c>
      <c r="K1384" s="126">
        <v>0.8125</v>
      </c>
      <c r="L1384" s="126">
        <v>0.84375</v>
      </c>
      <c r="M1384" s="1" t="s">
        <v>16</v>
      </c>
      <c r="N1384" s="1" t="s">
        <v>42</v>
      </c>
      <c r="O1384" s="1" t="s">
        <v>233</v>
      </c>
      <c r="P1384" s="1" t="s">
        <v>86</v>
      </c>
      <c r="Q1384" s="1" t="s">
        <v>23</v>
      </c>
    </row>
    <row r="1385" spans="3:17" x14ac:dyDescent="0.25">
      <c r="C1385" s="1" t="str">
        <f>_xlfn.CONCAT(tabE.Flux[[#This Row],[DATA]],"+",tabE.Flux[[#This Row],[MOTORISTA + MATRÍCULA A]])</f>
        <v>45946+BRUNO MATOS DA ROCHA - 6013</v>
      </c>
      <c r="D1385" s="1" t="str">
        <f>_xlfn.CONCAT(tabE.Flux[[#This Row],[DATA]],"+",tabE.Flux[[#This Row],[MOTORISTA + MATRÍCULA B]])</f>
        <v>45946+FRANCISCO PESSOA DE CARVALHO - 5276</v>
      </c>
      <c r="E1385" s="1" t="str">
        <f>_xlfn.CONCAT(tabE.Flux[[#This Row],[DATA]],"+",tabE.Flux[[#This Row],[MOTORISTA + MATRÍCULA A]],"+",tabE.Flux[[#This Row],[LINHA]])</f>
        <v>45946+BRUNO MATOS DA ROCHA - 6013+GOIANIA (GO) X TERESINA (PI) VIA STI</v>
      </c>
      <c r="F1385" s="1" t="str">
        <f>_xlfn.CONCAT(tabE.Flux[[#This Row],[DATA]],"+",tabE.Flux[[#This Row],[MOTORISTA + MATRÍCULA B]],"+",tabE.Flux[[#This Row],[LINHA]])</f>
        <v>45946+FRANCISCO PESSOA DE CARVALHO - 5276+GOIANIA (GO) X TERESINA (PI) VIA STI</v>
      </c>
      <c r="G1385" s="1" t="str">
        <f>_xlfn.CONCAT(tabE.Flux[[#This Row],[DATA]],"+",tabE.Flux[[#This Row],[LINHA]])</f>
        <v>45946+GOIANIA (GO) X TERESINA (PI) VIA STI</v>
      </c>
      <c r="H1385" s="125">
        <v>45946</v>
      </c>
      <c r="I1385" s="1" t="s">
        <v>15</v>
      </c>
      <c r="J1385" s="1">
        <v>19025</v>
      </c>
      <c r="K1385" s="126">
        <v>0.77083333333333337</v>
      </c>
      <c r="L1385" s="126">
        <v>0.79861111111111116</v>
      </c>
      <c r="M1385" s="1" t="s">
        <v>16</v>
      </c>
      <c r="N1385" s="1" t="s">
        <v>29</v>
      </c>
      <c r="O1385" s="1" t="s">
        <v>147</v>
      </c>
      <c r="P1385" s="1" t="s">
        <v>188</v>
      </c>
      <c r="Q1385" s="1" t="s">
        <v>26</v>
      </c>
    </row>
    <row r="1386" spans="3:17" x14ac:dyDescent="0.25">
      <c r="C1386" s="1" t="str">
        <f>_xlfn.CONCAT(tabE.Flux[[#This Row],[DATA]],"+",tabE.Flux[[#This Row],[MOTORISTA + MATRÍCULA A]])</f>
        <v>45946+JUSCELINO PIRES GONCALVES - 1343</v>
      </c>
      <c r="D1386" s="1" t="str">
        <f>_xlfn.CONCAT(tabE.Flux[[#This Row],[DATA]],"+",tabE.Flux[[#This Row],[MOTORISTA + MATRÍCULA B]])</f>
        <v>45946+OLISMAR BATISTA DE DEUS - 5293</v>
      </c>
      <c r="E1386" s="1" t="str">
        <f>_xlfn.CONCAT(tabE.Flux[[#This Row],[DATA]],"+",tabE.Flux[[#This Row],[MOTORISTA + MATRÍCULA A]],"+",tabE.Flux[[#This Row],[LINHA]])</f>
        <v>45946+JUSCELINO PIRES GONCALVES - 1343+GOIANIA (GO) X SAO LUIS (MA)</v>
      </c>
      <c r="F1386" s="1" t="str">
        <f>_xlfn.CONCAT(tabE.Flux[[#This Row],[DATA]],"+",tabE.Flux[[#This Row],[MOTORISTA + MATRÍCULA B]],"+",tabE.Flux[[#This Row],[LINHA]])</f>
        <v>45946+OLISMAR BATISTA DE DEUS - 5293+GOIANIA (GO) X SAO LUIS (MA)</v>
      </c>
      <c r="G1386" s="1" t="str">
        <f>_xlfn.CONCAT(tabE.Flux[[#This Row],[DATA]],"+",tabE.Flux[[#This Row],[LINHA]])</f>
        <v>45946+GOIANIA (GO) X SAO LUIS (MA)</v>
      </c>
      <c r="H1386" s="125">
        <v>45946</v>
      </c>
      <c r="I1386" s="1" t="s">
        <v>15</v>
      </c>
      <c r="J1386" s="1">
        <v>19026</v>
      </c>
      <c r="K1386" s="126">
        <v>0.8125</v>
      </c>
      <c r="L1386" s="126">
        <v>0.84166666666666667</v>
      </c>
      <c r="M1386" s="1" t="s">
        <v>16</v>
      </c>
      <c r="N1386" s="1" t="s">
        <v>17</v>
      </c>
      <c r="O1386" s="1" t="s">
        <v>138</v>
      </c>
      <c r="P1386" s="1" t="s">
        <v>139</v>
      </c>
      <c r="Q1386" s="1" t="s">
        <v>23</v>
      </c>
    </row>
    <row r="1387" spans="3:17" x14ac:dyDescent="0.25">
      <c r="C1387" s="1" t="str">
        <f>_xlfn.CONCAT(tabE.Flux[[#This Row],[DATA]],"+",tabE.Flux[[#This Row],[MOTORISTA + MATRÍCULA A]])</f>
        <v>45946+ELIAS ALVES DE FRANCA - 6046</v>
      </c>
      <c r="D1387" s="1" t="str">
        <f>_xlfn.CONCAT(tabE.Flux[[#This Row],[DATA]],"+",tabE.Flux[[#This Row],[MOTORISTA + MATRÍCULA B]])</f>
        <v>45946+RAFAEL DA SILVA LIMA - 6215</v>
      </c>
      <c r="E1387" s="1" t="str">
        <f>_xlfn.CONCAT(tabE.Flux[[#This Row],[DATA]],"+",tabE.Flux[[#This Row],[MOTORISTA + MATRÍCULA A]],"+",tabE.Flux[[#This Row],[LINHA]])</f>
        <v>45946+ELIAS ALVES DE FRANCA - 6046+FORTALEZA (CE) X SINOP (MT)</v>
      </c>
      <c r="F1387" s="1" t="str">
        <f>_xlfn.CONCAT(tabE.Flux[[#This Row],[DATA]],"+",tabE.Flux[[#This Row],[MOTORISTA + MATRÍCULA B]],"+",tabE.Flux[[#This Row],[LINHA]])</f>
        <v>45946+RAFAEL DA SILVA LIMA - 6215+FORTALEZA (CE) X SINOP (MT)</v>
      </c>
      <c r="G1387" s="1" t="str">
        <f>_xlfn.CONCAT(tabE.Flux[[#This Row],[DATA]],"+",tabE.Flux[[#This Row],[LINHA]])</f>
        <v>45946+FORTALEZA (CE) X SINOP (MT)</v>
      </c>
      <c r="H1387" s="125">
        <v>45946</v>
      </c>
      <c r="I1387" s="1" t="s">
        <v>15</v>
      </c>
      <c r="J1387" s="1">
        <v>20013</v>
      </c>
      <c r="K1387" s="126">
        <v>0.8125</v>
      </c>
      <c r="L1387" s="126">
        <v>0.85416666666666663</v>
      </c>
      <c r="M1387" s="1" t="s">
        <v>16</v>
      </c>
      <c r="N1387" s="1" t="s">
        <v>17</v>
      </c>
      <c r="O1387" s="1" t="s">
        <v>189</v>
      </c>
      <c r="P1387" s="1" t="s">
        <v>190</v>
      </c>
      <c r="Q1387" s="1" t="s">
        <v>32</v>
      </c>
    </row>
    <row r="1388" spans="3:17" x14ac:dyDescent="0.25">
      <c r="C1388" s="1" t="str">
        <f>_xlfn.CONCAT(tabE.Flux[[#This Row],[DATA]],"+",tabE.Flux[[#This Row],[MOTORISTA + MATRÍCULA A]])</f>
        <v>45946+RICARDO VIEIRA GERVASIO - 5297</v>
      </c>
      <c r="D1388" s="1" t="str">
        <f>_xlfn.CONCAT(tabE.Flux[[#This Row],[DATA]],"+",tabE.Flux[[#This Row],[MOTORISTA + MATRÍCULA B]])</f>
        <v>45946+JOSE ATAZ QUINTINO - 6048</v>
      </c>
      <c r="E1388" s="1" t="str">
        <f>_xlfn.CONCAT(tabE.Flux[[#This Row],[DATA]],"+",tabE.Flux[[#This Row],[MOTORISTA + MATRÍCULA A]],"+",tabE.Flux[[#This Row],[LINHA]])</f>
        <v>45946+RICARDO VIEIRA GERVASIO - 5297+GOIANIA (GO) X BELEM (PA)</v>
      </c>
      <c r="F1388" s="1" t="str">
        <f>_xlfn.CONCAT(tabE.Flux[[#This Row],[DATA]],"+",tabE.Flux[[#This Row],[MOTORISTA + MATRÍCULA B]],"+",tabE.Flux[[#This Row],[LINHA]])</f>
        <v>45946+JOSE ATAZ QUINTINO - 6048+GOIANIA (GO) X BELEM (PA)</v>
      </c>
      <c r="G1388" s="1" t="str">
        <f>_xlfn.CONCAT(tabE.Flux[[#This Row],[DATA]],"+",tabE.Flux[[#This Row],[LINHA]])</f>
        <v>45946+GOIANIA (GO) X BELEM (PA)</v>
      </c>
      <c r="H1388" s="125">
        <v>45946</v>
      </c>
      <c r="I1388" s="1" t="s">
        <v>15</v>
      </c>
      <c r="J1388" s="1">
        <v>19001</v>
      </c>
      <c r="K1388" s="126">
        <v>0.84722222222222221</v>
      </c>
      <c r="L1388" s="126">
        <v>0.87847222222222221</v>
      </c>
      <c r="M1388" s="1" t="s">
        <v>16</v>
      </c>
      <c r="N1388" s="1" t="s">
        <v>17</v>
      </c>
      <c r="O1388" s="1" t="s">
        <v>203</v>
      </c>
      <c r="P1388" s="1" t="s">
        <v>202</v>
      </c>
      <c r="Q1388" s="1" t="s">
        <v>20</v>
      </c>
    </row>
    <row r="1389" spans="3:17" x14ac:dyDescent="0.25">
      <c r="C1389" s="1" t="str">
        <f>_xlfn.CONCAT(tabE.Flux[[#This Row],[DATA]],"+",tabE.Flux[[#This Row],[MOTORISTA + MATRÍCULA A]])</f>
        <v>+</v>
      </c>
      <c r="D1389" s="1" t="str">
        <f>_xlfn.CONCAT(tabE.Flux[[#This Row],[DATA]],"+",tabE.Flux[[#This Row],[MOTORISTA + MATRÍCULA B]])</f>
        <v>+</v>
      </c>
      <c r="E1389" s="1" t="str">
        <f>_xlfn.CONCAT(tabE.Flux[[#This Row],[DATA]],"+",tabE.Flux[[#This Row],[MOTORISTA + MATRÍCULA A]],"+",tabE.Flux[[#This Row],[LINHA]])</f>
        <v>++</v>
      </c>
      <c r="F1389" s="1" t="str">
        <f>_xlfn.CONCAT(tabE.Flux[[#This Row],[DATA]],"+",tabE.Flux[[#This Row],[MOTORISTA + MATRÍCULA B]],"+",tabE.Flux[[#This Row],[LINHA]])</f>
        <v>++</v>
      </c>
      <c r="G1389" s="1" t="str">
        <f>_xlfn.CONCAT(tabE.Flux[[#This Row],[DATA]],"+",tabE.Flux[[#This Row],[LINHA]])</f>
        <v>+</v>
      </c>
      <c r="H1389" s="1"/>
      <c r="I1389" s="1"/>
      <c r="J1389" s="1"/>
      <c r="K1389" s="1"/>
      <c r="L1389" s="1"/>
      <c r="M1389" s="1"/>
      <c r="N1389" s="1"/>
      <c r="O1389" s="1"/>
      <c r="P1389" s="1"/>
      <c r="Q1389" s="1"/>
    </row>
    <row r="1390" spans="3:17" x14ac:dyDescent="0.25">
      <c r="C1390" s="1" t="str">
        <f>_xlfn.CONCAT(tabE.Flux[[#This Row],[DATA]],"+",tabE.Flux[[#This Row],[MOTORISTA + MATRÍCULA A]])</f>
        <v>45947+RICHARD SOUSA DA SILVA - 1271</v>
      </c>
      <c r="D1390" s="1" t="str">
        <f>_xlfn.CONCAT(tabE.Flux[[#This Row],[DATA]],"+",tabE.Flux[[#This Row],[MOTORISTA + MATRÍCULA B]])</f>
        <v>45947+JAIRO VIEIRA FERREIRA - 5835</v>
      </c>
      <c r="E1390" s="1" t="str">
        <f>_xlfn.CONCAT(tabE.Flux[[#This Row],[DATA]],"+",tabE.Flux[[#This Row],[MOTORISTA + MATRÍCULA A]],"+",tabE.Flux[[#This Row],[LINHA]])</f>
        <v>45947+RICHARD SOUSA DA SILVA - 1271+GOIANIA (GO) X BELEM (PA)</v>
      </c>
      <c r="F1390" s="1" t="str">
        <f>_xlfn.CONCAT(tabE.Flux[[#This Row],[DATA]],"+",tabE.Flux[[#This Row],[MOTORISTA + MATRÍCULA B]],"+",tabE.Flux[[#This Row],[LINHA]])</f>
        <v>45947+JAIRO VIEIRA FERREIRA - 5835+GOIANIA (GO) X BELEM (PA)</v>
      </c>
      <c r="G1390" s="1" t="str">
        <f>_xlfn.CONCAT(tabE.Flux[[#This Row],[DATA]],"+",tabE.Flux[[#This Row],[LINHA]])</f>
        <v>45947+GOIANIA (GO) X BELEM (PA)</v>
      </c>
      <c r="H1390" s="125">
        <v>45947</v>
      </c>
      <c r="I1390" s="1" t="s">
        <v>15</v>
      </c>
      <c r="J1390" s="1">
        <v>24012</v>
      </c>
      <c r="K1390" s="126">
        <v>0.25486111111111109</v>
      </c>
      <c r="L1390" s="126">
        <v>0.3</v>
      </c>
      <c r="M1390" s="1" t="s">
        <v>16</v>
      </c>
      <c r="N1390" s="1" t="s">
        <v>17</v>
      </c>
      <c r="O1390" s="1" t="s">
        <v>56</v>
      </c>
      <c r="P1390" s="1" t="s">
        <v>230</v>
      </c>
      <c r="Q1390" s="1" t="s">
        <v>20</v>
      </c>
    </row>
    <row r="1391" spans="3:17" x14ac:dyDescent="0.25">
      <c r="C1391" s="1" t="str">
        <f>_xlfn.CONCAT(tabE.Flux[[#This Row],[DATA]],"+",tabE.Flux[[#This Row],[MOTORISTA + MATRÍCULA A]])</f>
        <v>45947+EURIPEDES BORGES DOS SANTOS - 5017</v>
      </c>
      <c r="D1391" s="1" t="str">
        <f>_xlfn.CONCAT(tabE.Flux[[#This Row],[DATA]],"+",tabE.Flux[[#This Row],[MOTORISTA + MATRÍCULA B]])</f>
        <v>45947+SANDRO CARLOS DE SOUSA - 5181</v>
      </c>
      <c r="E1391" s="1" t="str">
        <f>_xlfn.CONCAT(tabE.Flux[[#This Row],[DATA]],"+",tabE.Flux[[#This Row],[MOTORISTA + MATRÍCULA A]],"+",tabE.Flux[[#This Row],[LINHA]])</f>
        <v>45947+EURIPEDES BORGES DOS SANTOS - 5017+GOIANIA (GO) X SAO LUIS (MA)</v>
      </c>
      <c r="F1391" s="1" t="str">
        <f>_xlfn.CONCAT(tabE.Flux[[#This Row],[DATA]],"+",tabE.Flux[[#This Row],[MOTORISTA + MATRÍCULA B]],"+",tabE.Flux[[#This Row],[LINHA]])</f>
        <v>45947+SANDRO CARLOS DE SOUSA - 5181+GOIANIA (GO) X SAO LUIS (MA)</v>
      </c>
      <c r="G1391" s="1" t="str">
        <f>_xlfn.CONCAT(tabE.Flux[[#This Row],[DATA]],"+",tabE.Flux[[#This Row],[LINHA]])</f>
        <v>45947+GOIANIA (GO) X SAO LUIS (MA)</v>
      </c>
      <c r="H1391" s="125">
        <v>45947</v>
      </c>
      <c r="I1391" s="1" t="s">
        <v>15</v>
      </c>
      <c r="J1391" s="1">
        <v>24005</v>
      </c>
      <c r="K1391" s="126">
        <v>0.32291666666666669</v>
      </c>
      <c r="L1391" s="126">
        <v>0.33333333333333331</v>
      </c>
      <c r="M1391" s="1" t="s">
        <v>16</v>
      </c>
      <c r="N1391" s="1" t="s">
        <v>17</v>
      </c>
      <c r="O1391" s="1" t="s">
        <v>121</v>
      </c>
      <c r="P1391" s="1" t="s">
        <v>120</v>
      </c>
      <c r="Q1391" s="1" t="s">
        <v>23</v>
      </c>
    </row>
    <row r="1392" spans="3:17" x14ac:dyDescent="0.25">
      <c r="C1392" s="1" t="str">
        <f>_xlfn.CONCAT(tabE.Flux[[#This Row],[DATA]],"+",tabE.Flux[[#This Row],[MOTORISTA + MATRÍCULA A]])</f>
        <v>45947+GILDEVAN DE ALMEIDA AGOSTINHO - 1924</v>
      </c>
      <c r="D1392" s="1" t="str">
        <f>_xlfn.CONCAT(tabE.Flux[[#This Row],[DATA]],"+",tabE.Flux[[#This Row],[MOTORISTA + MATRÍCULA B]])</f>
        <v>45947+EUGENIO PEREIRA DOS SANTOS - 1197</v>
      </c>
      <c r="E1392" s="1" t="str">
        <f>_xlfn.CONCAT(tabE.Flux[[#This Row],[DATA]],"+",tabE.Flux[[#This Row],[MOTORISTA + MATRÍCULA A]],"+",tabE.Flux[[#This Row],[LINHA]])</f>
        <v>45947+GILDEVAN DE ALMEIDA AGOSTINHO - 1924+GOIANIA (GO) X TERESINA (PI) VIA STI</v>
      </c>
      <c r="F1392" s="1" t="str">
        <f>_xlfn.CONCAT(tabE.Flux[[#This Row],[DATA]],"+",tabE.Flux[[#This Row],[MOTORISTA + MATRÍCULA B]],"+",tabE.Flux[[#This Row],[LINHA]])</f>
        <v>45947+EUGENIO PEREIRA DOS SANTOS - 1197+GOIANIA (GO) X TERESINA (PI) VIA STI</v>
      </c>
      <c r="G1392" s="1" t="str">
        <f>_xlfn.CONCAT(tabE.Flux[[#This Row],[DATA]],"+",tabE.Flux[[#This Row],[LINHA]])</f>
        <v>45947+GOIANIA (GO) X TERESINA (PI) VIA STI</v>
      </c>
      <c r="H1392" s="125">
        <v>45947</v>
      </c>
      <c r="I1392" s="1" t="s">
        <v>15</v>
      </c>
      <c r="J1392" s="1">
        <v>17200</v>
      </c>
      <c r="K1392" s="126">
        <v>0.3888888888888889</v>
      </c>
      <c r="L1392" s="126">
        <v>0.39583333333333331</v>
      </c>
      <c r="M1392" s="1" t="s">
        <v>16</v>
      </c>
      <c r="N1392" s="1" t="s">
        <v>17</v>
      </c>
      <c r="O1392" s="1" t="s">
        <v>236</v>
      </c>
      <c r="P1392" s="1" t="s">
        <v>264</v>
      </c>
      <c r="Q1392" s="1" t="s">
        <v>26</v>
      </c>
    </row>
    <row r="1393" spans="3:17" x14ac:dyDescent="0.25">
      <c r="C1393" s="1" t="str">
        <f>_xlfn.CONCAT(tabE.Flux[[#This Row],[DATA]],"+",tabE.Flux[[#This Row],[MOTORISTA + MATRÍCULA A]])</f>
        <v>45947+CANCELADO</v>
      </c>
      <c r="D1393" s="1" t="str">
        <f>_xlfn.CONCAT(tabE.Flux[[#This Row],[DATA]],"+",tabE.Flux[[#This Row],[MOTORISTA + MATRÍCULA B]])</f>
        <v>45947+CANCELADO</v>
      </c>
      <c r="E1393" s="1" t="str">
        <f>_xlfn.CONCAT(tabE.Flux[[#This Row],[DATA]],"+",tabE.Flux[[#This Row],[MOTORISTA + MATRÍCULA A]],"+",tabE.Flux[[#This Row],[LINHA]])</f>
        <v>45947+CANCELADO+</v>
      </c>
      <c r="F1393" s="1" t="str">
        <f>_xlfn.CONCAT(tabE.Flux[[#This Row],[DATA]],"+",tabE.Flux[[#This Row],[MOTORISTA + MATRÍCULA B]],"+",tabE.Flux[[#This Row],[LINHA]])</f>
        <v>45947+CANCELADO+</v>
      </c>
      <c r="G1393" s="1" t="str">
        <f>_xlfn.CONCAT(tabE.Flux[[#This Row],[DATA]],"+",tabE.Flux[[#This Row],[LINHA]])</f>
        <v>45947+</v>
      </c>
      <c r="H1393" s="125">
        <v>45947</v>
      </c>
      <c r="I1393" s="1" t="s">
        <v>15</v>
      </c>
      <c r="J1393" s="1" t="s">
        <v>27</v>
      </c>
      <c r="K1393" s="126">
        <v>0.375</v>
      </c>
      <c r="L1393" s="126">
        <v>0.41666666666666669</v>
      </c>
      <c r="M1393" s="1" t="s">
        <v>16</v>
      </c>
      <c r="N1393" s="1" t="s">
        <v>28</v>
      </c>
      <c r="O1393" s="1" t="s">
        <v>27</v>
      </c>
      <c r="P1393" s="1" t="s">
        <v>27</v>
      </c>
      <c r="Q1393" s="1"/>
    </row>
    <row r="1394" spans="3:17" x14ac:dyDescent="0.25">
      <c r="C1394" s="1" t="str">
        <f>_xlfn.CONCAT(tabE.Flux[[#This Row],[DATA]],"+",tabE.Flux[[#This Row],[MOTORISTA + MATRÍCULA A]])</f>
        <v>45947+CLODOALDO PEREIRA DE LIMA - 4067</v>
      </c>
      <c r="D1394" s="1" t="str">
        <f>_xlfn.CONCAT(tabE.Flux[[#This Row],[DATA]],"+",tabE.Flux[[#This Row],[MOTORISTA + MATRÍCULA B]])</f>
        <v>45947+MARCOS AUGUSTO SILVA ROCHA - 5268</v>
      </c>
      <c r="E1394" s="1" t="str">
        <f>_xlfn.CONCAT(tabE.Flux[[#This Row],[DATA]],"+",tabE.Flux[[#This Row],[MOTORISTA + MATRÍCULA A]],"+",tabE.Flux[[#This Row],[LINHA]])</f>
        <v>45947+CLODOALDO PEREIRA DE LIMA - 4067+FORTALEZA (CE) X SINOP (MT)</v>
      </c>
      <c r="F1394" s="1" t="str">
        <f>_xlfn.CONCAT(tabE.Flux[[#This Row],[DATA]],"+",tabE.Flux[[#This Row],[MOTORISTA + MATRÍCULA B]],"+",tabE.Flux[[#This Row],[LINHA]])</f>
        <v>45947+MARCOS AUGUSTO SILVA ROCHA - 5268+FORTALEZA (CE) X SINOP (MT)</v>
      </c>
      <c r="G1394" s="1" t="str">
        <f>_xlfn.CONCAT(tabE.Flux[[#This Row],[DATA]],"+",tabE.Flux[[#This Row],[LINHA]])</f>
        <v>45947+FORTALEZA (CE) X SINOP (MT)</v>
      </c>
      <c r="H1394" s="125">
        <v>45947</v>
      </c>
      <c r="I1394" s="1" t="s">
        <v>15</v>
      </c>
      <c r="J1394" s="1">
        <v>19002</v>
      </c>
      <c r="K1394" s="126">
        <v>0.3888888888888889</v>
      </c>
      <c r="L1394" s="126">
        <v>0.37708333333333333</v>
      </c>
      <c r="M1394" s="1" t="s">
        <v>16</v>
      </c>
      <c r="N1394" s="1" t="s">
        <v>29</v>
      </c>
      <c r="O1394" s="1" t="s">
        <v>109</v>
      </c>
      <c r="P1394" s="1" t="s">
        <v>221</v>
      </c>
      <c r="Q1394" s="1" t="s">
        <v>32</v>
      </c>
    </row>
    <row r="1395" spans="3:17" x14ac:dyDescent="0.25">
      <c r="C1395" s="1" t="str">
        <f>_xlfn.CONCAT(tabE.Flux[[#This Row],[DATA]],"+",tabE.Flux[[#This Row],[MOTORISTA + MATRÍCULA A]])</f>
        <v>45947+NILSON CORTEZ MIRANDA - 5636</v>
      </c>
      <c r="D1395" s="1" t="str">
        <f>_xlfn.CONCAT(tabE.Flux[[#This Row],[DATA]],"+",tabE.Flux[[#This Row],[MOTORISTA + MATRÍCULA B]])</f>
        <v>45947+JOSE ALVES DA ROCHA - 5035</v>
      </c>
      <c r="E1395" s="1" t="str">
        <f>_xlfn.CONCAT(tabE.Flux[[#This Row],[DATA]],"+",tabE.Flux[[#This Row],[MOTORISTA + MATRÍCULA A]],"+",tabE.Flux[[#This Row],[LINHA]])</f>
        <v>45947+NILSON CORTEZ MIRANDA - 5636+GOIANIA (GO) X BELEM (PA)</v>
      </c>
      <c r="F1395" s="1" t="str">
        <f>_xlfn.CONCAT(tabE.Flux[[#This Row],[DATA]],"+",tabE.Flux[[#This Row],[MOTORISTA + MATRÍCULA B]],"+",tabE.Flux[[#This Row],[LINHA]])</f>
        <v>45947+JOSE ALVES DA ROCHA - 5035+GOIANIA (GO) X BELEM (PA)</v>
      </c>
      <c r="G1395" s="1" t="str">
        <f>_xlfn.CONCAT(tabE.Flux[[#This Row],[DATA]],"+",tabE.Flux[[#This Row],[LINHA]])</f>
        <v>45947+GOIANIA (GO) X BELEM (PA)</v>
      </c>
      <c r="H1395" s="125">
        <v>45947</v>
      </c>
      <c r="I1395" s="1" t="s">
        <v>15</v>
      </c>
      <c r="J1395" s="1">
        <v>19020</v>
      </c>
      <c r="K1395" s="126">
        <v>0.38958333333333334</v>
      </c>
      <c r="L1395" s="126">
        <v>0.38541666666666669</v>
      </c>
      <c r="M1395" s="1" t="s">
        <v>16</v>
      </c>
      <c r="N1395" s="1" t="s">
        <v>33</v>
      </c>
      <c r="O1395" s="1" t="s">
        <v>75</v>
      </c>
      <c r="P1395" s="1" t="s">
        <v>91</v>
      </c>
      <c r="Q1395" s="1" t="s">
        <v>20</v>
      </c>
    </row>
    <row r="1396" spans="3:17" x14ac:dyDescent="0.25">
      <c r="C1396" s="1" t="str">
        <f>_xlfn.CONCAT(tabE.Flux[[#This Row],[DATA]],"+",tabE.Flux[[#This Row],[MOTORISTA + MATRÍCULA A]])</f>
        <v>45947+KLEBSON ALVES FREIRES - 3060</v>
      </c>
      <c r="D1396" s="1" t="str">
        <f>_xlfn.CONCAT(tabE.Flux[[#This Row],[DATA]],"+",tabE.Flux[[#This Row],[MOTORISTA + MATRÍCULA B]])</f>
        <v>45947+MARCOS ANTONIO ALVES DE SOUSA - 5278</v>
      </c>
      <c r="E1396" s="1" t="str">
        <f>_xlfn.CONCAT(tabE.Flux[[#This Row],[DATA]],"+",tabE.Flux[[#This Row],[MOTORISTA + MATRÍCULA A]],"+",tabE.Flux[[#This Row],[LINHA]])</f>
        <v>45947+KLEBSON ALVES FREIRES - 3060+GOIANIA (GO) X TERESINA (PI) VIA BC</v>
      </c>
      <c r="F1396" s="1" t="str">
        <f>_xlfn.CONCAT(tabE.Flux[[#This Row],[DATA]],"+",tabE.Flux[[#This Row],[MOTORISTA + MATRÍCULA B]],"+",tabE.Flux[[#This Row],[LINHA]])</f>
        <v>45947+MARCOS ANTONIO ALVES DE SOUSA - 5278+GOIANIA (GO) X TERESINA (PI) VIA BC</v>
      </c>
      <c r="G1396" s="1" t="str">
        <f>_xlfn.CONCAT(tabE.Flux[[#This Row],[DATA]],"+",tabE.Flux[[#This Row],[LINHA]])</f>
        <v>45947+GOIANIA (GO) X TERESINA (PI) VIA BC</v>
      </c>
      <c r="H1396" s="125">
        <v>45947</v>
      </c>
      <c r="I1396" s="1" t="s">
        <v>15</v>
      </c>
      <c r="J1396" s="1">
        <v>24016</v>
      </c>
      <c r="K1396" s="126">
        <v>0.375</v>
      </c>
      <c r="L1396" s="126">
        <v>0.39930555555555558</v>
      </c>
      <c r="M1396" s="1" t="s">
        <v>36</v>
      </c>
      <c r="N1396" s="1" t="s">
        <v>29</v>
      </c>
      <c r="O1396" s="1" t="s">
        <v>161</v>
      </c>
      <c r="P1396" s="1" t="s">
        <v>210</v>
      </c>
      <c r="Q1396" s="1" t="s">
        <v>39</v>
      </c>
    </row>
    <row r="1397" spans="3:17" x14ac:dyDescent="0.25">
      <c r="C1397" s="1" t="str">
        <f>_xlfn.CONCAT(tabE.Flux[[#This Row],[DATA]],"+",tabE.Flux[[#This Row],[MOTORISTA + MATRÍCULA A]])</f>
        <v>45947+FRANCISCO BATISTA DE LIMA - 1827</v>
      </c>
      <c r="D1397" s="1" t="str">
        <f>_xlfn.CONCAT(tabE.Flux[[#This Row],[DATA]],"+",tabE.Flux[[#This Row],[MOTORISTA + MATRÍCULA B]])</f>
        <v>45947+KLEBER OLIVEIRA LIMA - 5849</v>
      </c>
      <c r="E1397" s="1" t="str">
        <f>_xlfn.CONCAT(tabE.Flux[[#This Row],[DATA]],"+",tabE.Flux[[#This Row],[MOTORISTA + MATRÍCULA A]],"+",tabE.Flux[[#This Row],[LINHA]])</f>
        <v>45947+FRANCISCO BATISTA DE LIMA - 1827+GOIANIA (GO) X BELEM (PA)</v>
      </c>
      <c r="F1397" s="1" t="str">
        <f>_xlfn.CONCAT(tabE.Flux[[#This Row],[DATA]],"+",tabE.Flux[[#This Row],[MOTORISTA + MATRÍCULA B]],"+",tabE.Flux[[#This Row],[LINHA]])</f>
        <v>45947+KLEBER OLIVEIRA LIMA - 5849+GOIANIA (GO) X BELEM (PA)</v>
      </c>
      <c r="G1397" s="1" t="str">
        <f>_xlfn.CONCAT(tabE.Flux[[#This Row],[DATA]],"+",tabE.Flux[[#This Row],[LINHA]])</f>
        <v>45947+GOIANIA (GO) X BELEM (PA)</v>
      </c>
      <c r="H1397" s="125">
        <v>45947</v>
      </c>
      <c r="I1397" s="1" t="s">
        <v>15</v>
      </c>
      <c r="J1397" s="1">
        <v>19013</v>
      </c>
      <c r="K1397" s="126">
        <v>0.375</v>
      </c>
      <c r="L1397" s="126">
        <v>0.41666666666666669</v>
      </c>
      <c r="M1397" s="1" t="s">
        <v>33</v>
      </c>
      <c r="N1397" s="1" t="s">
        <v>16</v>
      </c>
      <c r="O1397" s="1" t="s">
        <v>128</v>
      </c>
      <c r="P1397" s="1" t="s">
        <v>102</v>
      </c>
      <c r="Q1397" s="1" t="s">
        <v>20</v>
      </c>
    </row>
    <row r="1398" spans="3:17" x14ac:dyDescent="0.25">
      <c r="C1398" s="1" t="str">
        <f>_xlfn.CONCAT(tabE.Flux[[#This Row],[DATA]],"+",tabE.Flux[[#This Row],[MOTORISTA + MATRÍCULA A]])</f>
        <v>45947+CARLOS ADRIANO DE SOUZA DO NASCIMENTO - 6222</v>
      </c>
      <c r="D1398" s="1" t="str">
        <f>_xlfn.CONCAT(tabE.Flux[[#This Row],[DATA]],"+",tabE.Flux[[#This Row],[MOTORISTA + MATRÍCULA B]])</f>
        <v>45947+FRANCISCO RAIMUNDO VIANA DE SOUSA - 5314</v>
      </c>
      <c r="E1398" s="1" t="str">
        <f>_xlfn.CONCAT(tabE.Flux[[#This Row],[DATA]],"+",tabE.Flux[[#This Row],[MOTORISTA + MATRÍCULA A]],"+",tabE.Flux[[#This Row],[LINHA]])</f>
        <v>45947+CARLOS ADRIANO DE SOUZA DO NASCIMENTO - 6222+GOIANIA (GO) X SAO LUIS (MA)</v>
      </c>
      <c r="F1398" s="1" t="str">
        <f>_xlfn.CONCAT(tabE.Flux[[#This Row],[DATA]],"+",tabE.Flux[[#This Row],[MOTORISTA + MATRÍCULA B]],"+",tabE.Flux[[#This Row],[LINHA]])</f>
        <v>45947+FRANCISCO RAIMUNDO VIANA DE SOUSA - 5314+GOIANIA (GO) X SAO LUIS (MA)</v>
      </c>
      <c r="G1398" s="1" t="str">
        <f>_xlfn.CONCAT(tabE.Flux[[#This Row],[DATA]],"+",tabE.Flux[[#This Row],[LINHA]])</f>
        <v>45947+GOIANIA (GO) X SAO LUIS (MA)</v>
      </c>
      <c r="H1398" s="125">
        <v>45947</v>
      </c>
      <c r="I1398" s="1" t="s">
        <v>15</v>
      </c>
      <c r="J1398" s="1">
        <v>20014</v>
      </c>
      <c r="K1398" s="126">
        <v>0.25</v>
      </c>
      <c r="L1398" s="126">
        <v>0.29166666666666669</v>
      </c>
      <c r="M1398" s="1" t="s">
        <v>42</v>
      </c>
      <c r="N1398" s="1" t="s">
        <v>16</v>
      </c>
      <c r="O1398" s="1" t="s">
        <v>110</v>
      </c>
      <c r="P1398" s="1" t="s">
        <v>87</v>
      </c>
      <c r="Q1398" s="1" t="s">
        <v>23</v>
      </c>
    </row>
    <row r="1399" spans="3:17" x14ac:dyDescent="0.25">
      <c r="C1399" s="1" t="str">
        <f>_xlfn.CONCAT(tabE.Flux[[#This Row],[DATA]],"+",tabE.Flux[[#This Row],[MOTORISTA + MATRÍCULA A]])</f>
        <v>45947+ALTEMAR DO NASCIMENTO LIMA - 6225</v>
      </c>
      <c r="D1399" s="1" t="str">
        <f>_xlfn.CONCAT(tabE.Flux[[#This Row],[DATA]],"+",tabE.Flux[[#This Row],[MOTORISTA + MATRÍCULA B]])</f>
        <v>45947+ANTONIO FRANCINALDO DE OLIVEIRA MARQUES - 5018</v>
      </c>
      <c r="E1399" s="1" t="str">
        <f>_xlfn.CONCAT(tabE.Flux[[#This Row],[DATA]],"+",tabE.Flux[[#This Row],[MOTORISTA + MATRÍCULA A]],"+",tabE.Flux[[#This Row],[LINHA]])</f>
        <v>45947+ALTEMAR DO NASCIMENTO LIMA - 6225+GOIANIA (GO) X SAO LUIS (MA)</v>
      </c>
      <c r="F1399" s="1" t="str">
        <f>_xlfn.CONCAT(tabE.Flux[[#This Row],[DATA]],"+",tabE.Flux[[#This Row],[MOTORISTA + MATRÍCULA B]],"+",tabE.Flux[[#This Row],[LINHA]])</f>
        <v>45947+ANTONIO FRANCINALDO DE OLIVEIRA MARQUES - 5018+GOIANIA (GO) X SAO LUIS (MA)</v>
      </c>
      <c r="G1399" s="1" t="str">
        <f>_xlfn.CONCAT(tabE.Flux[[#This Row],[DATA]],"+",tabE.Flux[[#This Row],[LINHA]])</f>
        <v>45947+GOIANIA (GO) X SAO LUIS (MA)</v>
      </c>
      <c r="H1399" s="125">
        <v>45947</v>
      </c>
      <c r="I1399" s="1" t="s">
        <v>15</v>
      </c>
      <c r="J1399" s="1">
        <v>24004</v>
      </c>
      <c r="K1399" s="126">
        <v>0.75</v>
      </c>
      <c r="L1399" s="126">
        <v>0.79166666666666663</v>
      </c>
      <c r="M1399" s="1" t="s">
        <v>42</v>
      </c>
      <c r="N1399" s="1" t="s">
        <v>16</v>
      </c>
      <c r="O1399" s="1" t="s">
        <v>57</v>
      </c>
      <c r="P1399" s="1" t="s">
        <v>233</v>
      </c>
      <c r="Q1399" s="1" t="s">
        <v>23</v>
      </c>
    </row>
    <row r="1400" spans="3:17" x14ac:dyDescent="0.25">
      <c r="C1400" s="1" t="str">
        <f>_xlfn.CONCAT(tabE.Flux[[#This Row],[DATA]],"+",tabE.Flux[[#This Row],[MOTORISTA + MATRÍCULA A]])</f>
        <v>45947+CANCELADO</v>
      </c>
      <c r="D1400" s="1" t="str">
        <f>_xlfn.CONCAT(tabE.Flux[[#This Row],[DATA]],"+",tabE.Flux[[#This Row],[MOTORISTA + MATRÍCULA B]])</f>
        <v>45947+CANCELADO</v>
      </c>
      <c r="E1400" s="1" t="str">
        <f>_xlfn.CONCAT(tabE.Flux[[#This Row],[DATA]],"+",tabE.Flux[[#This Row],[MOTORISTA + MATRÍCULA A]],"+",tabE.Flux[[#This Row],[LINHA]])</f>
        <v>45947+CANCELADO+IMPERATRIZ (MA) X SÃO LUIS (MA)</v>
      </c>
      <c r="F1400" s="1" t="str">
        <f>_xlfn.CONCAT(tabE.Flux[[#This Row],[DATA]],"+",tabE.Flux[[#This Row],[MOTORISTA + MATRÍCULA B]],"+",tabE.Flux[[#This Row],[LINHA]])</f>
        <v>45947+CANCELADO+IMPERATRIZ (MA) X SÃO LUIS (MA)</v>
      </c>
      <c r="G1400" s="1" t="str">
        <f>_xlfn.CONCAT(tabE.Flux[[#This Row],[DATA]],"+",tabE.Flux[[#This Row],[LINHA]])</f>
        <v>45947+IMPERATRIZ (MA) X SÃO LUIS (MA)</v>
      </c>
      <c r="H1400" s="125">
        <v>45947</v>
      </c>
      <c r="I1400" s="1" t="s">
        <v>15</v>
      </c>
      <c r="J1400" s="1" t="s">
        <v>27</v>
      </c>
      <c r="K1400" s="126">
        <v>0.77083333333333337</v>
      </c>
      <c r="L1400" s="126">
        <v>0.79513888888888884</v>
      </c>
      <c r="M1400" s="1" t="s">
        <v>42</v>
      </c>
      <c r="N1400" s="1" t="s">
        <v>16</v>
      </c>
      <c r="O1400" s="1" t="s">
        <v>27</v>
      </c>
      <c r="P1400" s="1" t="s">
        <v>27</v>
      </c>
      <c r="Q1400" s="1" t="s">
        <v>47</v>
      </c>
    </row>
    <row r="1401" spans="3:17" x14ac:dyDescent="0.25">
      <c r="C1401" s="1" t="str">
        <f>_xlfn.CONCAT(tabE.Flux[[#This Row],[DATA]],"+",tabE.Flux[[#This Row],[MOTORISTA + MATRÍCULA A]])</f>
        <v>45947+CLAUDIO JOSE DO NASCIMENTO - 549</v>
      </c>
      <c r="D1401" s="1" t="str">
        <f>_xlfn.CONCAT(tabE.Flux[[#This Row],[DATA]],"+",tabE.Flux[[#This Row],[MOTORISTA + MATRÍCULA B]])</f>
        <v>45947+COSME CAVALCANTE DA SILVA - 3002</v>
      </c>
      <c r="E1401" s="1" t="str">
        <f>_xlfn.CONCAT(tabE.Flux[[#This Row],[DATA]],"+",tabE.Flux[[#This Row],[MOTORISTA + MATRÍCULA A]],"+",tabE.Flux[[#This Row],[LINHA]])</f>
        <v>45947+CLAUDIO JOSE DO NASCIMENTO - 549+GOIANIA (GO) X TERESINA (PI) VIA BC</v>
      </c>
      <c r="F1401" s="1" t="str">
        <f>_xlfn.CONCAT(tabE.Flux[[#This Row],[DATA]],"+",tabE.Flux[[#This Row],[MOTORISTA + MATRÍCULA B]],"+",tabE.Flux[[#This Row],[LINHA]])</f>
        <v>45947+COSME CAVALCANTE DA SILVA - 3002+GOIANIA (GO) X TERESINA (PI) VIA BC</v>
      </c>
      <c r="G1401" s="1" t="str">
        <f>_xlfn.CONCAT(tabE.Flux[[#This Row],[DATA]],"+",tabE.Flux[[#This Row],[LINHA]])</f>
        <v>45947+GOIANIA (GO) X TERESINA (PI) VIA BC</v>
      </c>
      <c r="H1401" s="125">
        <v>45947</v>
      </c>
      <c r="I1401" s="1" t="s">
        <v>15</v>
      </c>
      <c r="J1401" s="1">
        <v>25006</v>
      </c>
      <c r="K1401" s="126">
        <v>0.89583333333333337</v>
      </c>
      <c r="L1401" s="126">
        <v>0.91666666666666663</v>
      </c>
      <c r="M1401" s="1" t="s">
        <v>36</v>
      </c>
      <c r="N1401" s="1" t="s">
        <v>17</v>
      </c>
      <c r="O1401" s="1" t="s">
        <v>48</v>
      </c>
      <c r="P1401" s="1" t="s">
        <v>49</v>
      </c>
      <c r="Q1401" s="1" t="s">
        <v>39</v>
      </c>
    </row>
    <row r="1402" spans="3:17" x14ac:dyDescent="0.25">
      <c r="C1402" s="1" t="str">
        <f>_xlfn.CONCAT(tabE.Flux[[#This Row],[DATA]],"+",tabE.Flux[[#This Row],[MOTORISTA + MATRÍCULA A]])</f>
        <v>45947+ESIEL COSTA RODRIGUES - 1749</v>
      </c>
      <c r="D1402" s="1" t="str">
        <f>_xlfn.CONCAT(tabE.Flux[[#This Row],[DATA]],"+",tabE.Flux[[#This Row],[MOTORISTA + MATRÍCULA B]])</f>
        <v>45947+LEANDRO DE OLIVEIRA MELO - 2151</v>
      </c>
      <c r="E1402" s="1" t="str">
        <f>_xlfn.CONCAT(tabE.Flux[[#This Row],[DATA]],"+",tabE.Flux[[#This Row],[MOTORISTA + MATRÍCULA A]],"+",tabE.Flux[[#This Row],[LINHA]])</f>
        <v>45947+ESIEL COSTA RODRIGUES - 1749+GOIANIA (GO) X BELEM (PA)</v>
      </c>
      <c r="F1402" s="1" t="str">
        <f>_xlfn.CONCAT(tabE.Flux[[#This Row],[DATA]],"+",tabE.Flux[[#This Row],[MOTORISTA + MATRÍCULA B]],"+",tabE.Flux[[#This Row],[LINHA]])</f>
        <v>45947+LEANDRO DE OLIVEIRA MELO - 2151+GOIANIA (GO) X BELEM (PA)</v>
      </c>
      <c r="G1402" s="1" t="str">
        <f>_xlfn.CONCAT(tabE.Flux[[#This Row],[DATA]],"+",tabE.Flux[[#This Row],[LINHA]])</f>
        <v>45947+GOIANIA (GO) X BELEM (PA)</v>
      </c>
      <c r="H1402" s="125">
        <v>45947</v>
      </c>
      <c r="I1402" s="1" t="s">
        <v>15</v>
      </c>
      <c r="J1402" s="1">
        <v>25005</v>
      </c>
      <c r="K1402" s="126">
        <v>0.76041666666666663</v>
      </c>
      <c r="L1402" s="126">
        <v>0.77083333333333337</v>
      </c>
      <c r="M1402" s="1" t="s">
        <v>33</v>
      </c>
      <c r="N1402" s="1" t="s">
        <v>16</v>
      </c>
      <c r="O1402" s="1" t="s">
        <v>46</v>
      </c>
      <c r="P1402" s="1" t="s">
        <v>64</v>
      </c>
      <c r="Q1402" s="1" t="s">
        <v>20</v>
      </c>
    </row>
    <row r="1403" spans="3:17" x14ac:dyDescent="0.25">
      <c r="C1403" s="1" t="str">
        <f>_xlfn.CONCAT(tabE.Flux[[#This Row],[DATA]],"+",tabE.Flux[[#This Row],[MOTORISTA + MATRÍCULA A]])</f>
        <v>45947+CLAUDIOMAR ALENCAR DO NASCIMENTO - 2970</v>
      </c>
      <c r="D1403" s="1" t="str">
        <f>_xlfn.CONCAT(tabE.Flux[[#This Row],[DATA]],"+",tabE.Flux[[#This Row],[MOTORISTA + MATRÍCULA B]])</f>
        <v>45947+IZALMIR RODRIGUES COELHO - 958</v>
      </c>
      <c r="E1403" s="1" t="str">
        <f>_xlfn.CONCAT(tabE.Flux[[#This Row],[DATA]],"+",tabE.Flux[[#This Row],[MOTORISTA + MATRÍCULA A]],"+",tabE.Flux[[#This Row],[LINHA]])</f>
        <v>45947+CLAUDIOMAR ALENCAR DO NASCIMENTO - 2970+GOIANIA (GO) X BELEM (PA)</v>
      </c>
      <c r="F1403" s="1" t="str">
        <f>_xlfn.CONCAT(tabE.Flux[[#This Row],[DATA]],"+",tabE.Flux[[#This Row],[MOTORISTA + MATRÍCULA B]],"+",tabE.Flux[[#This Row],[LINHA]])</f>
        <v>45947+IZALMIR RODRIGUES COELHO - 958+GOIANIA (GO) X BELEM (PA)</v>
      </c>
      <c r="G1403" s="1" t="str">
        <f>_xlfn.CONCAT(tabE.Flux[[#This Row],[DATA]],"+",tabE.Flux[[#This Row],[LINHA]])</f>
        <v>45947+GOIANIA (GO) X BELEM (PA)</v>
      </c>
      <c r="H1403" s="125">
        <v>45947</v>
      </c>
      <c r="I1403" s="1" t="s">
        <v>15</v>
      </c>
      <c r="J1403" s="1">
        <v>24013</v>
      </c>
      <c r="K1403" s="126">
        <v>0.76041666666666663</v>
      </c>
      <c r="L1403" s="126">
        <v>0.82777777777777772</v>
      </c>
      <c r="M1403" s="1" t="s">
        <v>16</v>
      </c>
      <c r="N1403" s="1" t="s">
        <v>33</v>
      </c>
      <c r="O1403" s="1" t="s">
        <v>211</v>
      </c>
      <c r="P1403" s="1" t="s">
        <v>83</v>
      </c>
      <c r="Q1403" s="1" t="s">
        <v>20</v>
      </c>
    </row>
    <row r="1404" spans="3:17" x14ac:dyDescent="0.25">
      <c r="C1404" s="1" t="str">
        <f>_xlfn.CONCAT(tabE.Flux[[#This Row],[DATA]],"+",tabE.Flux[[#This Row],[MOTORISTA + MATRÍCULA A]])</f>
        <v>45947+JOSE ALVES DE FREITAS NETO - 5027</v>
      </c>
      <c r="D1404" s="1" t="str">
        <f>_xlfn.CONCAT(tabE.Flux[[#This Row],[DATA]],"+",tabE.Flux[[#This Row],[MOTORISTA + MATRÍCULA B]])</f>
        <v>45947+PAULO ENEAS FARIAS ARAUJO - 6218</v>
      </c>
      <c r="E1404" s="1" t="str">
        <f>_xlfn.CONCAT(tabE.Flux[[#This Row],[DATA]],"+",tabE.Flux[[#This Row],[MOTORISTA + MATRÍCULA A]],"+",tabE.Flux[[#This Row],[LINHA]])</f>
        <v>45947+JOSE ALVES DE FREITAS NETO - 5027+GOIANIA (GO) X SAO LUIS (MA)</v>
      </c>
      <c r="F1404" s="1" t="str">
        <f>_xlfn.CONCAT(tabE.Flux[[#This Row],[DATA]],"+",tabE.Flux[[#This Row],[MOTORISTA + MATRÍCULA B]],"+",tabE.Flux[[#This Row],[LINHA]])</f>
        <v>45947+PAULO ENEAS FARIAS ARAUJO - 6218+GOIANIA (GO) X SAO LUIS (MA)</v>
      </c>
      <c r="G1404" s="1" t="str">
        <f>_xlfn.CONCAT(tabE.Flux[[#This Row],[DATA]],"+",tabE.Flux[[#This Row],[LINHA]])</f>
        <v>45947+GOIANIA (GO) X SAO LUIS (MA)</v>
      </c>
      <c r="H1404" s="125">
        <v>45947</v>
      </c>
      <c r="I1404" s="1" t="s">
        <v>15</v>
      </c>
      <c r="J1404" s="1">
        <v>19018</v>
      </c>
      <c r="K1404" s="126">
        <v>0.40763888888888888</v>
      </c>
      <c r="L1404" s="126">
        <v>0.47013888888888888</v>
      </c>
      <c r="M1404" s="1" t="s">
        <v>16</v>
      </c>
      <c r="N1404" s="1" t="s">
        <v>42</v>
      </c>
      <c r="O1404" s="1" t="s">
        <v>90</v>
      </c>
      <c r="P1404" s="1" t="s">
        <v>43</v>
      </c>
      <c r="Q1404" s="1" t="s">
        <v>23</v>
      </c>
    </row>
    <row r="1405" spans="3:17" x14ac:dyDescent="0.25">
      <c r="C1405" s="1" t="str">
        <f>_xlfn.CONCAT(tabE.Flux[[#This Row],[DATA]],"+",tabE.Flux[[#This Row],[MOTORISTA + MATRÍCULA A]])</f>
        <v>45947+JOSE HAILTON PEREIRA DOS SANTOS - 6018</v>
      </c>
      <c r="D1405" s="1" t="str">
        <f>_xlfn.CONCAT(tabE.Flux[[#This Row],[DATA]],"+",tabE.Flux[[#This Row],[MOTORISTA + MATRÍCULA B]])</f>
        <v>45947+KAYLSON KLEYTON DA SILVA COSTA - 6224</v>
      </c>
      <c r="E1405" s="1" t="str">
        <f>_xlfn.CONCAT(tabE.Flux[[#This Row],[DATA]],"+",tabE.Flux[[#This Row],[MOTORISTA + MATRÍCULA A]],"+",tabE.Flux[[#This Row],[LINHA]])</f>
        <v>45947+JOSE HAILTON PEREIRA DOS SANTOS - 6018+IMPERATRIZ (MA) X SÃO LUIS (MA)</v>
      </c>
      <c r="F1405" s="1" t="str">
        <f>_xlfn.CONCAT(tabE.Flux[[#This Row],[DATA]],"+",tabE.Flux[[#This Row],[MOTORISTA + MATRÍCULA B]],"+",tabE.Flux[[#This Row],[LINHA]])</f>
        <v>45947+KAYLSON KLEYTON DA SILVA COSTA - 6224+IMPERATRIZ (MA) X SÃO LUIS (MA)</v>
      </c>
      <c r="G1405" s="1" t="str">
        <f>_xlfn.CONCAT(tabE.Flux[[#This Row],[DATA]],"+",tabE.Flux[[#This Row],[LINHA]])</f>
        <v>45947+IMPERATRIZ (MA) X SÃO LUIS (MA)</v>
      </c>
      <c r="H1405" s="125">
        <v>45947</v>
      </c>
      <c r="I1405" s="1" t="s">
        <v>15</v>
      </c>
      <c r="J1405" s="1">
        <v>19022</v>
      </c>
      <c r="K1405" s="126">
        <v>0.77083333333333337</v>
      </c>
      <c r="L1405" s="126">
        <v>0.8125</v>
      </c>
      <c r="M1405" s="1" t="s">
        <v>16</v>
      </c>
      <c r="N1405" s="1" t="s">
        <v>42</v>
      </c>
      <c r="O1405" s="1" t="s">
        <v>141</v>
      </c>
      <c r="P1405" s="1" t="s">
        <v>80</v>
      </c>
      <c r="Q1405" s="1" t="s">
        <v>47</v>
      </c>
    </row>
    <row r="1406" spans="3:17" x14ac:dyDescent="0.25">
      <c r="C1406" s="1" t="str">
        <f>_xlfn.CONCAT(tabE.Flux[[#This Row],[DATA]],"+",tabE.Flux[[#This Row],[MOTORISTA + MATRÍCULA A]])</f>
        <v>45947+ADEMILTON DE OLIVEIRA SILVA - 5559</v>
      </c>
      <c r="D1406" s="1" t="str">
        <f>_xlfn.CONCAT(tabE.Flux[[#This Row],[DATA]],"+",tabE.Flux[[#This Row],[MOTORISTA + MATRÍCULA B]])</f>
        <v>45947+CARLOS ADRIANO DE SOUZA DO NASCIMENTO - 6222</v>
      </c>
      <c r="E1406" s="1" t="str">
        <f>_xlfn.CONCAT(tabE.Flux[[#This Row],[DATA]],"+",tabE.Flux[[#This Row],[MOTORISTA + MATRÍCULA A]],"+",tabE.Flux[[#This Row],[LINHA]])</f>
        <v>45947+ADEMILTON DE OLIVEIRA SILVA - 5559+GOIANIA (GO) X SAO LUIS (MA)</v>
      </c>
      <c r="F1406" s="1" t="str">
        <f>_xlfn.CONCAT(tabE.Flux[[#This Row],[DATA]],"+",tabE.Flux[[#This Row],[MOTORISTA + MATRÍCULA B]],"+",tabE.Flux[[#This Row],[LINHA]])</f>
        <v>45947+CARLOS ADRIANO DE SOUZA DO NASCIMENTO - 6222+GOIANIA (GO) X SAO LUIS (MA)</v>
      </c>
      <c r="G1406" s="1" t="str">
        <f>_xlfn.CONCAT(tabE.Flux[[#This Row],[DATA]],"+",tabE.Flux[[#This Row],[LINHA]])</f>
        <v>45947+GOIANIA (GO) X SAO LUIS (MA)</v>
      </c>
      <c r="H1406" s="125">
        <v>45947</v>
      </c>
      <c r="I1406" s="1" t="s">
        <v>15</v>
      </c>
      <c r="J1406" s="1">
        <v>24014</v>
      </c>
      <c r="K1406" s="126">
        <v>0.8125</v>
      </c>
      <c r="L1406" s="126">
        <v>0.84375</v>
      </c>
      <c r="M1406" s="1" t="s">
        <v>16</v>
      </c>
      <c r="N1406" s="1" t="s">
        <v>42</v>
      </c>
      <c r="O1406" s="1" t="s">
        <v>40</v>
      </c>
      <c r="P1406" s="1" t="s">
        <v>110</v>
      </c>
      <c r="Q1406" s="1" t="s">
        <v>23</v>
      </c>
    </row>
    <row r="1407" spans="3:17" x14ac:dyDescent="0.25">
      <c r="C1407" s="1" t="str">
        <f>_xlfn.CONCAT(tabE.Flux[[#This Row],[DATA]],"+",tabE.Flux[[#This Row],[MOTORISTA + MATRÍCULA A]])</f>
        <v>45947+GILVAN DE SOUSA FRANCA - 5834</v>
      </c>
      <c r="D1407" s="1" t="str">
        <f>_xlfn.CONCAT(tabE.Flux[[#This Row],[DATA]],"+",tabE.Flux[[#This Row],[MOTORISTA + MATRÍCULA B]])</f>
        <v>45947+</v>
      </c>
      <c r="E1407" s="1" t="str">
        <f>_xlfn.CONCAT(tabE.Flux[[#This Row],[DATA]],"+",tabE.Flux[[#This Row],[MOTORISTA + MATRÍCULA A]],"+",tabE.Flux[[#This Row],[LINHA]])</f>
        <v>45947+GILVAN DE SOUSA FRANCA - 5834+GOIANIA (GO) X TERESINA (PI) VIA STI</v>
      </c>
      <c r="F1407" s="1" t="str">
        <f>_xlfn.CONCAT(tabE.Flux[[#This Row],[DATA]],"+",tabE.Flux[[#This Row],[MOTORISTA + MATRÍCULA B]],"+",tabE.Flux[[#This Row],[LINHA]])</f>
        <v>45947++GOIANIA (GO) X TERESINA (PI) VIA STI</v>
      </c>
      <c r="G1407" s="1" t="str">
        <f>_xlfn.CONCAT(tabE.Flux[[#This Row],[DATA]],"+",tabE.Flux[[#This Row],[LINHA]])</f>
        <v>45947+GOIANIA (GO) X TERESINA (PI) VIA STI</v>
      </c>
      <c r="H1407" s="125">
        <v>45947</v>
      </c>
      <c r="I1407" s="1" t="s">
        <v>15</v>
      </c>
      <c r="J1407" s="1">
        <v>17500</v>
      </c>
      <c r="K1407" s="126">
        <v>0.77083333333333337</v>
      </c>
      <c r="L1407" s="126">
        <v>0.79861111111111116</v>
      </c>
      <c r="M1407" s="1" t="s">
        <v>16</v>
      </c>
      <c r="N1407" s="1" t="s">
        <v>29</v>
      </c>
      <c r="O1407" s="1" t="s">
        <v>35</v>
      </c>
      <c r="P1407" s="1"/>
      <c r="Q1407" s="1" t="s">
        <v>26</v>
      </c>
    </row>
    <row r="1408" spans="3:17" x14ac:dyDescent="0.25">
      <c r="C1408" s="1" t="str">
        <f>_xlfn.CONCAT(tabE.Flux[[#This Row],[DATA]],"+",tabE.Flux[[#This Row],[MOTORISTA + MATRÍCULA A]])</f>
        <v>45947+HILTON RODRIGUES DA COSTA - 866</v>
      </c>
      <c r="D1408" s="1" t="str">
        <f>_xlfn.CONCAT(tabE.Flux[[#This Row],[DATA]],"+",tabE.Flux[[#This Row],[MOTORISTA + MATRÍCULA B]])</f>
        <v>45947+DJALMA SOARES GUIMARAES - 1948</v>
      </c>
      <c r="E1408" s="1" t="str">
        <f>_xlfn.CONCAT(tabE.Flux[[#This Row],[DATA]],"+",tabE.Flux[[#This Row],[MOTORISTA + MATRÍCULA A]],"+",tabE.Flux[[#This Row],[LINHA]])</f>
        <v>45947+HILTON RODRIGUES DA COSTA - 866+GOIANIA (GO) X SAO LUIS (MA)</v>
      </c>
      <c r="F1408" s="1" t="str">
        <f>_xlfn.CONCAT(tabE.Flux[[#This Row],[DATA]],"+",tabE.Flux[[#This Row],[MOTORISTA + MATRÍCULA B]],"+",tabE.Flux[[#This Row],[LINHA]])</f>
        <v>45947+DJALMA SOARES GUIMARAES - 1948+GOIANIA (GO) X SAO LUIS (MA)</v>
      </c>
      <c r="G1408" s="1" t="str">
        <f>_xlfn.CONCAT(tabE.Flux[[#This Row],[DATA]],"+",tabE.Flux[[#This Row],[LINHA]])</f>
        <v>45947+GOIANIA (GO) X SAO LUIS (MA)</v>
      </c>
      <c r="H1408" s="125">
        <v>45947</v>
      </c>
      <c r="I1408" s="1" t="s">
        <v>15</v>
      </c>
      <c r="J1408" s="1">
        <v>20014</v>
      </c>
      <c r="K1408" s="126">
        <v>0.8125</v>
      </c>
      <c r="L1408" s="126">
        <v>0.84166666666666667</v>
      </c>
      <c r="M1408" s="1" t="s">
        <v>16</v>
      </c>
      <c r="N1408" s="1" t="s">
        <v>17</v>
      </c>
      <c r="O1408" s="1" t="s">
        <v>256</v>
      </c>
      <c r="P1408" s="1" t="s">
        <v>237</v>
      </c>
      <c r="Q1408" s="1" t="s">
        <v>23</v>
      </c>
    </row>
    <row r="1409" spans="3:17" x14ac:dyDescent="0.25">
      <c r="C1409" s="1" t="str">
        <f>_xlfn.CONCAT(tabE.Flux[[#This Row],[DATA]],"+",tabE.Flux[[#This Row],[MOTORISTA + MATRÍCULA A]])</f>
        <v>45947+VALTER PEREIRA MACIEL - 5630</v>
      </c>
      <c r="D1409" s="1" t="str">
        <f>_xlfn.CONCAT(tabE.Flux[[#This Row],[DATA]],"+",tabE.Flux[[#This Row],[MOTORISTA + MATRÍCULA B]])</f>
        <v>45947+GERALDO MARTINS DOS SANTOS - 5610</v>
      </c>
      <c r="E1409" s="1" t="str">
        <f>_xlfn.CONCAT(tabE.Flux[[#This Row],[DATA]],"+",tabE.Flux[[#This Row],[MOTORISTA + MATRÍCULA A]],"+",tabE.Flux[[#This Row],[LINHA]])</f>
        <v>45947+VALTER PEREIRA MACIEL - 5630+FORTALEZA (CE) X SINOP (MT)</v>
      </c>
      <c r="F1409" s="1" t="str">
        <f>_xlfn.CONCAT(tabE.Flux[[#This Row],[DATA]],"+",tabE.Flux[[#This Row],[MOTORISTA + MATRÍCULA B]],"+",tabE.Flux[[#This Row],[LINHA]])</f>
        <v>45947+GERALDO MARTINS DOS SANTOS - 5610+FORTALEZA (CE) X SINOP (MT)</v>
      </c>
      <c r="G1409" s="1" t="str">
        <f>_xlfn.CONCAT(tabE.Flux[[#This Row],[DATA]],"+",tabE.Flux[[#This Row],[LINHA]])</f>
        <v>45947+FORTALEZA (CE) X SINOP (MT)</v>
      </c>
      <c r="H1409" s="125">
        <v>45947</v>
      </c>
      <c r="I1409" s="1" t="s">
        <v>15</v>
      </c>
      <c r="J1409" s="1">
        <v>20020</v>
      </c>
      <c r="K1409" s="126">
        <v>0.8125</v>
      </c>
      <c r="L1409" s="126">
        <v>0.85416666666666663</v>
      </c>
      <c r="M1409" s="1" t="s">
        <v>16</v>
      </c>
      <c r="N1409" s="1" t="s">
        <v>17</v>
      </c>
      <c r="O1409" s="1" t="s">
        <v>208</v>
      </c>
      <c r="P1409" s="1" t="s">
        <v>209</v>
      </c>
      <c r="Q1409" s="1" t="s">
        <v>32</v>
      </c>
    </row>
    <row r="1410" spans="3:17" x14ac:dyDescent="0.25">
      <c r="C1410" s="1" t="str">
        <f>_xlfn.CONCAT(tabE.Flux[[#This Row],[DATA]],"+",tabE.Flux[[#This Row],[MOTORISTA + MATRÍCULA A]])</f>
        <v>45947+WILSON MARTINS ROCHA - 105</v>
      </c>
      <c r="D1410" s="1" t="str">
        <f>_xlfn.CONCAT(tabE.Flux[[#This Row],[DATA]],"+",tabE.Flux[[#This Row],[MOTORISTA + MATRÍCULA B]])</f>
        <v>45947+WILSON FERREIRA DE JESUS - 1407</v>
      </c>
      <c r="E1410" s="1" t="str">
        <f>_xlfn.CONCAT(tabE.Flux[[#This Row],[DATA]],"+",tabE.Flux[[#This Row],[MOTORISTA + MATRÍCULA A]],"+",tabE.Flux[[#This Row],[LINHA]])</f>
        <v>45947+WILSON MARTINS ROCHA - 105+GOIANIA (GO) X BELEM (PA)</v>
      </c>
      <c r="F1410" s="1" t="str">
        <f>_xlfn.CONCAT(tabE.Flux[[#This Row],[DATA]],"+",tabE.Flux[[#This Row],[MOTORISTA + MATRÍCULA B]],"+",tabE.Flux[[#This Row],[LINHA]])</f>
        <v>45947+WILSON FERREIRA DE JESUS - 1407+GOIANIA (GO) X BELEM (PA)</v>
      </c>
      <c r="G1410" s="1" t="str">
        <f>_xlfn.CONCAT(tabE.Flux[[#This Row],[DATA]],"+",tabE.Flux[[#This Row],[LINHA]])</f>
        <v>45947+GOIANIA (GO) X BELEM (PA)</v>
      </c>
      <c r="H1410" s="125">
        <v>45947</v>
      </c>
      <c r="I1410" s="1" t="s">
        <v>15</v>
      </c>
      <c r="J1410" s="1">
        <v>19013</v>
      </c>
      <c r="K1410" s="126">
        <v>0.84722222222222221</v>
      </c>
      <c r="L1410" s="126">
        <v>0.87847222222222221</v>
      </c>
      <c r="M1410" s="1" t="s">
        <v>16</v>
      </c>
      <c r="N1410" s="1" t="s">
        <v>17</v>
      </c>
      <c r="O1410" s="1" t="s">
        <v>81</v>
      </c>
      <c r="P1410" s="1" t="s">
        <v>82</v>
      </c>
      <c r="Q1410" s="1" t="s">
        <v>20</v>
      </c>
    </row>
    <row r="1411" spans="3:17" x14ac:dyDescent="0.25">
      <c r="C1411" s="1" t="str">
        <f>_xlfn.CONCAT(tabE.Flux[[#This Row],[DATA]],"+",tabE.Flux[[#This Row],[MOTORISTA + MATRÍCULA A]])</f>
        <v>+</v>
      </c>
      <c r="D1411" s="1" t="str">
        <f>_xlfn.CONCAT(tabE.Flux[[#This Row],[DATA]],"+",tabE.Flux[[#This Row],[MOTORISTA + MATRÍCULA B]])</f>
        <v>+</v>
      </c>
      <c r="E1411" s="1" t="str">
        <f>_xlfn.CONCAT(tabE.Flux[[#This Row],[DATA]],"+",tabE.Flux[[#This Row],[MOTORISTA + MATRÍCULA A]],"+",tabE.Flux[[#This Row],[LINHA]])</f>
        <v>++</v>
      </c>
      <c r="F1411" s="1" t="str">
        <f>_xlfn.CONCAT(tabE.Flux[[#This Row],[DATA]],"+",tabE.Flux[[#This Row],[MOTORISTA + MATRÍCULA B]],"+",tabE.Flux[[#This Row],[LINHA]])</f>
        <v>++</v>
      </c>
      <c r="G1411" s="1" t="str">
        <f>_xlfn.CONCAT(tabE.Flux[[#This Row],[DATA]],"+",tabE.Flux[[#This Row],[LINHA]])</f>
        <v>+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</row>
    <row r="1412" spans="3:17" x14ac:dyDescent="0.25">
      <c r="C1412" s="1" t="str">
        <f>_xlfn.CONCAT(tabE.Flux[[#This Row],[DATA]],"+",tabE.Flux[[#This Row],[MOTORISTA + MATRÍCULA A]])</f>
        <v>45948+GENIVAL MIRANDA LEITE - 1953</v>
      </c>
      <c r="D1412" s="1" t="str">
        <f>_xlfn.CONCAT(tabE.Flux[[#This Row],[DATA]],"+",tabE.Flux[[#This Row],[MOTORISTA + MATRÍCULA B]])</f>
        <v>45948+JOAO BATISTA DA SILVA - 1823</v>
      </c>
      <c r="E1412" s="1" t="str">
        <f>_xlfn.CONCAT(tabE.Flux[[#This Row],[DATA]],"+",tabE.Flux[[#This Row],[MOTORISTA + MATRÍCULA A]],"+",tabE.Flux[[#This Row],[LINHA]])</f>
        <v>45948+GENIVAL MIRANDA LEITE - 1953+GOIANIA (GO) X BELEM (PA)</v>
      </c>
      <c r="F1412" s="1" t="str">
        <f>_xlfn.CONCAT(tabE.Flux[[#This Row],[DATA]],"+",tabE.Flux[[#This Row],[MOTORISTA + MATRÍCULA B]],"+",tabE.Flux[[#This Row],[LINHA]])</f>
        <v>45948+JOAO BATISTA DA SILVA - 1823+GOIANIA (GO) X BELEM (PA)</v>
      </c>
      <c r="G1412" s="1" t="str">
        <f>_xlfn.CONCAT(tabE.Flux[[#This Row],[DATA]],"+",tabE.Flux[[#This Row],[LINHA]])</f>
        <v>45948+GOIANIA (GO) X BELEM (PA)</v>
      </c>
      <c r="H1412" s="125">
        <v>45948</v>
      </c>
      <c r="I1412" s="1" t="s">
        <v>15</v>
      </c>
      <c r="J1412" s="1">
        <v>25005</v>
      </c>
      <c r="K1412" s="126">
        <v>0.25486111111111109</v>
      </c>
      <c r="L1412" s="126">
        <v>0.3</v>
      </c>
      <c r="M1412" s="1" t="s">
        <v>16</v>
      </c>
      <c r="N1412" s="1" t="s">
        <v>17</v>
      </c>
      <c r="O1412" s="1" t="s">
        <v>252</v>
      </c>
      <c r="P1412" s="1" t="s">
        <v>253</v>
      </c>
      <c r="Q1412" s="1" t="s">
        <v>20</v>
      </c>
    </row>
    <row r="1413" spans="3:17" x14ac:dyDescent="0.25">
      <c r="C1413" s="1" t="str">
        <f>_xlfn.CONCAT(tabE.Flux[[#This Row],[DATA]],"+",tabE.Flux[[#This Row],[MOTORISTA + MATRÍCULA A]])</f>
        <v>45948+  EDUARDO SANTOS BEZERRA- 4066</v>
      </c>
      <c r="D1413" s="1" t="str">
        <f>_xlfn.CONCAT(tabE.Flux[[#This Row],[DATA]],"+",tabE.Flux[[#This Row],[MOTORISTA + MATRÍCULA B]])</f>
        <v>45948+JEFFERSON CARDOSO DOS SANTOS - 5837</v>
      </c>
      <c r="E1413" s="1" t="str">
        <f>_xlfn.CONCAT(tabE.Flux[[#This Row],[DATA]],"+",tabE.Flux[[#This Row],[MOTORISTA + MATRÍCULA A]],"+",tabE.Flux[[#This Row],[LINHA]])</f>
        <v>45948+  EDUARDO SANTOS BEZERRA- 4066+GOIANIA (GO) X SAO LUIS (MA)</v>
      </c>
      <c r="F1413" s="1" t="str">
        <f>_xlfn.CONCAT(tabE.Flux[[#This Row],[DATA]],"+",tabE.Flux[[#This Row],[MOTORISTA + MATRÍCULA B]],"+",tabE.Flux[[#This Row],[LINHA]])</f>
        <v>45948+JEFFERSON CARDOSO DOS SANTOS - 5837+GOIANIA (GO) X SAO LUIS (MA)</v>
      </c>
      <c r="G1413" s="1" t="str">
        <f>_xlfn.CONCAT(tabE.Flux[[#This Row],[DATA]],"+",tabE.Flux[[#This Row],[LINHA]])</f>
        <v>45948+GOIANIA (GO) X SAO LUIS (MA)</v>
      </c>
      <c r="H1413" s="125">
        <v>45948</v>
      </c>
      <c r="I1413" s="1" t="s">
        <v>15</v>
      </c>
      <c r="J1413" s="1">
        <v>24004</v>
      </c>
      <c r="K1413" s="126">
        <v>0.32291666666666669</v>
      </c>
      <c r="L1413" s="126">
        <v>0.33333333333333331</v>
      </c>
      <c r="M1413" s="1" t="s">
        <v>16</v>
      </c>
      <c r="N1413" s="1" t="s">
        <v>17</v>
      </c>
      <c r="O1413" s="1" t="s">
        <v>268</v>
      </c>
      <c r="P1413" s="1" t="s">
        <v>30</v>
      </c>
      <c r="Q1413" s="1" t="s">
        <v>23</v>
      </c>
    </row>
    <row r="1414" spans="3:17" x14ac:dyDescent="0.25">
      <c r="C1414" s="1" t="str">
        <f>_xlfn.CONCAT(tabE.Flux[[#This Row],[DATA]],"+",tabE.Flux[[#This Row],[MOTORISTA + MATRÍCULA A]])</f>
        <v>45948+RAIMUNDO GUIMARAES ARAUJO - 1920</v>
      </c>
      <c r="D1414" s="1" t="str">
        <f>_xlfn.CONCAT(tabE.Flux[[#This Row],[DATA]],"+",tabE.Flux[[#This Row],[MOTORISTA + MATRÍCULA B]])</f>
        <v>45948+ANTONIO MARQUES NETO DOS SANTOS - 1738</v>
      </c>
      <c r="E1414" s="1" t="str">
        <f>_xlfn.CONCAT(tabE.Flux[[#This Row],[DATA]],"+",tabE.Flux[[#This Row],[MOTORISTA + MATRÍCULA A]],"+",tabE.Flux[[#This Row],[LINHA]])</f>
        <v>45948+RAIMUNDO GUIMARAES ARAUJO - 1920+GOIANIA (GO) X TERESINA (PI) VIA STI</v>
      </c>
      <c r="F1414" s="1" t="str">
        <f>_xlfn.CONCAT(tabE.Flux[[#This Row],[DATA]],"+",tabE.Flux[[#This Row],[MOTORISTA + MATRÍCULA B]],"+",tabE.Flux[[#This Row],[LINHA]])</f>
        <v>45948+ANTONIO MARQUES NETO DOS SANTOS - 1738+GOIANIA (GO) X TERESINA (PI) VIA STI</v>
      </c>
      <c r="G1414" s="1" t="str">
        <f>_xlfn.CONCAT(tabE.Flux[[#This Row],[DATA]],"+",tabE.Flux[[#This Row],[LINHA]])</f>
        <v>45948+GOIANIA (GO) X TERESINA (PI) VIA STI</v>
      </c>
      <c r="H1414" s="125">
        <v>45948</v>
      </c>
      <c r="I1414" s="1" t="s">
        <v>15</v>
      </c>
      <c r="J1414" s="1">
        <v>19025</v>
      </c>
      <c r="K1414" s="126">
        <v>0.3888888888888889</v>
      </c>
      <c r="L1414" s="126">
        <v>0.39583333333333331</v>
      </c>
      <c r="M1414" s="1" t="s">
        <v>16</v>
      </c>
      <c r="N1414" s="1" t="s">
        <v>17</v>
      </c>
      <c r="O1414" s="1" t="s">
        <v>231</v>
      </c>
      <c r="P1414" s="1" t="s">
        <v>73</v>
      </c>
      <c r="Q1414" s="1" t="s">
        <v>26</v>
      </c>
    </row>
    <row r="1415" spans="3:17" x14ac:dyDescent="0.25">
      <c r="C1415" s="1" t="str">
        <f>_xlfn.CONCAT(tabE.Flux[[#This Row],[DATA]],"+",tabE.Flux[[#This Row],[MOTORISTA + MATRÍCULA A]])</f>
        <v>45948+CANCELADO</v>
      </c>
      <c r="D1415" s="1" t="str">
        <f>_xlfn.CONCAT(tabE.Flux[[#This Row],[DATA]],"+",tabE.Flux[[#This Row],[MOTORISTA + MATRÍCULA B]])</f>
        <v>45948+CANCELADO</v>
      </c>
      <c r="E1415" s="1" t="str">
        <f>_xlfn.CONCAT(tabE.Flux[[#This Row],[DATA]],"+",tabE.Flux[[#This Row],[MOTORISTA + MATRÍCULA A]],"+",tabE.Flux[[#This Row],[LINHA]])</f>
        <v>45948+CANCELADO+</v>
      </c>
      <c r="F1415" s="1" t="str">
        <f>_xlfn.CONCAT(tabE.Flux[[#This Row],[DATA]],"+",tabE.Flux[[#This Row],[MOTORISTA + MATRÍCULA B]],"+",tabE.Flux[[#This Row],[LINHA]])</f>
        <v>45948+CANCELADO+</v>
      </c>
      <c r="G1415" s="1" t="str">
        <f>_xlfn.CONCAT(tabE.Flux[[#This Row],[DATA]],"+",tabE.Flux[[#This Row],[LINHA]])</f>
        <v>45948+</v>
      </c>
      <c r="H1415" s="125">
        <v>45948</v>
      </c>
      <c r="I1415" s="1" t="s">
        <v>15</v>
      </c>
      <c r="J1415" s="1" t="s">
        <v>27</v>
      </c>
      <c r="K1415" s="126">
        <v>0.375</v>
      </c>
      <c r="L1415" s="126">
        <v>0.41666666666666669</v>
      </c>
      <c r="M1415" s="1" t="s">
        <v>16</v>
      </c>
      <c r="N1415" s="1" t="s">
        <v>28</v>
      </c>
      <c r="O1415" s="1" t="s">
        <v>27</v>
      </c>
      <c r="P1415" s="1" t="s">
        <v>27</v>
      </c>
      <c r="Q1415" s="1"/>
    </row>
    <row r="1416" spans="3:17" x14ac:dyDescent="0.25">
      <c r="C1416" s="1" t="str">
        <f>_xlfn.CONCAT(tabE.Flux[[#This Row],[DATA]],"+",tabE.Flux[[#This Row],[MOTORISTA + MATRÍCULA A]])</f>
        <v>45948+JARDEL DE SOUSA OLIVEIRA - 5992</v>
      </c>
      <c r="D1416" s="1" t="str">
        <f>_xlfn.CONCAT(tabE.Flux[[#This Row],[DATA]],"+",tabE.Flux[[#This Row],[MOTORISTA + MATRÍCULA B]])</f>
        <v>45948+EDIMILSON LUIS FRANÇA - 5442</v>
      </c>
      <c r="E1416" s="1" t="str">
        <f>_xlfn.CONCAT(tabE.Flux[[#This Row],[DATA]],"+",tabE.Flux[[#This Row],[MOTORISTA + MATRÍCULA A]],"+",tabE.Flux[[#This Row],[LINHA]])</f>
        <v>45948+JARDEL DE SOUSA OLIVEIRA - 5992+FORTALEZA (CE) X SINOP (MT)</v>
      </c>
      <c r="F1416" s="1" t="str">
        <f>_xlfn.CONCAT(tabE.Flux[[#This Row],[DATA]],"+",tabE.Flux[[#This Row],[MOTORISTA + MATRÍCULA B]],"+",tabE.Flux[[#This Row],[LINHA]])</f>
        <v>45948+EDIMILSON LUIS FRANÇA - 5442+FORTALEZA (CE) X SINOP (MT)</v>
      </c>
      <c r="G1416" s="1" t="str">
        <f>_xlfn.CONCAT(tabE.Flux[[#This Row],[DATA]],"+",tabE.Flux[[#This Row],[LINHA]])</f>
        <v>45948+FORTALEZA (CE) X SINOP (MT)</v>
      </c>
      <c r="H1416" s="125">
        <v>45948</v>
      </c>
      <c r="I1416" s="1" t="s">
        <v>15</v>
      </c>
      <c r="J1416" s="1">
        <v>19024</v>
      </c>
      <c r="K1416" s="126">
        <v>0.3888888888888889</v>
      </c>
      <c r="L1416" s="126">
        <v>0.37708333333333333</v>
      </c>
      <c r="M1416" s="1" t="s">
        <v>16</v>
      </c>
      <c r="N1416" s="1" t="s">
        <v>29</v>
      </c>
      <c r="O1416" s="1" t="s">
        <v>150</v>
      </c>
      <c r="P1416" s="1" t="s">
        <v>89</v>
      </c>
      <c r="Q1416" s="1" t="s">
        <v>32</v>
      </c>
    </row>
    <row r="1417" spans="3:17" x14ac:dyDescent="0.25">
      <c r="C1417" s="1" t="str">
        <f>_xlfn.CONCAT(tabE.Flux[[#This Row],[DATA]],"+",tabE.Flux[[#This Row],[MOTORISTA + MATRÍCULA A]])</f>
        <v>45948+MARCOS ATAIDE SILVA - 1352</v>
      </c>
      <c r="D1417" s="1" t="str">
        <f>_xlfn.CONCAT(tabE.Flux[[#This Row],[DATA]],"+",tabE.Flux[[#This Row],[MOTORISTA + MATRÍCULA B]])</f>
        <v>45948+WESLEY SILVA PAIVA - 5638</v>
      </c>
      <c r="E1417" s="1" t="str">
        <f>_xlfn.CONCAT(tabE.Flux[[#This Row],[DATA]],"+",tabE.Flux[[#This Row],[MOTORISTA + MATRÍCULA A]],"+",tabE.Flux[[#This Row],[LINHA]])</f>
        <v>45948+MARCOS ATAIDE SILVA - 1352+GOIANIA (GO) X BELEM (PA)</v>
      </c>
      <c r="F1417" s="1" t="str">
        <f>_xlfn.CONCAT(tabE.Flux[[#This Row],[DATA]],"+",tabE.Flux[[#This Row],[MOTORISTA + MATRÍCULA B]],"+",tabE.Flux[[#This Row],[LINHA]])</f>
        <v>45948+WESLEY SILVA PAIVA - 5638+GOIANIA (GO) X BELEM (PA)</v>
      </c>
      <c r="G1417" s="1" t="str">
        <f>_xlfn.CONCAT(tabE.Flux[[#This Row],[DATA]],"+",tabE.Flux[[#This Row],[LINHA]])</f>
        <v>45948+GOIANIA (GO) X BELEM (PA)</v>
      </c>
      <c r="H1417" s="125">
        <v>45948</v>
      </c>
      <c r="I1417" s="1" t="s">
        <v>15</v>
      </c>
      <c r="J1417" s="1">
        <v>19011</v>
      </c>
      <c r="K1417" s="126">
        <v>0.38958333333333334</v>
      </c>
      <c r="L1417" s="126">
        <v>0.38541666666666669</v>
      </c>
      <c r="M1417" s="1" t="s">
        <v>16</v>
      </c>
      <c r="N1417" s="1" t="s">
        <v>33</v>
      </c>
      <c r="O1417" s="1" t="s">
        <v>113</v>
      </c>
      <c r="P1417" s="1" t="s">
        <v>112</v>
      </c>
      <c r="Q1417" s="1" t="s">
        <v>20</v>
      </c>
    </row>
    <row r="1418" spans="3:17" x14ac:dyDescent="0.25">
      <c r="C1418" s="1" t="str">
        <f>_xlfn.CONCAT(tabE.Flux[[#This Row],[DATA]],"+",tabE.Flux[[#This Row],[MOTORISTA + MATRÍCULA A]])</f>
        <v>45948+JWEBISON DE BRITO SOUZA - 2999</v>
      </c>
      <c r="D1418" s="1" t="str">
        <f>_xlfn.CONCAT(tabE.Flux[[#This Row],[DATA]],"+",tabE.Flux[[#This Row],[MOTORISTA + MATRÍCULA B]])</f>
        <v>45948+ANTONIO  SOBRINHO DE OLIVEIRA - 5646</v>
      </c>
      <c r="E1418" s="1" t="str">
        <f>_xlfn.CONCAT(tabE.Flux[[#This Row],[DATA]],"+",tabE.Flux[[#This Row],[MOTORISTA + MATRÍCULA A]],"+",tabE.Flux[[#This Row],[LINHA]])</f>
        <v>45948+JWEBISON DE BRITO SOUZA - 2999+GOIANIA (GO) X TERESINA (PI) VIA BC</v>
      </c>
      <c r="F1418" s="1" t="str">
        <f>_xlfn.CONCAT(tabE.Flux[[#This Row],[DATA]],"+",tabE.Flux[[#This Row],[MOTORISTA + MATRÍCULA B]],"+",tabE.Flux[[#This Row],[LINHA]])</f>
        <v>45948+ANTONIO  SOBRINHO DE OLIVEIRA - 5646+GOIANIA (GO) X TERESINA (PI) VIA BC</v>
      </c>
      <c r="G1418" s="1" t="str">
        <f>_xlfn.CONCAT(tabE.Flux[[#This Row],[DATA]],"+",tabE.Flux[[#This Row],[LINHA]])</f>
        <v>45948+GOIANIA (GO) X TERESINA (PI) VIA BC</v>
      </c>
      <c r="H1418" s="125">
        <v>45948</v>
      </c>
      <c r="I1418" s="1" t="s">
        <v>15</v>
      </c>
      <c r="J1418" s="1">
        <v>24009</v>
      </c>
      <c r="K1418" s="126">
        <v>0.375</v>
      </c>
      <c r="L1418" s="126">
        <v>0.39930555555555558</v>
      </c>
      <c r="M1418" s="1" t="s">
        <v>36</v>
      </c>
      <c r="N1418" s="1" t="s">
        <v>29</v>
      </c>
      <c r="O1418" s="1" t="s">
        <v>77</v>
      </c>
      <c r="P1418" s="1" t="s">
        <v>74</v>
      </c>
      <c r="Q1418" s="1" t="s">
        <v>39</v>
      </c>
    </row>
    <row r="1419" spans="3:17" x14ac:dyDescent="0.25">
      <c r="C1419" s="1" t="str">
        <f>_xlfn.CONCAT(tabE.Flux[[#This Row],[DATA]],"+",tabE.Flux[[#This Row],[MOTORISTA + MATRÍCULA A]])</f>
        <v>45948+AELSON PEREIRA DO NASCIMENTO - 5682</v>
      </c>
      <c r="D1419" s="1" t="str">
        <f>_xlfn.CONCAT(tabE.Flux[[#This Row],[DATA]],"+",tabE.Flux[[#This Row],[MOTORISTA + MATRÍCULA B]])</f>
        <v>45948+ANTONIO MARCIO DE SENA RIBEIRO CHAVES - 5061</v>
      </c>
      <c r="E1419" s="1" t="str">
        <f>_xlfn.CONCAT(tabE.Flux[[#This Row],[DATA]],"+",tabE.Flux[[#This Row],[MOTORISTA + MATRÍCULA A]],"+",tabE.Flux[[#This Row],[LINHA]])</f>
        <v>45948+AELSON PEREIRA DO NASCIMENTO - 5682+GOIANIA (GO) X BELEM (PA)</v>
      </c>
      <c r="F1419" s="1" t="str">
        <f>_xlfn.CONCAT(tabE.Flux[[#This Row],[DATA]],"+",tabE.Flux[[#This Row],[MOTORISTA + MATRÍCULA B]],"+",tabE.Flux[[#This Row],[LINHA]])</f>
        <v>45948+ANTONIO MARCIO DE SENA RIBEIRO CHAVES - 5061+GOIANIA (GO) X BELEM (PA)</v>
      </c>
      <c r="G1419" s="1" t="str">
        <f>_xlfn.CONCAT(tabE.Flux[[#This Row],[DATA]],"+",tabE.Flux[[#This Row],[LINHA]])</f>
        <v>45948+GOIANIA (GO) X BELEM (PA)</v>
      </c>
      <c r="H1419" s="125">
        <v>45948</v>
      </c>
      <c r="I1419" s="1" t="s">
        <v>15</v>
      </c>
      <c r="J1419" s="1">
        <v>19020</v>
      </c>
      <c r="K1419" s="126">
        <v>0.375</v>
      </c>
      <c r="L1419" s="126">
        <v>0.41666666666666669</v>
      </c>
      <c r="M1419" s="1" t="s">
        <v>33</v>
      </c>
      <c r="N1419" s="1" t="s">
        <v>16</v>
      </c>
      <c r="O1419" s="1" t="s">
        <v>88</v>
      </c>
      <c r="P1419" s="1" t="s">
        <v>235</v>
      </c>
      <c r="Q1419" s="1" t="s">
        <v>20</v>
      </c>
    </row>
    <row r="1420" spans="3:17" x14ac:dyDescent="0.25">
      <c r="C1420" s="1" t="str">
        <f>_xlfn.CONCAT(tabE.Flux[[#This Row],[DATA]],"+",tabE.Flux[[#This Row],[MOTORISTA + MATRÍCULA A]])</f>
        <v>45948+EDIVALDO DE ARAUJO - 6217</v>
      </c>
      <c r="D1420" s="1" t="str">
        <f>_xlfn.CONCAT(tabE.Flux[[#This Row],[DATA]],"+",tabE.Flux[[#This Row],[MOTORISTA + MATRÍCULA B]])</f>
        <v>45948+JOSE ALVES DE FREITAS NETO - 5027</v>
      </c>
      <c r="E1420" s="1" t="str">
        <f>_xlfn.CONCAT(tabE.Flux[[#This Row],[DATA]],"+",tabE.Flux[[#This Row],[MOTORISTA + MATRÍCULA A]],"+",tabE.Flux[[#This Row],[LINHA]])</f>
        <v>45948+EDIVALDO DE ARAUJO - 6217+GOIANIA (GO) X SAO LUIS (MA)</v>
      </c>
      <c r="F1420" s="1" t="str">
        <f>_xlfn.CONCAT(tabE.Flux[[#This Row],[DATA]],"+",tabE.Flux[[#This Row],[MOTORISTA + MATRÍCULA B]],"+",tabE.Flux[[#This Row],[LINHA]])</f>
        <v>45948+JOSE ALVES DE FREITAS NETO - 5027+GOIANIA (GO) X SAO LUIS (MA)</v>
      </c>
      <c r="G1420" s="1" t="str">
        <f>_xlfn.CONCAT(tabE.Flux[[#This Row],[DATA]],"+",tabE.Flux[[#This Row],[LINHA]])</f>
        <v>45948+GOIANIA (GO) X SAO LUIS (MA)</v>
      </c>
      <c r="H1420" s="125">
        <v>45948</v>
      </c>
      <c r="I1420" s="1" t="s">
        <v>15</v>
      </c>
      <c r="J1420" s="1">
        <v>19016</v>
      </c>
      <c r="K1420" s="126">
        <v>0.25</v>
      </c>
      <c r="L1420" s="126">
        <v>0.29166666666666669</v>
      </c>
      <c r="M1420" s="1" t="s">
        <v>42</v>
      </c>
      <c r="N1420" s="1" t="s">
        <v>16</v>
      </c>
      <c r="O1420" s="1" t="s">
        <v>55</v>
      </c>
      <c r="P1420" s="1" t="s">
        <v>90</v>
      </c>
      <c r="Q1420" s="1" t="s">
        <v>23</v>
      </c>
    </row>
    <row r="1421" spans="3:17" x14ac:dyDescent="0.25">
      <c r="C1421" s="1" t="str">
        <f>_xlfn.CONCAT(tabE.Flux[[#This Row],[DATA]],"+",tabE.Flux[[#This Row],[MOTORISTA + MATRÍCULA A]])</f>
        <v>45948+LAUCEANDO DA SILVA ROCHA - 6220</v>
      </c>
      <c r="D1421" s="1" t="str">
        <f>_xlfn.CONCAT(tabE.Flux[[#This Row],[DATA]],"+",tabE.Flux[[#This Row],[MOTORISTA + MATRÍCULA B]])</f>
        <v>45948+ADEMILTON DE OLIVEIRA SILVA - 5559</v>
      </c>
      <c r="E1421" s="1" t="str">
        <f>_xlfn.CONCAT(tabE.Flux[[#This Row],[DATA]],"+",tabE.Flux[[#This Row],[MOTORISTA + MATRÍCULA A]],"+",tabE.Flux[[#This Row],[LINHA]])</f>
        <v>45948+LAUCEANDO DA SILVA ROCHA - 6220+GOIANIA (GO) X SAO LUIS (MA)</v>
      </c>
      <c r="F1421" s="1" t="str">
        <f>_xlfn.CONCAT(tabE.Flux[[#This Row],[DATA]],"+",tabE.Flux[[#This Row],[MOTORISTA + MATRÍCULA B]],"+",tabE.Flux[[#This Row],[LINHA]])</f>
        <v>45948+ADEMILTON DE OLIVEIRA SILVA - 5559+GOIANIA (GO) X SAO LUIS (MA)</v>
      </c>
      <c r="G1421" s="1" t="str">
        <f>_xlfn.CONCAT(tabE.Flux[[#This Row],[DATA]],"+",tabE.Flux[[#This Row],[LINHA]])</f>
        <v>45948+GOIANIA (GO) X SAO LUIS (MA)</v>
      </c>
      <c r="H1421" s="125">
        <v>45948</v>
      </c>
      <c r="I1421" s="1" t="s">
        <v>15</v>
      </c>
      <c r="J1421" s="1">
        <v>24014</v>
      </c>
      <c r="K1421" s="126">
        <v>0.75</v>
      </c>
      <c r="L1421" s="126">
        <v>0.79166666666666663</v>
      </c>
      <c r="M1421" s="1" t="s">
        <v>42</v>
      </c>
      <c r="N1421" s="1" t="s">
        <v>16</v>
      </c>
      <c r="O1421" s="1" t="s">
        <v>86</v>
      </c>
      <c r="P1421" s="1" t="s">
        <v>40</v>
      </c>
      <c r="Q1421" s="1" t="s">
        <v>23</v>
      </c>
    </row>
    <row r="1422" spans="3:17" x14ac:dyDescent="0.25">
      <c r="C1422" s="1" t="str">
        <f>_xlfn.CONCAT(tabE.Flux[[#This Row],[DATA]],"+",tabE.Flux[[#This Row],[MOTORISTA + MATRÍCULA A]])</f>
        <v>45948+CANCELADO</v>
      </c>
      <c r="D1422" s="1" t="str">
        <f>_xlfn.CONCAT(tabE.Flux[[#This Row],[DATA]],"+",tabE.Flux[[#This Row],[MOTORISTA + MATRÍCULA B]])</f>
        <v>45948+CANCELADO</v>
      </c>
      <c r="E1422" s="1" t="str">
        <f>_xlfn.CONCAT(tabE.Flux[[#This Row],[DATA]],"+",tabE.Flux[[#This Row],[MOTORISTA + MATRÍCULA A]],"+",tabE.Flux[[#This Row],[LINHA]])</f>
        <v>45948+CANCELADO+IMPERATRIZ (MA) X SÃO LUIS (MA)</v>
      </c>
      <c r="F1422" s="1" t="str">
        <f>_xlfn.CONCAT(tabE.Flux[[#This Row],[DATA]],"+",tabE.Flux[[#This Row],[MOTORISTA + MATRÍCULA B]],"+",tabE.Flux[[#This Row],[LINHA]])</f>
        <v>45948+CANCELADO+IMPERATRIZ (MA) X SÃO LUIS (MA)</v>
      </c>
      <c r="G1422" s="1" t="str">
        <f>_xlfn.CONCAT(tabE.Flux[[#This Row],[DATA]],"+",tabE.Flux[[#This Row],[LINHA]])</f>
        <v>45948+IMPERATRIZ (MA) X SÃO LUIS (MA)</v>
      </c>
      <c r="H1422" s="125">
        <v>45948</v>
      </c>
      <c r="I1422" s="1" t="s">
        <v>15</v>
      </c>
      <c r="J1422" s="1" t="s">
        <v>27</v>
      </c>
      <c r="K1422" s="126">
        <v>0.77083333333333337</v>
      </c>
      <c r="L1422" s="126">
        <v>0.79513888888888884</v>
      </c>
      <c r="M1422" s="1" t="s">
        <v>42</v>
      </c>
      <c r="N1422" s="1" t="s">
        <v>16</v>
      </c>
      <c r="O1422" s="1" t="s">
        <v>27</v>
      </c>
      <c r="P1422" s="1" t="s">
        <v>27</v>
      </c>
      <c r="Q1422" s="1" t="s">
        <v>47</v>
      </c>
    </row>
    <row r="1423" spans="3:17" x14ac:dyDescent="0.25">
      <c r="C1423" s="1" t="str">
        <f>_xlfn.CONCAT(tabE.Flux[[#This Row],[DATA]],"+",tabE.Flux[[#This Row],[MOTORISTA + MATRÍCULA A]])</f>
        <v>45948+AILTON LEITE ORTIZ DE CAMARGO - 1642</v>
      </c>
      <c r="D1423" s="1" t="str">
        <f>_xlfn.CONCAT(tabE.Flux[[#This Row],[DATA]],"+",tabE.Flux[[#This Row],[MOTORISTA + MATRÍCULA B]])</f>
        <v>45948+ALCENILDE BARBOSA ARAUJO - 1745</v>
      </c>
      <c r="E1423" s="1" t="str">
        <f>_xlfn.CONCAT(tabE.Flux[[#This Row],[DATA]],"+",tabE.Flux[[#This Row],[MOTORISTA + MATRÍCULA A]],"+",tabE.Flux[[#This Row],[LINHA]])</f>
        <v>45948+AILTON LEITE ORTIZ DE CAMARGO - 1642+GOIANIA (GO) X TERESINA (PI) VIA BC</v>
      </c>
      <c r="F1423" s="1" t="str">
        <f>_xlfn.CONCAT(tabE.Flux[[#This Row],[DATA]],"+",tabE.Flux[[#This Row],[MOTORISTA + MATRÍCULA B]],"+",tabE.Flux[[#This Row],[LINHA]])</f>
        <v>45948+ALCENILDE BARBOSA ARAUJO - 1745+GOIANIA (GO) X TERESINA (PI) VIA BC</v>
      </c>
      <c r="G1423" s="1" t="str">
        <f>_xlfn.CONCAT(tabE.Flux[[#This Row],[DATA]],"+",tabE.Flux[[#This Row],[LINHA]])</f>
        <v>45948+GOIANIA (GO) X TERESINA (PI) VIA BC</v>
      </c>
      <c r="H1423" s="125">
        <v>45948</v>
      </c>
      <c r="I1423" s="1" t="s">
        <v>15</v>
      </c>
      <c r="J1423" s="1">
        <v>25010</v>
      </c>
      <c r="K1423" s="126">
        <v>0.89583333333333337</v>
      </c>
      <c r="L1423" s="126">
        <v>0.91666666666666663</v>
      </c>
      <c r="M1423" s="1" t="s">
        <v>36</v>
      </c>
      <c r="N1423" s="1" t="s">
        <v>17</v>
      </c>
      <c r="O1423" s="1" t="s">
        <v>136</v>
      </c>
      <c r="P1423" s="1" t="s">
        <v>137</v>
      </c>
      <c r="Q1423" s="1" t="s">
        <v>39</v>
      </c>
    </row>
    <row r="1424" spans="3:17" x14ac:dyDescent="0.25">
      <c r="C1424" s="1" t="str">
        <f>_xlfn.CONCAT(tabE.Flux[[#This Row],[DATA]],"+",tabE.Flux[[#This Row],[MOTORISTA + MATRÍCULA A]])</f>
        <v>45948+NILSON CORTEZ MIRANDA - 5636</v>
      </c>
      <c r="D1424" s="1" t="str">
        <f>_xlfn.CONCAT(tabE.Flux[[#This Row],[DATA]],"+",tabE.Flux[[#This Row],[MOTORISTA + MATRÍCULA B]])</f>
        <v>45948+JOSE ALVES DA ROCHA - 5035</v>
      </c>
      <c r="E1424" s="1" t="str">
        <f>_xlfn.CONCAT(tabE.Flux[[#This Row],[DATA]],"+",tabE.Flux[[#This Row],[MOTORISTA + MATRÍCULA A]],"+",tabE.Flux[[#This Row],[LINHA]])</f>
        <v>45948+NILSON CORTEZ MIRANDA - 5636+GOIANIA (GO) X BELEM (PA)</v>
      </c>
      <c r="F1424" s="1" t="str">
        <f>_xlfn.CONCAT(tabE.Flux[[#This Row],[DATA]],"+",tabE.Flux[[#This Row],[MOTORISTA + MATRÍCULA B]],"+",tabE.Flux[[#This Row],[LINHA]])</f>
        <v>45948+JOSE ALVES DA ROCHA - 5035+GOIANIA (GO) X BELEM (PA)</v>
      </c>
      <c r="G1424" s="1" t="str">
        <f>_xlfn.CONCAT(tabE.Flux[[#This Row],[DATA]],"+",tabE.Flux[[#This Row],[LINHA]])</f>
        <v>45948+GOIANIA (GO) X BELEM (PA)</v>
      </c>
      <c r="H1424" s="125">
        <v>45948</v>
      </c>
      <c r="I1424" s="1" t="s">
        <v>15</v>
      </c>
      <c r="J1424" s="1">
        <v>24013</v>
      </c>
      <c r="K1424" s="126">
        <v>0.76041666666666663</v>
      </c>
      <c r="L1424" s="126">
        <v>0.77083333333333337</v>
      </c>
      <c r="M1424" s="1" t="s">
        <v>33</v>
      </c>
      <c r="N1424" s="1" t="s">
        <v>16</v>
      </c>
      <c r="O1424" s="1" t="s">
        <v>75</v>
      </c>
      <c r="P1424" s="1" t="s">
        <v>91</v>
      </c>
      <c r="Q1424" s="1" t="s">
        <v>20</v>
      </c>
    </row>
    <row r="1425" spans="3:17" x14ac:dyDescent="0.25">
      <c r="C1425" s="1" t="str">
        <f>_xlfn.CONCAT(tabE.Flux[[#This Row],[DATA]],"+",tabE.Flux[[#This Row],[MOTORISTA + MATRÍCULA A]])</f>
        <v>45948+JAKTAN DE OLIVEIRA RODRIGUES - 5836</v>
      </c>
      <c r="D1425" s="1" t="str">
        <f>_xlfn.CONCAT(tabE.Flux[[#This Row],[DATA]],"+",tabE.Flux[[#This Row],[MOTORISTA + MATRÍCULA B]])</f>
        <v>45948+ELIEZIO JOSE DOS SANTOS - 2645</v>
      </c>
      <c r="E1425" s="1" t="str">
        <f>_xlfn.CONCAT(tabE.Flux[[#This Row],[DATA]],"+",tabE.Flux[[#This Row],[MOTORISTA + MATRÍCULA A]],"+",tabE.Flux[[#This Row],[LINHA]])</f>
        <v>45948+JAKTAN DE OLIVEIRA RODRIGUES - 5836+GOIANIA (GO) X BELEM (PA)</v>
      </c>
      <c r="F1425" s="1" t="str">
        <f>_xlfn.CONCAT(tabE.Flux[[#This Row],[DATA]],"+",tabE.Flux[[#This Row],[MOTORISTA + MATRÍCULA B]],"+",tabE.Flux[[#This Row],[LINHA]])</f>
        <v>45948+ELIEZIO JOSE DOS SANTOS - 2645+GOIANIA (GO) X BELEM (PA)</v>
      </c>
      <c r="G1425" s="1" t="str">
        <f>_xlfn.CONCAT(tabE.Flux[[#This Row],[DATA]],"+",tabE.Flux[[#This Row],[LINHA]])</f>
        <v>45948+GOIANIA (GO) X BELEM (PA)</v>
      </c>
      <c r="H1425" s="125">
        <v>45948</v>
      </c>
      <c r="I1425" s="1" t="s">
        <v>15</v>
      </c>
      <c r="J1425" s="1">
        <v>25011</v>
      </c>
      <c r="K1425" s="126">
        <v>0.76041666666666663</v>
      </c>
      <c r="L1425" s="126">
        <v>0.82777777777777772</v>
      </c>
      <c r="M1425" s="1" t="s">
        <v>16</v>
      </c>
      <c r="N1425" s="1" t="s">
        <v>33</v>
      </c>
      <c r="O1425" s="1" t="s">
        <v>59</v>
      </c>
      <c r="P1425" s="1" t="s">
        <v>53</v>
      </c>
      <c r="Q1425" s="1" t="s">
        <v>20</v>
      </c>
    </row>
    <row r="1426" spans="3:17" x14ac:dyDescent="0.25">
      <c r="C1426" s="1" t="str">
        <f>_xlfn.CONCAT(tabE.Flux[[#This Row],[DATA]],"+",tabE.Flux[[#This Row],[MOTORISTA + MATRÍCULA A]])</f>
        <v>45948+RAINERIO COSTA MENDES - 5850</v>
      </c>
      <c r="D1426" s="1" t="str">
        <f>_xlfn.CONCAT(tabE.Flux[[#This Row],[DATA]],"+",tabE.Flux[[#This Row],[MOTORISTA + MATRÍCULA B]])</f>
        <v>45948+ALTEMAR DO NASCIMENTO LIMA - 6225</v>
      </c>
      <c r="E1426" s="1" t="str">
        <f>_xlfn.CONCAT(tabE.Flux[[#This Row],[DATA]],"+",tabE.Flux[[#This Row],[MOTORISTA + MATRÍCULA A]],"+",tabE.Flux[[#This Row],[LINHA]])</f>
        <v>45948+RAINERIO COSTA MENDES - 5850+GOIANIA (GO) X SAO LUIS (MA)</v>
      </c>
      <c r="F1426" s="1" t="str">
        <f>_xlfn.CONCAT(tabE.Flux[[#This Row],[DATA]],"+",tabE.Flux[[#This Row],[MOTORISTA + MATRÍCULA B]],"+",tabE.Flux[[#This Row],[LINHA]])</f>
        <v>45948+ALTEMAR DO NASCIMENTO LIMA - 6225+GOIANIA (GO) X SAO LUIS (MA)</v>
      </c>
      <c r="G1426" s="1" t="str">
        <f>_xlfn.CONCAT(tabE.Flux[[#This Row],[DATA]],"+",tabE.Flux[[#This Row],[LINHA]])</f>
        <v>45948+GOIANIA (GO) X SAO LUIS (MA)</v>
      </c>
      <c r="H1426" s="125">
        <v>45948</v>
      </c>
      <c r="I1426" s="1" t="s">
        <v>15</v>
      </c>
      <c r="J1426" s="1">
        <v>19006</v>
      </c>
      <c r="K1426" s="126">
        <v>0.40763888888888888</v>
      </c>
      <c r="L1426" s="126">
        <v>0.47013888888888888</v>
      </c>
      <c r="M1426" s="1" t="s">
        <v>16</v>
      </c>
      <c r="N1426" s="1" t="s">
        <v>42</v>
      </c>
      <c r="O1426" s="1" t="s">
        <v>108</v>
      </c>
      <c r="P1426" s="1" t="s">
        <v>57</v>
      </c>
      <c r="Q1426" s="1" t="s">
        <v>23</v>
      </c>
    </row>
    <row r="1427" spans="3:17" x14ac:dyDescent="0.25">
      <c r="C1427" s="1" t="str">
        <f>_xlfn.CONCAT(tabE.Flux[[#This Row],[DATA]],"+",tabE.Flux[[#This Row],[MOTORISTA + MATRÍCULA A]])</f>
        <v>45948+CANCELADO</v>
      </c>
      <c r="D1427" s="1" t="str">
        <f>_xlfn.CONCAT(tabE.Flux[[#This Row],[DATA]],"+",tabE.Flux[[#This Row],[MOTORISTA + MATRÍCULA B]])</f>
        <v>45948+CANCELADO</v>
      </c>
      <c r="E1427" s="1" t="str">
        <f>_xlfn.CONCAT(tabE.Flux[[#This Row],[DATA]],"+",tabE.Flux[[#This Row],[MOTORISTA + MATRÍCULA A]],"+",tabE.Flux[[#This Row],[LINHA]])</f>
        <v>45948+CANCELADO+IMPERATRIZ (MA) X SÃO LUIS (MA)</v>
      </c>
      <c r="F1427" s="1" t="str">
        <f>_xlfn.CONCAT(tabE.Flux[[#This Row],[DATA]],"+",tabE.Flux[[#This Row],[MOTORISTA + MATRÍCULA B]],"+",tabE.Flux[[#This Row],[LINHA]])</f>
        <v>45948+CANCELADO+IMPERATRIZ (MA) X SÃO LUIS (MA)</v>
      </c>
      <c r="G1427" s="1" t="str">
        <f>_xlfn.CONCAT(tabE.Flux[[#This Row],[DATA]],"+",tabE.Flux[[#This Row],[LINHA]])</f>
        <v>45948+IMPERATRIZ (MA) X SÃO LUIS (MA)</v>
      </c>
      <c r="H1427" s="125">
        <v>45948</v>
      </c>
      <c r="I1427" s="1" t="s">
        <v>15</v>
      </c>
      <c r="J1427" s="1" t="s">
        <v>27</v>
      </c>
      <c r="K1427" s="126">
        <v>0.77083333333333337</v>
      </c>
      <c r="L1427" s="126">
        <v>0.8125</v>
      </c>
      <c r="M1427" s="1" t="s">
        <v>16</v>
      </c>
      <c r="N1427" s="1" t="s">
        <v>42</v>
      </c>
      <c r="O1427" s="1" t="s">
        <v>27</v>
      </c>
      <c r="P1427" s="1" t="s">
        <v>27</v>
      </c>
      <c r="Q1427" s="1" t="s">
        <v>47</v>
      </c>
    </row>
    <row r="1428" spans="3:17" x14ac:dyDescent="0.25">
      <c r="C1428" s="1" t="str">
        <f>_xlfn.CONCAT(tabE.Flux[[#This Row],[DATA]],"+",tabE.Flux[[#This Row],[MOTORISTA + MATRÍCULA A]])</f>
        <v>45948+BERNARDO SOUZA LIMA - 1720</v>
      </c>
      <c r="D1428" s="1" t="str">
        <f>_xlfn.CONCAT(tabE.Flux[[#This Row],[DATA]],"+",tabE.Flux[[#This Row],[MOTORISTA + MATRÍCULA B]])</f>
        <v>45948+EDIVALDO DE ARAUJO - 6217</v>
      </c>
      <c r="E1428" s="1" t="str">
        <f>_xlfn.CONCAT(tabE.Flux[[#This Row],[DATA]],"+",tabE.Flux[[#This Row],[MOTORISTA + MATRÍCULA A]],"+",tabE.Flux[[#This Row],[LINHA]])</f>
        <v>45948+BERNARDO SOUZA LIMA - 1720+GOIANIA (GO) X SAO LUIS (MA)</v>
      </c>
      <c r="F1428" s="1" t="str">
        <f>_xlfn.CONCAT(tabE.Flux[[#This Row],[DATA]],"+",tabE.Flux[[#This Row],[MOTORISTA + MATRÍCULA B]],"+",tabE.Flux[[#This Row],[LINHA]])</f>
        <v>45948+EDIVALDO DE ARAUJO - 6217+GOIANIA (GO) X SAO LUIS (MA)</v>
      </c>
      <c r="G1428" s="1" t="str">
        <f>_xlfn.CONCAT(tabE.Flux[[#This Row],[DATA]],"+",tabE.Flux[[#This Row],[LINHA]])</f>
        <v>45948+GOIANIA (GO) X SAO LUIS (MA)</v>
      </c>
      <c r="H1428" s="125">
        <v>45948</v>
      </c>
      <c r="I1428" s="1" t="s">
        <v>15</v>
      </c>
      <c r="J1428" s="1">
        <v>24001</v>
      </c>
      <c r="K1428" s="126">
        <v>0.8125</v>
      </c>
      <c r="L1428" s="126">
        <v>0.84375</v>
      </c>
      <c r="M1428" s="1" t="s">
        <v>16</v>
      </c>
      <c r="N1428" s="1" t="s">
        <v>42</v>
      </c>
      <c r="O1428" s="1" t="s">
        <v>123</v>
      </c>
      <c r="P1428" s="1" t="s">
        <v>55</v>
      </c>
      <c r="Q1428" s="1" t="s">
        <v>23</v>
      </c>
    </row>
    <row r="1429" spans="3:17" x14ac:dyDescent="0.25">
      <c r="C1429" s="1" t="str">
        <f>_xlfn.CONCAT(tabE.Flux[[#This Row],[DATA]],"+",tabE.Flux[[#This Row],[MOTORISTA + MATRÍCULA A]])</f>
        <v>45948+ANTONIO RAMIRO WEBER - 5452</v>
      </c>
      <c r="D1429" s="1" t="str">
        <f>_xlfn.CONCAT(tabE.Flux[[#This Row],[DATA]],"+",tabE.Flux[[#This Row],[MOTORISTA + MATRÍCULA B]])</f>
        <v>45948+</v>
      </c>
      <c r="E1429" s="1" t="str">
        <f>_xlfn.CONCAT(tabE.Flux[[#This Row],[DATA]],"+",tabE.Flux[[#This Row],[MOTORISTA + MATRÍCULA A]],"+",tabE.Flux[[#This Row],[LINHA]])</f>
        <v>45948+ANTONIO RAMIRO WEBER - 5452+GOIANIA (GO) X TERESINA (PI) VIA STI</v>
      </c>
      <c r="F1429" s="1" t="str">
        <f>_xlfn.CONCAT(tabE.Flux[[#This Row],[DATA]],"+",tabE.Flux[[#This Row],[MOTORISTA + MATRÍCULA B]],"+",tabE.Flux[[#This Row],[LINHA]])</f>
        <v>45948++GOIANIA (GO) X TERESINA (PI) VIA STI</v>
      </c>
      <c r="G1429" s="1" t="str">
        <f>_xlfn.CONCAT(tabE.Flux[[#This Row],[DATA]],"+",tabE.Flux[[#This Row],[LINHA]])</f>
        <v>45948+GOIANIA (GO) X TERESINA (PI) VIA STI</v>
      </c>
      <c r="H1429" s="125">
        <v>45948</v>
      </c>
      <c r="I1429" s="1" t="s">
        <v>15</v>
      </c>
      <c r="J1429" s="1">
        <v>19005</v>
      </c>
      <c r="K1429" s="126">
        <v>0.77083333333333337</v>
      </c>
      <c r="L1429" s="126">
        <v>0.79861111111111116</v>
      </c>
      <c r="M1429" s="1" t="s">
        <v>16</v>
      </c>
      <c r="N1429" s="1" t="s">
        <v>29</v>
      </c>
      <c r="O1429" s="1" t="s">
        <v>79</v>
      </c>
      <c r="P1429" s="1"/>
      <c r="Q1429" s="1" t="s">
        <v>26</v>
      </c>
    </row>
    <row r="1430" spans="3:17" x14ac:dyDescent="0.25">
      <c r="C1430" s="1" t="str">
        <f>_xlfn.CONCAT(tabE.Flux[[#This Row],[DATA]],"+",tabE.Flux[[#This Row],[MOTORISTA + MATRÍCULA A]])</f>
        <v>45948+MARCUS AUGUSTO DE CARVALHO - 2398</v>
      </c>
      <c r="D1430" s="1" t="str">
        <f>_xlfn.CONCAT(tabE.Flux[[#This Row],[DATA]],"+",tabE.Flux[[#This Row],[MOTORISTA + MATRÍCULA B]])</f>
        <v>45948+LUIS CARLOS VIEIRA DE MELO SOUZA - 5535</v>
      </c>
      <c r="E1430" s="1" t="str">
        <f>_xlfn.CONCAT(tabE.Flux[[#This Row],[DATA]],"+",tabE.Flux[[#This Row],[MOTORISTA + MATRÍCULA A]],"+",tabE.Flux[[#This Row],[LINHA]])</f>
        <v>45948+MARCUS AUGUSTO DE CARVALHO - 2398+GOIANIA (GO) X SAO LUIS (MA)</v>
      </c>
      <c r="F1430" s="1" t="str">
        <f>_xlfn.CONCAT(tabE.Flux[[#This Row],[DATA]],"+",tabE.Flux[[#This Row],[MOTORISTA + MATRÍCULA B]],"+",tabE.Flux[[#This Row],[LINHA]])</f>
        <v>45948+LUIS CARLOS VIEIRA DE MELO SOUZA - 5535+GOIANIA (GO) X SAO LUIS (MA)</v>
      </c>
      <c r="G1430" s="1" t="str">
        <f>_xlfn.CONCAT(tabE.Flux[[#This Row],[DATA]],"+",tabE.Flux[[#This Row],[LINHA]])</f>
        <v>45948+GOIANIA (GO) X SAO LUIS (MA)</v>
      </c>
      <c r="H1430" s="125">
        <v>45948</v>
      </c>
      <c r="I1430" s="1" t="s">
        <v>15</v>
      </c>
      <c r="J1430" s="1">
        <v>19016</v>
      </c>
      <c r="K1430" s="126">
        <v>0.8125</v>
      </c>
      <c r="L1430" s="126">
        <v>0.84166666666666667</v>
      </c>
      <c r="M1430" s="1" t="s">
        <v>16</v>
      </c>
      <c r="N1430" s="1" t="s">
        <v>17</v>
      </c>
      <c r="O1430" s="1" t="s">
        <v>116</v>
      </c>
      <c r="P1430" s="1" t="s">
        <v>117</v>
      </c>
      <c r="Q1430" s="1" t="s">
        <v>23</v>
      </c>
    </row>
    <row r="1431" spans="3:17" x14ac:dyDescent="0.25">
      <c r="C1431" s="1" t="str">
        <f>_xlfn.CONCAT(tabE.Flux[[#This Row],[DATA]],"+",tabE.Flux[[#This Row],[MOTORISTA + MATRÍCULA A]])</f>
        <v>45948+GERALDO DE OLIVEIRA GOMES - 1360</v>
      </c>
      <c r="D1431" s="1" t="str">
        <f>_xlfn.CONCAT(tabE.Flux[[#This Row],[DATA]],"+",tabE.Flux[[#This Row],[MOTORISTA + MATRÍCULA B]])</f>
        <v>45948+JOSE SOARES DA SILVA FILHO - 3093</v>
      </c>
      <c r="E1431" s="1" t="str">
        <f>_xlfn.CONCAT(tabE.Flux[[#This Row],[DATA]],"+",tabE.Flux[[#This Row],[MOTORISTA + MATRÍCULA A]],"+",tabE.Flux[[#This Row],[LINHA]])</f>
        <v>45948+GERALDO DE OLIVEIRA GOMES - 1360+FORTALEZA (CE) X SINOP (MT)</v>
      </c>
      <c r="F1431" s="1" t="str">
        <f>_xlfn.CONCAT(tabE.Flux[[#This Row],[DATA]],"+",tabE.Flux[[#This Row],[MOTORISTA + MATRÍCULA B]],"+",tabE.Flux[[#This Row],[LINHA]])</f>
        <v>45948+JOSE SOARES DA SILVA FILHO - 3093+FORTALEZA (CE) X SINOP (MT)</v>
      </c>
      <c r="G1431" s="1" t="str">
        <f>_xlfn.CONCAT(tabE.Flux[[#This Row],[DATA]],"+",tabE.Flux[[#This Row],[LINHA]])</f>
        <v>45948+FORTALEZA (CE) X SINOP (MT)</v>
      </c>
      <c r="H1431" s="125">
        <v>45948</v>
      </c>
      <c r="I1431" s="1" t="s">
        <v>15</v>
      </c>
      <c r="J1431" s="1">
        <v>20018</v>
      </c>
      <c r="K1431" s="126">
        <v>0.8125</v>
      </c>
      <c r="L1431" s="126">
        <v>0.85416666666666663</v>
      </c>
      <c r="M1431" s="1" t="s">
        <v>16</v>
      </c>
      <c r="N1431" s="1" t="s">
        <v>17</v>
      </c>
      <c r="O1431" s="1" t="s">
        <v>245</v>
      </c>
      <c r="P1431" s="1" t="s">
        <v>171</v>
      </c>
      <c r="Q1431" s="1" t="s">
        <v>32</v>
      </c>
    </row>
    <row r="1432" spans="3:17" x14ac:dyDescent="0.25">
      <c r="C1432" s="1" t="str">
        <f>_xlfn.CONCAT(tabE.Flux[[#This Row],[DATA]],"+",tabE.Flux[[#This Row],[MOTORISTA + MATRÍCULA A]])</f>
        <v>45948+VILMAR JOSE CAMILO - 948</v>
      </c>
      <c r="D1432" s="1" t="str">
        <f>_xlfn.CONCAT(tabE.Flux[[#This Row],[DATA]],"+",tabE.Flux[[#This Row],[MOTORISTA + MATRÍCULA B]])</f>
        <v>45948+NELIO ALENCAR DOS SANTOS - 1759</v>
      </c>
      <c r="E1432" s="1" t="str">
        <f>_xlfn.CONCAT(tabE.Flux[[#This Row],[DATA]],"+",tabE.Flux[[#This Row],[MOTORISTA + MATRÍCULA A]],"+",tabE.Flux[[#This Row],[LINHA]])</f>
        <v>45948+VILMAR JOSE CAMILO - 948+GOIANIA (GO) X BELEM (PA)</v>
      </c>
      <c r="F1432" s="1" t="str">
        <f>_xlfn.CONCAT(tabE.Flux[[#This Row],[DATA]],"+",tabE.Flux[[#This Row],[MOTORISTA + MATRÍCULA B]],"+",tabE.Flux[[#This Row],[LINHA]])</f>
        <v>45948+NELIO ALENCAR DOS SANTOS - 1759+GOIANIA (GO) X BELEM (PA)</v>
      </c>
      <c r="G1432" s="1" t="str">
        <f>_xlfn.CONCAT(tabE.Flux[[#This Row],[DATA]],"+",tabE.Flux[[#This Row],[LINHA]])</f>
        <v>45948+GOIANIA (GO) X BELEM (PA)</v>
      </c>
      <c r="H1432" s="125">
        <v>45948</v>
      </c>
      <c r="I1432" s="1" t="s">
        <v>15</v>
      </c>
      <c r="J1432" s="1">
        <v>19020</v>
      </c>
      <c r="K1432" s="126">
        <v>0.84722222222222221</v>
      </c>
      <c r="L1432" s="126">
        <v>0.87847222222222221</v>
      </c>
      <c r="M1432" s="1" t="s">
        <v>16</v>
      </c>
      <c r="N1432" s="1" t="s">
        <v>17</v>
      </c>
      <c r="O1432" s="1" t="s">
        <v>95</v>
      </c>
      <c r="P1432" s="1" t="s">
        <v>67</v>
      </c>
      <c r="Q1432" s="1" t="s">
        <v>20</v>
      </c>
    </row>
    <row r="1433" spans="3:17" x14ac:dyDescent="0.25">
      <c r="C1433" s="1" t="str">
        <f>_xlfn.CONCAT(tabE.Flux[[#This Row],[DATA]],"+",tabE.Flux[[#This Row],[MOTORISTA + MATRÍCULA A]])</f>
        <v>+</v>
      </c>
      <c r="D1433" s="1" t="str">
        <f>_xlfn.CONCAT(tabE.Flux[[#This Row],[DATA]],"+",tabE.Flux[[#This Row],[MOTORISTA + MATRÍCULA B]])</f>
        <v>+</v>
      </c>
      <c r="E1433" s="1" t="str">
        <f>_xlfn.CONCAT(tabE.Flux[[#This Row],[DATA]],"+",tabE.Flux[[#This Row],[MOTORISTA + MATRÍCULA A]],"+",tabE.Flux[[#This Row],[LINHA]])</f>
        <v>++</v>
      </c>
      <c r="F1433" s="1" t="str">
        <f>_xlfn.CONCAT(tabE.Flux[[#This Row],[DATA]],"+",tabE.Flux[[#This Row],[MOTORISTA + MATRÍCULA B]],"+",tabE.Flux[[#This Row],[LINHA]])</f>
        <v>++</v>
      </c>
      <c r="G1433" s="1" t="str">
        <f>_xlfn.CONCAT(tabE.Flux[[#This Row],[DATA]],"+",tabE.Flux[[#This Row],[LINHA]])</f>
        <v>+</v>
      </c>
      <c r="H1433" s="1"/>
      <c r="I1433" s="1"/>
      <c r="J1433" s="1"/>
      <c r="K1433" s="1"/>
      <c r="L1433" s="1"/>
      <c r="M1433" s="1"/>
      <c r="N1433" s="1"/>
      <c r="O1433" s="1"/>
      <c r="P1433" s="1"/>
      <c r="Q1433" s="1"/>
    </row>
    <row r="1434" spans="3:17" x14ac:dyDescent="0.25">
      <c r="C1434" s="1" t="str">
        <f>_xlfn.CONCAT(tabE.Flux[[#This Row],[DATA]],"+",tabE.Flux[[#This Row],[MOTORISTA + MATRÍCULA A]])</f>
        <v>45949+JOSE PEDRO DA SILVA FREITAS - 1357</v>
      </c>
      <c r="D1434" s="1" t="str">
        <f>_xlfn.CONCAT(tabE.Flux[[#This Row],[DATA]],"+",tabE.Flux[[#This Row],[MOTORISTA + MATRÍCULA B]])</f>
        <v>45949+ADIR CASSIMIRO DA SILVA - 5672</v>
      </c>
      <c r="E1434" s="1" t="str">
        <f>_xlfn.CONCAT(tabE.Flux[[#This Row],[DATA]],"+",tabE.Flux[[#This Row],[MOTORISTA + MATRÍCULA A]],"+",tabE.Flux[[#This Row],[LINHA]])</f>
        <v>45949+JOSE PEDRO DA SILVA FREITAS - 1357+GOIANIA (GO) X BELEM (PA)</v>
      </c>
      <c r="F1434" s="1" t="str">
        <f>_xlfn.CONCAT(tabE.Flux[[#This Row],[DATA]],"+",tabE.Flux[[#This Row],[MOTORISTA + MATRÍCULA B]],"+",tabE.Flux[[#This Row],[LINHA]])</f>
        <v>45949+ADIR CASSIMIRO DA SILVA - 5672+GOIANIA (GO) X BELEM (PA)</v>
      </c>
      <c r="G1434" s="1" t="str">
        <f>_xlfn.CONCAT(tabE.Flux[[#This Row],[DATA]],"+",tabE.Flux[[#This Row],[LINHA]])</f>
        <v>45949+GOIANIA (GO) X BELEM (PA)</v>
      </c>
      <c r="H1434" s="125">
        <v>45949</v>
      </c>
      <c r="I1434" s="1" t="s">
        <v>15</v>
      </c>
      <c r="J1434" s="1">
        <v>24013</v>
      </c>
      <c r="K1434" s="126">
        <v>0.25486111111111109</v>
      </c>
      <c r="L1434" s="126">
        <v>0.3</v>
      </c>
      <c r="M1434" s="1" t="s">
        <v>16</v>
      </c>
      <c r="N1434" s="1" t="s">
        <v>17</v>
      </c>
      <c r="O1434" s="1" t="s">
        <v>106</v>
      </c>
      <c r="P1434" s="1" t="s">
        <v>22</v>
      </c>
      <c r="Q1434" s="1" t="s">
        <v>20</v>
      </c>
    </row>
    <row r="1435" spans="3:17" x14ac:dyDescent="0.25">
      <c r="C1435" s="1" t="str">
        <f>_xlfn.CONCAT(tabE.Flux[[#This Row],[DATA]],"+",tabE.Flux[[#This Row],[MOTORISTA + MATRÍCULA A]])</f>
        <v>45949+JERZUALDO DA SILVA GOMES - 4077</v>
      </c>
      <c r="D1435" s="1" t="str">
        <f>_xlfn.CONCAT(tabE.Flux[[#This Row],[DATA]],"+",tabE.Flux[[#This Row],[MOTORISTA + MATRÍCULA B]])</f>
        <v>45949+RONALDO ADRIANO COSTA SANTOS - 5637</v>
      </c>
      <c r="E1435" s="1" t="str">
        <f>_xlfn.CONCAT(tabE.Flux[[#This Row],[DATA]],"+",tabE.Flux[[#This Row],[MOTORISTA + MATRÍCULA A]],"+",tabE.Flux[[#This Row],[LINHA]])</f>
        <v>45949+JERZUALDO DA SILVA GOMES - 4077+GOIANIA (GO) X SAO LUIS (MA)</v>
      </c>
      <c r="F1435" s="1" t="str">
        <f>_xlfn.CONCAT(tabE.Flux[[#This Row],[DATA]],"+",tabE.Flux[[#This Row],[MOTORISTA + MATRÍCULA B]],"+",tabE.Flux[[#This Row],[LINHA]])</f>
        <v>45949+RONALDO ADRIANO COSTA SANTOS - 5637+GOIANIA (GO) X SAO LUIS (MA)</v>
      </c>
      <c r="G1435" s="1" t="str">
        <f>_xlfn.CONCAT(tabE.Flux[[#This Row],[DATA]],"+",tabE.Flux[[#This Row],[LINHA]])</f>
        <v>45949+GOIANIA (GO) X SAO LUIS (MA)</v>
      </c>
      <c r="H1435" s="125">
        <v>45949</v>
      </c>
      <c r="I1435" s="1" t="s">
        <v>15</v>
      </c>
      <c r="J1435" s="1">
        <v>24014</v>
      </c>
      <c r="K1435" s="126">
        <v>0.32291666666666669</v>
      </c>
      <c r="L1435" s="126">
        <v>0.33333333333333331</v>
      </c>
      <c r="M1435" s="1" t="s">
        <v>16</v>
      </c>
      <c r="N1435" s="1" t="s">
        <v>17</v>
      </c>
      <c r="O1435" s="1" t="s">
        <v>130</v>
      </c>
      <c r="P1435" s="1" t="s">
        <v>41</v>
      </c>
      <c r="Q1435" s="1" t="s">
        <v>23</v>
      </c>
    </row>
    <row r="1436" spans="3:17" x14ac:dyDescent="0.25">
      <c r="C1436" s="1" t="str">
        <f>_xlfn.CONCAT(tabE.Flux[[#This Row],[DATA]],"+",tabE.Flux[[#This Row],[MOTORISTA + MATRÍCULA A]])</f>
        <v>45949+ANTONIO DIAS DE OLIVEIRA - 5309</v>
      </c>
      <c r="D1436" s="1" t="str">
        <f>_xlfn.CONCAT(tabE.Flux[[#This Row],[DATA]],"+",tabE.Flux[[#This Row],[MOTORISTA + MATRÍCULA B]])</f>
        <v>45949+ISMAEL ANTERO FARIAS - 6230</v>
      </c>
      <c r="E1436" s="1" t="str">
        <f>_xlfn.CONCAT(tabE.Flux[[#This Row],[DATA]],"+",tabE.Flux[[#This Row],[MOTORISTA + MATRÍCULA A]],"+",tabE.Flux[[#This Row],[LINHA]])</f>
        <v>45949+ANTONIO DIAS DE OLIVEIRA - 5309+GOIANIA (GO) X TERESINA (PI) VIA STI</v>
      </c>
      <c r="F1436" s="1" t="str">
        <f>_xlfn.CONCAT(tabE.Flux[[#This Row],[DATA]],"+",tabE.Flux[[#This Row],[MOTORISTA + MATRÍCULA B]],"+",tabE.Flux[[#This Row],[LINHA]])</f>
        <v>45949+ISMAEL ANTERO FARIAS - 6230+GOIANIA (GO) X TERESINA (PI) VIA STI</v>
      </c>
      <c r="G1436" s="1" t="str">
        <f>_xlfn.CONCAT(tabE.Flux[[#This Row],[DATA]],"+",tabE.Flux[[#This Row],[LINHA]])</f>
        <v>45949+GOIANIA (GO) X TERESINA (PI) VIA STI</v>
      </c>
      <c r="H1436" s="125">
        <v>45949</v>
      </c>
      <c r="I1436" s="1" t="s">
        <v>15</v>
      </c>
      <c r="J1436" s="1">
        <v>17500</v>
      </c>
      <c r="K1436" s="126">
        <v>0.3888888888888889</v>
      </c>
      <c r="L1436" s="126">
        <v>0.39583333333333331</v>
      </c>
      <c r="M1436" s="1" t="s">
        <v>16</v>
      </c>
      <c r="N1436" s="1" t="s">
        <v>17</v>
      </c>
      <c r="O1436" s="1" t="s">
        <v>172</v>
      </c>
      <c r="P1436" s="1" t="s">
        <v>205</v>
      </c>
      <c r="Q1436" s="1" t="s">
        <v>26</v>
      </c>
    </row>
    <row r="1437" spans="3:17" x14ac:dyDescent="0.25">
      <c r="C1437" s="1" t="str">
        <f>_xlfn.CONCAT(tabE.Flux[[#This Row],[DATA]],"+",tabE.Flux[[#This Row],[MOTORISTA + MATRÍCULA A]])</f>
        <v>45949+CANCELADO</v>
      </c>
      <c r="D1437" s="1" t="str">
        <f>_xlfn.CONCAT(tabE.Flux[[#This Row],[DATA]],"+",tabE.Flux[[#This Row],[MOTORISTA + MATRÍCULA B]])</f>
        <v>45949+CANCELADO</v>
      </c>
      <c r="E1437" s="1" t="str">
        <f>_xlfn.CONCAT(tabE.Flux[[#This Row],[DATA]],"+",tabE.Flux[[#This Row],[MOTORISTA + MATRÍCULA A]],"+",tabE.Flux[[#This Row],[LINHA]])</f>
        <v>45949+CANCELADO+IMPERATRIZ (MA) X VILA RICA (MT)</v>
      </c>
      <c r="F1437" s="1" t="str">
        <f>_xlfn.CONCAT(tabE.Flux[[#This Row],[DATA]],"+",tabE.Flux[[#This Row],[MOTORISTA + MATRÍCULA B]],"+",tabE.Flux[[#This Row],[LINHA]])</f>
        <v>45949+CANCELADO+IMPERATRIZ (MA) X VILA RICA (MT)</v>
      </c>
      <c r="G1437" s="1" t="str">
        <f>_xlfn.CONCAT(tabE.Flux[[#This Row],[DATA]],"+",tabE.Flux[[#This Row],[LINHA]])</f>
        <v>45949+IMPERATRIZ (MA) X VILA RICA (MT)</v>
      </c>
      <c r="H1437" s="125">
        <v>45949</v>
      </c>
      <c r="I1437" s="1" t="s">
        <v>15</v>
      </c>
      <c r="J1437" s="1" t="s">
        <v>27</v>
      </c>
      <c r="K1437" s="126">
        <v>0.375</v>
      </c>
      <c r="L1437" s="126">
        <v>0.41666666666666669</v>
      </c>
      <c r="M1437" s="1" t="s">
        <v>16</v>
      </c>
      <c r="N1437" s="1" t="s">
        <v>28</v>
      </c>
      <c r="O1437" s="1" t="s">
        <v>27</v>
      </c>
      <c r="P1437" s="1" t="s">
        <v>27</v>
      </c>
      <c r="Q1437" s="1" t="s">
        <v>100</v>
      </c>
    </row>
    <row r="1438" spans="3:17" x14ac:dyDescent="0.25">
      <c r="C1438" s="1" t="str">
        <f>_xlfn.CONCAT(tabE.Flux[[#This Row],[DATA]],"+",tabE.Flux[[#This Row],[MOTORISTA + MATRÍCULA A]])</f>
        <v>45949+JOSE POLICARPO DE SOUSA NETO - 1472</v>
      </c>
      <c r="D1438" s="1" t="str">
        <f>_xlfn.CONCAT(tabE.Flux[[#This Row],[DATA]],"+",tabE.Flux[[#This Row],[MOTORISTA + MATRÍCULA B]])</f>
        <v>45949+FRANCISCO PESSOA DE CARVALHO - 5276</v>
      </c>
      <c r="E1438" s="1" t="str">
        <f>_xlfn.CONCAT(tabE.Flux[[#This Row],[DATA]],"+",tabE.Flux[[#This Row],[MOTORISTA + MATRÍCULA A]],"+",tabE.Flux[[#This Row],[LINHA]])</f>
        <v>45949+JOSE POLICARPO DE SOUSA NETO - 1472+FORTALEZA (CE) X SINOP (MT)</v>
      </c>
      <c r="F1438" s="1" t="str">
        <f>_xlfn.CONCAT(tabE.Flux[[#This Row],[DATA]],"+",tabE.Flux[[#This Row],[MOTORISTA + MATRÍCULA B]],"+",tabE.Flux[[#This Row],[LINHA]])</f>
        <v>45949+FRANCISCO PESSOA DE CARVALHO - 5276+FORTALEZA (CE) X SINOP (MT)</v>
      </c>
      <c r="G1438" s="1" t="str">
        <f>_xlfn.CONCAT(tabE.Flux[[#This Row],[DATA]],"+",tabE.Flux[[#This Row],[LINHA]])</f>
        <v>45949+FORTALEZA (CE) X SINOP (MT)</v>
      </c>
      <c r="H1438" s="125">
        <v>45949</v>
      </c>
      <c r="I1438" s="1" t="s">
        <v>15</v>
      </c>
      <c r="J1438" s="1">
        <v>19026</v>
      </c>
      <c r="K1438" s="126">
        <v>0.3888888888888889</v>
      </c>
      <c r="L1438" s="126">
        <v>0.37708333333333333</v>
      </c>
      <c r="M1438" s="1" t="s">
        <v>16</v>
      </c>
      <c r="N1438" s="1" t="s">
        <v>29</v>
      </c>
      <c r="O1438" s="1" t="s">
        <v>54</v>
      </c>
      <c r="P1438" s="1" t="s">
        <v>188</v>
      </c>
      <c r="Q1438" s="1" t="s">
        <v>32</v>
      </c>
    </row>
    <row r="1439" spans="3:17" x14ac:dyDescent="0.25">
      <c r="C1439" s="1" t="str">
        <f>_xlfn.CONCAT(tabE.Flux[[#This Row],[DATA]],"+",tabE.Flux[[#This Row],[MOTORISTA + MATRÍCULA A]])</f>
        <v>45949+VALDEY OLIVEIRA ARAUJO - 2790</v>
      </c>
      <c r="D1439" s="1" t="str">
        <f>_xlfn.CONCAT(tabE.Flux[[#This Row],[DATA]],"+",tabE.Flux[[#This Row],[MOTORISTA + MATRÍCULA B]])</f>
        <v>45949+LUIS ANTONIO FARIAS RIBEIRO - 2789</v>
      </c>
      <c r="E1439" s="1" t="str">
        <f>_xlfn.CONCAT(tabE.Flux[[#This Row],[DATA]],"+",tabE.Flux[[#This Row],[MOTORISTA + MATRÍCULA A]],"+",tabE.Flux[[#This Row],[LINHA]])</f>
        <v>45949+VALDEY OLIVEIRA ARAUJO - 2790+GOIANIA (GO) X BELEM (PA)</v>
      </c>
      <c r="F1439" s="1" t="str">
        <f>_xlfn.CONCAT(tabE.Flux[[#This Row],[DATA]],"+",tabE.Flux[[#This Row],[MOTORISTA + MATRÍCULA B]],"+",tabE.Flux[[#This Row],[LINHA]])</f>
        <v>45949+LUIS ANTONIO FARIAS RIBEIRO - 2789+GOIANIA (GO) X BELEM (PA)</v>
      </c>
      <c r="G1439" s="1" t="str">
        <f>_xlfn.CONCAT(tabE.Flux[[#This Row],[DATA]],"+",tabE.Flux[[#This Row],[LINHA]])</f>
        <v>45949+GOIANIA (GO) X BELEM (PA)</v>
      </c>
      <c r="H1439" s="125">
        <v>45949</v>
      </c>
      <c r="I1439" s="1" t="s">
        <v>15</v>
      </c>
      <c r="J1439" s="1">
        <v>19017</v>
      </c>
      <c r="K1439" s="126">
        <v>0.38958333333333334</v>
      </c>
      <c r="L1439" s="126">
        <v>0.38541666666666669</v>
      </c>
      <c r="M1439" s="1" t="s">
        <v>16</v>
      </c>
      <c r="N1439" s="1" t="s">
        <v>33</v>
      </c>
      <c r="O1439" s="1" t="s">
        <v>34</v>
      </c>
      <c r="P1439" s="1" t="s">
        <v>124</v>
      </c>
      <c r="Q1439" s="1" t="s">
        <v>20</v>
      </c>
    </row>
    <row r="1440" spans="3:17" x14ac:dyDescent="0.25">
      <c r="C1440" s="1" t="str">
        <f>_xlfn.CONCAT(tabE.Flux[[#This Row],[DATA]],"+",tabE.Flux[[#This Row],[MOTORISTA + MATRÍCULA A]])</f>
        <v>45949+KLEBSON ALVES FREIRES - 3060</v>
      </c>
      <c r="D1440" s="1" t="str">
        <f>_xlfn.CONCAT(tabE.Flux[[#This Row],[DATA]],"+",tabE.Flux[[#This Row],[MOTORISTA + MATRÍCULA B]])</f>
        <v>45949+EDIMILSON LUIS FRANÇA - 5442</v>
      </c>
      <c r="E1440" s="1" t="str">
        <f>_xlfn.CONCAT(tabE.Flux[[#This Row],[DATA]],"+",tabE.Flux[[#This Row],[MOTORISTA + MATRÍCULA A]],"+",tabE.Flux[[#This Row],[LINHA]])</f>
        <v>45949+KLEBSON ALVES FREIRES - 3060+GOIANIA (GO) X TERESINA (PI) VIA BC</v>
      </c>
      <c r="F1440" s="1" t="str">
        <f>_xlfn.CONCAT(tabE.Flux[[#This Row],[DATA]],"+",tabE.Flux[[#This Row],[MOTORISTA + MATRÍCULA B]],"+",tabE.Flux[[#This Row],[LINHA]])</f>
        <v>45949+EDIMILSON LUIS FRANÇA - 5442+GOIANIA (GO) X TERESINA (PI) VIA BC</v>
      </c>
      <c r="G1440" s="1" t="str">
        <f>_xlfn.CONCAT(tabE.Flux[[#This Row],[DATA]],"+",tabE.Flux[[#This Row],[LINHA]])</f>
        <v>45949+GOIANIA (GO) X TERESINA (PI) VIA BC</v>
      </c>
      <c r="H1440" s="125">
        <v>45949</v>
      </c>
      <c r="I1440" s="1" t="s">
        <v>15</v>
      </c>
      <c r="J1440" s="1">
        <v>24002</v>
      </c>
      <c r="K1440" s="126">
        <v>0.375</v>
      </c>
      <c r="L1440" s="126">
        <v>0.39930555555555558</v>
      </c>
      <c r="M1440" s="1" t="s">
        <v>36</v>
      </c>
      <c r="N1440" s="1" t="s">
        <v>29</v>
      </c>
      <c r="O1440" s="1" t="s">
        <v>161</v>
      </c>
      <c r="P1440" s="1" t="s">
        <v>89</v>
      </c>
      <c r="Q1440" s="1" t="s">
        <v>39</v>
      </c>
    </row>
    <row r="1441" spans="3:17" x14ac:dyDescent="0.25">
      <c r="C1441" s="1" t="str">
        <f>_xlfn.CONCAT(tabE.Flux[[#This Row],[DATA]],"+",tabE.Flux[[#This Row],[MOTORISTA + MATRÍCULA A]])</f>
        <v>45949+CANCELADO</v>
      </c>
      <c r="D1441" s="1" t="str">
        <f>_xlfn.CONCAT(tabE.Flux[[#This Row],[DATA]],"+",tabE.Flux[[#This Row],[MOTORISTA + MATRÍCULA B]])</f>
        <v>45949+CANCELADO</v>
      </c>
      <c r="E1441" s="1" t="str">
        <f>_xlfn.CONCAT(tabE.Flux[[#This Row],[DATA]],"+",tabE.Flux[[#This Row],[MOTORISTA + MATRÍCULA A]],"+",tabE.Flux[[#This Row],[LINHA]])</f>
        <v>45949+CANCELADO+GOIANIA (GO) X BELEM (PA)</v>
      </c>
      <c r="F1441" s="1" t="str">
        <f>_xlfn.CONCAT(tabE.Flux[[#This Row],[DATA]],"+",tabE.Flux[[#This Row],[MOTORISTA + MATRÍCULA B]],"+",tabE.Flux[[#This Row],[LINHA]])</f>
        <v>45949+CANCELADO+GOIANIA (GO) X BELEM (PA)</v>
      </c>
      <c r="G1441" s="1" t="str">
        <f>_xlfn.CONCAT(tabE.Flux[[#This Row],[DATA]],"+",tabE.Flux[[#This Row],[LINHA]])</f>
        <v>45949+GOIANIA (GO) X BELEM (PA)</v>
      </c>
      <c r="H1441" s="125">
        <v>45949</v>
      </c>
      <c r="I1441" s="1" t="s">
        <v>15</v>
      </c>
      <c r="J1441" s="1" t="s">
        <v>27</v>
      </c>
      <c r="K1441" s="126">
        <v>0.375</v>
      </c>
      <c r="L1441" s="126">
        <v>0.41666666666666669</v>
      </c>
      <c r="M1441" s="1" t="s">
        <v>33</v>
      </c>
      <c r="N1441" s="1" t="s">
        <v>16</v>
      </c>
      <c r="O1441" s="1" t="s">
        <v>27</v>
      </c>
      <c r="P1441" s="1" t="s">
        <v>27</v>
      </c>
      <c r="Q1441" s="1" t="s">
        <v>20</v>
      </c>
    </row>
    <row r="1442" spans="3:17" x14ac:dyDescent="0.25">
      <c r="C1442" s="1" t="str">
        <f>_xlfn.CONCAT(tabE.Flux[[#This Row],[DATA]],"+",tabE.Flux[[#This Row],[MOTORISTA + MATRÍCULA A]])</f>
        <v>45949+CANCELADO</v>
      </c>
      <c r="D1442" s="1" t="str">
        <f>_xlfn.CONCAT(tabE.Flux[[#This Row],[DATA]],"+",tabE.Flux[[#This Row],[MOTORISTA + MATRÍCULA B]])</f>
        <v>45949+CANCELADO</v>
      </c>
      <c r="E1442" s="1" t="str">
        <f>_xlfn.CONCAT(tabE.Flux[[#This Row],[DATA]],"+",tabE.Flux[[#This Row],[MOTORISTA + MATRÍCULA A]],"+",tabE.Flux[[#This Row],[LINHA]])</f>
        <v>45949+CANCELADO+GOIANIA (GO) X SAO LUIS (MA)</v>
      </c>
      <c r="F1442" s="1" t="str">
        <f>_xlfn.CONCAT(tabE.Flux[[#This Row],[DATA]],"+",tabE.Flux[[#This Row],[MOTORISTA + MATRÍCULA B]],"+",tabE.Flux[[#This Row],[LINHA]])</f>
        <v>45949+CANCELADO+GOIANIA (GO) X SAO LUIS (MA)</v>
      </c>
      <c r="G1442" s="1" t="str">
        <f>_xlfn.CONCAT(tabE.Flux[[#This Row],[DATA]],"+",tabE.Flux[[#This Row],[LINHA]])</f>
        <v>45949+GOIANIA (GO) X SAO LUIS (MA)</v>
      </c>
      <c r="H1442" s="125">
        <v>45949</v>
      </c>
      <c r="I1442" s="1" t="s">
        <v>15</v>
      </c>
      <c r="J1442" s="1" t="s">
        <v>27</v>
      </c>
      <c r="K1442" s="126">
        <v>0.25</v>
      </c>
      <c r="L1442" s="126">
        <v>0.29166666666666669</v>
      </c>
      <c r="M1442" s="1" t="s">
        <v>42</v>
      </c>
      <c r="N1442" s="1" t="s">
        <v>16</v>
      </c>
      <c r="O1442" s="1" t="s">
        <v>27</v>
      </c>
      <c r="P1442" s="1" t="s">
        <v>27</v>
      </c>
      <c r="Q1442" s="1" t="s">
        <v>23</v>
      </c>
    </row>
    <row r="1443" spans="3:17" x14ac:dyDescent="0.25">
      <c r="C1443" s="1" t="str">
        <f>_xlfn.CONCAT(tabE.Flux[[#This Row],[DATA]],"+",tabE.Flux[[#This Row],[MOTORISTA + MATRÍCULA A]])</f>
        <v>45949+CARLOS ADRIANO DE SOUZA DO NASCIMENTO - 6222</v>
      </c>
      <c r="D1443" s="1" t="str">
        <f>_xlfn.CONCAT(tabE.Flux[[#This Row],[DATA]],"+",tabE.Flux[[#This Row],[MOTORISTA + MATRÍCULA B]])</f>
        <v>45949+BERNARDO SOUZA LIMA - 1720</v>
      </c>
      <c r="E1443" s="1" t="str">
        <f>_xlfn.CONCAT(tabE.Flux[[#This Row],[DATA]],"+",tabE.Flux[[#This Row],[MOTORISTA + MATRÍCULA A]],"+",tabE.Flux[[#This Row],[LINHA]])</f>
        <v>45949+CARLOS ADRIANO DE SOUZA DO NASCIMENTO - 6222+GOIANIA (GO) X SAO LUIS (MA)</v>
      </c>
      <c r="F1443" s="1" t="str">
        <f>_xlfn.CONCAT(tabE.Flux[[#This Row],[DATA]],"+",tabE.Flux[[#This Row],[MOTORISTA + MATRÍCULA B]],"+",tabE.Flux[[#This Row],[LINHA]])</f>
        <v>45949+BERNARDO SOUZA LIMA - 1720+GOIANIA (GO) X SAO LUIS (MA)</v>
      </c>
      <c r="G1443" s="1" t="str">
        <f>_xlfn.CONCAT(tabE.Flux[[#This Row],[DATA]],"+",tabE.Flux[[#This Row],[LINHA]])</f>
        <v>45949+GOIANIA (GO) X SAO LUIS (MA)</v>
      </c>
      <c r="H1443" s="125">
        <v>45949</v>
      </c>
      <c r="I1443" s="1" t="s">
        <v>15</v>
      </c>
      <c r="J1443" s="1">
        <v>24001</v>
      </c>
      <c r="K1443" s="126">
        <v>0.75</v>
      </c>
      <c r="L1443" s="126">
        <v>0.79166666666666663</v>
      </c>
      <c r="M1443" s="1" t="s">
        <v>42</v>
      </c>
      <c r="N1443" s="1" t="s">
        <v>16</v>
      </c>
      <c r="O1443" s="1" t="s">
        <v>110</v>
      </c>
      <c r="P1443" s="1" t="s">
        <v>123</v>
      </c>
      <c r="Q1443" s="1" t="s">
        <v>23</v>
      </c>
    </row>
    <row r="1444" spans="3:17" x14ac:dyDescent="0.25">
      <c r="C1444" s="1" t="str">
        <f>_xlfn.CONCAT(tabE.Flux[[#This Row],[DATA]],"+",tabE.Flux[[#This Row],[MOTORISTA + MATRÍCULA A]])</f>
        <v>45949+KAYLSON KLEYTON DA SILVA COSTA - 6224</v>
      </c>
      <c r="D1444" s="1" t="str">
        <f>_xlfn.CONCAT(tabE.Flux[[#This Row],[DATA]],"+",tabE.Flux[[#This Row],[MOTORISTA + MATRÍCULA B]])</f>
        <v>45949+RAINERIO COSTA MENDES - 5850</v>
      </c>
      <c r="E1444" s="1" t="str">
        <f>_xlfn.CONCAT(tabE.Flux[[#This Row],[DATA]],"+",tabE.Flux[[#This Row],[MOTORISTA + MATRÍCULA A]],"+",tabE.Flux[[#This Row],[LINHA]])</f>
        <v>45949+KAYLSON KLEYTON DA SILVA COSTA - 6224+IMPERATRIZ (MA) X SÃO LUIS (MA)</v>
      </c>
      <c r="F1444" s="1" t="str">
        <f>_xlfn.CONCAT(tabE.Flux[[#This Row],[DATA]],"+",tabE.Flux[[#This Row],[MOTORISTA + MATRÍCULA B]],"+",tabE.Flux[[#This Row],[LINHA]])</f>
        <v>45949+RAINERIO COSTA MENDES - 5850+IMPERATRIZ (MA) X SÃO LUIS (MA)</v>
      </c>
      <c r="G1444" s="1" t="str">
        <f>_xlfn.CONCAT(tabE.Flux[[#This Row],[DATA]],"+",tabE.Flux[[#This Row],[LINHA]])</f>
        <v>45949+IMPERATRIZ (MA) X SÃO LUIS (MA)</v>
      </c>
      <c r="H1444" s="125">
        <v>45949</v>
      </c>
      <c r="I1444" s="1" t="s">
        <v>15</v>
      </c>
      <c r="J1444" s="1">
        <v>19022</v>
      </c>
      <c r="K1444" s="126">
        <v>0.77083333333333337</v>
      </c>
      <c r="L1444" s="126">
        <v>0.79513888888888884</v>
      </c>
      <c r="M1444" s="1" t="s">
        <v>42</v>
      </c>
      <c r="N1444" s="1" t="s">
        <v>16</v>
      </c>
      <c r="O1444" s="1" t="s">
        <v>80</v>
      </c>
      <c r="P1444" s="1" t="s">
        <v>108</v>
      </c>
      <c r="Q1444" s="1" t="s">
        <v>47</v>
      </c>
    </row>
    <row r="1445" spans="3:17" x14ac:dyDescent="0.25">
      <c r="C1445" s="1" t="str">
        <f>_xlfn.CONCAT(tabE.Flux[[#This Row],[DATA]],"+",tabE.Flux[[#This Row],[MOTORISTA + MATRÍCULA A]])</f>
        <v>45949+EDIMAR FRANCISCO ALEIXO - 5593</v>
      </c>
      <c r="D1445" s="1" t="str">
        <f>_xlfn.CONCAT(tabE.Flux[[#This Row],[DATA]],"+",tabE.Flux[[#This Row],[MOTORISTA + MATRÍCULA B]])</f>
        <v>45949+LUCIANO CARNEIRO ALVES - 5757</v>
      </c>
      <c r="E1445" s="1" t="str">
        <f>_xlfn.CONCAT(tabE.Flux[[#This Row],[DATA]],"+",tabE.Flux[[#This Row],[MOTORISTA + MATRÍCULA A]],"+",tabE.Flux[[#This Row],[LINHA]])</f>
        <v>45949+EDIMAR FRANCISCO ALEIXO - 5593+GOIANIA (GO) X TERESINA (PI) VIA BC</v>
      </c>
      <c r="F1445" s="1" t="str">
        <f>_xlfn.CONCAT(tabE.Flux[[#This Row],[DATA]],"+",tabE.Flux[[#This Row],[MOTORISTA + MATRÍCULA B]],"+",tabE.Flux[[#This Row],[LINHA]])</f>
        <v>45949+LUCIANO CARNEIRO ALVES - 5757+GOIANIA (GO) X TERESINA (PI) VIA BC</v>
      </c>
      <c r="G1445" s="1" t="str">
        <f>_xlfn.CONCAT(tabE.Flux[[#This Row],[DATA]],"+",tabE.Flux[[#This Row],[LINHA]])</f>
        <v>45949+GOIANIA (GO) X TERESINA (PI) VIA BC</v>
      </c>
      <c r="H1445" s="125">
        <v>45949</v>
      </c>
      <c r="I1445" s="1" t="s">
        <v>15</v>
      </c>
      <c r="J1445" s="1">
        <v>24016</v>
      </c>
      <c r="K1445" s="126">
        <v>0.89583333333333337</v>
      </c>
      <c r="L1445" s="126">
        <v>0.91666666666666663</v>
      </c>
      <c r="M1445" s="1" t="s">
        <v>36</v>
      </c>
      <c r="N1445" s="1" t="s">
        <v>17</v>
      </c>
      <c r="O1445" s="1" t="s">
        <v>212</v>
      </c>
      <c r="P1445" s="1" t="s">
        <v>213</v>
      </c>
      <c r="Q1445" s="1" t="s">
        <v>39</v>
      </c>
    </row>
    <row r="1446" spans="3:17" x14ac:dyDescent="0.25">
      <c r="C1446" s="1" t="str">
        <f>_xlfn.CONCAT(tabE.Flux[[#This Row],[DATA]],"+",tabE.Flux[[#This Row],[MOTORISTA + MATRÍCULA A]])</f>
        <v>45949+MARCOS ATAIDE SILVA - 1352</v>
      </c>
      <c r="D1446" s="1" t="str">
        <f>_xlfn.CONCAT(tabE.Flux[[#This Row],[DATA]],"+",tabE.Flux[[#This Row],[MOTORISTA + MATRÍCULA B]])</f>
        <v>45949+WESLEY SILVA PAIVA - 5638</v>
      </c>
      <c r="E1446" s="1" t="str">
        <f>_xlfn.CONCAT(tabE.Flux[[#This Row],[DATA]],"+",tabE.Flux[[#This Row],[MOTORISTA + MATRÍCULA A]],"+",tabE.Flux[[#This Row],[LINHA]])</f>
        <v>45949+MARCOS ATAIDE SILVA - 1352+GOIANIA (GO) X BELEM (PA)</v>
      </c>
      <c r="F1446" s="1" t="str">
        <f>_xlfn.CONCAT(tabE.Flux[[#This Row],[DATA]],"+",tabE.Flux[[#This Row],[MOTORISTA + MATRÍCULA B]],"+",tabE.Flux[[#This Row],[LINHA]])</f>
        <v>45949+WESLEY SILVA PAIVA - 5638+GOIANIA (GO) X BELEM (PA)</v>
      </c>
      <c r="G1446" s="1" t="str">
        <f>_xlfn.CONCAT(tabE.Flux[[#This Row],[DATA]],"+",tabE.Flux[[#This Row],[LINHA]])</f>
        <v>45949+GOIANIA (GO) X BELEM (PA)</v>
      </c>
      <c r="H1446" s="125">
        <v>45949</v>
      </c>
      <c r="I1446" s="1" t="s">
        <v>15</v>
      </c>
      <c r="J1446" s="1">
        <v>25011</v>
      </c>
      <c r="K1446" s="126">
        <v>0.76041666666666663</v>
      </c>
      <c r="L1446" s="126">
        <v>0.77083333333333337</v>
      </c>
      <c r="M1446" s="1" t="s">
        <v>33</v>
      </c>
      <c r="N1446" s="1" t="s">
        <v>16</v>
      </c>
      <c r="O1446" s="1" t="s">
        <v>113</v>
      </c>
      <c r="P1446" s="1" t="s">
        <v>112</v>
      </c>
      <c r="Q1446" s="1" t="s">
        <v>20</v>
      </c>
    </row>
    <row r="1447" spans="3:17" x14ac:dyDescent="0.25">
      <c r="C1447" s="1" t="str">
        <f>_xlfn.CONCAT(tabE.Flux[[#This Row],[DATA]],"+",tabE.Flux[[#This Row],[MOTORISTA + MATRÍCULA A]])</f>
        <v>45949+ANTONIO FRANCINALDO DE OLIVEIRA MARQUES - 5018</v>
      </c>
      <c r="D1447" s="1" t="str">
        <f>_xlfn.CONCAT(tabE.Flux[[#This Row],[DATA]],"+",tabE.Flux[[#This Row],[MOTORISTA + MATRÍCULA B]])</f>
        <v>45949+MANOEL MESSIAS SILVA DOS SANTOS - 1833</v>
      </c>
      <c r="E1447" s="1" t="str">
        <f>_xlfn.CONCAT(tabE.Flux[[#This Row],[DATA]],"+",tabE.Flux[[#This Row],[MOTORISTA + MATRÍCULA A]],"+",tabE.Flux[[#This Row],[LINHA]])</f>
        <v>45949+ANTONIO FRANCINALDO DE OLIVEIRA MARQUES - 5018+GOIANIA (GO) X BELEM (PA)</v>
      </c>
      <c r="F1447" s="1" t="str">
        <f>_xlfn.CONCAT(tabE.Flux[[#This Row],[DATA]],"+",tabE.Flux[[#This Row],[MOTORISTA + MATRÍCULA B]],"+",tabE.Flux[[#This Row],[LINHA]])</f>
        <v>45949+MANOEL MESSIAS SILVA DOS SANTOS - 1833+GOIANIA (GO) X BELEM (PA)</v>
      </c>
      <c r="G1447" s="1" t="str">
        <f>_xlfn.CONCAT(tabE.Flux[[#This Row],[DATA]],"+",tabE.Flux[[#This Row],[LINHA]])</f>
        <v>45949+GOIANIA (GO) X BELEM (PA)</v>
      </c>
      <c r="H1447" s="125">
        <v>45949</v>
      </c>
      <c r="I1447" s="1" t="s">
        <v>15</v>
      </c>
      <c r="J1447" s="1">
        <v>24010</v>
      </c>
      <c r="K1447" s="126">
        <v>0.76041666666666663</v>
      </c>
      <c r="L1447" s="126">
        <v>0.82777777777777772</v>
      </c>
      <c r="M1447" s="1" t="s">
        <v>16</v>
      </c>
      <c r="N1447" s="1" t="s">
        <v>33</v>
      </c>
      <c r="O1447" s="1" t="s">
        <v>233</v>
      </c>
      <c r="P1447" s="1" t="s">
        <v>173</v>
      </c>
      <c r="Q1447" s="1" t="s">
        <v>20</v>
      </c>
    </row>
    <row r="1448" spans="3:17" x14ac:dyDescent="0.25">
      <c r="C1448" s="1" t="str">
        <f>_xlfn.CONCAT(tabE.Flux[[#This Row],[DATA]],"+",tabE.Flux[[#This Row],[MOTORISTA + MATRÍCULA A]])</f>
        <v>45949+JOAO DE JESUS GOUVEIA - 6016</v>
      </c>
      <c r="D1448" s="1" t="str">
        <f>_xlfn.CONCAT(tabE.Flux[[#This Row],[DATA]],"+",tabE.Flux[[#This Row],[MOTORISTA + MATRÍCULA B]])</f>
        <v>45949+PAULO ENEAS FARIAS ARAUJO - 6218</v>
      </c>
      <c r="E1448" s="1" t="str">
        <f>_xlfn.CONCAT(tabE.Flux[[#This Row],[DATA]],"+",tabE.Flux[[#This Row],[MOTORISTA + MATRÍCULA A]],"+",tabE.Flux[[#This Row],[LINHA]])</f>
        <v>45949+JOAO DE JESUS GOUVEIA - 6016+GOIANIA (GO) X SAO LUIS (MA)</v>
      </c>
      <c r="F1448" s="1" t="str">
        <f>_xlfn.CONCAT(tabE.Flux[[#This Row],[DATA]],"+",tabE.Flux[[#This Row],[MOTORISTA + MATRÍCULA B]],"+",tabE.Flux[[#This Row],[LINHA]])</f>
        <v>45949+PAULO ENEAS FARIAS ARAUJO - 6218+GOIANIA (GO) X SAO LUIS (MA)</v>
      </c>
      <c r="G1448" s="1" t="str">
        <f>_xlfn.CONCAT(tabE.Flux[[#This Row],[DATA]],"+",tabE.Flux[[#This Row],[LINHA]])</f>
        <v>45949+GOIANIA (GO) X SAO LUIS (MA)</v>
      </c>
      <c r="H1448" s="125">
        <v>45949</v>
      </c>
      <c r="I1448" s="1" t="s">
        <v>15</v>
      </c>
      <c r="J1448" s="1">
        <v>20016</v>
      </c>
      <c r="K1448" s="126">
        <v>0.40763888888888888</v>
      </c>
      <c r="L1448" s="126">
        <v>0.47013888888888888</v>
      </c>
      <c r="M1448" s="1" t="s">
        <v>16</v>
      </c>
      <c r="N1448" s="1" t="s">
        <v>42</v>
      </c>
      <c r="O1448" s="1" t="s">
        <v>58</v>
      </c>
      <c r="P1448" s="1" t="s">
        <v>43</v>
      </c>
      <c r="Q1448" s="1" t="s">
        <v>23</v>
      </c>
    </row>
    <row r="1449" spans="3:17" x14ac:dyDescent="0.25">
      <c r="C1449" s="1" t="str">
        <f>_xlfn.CONCAT(tabE.Flux[[#This Row],[DATA]],"+",tabE.Flux[[#This Row],[MOTORISTA + MATRÍCULA A]])</f>
        <v>45949+CANCELADO</v>
      </c>
      <c r="D1449" s="1" t="str">
        <f>_xlfn.CONCAT(tabE.Flux[[#This Row],[DATA]],"+",tabE.Flux[[#This Row],[MOTORISTA + MATRÍCULA B]])</f>
        <v>45949+CANCELADO</v>
      </c>
      <c r="E1449" s="1" t="str">
        <f>_xlfn.CONCAT(tabE.Flux[[#This Row],[DATA]],"+",tabE.Flux[[#This Row],[MOTORISTA + MATRÍCULA A]],"+",tabE.Flux[[#This Row],[LINHA]])</f>
        <v>45949+CANCELADO+IMPERATRIZ (MA) X SÃO LUIS (MA)</v>
      </c>
      <c r="F1449" s="1" t="str">
        <f>_xlfn.CONCAT(tabE.Flux[[#This Row],[DATA]],"+",tabE.Flux[[#This Row],[MOTORISTA + MATRÍCULA B]],"+",tabE.Flux[[#This Row],[LINHA]])</f>
        <v>45949+CANCELADO+IMPERATRIZ (MA) X SÃO LUIS (MA)</v>
      </c>
      <c r="G1449" s="1" t="str">
        <f>_xlfn.CONCAT(tabE.Flux[[#This Row],[DATA]],"+",tabE.Flux[[#This Row],[LINHA]])</f>
        <v>45949+IMPERATRIZ (MA) X SÃO LUIS (MA)</v>
      </c>
      <c r="H1449" s="125">
        <v>45949</v>
      </c>
      <c r="I1449" s="1" t="s">
        <v>15</v>
      </c>
      <c r="J1449" s="1" t="s">
        <v>27</v>
      </c>
      <c r="K1449" s="126">
        <v>0.77083333333333337</v>
      </c>
      <c r="L1449" s="126">
        <v>0.8125</v>
      </c>
      <c r="M1449" s="1" t="s">
        <v>16</v>
      </c>
      <c r="N1449" s="1" t="s">
        <v>42</v>
      </c>
      <c r="O1449" s="1" t="s">
        <v>27</v>
      </c>
      <c r="P1449" s="1" t="s">
        <v>27</v>
      </c>
      <c r="Q1449" s="1" t="s">
        <v>47</v>
      </c>
    </row>
    <row r="1450" spans="3:17" x14ac:dyDescent="0.25">
      <c r="C1450" s="1" t="str">
        <f>_xlfn.CONCAT(tabE.Flux[[#This Row],[DATA]],"+",tabE.Flux[[#This Row],[MOTORISTA + MATRÍCULA A]])</f>
        <v>45949+ESIEL COSTA RODRIGUES - 1749</v>
      </c>
      <c r="D1450" s="1" t="str">
        <f>_xlfn.CONCAT(tabE.Flux[[#This Row],[DATA]],"+",tabE.Flux[[#This Row],[MOTORISTA + MATRÍCULA B]])</f>
        <v>45949+LAUCEANDO DA SILVA ROCHA - 6220</v>
      </c>
      <c r="E1450" s="1" t="str">
        <f>_xlfn.CONCAT(tabE.Flux[[#This Row],[DATA]],"+",tabE.Flux[[#This Row],[MOTORISTA + MATRÍCULA A]],"+",tabE.Flux[[#This Row],[LINHA]])</f>
        <v>45949+ESIEL COSTA RODRIGUES - 1749+GOIANIA (GO) X SAO LUIS (MA)</v>
      </c>
      <c r="F1450" s="1" t="str">
        <f>_xlfn.CONCAT(tabE.Flux[[#This Row],[DATA]],"+",tabE.Flux[[#This Row],[MOTORISTA + MATRÍCULA B]],"+",tabE.Flux[[#This Row],[LINHA]])</f>
        <v>45949+LAUCEANDO DA SILVA ROCHA - 6220+GOIANIA (GO) X SAO LUIS (MA)</v>
      </c>
      <c r="G1450" s="1" t="str">
        <f>_xlfn.CONCAT(tabE.Flux[[#This Row],[DATA]],"+",tabE.Flux[[#This Row],[LINHA]])</f>
        <v>45949+GOIANIA (GO) X SAO LUIS (MA)</v>
      </c>
      <c r="H1450" s="125">
        <v>45949</v>
      </c>
      <c r="I1450" s="1" t="s">
        <v>15</v>
      </c>
      <c r="J1450" s="1">
        <v>24012</v>
      </c>
      <c r="K1450" s="126">
        <v>0.8125</v>
      </c>
      <c r="L1450" s="126">
        <v>0.84375</v>
      </c>
      <c r="M1450" s="1" t="s">
        <v>16</v>
      </c>
      <c r="N1450" s="1" t="s">
        <v>42</v>
      </c>
      <c r="O1450" s="1" t="s">
        <v>46</v>
      </c>
      <c r="P1450" s="1" t="s">
        <v>86</v>
      </c>
      <c r="Q1450" s="1" t="s">
        <v>23</v>
      </c>
    </row>
    <row r="1451" spans="3:17" x14ac:dyDescent="0.25">
      <c r="C1451" s="1" t="str">
        <f>_xlfn.CONCAT(tabE.Flux[[#This Row],[DATA]],"+",tabE.Flux[[#This Row],[MOTORISTA + MATRÍCULA A]])</f>
        <v>45949+FRANCISCO LINDONALDO DE SOUSA - 2971</v>
      </c>
      <c r="D1451" s="1" t="str">
        <f>_xlfn.CONCAT(tabE.Flux[[#This Row],[DATA]],"+",tabE.Flux[[#This Row],[MOTORISTA + MATRÍCULA B]])</f>
        <v>45949+JOSE CLAUDIMAR  CUNHA - 5652</v>
      </c>
      <c r="E1451" s="1" t="str">
        <f>_xlfn.CONCAT(tabE.Flux[[#This Row],[DATA]],"+",tabE.Flux[[#This Row],[MOTORISTA + MATRÍCULA A]],"+",tabE.Flux[[#This Row],[LINHA]])</f>
        <v>45949+FRANCISCO LINDONALDO DE SOUSA - 2971+GOIANIA (GO) X TERESINA (PI) VIA STI</v>
      </c>
      <c r="F1451" s="1" t="str">
        <f>_xlfn.CONCAT(tabE.Flux[[#This Row],[DATA]],"+",tabE.Flux[[#This Row],[MOTORISTA + MATRÍCULA B]],"+",tabE.Flux[[#This Row],[LINHA]])</f>
        <v>45949+JOSE CLAUDIMAR  CUNHA - 5652+GOIANIA (GO) X TERESINA (PI) VIA STI</v>
      </c>
      <c r="G1451" s="1" t="str">
        <f>_xlfn.CONCAT(tabE.Flux[[#This Row],[DATA]],"+",tabE.Flux[[#This Row],[LINHA]])</f>
        <v>45949+GOIANIA (GO) X TERESINA (PI) VIA STI</v>
      </c>
      <c r="H1451" s="125">
        <v>45949</v>
      </c>
      <c r="I1451" s="1" t="s">
        <v>15</v>
      </c>
      <c r="J1451" s="1">
        <v>19007</v>
      </c>
      <c r="K1451" s="126">
        <v>0.77083333333333337</v>
      </c>
      <c r="L1451" s="126">
        <v>0.79861111111111116</v>
      </c>
      <c r="M1451" s="1" t="s">
        <v>16</v>
      </c>
      <c r="N1451" s="1" t="s">
        <v>29</v>
      </c>
      <c r="O1451" s="1" t="s">
        <v>131</v>
      </c>
      <c r="P1451" s="1" t="s">
        <v>140</v>
      </c>
      <c r="Q1451" s="1" t="s">
        <v>26</v>
      </c>
    </row>
    <row r="1452" spans="3:17" x14ac:dyDescent="0.25">
      <c r="C1452" s="1" t="str">
        <f>_xlfn.CONCAT(tabE.Flux[[#This Row],[DATA]],"+",tabE.Flux[[#This Row],[MOTORISTA + MATRÍCULA A]])</f>
        <v>45949+CANCELADO</v>
      </c>
      <c r="D1452" s="1" t="str">
        <f>_xlfn.CONCAT(tabE.Flux[[#This Row],[DATA]],"+",tabE.Flux[[#This Row],[MOTORISTA + MATRÍCULA B]])</f>
        <v>45949+CANCELADO</v>
      </c>
      <c r="E1452" s="1" t="str">
        <f>_xlfn.CONCAT(tabE.Flux[[#This Row],[DATA]],"+",tabE.Flux[[#This Row],[MOTORISTA + MATRÍCULA A]],"+",tabE.Flux[[#This Row],[LINHA]])</f>
        <v>45949+CANCELADO+GOIANIA (GO) X SAO LUIS (MA)</v>
      </c>
      <c r="F1452" s="1" t="str">
        <f>_xlfn.CONCAT(tabE.Flux[[#This Row],[DATA]],"+",tabE.Flux[[#This Row],[MOTORISTA + MATRÍCULA B]],"+",tabE.Flux[[#This Row],[LINHA]])</f>
        <v>45949+CANCELADO+GOIANIA (GO) X SAO LUIS (MA)</v>
      </c>
      <c r="G1452" s="1" t="str">
        <f>_xlfn.CONCAT(tabE.Flux[[#This Row],[DATA]],"+",tabE.Flux[[#This Row],[LINHA]])</f>
        <v>45949+GOIANIA (GO) X SAO LUIS (MA)</v>
      </c>
      <c r="H1452" s="125">
        <v>45949</v>
      </c>
      <c r="I1452" s="1" t="s">
        <v>15</v>
      </c>
      <c r="J1452" s="1" t="s">
        <v>27</v>
      </c>
      <c r="K1452" s="126">
        <v>0.8125</v>
      </c>
      <c r="L1452" s="126">
        <v>0.84166666666666667</v>
      </c>
      <c r="M1452" s="1" t="s">
        <v>16</v>
      </c>
      <c r="N1452" s="1" t="s">
        <v>17</v>
      </c>
      <c r="O1452" s="1" t="s">
        <v>27</v>
      </c>
      <c r="P1452" s="1" t="s">
        <v>27</v>
      </c>
      <c r="Q1452" s="1" t="s">
        <v>23</v>
      </c>
    </row>
    <row r="1453" spans="3:17" x14ac:dyDescent="0.25">
      <c r="C1453" s="1" t="str">
        <f>_xlfn.CONCAT(tabE.Flux[[#This Row],[DATA]],"+",tabE.Flux[[#This Row],[MOTORISTA + MATRÍCULA A]])</f>
        <v>45949+VALDINAR ALVES DE FRANÇA - 5959</v>
      </c>
      <c r="D1453" s="1" t="str">
        <f>_xlfn.CONCAT(tabE.Flux[[#This Row],[DATA]],"+",tabE.Flux[[#This Row],[MOTORISTA + MATRÍCULA B]])</f>
        <v>45949+JOSENILTON FRANCISCO LIMA - 3037</v>
      </c>
      <c r="E1453" s="1" t="str">
        <f>_xlfn.CONCAT(tabE.Flux[[#This Row],[DATA]],"+",tabE.Flux[[#This Row],[MOTORISTA + MATRÍCULA A]],"+",tabE.Flux[[#This Row],[LINHA]])</f>
        <v>45949+VALDINAR ALVES DE FRANÇA - 5959+FORTALEZA (CE) X SINOP (MT)</v>
      </c>
      <c r="F1453" s="1" t="str">
        <f>_xlfn.CONCAT(tabE.Flux[[#This Row],[DATA]],"+",tabE.Flux[[#This Row],[MOTORISTA + MATRÍCULA B]],"+",tabE.Flux[[#This Row],[LINHA]])</f>
        <v>45949+JOSENILTON FRANCISCO LIMA - 3037+FORTALEZA (CE) X SINOP (MT)</v>
      </c>
      <c r="G1453" s="1" t="str">
        <f>_xlfn.CONCAT(tabE.Flux[[#This Row],[DATA]],"+",tabE.Flux[[#This Row],[LINHA]])</f>
        <v>45949+FORTALEZA (CE) X SINOP (MT)</v>
      </c>
      <c r="H1453" s="125">
        <v>45949</v>
      </c>
      <c r="I1453" s="1" t="s">
        <v>15</v>
      </c>
      <c r="J1453" s="1">
        <v>19015</v>
      </c>
      <c r="K1453" s="126">
        <v>0.8125</v>
      </c>
      <c r="L1453" s="126">
        <v>0.85416666666666663</v>
      </c>
      <c r="M1453" s="1" t="s">
        <v>16</v>
      </c>
      <c r="N1453" s="1" t="s">
        <v>17</v>
      </c>
      <c r="O1453" s="1" t="s">
        <v>269</v>
      </c>
      <c r="P1453" s="1" t="s">
        <v>177</v>
      </c>
      <c r="Q1453" s="1" t="s">
        <v>32</v>
      </c>
    </row>
    <row r="1454" spans="3:17" x14ac:dyDescent="0.25">
      <c r="C1454" s="1" t="str">
        <f>_xlfn.CONCAT(tabE.Flux[[#This Row],[DATA]],"+",tabE.Flux[[#This Row],[MOTORISTA + MATRÍCULA A]])</f>
        <v>45949+CANCELADO</v>
      </c>
      <c r="D1454" s="1" t="str">
        <f>_xlfn.CONCAT(tabE.Flux[[#This Row],[DATA]],"+",tabE.Flux[[#This Row],[MOTORISTA + MATRÍCULA B]])</f>
        <v>45949+CANCELADO</v>
      </c>
      <c r="E1454" s="1" t="str">
        <f>_xlfn.CONCAT(tabE.Flux[[#This Row],[DATA]],"+",tabE.Flux[[#This Row],[MOTORISTA + MATRÍCULA A]],"+",tabE.Flux[[#This Row],[LINHA]])</f>
        <v>45949+CANCELADO+GOIANIA (GO) X BELEM (PA)</v>
      </c>
      <c r="F1454" s="1" t="str">
        <f>_xlfn.CONCAT(tabE.Flux[[#This Row],[DATA]],"+",tabE.Flux[[#This Row],[MOTORISTA + MATRÍCULA B]],"+",tabE.Flux[[#This Row],[LINHA]])</f>
        <v>45949+CANCELADO+GOIANIA (GO) X BELEM (PA)</v>
      </c>
      <c r="G1454" s="1" t="str">
        <f>_xlfn.CONCAT(tabE.Flux[[#This Row],[DATA]],"+",tabE.Flux[[#This Row],[LINHA]])</f>
        <v>45949+GOIANIA (GO) X BELEM (PA)</v>
      </c>
      <c r="H1454" s="125">
        <v>45949</v>
      </c>
      <c r="I1454" s="1" t="s">
        <v>15</v>
      </c>
      <c r="J1454" s="1" t="s">
        <v>27</v>
      </c>
      <c r="K1454" s="126">
        <v>0.84722222222222221</v>
      </c>
      <c r="L1454" s="126">
        <v>0.87847222222222221</v>
      </c>
      <c r="M1454" s="1" t="s">
        <v>16</v>
      </c>
      <c r="N1454" s="1" t="s">
        <v>17</v>
      </c>
      <c r="O1454" s="1" t="s">
        <v>27</v>
      </c>
      <c r="P1454" s="1" t="s">
        <v>27</v>
      </c>
      <c r="Q1454" s="1" t="s">
        <v>20</v>
      </c>
    </row>
    <row r="1455" spans="3:17" x14ac:dyDescent="0.25">
      <c r="C1455" s="1" t="str">
        <f>_xlfn.CONCAT(tabE.Flux[[#This Row],[DATA]],"+",tabE.Flux[[#This Row],[MOTORISTA + MATRÍCULA A]])</f>
        <v>+</v>
      </c>
      <c r="D1455" s="1" t="str">
        <f>_xlfn.CONCAT(tabE.Flux[[#This Row],[DATA]],"+",tabE.Flux[[#This Row],[MOTORISTA + MATRÍCULA B]])</f>
        <v>+</v>
      </c>
      <c r="E1455" s="1" t="str">
        <f>_xlfn.CONCAT(tabE.Flux[[#This Row],[DATA]],"+",tabE.Flux[[#This Row],[MOTORISTA + MATRÍCULA A]],"+",tabE.Flux[[#This Row],[LINHA]])</f>
        <v>++</v>
      </c>
      <c r="F1455" s="1" t="str">
        <f>_xlfn.CONCAT(tabE.Flux[[#This Row],[DATA]],"+",tabE.Flux[[#This Row],[MOTORISTA + MATRÍCULA B]],"+",tabE.Flux[[#This Row],[LINHA]])</f>
        <v>++</v>
      </c>
      <c r="G1455" s="1" t="str">
        <f>_xlfn.CONCAT(tabE.Flux[[#This Row],[DATA]],"+",tabE.Flux[[#This Row],[LINHA]])</f>
        <v>+</v>
      </c>
      <c r="H1455" s="1"/>
      <c r="I1455" s="1"/>
      <c r="J1455" s="1"/>
      <c r="K1455" s="1"/>
      <c r="L1455" s="1"/>
      <c r="M1455" s="1"/>
      <c r="N1455" s="1"/>
      <c r="O1455" s="1"/>
      <c r="P1455" s="1"/>
      <c r="Q1455" s="1"/>
    </row>
    <row r="1456" spans="3:17" x14ac:dyDescent="0.25">
      <c r="C1456" s="1" t="str">
        <f>_xlfn.CONCAT(tabE.Flux[[#This Row],[DATA]],"+",tabE.Flux[[#This Row],[MOTORISTA + MATRÍCULA A]])</f>
        <v>45950+ROBERTO PEREIRA DE MATOS - 5538</v>
      </c>
      <c r="D1456" s="1" t="str">
        <f>_xlfn.CONCAT(tabE.Flux[[#This Row],[DATA]],"+",tabE.Flux[[#This Row],[MOTORISTA + MATRÍCULA B]])</f>
        <v>45950+TIAGO MARTINS BERNARDES - 5260</v>
      </c>
      <c r="E1456" s="1" t="str">
        <f>_xlfn.CONCAT(tabE.Flux[[#This Row],[DATA]],"+",tabE.Flux[[#This Row],[MOTORISTA + MATRÍCULA A]],"+",tabE.Flux[[#This Row],[LINHA]])</f>
        <v>45950+ROBERTO PEREIRA DE MATOS - 5538+GOIANIA (GO) X BELEM (PA)</v>
      </c>
      <c r="F1456" s="1" t="str">
        <f>_xlfn.CONCAT(tabE.Flux[[#This Row],[DATA]],"+",tabE.Flux[[#This Row],[MOTORISTA + MATRÍCULA B]],"+",tabE.Flux[[#This Row],[LINHA]])</f>
        <v>45950+TIAGO MARTINS BERNARDES - 5260+GOIANIA (GO) X BELEM (PA)</v>
      </c>
      <c r="G1456" s="1" t="str">
        <f>_xlfn.CONCAT(tabE.Flux[[#This Row],[DATA]],"+",tabE.Flux[[#This Row],[LINHA]])</f>
        <v>45950+GOIANIA (GO) X BELEM (PA)</v>
      </c>
      <c r="H1456" s="125">
        <v>45950</v>
      </c>
      <c r="I1456" s="1" t="s">
        <v>15</v>
      </c>
      <c r="J1456" s="1">
        <v>25011</v>
      </c>
      <c r="K1456" s="126">
        <v>0.25486111111111109</v>
      </c>
      <c r="L1456" s="126">
        <v>0.3</v>
      </c>
      <c r="M1456" s="1" t="s">
        <v>16</v>
      </c>
      <c r="N1456" s="1" t="s">
        <v>17</v>
      </c>
      <c r="O1456" s="1" t="s">
        <v>180</v>
      </c>
      <c r="P1456" s="1" t="s">
        <v>179</v>
      </c>
      <c r="Q1456" s="1" t="s">
        <v>20</v>
      </c>
    </row>
    <row r="1457" spans="3:17" x14ac:dyDescent="0.25">
      <c r="C1457" s="1" t="str">
        <f>_xlfn.CONCAT(tabE.Flux[[#This Row],[DATA]],"+",tabE.Flux[[#This Row],[MOTORISTA + MATRÍCULA A]])</f>
        <v>45950+MARCIO DE SOUSA MATOS - 5264</v>
      </c>
      <c r="D1457" s="1" t="str">
        <f>_xlfn.CONCAT(tabE.Flux[[#This Row],[DATA]],"+",tabE.Flux[[#This Row],[MOTORISTA + MATRÍCULA B]])</f>
        <v>45950+FRANCISCO RAIMUNDO VIANA DE SOUSA - 5314</v>
      </c>
      <c r="E1457" s="1" t="str">
        <f>_xlfn.CONCAT(tabE.Flux[[#This Row],[DATA]],"+",tabE.Flux[[#This Row],[MOTORISTA + MATRÍCULA A]],"+",tabE.Flux[[#This Row],[LINHA]])</f>
        <v>45950+MARCIO DE SOUSA MATOS - 5264+GOIANIA (GO) X SAO LUIS (MA)</v>
      </c>
      <c r="F1457" s="1" t="str">
        <f>_xlfn.CONCAT(tabE.Flux[[#This Row],[DATA]],"+",tabE.Flux[[#This Row],[MOTORISTA + MATRÍCULA B]],"+",tabE.Flux[[#This Row],[LINHA]])</f>
        <v>45950+FRANCISCO RAIMUNDO VIANA DE SOUSA - 5314+GOIANIA (GO) X SAO LUIS (MA)</v>
      </c>
      <c r="G1457" s="1" t="str">
        <f>_xlfn.CONCAT(tabE.Flux[[#This Row],[DATA]],"+",tabE.Flux[[#This Row],[LINHA]])</f>
        <v>45950+GOIANIA (GO) X SAO LUIS (MA)</v>
      </c>
      <c r="H1457" s="125">
        <v>45950</v>
      </c>
      <c r="I1457" s="1" t="s">
        <v>15</v>
      </c>
      <c r="J1457" s="1">
        <v>24001</v>
      </c>
      <c r="K1457" s="126">
        <v>0.32291666666666669</v>
      </c>
      <c r="L1457" s="126">
        <v>0.33333333333333331</v>
      </c>
      <c r="M1457" s="1" t="s">
        <v>16</v>
      </c>
      <c r="N1457" s="1" t="s">
        <v>17</v>
      </c>
      <c r="O1457" s="1" t="s">
        <v>62</v>
      </c>
      <c r="P1457" s="1" t="s">
        <v>87</v>
      </c>
      <c r="Q1457" s="1" t="s">
        <v>23</v>
      </c>
    </row>
    <row r="1458" spans="3:17" x14ac:dyDescent="0.25">
      <c r="C1458" s="1" t="str">
        <f>_xlfn.CONCAT(tabE.Flux[[#This Row],[DATA]],"+",tabE.Flux[[#This Row],[MOTORISTA + MATRÍCULA A]])</f>
        <v>45950+FRANCISCO BATISTA DE LIMA - 1827</v>
      </c>
      <c r="D1458" s="1" t="str">
        <f>_xlfn.CONCAT(tabE.Flux[[#This Row],[DATA]],"+",tabE.Flux[[#This Row],[MOTORISTA + MATRÍCULA B]])</f>
        <v>45950+ANTONIO JOSE PEREIRA SOARES - 1774</v>
      </c>
      <c r="E1458" s="1" t="str">
        <f>_xlfn.CONCAT(tabE.Flux[[#This Row],[DATA]],"+",tabE.Flux[[#This Row],[MOTORISTA + MATRÍCULA A]],"+",tabE.Flux[[#This Row],[LINHA]])</f>
        <v>45950+FRANCISCO BATISTA DE LIMA - 1827+GOIANIA (GO) X TERESINA (PI) VIA STI</v>
      </c>
      <c r="F1458" s="1" t="str">
        <f>_xlfn.CONCAT(tabE.Flux[[#This Row],[DATA]],"+",tabE.Flux[[#This Row],[MOTORISTA + MATRÍCULA B]],"+",tabE.Flux[[#This Row],[LINHA]])</f>
        <v>45950+ANTONIO JOSE PEREIRA SOARES - 1774+GOIANIA (GO) X TERESINA (PI) VIA STI</v>
      </c>
      <c r="G1458" s="1" t="str">
        <f>_xlfn.CONCAT(tabE.Flux[[#This Row],[DATA]],"+",tabE.Flux[[#This Row],[LINHA]])</f>
        <v>45950+GOIANIA (GO) X TERESINA (PI) VIA STI</v>
      </c>
      <c r="H1458" s="125">
        <v>45950</v>
      </c>
      <c r="I1458" s="1" t="s">
        <v>15</v>
      </c>
      <c r="J1458" s="1">
        <v>19005</v>
      </c>
      <c r="K1458" s="126">
        <v>0.3888888888888889</v>
      </c>
      <c r="L1458" s="126">
        <v>0.39583333333333331</v>
      </c>
      <c r="M1458" s="1" t="s">
        <v>16</v>
      </c>
      <c r="N1458" s="1" t="s">
        <v>17</v>
      </c>
      <c r="O1458" s="1" t="s">
        <v>128</v>
      </c>
      <c r="P1458" s="1" t="s">
        <v>52</v>
      </c>
      <c r="Q1458" s="1" t="s">
        <v>26</v>
      </c>
    </row>
    <row r="1459" spans="3:17" x14ac:dyDescent="0.25">
      <c r="C1459" s="1" t="str">
        <f>_xlfn.CONCAT(tabE.Flux[[#This Row],[DATA]],"+",tabE.Flux[[#This Row],[MOTORISTA + MATRÍCULA A]])</f>
        <v>45950+CANCELADO</v>
      </c>
      <c r="D1459" s="1" t="str">
        <f>_xlfn.CONCAT(tabE.Flux[[#This Row],[DATA]],"+",tabE.Flux[[#This Row],[MOTORISTA + MATRÍCULA B]])</f>
        <v>45950+CANCELADO</v>
      </c>
      <c r="E1459" s="1" t="str">
        <f>_xlfn.CONCAT(tabE.Flux[[#This Row],[DATA]],"+",tabE.Flux[[#This Row],[MOTORISTA + MATRÍCULA A]],"+",tabE.Flux[[#This Row],[LINHA]])</f>
        <v>45950+CANCELADO+</v>
      </c>
      <c r="F1459" s="1" t="str">
        <f>_xlfn.CONCAT(tabE.Flux[[#This Row],[DATA]],"+",tabE.Flux[[#This Row],[MOTORISTA + MATRÍCULA B]],"+",tabE.Flux[[#This Row],[LINHA]])</f>
        <v>45950+CANCELADO+</v>
      </c>
      <c r="G1459" s="1" t="str">
        <f>_xlfn.CONCAT(tabE.Flux[[#This Row],[DATA]],"+",tabE.Flux[[#This Row],[LINHA]])</f>
        <v>45950+</v>
      </c>
      <c r="H1459" s="125">
        <v>45950</v>
      </c>
      <c r="I1459" s="1" t="s">
        <v>15</v>
      </c>
      <c r="J1459" s="1" t="s">
        <v>27</v>
      </c>
      <c r="K1459" s="126">
        <v>0.375</v>
      </c>
      <c r="L1459" s="126">
        <v>0.41666666666666669</v>
      </c>
      <c r="M1459" s="1" t="s">
        <v>16</v>
      </c>
      <c r="N1459" s="1" t="s">
        <v>28</v>
      </c>
      <c r="O1459" s="1" t="s">
        <v>27</v>
      </c>
      <c r="P1459" s="1" t="s">
        <v>27</v>
      </c>
      <c r="Q1459" s="1"/>
    </row>
    <row r="1460" spans="3:17" x14ac:dyDescent="0.25">
      <c r="C1460" s="1" t="str">
        <f>_xlfn.CONCAT(tabE.Flux[[#This Row],[DATA]],"+",tabE.Flux[[#This Row],[MOTORISTA + MATRÍCULA A]])</f>
        <v>45950+KLEBER OLIVEIRA LIMA - 5849</v>
      </c>
      <c r="D1460" s="1" t="str">
        <f>_xlfn.CONCAT(tabE.Flux[[#This Row],[DATA]],"+",tabE.Flux[[#This Row],[MOTORISTA + MATRÍCULA B]])</f>
        <v>45950+ANTONIO  SOBRINHO DE OLIVEIRA - 5646</v>
      </c>
      <c r="E1460" s="1" t="str">
        <f>_xlfn.CONCAT(tabE.Flux[[#This Row],[DATA]],"+",tabE.Flux[[#This Row],[MOTORISTA + MATRÍCULA A]],"+",tabE.Flux[[#This Row],[LINHA]])</f>
        <v>45950+KLEBER OLIVEIRA LIMA - 5849+FORTALEZA (CE) X SINOP (MT)</v>
      </c>
      <c r="F1460" s="1" t="str">
        <f>_xlfn.CONCAT(tabE.Flux[[#This Row],[DATA]],"+",tabE.Flux[[#This Row],[MOTORISTA + MATRÍCULA B]],"+",tabE.Flux[[#This Row],[LINHA]])</f>
        <v>45950+ANTONIO  SOBRINHO DE OLIVEIRA - 5646+FORTALEZA (CE) X SINOP (MT)</v>
      </c>
      <c r="G1460" s="1" t="str">
        <f>_xlfn.CONCAT(tabE.Flux[[#This Row],[DATA]],"+",tabE.Flux[[#This Row],[LINHA]])</f>
        <v>45950+FORTALEZA (CE) X SINOP (MT)</v>
      </c>
      <c r="H1460" s="125">
        <v>45950</v>
      </c>
      <c r="I1460" s="1" t="s">
        <v>15</v>
      </c>
      <c r="J1460" s="1">
        <v>19001</v>
      </c>
      <c r="K1460" s="126">
        <v>0.3888888888888889</v>
      </c>
      <c r="L1460" s="126">
        <v>0.37708333333333333</v>
      </c>
      <c r="M1460" s="1" t="s">
        <v>16</v>
      </c>
      <c r="N1460" s="1" t="s">
        <v>29</v>
      </c>
      <c r="O1460" s="1" t="s">
        <v>102</v>
      </c>
      <c r="P1460" s="1" t="s">
        <v>74</v>
      </c>
      <c r="Q1460" s="1" t="s">
        <v>32</v>
      </c>
    </row>
    <row r="1461" spans="3:17" x14ac:dyDescent="0.25">
      <c r="C1461" s="1" t="str">
        <f>_xlfn.CONCAT(tabE.Flux[[#This Row],[DATA]],"+",tabE.Flux[[#This Row],[MOTORISTA + MATRÍCULA A]])</f>
        <v>45950+BRUNO MATOS DA ROCHA - 6013</v>
      </c>
      <c r="D1461" s="1" t="str">
        <f>_xlfn.CONCAT(tabE.Flux[[#This Row],[DATA]],"+",tabE.Flux[[#This Row],[MOTORISTA + MATRÍCULA B]])</f>
        <v>45950+REINAN JOSE BORGES SOUSA - 1075</v>
      </c>
      <c r="E1461" s="1" t="str">
        <f>_xlfn.CONCAT(tabE.Flux[[#This Row],[DATA]],"+",tabE.Flux[[#This Row],[MOTORISTA + MATRÍCULA A]],"+",tabE.Flux[[#This Row],[LINHA]])</f>
        <v>45950+BRUNO MATOS DA ROCHA - 6013+GOIANIA (GO) X BELEM (PA)</v>
      </c>
      <c r="F1461" s="1" t="str">
        <f>_xlfn.CONCAT(tabE.Flux[[#This Row],[DATA]],"+",tabE.Flux[[#This Row],[MOTORISTA + MATRÍCULA B]],"+",tabE.Flux[[#This Row],[LINHA]])</f>
        <v>45950+REINAN JOSE BORGES SOUSA - 1075+GOIANIA (GO) X BELEM (PA)</v>
      </c>
      <c r="G1461" s="1" t="str">
        <f>_xlfn.CONCAT(tabE.Flux[[#This Row],[DATA]],"+",tabE.Flux[[#This Row],[LINHA]])</f>
        <v>45950+GOIANIA (GO) X BELEM (PA)</v>
      </c>
      <c r="H1461" s="125">
        <v>45950</v>
      </c>
      <c r="I1461" s="1" t="s">
        <v>15</v>
      </c>
      <c r="J1461" s="1">
        <v>20013</v>
      </c>
      <c r="K1461" s="126">
        <v>0.38958333333333334</v>
      </c>
      <c r="L1461" s="126">
        <v>0.38541666666666669</v>
      </c>
      <c r="M1461" s="1" t="s">
        <v>16</v>
      </c>
      <c r="N1461" s="1" t="s">
        <v>33</v>
      </c>
      <c r="O1461" s="1" t="s">
        <v>147</v>
      </c>
      <c r="P1461" s="1" t="s">
        <v>84</v>
      </c>
      <c r="Q1461" s="1" t="s">
        <v>20</v>
      </c>
    </row>
    <row r="1462" spans="3:17" x14ac:dyDescent="0.25">
      <c r="C1462" s="1" t="str">
        <f>_xlfn.CONCAT(tabE.Flux[[#This Row],[DATA]],"+",tabE.Flux[[#This Row],[MOTORISTA + MATRÍCULA A]])</f>
        <v>45950+JOSE ORLANDO RODRIGUES DE MIRANDA - 5838</v>
      </c>
      <c r="D1462" s="1" t="str">
        <f>_xlfn.CONCAT(tabE.Flux[[#This Row],[DATA]],"+",tabE.Flux[[#This Row],[MOTORISTA + MATRÍCULA B]])</f>
        <v>45950+DAVID ALVES PEREIRA - 5300</v>
      </c>
      <c r="E1462" s="1" t="str">
        <f>_xlfn.CONCAT(tabE.Flux[[#This Row],[DATA]],"+",tabE.Flux[[#This Row],[MOTORISTA + MATRÍCULA A]],"+",tabE.Flux[[#This Row],[LINHA]])</f>
        <v>45950+JOSE ORLANDO RODRIGUES DE MIRANDA - 5838+GOIANIA (GO) X TERESINA (PI) VIA BC</v>
      </c>
      <c r="F1462" s="1" t="str">
        <f>_xlfn.CONCAT(tabE.Flux[[#This Row],[DATA]],"+",tabE.Flux[[#This Row],[MOTORISTA + MATRÍCULA B]],"+",tabE.Flux[[#This Row],[LINHA]])</f>
        <v>45950+DAVID ALVES PEREIRA - 5300+GOIANIA (GO) X TERESINA (PI) VIA BC</v>
      </c>
      <c r="G1462" s="1" t="str">
        <f>_xlfn.CONCAT(tabE.Flux[[#This Row],[DATA]],"+",tabE.Flux[[#This Row],[LINHA]])</f>
        <v>45950+GOIANIA (GO) X TERESINA (PI) VIA BC</v>
      </c>
      <c r="H1462" s="125">
        <v>45950</v>
      </c>
      <c r="I1462" s="1" t="s">
        <v>15</v>
      </c>
      <c r="J1462" s="1">
        <v>25012</v>
      </c>
      <c r="K1462" s="126">
        <v>0.375</v>
      </c>
      <c r="L1462" s="126">
        <v>0.39930555555555558</v>
      </c>
      <c r="M1462" s="1" t="s">
        <v>36</v>
      </c>
      <c r="N1462" s="1" t="s">
        <v>29</v>
      </c>
      <c r="O1462" s="1" t="s">
        <v>37</v>
      </c>
      <c r="P1462" s="1" t="s">
        <v>197</v>
      </c>
      <c r="Q1462" s="1" t="s">
        <v>39</v>
      </c>
    </row>
    <row r="1463" spans="3:17" x14ac:dyDescent="0.25">
      <c r="C1463" s="1" t="str">
        <f>_xlfn.CONCAT(tabE.Flux[[#This Row],[DATA]],"+",tabE.Flux[[#This Row],[MOTORISTA + MATRÍCULA A]])</f>
        <v>45950+JAKTAN DE OLIVEIRA RODRIGUES - 5836</v>
      </c>
      <c r="D1463" s="1" t="str">
        <f>_xlfn.CONCAT(tabE.Flux[[#This Row],[DATA]],"+",tabE.Flux[[#This Row],[MOTORISTA + MATRÍCULA B]])</f>
        <v>45950+ELIEZIO JOSE DOS SANTOS - 2645</v>
      </c>
      <c r="E1463" s="1" t="str">
        <f>_xlfn.CONCAT(tabE.Flux[[#This Row],[DATA]],"+",tabE.Flux[[#This Row],[MOTORISTA + MATRÍCULA A]],"+",tabE.Flux[[#This Row],[LINHA]])</f>
        <v>45950+JAKTAN DE OLIVEIRA RODRIGUES - 5836+GOIANIA (GO) X BELEM (PA)</v>
      </c>
      <c r="F1463" s="1" t="str">
        <f>_xlfn.CONCAT(tabE.Flux[[#This Row],[DATA]],"+",tabE.Flux[[#This Row],[MOTORISTA + MATRÍCULA B]],"+",tabE.Flux[[#This Row],[LINHA]])</f>
        <v>45950+ELIEZIO JOSE DOS SANTOS - 2645+GOIANIA (GO) X BELEM (PA)</v>
      </c>
      <c r="G1463" s="1" t="str">
        <f>_xlfn.CONCAT(tabE.Flux[[#This Row],[DATA]],"+",tabE.Flux[[#This Row],[LINHA]])</f>
        <v>45950+GOIANIA (GO) X BELEM (PA)</v>
      </c>
      <c r="H1463" s="125">
        <v>45950</v>
      </c>
      <c r="I1463" s="1" t="s">
        <v>15</v>
      </c>
      <c r="J1463" s="1">
        <v>20022</v>
      </c>
      <c r="K1463" s="126">
        <v>0.375</v>
      </c>
      <c r="L1463" s="126">
        <v>0.41666666666666669</v>
      </c>
      <c r="M1463" s="1" t="s">
        <v>33</v>
      </c>
      <c r="N1463" s="1" t="s">
        <v>16</v>
      </c>
      <c r="O1463" s="1" t="s">
        <v>59</v>
      </c>
      <c r="P1463" s="1" t="s">
        <v>53</v>
      </c>
      <c r="Q1463" s="1" t="s">
        <v>20</v>
      </c>
    </row>
    <row r="1464" spans="3:17" x14ac:dyDescent="0.25">
      <c r="C1464" s="1" t="str">
        <f>_xlfn.CONCAT(tabE.Flux[[#This Row],[DATA]],"+",tabE.Flux[[#This Row],[MOTORISTA + MATRÍCULA A]])</f>
        <v>45950+ALTEMAR DO NASCIMENTO LIMA - 6225</v>
      </c>
      <c r="D1464" s="1" t="str">
        <f>_xlfn.CONCAT(tabE.Flux[[#This Row],[DATA]],"+",tabE.Flux[[#This Row],[MOTORISTA + MATRÍCULA B]])</f>
        <v>45950+JOAO DE JESUS GOUVEIA - 6016</v>
      </c>
      <c r="E1464" s="1" t="str">
        <f>_xlfn.CONCAT(tabE.Flux[[#This Row],[DATA]],"+",tabE.Flux[[#This Row],[MOTORISTA + MATRÍCULA A]],"+",tabE.Flux[[#This Row],[LINHA]])</f>
        <v>45950+ALTEMAR DO NASCIMENTO LIMA - 6225+GOIANIA (GO) X SAO LUIS (MA)</v>
      </c>
      <c r="F1464" s="1" t="str">
        <f>_xlfn.CONCAT(tabE.Flux[[#This Row],[DATA]],"+",tabE.Flux[[#This Row],[MOTORISTA + MATRÍCULA B]],"+",tabE.Flux[[#This Row],[LINHA]])</f>
        <v>45950+JOAO DE JESUS GOUVEIA - 6016+GOIANIA (GO) X SAO LUIS (MA)</v>
      </c>
      <c r="G1464" s="1" t="str">
        <f>_xlfn.CONCAT(tabE.Flux[[#This Row],[DATA]],"+",tabE.Flux[[#This Row],[LINHA]])</f>
        <v>45950+GOIANIA (GO) X SAO LUIS (MA)</v>
      </c>
      <c r="H1464" s="125">
        <v>45950</v>
      </c>
      <c r="I1464" s="1" t="s">
        <v>15</v>
      </c>
      <c r="J1464" s="1">
        <v>19006</v>
      </c>
      <c r="K1464" s="126">
        <v>0.25</v>
      </c>
      <c r="L1464" s="126">
        <v>0.29166666666666669</v>
      </c>
      <c r="M1464" s="1" t="s">
        <v>42</v>
      </c>
      <c r="N1464" s="1" t="s">
        <v>16</v>
      </c>
      <c r="O1464" s="1" t="s">
        <v>57</v>
      </c>
      <c r="P1464" s="1" t="s">
        <v>58</v>
      </c>
      <c r="Q1464" s="1" t="s">
        <v>23</v>
      </c>
    </row>
    <row r="1465" spans="3:17" x14ac:dyDescent="0.25">
      <c r="C1465" s="1" t="str">
        <f>_xlfn.CONCAT(tabE.Flux[[#This Row],[DATA]],"+",tabE.Flux[[#This Row],[MOTORISTA + MATRÍCULA A]])</f>
        <v>45950+EDIVALDO DE ARAUJO - 6217</v>
      </c>
      <c r="D1465" s="1" t="str">
        <f>_xlfn.CONCAT(tabE.Flux[[#This Row],[DATA]],"+",tabE.Flux[[#This Row],[MOTORISTA + MATRÍCULA B]])</f>
        <v>45950+ESIEL COSTA RODRIGUES - 1749</v>
      </c>
      <c r="E1465" s="1" t="str">
        <f>_xlfn.CONCAT(tabE.Flux[[#This Row],[DATA]],"+",tabE.Flux[[#This Row],[MOTORISTA + MATRÍCULA A]],"+",tabE.Flux[[#This Row],[LINHA]])</f>
        <v>45950+EDIVALDO DE ARAUJO - 6217+GOIANIA (GO) X SAO LUIS (MA)</v>
      </c>
      <c r="F1465" s="1" t="str">
        <f>_xlfn.CONCAT(tabE.Flux[[#This Row],[DATA]],"+",tabE.Flux[[#This Row],[MOTORISTA + MATRÍCULA B]],"+",tabE.Flux[[#This Row],[LINHA]])</f>
        <v>45950+ESIEL COSTA RODRIGUES - 1749+GOIANIA (GO) X SAO LUIS (MA)</v>
      </c>
      <c r="G1465" s="1" t="str">
        <f>_xlfn.CONCAT(tabE.Flux[[#This Row],[DATA]],"+",tabE.Flux[[#This Row],[LINHA]])</f>
        <v>45950+GOIANIA (GO) X SAO LUIS (MA)</v>
      </c>
      <c r="H1465" s="125">
        <v>45950</v>
      </c>
      <c r="I1465" s="1" t="s">
        <v>15</v>
      </c>
      <c r="J1465" s="1">
        <v>24012</v>
      </c>
      <c r="K1465" s="126">
        <v>0.75</v>
      </c>
      <c r="L1465" s="126">
        <v>0.79166666666666663</v>
      </c>
      <c r="M1465" s="1" t="s">
        <v>42</v>
      </c>
      <c r="N1465" s="1" t="s">
        <v>16</v>
      </c>
      <c r="O1465" s="1" t="s">
        <v>55</v>
      </c>
      <c r="P1465" s="1" t="s">
        <v>46</v>
      </c>
      <c r="Q1465" s="1" t="s">
        <v>23</v>
      </c>
    </row>
    <row r="1466" spans="3:17" x14ac:dyDescent="0.25">
      <c r="C1466" s="1" t="str">
        <f>_xlfn.CONCAT(tabE.Flux[[#This Row],[DATA]],"+",tabE.Flux[[#This Row],[MOTORISTA + MATRÍCULA A]])</f>
        <v>45950+CANCELADO</v>
      </c>
      <c r="D1466" s="1" t="str">
        <f>_xlfn.CONCAT(tabE.Flux[[#This Row],[DATA]],"+",tabE.Flux[[#This Row],[MOTORISTA + MATRÍCULA B]])</f>
        <v>45950+CANCELADO</v>
      </c>
      <c r="E1466" s="1" t="str">
        <f>_xlfn.CONCAT(tabE.Flux[[#This Row],[DATA]],"+",tabE.Flux[[#This Row],[MOTORISTA + MATRÍCULA A]],"+",tabE.Flux[[#This Row],[LINHA]])</f>
        <v>45950+CANCELADO+IMPERATRIZ (MA) X SÃO LUIS (MA)</v>
      </c>
      <c r="F1466" s="1" t="str">
        <f>_xlfn.CONCAT(tabE.Flux[[#This Row],[DATA]],"+",tabE.Flux[[#This Row],[MOTORISTA + MATRÍCULA B]],"+",tabE.Flux[[#This Row],[LINHA]])</f>
        <v>45950+CANCELADO+IMPERATRIZ (MA) X SÃO LUIS (MA)</v>
      </c>
      <c r="G1466" s="1" t="str">
        <f>_xlfn.CONCAT(tabE.Flux[[#This Row],[DATA]],"+",tabE.Flux[[#This Row],[LINHA]])</f>
        <v>45950+IMPERATRIZ (MA) X SÃO LUIS (MA)</v>
      </c>
      <c r="H1466" s="125">
        <v>45950</v>
      </c>
      <c r="I1466" s="1" t="s">
        <v>15</v>
      </c>
      <c r="J1466" s="1" t="s">
        <v>27</v>
      </c>
      <c r="K1466" s="126">
        <v>0.77083333333333337</v>
      </c>
      <c r="L1466" s="126">
        <v>0.79513888888888884</v>
      </c>
      <c r="M1466" s="1" t="s">
        <v>42</v>
      </c>
      <c r="N1466" s="1" t="s">
        <v>16</v>
      </c>
      <c r="O1466" s="1" t="s">
        <v>27</v>
      </c>
      <c r="P1466" s="1" t="s">
        <v>27</v>
      </c>
      <c r="Q1466" s="1" t="s">
        <v>47</v>
      </c>
    </row>
    <row r="1467" spans="3:17" x14ac:dyDescent="0.25">
      <c r="C1467" s="1" t="str">
        <f>_xlfn.CONCAT(tabE.Flux[[#This Row],[DATA]],"+",tabE.Flux[[#This Row],[MOTORISTA + MATRÍCULA A]])</f>
        <v>45950+VALDIR ALVES MIRANDA - 1364</v>
      </c>
      <c r="D1467" s="1" t="str">
        <f>_xlfn.CONCAT(tabE.Flux[[#This Row],[DATA]],"+",tabE.Flux[[#This Row],[MOTORISTA + MATRÍCULA B]])</f>
        <v>45950+WILLIAN DE SOUZA BANDEIRA - 2025</v>
      </c>
      <c r="E1467" s="1" t="str">
        <f>_xlfn.CONCAT(tabE.Flux[[#This Row],[DATA]],"+",tabE.Flux[[#This Row],[MOTORISTA + MATRÍCULA A]],"+",tabE.Flux[[#This Row],[LINHA]])</f>
        <v>45950+VALDIR ALVES MIRANDA - 1364+GOIANIA (GO) X TERESINA (PI) VIA BC</v>
      </c>
      <c r="F1467" s="1" t="str">
        <f>_xlfn.CONCAT(tabE.Flux[[#This Row],[DATA]],"+",tabE.Flux[[#This Row],[MOTORISTA + MATRÍCULA B]],"+",tabE.Flux[[#This Row],[LINHA]])</f>
        <v>45950+WILLIAN DE SOUZA BANDEIRA - 2025+GOIANIA (GO) X TERESINA (PI) VIA BC</v>
      </c>
      <c r="G1467" s="1" t="str">
        <f>_xlfn.CONCAT(tabE.Flux[[#This Row],[DATA]],"+",tabE.Flux[[#This Row],[LINHA]])</f>
        <v>45950+GOIANIA (GO) X TERESINA (PI) VIA BC</v>
      </c>
      <c r="H1467" s="125">
        <v>45950</v>
      </c>
      <c r="I1467" s="1" t="s">
        <v>15</v>
      </c>
      <c r="J1467" s="1">
        <v>24009</v>
      </c>
      <c r="K1467" s="126">
        <v>0.89583333333333337</v>
      </c>
      <c r="L1467" s="126">
        <v>0.91666666666666663</v>
      </c>
      <c r="M1467" s="1" t="s">
        <v>36</v>
      </c>
      <c r="N1467" s="1" t="s">
        <v>17</v>
      </c>
      <c r="O1467" s="1" t="s">
        <v>118</v>
      </c>
      <c r="P1467" s="1" t="s">
        <v>219</v>
      </c>
      <c r="Q1467" s="1" t="s">
        <v>39</v>
      </c>
    </row>
    <row r="1468" spans="3:17" x14ac:dyDescent="0.25">
      <c r="C1468" s="1" t="str">
        <f>_xlfn.CONCAT(tabE.Flux[[#This Row],[DATA]],"+",tabE.Flux[[#This Row],[MOTORISTA + MATRÍCULA A]])</f>
        <v>45950+VALDEY OLIVEIRA ARAUJO - 2790</v>
      </c>
      <c r="D1468" s="1" t="str">
        <f>_xlfn.CONCAT(tabE.Flux[[#This Row],[DATA]],"+",tabE.Flux[[#This Row],[MOTORISTA + MATRÍCULA B]])</f>
        <v>45950+LUIS ANTONIO FARIAS RIBEIRO - 2789</v>
      </c>
      <c r="E1468" s="1" t="str">
        <f>_xlfn.CONCAT(tabE.Flux[[#This Row],[DATA]],"+",tabE.Flux[[#This Row],[MOTORISTA + MATRÍCULA A]],"+",tabE.Flux[[#This Row],[LINHA]])</f>
        <v>45950+VALDEY OLIVEIRA ARAUJO - 2790+GOIANIA (GO) X BELEM (PA)</v>
      </c>
      <c r="F1468" s="1" t="str">
        <f>_xlfn.CONCAT(tabE.Flux[[#This Row],[DATA]],"+",tabE.Flux[[#This Row],[MOTORISTA + MATRÍCULA B]],"+",tabE.Flux[[#This Row],[LINHA]])</f>
        <v>45950+LUIS ANTONIO FARIAS RIBEIRO - 2789+GOIANIA (GO) X BELEM (PA)</v>
      </c>
      <c r="G1468" s="1" t="str">
        <f>_xlfn.CONCAT(tabE.Flux[[#This Row],[DATA]],"+",tabE.Flux[[#This Row],[LINHA]])</f>
        <v>45950+GOIANIA (GO) X BELEM (PA)</v>
      </c>
      <c r="H1468" s="125">
        <v>45950</v>
      </c>
      <c r="I1468" s="1" t="s">
        <v>15</v>
      </c>
      <c r="J1468" s="1">
        <v>24010</v>
      </c>
      <c r="K1468" s="126">
        <v>0.76041666666666663</v>
      </c>
      <c r="L1468" s="126">
        <v>0.77083333333333337</v>
      </c>
      <c r="M1468" s="1" t="s">
        <v>33</v>
      </c>
      <c r="N1468" s="1" t="s">
        <v>16</v>
      </c>
      <c r="O1468" s="1" t="s">
        <v>34</v>
      </c>
      <c r="P1468" s="1" t="s">
        <v>124</v>
      </c>
      <c r="Q1468" s="1" t="s">
        <v>20</v>
      </c>
    </row>
    <row r="1469" spans="3:17" x14ac:dyDescent="0.25">
      <c r="C1469" s="1" t="str">
        <f>_xlfn.CONCAT(tabE.Flux[[#This Row],[DATA]],"+",tabE.Flux[[#This Row],[MOTORISTA + MATRÍCULA A]])</f>
        <v>45950+CLODOALDO PEREIRA DE LIMA - 4067</v>
      </c>
      <c r="D1469" s="1" t="str">
        <f>_xlfn.CONCAT(tabE.Flux[[#This Row],[DATA]],"+",tabE.Flux[[#This Row],[MOTORISTA + MATRÍCULA B]])</f>
        <v>45950+JOSE ALVES DE FREITAS NETO - 5027</v>
      </c>
      <c r="E1469" s="1" t="str">
        <f>_xlfn.CONCAT(tabE.Flux[[#This Row],[DATA]],"+",tabE.Flux[[#This Row],[MOTORISTA + MATRÍCULA A]],"+",tabE.Flux[[#This Row],[LINHA]])</f>
        <v>45950+CLODOALDO PEREIRA DE LIMA - 4067+GOIANIA (GO) X BELEM (PA)</v>
      </c>
      <c r="F1469" s="1" t="str">
        <f>_xlfn.CONCAT(tabE.Flux[[#This Row],[DATA]],"+",tabE.Flux[[#This Row],[MOTORISTA + MATRÍCULA B]],"+",tabE.Flux[[#This Row],[LINHA]])</f>
        <v>45950+JOSE ALVES DE FREITAS NETO - 5027+GOIANIA (GO) X BELEM (PA)</v>
      </c>
      <c r="G1469" s="1" t="str">
        <f>_xlfn.CONCAT(tabE.Flux[[#This Row],[DATA]],"+",tabE.Flux[[#This Row],[LINHA]])</f>
        <v>45950+GOIANIA (GO) X BELEM (PA)</v>
      </c>
      <c r="H1469" s="125">
        <v>45950</v>
      </c>
      <c r="I1469" s="1" t="s">
        <v>15</v>
      </c>
      <c r="J1469" s="1">
        <v>25009</v>
      </c>
      <c r="K1469" s="126">
        <v>0.76041666666666663</v>
      </c>
      <c r="L1469" s="126">
        <v>0.82777777777777772</v>
      </c>
      <c r="M1469" s="1" t="s">
        <v>16</v>
      </c>
      <c r="N1469" s="1" t="s">
        <v>33</v>
      </c>
      <c r="O1469" s="1" t="s">
        <v>109</v>
      </c>
      <c r="P1469" s="1" t="s">
        <v>90</v>
      </c>
      <c r="Q1469" s="1" t="s">
        <v>20</v>
      </c>
    </row>
    <row r="1470" spans="3:17" x14ac:dyDescent="0.25">
      <c r="C1470" s="1" t="str">
        <f>_xlfn.CONCAT(tabE.Flux[[#This Row],[DATA]],"+",tabE.Flux[[#This Row],[MOTORISTA + MATRÍCULA A]])</f>
        <v>45950+RONNE RODRIGUES DE SOUSA - 5025</v>
      </c>
      <c r="D1470" s="1" t="str">
        <f>_xlfn.CONCAT(tabE.Flux[[#This Row],[DATA]],"+",tabE.Flux[[#This Row],[MOTORISTA + MATRÍCULA B]])</f>
        <v>45950+CARLOS ADRIANO DE SOUZA DO NASCIMENTO - 6222</v>
      </c>
      <c r="E1470" s="1" t="str">
        <f>_xlfn.CONCAT(tabE.Flux[[#This Row],[DATA]],"+",tabE.Flux[[#This Row],[MOTORISTA + MATRÍCULA A]],"+",tabE.Flux[[#This Row],[LINHA]])</f>
        <v>45950+RONNE RODRIGUES DE SOUSA - 5025+GOIANIA (GO) X SAO LUIS (MA)</v>
      </c>
      <c r="F1470" s="1" t="str">
        <f>_xlfn.CONCAT(tabE.Flux[[#This Row],[DATA]],"+",tabE.Flux[[#This Row],[MOTORISTA + MATRÍCULA B]],"+",tabE.Flux[[#This Row],[LINHA]])</f>
        <v>45950+CARLOS ADRIANO DE SOUZA DO NASCIMENTO - 6222+GOIANIA (GO) X SAO LUIS (MA)</v>
      </c>
      <c r="G1470" s="1" t="str">
        <f>_xlfn.CONCAT(tabE.Flux[[#This Row],[DATA]],"+",tabE.Flux[[#This Row],[LINHA]])</f>
        <v>45950+GOIANIA (GO) X SAO LUIS (MA)</v>
      </c>
      <c r="H1470" s="125">
        <v>45950</v>
      </c>
      <c r="I1470" s="1" t="s">
        <v>15</v>
      </c>
      <c r="J1470" s="1">
        <v>19008</v>
      </c>
      <c r="K1470" s="126">
        <v>0.40763888888888888</v>
      </c>
      <c r="L1470" s="126">
        <v>0.47013888888888888</v>
      </c>
      <c r="M1470" s="1" t="s">
        <v>16</v>
      </c>
      <c r="N1470" s="1" t="s">
        <v>42</v>
      </c>
      <c r="O1470" s="1" t="s">
        <v>85</v>
      </c>
      <c r="P1470" s="1" t="s">
        <v>110</v>
      </c>
      <c r="Q1470" s="1" t="s">
        <v>23</v>
      </c>
    </row>
    <row r="1471" spans="3:17" x14ac:dyDescent="0.25">
      <c r="C1471" s="1" t="str">
        <f>_xlfn.CONCAT(tabE.Flux[[#This Row],[DATA]],"+",tabE.Flux[[#This Row],[MOTORISTA + MATRÍCULA A]])</f>
        <v>45950+CANCELADO</v>
      </c>
      <c r="D1471" s="1" t="str">
        <f>_xlfn.CONCAT(tabE.Flux[[#This Row],[DATA]],"+",tabE.Flux[[#This Row],[MOTORISTA + MATRÍCULA B]])</f>
        <v>45950+CANCELADO</v>
      </c>
      <c r="E1471" s="1" t="str">
        <f>_xlfn.CONCAT(tabE.Flux[[#This Row],[DATA]],"+",tabE.Flux[[#This Row],[MOTORISTA + MATRÍCULA A]],"+",tabE.Flux[[#This Row],[LINHA]])</f>
        <v>45950+CANCELADO+IMPERATRIZ (MA) X SÃO LUIS (MA)</v>
      </c>
      <c r="F1471" s="1" t="str">
        <f>_xlfn.CONCAT(tabE.Flux[[#This Row],[DATA]],"+",tabE.Flux[[#This Row],[MOTORISTA + MATRÍCULA B]],"+",tabE.Flux[[#This Row],[LINHA]])</f>
        <v>45950+CANCELADO+IMPERATRIZ (MA) X SÃO LUIS (MA)</v>
      </c>
      <c r="G1471" s="1" t="str">
        <f>_xlfn.CONCAT(tabE.Flux[[#This Row],[DATA]],"+",tabE.Flux[[#This Row],[LINHA]])</f>
        <v>45950+IMPERATRIZ (MA) X SÃO LUIS (MA)</v>
      </c>
      <c r="H1471" s="125">
        <v>45950</v>
      </c>
      <c r="I1471" s="1" t="s">
        <v>15</v>
      </c>
      <c r="J1471" s="1" t="s">
        <v>27</v>
      </c>
      <c r="K1471" s="126">
        <v>0.77083333333333337</v>
      </c>
      <c r="L1471" s="126">
        <v>0.8125</v>
      </c>
      <c r="M1471" s="1" t="s">
        <v>16</v>
      </c>
      <c r="N1471" s="1" t="s">
        <v>42</v>
      </c>
      <c r="O1471" s="1" t="s">
        <v>27</v>
      </c>
      <c r="P1471" s="1" t="s">
        <v>27</v>
      </c>
      <c r="Q1471" s="1" t="s">
        <v>47</v>
      </c>
    </row>
    <row r="1472" spans="3:17" x14ac:dyDescent="0.25">
      <c r="C1472" s="1" t="str">
        <f>_xlfn.CONCAT(tabE.Flux[[#This Row],[DATA]],"+",tabE.Flux[[#This Row],[MOTORISTA + MATRÍCULA A]])</f>
        <v>45950+FABIO MOREIRA DOS SANTOS - 3073</v>
      </c>
      <c r="D1472" s="1" t="str">
        <f>_xlfn.CONCAT(tabE.Flux[[#This Row],[DATA]],"+",tabE.Flux[[#This Row],[MOTORISTA + MATRÍCULA B]])</f>
        <v>45950+ALTEMAR DO NASCIMENTO LIMA - 6225</v>
      </c>
      <c r="E1472" s="1" t="str">
        <f>_xlfn.CONCAT(tabE.Flux[[#This Row],[DATA]],"+",tabE.Flux[[#This Row],[MOTORISTA + MATRÍCULA A]],"+",tabE.Flux[[#This Row],[LINHA]])</f>
        <v>45950+FABIO MOREIRA DOS SANTOS - 3073+GOIANIA (GO) X SAO LUIS (MA)</v>
      </c>
      <c r="F1472" s="1" t="str">
        <f>_xlfn.CONCAT(tabE.Flux[[#This Row],[DATA]],"+",tabE.Flux[[#This Row],[MOTORISTA + MATRÍCULA B]],"+",tabE.Flux[[#This Row],[LINHA]])</f>
        <v>45950+ALTEMAR DO NASCIMENTO LIMA - 6225+GOIANIA (GO) X SAO LUIS (MA)</v>
      </c>
      <c r="G1472" s="1" t="str">
        <f>_xlfn.CONCAT(tabE.Flux[[#This Row],[DATA]],"+",tabE.Flux[[#This Row],[LINHA]])</f>
        <v>45950+GOIANIA (GO) X SAO LUIS (MA)</v>
      </c>
      <c r="H1472" s="125">
        <v>45950</v>
      </c>
      <c r="I1472" s="1" t="s">
        <v>15</v>
      </c>
      <c r="J1472" s="1">
        <v>25006</v>
      </c>
      <c r="K1472" s="126">
        <v>0.8125</v>
      </c>
      <c r="L1472" s="126">
        <v>0.84375</v>
      </c>
      <c r="M1472" s="1" t="s">
        <v>16</v>
      </c>
      <c r="N1472" s="1" t="s">
        <v>42</v>
      </c>
      <c r="O1472" s="1" t="s">
        <v>50</v>
      </c>
      <c r="P1472" s="1" t="s">
        <v>57</v>
      </c>
      <c r="Q1472" s="1" t="s">
        <v>23</v>
      </c>
    </row>
    <row r="1473" spans="3:17" x14ac:dyDescent="0.25">
      <c r="C1473" s="1" t="str">
        <f>_xlfn.CONCAT(tabE.Flux[[#This Row],[DATA]],"+",tabE.Flux[[#This Row],[MOTORISTA + MATRÍCULA A]])</f>
        <v>45950+  JOSE ALVES DA ROCHA- 5035</v>
      </c>
      <c r="D1473" s="1" t="str">
        <f>_xlfn.CONCAT(tabE.Flux[[#This Row],[DATA]],"+",tabE.Flux[[#This Row],[MOTORISTA + MATRÍCULA B]])</f>
        <v>45950+</v>
      </c>
      <c r="E1473" s="1" t="str">
        <f>_xlfn.CONCAT(tabE.Flux[[#This Row],[DATA]],"+",tabE.Flux[[#This Row],[MOTORISTA + MATRÍCULA A]],"+",tabE.Flux[[#This Row],[LINHA]])</f>
        <v>45950+  JOSE ALVES DA ROCHA- 5035+GOIANIA (GO) X TERESINA (PI) VIA STI</v>
      </c>
      <c r="F1473" s="1" t="str">
        <f>_xlfn.CONCAT(tabE.Flux[[#This Row],[DATA]],"+",tabE.Flux[[#This Row],[MOTORISTA + MATRÍCULA B]],"+",tabE.Flux[[#This Row],[LINHA]])</f>
        <v>45950++GOIANIA (GO) X TERESINA (PI) VIA STI</v>
      </c>
      <c r="G1473" s="1" t="str">
        <f>_xlfn.CONCAT(tabE.Flux[[#This Row],[DATA]],"+",tabE.Flux[[#This Row],[LINHA]])</f>
        <v>45950+GOIANIA (GO) X TERESINA (PI) VIA STI</v>
      </c>
      <c r="H1473" s="125">
        <v>45950</v>
      </c>
      <c r="I1473" s="1" t="s">
        <v>15</v>
      </c>
      <c r="J1473" s="1">
        <v>20014</v>
      </c>
      <c r="K1473" s="126">
        <v>0.77083333333333337</v>
      </c>
      <c r="L1473" s="126">
        <v>0.79861111111111116</v>
      </c>
      <c r="M1473" s="1" t="s">
        <v>16</v>
      </c>
      <c r="N1473" s="1" t="s">
        <v>29</v>
      </c>
      <c r="O1473" s="1" t="s">
        <v>270</v>
      </c>
      <c r="P1473" s="1"/>
      <c r="Q1473" s="1" t="s">
        <v>26</v>
      </c>
    </row>
    <row r="1474" spans="3:17" x14ac:dyDescent="0.25">
      <c r="C1474" s="1" t="str">
        <f>_xlfn.CONCAT(tabE.Flux[[#This Row],[DATA]],"+",tabE.Flux[[#This Row],[MOTORISTA + MATRÍCULA A]])</f>
        <v>45950+LUIZMAR FERREIRA - 6011</v>
      </c>
      <c r="D1474" s="1" t="str">
        <f>_xlfn.CONCAT(tabE.Flux[[#This Row],[DATA]],"+",tabE.Flux[[#This Row],[MOTORISTA + MATRÍCULA B]])</f>
        <v>45950+EMIVAL GOMES DE MELO - 5673</v>
      </c>
      <c r="E1474" s="1" t="str">
        <f>_xlfn.CONCAT(tabE.Flux[[#This Row],[DATA]],"+",tabE.Flux[[#This Row],[MOTORISTA + MATRÍCULA A]],"+",tabE.Flux[[#This Row],[LINHA]])</f>
        <v>45950+LUIZMAR FERREIRA - 6011+GOIANIA (GO) X SAO LUIS (MA)</v>
      </c>
      <c r="F1474" s="1" t="str">
        <f>_xlfn.CONCAT(tabE.Flux[[#This Row],[DATA]],"+",tabE.Flux[[#This Row],[MOTORISTA + MATRÍCULA B]],"+",tabE.Flux[[#This Row],[LINHA]])</f>
        <v>45950+EMIVAL GOMES DE MELO - 5673+GOIANIA (GO) X SAO LUIS (MA)</v>
      </c>
      <c r="G1474" s="1" t="str">
        <f>_xlfn.CONCAT(tabE.Flux[[#This Row],[DATA]],"+",tabE.Flux[[#This Row],[LINHA]])</f>
        <v>45950+GOIANIA (GO) X SAO LUIS (MA)</v>
      </c>
      <c r="H1474" s="125">
        <v>45950</v>
      </c>
      <c r="I1474" s="1" t="s">
        <v>15</v>
      </c>
      <c r="J1474" s="1">
        <v>19006</v>
      </c>
      <c r="K1474" s="126">
        <v>0.8125</v>
      </c>
      <c r="L1474" s="126">
        <v>0.84166666666666667</v>
      </c>
      <c r="M1474" s="1" t="s">
        <v>16</v>
      </c>
      <c r="N1474" s="1" t="s">
        <v>17</v>
      </c>
      <c r="O1474" s="1" t="s">
        <v>229</v>
      </c>
      <c r="P1474" s="1" t="s">
        <v>145</v>
      </c>
      <c r="Q1474" s="1" t="s">
        <v>23</v>
      </c>
    </row>
    <row r="1475" spans="3:17" x14ac:dyDescent="0.25">
      <c r="C1475" s="1" t="str">
        <f>_xlfn.CONCAT(tabE.Flux[[#This Row],[DATA]],"+",tabE.Flux[[#This Row],[MOTORISTA + MATRÍCULA A]])</f>
        <v>45950+RONALDO MANOEL TEIXEIRA - 5308</v>
      </c>
      <c r="D1475" s="1" t="str">
        <f>_xlfn.CONCAT(tabE.Flux[[#This Row],[DATA]],"+",tabE.Flux[[#This Row],[MOTORISTA + MATRÍCULA B]])</f>
        <v>45950+ESLEI LOPES CHAVES - 2689</v>
      </c>
      <c r="E1475" s="1" t="str">
        <f>_xlfn.CONCAT(tabE.Flux[[#This Row],[DATA]],"+",tabE.Flux[[#This Row],[MOTORISTA + MATRÍCULA A]],"+",tabE.Flux[[#This Row],[LINHA]])</f>
        <v>45950+RONALDO MANOEL TEIXEIRA - 5308+FORTALEZA (CE) X SINOP (MT)</v>
      </c>
      <c r="F1475" s="1" t="str">
        <f>_xlfn.CONCAT(tabE.Flux[[#This Row],[DATA]],"+",tabE.Flux[[#This Row],[MOTORISTA + MATRÍCULA B]],"+",tabE.Flux[[#This Row],[LINHA]])</f>
        <v>45950+ESLEI LOPES CHAVES - 2689+FORTALEZA (CE) X SINOP (MT)</v>
      </c>
      <c r="G1475" s="1" t="str">
        <f>_xlfn.CONCAT(tabE.Flux[[#This Row],[DATA]],"+",tabE.Flux[[#This Row],[LINHA]])</f>
        <v>45950+FORTALEZA (CE) X SINOP (MT)</v>
      </c>
      <c r="H1475" s="125">
        <v>45950</v>
      </c>
      <c r="I1475" s="1" t="s">
        <v>15</v>
      </c>
      <c r="J1475" s="1">
        <v>19014</v>
      </c>
      <c r="K1475" s="126">
        <v>0.8125</v>
      </c>
      <c r="L1475" s="126">
        <v>0.85416666666666663</v>
      </c>
      <c r="M1475" s="1" t="s">
        <v>16</v>
      </c>
      <c r="N1475" s="1" t="s">
        <v>17</v>
      </c>
      <c r="O1475" s="1" t="s">
        <v>220</v>
      </c>
      <c r="P1475" s="1" t="s">
        <v>146</v>
      </c>
      <c r="Q1475" s="1" t="s">
        <v>32</v>
      </c>
    </row>
    <row r="1476" spans="3:17" x14ac:dyDescent="0.25">
      <c r="C1476" s="1" t="str">
        <f>_xlfn.CONCAT(tabE.Flux[[#This Row],[DATA]],"+",tabE.Flux[[#This Row],[MOTORISTA + MATRÍCULA A]])</f>
        <v>45950+  IVANILSON BARBOSA PEREIRA- 5434</v>
      </c>
      <c r="D1476" s="1" t="str">
        <f>_xlfn.CONCAT(tabE.Flux[[#This Row],[DATA]],"+",tabE.Flux[[#This Row],[MOTORISTA + MATRÍCULA B]])</f>
        <v>45950+JOSE EVANGELISTA DA SILVA - 5199</v>
      </c>
      <c r="E1476" s="1" t="str">
        <f>_xlfn.CONCAT(tabE.Flux[[#This Row],[DATA]],"+",tabE.Flux[[#This Row],[MOTORISTA + MATRÍCULA A]],"+",tabE.Flux[[#This Row],[LINHA]])</f>
        <v>45950+  IVANILSON BARBOSA PEREIRA- 5434+GOIANIA (GO) X BELEM (PA)</v>
      </c>
      <c r="F1476" s="1" t="str">
        <f>_xlfn.CONCAT(tabE.Flux[[#This Row],[DATA]],"+",tabE.Flux[[#This Row],[MOTORISTA + MATRÍCULA B]],"+",tabE.Flux[[#This Row],[LINHA]])</f>
        <v>45950+JOSE EVANGELISTA DA SILVA - 5199+GOIANIA (GO) X BELEM (PA)</v>
      </c>
      <c r="G1476" s="1" t="str">
        <f>_xlfn.CONCAT(tabE.Flux[[#This Row],[DATA]],"+",tabE.Flux[[#This Row],[LINHA]])</f>
        <v>45950+GOIANIA (GO) X BELEM (PA)</v>
      </c>
      <c r="H1476" s="125">
        <v>45950</v>
      </c>
      <c r="I1476" s="1" t="s">
        <v>15</v>
      </c>
      <c r="J1476" s="1">
        <v>20022</v>
      </c>
      <c r="K1476" s="126">
        <v>0.84722222222222221</v>
      </c>
      <c r="L1476" s="126">
        <v>0.87847222222222221</v>
      </c>
      <c r="M1476" s="1" t="s">
        <v>16</v>
      </c>
      <c r="N1476" s="1" t="s">
        <v>17</v>
      </c>
      <c r="O1476" s="1" t="s">
        <v>152</v>
      </c>
      <c r="P1476" s="1" t="s">
        <v>151</v>
      </c>
      <c r="Q1476" s="1" t="s">
        <v>20</v>
      </c>
    </row>
    <row r="1477" spans="3:17" x14ac:dyDescent="0.25">
      <c r="C1477" s="1" t="str">
        <f>_xlfn.CONCAT(tabE.Flux[[#This Row],[DATA]],"+",tabE.Flux[[#This Row],[MOTORISTA + MATRÍCULA A]])</f>
        <v>+</v>
      </c>
      <c r="D1477" s="1" t="str">
        <f>_xlfn.CONCAT(tabE.Flux[[#This Row],[DATA]],"+",tabE.Flux[[#This Row],[MOTORISTA + MATRÍCULA B]])</f>
        <v>+</v>
      </c>
      <c r="E1477" s="1" t="str">
        <f>_xlfn.CONCAT(tabE.Flux[[#This Row],[DATA]],"+",tabE.Flux[[#This Row],[MOTORISTA + MATRÍCULA A]],"+",tabE.Flux[[#This Row],[LINHA]])</f>
        <v>++</v>
      </c>
      <c r="F1477" s="1" t="str">
        <f>_xlfn.CONCAT(tabE.Flux[[#This Row],[DATA]],"+",tabE.Flux[[#This Row],[MOTORISTA + MATRÍCULA B]],"+",tabE.Flux[[#This Row],[LINHA]])</f>
        <v>++</v>
      </c>
      <c r="G1477" s="1" t="str">
        <f>_xlfn.CONCAT(tabE.Flux[[#This Row],[DATA]],"+",tabE.Flux[[#This Row],[LINHA]])</f>
        <v>+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</row>
    <row r="1478" spans="3:17" x14ac:dyDescent="0.25">
      <c r="C1478" s="1" t="str">
        <f>_xlfn.CONCAT(tabE.Flux[[#This Row],[DATA]],"+",tabE.Flux[[#This Row],[MOTORISTA + MATRÍCULA A]])</f>
        <v>45951+LEON RODRIGUES LOPES - 5533</v>
      </c>
      <c r="D1478" s="1" t="str">
        <f>_xlfn.CONCAT(tabE.Flux[[#This Row],[DATA]],"+",tabE.Flux[[#This Row],[MOTORISTA + MATRÍCULA B]])</f>
        <v>45951+MARCOS BUENO DA SILVA - 5984</v>
      </c>
      <c r="E1478" s="1" t="str">
        <f>_xlfn.CONCAT(tabE.Flux[[#This Row],[DATA]],"+",tabE.Flux[[#This Row],[MOTORISTA + MATRÍCULA A]],"+",tabE.Flux[[#This Row],[LINHA]])</f>
        <v>45951+LEON RODRIGUES LOPES - 5533+GOIANIA (GO) X BELEM (PA)</v>
      </c>
      <c r="F1478" s="1" t="str">
        <f>_xlfn.CONCAT(tabE.Flux[[#This Row],[DATA]],"+",tabE.Flux[[#This Row],[MOTORISTA + MATRÍCULA B]],"+",tabE.Flux[[#This Row],[LINHA]])</f>
        <v>45951+MARCOS BUENO DA SILVA - 5984+GOIANIA (GO) X BELEM (PA)</v>
      </c>
      <c r="G1478" s="1" t="str">
        <f>_xlfn.CONCAT(tabE.Flux[[#This Row],[DATA]],"+",tabE.Flux[[#This Row],[LINHA]])</f>
        <v>45951+GOIANIA (GO) X BELEM (PA)</v>
      </c>
      <c r="H1478" s="125">
        <v>45951</v>
      </c>
      <c r="I1478" s="1" t="s">
        <v>15</v>
      </c>
      <c r="J1478" s="1">
        <v>24010</v>
      </c>
      <c r="K1478" s="126">
        <v>0.25486111111111109</v>
      </c>
      <c r="L1478" s="126">
        <v>0.3</v>
      </c>
      <c r="M1478" s="1" t="s">
        <v>16</v>
      </c>
      <c r="N1478" s="1" t="s">
        <v>17</v>
      </c>
      <c r="O1478" s="1" t="s">
        <v>204</v>
      </c>
      <c r="P1478" s="1" t="s">
        <v>69</v>
      </c>
      <c r="Q1478" s="1" t="s">
        <v>20</v>
      </c>
    </row>
    <row r="1479" spans="3:17" x14ac:dyDescent="0.25">
      <c r="C1479" s="1" t="str">
        <f>_xlfn.CONCAT(tabE.Flux[[#This Row],[DATA]],"+",tabE.Flux[[#This Row],[MOTORISTA + MATRÍCULA A]])</f>
        <v>45951+ANTONIO MARCIO DE SENA RIBEIRO CHAVES - 5061</v>
      </c>
      <c r="D1479" s="1" t="str">
        <f>_xlfn.CONCAT(tabE.Flux[[#This Row],[DATA]],"+",tabE.Flux[[#This Row],[MOTORISTA + MATRÍCULA B]])</f>
        <v>45951+AELSON PEREIRA DO NASCIMENTO - 5682</v>
      </c>
      <c r="E1479" s="1" t="str">
        <f>_xlfn.CONCAT(tabE.Flux[[#This Row],[DATA]],"+",tabE.Flux[[#This Row],[MOTORISTA + MATRÍCULA A]],"+",tabE.Flux[[#This Row],[LINHA]])</f>
        <v>45951+ANTONIO MARCIO DE SENA RIBEIRO CHAVES - 5061+GOIANIA (GO) X SAO LUIS (MA)</v>
      </c>
      <c r="F1479" s="1" t="str">
        <f>_xlfn.CONCAT(tabE.Flux[[#This Row],[DATA]],"+",tabE.Flux[[#This Row],[MOTORISTA + MATRÍCULA B]],"+",tabE.Flux[[#This Row],[LINHA]])</f>
        <v>45951+AELSON PEREIRA DO NASCIMENTO - 5682+GOIANIA (GO) X SAO LUIS (MA)</v>
      </c>
      <c r="G1479" s="1" t="str">
        <f>_xlfn.CONCAT(tabE.Flux[[#This Row],[DATA]],"+",tabE.Flux[[#This Row],[LINHA]])</f>
        <v>45951+GOIANIA (GO) X SAO LUIS (MA)</v>
      </c>
      <c r="H1479" s="125">
        <v>45951</v>
      </c>
      <c r="I1479" s="1" t="s">
        <v>15</v>
      </c>
      <c r="J1479" s="1">
        <v>24012</v>
      </c>
      <c r="K1479" s="126">
        <v>0.32291666666666669</v>
      </c>
      <c r="L1479" s="126">
        <v>0.33333333333333331</v>
      </c>
      <c r="M1479" s="1" t="s">
        <v>16</v>
      </c>
      <c r="N1479" s="1" t="s">
        <v>17</v>
      </c>
      <c r="O1479" s="1" t="s">
        <v>235</v>
      </c>
      <c r="P1479" s="1" t="s">
        <v>88</v>
      </c>
      <c r="Q1479" s="1" t="s">
        <v>23</v>
      </c>
    </row>
    <row r="1480" spans="3:17" x14ac:dyDescent="0.25">
      <c r="C1480" s="1" t="str">
        <f>_xlfn.CONCAT(tabE.Flux[[#This Row],[DATA]],"+",tabE.Flux[[#This Row],[MOTORISTA + MATRÍCULA A]])</f>
        <v>45951+JOSE HAILTON PEREIRA DOS SANTOS - 6018</v>
      </c>
      <c r="D1480" s="1" t="str">
        <f>_xlfn.CONCAT(tabE.Flux[[#This Row],[DATA]],"+",tabE.Flux[[#This Row],[MOTORISTA + MATRÍCULA B]])</f>
        <v>45951+GILVAN DE SOUSA FRANCA - 5834</v>
      </c>
      <c r="E1480" s="1" t="str">
        <f>_xlfn.CONCAT(tabE.Flux[[#This Row],[DATA]],"+",tabE.Flux[[#This Row],[MOTORISTA + MATRÍCULA A]],"+",tabE.Flux[[#This Row],[LINHA]])</f>
        <v>45951+JOSE HAILTON PEREIRA DOS SANTOS - 6018+GOIANIA (GO) X TERESINA (PI) VIA STI</v>
      </c>
      <c r="F1480" s="1" t="str">
        <f>_xlfn.CONCAT(tabE.Flux[[#This Row],[DATA]],"+",tabE.Flux[[#This Row],[MOTORISTA + MATRÍCULA B]],"+",tabE.Flux[[#This Row],[LINHA]])</f>
        <v>45951+GILVAN DE SOUSA FRANCA - 5834+GOIANIA (GO) X TERESINA (PI) VIA STI</v>
      </c>
      <c r="G1480" s="1" t="str">
        <f>_xlfn.CONCAT(tabE.Flux[[#This Row],[DATA]],"+",tabE.Flux[[#This Row],[LINHA]])</f>
        <v>45951+GOIANIA (GO) X TERESINA (PI) VIA STI</v>
      </c>
      <c r="H1480" s="125">
        <v>45951</v>
      </c>
      <c r="I1480" s="1" t="s">
        <v>15</v>
      </c>
      <c r="J1480" s="1">
        <v>19007</v>
      </c>
      <c r="K1480" s="126">
        <v>0.3888888888888889</v>
      </c>
      <c r="L1480" s="126">
        <v>0.39583333333333331</v>
      </c>
      <c r="M1480" s="1" t="s">
        <v>16</v>
      </c>
      <c r="N1480" s="1" t="s">
        <v>17</v>
      </c>
      <c r="O1480" s="1" t="s">
        <v>141</v>
      </c>
      <c r="P1480" s="1" t="s">
        <v>35</v>
      </c>
      <c r="Q1480" s="1" t="s">
        <v>26</v>
      </c>
    </row>
    <row r="1481" spans="3:17" x14ac:dyDescent="0.25">
      <c r="C1481" s="1" t="str">
        <f>_xlfn.CONCAT(tabE.Flux[[#This Row],[DATA]],"+",tabE.Flux[[#This Row],[MOTORISTA + MATRÍCULA A]])</f>
        <v>45951+CANCELADO</v>
      </c>
      <c r="D1481" s="1" t="str">
        <f>_xlfn.CONCAT(tabE.Flux[[#This Row],[DATA]],"+",tabE.Flux[[#This Row],[MOTORISTA + MATRÍCULA B]])</f>
        <v>45951+CANCELADO</v>
      </c>
      <c r="E1481" s="1" t="str">
        <f>_xlfn.CONCAT(tabE.Flux[[#This Row],[DATA]],"+",tabE.Flux[[#This Row],[MOTORISTA + MATRÍCULA A]],"+",tabE.Flux[[#This Row],[LINHA]])</f>
        <v>45951+CANCELADO+</v>
      </c>
      <c r="F1481" s="1" t="str">
        <f>_xlfn.CONCAT(tabE.Flux[[#This Row],[DATA]],"+",tabE.Flux[[#This Row],[MOTORISTA + MATRÍCULA B]],"+",tabE.Flux[[#This Row],[LINHA]])</f>
        <v>45951+CANCELADO+</v>
      </c>
      <c r="G1481" s="1" t="str">
        <f>_xlfn.CONCAT(tabE.Flux[[#This Row],[DATA]],"+",tabE.Flux[[#This Row],[LINHA]])</f>
        <v>45951+</v>
      </c>
      <c r="H1481" s="125">
        <v>45951</v>
      </c>
      <c r="I1481" s="1" t="s">
        <v>15</v>
      </c>
      <c r="J1481" s="1" t="s">
        <v>27</v>
      </c>
      <c r="K1481" s="126">
        <v>0.375</v>
      </c>
      <c r="L1481" s="126">
        <v>0.41666666666666669</v>
      </c>
      <c r="M1481" s="1" t="s">
        <v>16</v>
      </c>
      <c r="N1481" s="1" t="s">
        <v>28</v>
      </c>
      <c r="O1481" s="1" t="s">
        <v>27</v>
      </c>
      <c r="P1481" s="1" t="s">
        <v>27</v>
      </c>
      <c r="Q1481" s="1"/>
    </row>
    <row r="1482" spans="3:17" x14ac:dyDescent="0.25">
      <c r="C1482" s="1" t="str">
        <f>_xlfn.CONCAT(tabE.Flux[[#This Row],[DATA]],"+",tabE.Flux[[#This Row],[MOTORISTA + MATRÍCULA A]])</f>
        <v>45951+MARCOS ROBERTO DE SOUSA - 5236</v>
      </c>
      <c r="D1482" s="1" t="str">
        <f>_xlfn.CONCAT(tabE.Flux[[#This Row],[DATA]],"+",tabE.Flux[[#This Row],[MOTORISTA + MATRÍCULA B]])</f>
        <v>45951+EDIMILSON LUIS FRANÇA - 5442</v>
      </c>
      <c r="E1482" s="1" t="str">
        <f>_xlfn.CONCAT(tabE.Flux[[#This Row],[DATA]],"+",tabE.Flux[[#This Row],[MOTORISTA + MATRÍCULA A]],"+",tabE.Flux[[#This Row],[LINHA]])</f>
        <v>45951+MARCOS ROBERTO DE SOUSA - 5236+FORTALEZA (CE) X SINOP (MT)</v>
      </c>
      <c r="F1482" s="1" t="str">
        <f>_xlfn.CONCAT(tabE.Flux[[#This Row],[DATA]],"+",tabE.Flux[[#This Row],[MOTORISTA + MATRÍCULA B]],"+",tabE.Flux[[#This Row],[LINHA]])</f>
        <v>45951+EDIMILSON LUIS FRANÇA - 5442+FORTALEZA (CE) X SINOP (MT)</v>
      </c>
      <c r="G1482" s="1" t="str">
        <f>_xlfn.CONCAT(tabE.Flux[[#This Row],[DATA]],"+",tabE.Flux[[#This Row],[LINHA]])</f>
        <v>45951+FORTALEZA (CE) X SINOP (MT)</v>
      </c>
      <c r="H1482" s="125">
        <v>45951</v>
      </c>
      <c r="I1482" s="1" t="s">
        <v>15</v>
      </c>
      <c r="J1482" s="1">
        <v>20020</v>
      </c>
      <c r="K1482" s="126">
        <v>0.3888888888888889</v>
      </c>
      <c r="L1482" s="126">
        <v>0.37708333333333333</v>
      </c>
      <c r="M1482" s="1" t="s">
        <v>16</v>
      </c>
      <c r="N1482" s="1" t="s">
        <v>29</v>
      </c>
      <c r="O1482" s="1" t="s">
        <v>234</v>
      </c>
      <c r="P1482" s="1" t="s">
        <v>89</v>
      </c>
      <c r="Q1482" s="1" t="s">
        <v>32</v>
      </c>
    </row>
    <row r="1483" spans="3:17" x14ac:dyDescent="0.25">
      <c r="C1483" s="1" t="str">
        <f>_xlfn.CONCAT(tabE.Flux[[#This Row],[DATA]],"+",tabE.Flux[[#This Row],[MOTORISTA + MATRÍCULA A]])</f>
        <v>45951+CANCELADO</v>
      </c>
      <c r="D1483" s="1" t="str">
        <f>_xlfn.CONCAT(tabE.Flux[[#This Row],[DATA]],"+",tabE.Flux[[#This Row],[MOTORISTA + MATRÍCULA B]])</f>
        <v>45951+CANCELADO</v>
      </c>
      <c r="E1483" s="1" t="str">
        <f>_xlfn.CONCAT(tabE.Flux[[#This Row],[DATA]],"+",tabE.Flux[[#This Row],[MOTORISTA + MATRÍCULA A]],"+",tabE.Flux[[#This Row],[LINHA]])</f>
        <v>45951+CANCELADO+GOIANIA (GO) X BELEM (PA)</v>
      </c>
      <c r="F1483" s="1" t="str">
        <f>_xlfn.CONCAT(tabE.Flux[[#This Row],[DATA]],"+",tabE.Flux[[#This Row],[MOTORISTA + MATRÍCULA B]],"+",tabE.Flux[[#This Row],[LINHA]])</f>
        <v>45951+CANCELADO+GOIANIA (GO) X BELEM (PA)</v>
      </c>
      <c r="G1483" s="1" t="str">
        <f>_xlfn.CONCAT(tabE.Flux[[#This Row],[DATA]],"+",tabE.Flux[[#This Row],[LINHA]])</f>
        <v>45951+GOIANIA (GO) X BELEM (PA)</v>
      </c>
      <c r="H1483" s="125">
        <v>45951</v>
      </c>
      <c r="I1483" s="1" t="s">
        <v>15</v>
      </c>
      <c r="J1483" s="1" t="s">
        <v>27</v>
      </c>
      <c r="K1483" s="126">
        <v>0.38958333333333334</v>
      </c>
      <c r="L1483" s="126">
        <v>0.38541666666666669</v>
      </c>
      <c r="M1483" s="1" t="s">
        <v>16</v>
      </c>
      <c r="N1483" s="1" t="s">
        <v>33</v>
      </c>
      <c r="O1483" s="1" t="s">
        <v>27</v>
      </c>
      <c r="P1483" s="1" t="s">
        <v>27</v>
      </c>
      <c r="Q1483" s="1" t="s">
        <v>20</v>
      </c>
    </row>
    <row r="1484" spans="3:17" x14ac:dyDescent="0.25">
      <c r="C1484" s="1" t="str">
        <f>_xlfn.CONCAT(tabE.Flux[[#This Row],[DATA]],"+",tabE.Flux[[#This Row],[MOTORISTA + MATRÍCULA A]])</f>
        <v>45951+JWEBISON DE BRITO SOUZA - 2999</v>
      </c>
      <c r="D1484" s="1" t="str">
        <f>_xlfn.CONCAT(tabE.Flux[[#This Row],[DATA]],"+",tabE.Flux[[#This Row],[MOTORISTA + MATRÍCULA B]])</f>
        <v>45951+RICARDO AUGUSTO TEIXEIRA SANTOS - 5660</v>
      </c>
      <c r="E1484" s="1" t="str">
        <f>_xlfn.CONCAT(tabE.Flux[[#This Row],[DATA]],"+",tabE.Flux[[#This Row],[MOTORISTA + MATRÍCULA A]],"+",tabE.Flux[[#This Row],[LINHA]])</f>
        <v>45951+JWEBISON DE BRITO SOUZA - 2999+GOIANIA (GO) X TERESINA (PI) VIA BC</v>
      </c>
      <c r="F1484" s="1" t="str">
        <f>_xlfn.CONCAT(tabE.Flux[[#This Row],[DATA]],"+",tabE.Flux[[#This Row],[MOTORISTA + MATRÍCULA B]],"+",tabE.Flux[[#This Row],[LINHA]])</f>
        <v>45951+RICARDO AUGUSTO TEIXEIRA SANTOS - 5660+GOIANIA (GO) X TERESINA (PI) VIA BC</v>
      </c>
      <c r="G1484" s="1" t="str">
        <f>_xlfn.CONCAT(tabE.Flux[[#This Row],[DATA]],"+",tabE.Flux[[#This Row],[LINHA]])</f>
        <v>45951+GOIANIA (GO) X TERESINA (PI) VIA BC</v>
      </c>
      <c r="H1484" s="125">
        <v>45951</v>
      </c>
      <c r="I1484" s="1" t="s">
        <v>15</v>
      </c>
      <c r="J1484" s="1">
        <v>24011</v>
      </c>
      <c r="K1484" s="126">
        <v>0.375</v>
      </c>
      <c r="L1484" s="126">
        <v>0.39930555555555558</v>
      </c>
      <c r="M1484" s="1" t="s">
        <v>36</v>
      </c>
      <c r="N1484" s="1" t="s">
        <v>29</v>
      </c>
      <c r="O1484" s="1" t="s">
        <v>77</v>
      </c>
      <c r="P1484" s="1" t="s">
        <v>174</v>
      </c>
      <c r="Q1484" s="1" t="s">
        <v>39</v>
      </c>
    </row>
    <row r="1485" spans="3:17" x14ac:dyDescent="0.25">
      <c r="C1485" s="1" t="str">
        <f>_xlfn.CONCAT(tabE.Flux[[#This Row],[DATA]],"+",tabE.Flux[[#This Row],[MOTORISTA + MATRÍCULA A]])</f>
        <v>45951+MANOEL MESSIAS SILVA DOS SANTOS - 1833</v>
      </c>
      <c r="D1485" s="1" t="str">
        <f>_xlfn.CONCAT(tabE.Flux[[#This Row],[DATA]],"+",tabE.Flux[[#This Row],[MOTORISTA + MATRÍCULA B]])</f>
        <v>45951+ANTONIO FRANCINALDO DE OLIVEIRA MARQUES - 5018</v>
      </c>
      <c r="E1485" s="1" t="str">
        <f>_xlfn.CONCAT(tabE.Flux[[#This Row],[DATA]],"+",tabE.Flux[[#This Row],[MOTORISTA + MATRÍCULA A]],"+",tabE.Flux[[#This Row],[LINHA]])</f>
        <v>45951+MANOEL MESSIAS SILVA DOS SANTOS - 1833+GOIANIA (GO) X BELEM (PA)</v>
      </c>
      <c r="F1485" s="1" t="str">
        <f>_xlfn.CONCAT(tabE.Flux[[#This Row],[DATA]],"+",tabE.Flux[[#This Row],[MOTORISTA + MATRÍCULA B]],"+",tabE.Flux[[#This Row],[LINHA]])</f>
        <v>45951+ANTONIO FRANCINALDO DE OLIVEIRA MARQUES - 5018+GOIANIA (GO) X BELEM (PA)</v>
      </c>
      <c r="G1485" s="1" t="str">
        <f>_xlfn.CONCAT(tabE.Flux[[#This Row],[DATA]],"+",tabE.Flux[[#This Row],[LINHA]])</f>
        <v>45951+GOIANIA (GO) X BELEM (PA)</v>
      </c>
      <c r="H1485" s="125">
        <v>45951</v>
      </c>
      <c r="I1485" s="1" t="s">
        <v>15</v>
      </c>
      <c r="J1485" s="1">
        <v>19011</v>
      </c>
      <c r="K1485" s="126">
        <v>0.375</v>
      </c>
      <c r="L1485" s="126">
        <v>0.41666666666666669</v>
      </c>
      <c r="M1485" s="1" t="s">
        <v>33</v>
      </c>
      <c r="N1485" s="1" t="s">
        <v>16</v>
      </c>
      <c r="O1485" s="1" t="s">
        <v>173</v>
      </c>
      <c r="P1485" s="1" t="s">
        <v>233</v>
      </c>
      <c r="Q1485" s="1" t="s">
        <v>20</v>
      </c>
    </row>
    <row r="1486" spans="3:17" x14ac:dyDescent="0.25">
      <c r="C1486" s="1" t="str">
        <f>_xlfn.CONCAT(tabE.Flux[[#This Row],[DATA]],"+",tabE.Flux[[#This Row],[MOTORISTA + MATRÍCULA A]])</f>
        <v>45951+KAYLSON KLEYTON DA SILVA COSTA - 6224</v>
      </c>
      <c r="D1486" s="1" t="str">
        <f>_xlfn.CONCAT(tabE.Flux[[#This Row],[DATA]],"+",tabE.Flux[[#This Row],[MOTORISTA + MATRÍCULA B]])</f>
        <v>45951+RONNE RODRIGUES DE SOUSA - 5025</v>
      </c>
      <c r="E1486" s="1" t="str">
        <f>_xlfn.CONCAT(tabE.Flux[[#This Row],[DATA]],"+",tabE.Flux[[#This Row],[MOTORISTA + MATRÍCULA A]],"+",tabE.Flux[[#This Row],[LINHA]])</f>
        <v>45951+KAYLSON KLEYTON DA SILVA COSTA - 6224+GOIANIA (GO) X SAO LUIS (MA)</v>
      </c>
      <c r="F1486" s="1" t="str">
        <f>_xlfn.CONCAT(tabE.Flux[[#This Row],[DATA]],"+",tabE.Flux[[#This Row],[MOTORISTA + MATRÍCULA B]],"+",tabE.Flux[[#This Row],[LINHA]])</f>
        <v>45951+RONNE RODRIGUES DE SOUSA - 5025+GOIANIA (GO) X SAO LUIS (MA)</v>
      </c>
      <c r="G1486" s="1" t="str">
        <f>_xlfn.CONCAT(tabE.Flux[[#This Row],[DATA]],"+",tabE.Flux[[#This Row],[LINHA]])</f>
        <v>45951+GOIANIA (GO) X SAO LUIS (MA)</v>
      </c>
      <c r="H1486" s="125">
        <v>45951</v>
      </c>
      <c r="I1486" s="1" t="s">
        <v>15</v>
      </c>
      <c r="J1486" s="1">
        <v>19018</v>
      </c>
      <c r="K1486" s="126">
        <v>0.25</v>
      </c>
      <c r="L1486" s="126">
        <v>0.29166666666666669</v>
      </c>
      <c r="M1486" s="1" t="s">
        <v>42</v>
      </c>
      <c r="N1486" s="1" t="s">
        <v>16</v>
      </c>
      <c r="O1486" s="1" t="s">
        <v>80</v>
      </c>
      <c r="P1486" s="1" t="s">
        <v>85</v>
      </c>
      <c r="Q1486" s="1" t="s">
        <v>23</v>
      </c>
    </row>
    <row r="1487" spans="3:17" x14ac:dyDescent="0.25">
      <c r="C1487" s="1" t="str">
        <f>_xlfn.CONCAT(tabE.Flux[[#This Row],[DATA]],"+",tabE.Flux[[#This Row],[MOTORISTA + MATRÍCULA A]])</f>
        <v>45951+PAULO ENEAS FARIAS ARAUJO - 6218</v>
      </c>
      <c r="D1487" s="1" t="str">
        <f>_xlfn.CONCAT(tabE.Flux[[#This Row],[DATA]],"+",tabE.Flux[[#This Row],[MOTORISTA + MATRÍCULA B]])</f>
        <v>45951+FABIO MOREIRA DOS SANTOS - 3073</v>
      </c>
      <c r="E1487" s="1" t="str">
        <f>_xlfn.CONCAT(tabE.Flux[[#This Row],[DATA]],"+",tabE.Flux[[#This Row],[MOTORISTA + MATRÍCULA A]],"+",tabE.Flux[[#This Row],[LINHA]])</f>
        <v>45951+PAULO ENEAS FARIAS ARAUJO - 6218+GOIANIA (GO) X SAO LUIS (MA)</v>
      </c>
      <c r="F1487" s="1" t="str">
        <f>_xlfn.CONCAT(tabE.Flux[[#This Row],[DATA]],"+",tabE.Flux[[#This Row],[MOTORISTA + MATRÍCULA B]],"+",tabE.Flux[[#This Row],[LINHA]])</f>
        <v>45951+FABIO MOREIRA DOS SANTOS - 3073+GOIANIA (GO) X SAO LUIS (MA)</v>
      </c>
      <c r="G1487" s="1" t="str">
        <f>_xlfn.CONCAT(tabE.Flux[[#This Row],[DATA]],"+",tabE.Flux[[#This Row],[LINHA]])</f>
        <v>45951+GOIANIA (GO) X SAO LUIS (MA)</v>
      </c>
      <c r="H1487" s="125">
        <v>45951</v>
      </c>
      <c r="I1487" s="1" t="s">
        <v>15</v>
      </c>
      <c r="J1487" s="1">
        <v>25006</v>
      </c>
      <c r="K1487" s="126">
        <v>0.75</v>
      </c>
      <c r="L1487" s="126">
        <v>0.79166666666666663</v>
      </c>
      <c r="M1487" s="1" t="s">
        <v>42</v>
      </c>
      <c r="N1487" s="1" t="s">
        <v>16</v>
      </c>
      <c r="O1487" s="1" t="s">
        <v>43</v>
      </c>
      <c r="P1487" s="1" t="s">
        <v>50</v>
      </c>
      <c r="Q1487" s="1" t="s">
        <v>23</v>
      </c>
    </row>
    <row r="1488" spans="3:17" x14ac:dyDescent="0.25">
      <c r="C1488" s="1" t="str">
        <f>_xlfn.CONCAT(tabE.Flux[[#This Row],[DATA]],"+",tabE.Flux[[#This Row],[MOTORISTA + MATRÍCULA A]])</f>
        <v>45951+CANCELADO</v>
      </c>
      <c r="D1488" s="1" t="str">
        <f>_xlfn.CONCAT(tabE.Flux[[#This Row],[DATA]],"+",tabE.Flux[[#This Row],[MOTORISTA + MATRÍCULA B]])</f>
        <v>45951+CANCELADO</v>
      </c>
      <c r="E1488" s="1" t="str">
        <f>_xlfn.CONCAT(tabE.Flux[[#This Row],[DATA]],"+",tabE.Flux[[#This Row],[MOTORISTA + MATRÍCULA A]],"+",tabE.Flux[[#This Row],[LINHA]])</f>
        <v>45951+CANCELADO+IMPERATRIZ (MA) X SÃO LUIS (MA)</v>
      </c>
      <c r="F1488" s="1" t="str">
        <f>_xlfn.CONCAT(tabE.Flux[[#This Row],[DATA]],"+",tabE.Flux[[#This Row],[MOTORISTA + MATRÍCULA B]],"+",tabE.Flux[[#This Row],[LINHA]])</f>
        <v>45951+CANCELADO+IMPERATRIZ (MA) X SÃO LUIS (MA)</v>
      </c>
      <c r="G1488" s="1" t="str">
        <f>_xlfn.CONCAT(tabE.Flux[[#This Row],[DATA]],"+",tabE.Flux[[#This Row],[LINHA]])</f>
        <v>45951+IMPERATRIZ (MA) X SÃO LUIS (MA)</v>
      </c>
      <c r="H1488" s="125">
        <v>45951</v>
      </c>
      <c r="I1488" s="1" t="s">
        <v>15</v>
      </c>
      <c r="J1488" s="1" t="s">
        <v>27</v>
      </c>
      <c r="K1488" s="126">
        <v>0.77083333333333337</v>
      </c>
      <c r="L1488" s="126">
        <v>0.79513888888888884</v>
      </c>
      <c r="M1488" s="1" t="s">
        <v>42</v>
      </c>
      <c r="N1488" s="1" t="s">
        <v>16</v>
      </c>
      <c r="O1488" s="1" t="s">
        <v>27</v>
      </c>
      <c r="P1488" s="1" t="s">
        <v>27</v>
      </c>
      <c r="Q1488" s="1" t="s">
        <v>47</v>
      </c>
    </row>
    <row r="1489" spans="3:17" x14ac:dyDescent="0.25">
      <c r="C1489" s="1" t="str">
        <f>_xlfn.CONCAT(tabE.Flux[[#This Row],[DATA]],"+",tabE.Flux[[#This Row],[MOTORISTA + MATRÍCULA A]])</f>
        <v>45951+WENDER PEDRO DA SILVA - 1596</v>
      </c>
      <c r="D1489" s="1" t="str">
        <f>_xlfn.CONCAT(tabE.Flux[[#This Row],[DATA]],"+",tabE.Flux[[#This Row],[MOTORISTA + MATRÍCULA B]])</f>
        <v>45951+JANIO CEZAR DOS SANTOS - 6021</v>
      </c>
      <c r="E1489" s="1" t="str">
        <f>_xlfn.CONCAT(tabE.Flux[[#This Row],[DATA]],"+",tabE.Flux[[#This Row],[MOTORISTA + MATRÍCULA A]],"+",tabE.Flux[[#This Row],[LINHA]])</f>
        <v>45951+WENDER PEDRO DA SILVA - 1596+GOIANIA (GO) X TERESINA (PI) VIA BC</v>
      </c>
      <c r="F1489" s="1" t="str">
        <f>_xlfn.CONCAT(tabE.Flux[[#This Row],[DATA]],"+",tabE.Flux[[#This Row],[MOTORISTA + MATRÍCULA B]],"+",tabE.Flux[[#This Row],[LINHA]])</f>
        <v>45951+JANIO CEZAR DOS SANTOS - 6021+GOIANIA (GO) X TERESINA (PI) VIA BC</v>
      </c>
      <c r="G1489" s="1" t="str">
        <f>_xlfn.CONCAT(tabE.Flux[[#This Row],[DATA]],"+",tabE.Flux[[#This Row],[LINHA]])</f>
        <v>45951+GOIANIA (GO) X TERESINA (PI) VIA BC</v>
      </c>
      <c r="H1489" s="125">
        <v>45951</v>
      </c>
      <c r="I1489" s="1" t="s">
        <v>15</v>
      </c>
      <c r="J1489" s="1">
        <v>24002</v>
      </c>
      <c r="K1489" s="126">
        <v>0.89583333333333337</v>
      </c>
      <c r="L1489" s="126">
        <v>0.91666666666666663</v>
      </c>
      <c r="M1489" s="1" t="s">
        <v>36</v>
      </c>
      <c r="N1489" s="1" t="s">
        <v>17</v>
      </c>
      <c r="O1489" s="1" t="s">
        <v>207</v>
      </c>
      <c r="P1489" s="1" t="s">
        <v>115</v>
      </c>
      <c r="Q1489" s="1" t="s">
        <v>39</v>
      </c>
    </row>
    <row r="1490" spans="3:17" x14ac:dyDescent="0.25">
      <c r="C1490" s="1" t="str">
        <f>_xlfn.CONCAT(tabE.Flux[[#This Row],[DATA]],"+",tabE.Flux[[#This Row],[MOTORISTA + MATRÍCULA A]])</f>
        <v>45951+BRUNO MATOS DA ROCHA - 6013</v>
      </c>
      <c r="D1490" s="1" t="str">
        <f>_xlfn.CONCAT(tabE.Flux[[#This Row],[DATA]],"+",tabE.Flux[[#This Row],[MOTORISTA + MATRÍCULA B]])</f>
        <v>45951+REINAN JOSE BORGES SOUSA - 1075</v>
      </c>
      <c r="E1490" s="1" t="str">
        <f>_xlfn.CONCAT(tabE.Flux[[#This Row],[DATA]],"+",tabE.Flux[[#This Row],[MOTORISTA + MATRÍCULA A]],"+",tabE.Flux[[#This Row],[LINHA]])</f>
        <v>45951+BRUNO MATOS DA ROCHA - 6013+GOIANIA (GO) X BELEM (PA)</v>
      </c>
      <c r="F1490" s="1" t="str">
        <f>_xlfn.CONCAT(tabE.Flux[[#This Row],[DATA]],"+",tabE.Flux[[#This Row],[MOTORISTA + MATRÍCULA B]],"+",tabE.Flux[[#This Row],[LINHA]])</f>
        <v>45951+REINAN JOSE BORGES SOUSA - 1075+GOIANIA (GO) X BELEM (PA)</v>
      </c>
      <c r="G1490" s="1" t="str">
        <f>_xlfn.CONCAT(tabE.Flux[[#This Row],[DATA]],"+",tabE.Flux[[#This Row],[LINHA]])</f>
        <v>45951+GOIANIA (GO) X BELEM (PA)</v>
      </c>
      <c r="H1490" s="125">
        <v>45951</v>
      </c>
      <c r="I1490" s="1" t="s">
        <v>15</v>
      </c>
      <c r="J1490" s="1">
        <v>25009</v>
      </c>
      <c r="K1490" s="126">
        <v>0.76041666666666663</v>
      </c>
      <c r="L1490" s="126">
        <v>0.77083333333333337</v>
      </c>
      <c r="M1490" s="1" t="s">
        <v>33</v>
      </c>
      <c r="N1490" s="1" t="s">
        <v>16</v>
      </c>
      <c r="O1490" s="1" t="s">
        <v>147</v>
      </c>
      <c r="P1490" s="1" t="s">
        <v>84</v>
      </c>
      <c r="Q1490" s="1" t="s">
        <v>20</v>
      </c>
    </row>
    <row r="1491" spans="3:17" x14ac:dyDescent="0.25">
      <c r="C1491" s="1" t="str">
        <f>_xlfn.CONCAT(tabE.Flux[[#This Row],[DATA]],"+",tabE.Flux[[#This Row],[MOTORISTA + MATRÍCULA A]])</f>
        <v>45951+EDIVALDO DOS SANTOS SOUZA - 905</v>
      </c>
      <c r="D1491" s="1" t="str">
        <f>_xlfn.CONCAT(tabE.Flux[[#This Row],[DATA]],"+",tabE.Flux[[#This Row],[MOTORISTA + MATRÍCULA B]])</f>
        <v>45951+LUIZ CARLOS MARIANO SIQUEIRA - 5634</v>
      </c>
      <c r="E1491" s="1" t="str">
        <f>_xlfn.CONCAT(tabE.Flux[[#This Row],[DATA]],"+",tabE.Flux[[#This Row],[MOTORISTA + MATRÍCULA A]],"+",tabE.Flux[[#This Row],[LINHA]])</f>
        <v>45951+EDIVALDO DOS SANTOS SOUZA - 905+GOIANIA (GO) X BELEM (PA)</v>
      </c>
      <c r="F1491" s="1" t="str">
        <f>_xlfn.CONCAT(tabE.Flux[[#This Row],[DATA]],"+",tabE.Flux[[#This Row],[MOTORISTA + MATRÍCULA B]],"+",tabE.Flux[[#This Row],[LINHA]])</f>
        <v>45951+LUIZ CARLOS MARIANO SIQUEIRA - 5634+GOIANIA (GO) X BELEM (PA)</v>
      </c>
      <c r="G1491" s="1" t="str">
        <f>_xlfn.CONCAT(tabE.Flux[[#This Row],[DATA]],"+",tabE.Flux[[#This Row],[LINHA]])</f>
        <v>45951+GOIANIA (GO) X BELEM (PA)</v>
      </c>
      <c r="H1491" s="125">
        <v>45951</v>
      </c>
      <c r="I1491" s="1" t="s">
        <v>15</v>
      </c>
      <c r="J1491" s="1">
        <v>24011</v>
      </c>
      <c r="K1491" s="126">
        <v>0.76041666666666663</v>
      </c>
      <c r="L1491" s="126">
        <v>0.82777777777777772</v>
      </c>
      <c r="M1491" s="1" t="s">
        <v>16</v>
      </c>
      <c r="N1491" s="1" t="s">
        <v>33</v>
      </c>
      <c r="O1491" s="1" t="s">
        <v>187</v>
      </c>
      <c r="P1491" s="1" t="s">
        <v>51</v>
      </c>
      <c r="Q1491" s="1" t="s">
        <v>20</v>
      </c>
    </row>
    <row r="1492" spans="3:17" x14ac:dyDescent="0.25">
      <c r="C1492" s="1" t="str">
        <f>_xlfn.CONCAT(tabE.Flux[[#This Row],[DATA]],"+",tabE.Flux[[#This Row],[MOTORISTA + MATRÍCULA A]])</f>
        <v>45951+CANCELADO</v>
      </c>
      <c r="D1492" s="1" t="str">
        <f>_xlfn.CONCAT(tabE.Flux[[#This Row],[DATA]],"+",tabE.Flux[[#This Row],[MOTORISTA + MATRÍCULA B]])</f>
        <v>45951+CANCELADO</v>
      </c>
      <c r="E1492" s="1" t="str">
        <f>_xlfn.CONCAT(tabE.Flux[[#This Row],[DATA]],"+",tabE.Flux[[#This Row],[MOTORISTA + MATRÍCULA A]],"+",tabE.Flux[[#This Row],[LINHA]])</f>
        <v>45951+CANCELADO+GOIANIA (GO) X SAO LUIS (MA)</v>
      </c>
      <c r="F1492" s="1" t="str">
        <f>_xlfn.CONCAT(tabE.Flux[[#This Row],[DATA]],"+",tabE.Flux[[#This Row],[MOTORISTA + MATRÍCULA B]],"+",tabE.Flux[[#This Row],[LINHA]])</f>
        <v>45951+CANCELADO+GOIANIA (GO) X SAO LUIS (MA)</v>
      </c>
      <c r="G1492" s="1" t="str">
        <f>_xlfn.CONCAT(tabE.Flux[[#This Row],[DATA]],"+",tabE.Flux[[#This Row],[LINHA]])</f>
        <v>45951+GOIANIA (GO) X SAO LUIS (MA)</v>
      </c>
      <c r="H1492" s="125">
        <v>45951</v>
      </c>
      <c r="I1492" s="1" t="s">
        <v>15</v>
      </c>
      <c r="J1492" s="1" t="s">
        <v>27</v>
      </c>
      <c r="K1492" s="126">
        <v>0.40763888888888888</v>
      </c>
      <c r="L1492" s="126">
        <v>0.47013888888888888</v>
      </c>
      <c r="M1492" s="1" t="s">
        <v>16</v>
      </c>
      <c r="N1492" s="1" t="s">
        <v>42</v>
      </c>
      <c r="O1492" s="1" t="s">
        <v>27</v>
      </c>
      <c r="P1492" s="1" t="s">
        <v>27</v>
      </c>
      <c r="Q1492" s="1" t="s">
        <v>23</v>
      </c>
    </row>
    <row r="1493" spans="3:17" x14ac:dyDescent="0.25">
      <c r="C1493" s="1" t="str">
        <f>_xlfn.CONCAT(tabE.Flux[[#This Row],[DATA]],"+",tabE.Flux[[#This Row],[MOTORISTA + MATRÍCULA A]])</f>
        <v>45951+CANCELADO</v>
      </c>
      <c r="D1493" s="1" t="str">
        <f>_xlfn.CONCAT(tabE.Flux[[#This Row],[DATA]],"+",tabE.Flux[[#This Row],[MOTORISTA + MATRÍCULA B]])</f>
        <v>45951+CANCELADO</v>
      </c>
      <c r="E1493" s="1" t="str">
        <f>_xlfn.CONCAT(tabE.Flux[[#This Row],[DATA]],"+",tabE.Flux[[#This Row],[MOTORISTA + MATRÍCULA A]],"+",tabE.Flux[[#This Row],[LINHA]])</f>
        <v>45951+CANCELADO+IMPERATRIZ (MA) X SÃO LUIS (MA)</v>
      </c>
      <c r="F1493" s="1" t="str">
        <f>_xlfn.CONCAT(tabE.Flux[[#This Row],[DATA]],"+",tabE.Flux[[#This Row],[MOTORISTA + MATRÍCULA B]],"+",tabE.Flux[[#This Row],[LINHA]])</f>
        <v>45951+CANCELADO+IMPERATRIZ (MA) X SÃO LUIS (MA)</v>
      </c>
      <c r="G1493" s="1" t="str">
        <f>_xlfn.CONCAT(tabE.Flux[[#This Row],[DATA]],"+",tabE.Flux[[#This Row],[LINHA]])</f>
        <v>45951+IMPERATRIZ (MA) X SÃO LUIS (MA)</v>
      </c>
      <c r="H1493" s="125">
        <v>45951</v>
      </c>
      <c r="I1493" s="1" t="s">
        <v>15</v>
      </c>
      <c r="J1493" s="1" t="s">
        <v>27</v>
      </c>
      <c r="K1493" s="126">
        <v>0.77083333333333337</v>
      </c>
      <c r="L1493" s="126">
        <v>0.8125</v>
      </c>
      <c r="M1493" s="1" t="s">
        <v>16</v>
      </c>
      <c r="N1493" s="1" t="s">
        <v>42</v>
      </c>
      <c r="O1493" s="1" t="s">
        <v>27</v>
      </c>
      <c r="P1493" s="1" t="s">
        <v>27</v>
      </c>
      <c r="Q1493" s="1" t="s">
        <v>47</v>
      </c>
    </row>
    <row r="1494" spans="3:17" x14ac:dyDescent="0.25">
      <c r="C1494" s="1" t="str">
        <f>_xlfn.CONCAT(tabE.Flux[[#This Row],[DATA]],"+",tabE.Flux[[#This Row],[MOTORISTA + MATRÍCULA A]])</f>
        <v>45951+JARDEL DE SOUSA OLIVEIRA - 5992</v>
      </c>
      <c r="D1494" s="1" t="str">
        <f>_xlfn.CONCAT(tabE.Flux[[#This Row],[DATA]],"+",tabE.Flux[[#This Row],[MOTORISTA + MATRÍCULA B]])</f>
        <v>45951+KAYLSON KLEYTON DA SILVA COSTA - 6224</v>
      </c>
      <c r="E1494" s="1" t="str">
        <f>_xlfn.CONCAT(tabE.Flux[[#This Row],[DATA]],"+",tabE.Flux[[#This Row],[MOTORISTA + MATRÍCULA A]],"+",tabE.Flux[[#This Row],[LINHA]])</f>
        <v>45951+JARDEL DE SOUSA OLIVEIRA - 5992+GOIANIA (GO) X SAO LUIS (MA)</v>
      </c>
      <c r="F1494" s="1" t="str">
        <f>_xlfn.CONCAT(tabE.Flux[[#This Row],[DATA]],"+",tabE.Flux[[#This Row],[MOTORISTA + MATRÍCULA B]],"+",tabE.Flux[[#This Row],[LINHA]])</f>
        <v>45951+KAYLSON KLEYTON DA SILVA COSTA - 6224+GOIANIA (GO) X SAO LUIS (MA)</v>
      </c>
      <c r="G1494" s="1" t="str">
        <f>_xlfn.CONCAT(tabE.Flux[[#This Row],[DATA]],"+",tabE.Flux[[#This Row],[LINHA]])</f>
        <v>45951+GOIANIA (GO) X SAO LUIS (MA)</v>
      </c>
      <c r="H1494" s="125">
        <v>45951</v>
      </c>
      <c r="I1494" s="1" t="s">
        <v>15</v>
      </c>
      <c r="J1494" s="1">
        <v>24013</v>
      </c>
      <c r="K1494" s="126">
        <v>0.8125</v>
      </c>
      <c r="L1494" s="126">
        <v>0.84375</v>
      </c>
      <c r="M1494" s="1" t="s">
        <v>16</v>
      </c>
      <c r="N1494" s="1" t="s">
        <v>42</v>
      </c>
      <c r="O1494" s="1" t="s">
        <v>150</v>
      </c>
      <c r="P1494" s="1" t="s">
        <v>80</v>
      </c>
      <c r="Q1494" s="1" t="s">
        <v>23</v>
      </c>
    </row>
    <row r="1495" spans="3:17" x14ac:dyDescent="0.25">
      <c r="C1495" s="1" t="str">
        <f>_xlfn.CONCAT(tabE.Flux[[#This Row],[DATA]],"+",tabE.Flux[[#This Row],[MOTORISTA + MATRÍCULA A]])</f>
        <v>45951+JAME DOS SANTOS MOURA - 5332</v>
      </c>
      <c r="D1495" s="1" t="str">
        <f>_xlfn.CONCAT(tabE.Flux[[#This Row],[DATA]],"+",tabE.Flux[[#This Row],[MOTORISTA + MATRÍCULA B]])</f>
        <v>45951+</v>
      </c>
      <c r="E1495" s="1" t="str">
        <f>_xlfn.CONCAT(tabE.Flux[[#This Row],[DATA]],"+",tabE.Flux[[#This Row],[MOTORISTA + MATRÍCULA A]],"+",tabE.Flux[[#This Row],[LINHA]])</f>
        <v>45951+JAME DOS SANTOS MOURA - 5332+GOIANIA (GO) X TERESINA (PI) VIA STI</v>
      </c>
      <c r="F1495" s="1" t="str">
        <f>_xlfn.CONCAT(tabE.Flux[[#This Row],[DATA]],"+",tabE.Flux[[#This Row],[MOTORISTA + MATRÍCULA B]],"+",tabE.Flux[[#This Row],[LINHA]])</f>
        <v>45951++GOIANIA (GO) X TERESINA (PI) VIA STI</v>
      </c>
      <c r="G1495" s="1" t="str">
        <f>_xlfn.CONCAT(tabE.Flux[[#This Row],[DATA]],"+",tabE.Flux[[#This Row],[LINHA]])</f>
        <v>45951+GOIANIA (GO) X TERESINA (PI) VIA STI</v>
      </c>
      <c r="H1495" s="125">
        <v>45951</v>
      </c>
      <c r="I1495" s="1" t="s">
        <v>15</v>
      </c>
      <c r="J1495" s="1">
        <v>19013</v>
      </c>
      <c r="K1495" s="126">
        <v>0.77083333333333337</v>
      </c>
      <c r="L1495" s="126">
        <v>0.79861111111111116</v>
      </c>
      <c r="M1495" s="1" t="s">
        <v>16</v>
      </c>
      <c r="N1495" s="1" t="s">
        <v>29</v>
      </c>
      <c r="O1495" s="1" t="s">
        <v>103</v>
      </c>
      <c r="P1495" s="1"/>
      <c r="Q1495" s="1" t="s">
        <v>26</v>
      </c>
    </row>
    <row r="1496" spans="3:17" x14ac:dyDescent="0.25">
      <c r="C1496" s="1" t="str">
        <f>_xlfn.CONCAT(tabE.Flux[[#This Row],[DATA]],"+",tabE.Flux[[#This Row],[MOTORISTA + MATRÍCULA A]])</f>
        <v>45951+NEURI BISPO DA SILVA - 2682</v>
      </c>
      <c r="D1496" s="1" t="str">
        <f>_xlfn.CONCAT(tabE.Flux[[#This Row],[DATA]],"+",tabE.Flux[[#This Row],[MOTORISTA + MATRÍCULA B]])</f>
        <v>45951+AGNALDO ALVES DE CARVALHO - 5623</v>
      </c>
      <c r="E1496" s="1" t="str">
        <f>_xlfn.CONCAT(tabE.Flux[[#This Row],[DATA]],"+",tabE.Flux[[#This Row],[MOTORISTA + MATRÍCULA A]],"+",tabE.Flux[[#This Row],[LINHA]])</f>
        <v>45951+NEURI BISPO DA SILVA - 2682+GOIANIA (GO) X SAO LUIS (MA)</v>
      </c>
      <c r="F1496" s="1" t="str">
        <f>_xlfn.CONCAT(tabE.Flux[[#This Row],[DATA]],"+",tabE.Flux[[#This Row],[MOTORISTA + MATRÍCULA B]],"+",tabE.Flux[[#This Row],[LINHA]])</f>
        <v>45951+AGNALDO ALVES DE CARVALHO - 5623+GOIANIA (GO) X SAO LUIS (MA)</v>
      </c>
      <c r="G1496" s="1" t="str">
        <f>_xlfn.CONCAT(tabE.Flux[[#This Row],[DATA]],"+",tabE.Flux[[#This Row],[LINHA]])</f>
        <v>45951+GOIANIA (GO) X SAO LUIS (MA)</v>
      </c>
      <c r="H1496" s="125">
        <v>45951</v>
      </c>
      <c r="I1496" s="1" t="s">
        <v>15</v>
      </c>
      <c r="J1496" s="1">
        <v>19018</v>
      </c>
      <c r="K1496" s="126">
        <v>0.8125</v>
      </c>
      <c r="L1496" s="126">
        <v>0.84166666666666667</v>
      </c>
      <c r="M1496" s="1" t="s">
        <v>16</v>
      </c>
      <c r="N1496" s="1" t="s">
        <v>17</v>
      </c>
      <c r="O1496" s="1" t="s">
        <v>166</v>
      </c>
      <c r="P1496" s="1" t="s">
        <v>114</v>
      </c>
      <c r="Q1496" s="1" t="s">
        <v>23</v>
      </c>
    </row>
    <row r="1497" spans="3:17" x14ac:dyDescent="0.25">
      <c r="C1497" s="1" t="str">
        <f>_xlfn.CONCAT(tabE.Flux[[#This Row],[DATA]],"+",tabE.Flux[[#This Row],[MOTORISTA + MATRÍCULA A]])</f>
        <v>45951+VALDIVINO GONCALVES DA SILVA - 5724</v>
      </c>
      <c r="D1497" s="1" t="str">
        <f>_xlfn.CONCAT(tabE.Flux[[#This Row],[DATA]],"+",tabE.Flux[[#This Row],[MOTORISTA + MATRÍCULA B]])</f>
        <v>45951+LOURIVAL FRANCISCO DA COSTA - 5826</v>
      </c>
      <c r="E1497" s="1" t="str">
        <f>_xlfn.CONCAT(tabE.Flux[[#This Row],[DATA]],"+",tabE.Flux[[#This Row],[MOTORISTA + MATRÍCULA A]],"+",tabE.Flux[[#This Row],[LINHA]])</f>
        <v>45951+VALDIVINO GONCALVES DA SILVA - 5724+FORTALEZA (CE) X SINOP (MT)</v>
      </c>
      <c r="F1497" s="1" t="str">
        <f>_xlfn.CONCAT(tabE.Flux[[#This Row],[DATA]],"+",tabE.Flux[[#This Row],[MOTORISTA + MATRÍCULA B]],"+",tabE.Flux[[#This Row],[LINHA]])</f>
        <v>45951+LOURIVAL FRANCISCO DA COSTA - 5826+FORTALEZA (CE) X SINOP (MT)</v>
      </c>
      <c r="G1497" s="1" t="str">
        <f>_xlfn.CONCAT(tabE.Flux[[#This Row],[DATA]],"+",tabE.Flux[[#This Row],[LINHA]])</f>
        <v>45951+FORTALEZA (CE) X SINOP (MT)</v>
      </c>
      <c r="H1497" s="125">
        <v>45951</v>
      </c>
      <c r="I1497" s="1" t="s">
        <v>15</v>
      </c>
      <c r="J1497" s="1">
        <v>19002</v>
      </c>
      <c r="K1497" s="126">
        <v>0.8125</v>
      </c>
      <c r="L1497" s="126">
        <v>0.85416666666666663</v>
      </c>
      <c r="M1497" s="1" t="s">
        <v>16</v>
      </c>
      <c r="N1497" s="1" t="s">
        <v>17</v>
      </c>
      <c r="O1497" s="1" t="s">
        <v>168</v>
      </c>
      <c r="P1497" s="1" t="s">
        <v>68</v>
      </c>
      <c r="Q1497" s="1" t="s">
        <v>32</v>
      </c>
    </row>
    <row r="1498" spans="3:17" x14ac:dyDescent="0.25">
      <c r="C1498" s="1" t="str">
        <f>_xlfn.CONCAT(tabE.Flux[[#This Row],[DATA]],"+",tabE.Flux[[#This Row],[MOTORISTA + MATRÍCULA A]])</f>
        <v>45951+JUSCELINO PIRES GONCALVES - 1343</v>
      </c>
      <c r="D1498" s="1" t="str">
        <f>_xlfn.CONCAT(tabE.Flux[[#This Row],[DATA]],"+",tabE.Flux[[#This Row],[MOTORISTA + MATRÍCULA B]])</f>
        <v>45951+OLISMAR BATISTA DE DEUS - 5293</v>
      </c>
      <c r="E1498" s="1" t="str">
        <f>_xlfn.CONCAT(tabE.Flux[[#This Row],[DATA]],"+",tabE.Flux[[#This Row],[MOTORISTA + MATRÍCULA A]],"+",tabE.Flux[[#This Row],[LINHA]])</f>
        <v>45951+JUSCELINO PIRES GONCALVES - 1343+GOIANIA (GO) X BELEM (PA)</v>
      </c>
      <c r="F1498" s="1" t="str">
        <f>_xlfn.CONCAT(tabE.Flux[[#This Row],[DATA]],"+",tabE.Flux[[#This Row],[MOTORISTA + MATRÍCULA B]],"+",tabE.Flux[[#This Row],[LINHA]])</f>
        <v>45951+OLISMAR BATISTA DE DEUS - 5293+GOIANIA (GO) X BELEM (PA)</v>
      </c>
      <c r="G1498" s="1" t="str">
        <f>_xlfn.CONCAT(tabE.Flux[[#This Row],[DATA]],"+",tabE.Flux[[#This Row],[LINHA]])</f>
        <v>45951+GOIANIA (GO) X BELEM (PA)</v>
      </c>
      <c r="H1498" s="125">
        <v>45951</v>
      </c>
      <c r="I1498" s="1" t="s">
        <v>15</v>
      </c>
      <c r="J1498" s="1">
        <v>19011</v>
      </c>
      <c r="K1498" s="126">
        <v>0.84722222222222221</v>
      </c>
      <c r="L1498" s="126">
        <v>0.87847222222222221</v>
      </c>
      <c r="M1498" s="1" t="s">
        <v>16</v>
      </c>
      <c r="N1498" s="1" t="s">
        <v>17</v>
      </c>
      <c r="O1498" s="1" t="s">
        <v>138</v>
      </c>
      <c r="P1498" s="1" t="s">
        <v>139</v>
      </c>
      <c r="Q1498" s="1" t="s">
        <v>20</v>
      </c>
    </row>
    <row r="1499" spans="3:17" x14ac:dyDescent="0.25">
      <c r="C1499" s="1" t="str">
        <f>_xlfn.CONCAT(tabE.Flux[[#This Row],[DATA]],"+",tabE.Flux[[#This Row],[MOTORISTA + MATRÍCULA A]])</f>
        <v>+</v>
      </c>
      <c r="D1499" s="1" t="str">
        <f>_xlfn.CONCAT(tabE.Flux[[#This Row],[DATA]],"+",tabE.Flux[[#This Row],[MOTORISTA + MATRÍCULA B]])</f>
        <v>+</v>
      </c>
      <c r="E1499" s="1" t="str">
        <f>_xlfn.CONCAT(tabE.Flux[[#This Row],[DATA]],"+",tabE.Flux[[#This Row],[MOTORISTA + MATRÍCULA A]],"+",tabE.Flux[[#This Row],[LINHA]])</f>
        <v>++</v>
      </c>
      <c r="F1499" s="1" t="str">
        <f>_xlfn.CONCAT(tabE.Flux[[#This Row],[DATA]],"+",tabE.Flux[[#This Row],[MOTORISTA + MATRÍCULA B]],"+",tabE.Flux[[#This Row],[LINHA]])</f>
        <v>++</v>
      </c>
      <c r="G1499" s="1" t="str">
        <f>_xlfn.CONCAT(tabE.Flux[[#This Row],[DATA]],"+",tabE.Flux[[#This Row],[LINHA]])</f>
        <v>+</v>
      </c>
      <c r="H1499" s="1"/>
      <c r="I1499" s="1"/>
      <c r="J1499" s="1"/>
      <c r="K1499" s="1"/>
      <c r="L1499" s="1"/>
      <c r="M1499" s="1"/>
      <c r="N1499" s="1"/>
      <c r="O1499" s="1"/>
      <c r="P1499" s="1"/>
      <c r="Q1499" s="1"/>
    </row>
    <row r="1500" spans="3:17" x14ac:dyDescent="0.25">
      <c r="C1500" s="1" t="str">
        <f>_xlfn.CONCAT(tabE.Flux[[#This Row],[DATA]],"+",tabE.Flux[[#This Row],[MOTORISTA + MATRÍCULA A]])</f>
        <v>45952+GILMAR RODRIGUES DE LIMA - 5819</v>
      </c>
      <c r="D1500" s="1" t="str">
        <f>_xlfn.CONCAT(tabE.Flux[[#This Row],[DATA]],"+",tabE.Flux[[#This Row],[MOTORISTA + MATRÍCULA B]])</f>
        <v>45952+SILVIO SILVA DE OLIVEIRA - 5793</v>
      </c>
      <c r="E1500" s="1" t="str">
        <f>_xlfn.CONCAT(tabE.Flux[[#This Row],[DATA]],"+",tabE.Flux[[#This Row],[MOTORISTA + MATRÍCULA A]],"+",tabE.Flux[[#This Row],[LINHA]])</f>
        <v>45952+GILMAR RODRIGUES DE LIMA - 5819+GOIANIA (GO) X BELEM (PA)</v>
      </c>
      <c r="F1500" s="1" t="str">
        <f>_xlfn.CONCAT(tabE.Flux[[#This Row],[DATA]],"+",tabE.Flux[[#This Row],[MOTORISTA + MATRÍCULA B]],"+",tabE.Flux[[#This Row],[LINHA]])</f>
        <v>45952+SILVIO SILVA DE OLIVEIRA - 5793+GOIANIA (GO) X BELEM (PA)</v>
      </c>
      <c r="G1500" s="1" t="str">
        <f>_xlfn.CONCAT(tabE.Flux[[#This Row],[DATA]],"+",tabE.Flux[[#This Row],[LINHA]])</f>
        <v>45952+GOIANIA (GO) X BELEM (PA)</v>
      </c>
      <c r="H1500" s="125">
        <v>45952</v>
      </c>
      <c r="I1500" s="1" t="s">
        <v>15</v>
      </c>
      <c r="J1500" s="1">
        <v>25009</v>
      </c>
      <c r="K1500" s="126">
        <v>0.25486111111111109</v>
      </c>
      <c r="L1500" s="126">
        <v>0.3</v>
      </c>
      <c r="M1500" s="1" t="s">
        <v>16</v>
      </c>
      <c r="N1500" s="1" t="s">
        <v>17</v>
      </c>
      <c r="O1500" s="1" t="s">
        <v>193</v>
      </c>
      <c r="P1500" s="1" t="s">
        <v>163</v>
      </c>
      <c r="Q1500" s="1" t="s">
        <v>20</v>
      </c>
    </row>
    <row r="1501" spans="3:17" x14ac:dyDescent="0.25">
      <c r="C1501" s="1" t="str">
        <f>_xlfn.CONCAT(tabE.Flux[[#This Row],[DATA]],"+",tabE.Flux[[#This Row],[MOTORISTA + MATRÍCULA A]])</f>
        <v>45952+ADEMILTON DE OLIVEIRA SILVA - 5559</v>
      </c>
      <c r="D1501" s="1" t="str">
        <f>_xlfn.CONCAT(tabE.Flux[[#This Row],[DATA]],"+",tabE.Flux[[#This Row],[MOTORISTA + MATRÍCULA B]])</f>
        <v>45952+RAINERIO COSTA MENDES - 5850</v>
      </c>
      <c r="E1501" s="1" t="str">
        <f>_xlfn.CONCAT(tabE.Flux[[#This Row],[DATA]],"+",tabE.Flux[[#This Row],[MOTORISTA + MATRÍCULA A]],"+",tabE.Flux[[#This Row],[LINHA]])</f>
        <v>45952+ADEMILTON DE OLIVEIRA SILVA - 5559+GOIANIA (GO) X SAO LUIS (MA)</v>
      </c>
      <c r="F1501" s="1" t="str">
        <f>_xlfn.CONCAT(tabE.Flux[[#This Row],[DATA]],"+",tabE.Flux[[#This Row],[MOTORISTA + MATRÍCULA B]],"+",tabE.Flux[[#This Row],[LINHA]])</f>
        <v>45952+RAINERIO COSTA MENDES - 5850+GOIANIA (GO) X SAO LUIS (MA)</v>
      </c>
      <c r="G1501" s="1" t="str">
        <f>_xlfn.CONCAT(tabE.Flux[[#This Row],[DATA]],"+",tabE.Flux[[#This Row],[LINHA]])</f>
        <v>45952+GOIANIA (GO) X SAO LUIS (MA)</v>
      </c>
      <c r="H1501" s="125">
        <v>45952</v>
      </c>
      <c r="I1501" s="1" t="s">
        <v>15</v>
      </c>
      <c r="J1501" s="1">
        <v>25006</v>
      </c>
      <c r="K1501" s="126">
        <v>0.32291666666666669</v>
      </c>
      <c r="L1501" s="126">
        <v>0.33333333333333331</v>
      </c>
      <c r="M1501" s="1" t="s">
        <v>16</v>
      </c>
      <c r="N1501" s="1" t="s">
        <v>17</v>
      </c>
      <c r="O1501" s="1" t="s">
        <v>40</v>
      </c>
      <c r="P1501" s="1" t="s">
        <v>108</v>
      </c>
      <c r="Q1501" s="1" t="s">
        <v>23</v>
      </c>
    </row>
    <row r="1502" spans="3:17" x14ac:dyDescent="0.25">
      <c r="C1502" s="1" t="str">
        <f>_xlfn.CONCAT(tabE.Flux[[#This Row],[DATA]],"+",tabE.Flux[[#This Row],[MOTORISTA + MATRÍCULA A]])</f>
        <v>45952+CLAUDIOMAR ALENCAR DO NASCIMENTO - 2970</v>
      </c>
      <c r="D1502" s="1" t="str">
        <f>_xlfn.CONCAT(tabE.Flux[[#This Row],[DATA]],"+",tabE.Flux[[#This Row],[MOTORISTA + MATRÍCULA B]])</f>
        <v>45952+REGINALDO DE SOUSA OLIVEIRA - 5412</v>
      </c>
      <c r="E1502" s="1" t="str">
        <f>_xlfn.CONCAT(tabE.Flux[[#This Row],[DATA]],"+",tabE.Flux[[#This Row],[MOTORISTA + MATRÍCULA A]],"+",tabE.Flux[[#This Row],[LINHA]])</f>
        <v>45952+CLAUDIOMAR ALENCAR DO NASCIMENTO - 2970+GOIANIA (GO) X TERESINA (PI) VIA STI</v>
      </c>
      <c r="F1502" s="1" t="str">
        <f>_xlfn.CONCAT(tabE.Flux[[#This Row],[DATA]],"+",tabE.Flux[[#This Row],[MOTORISTA + MATRÍCULA B]],"+",tabE.Flux[[#This Row],[LINHA]])</f>
        <v>45952+REGINALDO DE SOUSA OLIVEIRA - 5412+GOIANIA (GO) X TERESINA (PI) VIA STI</v>
      </c>
      <c r="G1502" s="1" t="str">
        <f>_xlfn.CONCAT(tabE.Flux[[#This Row],[DATA]],"+",tabE.Flux[[#This Row],[LINHA]])</f>
        <v>45952+GOIANIA (GO) X TERESINA (PI) VIA STI</v>
      </c>
      <c r="H1502" s="125">
        <v>45952</v>
      </c>
      <c r="I1502" s="1" t="s">
        <v>15</v>
      </c>
      <c r="J1502" s="1">
        <v>20014</v>
      </c>
      <c r="K1502" s="126">
        <v>0.3888888888888889</v>
      </c>
      <c r="L1502" s="126">
        <v>0.39583333333333331</v>
      </c>
      <c r="M1502" s="1" t="s">
        <v>16</v>
      </c>
      <c r="N1502" s="1" t="s">
        <v>17</v>
      </c>
      <c r="O1502" s="1" t="s">
        <v>211</v>
      </c>
      <c r="P1502" s="1" t="s">
        <v>239</v>
      </c>
      <c r="Q1502" s="1" t="s">
        <v>26</v>
      </c>
    </row>
    <row r="1503" spans="3:17" x14ac:dyDescent="0.25">
      <c r="C1503" s="1" t="str">
        <f>_xlfn.CONCAT(tabE.Flux[[#This Row],[DATA]],"+",tabE.Flux[[#This Row],[MOTORISTA + MATRÍCULA A]])</f>
        <v>45952+CANCELADO</v>
      </c>
      <c r="D1503" s="1" t="str">
        <f>_xlfn.CONCAT(tabE.Flux[[#This Row],[DATA]],"+",tabE.Flux[[#This Row],[MOTORISTA + MATRÍCULA B]])</f>
        <v>45952+CANCELADO</v>
      </c>
      <c r="E1503" s="1" t="str">
        <f>_xlfn.CONCAT(tabE.Flux[[#This Row],[DATA]],"+",tabE.Flux[[#This Row],[MOTORISTA + MATRÍCULA A]],"+",tabE.Flux[[#This Row],[LINHA]])</f>
        <v>45952+CANCELADO+</v>
      </c>
      <c r="F1503" s="1" t="str">
        <f>_xlfn.CONCAT(tabE.Flux[[#This Row],[DATA]],"+",tabE.Flux[[#This Row],[MOTORISTA + MATRÍCULA B]],"+",tabE.Flux[[#This Row],[LINHA]])</f>
        <v>45952+CANCELADO+</v>
      </c>
      <c r="G1503" s="1" t="str">
        <f>_xlfn.CONCAT(tabE.Flux[[#This Row],[DATA]],"+",tabE.Flux[[#This Row],[LINHA]])</f>
        <v>45952+</v>
      </c>
      <c r="H1503" s="125">
        <v>45952</v>
      </c>
      <c r="I1503" s="1" t="s">
        <v>15</v>
      </c>
      <c r="J1503" s="1" t="s">
        <v>27</v>
      </c>
      <c r="K1503" s="126">
        <v>0.375</v>
      </c>
      <c r="L1503" s="126">
        <v>0.41666666666666669</v>
      </c>
      <c r="M1503" s="1" t="s">
        <v>16</v>
      </c>
      <c r="N1503" s="1" t="s">
        <v>28</v>
      </c>
      <c r="O1503" s="1" t="s">
        <v>27</v>
      </c>
      <c r="P1503" s="1" t="s">
        <v>27</v>
      </c>
      <c r="Q1503" s="1"/>
    </row>
    <row r="1504" spans="3:17" x14ac:dyDescent="0.25">
      <c r="C1504" s="1" t="str">
        <f>_xlfn.CONCAT(tabE.Flux[[#This Row],[DATA]],"+",tabE.Flux[[#This Row],[MOTORISTA + MATRÍCULA A]])</f>
        <v>45952+WESLEY SILVA PAIVA - 5638</v>
      </c>
      <c r="D1504" s="1" t="str">
        <f>_xlfn.CONCAT(tabE.Flux[[#This Row],[DATA]],"+",tabE.Flux[[#This Row],[MOTORISTA + MATRÍCULA B]])</f>
        <v>45952+  DAVID ALVES PEREIRA- 5300</v>
      </c>
      <c r="E1504" s="1" t="str">
        <f>_xlfn.CONCAT(tabE.Flux[[#This Row],[DATA]],"+",tabE.Flux[[#This Row],[MOTORISTA + MATRÍCULA A]],"+",tabE.Flux[[#This Row],[LINHA]])</f>
        <v>45952+WESLEY SILVA PAIVA - 5638+FORTALEZA (CE) X SINOP (MT)</v>
      </c>
      <c r="F1504" s="1" t="str">
        <f>_xlfn.CONCAT(tabE.Flux[[#This Row],[DATA]],"+",tabE.Flux[[#This Row],[MOTORISTA + MATRÍCULA B]],"+",tabE.Flux[[#This Row],[LINHA]])</f>
        <v>45952+  DAVID ALVES PEREIRA- 5300+FORTALEZA (CE) X SINOP (MT)</v>
      </c>
      <c r="G1504" s="1" t="str">
        <f>_xlfn.CONCAT(tabE.Flux[[#This Row],[DATA]],"+",tabE.Flux[[#This Row],[LINHA]])</f>
        <v>45952+FORTALEZA (CE) X SINOP (MT)</v>
      </c>
      <c r="H1504" s="125">
        <v>45952</v>
      </c>
      <c r="I1504" s="1" t="s">
        <v>15</v>
      </c>
      <c r="J1504" s="1">
        <v>19009</v>
      </c>
      <c r="K1504" s="126">
        <v>0.3888888888888889</v>
      </c>
      <c r="L1504" s="126">
        <v>0.37708333333333333</v>
      </c>
      <c r="M1504" s="1" t="s">
        <v>16</v>
      </c>
      <c r="N1504" s="1" t="s">
        <v>29</v>
      </c>
      <c r="O1504" s="1" t="s">
        <v>112</v>
      </c>
      <c r="P1504" s="1" t="s">
        <v>271</v>
      </c>
      <c r="Q1504" s="1" t="s">
        <v>32</v>
      </c>
    </row>
    <row r="1505" spans="3:17" x14ac:dyDescent="0.25">
      <c r="C1505" s="1" t="str">
        <f>_xlfn.CONCAT(tabE.Flux[[#This Row],[DATA]],"+",tabE.Flux[[#This Row],[MOTORISTA + MATRÍCULA A]])</f>
        <v>45952+BERNARDO SOUZA LIMA - 1720</v>
      </c>
      <c r="D1505" s="1" t="str">
        <f>_xlfn.CONCAT(tabE.Flux[[#This Row],[DATA]],"+",tabE.Flux[[#This Row],[MOTORISTA + MATRÍCULA B]])</f>
        <v>45952+FRANCISCO ALVES DA PAZ JUNIOR - 1247</v>
      </c>
      <c r="E1505" s="1" t="str">
        <f>_xlfn.CONCAT(tabE.Flux[[#This Row],[DATA]],"+",tabE.Flux[[#This Row],[MOTORISTA + MATRÍCULA A]],"+",tabE.Flux[[#This Row],[LINHA]])</f>
        <v>45952+BERNARDO SOUZA LIMA - 1720+GOIANIA (GO) X BELEM (PA)</v>
      </c>
      <c r="F1505" s="1" t="str">
        <f>_xlfn.CONCAT(tabE.Flux[[#This Row],[DATA]],"+",tabE.Flux[[#This Row],[MOTORISTA + MATRÍCULA B]],"+",tabE.Flux[[#This Row],[LINHA]])</f>
        <v>45952+FRANCISCO ALVES DA PAZ JUNIOR - 1247+GOIANIA (GO) X BELEM (PA)</v>
      </c>
      <c r="G1505" s="1" t="str">
        <f>_xlfn.CONCAT(tabE.Flux[[#This Row],[DATA]],"+",tabE.Flux[[#This Row],[LINHA]])</f>
        <v>45952+GOIANIA (GO) X BELEM (PA)</v>
      </c>
      <c r="H1505" s="125">
        <v>45952</v>
      </c>
      <c r="I1505" s="1" t="s">
        <v>15</v>
      </c>
      <c r="J1505" s="1">
        <v>20018</v>
      </c>
      <c r="K1505" s="126">
        <v>0.38958333333333334</v>
      </c>
      <c r="L1505" s="126">
        <v>0.38541666666666669</v>
      </c>
      <c r="M1505" s="1" t="s">
        <v>16</v>
      </c>
      <c r="N1505" s="1" t="s">
        <v>33</v>
      </c>
      <c r="O1505" s="1" t="s">
        <v>123</v>
      </c>
      <c r="P1505" s="1" t="s">
        <v>144</v>
      </c>
      <c r="Q1505" s="1" t="s">
        <v>20</v>
      </c>
    </row>
    <row r="1506" spans="3:17" x14ac:dyDescent="0.25">
      <c r="C1506" s="1" t="str">
        <f>_xlfn.CONCAT(tabE.Flux[[#This Row],[DATA]],"+",tabE.Flux[[#This Row],[MOTORISTA + MATRÍCULA A]])</f>
        <v>45952+JOSE ORLANDO RODRIGUES DE MIRANDA - 5838</v>
      </c>
      <c r="D1506" s="1" t="str">
        <f>_xlfn.CONCAT(tabE.Flux[[#This Row],[DATA]],"+",tabE.Flux[[#This Row],[MOTORISTA + MATRÍCULA B]])</f>
        <v>45952+JOSE CLAUDIMAR  CUNHA - 5652</v>
      </c>
      <c r="E1506" s="1" t="str">
        <f>_xlfn.CONCAT(tabE.Flux[[#This Row],[DATA]],"+",tabE.Flux[[#This Row],[MOTORISTA + MATRÍCULA A]],"+",tabE.Flux[[#This Row],[LINHA]])</f>
        <v>45952+JOSE ORLANDO RODRIGUES DE MIRANDA - 5838+GOIANIA (GO) X TERESINA (PI) VIA BC</v>
      </c>
      <c r="F1506" s="1" t="str">
        <f>_xlfn.CONCAT(tabE.Flux[[#This Row],[DATA]],"+",tabE.Flux[[#This Row],[MOTORISTA + MATRÍCULA B]],"+",tabE.Flux[[#This Row],[LINHA]])</f>
        <v>45952+JOSE CLAUDIMAR  CUNHA - 5652+GOIANIA (GO) X TERESINA (PI) VIA BC</v>
      </c>
      <c r="G1506" s="1" t="str">
        <f>_xlfn.CONCAT(tabE.Flux[[#This Row],[DATA]],"+",tabE.Flux[[#This Row],[LINHA]])</f>
        <v>45952+GOIANIA (GO) X TERESINA (PI) VIA BC</v>
      </c>
      <c r="H1506" s="125">
        <v>45952</v>
      </c>
      <c r="I1506" s="1" t="s">
        <v>15</v>
      </c>
      <c r="J1506" s="1">
        <v>24014</v>
      </c>
      <c r="K1506" s="126">
        <v>0.375</v>
      </c>
      <c r="L1506" s="126">
        <v>0.39930555555555558</v>
      </c>
      <c r="M1506" s="1" t="s">
        <v>36</v>
      </c>
      <c r="N1506" s="1" t="s">
        <v>29</v>
      </c>
      <c r="O1506" s="1" t="s">
        <v>37</v>
      </c>
      <c r="P1506" s="1" t="s">
        <v>140</v>
      </c>
      <c r="Q1506" s="1" t="s">
        <v>39</v>
      </c>
    </row>
    <row r="1507" spans="3:17" x14ac:dyDescent="0.25">
      <c r="C1507" s="1" t="str">
        <f>_xlfn.CONCAT(tabE.Flux[[#This Row],[DATA]],"+",tabE.Flux[[#This Row],[MOTORISTA + MATRÍCULA A]])</f>
        <v>45952+CLODOALDO PEREIRA DE LIMA - 4067</v>
      </c>
      <c r="D1507" s="1" t="str">
        <f>_xlfn.CONCAT(tabE.Flux[[#This Row],[DATA]],"+",tabE.Flux[[#This Row],[MOTORISTA + MATRÍCULA B]])</f>
        <v>45952+JOSE ALVES DE FREITAS NETO - 5027</v>
      </c>
      <c r="E1507" s="1" t="str">
        <f>_xlfn.CONCAT(tabE.Flux[[#This Row],[DATA]],"+",tabE.Flux[[#This Row],[MOTORISTA + MATRÍCULA A]],"+",tabE.Flux[[#This Row],[LINHA]])</f>
        <v>45952+CLODOALDO PEREIRA DE LIMA - 4067+GOIANIA (GO) X BELEM (PA)</v>
      </c>
      <c r="F1507" s="1" t="str">
        <f>_xlfn.CONCAT(tabE.Flux[[#This Row],[DATA]],"+",tabE.Flux[[#This Row],[MOTORISTA + MATRÍCULA B]],"+",tabE.Flux[[#This Row],[LINHA]])</f>
        <v>45952+JOSE ALVES DE FREITAS NETO - 5027+GOIANIA (GO) X BELEM (PA)</v>
      </c>
      <c r="G1507" s="1" t="str">
        <f>_xlfn.CONCAT(tabE.Flux[[#This Row],[DATA]],"+",tabE.Flux[[#This Row],[LINHA]])</f>
        <v>45952+GOIANIA (GO) X BELEM (PA)</v>
      </c>
      <c r="H1507" s="125">
        <v>45952</v>
      </c>
      <c r="I1507" s="1" t="s">
        <v>15</v>
      </c>
      <c r="J1507" s="1">
        <v>20016</v>
      </c>
      <c r="K1507" s="126">
        <v>0.375</v>
      </c>
      <c r="L1507" s="126">
        <v>0.41666666666666669</v>
      </c>
      <c r="M1507" s="1" t="s">
        <v>33</v>
      </c>
      <c r="N1507" s="1" t="s">
        <v>16</v>
      </c>
      <c r="O1507" s="1" t="s">
        <v>109</v>
      </c>
      <c r="P1507" s="1" t="s">
        <v>90</v>
      </c>
      <c r="Q1507" s="1" t="s">
        <v>20</v>
      </c>
    </row>
    <row r="1508" spans="3:17" x14ac:dyDescent="0.25">
      <c r="C1508" s="1" t="str">
        <f>_xlfn.CONCAT(tabE.Flux[[#This Row],[DATA]],"+",tabE.Flux[[#This Row],[MOTORISTA + MATRÍCULA A]])</f>
        <v>45952+LAUCEANDO DA SILVA ROCHA - 6220</v>
      </c>
      <c r="D1508" s="1" t="str">
        <f>_xlfn.CONCAT(tabE.Flux[[#This Row],[DATA]],"+",tabE.Flux[[#This Row],[MOTORISTA + MATRÍCULA B]])</f>
        <v>45952+NILSON CORTEZ MIRANDA - 5636</v>
      </c>
      <c r="E1508" s="1" t="str">
        <f>_xlfn.CONCAT(tabE.Flux[[#This Row],[DATA]],"+",tabE.Flux[[#This Row],[MOTORISTA + MATRÍCULA A]],"+",tabE.Flux[[#This Row],[LINHA]])</f>
        <v>45952+LAUCEANDO DA SILVA ROCHA - 6220+GOIANIA (GO) X SAO LUIS (MA)</v>
      </c>
      <c r="F1508" s="1" t="str">
        <f>_xlfn.CONCAT(tabE.Flux[[#This Row],[DATA]],"+",tabE.Flux[[#This Row],[MOTORISTA + MATRÍCULA B]],"+",tabE.Flux[[#This Row],[LINHA]])</f>
        <v>45952+NILSON CORTEZ MIRANDA - 5636+GOIANIA (GO) X SAO LUIS (MA)</v>
      </c>
      <c r="G1508" s="1" t="str">
        <f>_xlfn.CONCAT(tabE.Flux[[#This Row],[DATA]],"+",tabE.Flux[[#This Row],[LINHA]])</f>
        <v>45952+GOIANIA (GO) X SAO LUIS (MA)</v>
      </c>
      <c r="H1508" s="125">
        <v>45952</v>
      </c>
      <c r="I1508" s="1" t="s">
        <v>15</v>
      </c>
      <c r="J1508" s="1">
        <v>19017</v>
      </c>
      <c r="K1508" s="126">
        <v>0.25</v>
      </c>
      <c r="L1508" s="126">
        <v>0.29166666666666669</v>
      </c>
      <c r="M1508" s="1" t="s">
        <v>42</v>
      </c>
      <c r="N1508" s="1" t="s">
        <v>16</v>
      </c>
      <c r="O1508" s="1" t="s">
        <v>86</v>
      </c>
      <c r="P1508" s="1" t="s">
        <v>75</v>
      </c>
      <c r="Q1508" s="1" t="s">
        <v>23</v>
      </c>
    </row>
    <row r="1509" spans="3:17" x14ac:dyDescent="0.25">
      <c r="C1509" s="1" t="str">
        <f>_xlfn.CONCAT(tabE.Flux[[#This Row],[DATA]],"+",tabE.Flux[[#This Row],[MOTORISTA + MATRÍCULA A]])</f>
        <v>45952+RAIMUNDO COSTA SILVA - 6226</v>
      </c>
      <c r="D1509" s="1" t="str">
        <f>_xlfn.CONCAT(tabE.Flux[[#This Row],[DATA]],"+",tabE.Flux[[#This Row],[MOTORISTA + MATRÍCULA B]])</f>
        <v>45952+JARDEL DE SOUSA OLIVEIRA - 5992</v>
      </c>
      <c r="E1509" s="1" t="str">
        <f>_xlfn.CONCAT(tabE.Flux[[#This Row],[DATA]],"+",tabE.Flux[[#This Row],[MOTORISTA + MATRÍCULA A]],"+",tabE.Flux[[#This Row],[LINHA]])</f>
        <v>45952+RAIMUNDO COSTA SILVA - 6226+GOIANIA (GO) X SAO LUIS (MA)</v>
      </c>
      <c r="F1509" s="1" t="str">
        <f>_xlfn.CONCAT(tabE.Flux[[#This Row],[DATA]],"+",tabE.Flux[[#This Row],[MOTORISTA + MATRÍCULA B]],"+",tabE.Flux[[#This Row],[LINHA]])</f>
        <v>45952+JARDEL DE SOUSA OLIVEIRA - 5992+GOIANIA (GO) X SAO LUIS (MA)</v>
      </c>
      <c r="G1509" s="1" t="str">
        <f>_xlfn.CONCAT(tabE.Flux[[#This Row],[DATA]],"+",tabE.Flux[[#This Row],[LINHA]])</f>
        <v>45952+GOIANIA (GO) X SAO LUIS (MA)</v>
      </c>
      <c r="H1509" s="125">
        <v>45952</v>
      </c>
      <c r="I1509" s="1" t="s">
        <v>15</v>
      </c>
      <c r="J1509" s="1">
        <v>24013</v>
      </c>
      <c r="K1509" s="126">
        <v>0.75</v>
      </c>
      <c r="L1509" s="126">
        <v>0.79166666666666663</v>
      </c>
      <c r="M1509" s="1" t="s">
        <v>42</v>
      </c>
      <c r="N1509" s="1" t="s">
        <v>16</v>
      </c>
      <c r="O1509" s="1" t="s">
        <v>45</v>
      </c>
      <c r="P1509" s="1" t="s">
        <v>150</v>
      </c>
      <c r="Q1509" s="1" t="s">
        <v>23</v>
      </c>
    </row>
    <row r="1510" spans="3:17" x14ac:dyDescent="0.25">
      <c r="C1510" s="1" t="str">
        <f>_xlfn.CONCAT(tabE.Flux[[#This Row],[DATA]],"+",tabE.Flux[[#This Row],[MOTORISTA + MATRÍCULA A]])</f>
        <v>45952+CANCELADO</v>
      </c>
      <c r="D1510" s="1" t="str">
        <f>_xlfn.CONCAT(tabE.Flux[[#This Row],[DATA]],"+",tabE.Flux[[#This Row],[MOTORISTA + MATRÍCULA B]])</f>
        <v>45952+CANCELADO</v>
      </c>
      <c r="E1510" s="1" t="str">
        <f>_xlfn.CONCAT(tabE.Flux[[#This Row],[DATA]],"+",tabE.Flux[[#This Row],[MOTORISTA + MATRÍCULA A]],"+",tabE.Flux[[#This Row],[LINHA]])</f>
        <v>45952+CANCELADO+IMPERATRIZ (MA) X SÃO LUIS (MA)</v>
      </c>
      <c r="F1510" s="1" t="str">
        <f>_xlfn.CONCAT(tabE.Flux[[#This Row],[DATA]],"+",tabE.Flux[[#This Row],[MOTORISTA + MATRÍCULA B]],"+",tabE.Flux[[#This Row],[LINHA]])</f>
        <v>45952+CANCELADO+IMPERATRIZ (MA) X SÃO LUIS (MA)</v>
      </c>
      <c r="G1510" s="1" t="str">
        <f>_xlfn.CONCAT(tabE.Flux[[#This Row],[DATA]],"+",tabE.Flux[[#This Row],[LINHA]])</f>
        <v>45952+IMPERATRIZ (MA) X SÃO LUIS (MA)</v>
      </c>
      <c r="H1510" s="125">
        <v>45952</v>
      </c>
      <c r="I1510" s="1" t="s">
        <v>15</v>
      </c>
      <c r="J1510" s="1" t="s">
        <v>27</v>
      </c>
      <c r="K1510" s="126">
        <v>0.77083333333333337</v>
      </c>
      <c r="L1510" s="126">
        <v>0.79513888888888884</v>
      </c>
      <c r="M1510" s="1" t="s">
        <v>42</v>
      </c>
      <c r="N1510" s="1" t="s">
        <v>16</v>
      </c>
      <c r="O1510" s="1" t="s">
        <v>27</v>
      </c>
      <c r="P1510" s="1" t="s">
        <v>27</v>
      </c>
      <c r="Q1510" s="1" t="s">
        <v>47</v>
      </c>
    </row>
    <row r="1511" spans="3:17" x14ac:dyDescent="0.25">
      <c r="C1511" s="1" t="str">
        <f>_xlfn.CONCAT(tabE.Flux[[#This Row],[DATA]],"+",tabE.Flux[[#This Row],[MOTORISTA + MATRÍCULA A]])</f>
        <v>45952+EDILTON MONTEIRO GUNDIM - 6023</v>
      </c>
      <c r="D1511" s="1" t="str">
        <f>_xlfn.CONCAT(tabE.Flux[[#This Row],[DATA]],"+",tabE.Flux[[#This Row],[MOTORISTA + MATRÍCULA B]])</f>
        <v>45952+WOLNEY EDUARDO DE OLIVEIRA - 5607</v>
      </c>
      <c r="E1511" s="1" t="str">
        <f>_xlfn.CONCAT(tabE.Flux[[#This Row],[DATA]],"+",tabE.Flux[[#This Row],[MOTORISTA + MATRÍCULA A]],"+",tabE.Flux[[#This Row],[LINHA]])</f>
        <v>45952+EDILTON MONTEIRO GUNDIM - 6023+GOIANIA (GO) X TERESINA (PI) VIA BC</v>
      </c>
      <c r="F1511" s="1" t="str">
        <f>_xlfn.CONCAT(tabE.Flux[[#This Row],[DATA]],"+",tabE.Flux[[#This Row],[MOTORISTA + MATRÍCULA B]],"+",tabE.Flux[[#This Row],[LINHA]])</f>
        <v>45952+WOLNEY EDUARDO DE OLIVEIRA - 5607+GOIANIA (GO) X TERESINA (PI) VIA BC</v>
      </c>
      <c r="G1511" s="1" t="str">
        <f>_xlfn.CONCAT(tabE.Flux[[#This Row],[DATA]],"+",tabE.Flux[[#This Row],[LINHA]])</f>
        <v>45952+GOIANIA (GO) X TERESINA (PI) VIA BC</v>
      </c>
      <c r="H1511" s="125">
        <v>45952</v>
      </c>
      <c r="I1511" s="1" t="s">
        <v>15</v>
      </c>
      <c r="J1511" s="1">
        <v>25012</v>
      </c>
      <c r="K1511" s="126">
        <v>0.89583333333333337</v>
      </c>
      <c r="L1511" s="126">
        <v>0.91666666666666663</v>
      </c>
      <c r="M1511" s="1" t="s">
        <v>36</v>
      </c>
      <c r="N1511" s="1" t="s">
        <v>17</v>
      </c>
      <c r="O1511" s="1" t="s">
        <v>199</v>
      </c>
      <c r="P1511" s="1" t="s">
        <v>200</v>
      </c>
      <c r="Q1511" s="1" t="s">
        <v>39</v>
      </c>
    </row>
    <row r="1512" spans="3:17" x14ac:dyDescent="0.25">
      <c r="C1512" s="1" t="str">
        <f>_xlfn.CONCAT(tabE.Flux[[#This Row],[DATA]],"+",tabE.Flux[[#This Row],[MOTORISTA + MATRÍCULA A]])</f>
        <v>45952+MARCIO RODRIGUES DA COSTA - 5993</v>
      </c>
      <c r="D1512" s="1" t="str">
        <f>_xlfn.CONCAT(tabE.Flux[[#This Row],[DATA]],"+",tabE.Flux[[#This Row],[MOTORISTA + MATRÍCULA B]])</f>
        <v>45952+JOSE CARLOS BEZERRA DA SILVA - 3034</v>
      </c>
      <c r="E1512" s="1" t="str">
        <f>_xlfn.CONCAT(tabE.Flux[[#This Row],[DATA]],"+",tabE.Flux[[#This Row],[MOTORISTA + MATRÍCULA A]],"+",tabE.Flux[[#This Row],[LINHA]])</f>
        <v>45952+MARCIO RODRIGUES DA COSTA - 5993+GOIANIA (GO) X BELEM (PA)</v>
      </c>
      <c r="F1512" s="1" t="str">
        <f>_xlfn.CONCAT(tabE.Flux[[#This Row],[DATA]],"+",tabE.Flux[[#This Row],[MOTORISTA + MATRÍCULA B]],"+",tabE.Flux[[#This Row],[LINHA]])</f>
        <v>45952+JOSE CARLOS BEZERRA DA SILVA - 3034+GOIANIA (GO) X BELEM (PA)</v>
      </c>
      <c r="G1512" s="1" t="str">
        <f>_xlfn.CONCAT(tabE.Flux[[#This Row],[DATA]],"+",tabE.Flux[[#This Row],[LINHA]])</f>
        <v>45952+GOIANIA (GO) X BELEM (PA)</v>
      </c>
      <c r="H1512" s="125">
        <v>45952</v>
      </c>
      <c r="I1512" s="1" t="s">
        <v>15</v>
      </c>
      <c r="J1512" s="1">
        <v>24011</v>
      </c>
      <c r="K1512" s="126">
        <v>0.76041666666666663</v>
      </c>
      <c r="L1512" s="126">
        <v>0.77083333333333337</v>
      </c>
      <c r="M1512" s="1" t="s">
        <v>33</v>
      </c>
      <c r="N1512" s="1" t="s">
        <v>16</v>
      </c>
      <c r="O1512" s="1" t="s">
        <v>107</v>
      </c>
      <c r="P1512" s="1" t="s">
        <v>76</v>
      </c>
      <c r="Q1512" s="1" t="s">
        <v>20</v>
      </c>
    </row>
    <row r="1513" spans="3:17" x14ac:dyDescent="0.25">
      <c r="C1513" s="1" t="str">
        <f>_xlfn.CONCAT(tabE.Flux[[#This Row],[DATA]],"+",tabE.Flux[[#This Row],[MOTORISTA + MATRÍCULA A]])</f>
        <v>45952+GILDEVAN DE ALMEIDA AGOSTINHO - 1924</v>
      </c>
      <c r="D1513" s="1" t="str">
        <f>_xlfn.CONCAT(tabE.Flux[[#This Row],[DATA]],"+",tabE.Flux[[#This Row],[MOTORISTA + MATRÍCULA B]])</f>
        <v>45952+EUGENIO PEREIRA DOS SANTOS - 1197</v>
      </c>
      <c r="E1513" s="1" t="str">
        <f>_xlfn.CONCAT(tabE.Flux[[#This Row],[DATA]],"+",tabE.Flux[[#This Row],[MOTORISTA + MATRÍCULA A]],"+",tabE.Flux[[#This Row],[LINHA]])</f>
        <v>45952+GILDEVAN DE ALMEIDA AGOSTINHO - 1924+GOIANIA (GO) X BELEM (PA)</v>
      </c>
      <c r="F1513" s="1" t="str">
        <f>_xlfn.CONCAT(tabE.Flux[[#This Row],[DATA]],"+",tabE.Flux[[#This Row],[MOTORISTA + MATRÍCULA B]],"+",tabE.Flux[[#This Row],[LINHA]])</f>
        <v>45952+EUGENIO PEREIRA DOS SANTOS - 1197+GOIANIA (GO) X BELEM (PA)</v>
      </c>
      <c r="G1513" s="1" t="str">
        <f>_xlfn.CONCAT(tabE.Flux[[#This Row],[DATA]],"+",tabE.Flux[[#This Row],[LINHA]])</f>
        <v>45952+GOIANIA (GO) X BELEM (PA)</v>
      </c>
      <c r="H1513" s="125">
        <v>45952</v>
      </c>
      <c r="I1513" s="1" t="s">
        <v>15</v>
      </c>
      <c r="J1513" s="1">
        <v>25007</v>
      </c>
      <c r="K1513" s="126">
        <v>0.76041666666666663</v>
      </c>
      <c r="L1513" s="126">
        <v>0.82777777777777772</v>
      </c>
      <c r="M1513" s="1" t="s">
        <v>16</v>
      </c>
      <c r="N1513" s="1" t="s">
        <v>33</v>
      </c>
      <c r="O1513" s="1" t="s">
        <v>236</v>
      </c>
      <c r="P1513" s="1" t="s">
        <v>264</v>
      </c>
      <c r="Q1513" s="1" t="s">
        <v>20</v>
      </c>
    </row>
    <row r="1514" spans="3:17" x14ac:dyDescent="0.25">
      <c r="C1514" s="1" t="str">
        <f>_xlfn.CONCAT(tabE.Flux[[#This Row],[DATA]],"+",tabE.Flux[[#This Row],[MOTORISTA + MATRÍCULA A]])</f>
        <v>45952+RICHARD SOUSA DA SILVA - 1271</v>
      </c>
      <c r="D1514" s="1" t="str">
        <f>_xlfn.CONCAT(tabE.Flux[[#This Row],[DATA]],"+",tabE.Flux[[#This Row],[MOTORISTA + MATRÍCULA B]])</f>
        <v>45952+PAULO ENEAS FARIAS ARAUJO - 6218</v>
      </c>
      <c r="E1514" s="1" t="str">
        <f>_xlfn.CONCAT(tabE.Flux[[#This Row],[DATA]],"+",tabE.Flux[[#This Row],[MOTORISTA + MATRÍCULA A]],"+",tabE.Flux[[#This Row],[LINHA]])</f>
        <v>45952+RICHARD SOUSA DA SILVA - 1271+GOIANIA (GO) X SAO LUIS (MA)</v>
      </c>
      <c r="F1514" s="1" t="str">
        <f>_xlfn.CONCAT(tabE.Flux[[#This Row],[DATA]],"+",tabE.Flux[[#This Row],[MOTORISTA + MATRÍCULA B]],"+",tabE.Flux[[#This Row],[LINHA]])</f>
        <v>45952+PAULO ENEAS FARIAS ARAUJO - 6218+GOIANIA (GO) X SAO LUIS (MA)</v>
      </c>
      <c r="G1514" s="1" t="str">
        <f>_xlfn.CONCAT(tabE.Flux[[#This Row],[DATA]],"+",tabE.Flux[[#This Row],[LINHA]])</f>
        <v>45952+GOIANIA (GO) X SAO LUIS (MA)</v>
      </c>
      <c r="H1514" s="125">
        <v>45952</v>
      </c>
      <c r="I1514" s="1" t="s">
        <v>15</v>
      </c>
      <c r="J1514" s="1">
        <v>19020</v>
      </c>
      <c r="K1514" s="126">
        <v>0.40763888888888888</v>
      </c>
      <c r="L1514" s="126">
        <v>0.47013888888888888</v>
      </c>
      <c r="M1514" s="1" t="s">
        <v>16</v>
      </c>
      <c r="N1514" s="1" t="s">
        <v>42</v>
      </c>
      <c r="O1514" s="1" t="s">
        <v>56</v>
      </c>
      <c r="P1514" s="1" t="s">
        <v>43</v>
      </c>
      <c r="Q1514" s="1" t="s">
        <v>23</v>
      </c>
    </row>
    <row r="1515" spans="3:17" x14ac:dyDescent="0.25">
      <c r="C1515" s="1" t="str">
        <f>_xlfn.CONCAT(tabE.Flux[[#This Row],[DATA]],"+",tabE.Flux[[#This Row],[MOTORISTA + MATRÍCULA A]])</f>
        <v>45952+CANCELADO</v>
      </c>
      <c r="D1515" s="1" t="str">
        <f>_xlfn.CONCAT(tabE.Flux[[#This Row],[DATA]],"+",tabE.Flux[[#This Row],[MOTORISTA + MATRÍCULA B]])</f>
        <v>45952+CANCELADO</v>
      </c>
      <c r="E1515" s="1" t="str">
        <f>_xlfn.CONCAT(tabE.Flux[[#This Row],[DATA]],"+",tabE.Flux[[#This Row],[MOTORISTA + MATRÍCULA A]],"+",tabE.Flux[[#This Row],[LINHA]])</f>
        <v>45952+CANCELADO+IMPERATRIZ (MA) X SÃO LUIS (MA)</v>
      </c>
      <c r="F1515" s="1" t="str">
        <f>_xlfn.CONCAT(tabE.Flux[[#This Row],[DATA]],"+",tabE.Flux[[#This Row],[MOTORISTA + MATRÍCULA B]],"+",tabE.Flux[[#This Row],[LINHA]])</f>
        <v>45952+CANCELADO+IMPERATRIZ (MA) X SÃO LUIS (MA)</v>
      </c>
      <c r="G1515" s="1" t="str">
        <f>_xlfn.CONCAT(tabE.Flux[[#This Row],[DATA]],"+",tabE.Flux[[#This Row],[LINHA]])</f>
        <v>45952+IMPERATRIZ (MA) X SÃO LUIS (MA)</v>
      </c>
      <c r="H1515" s="125">
        <v>45952</v>
      </c>
      <c r="I1515" s="1" t="s">
        <v>15</v>
      </c>
      <c r="J1515" s="1" t="s">
        <v>27</v>
      </c>
      <c r="K1515" s="126">
        <v>0.77083333333333337</v>
      </c>
      <c r="L1515" s="126">
        <v>0.8125</v>
      </c>
      <c r="M1515" s="1" t="s">
        <v>16</v>
      </c>
      <c r="N1515" s="1" t="s">
        <v>42</v>
      </c>
      <c r="O1515" s="1" t="s">
        <v>27</v>
      </c>
      <c r="P1515" s="1" t="s">
        <v>27</v>
      </c>
      <c r="Q1515" s="1" t="s">
        <v>47</v>
      </c>
    </row>
    <row r="1516" spans="3:17" x14ac:dyDescent="0.25">
      <c r="C1516" s="1" t="str">
        <f>_xlfn.CONCAT(tabE.Flux[[#This Row],[DATA]],"+",tabE.Flux[[#This Row],[MOTORISTA + MATRÍCULA A]])</f>
        <v>45952+MARCOS ATAIDE SILVA - 1352</v>
      </c>
      <c r="D1516" s="1" t="str">
        <f>_xlfn.CONCAT(tabE.Flux[[#This Row],[DATA]],"+",tabE.Flux[[#This Row],[MOTORISTA + MATRÍCULA B]])</f>
        <v>45952+LAUCEANDO DA SILVA ROCHA - 6220</v>
      </c>
      <c r="E1516" s="1" t="str">
        <f>_xlfn.CONCAT(tabE.Flux[[#This Row],[DATA]],"+",tabE.Flux[[#This Row],[MOTORISTA + MATRÍCULA A]],"+",tabE.Flux[[#This Row],[LINHA]])</f>
        <v>45952+MARCOS ATAIDE SILVA - 1352+GOIANIA (GO) X SAO LUIS (MA)</v>
      </c>
      <c r="F1516" s="1" t="str">
        <f>_xlfn.CONCAT(tabE.Flux[[#This Row],[DATA]],"+",tabE.Flux[[#This Row],[MOTORISTA + MATRÍCULA B]],"+",tabE.Flux[[#This Row],[LINHA]])</f>
        <v>45952+LAUCEANDO DA SILVA ROCHA - 6220+GOIANIA (GO) X SAO LUIS (MA)</v>
      </c>
      <c r="G1516" s="1" t="str">
        <f>_xlfn.CONCAT(tabE.Flux[[#This Row],[DATA]],"+",tabE.Flux[[#This Row],[LINHA]])</f>
        <v>45952+GOIANIA (GO) X SAO LUIS (MA)</v>
      </c>
      <c r="H1516" s="125">
        <v>45952</v>
      </c>
      <c r="I1516" s="1" t="s">
        <v>15</v>
      </c>
      <c r="J1516" s="1">
        <v>24016</v>
      </c>
      <c r="K1516" s="126">
        <v>0.8125</v>
      </c>
      <c r="L1516" s="126">
        <v>0.84375</v>
      </c>
      <c r="M1516" s="1" t="s">
        <v>16</v>
      </c>
      <c r="N1516" s="1" t="s">
        <v>42</v>
      </c>
      <c r="O1516" s="1" t="s">
        <v>113</v>
      </c>
      <c r="P1516" s="1" t="s">
        <v>86</v>
      </c>
      <c r="Q1516" s="1" t="s">
        <v>23</v>
      </c>
    </row>
    <row r="1517" spans="3:17" x14ac:dyDescent="0.25">
      <c r="C1517" s="1" t="str">
        <f>_xlfn.CONCAT(tabE.Flux[[#This Row],[DATA]],"+",tabE.Flux[[#This Row],[MOTORISTA + MATRÍCULA A]])</f>
        <v>45952+LEANDRO DE OLIVEIRA MELO - 2151</v>
      </c>
      <c r="D1517" s="1" t="str">
        <f>_xlfn.CONCAT(tabE.Flux[[#This Row],[DATA]],"+",tabE.Flux[[#This Row],[MOTORISTA + MATRÍCULA B]])</f>
        <v>45952+</v>
      </c>
      <c r="E1517" s="1" t="str">
        <f>_xlfn.CONCAT(tabE.Flux[[#This Row],[DATA]],"+",tabE.Flux[[#This Row],[MOTORISTA + MATRÍCULA A]],"+",tabE.Flux[[#This Row],[LINHA]])</f>
        <v>45952+LEANDRO DE OLIVEIRA MELO - 2151+GOIANIA (GO) X TERESINA (PI) VIA STI</v>
      </c>
      <c r="F1517" s="1" t="str">
        <f>_xlfn.CONCAT(tabE.Flux[[#This Row],[DATA]],"+",tabE.Flux[[#This Row],[MOTORISTA + MATRÍCULA B]],"+",tabE.Flux[[#This Row],[LINHA]])</f>
        <v>45952++GOIANIA (GO) X TERESINA (PI) VIA STI</v>
      </c>
      <c r="G1517" s="1" t="str">
        <f>_xlfn.CONCAT(tabE.Flux[[#This Row],[DATA]],"+",tabE.Flux[[#This Row],[LINHA]])</f>
        <v>45952+GOIANIA (GO) X TERESINA (PI) VIA STI</v>
      </c>
      <c r="H1517" s="125">
        <v>45952</v>
      </c>
      <c r="I1517" s="1" t="s">
        <v>15</v>
      </c>
      <c r="J1517" s="1">
        <v>20019</v>
      </c>
      <c r="K1517" s="126">
        <v>0.77083333333333337</v>
      </c>
      <c r="L1517" s="126">
        <v>0.79861111111111116</v>
      </c>
      <c r="M1517" s="1" t="s">
        <v>16</v>
      </c>
      <c r="N1517" s="1" t="s">
        <v>29</v>
      </c>
      <c r="O1517" s="1" t="s">
        <v>64</v>
      </c>
      <c r="P1517" s="1"/>
      <c r="Q1517" s="1" t="s">
        <v>26</v>
      </c>
    </row>
    <row r="1518" spans="3:17" x14ac:dyDescent="0.25">
      <c r="C1518" s="1" t="str">
        <f>_xlfn.CONCAT(tabE.Flux[[#This Row],[DATA]],"+",tabE.Flux[[#This Row],[MOTORISTA + MATRÍCULA A]])</f>
        <v>45952+  LAZARO VIEIRA DA SILVA- 5428</v>
      </c>
      <c r="D1518" s="1" t="str">
        <f>_xlfn.CONCAT(tabE.Flux[[#This Row],[DATA]],"+",tabE.Flux[[#This Row],[MOTORISTA + MATRÍCULA B]])</f>
        <v>45952+ADALTON ALMEIDA DE SOUZA - 1941</v>
      </c>
      <c r="E1518" s="1" t="str">
        <f>_xlfn.CONCAT(tabE.Flux[[#This Row],[DATA]],"+",tabE.Flux[[#This Row],[MOTORISTA + MATRÍCULA A]],"+",tabE.Flux[[#This Row],[LINHA]])</f>
        <v>45952+  LAZARO VIEIRA DA SILVA- 5428+GOIANIA (GO) X SAO LUIS (MA)</v>
      </c>
      <c r="F1518" s="1" t="str">
        <f>_xlfn.CONCAT(tabE.Flux[[#This Row],[DATA]],"+",tabE.Flux[[#This Row],[MOTORISTA + MATRÍCULA B]],"+",tabE.Flux[[#This Row],[LINHA]])</f>
        <v>45952+ADALTON ALMEIDA DE SOUZA - 1941+GOIANIA (GO) X SAO LUIS (MA)</v>
      </c>
      <c r="G1518" s="1" t="str">
        <f>_xlfn.CONCAT(tabE.Flux[[#This Row],[DATA]],"+",tabE.Flux[[#This Row],[LINHA]])</f>
        <v>45952+GOIANIA (GO) X SAO LUIS (MA)</v>
      </c>
      <c r="H1518" s="125">
        <v>45952</v>
      </c>
      <c r="I1518" s="1" t="s">
        <v>15</v>
      </c>
      <c r="J1518" s="1">
        <v>19017</v>
      </c>
      <c r="K1518" s="126">
        <v>0.8125</v>
      </c>
      <c r="L1518" s="126">
        <v>0.84166666666666667</v>
      </c>
      <c r="M1518" s="1" t="s">
        <v>16</v>
      </c>
      <c r="N1518" s="1" t="s">
        <v>17</v>
      </c>
      <c r="O1518" s="1" t="s">
        <v>133</v>
      </c>
      <c r="P1518" s="1" t="s">
        <v>132</v>
      </c>
      <c r="Q1518" s="1" t="s">
        <v>23</v>
      </c>
    </row>
    <row r="1519" spans="3:17" x14ac:dyDescent="0.25">
      <c r="C1519" s="1" t="str">
        <f>_xlfn.CONCAT(tabE.Flux[[#This Row],[DATA]],"+",tabE.Flux[[#This Row],[MOTORISTA + MATRÍCULA A]])</f>
        <v>45952+  ELISEU TORRES DE OLIVEIRA- 561</v>
      </c>
      <c r="D1519" s="1" t="str">
        <f>_xlfn.CONCAT(tabE.Flux[[#This Row],[DATA]],"+",tabE.Flux[[#This Row],[MOTORISTA + MATRÍCULA B]])</f>
        <v>45952+JULIO EDER NERES DA SILVA - 1767</v>
      </c>
      <c r="E1519" s="1" t="str">
        <f>_xlfn.CONCAT(tabE.Flux[[#This Row],[DATA]],"+",tabE.Flux[[#This Row],[MOTORISTA + MATRÍCULA A]],"+",tabE.Flux[[#This Row],[LINHA]])</f>
        <v>45952+  ELISEU TORRES DE OLIVEIRA- 561+FORTALEZA (CE) X SINOP (MT)</v>
      </c>
      <c r="F1519" s="1" t="str">
        <f>_xlfn.CONCAT(tabE.Flux[[#This Row],[DATA]],"+",tabE.Flux[[#This Row],[MOTORISTA + MATRÍCULA B]],"+",tabE.Flux[[#This Row],[LINHA]])</f>
        <v>45952+JULIO EDER NERES DA SILVA - 1767+FORTALEZA (CE) X SINOP (MT)</v>
      </c>
      <c r="G1519" s="1" t="str">
        <f>_xlfn.CONCAT(tabE.Flux[[#This Row],[DATA]],"+",tabE.Flux[[#This Row],[LINHA]])</f>
        <v>45952+FORTALEZA (CE) X SINOP (MT)</v>
      </c>
      <c r="H1519" s="125">
        <v>45952</v>
      </c>
      <c r="I1519" s="1" t="s">
        <v>15</v>
      </c>
      <c r="J1519" s="1">
        <v>19024</v>
      </c>
      <c r="K1519" s="126">
        <v>0.8125</v>
      </c>
      <c r="L1519" s="126">
        <v>0.85416666666666663</v>
      </c>
      <c r="M1519" s="1" t="s">
        <v>16</v>
      </c>
      <c r="N1519" s="1" t="s">
        <v>17</v>
      </c>
      <c r="O1519" s="1" t="s">
        <v>272</v>
      </c>
      <c r="P1519" s="1" t="s">
        <v>170</v>
      </c>
      <c r="Q1519" s="1" t="s">
        <v>32</v>
      </c>
    </row>
    <row r="1520" spans="3:17" x14ac:dyDescent="0.25">
      <c r="C1520" s="1" t="str">
        <f>_xlfn.CONCAT(tabE.Flux[[#This Row],[DATA]],"+",tabE.Flux[[#This Row],[MOTORISTA + MATRÍCULA A]])</f>
        <v>45952+AILTON LEITE ORTIZ DE CAMARGO - 1642</v>
      </c>
      <c r="D1520" s="1" t="str">
        <f>_xlfn.CONCAT(tabE.Flux[[#This Row],[DATA]],"+",tabE.Flux[[#This Row],[MOTORISTA + MATRÍCULA B]])</f>
        <v>45952+ALCENILDE BARBOSA ARAUJO - 1745</v>
      </c>
      <c r="E1520" s="1" t="str">
        <f>_xlfn.CONCAT(tabE.Flux[[#This Row],[DATA]],"+",tabE.Flux[[#This Row],[MOTORISTA + MATRÍCULA A]],"+",tabE.Flux[[#This Row],[LINHA]])</f>
        <v>45952+AILTON LEITE ORTIZ DE CAMARGO - 1642+GOIANIA (GO) X BELEM (PA)</v>
      </c>
      <c r="F1520" s="1" t="str">
        <f>_xlfn.CONCAT(tabE.Flux[[#This Row],[DATA]],"+",tabE.Flux[[#This Row],[MOTORISTA + MATRÍCULA B]],"+",tabE.Flux[[#This Row],[LINHA]])</f>
        <v>45952+ALCENILDE BARBOSA ARAUJO - 1745+GOIANIA (GO) X BELEM (PA)</v>
      </c>
      <c r="G1520" s="1" t="str">
        <f>_xlfn.CONCAT(tabE.Flux[[#This Row],[DATA]],"+",tabE.Flux[[#This Row],[LINHA]])</f>
        <v>45952+GOIANIA (GO) X BELEM (PA)</v>
      </c>
      <c r="H1520" s="125">
        <v>45952</v>
      </c>
      <c r="I1520" s="1" t="s">
        <v>15</v>
      </c>
      <c r="J1520" s="1">
        <v>20016</v>
      </c>
      <c r="K1520" s="126">
        <v>0.84722222222222221</v>
      </c>
      <c r="L1520" s="126">
        <v>0.87847222222222221</v>
      </c>
      <c r="M1520" s="1" t="s">
        <v>16</v>
      </c>
      <c r="N1520" s="1" t="s">
        <v>17</v>
      </c>
      <c r="O1520" s="1" t="s">
        <v>136</v>
      </c>
      <c r="P1520" s="1" t="s">
        <v>137</v>
      </c>
      <c r="Q1520" s="1" t="s">
        <v>20</v>
      </c>
    </row>
    <row r="1521" spans="3:17" x14ac:dyDescent="0.25">
      <c r="C1521" s="1" t="str">
        <f>_xlfn.CONCAT(tabE.Flux[[#This Row],[DATA]],"+",tabE.Flux[[#This Row],[MOTORISTA + MATRÍCULA A]])</f>
        <v>+</v>
      </c>
      <c r="D1521" s="1" t="str">
        <f>_xlfn.CONCAT(tabE.Flux[[#This Row],[DATA]],"+",tabE.Flux[[#This Row],[MOTORISTA + MATRÍCULA B]])</f>
        <v>+</v>
      </c>
      <c r="E1521" s="1" t="str">
        <f>_xlfn.CONCAT(tabE.Flux[[#This Row],[DATA]],"+",tabE.Flux[[#This Row],[MOTORISTA + MATRÍCULA A]],"+",tabE.Flux[[#This Row],[LINHA]])</f>
        <v>++</v>
      </c>
      <c r="F1521" s="1" t="str">
        <f>_xlfn.CONCAT(tabE.Flux[[#This Row],[DATA]],"+",tabE.Flux[[#This Row],[MOTORISTA + MATRÍCULA B]],"+",tabE.Flux[[#This Row],[LINHA]])</f>
        <v>++</v>
      </c>
      <c r="G1521" s="1" t="str">
        <f>_xlfn.CONCAT(tabE.Flux[[#This Row],[DATA]],"+",tabE.Flux[[#This Row],[LINHA]])</f>
        <v>+</v>
      </c>
      <c r="H1521" s="1"/>
      <c r="I1521" s="1"/>
      <c r="J1521" s="1"/>
      <c r="K1521" s="1"/>
      <c r="L1521" s="1"/>
      <c r="M1521" s="1"/>
      <c r="N1521" s="1"/>
      <c r="O1521" s="1"/>
      <c r="P1521" s="1"/>
      <c r="Q1521" s="1"/>
    </row>
    <row r="1522" spans="3:17" x14ac:dyDescent="0.25">
      <c r="C1522" s="1" t="str">
        <f>_xlfn.CONCAT(tabE.Flux[[#This Row],[DATA]],"+",tabE.Flux[[#This Row],[MOTORISTA + MATRÍCULA A]])</f>
        <v>45953+LUIZ CARLOS GOMES DA SILVA - 1961</v>
      </c>
      <c r="D1522" s="1" t="str">
        <f>_xlfn.CONCAT(tabE.Flux[[#This Row],[DATA]],"+",tabE.Flux[[#This Row],[MOTORISTA + MATRÍCULA B]])</f>
        <v>45953+DELEY CARVALHO DE SOUZA - 5624</v>
      </c>
      <c r="E1522" s="1" t="str">
        <f>_xlfn.CONCAT(tabE.Flux[[#This Row],[DATA]],"+",tabE.Flux[[#This Row],[MOTORISTA + MATRÍCULA A]],"+",tabE.Flux[[#This Row],[LINHA]])</f>
        <v>45953+LUIZ CARLOS GOMES DA SILVA - 1961+GOIANIA (GO) X BELEM (PA)</v>
      </c>
      <c r="F1522" s="1" t="str">
        <f>_xlfn.CONCAT(tabE.Flux[[#This Row],[DATA]],"+",tabE.Flux[[#This Row],[MOTORISTA + MATRÍCULA B]],"+",tabE.Flux[[#This Row],[LINHA]])</f>
        <v>45953+DELEY CARVALHO DE SOUZA - 5624+GOIANIA (GO) X BELEM (PA)</v>
      </c>
      <c r="G1522" s="1" t="str">
        <f>_xlfn.CONCAT(tabE.Flux[[#This Row],[DATA]],"+",tabE.Flux[[#This Row],[LINHA]])</f>
        <v>45953+GOIANIA (GO) X BELEM (PA)</v>
      </c>
      <c r="H1522" s="125">
        <v>45953</v>
      </c>
      <c r="I1522" s="1" t="s">
        <v>15</v>
      </c>
      <c r="J1522" s="1">
        <v>24011</v>
      </c>
      <c r="K1522" s="126">
        <v>0.25486111111111109</v>
      </c>
      <c r="L1522" s="126">
        <v>0.3</v>
      </c>
      <c r="M1522" s="1" t="s">
        <v>16</v>
      </c>
      <c r="N1522" s="1" t="s">
        <v>17</v>
      </c>
      <c r="O1522" s="1" t="s">
        <v>25</v>
      </c>
      <c r="P1522" s="1" t="s">
        <v>247</v>
      </c>
      <c r="Q1522" s="1" t="s">
        <v>20</v>
      </c>
    </row>
    <row r="1523" spans="3:17" x14ac:dyDescent="0.25">
      <c r="C1523" s="1" t="str">
        <f>_xlfn.CONCAT(tabE.Flux[[#This Row],[DATA]],"+",tabE.Flux[[#This Row],[MOTORISTA + MATRÍCULA A]])</f>
        <v>45953+JAKTAN DE OLIVEIRA RODRIGUES - 5836</v>
      </c>
      <c r="D1523" s="1" t="str">
        <f>_xlfn.CONCAT(tabE.Flux[[#This Row],[DATA]],"+",tabE.Flux[[#This Row],[MOTORISTA + MATRÍCULA B]])</f>
        <v>45953+LUIS ANTONIO FARIAS RIBEIRO - 2789</v>
      </c>
      <c r="E1523" s="1" t="str">
        <f>_xlfn.CONCAT(tabE.Flux[[#This Row],[DATA]],"+",tabE.Flux[[#This Row],[MOTORISTA + MATRÍCULA A]],"+",tabE.Flux[[#This Row],[LINHA]])</f>
        <v>45953+JAKTAN DE OLIVEIRA RODRIGUES - 5836+GOIANIA (GO) X SAO LUIS (MA)</v>
      </c>
      <c r="F1523" s="1" t="str">
        <f>_xlfn.CONCAT(tabE.Flux[[#This Row],[DATA]],"+",tabE.Flux[[#This Row],[MOTORISTA + MATRÍCULA B]],"+",tabE.Flux[[#This Row],[LINHA]])</f>
        <v>45953+LUIS ANTONIO FARIAS RIBEIRO - 2789+GOIANIA (GO) X SAO LUIS (MA)</v>
      </c>
      <c r="G1523" s="1" t="str">
        <f>_xlfn.CONCAT(tabE.Flux[[#This Row],[DATA]],"+",tabE.Flux[[#This Row],[LINHA]])</f>
        <v>45953+GOIANIA (GO) X SAO LUIS (MA)</v>
      </c>
      <c r="H1523" s="125">
        <v>45953</v>
      </c>
      <c r="I1523" s="1" t="s">
        <v>15</v>
      </c>
      <c r="J1523" s="1">
        <v>24013</v>
      </c>
      <c r="K1523" s="126">
        <v>0.32291666666666669</v>
      </c>
      <c r="L1523" s="126">
        <v>0.33333333333333331</v>
      </c>
      <c r="M1523" s="1" t="s">
        <v>16</v>
      </c>
      <c r="N1523" s="1" t="s">
        <v>17</v>
      </c>
      <c r="O1523" s="1" t="s">
        <v>59</v>
      </c>
      <c r="P1523" s="1" t="s">
        <v>124</v>
      </c>
      <c r="Q1523" s="1" t="s">
        <v>23</v>
      </c>
    </row>
    <row r="1524" spans="3:17" x14ac:dyDescent="0.25">
      <c r="C1524" s="1" t="str">
        <f>_xlfn.CONCAT(tabE.Flux[[#This Row],[DATA]],"+",tabE.Flux[[#This Row],[MOTORISTA + MATRÍCULA A]])</f>
        <v>45953+ESIEL COSTA RODRIGUES - 1749</v>
      </c>
      <c r="D1524" s="1" t="str">
        <f>_xlfn.CONCAT(tabE.Flux[[#This Row],[DATA]],"+",tabE.Flux[[#This Row],[MOTORISTA + MATRÍCULA B]])</f>
        <v>45953+KLEBSON ALVES FREIRES - 3060</v>
      </c>
      <c r="E1524" s="1" t="str">
        <f>_xlfn.CONCAT(tabE.Flux[[#This Row],[DATA]],"+",tabE.Flux[[#This Row],[MOTORISTA + MATRÍCULA A]],"+",tabE.Flux[[#This Row],[LINHA]])</f>
        <v>45953+ESIEL COSTA RODRIGUES - 1749+GOIANIA (GO) X TERESINA (PI) VIA STI</v>
      </c>
      <c r="F1524" s="1" t="str">
        <f>_xlfn.CONCAT(tabE.Flux[[#This Row],[DATA]],"+",tabE.Flux[[#This Row],[MOTORISTA + MATRÍCULA B]],"+",tabE.Flux[[#This Row],[LINHA]])</f>
        <v>45953+KLEBSON ALVES FREIRES - 3060+GOIANIA (GO) X TERESINA (PI) VIA STI</v>
      </c>
      <c r="G1524" s="1" t="str">
        <f>_xlfn.CONCAT(tabE.Flux[[#This Row],[DATA]],"+",tabE.Flux[[#This Row],[LINHA]])</f>
        <v>45953+GOIANIA (GO) X TERESINA (PI) VIA STI</v>
      </c>
      <c r="H1524" s="125">
        <v>45953</v>
      </c>
      <c r="I1524" s="1" t="s">
        <v>15</v>
      </c>
      <c r="J1524" s="1">
        <v>19013</v>
      </c>
      <c r="K1524" s="126">
        <v>0.3888888888888889</v>
      </c>
      <c r="L1524" s="126">
        <v>0.39583333333333331</v>
      </c>
      <c r="M1524" s="1" t="s">
        <v>16</v>
      </c>
      <c r="N1524" s="1" t="s">
        <v>17</v>
      </c>
      <c r="O1524" s="1" t="s">
        <v>46</v>
      </c>
      <c r="P1524" s="1" t="s">
        <v>161</v>
      </c>
      <c r="Q1524" s="1" t="s">
        <v>26</v>
      </c>
    </row>
    <row r="1525" spans="3:17" x14ac:dyDescent="0.25">
      <c r="C1525" s="1" t="str">
        <f>_xlfn.CONCAT(tabE.Flux[[#This Row],[DATA]],"+",tabE.Flux[[#This Row],[MOTORISTA + MATRÍCULA A]])</f>
        <v>45953+CANCELADO</v>
      </c>
      <c r="D1525" s="1" t="str">
        <f>_xlfn.CONCAT(tabE.Flux[[#This Row],[DATA]],"+",tabE.Flux[[#This Row],[MOTORISTA + MATRÍCULA B]])</f>
        <v>45953+CANCELADO</v>
      </c>
      <c r="E1525" s="1" t="str">
        <f>_xlfn.CONCAT(tabE.Flux[[#This Row],[DATA]],"+",tabE.Flux[[#This Row],[MOTORISTA + MATRÍCULA A]],"+",tabE.Flux[[#This Row],[LINHA]])</f>
        <v>45953+CANCELADO+</v>
      </c>
      <c r="F1525" s="1" t="str">
        <f>_xlfn.CONCAT(tabE.Flux[[#This Row],[DATA]],"+",tabE.Flux[[#This Row],[MOTORISTA + MATRÍCULA B]],"+",tabE.Flux[[#This Row],[LINHA]])</f>
        <v>45953+CANCELADO+</v>
      </c>
      <c r="G1525" s="1" t="str">
        <f>_xlfn.CONCAT(tabE.Flux[[#This Row],[DATA]],"+",tabE.Flux[[#This Row],[LINHA]])</f>
        <v>45953+</v>
      </c>
      <c r="H1525" s="125">
        <v>45953</v>
      </c>
      <c r="I1525" s="1" t="s">
        <v>15</v>
      </c>
      <c r="J1525" s="1" t="s">
        <v>27</v>
      </c>
      <c r="K1525" s="126">
        <v>0.375</v>
      </c>
      <c r="L1525" s="126">
        <v>0.41666666666666669</v>
      </c>
      <c r="M1525" s="1" t="s">
        <v>16</v>
      </c>
      <c r="N1525" s="1" t="s">
        <v>28</v>
      </c>
      <c r="O1525" s="1" t="s">
        <v>27</v>
      </c>
      <c r="P1525" s="1" t="s">
        <v>27</v>
      </c>
      <c r="Q1525" s="1"/>
    </row>
    <row r="1526" spans="3:17" x14ac:dyDescent="0.25">
      <c r="C1526" s="1" t="str">
        <f>_xlfn.CONCAT(tabE.Flux[[#This Row],[DATA]],"+",tabE.Flux[[#This Row],[MOTORISTA + MATRÍCULA A]])</f>
        <v>45953+REINAN JOSE BORGES SOUSA - 1075</v>
      </c>
      <c r="D1526" s="1" t="str">
        <f>_xlfn.CONCAT(tabE.Flux[[#This Row],[DATA]],"+",tabE.Flux[[#This Row],[MOTORISTA + MATRÍCULA B]])</f>
        <v>45953+RICARDO AUGUSTO TEIXEIRA SANTOS - 5660</v>
      </c>
      <c r="E1526" s="1" t="str">
        <f>_xlfn.CONCAT(tabE.Flux[[#This Row],[DATA]],"+",tabE.Flux[[#This Row],[MOTORISTA + MATRÍCULA A]],"+",tabE.Flux[[#This Row],[LINHA]])</f>
        <v>45953+REINAN JOSE BORGES SOUSA - 1075+FORTALEZA (CE) X SINOP (MT)</v>
      </c>
      <c r="F1526" s="1" t="str">
        <f>_xlfn.CONCAT(tabE.Flux[[#This Row],[DATA]],"+",tabE.Flux[[#This Row],[MOTORISTA + MATRÍCULA B]],"+",tabE.Flux[[#This Row],[LINHA]])</f>
        <v>45953+RICARDO AUGUSTO TEIXEIRA SANTOS - 5660+FORTALEZA (CE) X SINOP (MT)</v>
      </c>
      <c r="G1526" s="1" t="str">
        <f>_xlfn.CONCAT(tabE.Flux[[#This Row],[DATA]],"+",tabE.Flux[[#This Row],[LINHA]])</f>
        <v>45953+FORTALEZA (CE) X SINOP (MT)</v>
      </c>
      <c r="H1526" s="125">
        <v>45953</v>
      </c>
      <c r="I1526" s="1" t="s">
        <v>15</v>
      </c>
      <c r="J1526" s="1">
        <v>19005</v>
      </c>
      <c r="K1526" s="126">
        <v>0.3888888888888889</v>
      </c>
      <c r="L1526" s="126">
        <v>0.37708333333333333</v>
      </c>
      <c r="M1526" s="1" t="s">
        <v>16</v>
      </c>
      <c r="N1526" s="1" t="s">
        <v>29</v>
      </c>
      <c r="O1526" s="1" t="s">
        <v>84</v>
      </c>
      <c r="P1526" s="1" t="s">
        <v>174</v>
      </c>
      <c r="Q1526" s="1" t="s">
        <v>32</v>
      </c>
    </row>
    <row r="1527" spans="3:17" x14ac:dyDescent="0.25">
      <c r="C1527" s="1" t="str">
        <f>_xlfn.CONCAT(tabE.Flux[[#This Row],[DATA]],"+",tabE.Flux[[#This Row],[MOTORISTA + MATRÍCULA A]])</f>
        <v>45953+JEFFERSON CARDOSO DOS SANTOS - 5837</v>
      </c>
      <c r="D1527" s="1" t="str">
        <f>_xlfn.CONCAT(tabE.Flux[[#This Row],[DATA]],"+",tabE.Flux[[#This Row],[MOTORISTA + MATRÍCULA B]])</f>
        <v>45953+EDUARDO SANTOS BEZERRA - 4066</v>
      </c>
      <c r="E1527" s="1" t="str">
        <f>_xlfn.CONCAT(tabE.Flux[[#This Row],[DATA]],"+",tabE.Flux[[#This Row],[MOTORISTA + MATRÍCULA A]],"+",tabE.Flux[[#This Row],[LINHA]])</f>
        <v>45953+JEFFERSON CARDOSO DOS SANTOS - 5837+GOIANIA (GO) X BELEM (PA)</v>
      </c>
      <c r="F1527" s="1" t="str">
        <f>_xlfn.CONCAT(tabE.Flux[[#This Row],[DATA]],"+",tabE.Flux[[#This Row],[MOTORISTA + MATRÍCULA B]],"+",tabE.Flux[[#This Row],[LINHA]])</f>
        <v>45953+EDUARDO SANTOS BEZERRA - 4066+GOIANIA (GO) X BELEM (PA)</v>
      </c>
      <c r="G1527" s="1" t="str">
        <f>_xlfn.CONCAT(tabE.Flux[[#This Row],[DATA]],"+",tabE.Flux[[#This Row],[LINHA]])</f>
        <v>45953+GOIANIA (GO) X BELEM (PA)</v>
      </c>
      <c r="H1527" s="125">
        <v>45953</v>
      </c>
      <c r="I1527" s="1" t="s">
        <v>15</v>
      </c>
      <c r="J1527" s="1">
        <v>19016</v>
      </c>
      <c r="K1527" s="126">
        <v>0.38958333333333334</v>
      </c>
      <c r="L1527" s="126">
        <v>0.38541666666666669</v>
      </c>
      <c r="M1527" s="1" t="s">
        <v>16</v>
      </c>
      <c r="N1527" s="1" t="s">
        <v>33</v>
      </c>
      <c r="O1527" s="1" t="s">
        <v>30</v>
      </c>
      <c r="P1527" s="1" t="s">
        <v>148</v>
      </c>
      <c r="Q1527" s="1" t="s">
        <v>20</v>
      </c>
    </row>
    <row r="1528" spans="3:17" x14ac:dyDescent="0.25">
      <c r="C1528" s="1" t="str">
        <f>_xlfn.CONCAT(tabE.Flux[[#This Row],[DATA]],"+",tabE.Flux[[#This Row],[MOTORISTA + MATRÍCULA A]])</f>
        <v>45953+ELIEZIO JOSE DOS SANTOS - 2645</v>
      </c>
      <c r="D1528" s="1" t="str">
        <f>_xlfn.CONCAT(tabE.Flux[[#This Row],[DATA]],"+",tabE.Flux[[#This Row],[MOTORISTA + MATRÍCULA B]])</f>
        <v>45953+MARCIO DE SOUSA BRASILEIRO - 5828</v>
      </c>
      <c r="E1528" s="1" t="str">
        <f>_xlfn.CONCAT(tabE.Flux[[#This Row],[DATA]],"+",tabE.Flux[[#This Row],[MOTORISTA + MATRÍCULA A]],"+",tabE.Flux[[#This Row],[LINHA]])</f>
        <v>45953+ELIEZIO JOSE DOS SANTOS - 2645+GOIANIA (GO) X TERESINA (PI) VIA BC</v>
      </c>
      <c r="F1528" s="1" t="str">
        <f>_xlfn.CONCAT(tabE.Flux[[#This Row],[DATA]],"+",tabE.Flux[[#This Row],[MOTORISTA + MATRÍCULA B]],"+",tabE.Flux[[#This Row],[LINHA]])</f>
        <v>45953+MARCIO DE SOUSA BRASILEIRO - 5828+GOIANIA (GO) X TERESINA (PI) VIA BC</v>
      </c>
      <c r="G1528" s="1" t="str">
        <f>_xlfn.CONCAT(tabE.Flux[[#This Row],[DATA]],"+",tabE.Flux[[#This Row],[LINHA]])</f>
        <v>45953+GOIANIA (GO) X TERESINA (PI) VIA BC</v>
      </c>
      <c r="H1528" s="125">
        <v>45953</v>
      </c>
      <c r="I1528" s="1" t="s">
        <v>15</v>
      </c>
      <c r="J1528" s="1">
        <v>25008</v>
      </c>
      <c r="K1528" s="126">
        <v>0.375</v>
      </c>
      <c r="L1528" s="126">
        <v>0.39930555555555558</v>
      </c>
      <c r="M1528" s="1" t="s">
        <v>36</v>
      </c>
      <c r="N1528" s="1" t="s">
        <v>29</v>
      </c>
      <c r="O1528" s="1" t="s">
        <v>53</v>
      </c>
      <c r="P1528" s="1" t="s">
        <v>129</v>
      </c>
      <c r="Q1528" s="1" t="s">
        <v>39</v>
      </c>
    </row>
    <row r="1529" spans="3:17" x14ac:dyDescent="0.25">
      <c r="C1529" s="1" t="str">
        <f>_xlfn.CONCAT(tabE.Flux[[#This Row],[DATA]],"+",tabE.Flux[[#This Row],[MOTORISTA + MATRÍCULA A]])</f>
        <v>45953+EDIVALDO DOS SANTOS SOUZA - 905</v>
      </c>
      <c r="D1529" s="1" t="str">
        <f>_xlfn.CONCAT(tabE.Flux[[#This Row],[DATA]],"+",tabE.Flux[[#This Row],[MOTORISTA + MATRÍCULA B]])</f>
        <v>45953+LUIZ CARLOS MARIANO SIQUEIRA - 5634</v>
      </c>
      <c r="E1529" s="1" t="str">
        <f>_xlfn.CONCAT(tabE.Flux[[#This Row],[DATA]],"+",tabE.Flux[[#This Row],[MOTORISTA + MATRÍCULA A]],"+",tabE.Flux[[#This Row],[LINHA]])</f>
        <v>45953+EDIVALDO DOS SANTOS SOUZA - 905+GOIANIA (GO) X BELEM (PA)</v>
      </c>
      <c r="F1529" s="1" t="str">
        <f>_xlfn.CONCAT(tabE.Flux[[#This Row],[DATA]],"+",tabE.Flux[[#This Row],[MOTORISTA + MATRÍCULA B]],"+",tabE.Flux[[#This Row],[LINHA]])</f>
        <v>45953+LUIZ CARLOS MARIANO SIQUEIRA - 5634+GOIANIA (GO) X BELEM (PA)</v>
      </c>
      <c r="G1529" s="1" t="str">
        <f>_xlfn.CONCAT(tabE.Flux[[#This Row],[DATA]],"+",tabE.Flux[[#This Row],[LINHA]])</f>
        <v>45953+GOIANIA (GO) X BELEM (PA)</v>
      </c>
      <c r="H1529" s="125">
        <v>45953</v>
      </c>
      <c r="I1529" s="1" t="s">
        <v>15</v>
      </c>
      <c r="J1529" s="1">
        <v>20013</v>
      </c>
      <c r="K1529" s="126">
        <v>0.375</v>
      </c>
      <c r="L1529" s="126">
        <v>0.41666666666666669</v>
      </c>
      <c r="M1529" s="1" t="s">
        <v>33</v>
      </c>
      <c r="N1529" s="1" t="s">
        <v>16</v>
      </c>
      <c r="O1529" s="1" t="s">
        <v>187</v>
      </c>
      <c r="P1529" s="1" t="s">
        <v>51</v>
      </c>
      <c r="Q1529" s="1" t="s">
        <v>20</v>
      </c>
    </row>
    <row r="1530" spans="3:17" x14ac:dyDescent="0.25">
      <c r="C1530" s="1" t="str">
        <f>_xlfn.CONCAT(tabE.Flux[[#This Row],[DATA]],"+",tabE.Flux[[#This Row],[MOTORISTA + MATRÍCULA A]])</f>
        <v>45953+CARLOS ADRIANO DE SOUZA DO NASCIMENTO - 6222</v>
      </c>
      <c r="D1530" s="1" t="str">
        <f>_xlfn.CONCAT(tabE.Flux[[#This Row],[DATA]],"+",tabE.Flux[[#This Row],[MOTORISTA + MATRÍCULA B]])</f>
        <v>45953+RICHARD SOUSA DA SILVA - 1271</v>
      </c>
      <c r="E1530" s="1" t="str">
        <f>_xlfn.CONCAT(tabE.Flux[[#This Row],[DATA]],"+",tabE.Flux[[#This Row],[MOTORISTA + MATRÍCULA A]],"+",tabE.Flux[[#This Row],[LINHA]])</f>
        <v>45953+CARLOS ADRIANO DE SOUZA DO NASCIMENTO - 6222+GOIANIA (GO) X SAO LUIS (MA)</v>
      </c>
      <c r="F1530" s="1" t="str">
        <f>_xlfn.CONCAT(tabE.Flux[[#This Row],[DATA]],"+",tabE.Flux[[#This Row],[MOTORISTA + MATRÍCULA B]],"+",tabE.Flux[[#This Row],[LINHA]])</f>
        <v>45953+RICHARD SOUSA DA SILVA - 1271+GOIANIA (GO) X SAO LUIS (MA)</v>
      </c>
      <c r="G1530" s="1" t="str">
        <f>_xlfn.CONCAT(tabE.Flux[[#This Row],[DATA]],"+",tabE.Flux[[#This Row],[LINHA]])</f>
        <v>45953+GOIANIA (GO) X SAO LUIS (MA)</v>
      </c>
      <c r="H1530" s="125">
        <v>45953</v>
      </c>
      <c r="I1530" s="1" t="s">
        <v>15</v>
      </c>
      <c r="J1530" s="1">
        <v>19008</v>
      </c>
      <c r="K1530" s="126">
        <v>0.25</v>
      </c>
      <c r="L1530" s="126">
        <v>0.29166666666666669</v>
      </c>
      <c r="M1530" s="1" t="s">
        <v>42</v>
      </c>
      <c r="N1530" s="1" t="s">
        <v>16</v>
      </c>
      <c r="O1530" s="1" t="s">
        <v>110</v>
      </c>
      <c r="P1530" s="1" t="s">
        <v>56</v>
      </c>
      <c r="Q1530" s="1" t="s">
        <v>23</v>
      </c>
    </row>
    <row r="1531" spans="3:17" x14ac:dyDescent="0.25">
      <c r="C1531" s="1" t="str">
        <f>_xlfn.CONCAT(tabE.Flux[[#This Row],[DATA]],"+",tabE.Flux[[#This Row],[MOTORISTA + MATRÍCULA A]])</f>
        <v>45953+ALTEMAR DO NASCIMENTO LIMA - 6225</v>
      </c>
      <c r="D1531" s="1" t="str">
        <f>_xlfn.CONCAT(tabE.Flux[[#This Row],[DATA]],"+",tabE.Flux[[#This Row],[MOTORISTA + MATRÍCULA B]])</f>
        <v>45953+MARCOS ATAIDE SILVA - 1352</v>
      </c>
      <c r="E1531" s="1" t="str">
        <f>_xlfn.CONCAT(tabE.Flux[[#This Row],[DATA]],"+",tabE.Flux[[#This Row],[MOTORISTA + MATRÍCULA A]],"+",tabE.Flux[[#This Row],[LINHA]])</f>
        <v>45953+ALTEMAR DO NASCIMENTO LIMA - 6225+GOIANIA (GO) X SAO LUIS (MA)</v>
      </c>
      <c r="F1531" s="1" t="str">
        <f>_xlfn.CONCAT(tabE.Flux[[#This Row],[DATA]],"+",tabE.Flux[[#This Row],[MOTORISTA + MATRÍCULA B]],"+",tabE.Flux[[#This Row],[LINHA]])</f>
        <v>45953+MARCOS ATAIDE SILVA - 1352+GOIANIA (GO) X SAO LUIS (MA)</v>
      </c>
      <c r="G1531" s="1" t="str">
        <f>_xlfn.CONCAT(tabE.Flux[[#This Row],[DATA]],"+",tabE.Flux[[#This Row],[LINHA]])</f>
        <v>45953+GOIANIA (GO) X SAO LUIS (MA)</v>
      </c>
      <c r="H1531" s="125">
        <v>45953</v>
      </c>
      <c r="I1531" s="1" t="s">
        <v>15</v>
      </c>
      <c r="J1531" s="1">
        <v>24016</v>
      </c>
      <c r="K1531" s="126">
        <v>0.75</v>
      </c>
      <c r="L1531" s="126">
        <v>0.79166666666666663</v>
      </c>
      <c r="M1531" s="1" t="s">
        <v>42</v>
      </c>
      <c r="N1531" s="1" t="s">
        <v>16</v>
      </c>
      <c r="O1531" s="1" t="s">
        <v>57</v>
      </c>
      <c r="P1531" s="1" t="s">
        <v>113</v>
      </c>
      <c r="Q1531" s="1" t="s">
        <v>23</v>
      </c>
    </row>
    <row r="1532" spans="3:17" x14ac:dyDescent="0.25">
      <c r="C1532" s="1" t="str">
        <f>_xlfn.CONCAT(tabE.Flux[[#This Row],[DATA]],"+",tabE.Flux[[#This Row],[MOTORISTA + MATRÍCULA A]])</f>
        <v>45953+CANCELADO</v>
      </c>
      <c r="D1532" s="1" t="str">
        <f>_xlfn.CONCAT(tabE.Flux[[#This Row],[DATA]],"+",tabE.Flux[[#This Row],[MOTORISTA + MATRÍCULA B]])</f>
        <v>45953+CANCELADO</v>
      </c>
      <c r="E1532" s="1" t="str">
        <f>_xlfn.CONCAT(tabE.Flux[[#This Row],[DATA]],"+",tabE.Flux[[#This Row],[MOTORISTA + MATRÍCULA A]],"+",tabE.Flux[[#This Row],[LINHA]])</f>
        <v>45953+CANCELADO+IMPERATRIZ (MA) X SÃO LUIS (MA)</v>
      </c>
      <c r="F1532" s="1" t="str">
        <f>_xlfn.CONCAT(tabE.Flux[[#This Row],[DATA]],"+",tabE.Flux[[#This Row],[MOTORISTA + MATRÍCULA B]],"+",tabE.Flux[[#This Row],[LINHA]])</f>
        <v>45953+CANCELADO+IMPERATRIZ (MA) X SÃO LUIS (MA)</v>
      </c>
      <c r="G1532" s="1" t="str">
        <f>_xlfn.CONCAT(tabE.Flux[[#This Row],[DATA]],"+",tabE.Flux[[#This Row],[LINHA]])</f>
        <v>45953+IMPERATRIZ (MA) X SÃO LUIS (MA)</v>
      </c>
      <c r="H1532" s="125">
        <v>45953</v>
      </c>
      <c r="I1532" s="1" t="s">
        <v>15</v>
      </c>
      <c r="J1532" s="1" t="s">
        <v>27</v>
      </c>
      <c r="K1532" s="126">
        <v>0.77083333333333337</v>
      </c>
      <c r="L1532" s="126">
        <v>0.79513888888888884</v>
      </c>
      <c r="M1532" s="1" t="s">
        <v>42</v>
      </c>
      <c r="N1532" s="1" t="s">
        <v>16</v>
      </c>
      <c r="O1532" s="1" t="s">
        <v>27</v>
      </c>
      <c r="P1532" s="1" t="s">
        <v>27</v>
      </c>
      <c r="Q1532" s="1" t="s">
        <v>47</v>
      </c>
    </row>
    <row r="1533" spans="3:17" x14ac:dyDescent="0.25">
      <c r="C1533" s="1" t="str">
        <f>_xlfn.CONCAT(tabE.Flux[[#This Row],[DATA]],"+",tabE.Flux[[#This Row],[MOTORISTA + MATRÍCULA A]])</f>
        <v>45953+DIVINO FERREIRA DA SILVA - 1946</v>
      </c>
      <c r="D1533" s="1" t="str">
        <f>_xlfn.CONCAT(tabE.Flux[[#This Row],[DATA]],"+",tabE.Flux[[#This Row],[MOTORISTA + MATRÍCULA B]])</f>
        <v>45953+JOSE PINHEIRO DA SILVA - 5628</v>
      </c>
      <c r="E1533" s="1" t="str">
        <f>_xlfn.CONCAT(tabE.Flux[[#This Row],[DATA]],"+",tabE.Flux[[#This Row],[MOTORISTA + MATRÍCULA A]],"+",tabE.Flux[[#This Row],[LINHA]])</f>
        <v>45953+DIVINO FERREIRA DA SILVA - 1946+GOIANIA (GO) X TERESINA (PI) VIA BC</v>
      </c>
      <c r="F1533" s="1" t="str">
        <f>_xlfn.CONCAT(tabE.Flux[[#This Row],[DATA]],"+",tabE.Flux[[#This Row],[MOTORISTA + MATRÍCULA B]],"+",tabE.Flux[[#This Row],[LINHA]])</f>
        <v>45953+JOSE PINHEIRO DA SILVA - 5628+GOIANIA (GO) X TERESINA (PI) VIA BC</v>
      </c>
      <c r="G1533" s="1" t="str">
        <f>_xlfn.CONCAT(tabE.Flux[[#This Row],[DATA]],"+",tabE.Flux[[#This Row],[LINHA]])</f>
        <v>45953+GOIANIA (GO) X TERESINA (PI) VIA BC</v>
      </c>
      <c r="H1533" s="125">
        <v>45953</v>
      </c>
      <c r="I1533" s="1" t="s">
        <v>15</v>
      </c>
      <c r="J1533" s="1">
        <v>24015</v>
      </c>
      <c r="K1533" s="126">
        <v>0.89583333333333337</v>
      </c>
      <c r="L1533" s="126">
        <v>0.91666666666666663</v>
      </c>
      <c r="M1533" s="1" t="s">
        <v>36</v>
      </c>
      <c r="N1533" s="1" t="s">
        <v>17</v>
      </c>
      <c r="O1533" s="1" t="s">
        <v>238</v>
      </c>
      <c r="P1533" s="1" t="s">
        <v>162</v>
      </c>
      <c r="Q1533" s="1" t="s">
        <v>39</v>
      </c>
    </row>
    <row r="1534" spans="3:17" x14ac:dyDescent="0.25">
      <c r="C1534" s="1" t="str">
        <f>_xlfn.CONCAT(tabE.Flux[[#This Row],[DATA]],"+",tabE.Flux[[#This Row],[MOTORISTA + MATRÍCULA A]])</f>
        <v>45953+BERNARDO SOUZA LIMA - 1720</v>
      </c>
      <c r="D1534" s="1" t="str">
        <f>_xlfn.CONCAT(tabE.Flux[[#This Row],[DATA]],"+",tabE.Flux[[#This Row],[MOTORISTA + MATRÍCULA B]])</f>
        <v>45953+FRANCISCO ALVES DA PAZ JUNIOR - 1247</v>
      </c>
      <c r="E1534" s="1" t="str">
        <f>_xlfn.CONCAT(tabE.Flux[[#This Row],[DATA]],"+",tabE.Flux[[#This Row],[MOTORISTA + MATRÍCULA A]],"+",tabE.Flux[[#This Row],[LINHA]])</f>
        <v>45953+BERNARDO SOUZA LIMA - 1720+GOIANIA (GO) X BELEM (PA)</v>
      </c>
      <c r="F1534" s="1" t="str">
        <f>_xlfn.CONCAT(tabE.Flux[[#This Row],[DATA]],"+",tabE.Flux[[#This Row],[MOTORISTA + MATRÍCULA B]],"+",tabE.Flux[[#This Row],[LINHA]])</f>
        <v>45953+FRANCISCO ALVES DA PAZ JUNIOR - 1247+GOIANIA (GO) X BELEM (PA)</v>
      </c>
      <c r="G1534" s="1" t="str">
        <f>_xlfn.CONCAT(tabE.Flux[[#This Row],[DATA]],"+",tabE.Flux[[#This Row],[LINHA]])</f>
        <v>45953+GOIANIA (GO) X BELEM (PA)</v>
      </c>
      <c r="H1534" s="125">
        <v>45953</v>
      </c>
      <c r="I1534" s="1" t="s">
        <v>15</v>
      </c>
      <c r="J1534" s="1">
        <v>25007</v>
      </c>
      <c r="K1534" s="126">
        <v>0.76041666666666663</v>
      </c>
      <c r="L1534" s="126">
        <v>0.77083333333333337</v>
      </c>
      <c r="M1534" s="1" t="s">
        <v>33</v>
      </c>
      <c r="N1534" s="1" t="s">
        <v>16</v>
      </c>
      <c r="O1534" s="1" t="s">
        <v>123</v>
      </c>
      <c r="P1534" s="1" t="s">
        <v>144</v>
      </c>
      <c r="Q1534" s="1" t="s">
        <v>20</v>
      </c>
    </row>
    <row r="1535" spans="3:17" x14ac:dyDescent="0.25">
      <c r="C1535" s="1" t="str">
        <f>_xlfn.CONCAT(tabE.Flux[[#This Row],[DATA]],"+",tabE.Flux[[#This Row],[MOTORISTA + MATRÍCULA A]])</f>
        <v>45953+RONNE RODRIGUES DE SOUSA - 5025</v>
      </c>
      <c r="D1535" s="1" t="str">
        <f>_xlfn.CONCAT(tabE.Flux[[#This Row],[DATA]],"+",tabE.Flux[[#This Row],[MOTORISTA + MATRÍCULA B]])</f>
        <v>45953+JOAO DE JESUS GOUVEIA - 6016</v>
      </c>
      <c r="E1535" s="1" t="str">
        <f>_xlfn.CONCAT(tabE.Flux[[#This Row],[DATA]],"+",tabE.Flux[[#This Row],[MOTORISTA + MATRÍCULA A]],"+",tabE.Flux[[#This Row],[LINHA]])</f>
        <v>45953+RONNE RODRIGUES DE SOUSA - 5025+GOIANIA (GO) X BELEM (PA)</v>
      </c>
      <c r="F1535" s="1" t="str">
        <f>_xlfn.CONCAT(tabE.Flux[[#This Row],[DATA]],"+",tabE.Flux[[#This Row],[MOTORISTA + MATRÍCULA B]],"+",tabE.Flux[[#This Row],[LINHA]])</f>
        <v>45953+JOAO DE JESUS GOUVEIA - 6016+GOIANIA (GO) X BELEM (PA)</v>
      </c>
      <c r="G1535" s="1" t="str">
        <f>_xlfn.CONCAT(tabE.Flux[[#This Row],[DATA]],"+",tabE.Flux[[#This Row],[LINHA]])</f>
        <v>45953+GOIANIA (GO) X BELEM (PA)</v>
      </c>
      <c r="H1535" s="125">
        <v>45953</v>
      </c>
      <c r="I1535" s="1" t="s">
        <v>15</v>
      </c>
      <c r="J1535" s="1">
        <v>24009</v>
      </c>
      <c r="K1535" s="126">
        <v>0.76041666666666663</v>
      </c>
      <c r="L1535" s="126">
        <v>0.82777777777777772</v>
      </c>
      <c r="M1535" s="1" t="s">
        <v>16</v>
      </c>
      <c r="N1535" s="1" t="s">
        <v>33</v>
      </c>
      <c r="O1535" s="1" t="s">
        <v>85</v>
      </c>
      <c r="P1535" s="1" t="s">
        <v>58</v>
      </c>
      <c r="Q1535" s="1" t="s">
        <v>20</v>
      </c>
    </row>
    <row r="1536" spans="3:17" x14ac:dyDescent="0.25">
      <c r="C1536" s="1" t="str">
        <f>_xlfn.CONCAT(tabE.Flux[[#This Row],[DATA]],"+",tabE.Flux[[#This Row],[MOTORISTA + MATRÍCULA A]])</f>
        <v>45953+VALDEY OLIVEIRA ARAUJO - 2790</v>
      </c>
      <c r="D1536" s="1" t="str">
        <f>_xlfn.CONCAT(tabE.Flux[[#This Row],[DATA]],"+",tabE.Flux[[#This Row],[MOTORISTA + MATRÍCULA B]])</f>
        <v>45953+RAIMUNDO COSTA SILVA - 6226</v>
      </c>
      <c r="E1536" s="1" t="str">
        <f>_xlfn.CONCAT(tabE.Flux[[#This Row],[DATA]],"+",tabE.Flux[[#This Row],[MOTORISTA + MATRÍCULA A]],"+",tabE.Flux[[#This Row],[LINHA]])</f>
        <v>45953+VALDEY OLIVEIRA ARAUJO - 2790+GOIANIA (GO) X SAO LUIS (MA)</v>
      </c>
      <c r="F1536" s="1" t="str">
        <f>_xlfn.CONCAT(tabE.Flux[[#This Row],[DATA]],"+",tabE.Flux[[#This Row],[MOTORISTA + MATRÍCULA B]],"+",tabE.Flux[[#This Row],[LINHA]])</f>
        <v>45953+RAIMUNDO COSTA SILVA - 6226+GOIANIA (GO) X SAO LUIS (MA)</v>
      </c>
      <c r="G1536" s="1" t="str">
        <f>_xlfn.CONCAT(tabE.Flux[[#This Row],[DATA]],"+",tabE.Flux[[#This Row],[LINHA]])</f>
        <v>45953+GOIANIA (GO) X SAO LUIS (MA)</v>
      </c>
      <c r="H1536" s="125">
        <v>45953</v>
      </c>
      <c r="I1536" s="1" t="s">
        <v>15</v>
      </c>
      <c r="J1536" s="1">
        <v>17500</v>
      </c>
      <c r="K1536" s="126">
        <v>0.40763888888888888</v>
      </c>
      <c r="L1536" s="126">
        <v>0.47013888888888888</v>
      </c>
      <c r="M1536" s="1" t="s">
        <v>16</v>
      </c>
      <c r="N1536" s="1" t="s">
        <v>42</v>
      </c>
      <c r="O1536" s="1" t="s">
        <v>34</v>
      </c>
      <c r="P1536" s="1" t="s">
        <v>45</v>
      </c>
      <c r="Q1536" s="1" t="s">
        <v>23</v>
      </c>
    </row>
    <row r="1537" spans="3:17" x14ac:dyDescent="0.25">
      <c r="C1537" s="1" t="str">
        <f>_xlfn.CONCAT(tabE.Flux[[#This Row],[DATA]],"+",tabE.Flux[[#This Row],[MOTORISTA + MATRÍCULA A]])</f>
        <v>45953+CANCELADO</v>
      </c>
      <c r="D1537" s="1" t="str">
        <f>_xlfn.CONCAT(tabE.Flux[[#This Row],[DATA]],"+",tabE.Flux[[#This Row],[MOTORISTA + MATRÍCULA B]])</f>
        <v>45953+CANCELADO</v>
      </c>
      <c r="E1537" s="1" t="str">
        <f>_xlfn.CONCAT(tabE.Flux[[#This Row],[DATA]],"+",tabE.Flux[[#This Row],[MOTORISTA + MATRÍCULA A]],"+",tabE.Flux[[#This Row],[LINHA]])</f>
        <v>45953+CANCELADO+IMPERATRIZ (MA) X SÃO LUIS (MA)</v>
      </c>
      <c r="F1537" s="1" t="str">
        <f>_xlfn.CONCAT(tabE.Flux[[#This Row],[DATA]],"+",tabE.Flux[[#This Row],[MOTORISTA + MATRÍCULA B]],"+",tabE.Flux[[#This Row],[LINHA]])</f>
        <v>45953+CANCELADO+IMPERATRIZ (MA) X SÃO LUIS (MA)</v>
      </c>
      <c r="G1537" s="1" t="str">
        <f>_xlfn.CONCAT(tabE.Flux[[#This Row],[DATA]],"+",tabE.Flux[[#This Row],[LINHA]])</f>
        <v>45953+IMPERATRIZ (MA) X SÃO LUIS (MA)</v>
      </c>
      <c r="H1537" s="125">
        <v>45953</v>
      </c>
      <c r="I1537" s="1" t="s">
        <v>15</v>
      </c>
      <c r="J1537" s="1" t="s">
        <v>27</v>
      </c>
      <c r="K1537" s="126">
        <v>0.77083333333333337</v>
      </c>
      <c r="L1537" s="126">
        <v>0.8125</v>
      </c>
      <c r="M1537" s="1" t="s">
        <v>16</v>
      </c>
      <c r="N1537" s="1" t="s">
        <v>42</v>
      </c>
      <c r="O1537" s="1" t="s">
        <v>27</v>
      </c>
      <c r="P1537" s="1" t="s">
        <v>27</v>
      </c>
      <c r="Q1537" s="1" t="s">
        <v>47</v>
      </c>
    </row>
    <row r="1538" spans="3:17" x14ac:dyDescent="0.25">
      <c r="C1538" s="1" t="str">
        <f>_xlfn.CONCAT(tabE.Flux[[#This Row],[DATA]],"+",tabE.Flux[[#This Row],[MOTORISTA + MATRÍCULA A]])</f>
        <v>45953+MARCOS ROBERTO DE SOUSA - 5236</v>
      </c>
      <c r="D1538" s="1" t="str">
        <f>_xlfn.CONCAT(tabE.Flux[[#This Row],[DATA]],"+",tabE.Flux[[#This Row],[MOTORISTA + MATRÍCULA B]])</f>
        <v>45953+CARLOS ADRIANO DE SOUZA DO NASCIMENTO - 6222</v>
      </c>
      <c r="E1538" s="1" t="str">
        <f>_xlfn.CONCAT(tabE.Flux[[#This Row],[DATA]],"+",tabE.Flux[[#This Row],[MOTORISTA + MATRÍCULA A]],"+",tabE.Flux[[#This Row],[LINHA]])</f>
        <v>45953+MARCOS ROBERTO DE SOUSA - 5236+GOIANIA (GO) X SAO LUIS (MA)</v>
      </c>
      <c r="F1538" s="1" t="str">
        <f>_xlfn.CONCAT(tabE.Flux[[#This Row],[DATA]],"+",tabE.Flux[[#This Row],[MOTORISTA + MATRÍCULA B]],"+",tabE.Flux[[#This Row],[LINHA]])</f>
        <v>45953+CARLOS ADRIANO DE SOUZA DO NASCIMENTO - 6222+GOIANIA (GO) X SAO LUIS (MA)</v>
      </c>
      <c r="G1538" s="1" t="str">
        <f>_xlfn.CONCAT(tabE.Flux[[#This Row],[DATA]],"+",tabE.Flux[[#This Row],[LINHA]])</f>
        <v>45953+GOIANIA (GO) X SAO LUIS (MA)</v>
      </c>
      <c r="H1538" s="125">
        <v>45953</v>
      </c>
      <c r="I1538" s="1" t="s">
        <v>15</v>
      </c>
      <c r="J1538" s="1">
        <v>24012</v>
      </c>
      <c r="K1538" s="126">
        <v>0.8125</v>
      </c>
      <c r="L1538" s="126">
        <v>0.84375</v>
      </c>
      <c r="M1538" s="1" t="s">
        <v>16</v>
      </c>
      <c r="N1538" s="1" t="s">
        <v>42</v>
      </c>
      <c r="O1538" s="1" t="s">
        <v>234</v>
      </c>
      <c r="P1538" s="1" t="s">
        <v>110</v>
      </c>
      <c r="Q1538" s="1" t="s">
        <v>23</v>
      </c>
    </row>
    <row r="1539" spans="3:17" x14ac:dyDescent="0.25">
      <c r="C1539" s="1" t="str">
        <f>_xlfn.CONCAT(tabE.Flux[[#This Row],[DATA]],"+",tabE.Flux[[#This Row],[MOTORISTA + MATRÍCULA A]])</f>
        <v>45953+KLEBER OLIVEIRA LIMA - 5849</v>
      </c>
      <c r="D1539" s="1" t="str">
        <f>_xlfn.CONCAT(tabE.Flux[[#This Row],[DATA]],"+",tabE.Flux[[#This Row],[MOTORISTA + MATRÍCULA B]])</f>
        <v>45953+</v>
      </c>
      <c r="E1539" s="1" t="str">
        <f>_xlfn.CONCAT(tabE.Flux[[#This Row],[DATA]],"+",tabE.Flux[[#This Row],[MOTORISTA + MATRÍCULA A]],"+",tabE.Flux[[#This Row],[LINHA]])</f>
        <v>45953+KLEBER OLIVEIRA LIMA - 5849+GOIANIA (GO) X TERESINA (PI) VIA STI</v>
      </c>
      <c r="F1539" s="1" t="str">
        <f>_xlfn.CONCAT(tabE.Flux[[#This Row],[DATA]],"+",tabE.Flux[[#This Row],[MOTORISTA + MATRÍCULA B]],"+",tabE.Flux[[#This Row],[LINHA]])</f>
        <v>45953++GOIANIA (GO) X TERESINA (PI) VIA STI</v>
      </c>
      <c r="G1539" s="1" t="str">
        <f>_xlfn.CONCAT(tabE.Flux[[#This Row],[DATA]],"+",tabE.Flux[[#This Row],[LINHA]])</f>
        <v>45953+GOIANIA (GO) X TERESINA (PI) VIA STI</v>
      </c>
      <c r="H1539" s="125">
        <v>45953</v>
      </c>
      <c r="I1539" s="1" t="s">
        <v>15</v>
      </c>
      <c r="J1539" s="1">
        <v>19021</v>
      </c>
      <c r="K1539" s="126">
        <v>0.77083333333333337</v>
      </c>
      <c r="L1539" s="126">
        <v>0.79861111111111116</v>
      </c>
      <c r="M1539" s="1" t="s">
        <v>16</v>
      </c>
      <c r="N1539" s="1" t="s">
        <v>29</v>
      </c>
      <c r="O1539" s="1" t="s">
        <v>102</v>
      </c>
      <c r="P1539" s="1"/>
      <c r="Q1539" s="1" t="s">
        <v>26</v>
      </c>
    </row>
    <row r="1540" spans="3:17" x14ac:dyDescent="0.25">
      <c r="C1540" s="1" t="str">
        <f>_xlfn.CONCAT(tabE.Flux[[#This Row],[DATA]],"+",tabE.Flux[[#This Row],[MOTORISTA + MATRÍCULA A]])</f>
        <v>45953+GENIVALDO ANTONIO DE SOUZA - 1082</v>
      </c>
      <c r="D1540" s="1" t="str">
        <f>_xlfn.CONCAT(tabE.Flux[[#This Row],[DATA]],"+",tabE.Flux[[#This Row],[MOTORISTA + MATRÍCULA B]])</f>
        <v>45953+GISLE RODRIGUES DE SOUSA - 6047</v>
      </c>
      <c r="E1540" s="1" t="str">
        <f>_xlfn.CONCAT(tabE.Flux[[#This Row],[DATA]],"+",tabE.Flux[[#This Row],[MOTORISTA + MATRÍCULA A]],"+",tabE.Flux[[#This Row],[LINHA]])</f>
        <v>45953+GENIVALDO ANTONIO DE SOUZA - 1082+GOIANIA (GO) X SAO LUIS (MA)</v>
      </c>
      <c r="F1540" s="1" t="str">
        <f>_xlfn.CONCAT(tabE.Flux[[#This Row],[DATA]],"+",tabE.Flux[[#This Row],[MOTORISTA + MATRÍCULA B]],"+",tabE.Flux[[#This Row],[LINHA]])</f>
        <v>45953+GISLE RODRIGUES DE SOUSA - 6047+GOIANIA (GO) X SAO LUIS (MA)</v>
      </c>
      <c r="G1540" s="1" t="str">
        <f>_xlfn.CONCAT(tabE.Flux[[#This Row],[DATA]],"+",tabE.Flux[[#This Row],[LINHA]])</f>
        <v>45953+GOIANIA (GO) X SAO LUIS (MA)</v>
      </c>
      <c r="H1540" s="125">
        <v>45953</v>
      </c>
      <c r="I1540" s="1" t="s">
        <v>15</v>
      </c>
      <c r="J1540" s="1">
        <v>19008</v>
      </c>
      <c r="K1540" s="126">
        <v>0.8125</v>
      </c>
      <c r="L1540" s="126">
        <v>0.84166666666666667</v>
      </c>
      <c r="M1540" s="1" t="s">
        <v>16</v>
      </c>
      <c r="N1540" s="1" t="s">
        <v>17</v>
      </c>
      <c r="O1540" s="1" t="s">
        <v>185</v>
      </c>
      <c r="P1540" s="1" t="s">
        <v>186</v>
      </c>
      <c r="Q1540" s="1" t="s">
        <v>23</v>
      </c>
    </row>
    <row r="1541" spans="3:17" x14ac:dyDescent="0.25">
      <c r="C1541" s="1" t="str">
        <f>_xlfn.CONCAT(tabE.Flux[[#This Row],[DATA]],"+",tabE.Flux[[#This Row],[MOTORISTA + MATRÍCULA A]])</f>
        <v>45953+JOSE ANTONIO INACIO VIEIRA - 5279</v>
      </c>
      <c r="D1541" s="1" t="str">
        <f>_xlfn.CONCAT(tabE.Flux[[#This Row],[DATA]],"+",tabE.Flux[[#This Row],[MOTORISTA + MATRÍCULA B]])</f>
        <v>45953+GONCALO ALVES BEZERRA - 748</v>
      </c>
      <c r="E1541" s="1" t="str">
        <f>_xlfn.CONCAT(tabE.Flux[[#This Row],[DATA]],"+",tabE.Flux[[#This Row],[MOTORISTA + MATRÍCULA A]],"+",tabE.Flux[[#This Row],[LINHA]])</f>
        <v>45953+JOSE ANTONIO INACIO VIEIRA - 5279+FORTALEZA (CE) X SINOP (MT)</v>
      </c>
      <c r="F1541" s="1" t="str">
        <f>_xlfn.CONCAT(tabE.Flux[[#This Row],[DATA]],"+",tabE.Flux[[#This Row],[MOTORISTA + MATRÍCULA B]],"+",tabE.Flux[[#This Row],[LINHA]])</f>
        <v>45953+GONCALO ALVES BEZERRA - 748+FORTALEZA (CE) X SINOP (MT)</v>
      </c>
      <c r="G1541" s="1" t="str">
        <f>_xlfn.CONCAT(tabE.Flux[[#This Row],[DATA]],"+",tabE.Flux[[#This Row],[LINHA]])</f>
        <v>45953+FORTALEZA (CE) X SINOP (MT)</v>
      </c>
      <c r="H1541" s="125">
        <v>45953</v>
      </c>
      <c r="I1541" s="1" t="s">
        <v>15</v>
      </c>
      <c r="J1541" s="1">
        <v>19026</v>
      </c>
      <c r="K1541" s="126">
        <v>0.8125</v>
      </c>
      <c r="L1541" s="126">
        <v>0.85416666666666663</v>
      </c>
      <c r="M1541" s="1" t="s">
        <v>16</v>
      </c>
      <c r="N1541" s="1" t="s">
        <v>17</v>
      </c>
      <c r="O1541" s="1" t="s">
        <v>126</v>
      </c>
      <c r="P1541" s="1" t="s">
        <v>216</v>
      </c>
      <c r="Q1541" s="1" t="s">
        <v>32</v>
      </c>
    </row>
    <row r="1542" spans="3:17" x14ac:dyDescent="0.25">
      <c r="C1542" s="1" t="str">
        <f>_xlfn.CONCAT(tabE.Flux[[#This Row],[DATA]],"+",tabE.Flux[[#This Row],[MOTORISTA + MATRÍCULA A]])</f>
        <v>45953+GERALDO DE OLIVEIRA GOMES - 1360</v>
      </c>
      <c r="D1542" s="1" t="str">
        <f>_xlfn.CONCAT(tabE.Flux[[#This Row],[DATA]],"+",tabE.Flux[[#This Row],[MOTORISTA + MATRÍCULA B]])</f>
        <v>45953+JOSE SOARES DA SILVA FILHO - 3093</v>
      </c>
      <c r="E1542" s="1" t="str">
        <f>_xlfn.CONCAT(tabE.Flux[[#This Row],[DATA]],"+",tabE.Flux[[#This Row],[MOTORISTA + MATRÍCULA A]],"+",tabE.Flux[[#This Row],[LINHA]])</f>
        <v>45953+GERALDO DE OLIVEIRA GOMES - 1360+GOIANIA (GO) X BELEM (PA)</v>
      </c>
      <c r="F1542" s="1" t="str">
        <f>_xlfn.CONCAT(tabE.Flux[[#This Row],[DATA]],"+",tabE.Flux[[#This Row],[MOTORISTA + MATRÍCULA B]],"+",tabE.Flux[[#This Row],[LINHA]])</f>
        <v>45953+JOSE SOARES DA SILVA FILHO - 3093+GOIANIA (GO) X BELEM (PA)</v>
      </c>
      <c r="G1542" s="1" t="str">
        <f>_xlfn.CONCAT(tabE.Flux[[#This Row],[DATA]],"+",tabE.Flux[[#This Row],[LINHA]])</f>
        <v>45953+GOIANIA (GO) X BELEM (PA)</v>
      </c>
      <c r="H1542" s="125">
        <v>45953</v>
      </c>
      <c r="I1542" s="1" t="s">
        <v>15</v>
      </c>
      <c r="J1542" s="1">
        <v>20013</v>
      </c>
      <c r="K1542" s="126">
        <v>0.84722222222222221</v>
      </c>
      <c r="L1542" s="126">
        <v>0.87847222222222221</v>
      </c>
      <c r="M1542" s="1" t="s">
        <v>16</v>
      </c>
      <c r="N1542" s="1" t="s">
        <v>17</v>
      </c>
      <c r="O1542" s="1" t="s">
        <v>245</v>
      </c>
      <c r="P1542" s="1" t="s">
        <v>171</v>
      </c>
      <c r="Q1542" s="1" t="s">
        <v>20</v>
      </c>
    </row>
    <row r="1543" spans="3:17" x14ac:dyDescent="0.25">
      <c r="C1543" s="1" t="str">
        <f>_xlfn.CONCAT(tabE.Flux[[#This Row],[DATA]],"+",tabE.Flux[[#This Row],[MOTORISTA + MATRÍCULA A]])</f>
        <v>+</v>
      </c>
      <c r="D1543" s="1" t="str">
        <f>_xlfn.CONCAT(tabE.Flux[[#This Row],[DATA]],"+",tabE.Flux[[#This Row],[MOTORISTA + MATRÍCULA B]])</f>
        <v>+</v>
      </c>
      <c r="E1543" s="1" t="str">
        <f>_xlfn.CONCAT(tabE.Flux[[#This Row],[DATA]],"+",tabE.Flux[[#This Row],[MOTORISTA + MATRÍCULA A]],"+",tabE.Flux[[#This Row],[LINHA]])</f>
        <v>++</v>
      </c>
      <c r="F1543" s="1" t="str">
        <f>_xlfn.CONCAT(tabE.Flux[[#This Row],[DATA]],"+",tabE.Flux[[#This Row],[MOTORISTA + MATRÍCULA B]],"+",tabE.Flux[[#This Row],[LINHA]])</f>
        <v>++</v>
      </c>
      <c r="G1543" s="1" t="str">
        <f>_xlfn.CONCAT(tabE.Flux[[#This Row],[DATA]],"+",tabE.Flux[[#This Row],[LINHA]])</f>
        <v>+</v>
      </c>
      <c r="H1543" s="1"/>
      <c r="I1543" s="1"/>
      <c r="J1543" s="1"/>
      <c r="K1543" s="1"/>
      <c r="L1543" s="1"/>
      <c r="M1543" s="1"/>
      <c r="N1543" s="1"/>
      <c r="O1543" s="1"/>
      <c r="P1543" s="1"/>
      <c r="Q1543" s="1"/>
    </row>
    <row r="1544" spans="3:17" x14ac:dyDescent="0.25">
      <c r="C1544" s="1" t="str">
        <f>_xlfn.CONCAT(tabE.Flux[[#This Row],[DATA]],"+",tabE.Flux[[#This Row],[MOTORISTA + MATRÍCULA A]])</f>
        <v>45954+MAURICIO CARLOS BARROSO - 901</v>
      </c>
      <c r="D1544" s="1" t="str">
        <f>_xlfn.CONCAT(tabE.Flux[[#This Row],[DATA]],"+",tabE.Flux[[#This Row],[MOTORISTA + MATRÍCULA B]])</f>
        <v>45954+JOSE CARLOS DA SILVA - 979</v>
      </c>
      <c r="E1544" s="1" t="str">
        <f>_xlfn.CONCAT(tabE.Flux[[#This Row],[DATA]],"+",tabE.Flux[[#This Row],[MOTORISTA + MATRÍCULA A]],"+",tabE.Flux[[#This Row],[LINHA]])</f>
        <v>45954+MAURICIO CARLOS BARROSO - 901+GOIANIA (GO) X BELEM (PA)</v>
      </c>
      <c r="F1544" s="1" t="str">
        <f>_xlfn.CONCAT(tabE.Flux[[#This Row],[DATA]],"+",tabE.Flux[[#This Row],[MOTORISTA + MATRÍCULA B]],"+",tabE.Flux[[#This Row],[LINHA]])</f>
        <v>45954+JOSE CARLOS DA SILVA - 979+GOIANIA (GO) X BELEM (PA)</v>
      </c>
      <c r="G1544" s="1" t="str">
        <f>_xlfn.CONCAT(tabE.Flux[[#This Row],[DATA]],"+",tabE.Flux[[#This Row],[LINHA]])</f>
        <v>45954+GOIANIA (GO) X BELEM (PA)</v>
      </c>
      <c r="H1544" s="125">
        <v>45954</v>
      </c>
      <c r="I1544" s="1" t="s">
        <v>15</v>
      </c>
      <c r="J1544" s="1">
        <v>25007</v>
      </c>
      <c r="K1544" s="126">
        <v>0.25486111111111109</v>
      </c>
      <c r="L1544" s="126">
        <v>0.3</v>
      </c>
      <c r="M1544" s="1" t="s">
        <v>16</v>
      </c>
      <c r="N1544" s="1" t="s">
        <v>17</v>
      </c>
      <c r="O1544" s="1" t="s">
        <v>241</v>
      </c>
      <c r="P1544" s="1" t="s">
        <v>228</v>
      </c>
      <c r="Q1544" s="1" t="s">
        <v>20</v>
      </c>
    </row>
    <row r="1545" spans="3:17" x14ac:dyDescent="0.25">
      <c r="C1545" s="1" t="str">
        <f>_xlfn.CONCAT(tabE.Flux[[#This Row],[DATA]],"+",tabE.Flux[[#This Row],[MOTORISTA + MATRÍCULA A]])</f>
        <v>45954+FABIO MOREIRA DOS SANTOS - 3073</v>
      </c>
      <c r="D1545" s="1" t="str">
        <f>_xlfn.CONCAT(tabE.Flux[[#This Row],[DATA]],"+",tabE.Flux[[#This Row],[MOTORISTA + MATRÍCULA B]])</f>
        <v>45954+LINDOMAR GOMES CARVALHO - 1741</v>
      </c>
      <c r="E1545" s="1" t="str">
        <f>_xlfn.CONCAT(tabE.Flux[[#This Row],[DATA]],"+",tabE.Flux[[#This Row],[MOTORISTA + MATRÍCULA A]],"+",tabE.Flux[[#This Row],[LINHA]])</f>
        <v>45954+FABIO MOREIRA DOS SANTOS - 3073+GOIANIA (GO) X SAO LUIS (MA)</v>
      </c>
      <c r="F1545" s="1" t="str">
        <f>_xlfn.CONCAT(tabE.Flux[[#This Row],[DATA]],"+",tabE.Flux[[#This Row],[MOTORISTA + MATRÍCULA B]],"+",tabE.Flux[[#This Row],[LINHA]])</f>
        <v>45954+LINDOMAR GOMES CARVALHO - 1741+GOIANIA (GO) X SAO LUIS (MA)</v>
      </c>
      <c r="G1545" s="1" t="str">
        <f>_xlfn.CONCAT(tabE.Flux[[#This Row],[DATA]],"+",tabE.Flux[[#This Row],[LINHA]])</f>
        <v>45954+GOIANIA (GO) X SAO LUIS (MA)</v>
      </c>
      <c r="H1545" s="125">
        <v>45954</v>
      </c>
      <c r="I1545" s="1" t="s">
        <v>15</v>
      </c>
      <c r="J1545" s="1">
        <v>24016</v>
      </c>
      <c r="K1545" s="126">
        <v>0.32291666666666669</v>
      </c>
      <c r="L1545" s="126">
        <v>0.33333333333333331</v>
      </c>
      <c r="M1545" s="1" t="s">
        <v>16</v>
      </c>
      <c r="N1545" s="1" t="s">
        <v>17</v>
      </c>
      <c r="O1545" s="1" t="s">
        <v>50</v>
      </c>
      <c r="P1545" s="1" t="s">
        <v>273</v>
      </c>
      <c r="Q1545" s="1" t="s">
        <v>23</v>
      </c>
    </row>
    <row r="1546" spans="3:17" x14ac:dyDescent="0.25">
      <c r="C1546" s="1" t="str">
        <f>_xlfn.CONCAT(tabE.Flux[[#This Row],[DATA]],"+",tabE.Flux[[#This Row],[MOTORISTA + MATRÍCULA A]])</f>
        <v>45954+IZALMIR RODRIGUES COELHO - 958</v>
      </c>
      <c r="D1546" s="1" t="str">
        <f>_xlfn.CONCAT(tabE.Flux[[#This Row],[DATA]],"+",tabE.Flux[[#This Row],[MOTORISTA + MATRÍCULA B]])</f>
        <v>45954+FRANCISCO LINDONALDO DE SOUSA - 2971</v>
      </c>
      <c r="E1546" s="1" t="str">
        <f>_xlfn.CONCAT(tabE.Flux[[#This Row],[DATA]],"+",tabE.Flux[[#This Row],[MOTORISTA + MATRÍCULA A]],"+",tabE.Flux[[#This Row],[LINHA]])</f>
        <v>45954+IZALMIR RODRIGUES COELHO - 958+GOIANIA (GO) X TERESINA (PI) VIA STI</v>
      </c>
      <c r="F1546" s="1" t="str">
        <f>_xlfn.CONCAT(tabE.Flux[[#This Row],[DATA]],"+",tabE.Flux[[#This Row],[MOTORISTA + MATRÍCULA B]],"+",tabE.Flux[[#This Row],[LINHA]])</f>
        <v>45954+FRANCISCO LINDONALDO DE SOUSA - 2971+GOIANIA (GO) X TERESINA (PI) VIA STI</v>
      </c>
      <c r="G1546" s="1" t="str">
        <f>_xlfn.CONCAT(tabE.Flux[[#This Row],[DATA]],"+",tabE.Flux[[#This Row],[LINHA]])</f>
        <v>45954+GOIANIA (GO) X TERESINA (PI) VIA STI</v>
      </c>
      <c r="H1546" s="125">
        <v>45954</v>
      </c>
      <c r="I1546" s="1" t="s">
        <v>15</v>
      </c>
      <c r="J1546" s="1">
        <v>17300</v>
      </c>
      <c r="K1546" s="126">
        <v>0.3888888888888889</v>
      </c>
      <c r="L1546" s="126">
        <v>0.39583333333333331</v>
      </c>
      <c r="M1546" s="1" t="s">
        <v>16</v>
      </c>
      <c r="N1546" s="1" t="s">
        <v>17</v>
      </c>
      <c r="O1546" s="1" t="s">
        <v>83</v>
      </c>
      <c r="P1546" s="1" t="s">
        <v>131</v>
      </c>
      <c r="Q1546" s="1" t="s">
        <v>26</v>
      </c>
    </row>
    <row r="1547" spans="3:17" x14ac:dyDescent="0.25">
      <c r="C1547" s="1" t="str">
        <f>_xlfn.CONCAT(tabE.Flux[[#This Row],[DATA]],"+",tabE.Flux[[#This Row],[MOTORISTA + MATRÍCULA A]])</f>
        <v>45954+CANCELADO</v>
      </c>
      <c r="D1547" s="1" t="str">
        <f>_xlfn.CONCAT(tabE.Flux[[#This Row],[DATA]],"+",tabE.Flux[[#This Row],[MOTORISTA + MATRÍCULA B]])</f>
        <v>45954+CANCELADO</v>
      </c>
      <c r="E1547" s="1" t="str">
        <f>_xlfn.CONCAT(tabE.Flux[[#This Row],[DATA]],"+",tabE.Flux[[#This Row],[MOTORISTA + MATRÍCULA A]],"+",tabE.Flux[[#This Row],[LINHA]])</f>
        <v>45954+CANCELADO+</v>
      </c>
      <c r="F1547" s="1" t="str">
        <f>_xlfn.CONCAT(tabE.Flux[[#This Row],[DATA]],"+",tabE.Flux[[#This Row],[MOTORISTA + MATRÍCULA B]],"+",tabE.Flux[[#This Row],[LINHA]])</f>
        <v>45954+CANCELADO+</v>
      </c>
      <c r="G1547" s="1" t="str">
        <f>_xlfn.CONCAT(tabE.Flux[[#This Row],[DATA]],"+",tabE.Flux[[#This Row],[LINHA]])</f>
        <v>45954+</v>
      </c>
      <c r="H1547" s="125">
        <v>45954</v>
      </c>
      <c r="I1547" s="1" t="s">
        <v>15</v>
      </c>
      <c r="J1547" s="1" t="s">
        <v>27</v>
      </c>
      <c r="K1547" s="126">
        <v>0.375</v>
      </c>
      <c r="L1547" s="126">
        <v>0.41666666666666669</v>
      </c>
      <c r="M1547" s="1" t="s">
        <v>16</v>
      </c>
      <c r="N1547" s="1" t="s">
        <v>28</v>
      </c>
      <c r="O1547" s="1" t="s">
        <v>27</v>
      </c>
      <c r="P1547" s="1" t="s">
        <v>27</v>
      </c>
      <c r="Q1547" s="1"/>
    </row>
    <row r="1548" spans="3:17" x14ac:dyDescent="0.25">
      <c r="C1548" s="1" t="str">
        <f>_xlfn.CONCAT(tabE.Flux[[#This Row],[DATA]],"+",tabE.Flux[[#This Row],[MOTORISTA + MATRÍCULA A]])</f>
        <v>45954+ANTONIO FRANCINALDO DE OLIVEIRA MARQUES - 5018</v>
      </c>
      <c r="D1548" s="1" t="str">
        <f>_xlfn.CONCAT(tabE.Flux[[#This Row],[DATA]],"+",tabE.Flux[[#This Row],[MOTORISTA + MATRÍCULA B]])</f>
        <v>45954+JOSE CLAUDIMAR  CUNHA - 5652</v>
      </c>
      <c r="E1548" s="1" t="str">
        <f>_xlfn.CONCAT(tabE.Flux[[#This Row],[DATA]],"+",tabE.Flux[[#This Row],[MOTORISTA + MATRÍCULA A]],"+",tabE.Flux[[#This Row],[LINHA]])</f>
        <v>45954+ANTONIO FRANCINALDO DE OLIVEIRA MARQUES - 5018+FORTALEZA (CE) X SINOP (MT)</v>
      </c>
      <c r="F1548" s="1" t="str">
        <f>_xlfn.CONCAT(tabE.Flux[[#This Row],[DATA]],"+",tabE.Flux[[#This Row],[MOTORISTA + MATRÍCULA B]],"+",tabE.Flux[[#This Row],[LINHA]])</f>
        <v>45954+JOSE CLAUDIMAR  CUNHA - 5652+FORTALEZA (CE) X SINOP (MT)</v>
      </c>
      <c r="G1548" s="1" t="str">
        <f>_xlfn.CONCAT(tabE.Flux[[#This Row],[DATA]],"+",tabE.Flux[[#This Row],[LINHA]])</f>
        <v>45954+FORTALEZA (CE) X SINOP (MT)</v>
      </c>
      <c r="H1548" s="125">
        <v>45954</v>
      </c>
      <c r="I1548" s="1" t="s">
        <v>15</v>
      </c>
      <c r="J1548" s="1">
        <v>19022</v>
      </c>
      <c r="K1548" s="126">
        <v>0.3888888888888889</v>
      </c>
      <c r="L1548" s="126">
        <v>0.37708333333333333</v>
      </c>
      <c r="M1548" s="1" t="s">
        <v>16</v>
      </c>
      <c r="N1548" s="1" t="s">
        <v>29</v>
      </c>
      <c r="O1548" s="1" t="s">
        <v>233</v>
      </c>
      <c r="P1548" s="1" t="s">
        <v>140</v>
      </c>
      <c r="Q1548" s="1" t="s">
        <v>32</v>
      </c>
    </row>
    <row r="1549" spans="3:17" x14ac:dyDescent="0.25">
      <c r="C1549" s="1" t="str">
        <f>_xlfn.CONCAT(tabE.Flux[[#This Row],[DATA]],"+",tabE.Flux[[#This Row],[MOTORISTA + MATRÍCULA A]])</f>
        <v>45954+RAIMUNDO GUIMARAES ARAUJO - 1920</v>
      </c>
      <c r="D1549" s="1" t="str">
        <f>_xlfn.CONCAT(tabE.Flux[[#This Row],[DATA]],"+",tabE.Flux[[#This Row],[MOTORISTA + MATRÍCULA B]])</f>
        <v>45954+JOSE POLICARPO DE SOUSA NETO - 1472</v>
      </c>
      <c r="E1549" s="1" t="str">
        <f>_xlfn.CONCAT(tabE.Flux[[#This Row],[DATA]],"+",tabE.Flux[[#This Row],[MOTORISTA + MATRÍCULA A]],"+",tabE.Flux[[#This Row],[LINHA]])</f>
        <v>45954+RAIMUNDO GUIMARAES ARAUJO - 1920+GOIANIA (GO) X BELEM (PA)</v>
      </c>
      <c r="F1549" s="1" t="str">
        <f>_xlfn.CONCAT(tabE.Flux[[#This Row],[DATA]],"+",tabE.Flux[[#This Row],[MOTORISTA + MATRÍCULA B]],"+",tabE.Flux[[#This Row],[LINHA]])</f>
        <v>45954+JOSE POLICARPO DE SOUSA NETO - 1472+GOIANIA (GO) X BELEM (PA)</v>
      </c>
      <c r="G1549" s="1" t="str">
        <f>_xlfn.CONCAT(tabE.Flux[[#This Row],[DATA]],"+",tabE.Flux[[#This Row],[LINHA]])</f>
        <v>45954+GOIANIA (GO) X BELEM (PA)</v>
      </c>
      <c r="H1549" s="125">
        <v>45954</v>
      </c>
      <c r="I1549" s="1" t="s">
        <v>15</v>
      </c>
      <c r="J1549" s="1">
        <v>20022</v>
      </c>
      <c r="K1549" s="126">
        <v>0.38958333333333334</v>
      </c>
      <c r="L1549" s="126">
        <v>0.38541666666666669</v>
      </c>
      <c r="M1549" s="1" t="s">
        <v>16</v>
      </c>
      <c r="N1549" s="1" t="s">
        <v>33</v>
      </c>
      <c r="O1549" s="1" t="s">
        <v>231</v>
      </c>
      <c r="P1549" s="1" t="s">
        <v>54</v>
      </c>
      <c r="Q1549" s="1" t="s">
        <v>20</v>
      </c>
    </row>
    <row r="1550" spans="3:17" x14ac:dyDescent="0.25">
      <c r="C1550" s="1" t="str">
        <f>_xlfn.CONCAT(tabE.Flux[[#This Row],[DATA]],"+",tabE.Flux[[#This Row],[MOTORISTA + MATRÍCULA A]])</f>
        <v>45954+JOSE ORLANDO RODRIGUES DE MIRANDA - 5838</v>
      </c>
      <c r="D1550" s="1" t="str">
        <f>_xlfn.CONCAT(tabE.Flux[[#This Row],[DATA]],"+",tabE.Flux[[#This Row],[MOTORISTA + MATRÍCULA B]])</f>
        <v>45954+JOAO FLAVIO DE SOUSA SILVA - 5270</v>
      </c>
      <c r="E1550" s="1" t="str">
        <f>_xlfn.CONCAT(tabE.Flux[[#This Row],[DATA]],"+",tabE.Flux[[#This Row],[MOTORISTA + MATRÍCULA A]],"+",tabE.Flux[[#This Row],[LINHA]])</f>
        <v>45954+JOSE ORLANDO RODRIGUES DE MIRANDA - 5838+GOIANIA (GO) X TERESINA (PI) VIA BC</v>
      </c>
      <c r="F1550" s="1" t="str">
        <f>_xlfn.CONCAT(tabE.Flux[[#This Row],[DATA]],"+",tabE.Flux[[#This Row],[MOTORISTA + MATRÍCULA B]],"+",tabE.Flux[[#This Row],[LINHA]])</f>
        <v>45954+JOAO FLAVIO DE SOUSA SILVA - 5270+GOIANIA (GO) X TERESINA (PI) VIA BC</v>
      </c>
      <c r="G1550" s="1" t="str">
        <f>_xlfn.CONCAT(tabE.Flux[[#This Row],[DATA]],"+",tabE.Flux[[#This Row],[LINHA]])</f>
        <v>45954+GOIANIA (GO) X TERESINA (PI) VIA BC</v>
      </c>
      <c r="H1550" s="125">
        <v>45954</v>
      </c>
      <c r="I1550" s="1" t="s">
        <v>15</v>
      </c>
      <c r="J1550" s="1">
        <v>24001</v>
      </c>
      <c r="K1550" s="126">
        <v>0.375</v>
      </c>
      <c r="L1550" s="126">
        <v>0.39930555555555558</v>
      </c>
      <c r="M1550" s="1" t="s">
        <v>36</v>
      </c>
      <c r="N1550" s="1" t="s">
        <v>29</v>
      </c>
      <c r="O1550" s="1" t="s">
        <v>37</v>
      </c>
      <c r="P1550" s="1" t="s">
        <v>222</v>
      </c>
      <c r="Q1550" s="1" t="s">
        <v>39</v>
      </c>
    </row>
    <row r="1551" spans="3:17" x14ac:dyDescent="0.25">
      <c r="C1551" s="1" t="str">
        <f>_xlfn.CONCAT(tabE.Flux[[#This Row],[DATA]],"+",tabE.Flux[[#This Row],[MOTORISTA + MATRÍCULA A]])</f>
        <v>45954+GILDEVAN DE ALMEIDA AGOSTINHO - 1924</v>
      </c>
      <c r="D1551" s="1" t="str">
        <f>_xlfn.CONCAT(tabE.Flux[[#This Row],[DATA]],"+",tabE.Flux[[#This Row],[MOTORISTA + MATRÍCULA B]])</f>
        <v>45954+RONNE RODRIGUES DE SOUSA - 5025</v>
      </c>
      <c r="E1551" s="1" t="str">
        <f>_xlfn.CONCAT(tabE.Flux[[#This Row],[DATA]],"+",tabE.Flux[[#This Row],[MOTORISTA + MATRÍCULA A]],"+",tabE.Flux[[#This Row],[LINHA]])</f>
        <v>45954+GILDEVAN DE ALMEIDA AGOSTINHO - 1924+GOIANIA (GO) X BELEM (PA)</v>
      </c>
      <c r="F1551" s="1" t="str">
        <f>_xlfn.CONCAT(tabE.Flux[[#This Row],[DATA]],"+",tabE.Flux[[#This Row],[MOTORISTA + MATRÍCULA B]],"+",tabE.Flux[[#This Row],[LINHA]])</f>
        <v>45954+RONNE RODRIGUES DE SOUSA - 5025+GOIANIA (GO) X BELEM (PA)</v>
      </c>
      <c r="G1551" s="1" t="str">
        <f>_xlfn.CONCAT(tabE.Flux[[#This Row],[DATA]],"+",tabE.Flux[[#This Row],[LINHA]])</f>
        <v>45954+GOIANIA (GO) X BELEM (PA)</v>
      </c>
      <c r="H1551" s="125">
        <v>45954</v>
      </c>
      <c r="I1551" s="1" t="s">
        <v>15</v>
      </c>
      <c r="J1551" s="1">
        <v>20018</v>
      </c>
      <c r="K1551" s="126">
        <v>0.375</v>
      </c>
      <c r="L1551" s="126">
        <v>0.41666666666666669</v>
      </c>
      <c r="M1551" s="1" t="s">
        <v>33</v>
      </c>
      <c r="N1551" s="1" t="s">
        <v>16</v>
      </c>
      <c r="O1551" s="1" t="s">
        <v>236</v>
      </c>
      <c r="P1551" s="1" t="s">
        <v>85</v>
      </c>
      <c r="Q1551" s="1" t="s">
        <v>20</v>
      </c>
    </row>
    <row r="1552" spans="3:17" x14ac:dyDescent="0.25">
      <c r="C1552" s="1" t="str">
        <f>_xlfn.CONCAT(tabE.Flux[[#This Row],[DATA]],"+",tabE.Flux[[#This Row],[MOTORISTA + MATRÍCULA A]])</f>
        <v>45954+EDIVALDO DE ARAUJO - 6217</v>
      </c>
      <c r="D1552" s="1" t="str">
        <f>_xlfn.CONCAT(tabE.Flux[[#This Row],[DATA]],"+",tabE.Flux[[#This Row],[MOTORISTA + MATRÍCULA B]])</f>
        <v>45954+VALDEY OLIVEIRA ARAUJO - 2790</v>
      </c>
      <c r="E1552" s="1" t="str">
        <f>_xlfn.CONCAT(tabE.Flux[[#This Row],[DATA]],"+",tabE.Flux[[#This Row],[MOTORISTA + MATRÍCULA A]],"+",tabE.Flux[[#This Row],[LINHA]])</f>
        <v>45954+EDIVALDO DE ARAUJO - 6217+GOIANIA (GO) X SAO LUIS (MA)</v>
      </c>
      <c r="F1552" s="1" t="str">
        <f>_xlfn.CONCAT(tabE.Flux[[#This Row],[DATA]],"+",tabE.Flux[[#This Row],[MOTORISTA + MATRÍCULA B]],"+",tabE.Flux[[#This Row],[LINHA]])</f>
        <v>45954+VALDEY OLIVEIRA ARAUJO - 2790+GOIANIA (GO) X SAO LUIS (MA)</v>
      </c>
      <c r="G1552" s="1" t="str">
        <f>_xlfn.CONCAT(tabE.Flux[[#This Row],[DATA]],"+",tabE.Flux[[#This Row],[LINHA]])</f>
        <v>45954+GOIANIA (GO) X SAO LUIS (MA)</v>
      </c>
      <c r="H1552" s="125">
        <v>45954</v>
      </c>
      <c r="I1552" s="1" t="s">
        <v>15</v>
      </c>
      <c r="J1552" s="1">
        <v>19020</v>
      </c>
      <c r="K1552" s="126">
        <v>0.25</v>
      </c>
      <c r="L1552" s="126">
        <v>0.29166666666666669</v>
      </c>
      <c r="M1552" s="1" t="s">
        <v>42</v>
      </c>
      <c r="N1552" s="1" t="s">
        <v>16</v>
      </c>
      <c r="O1552" s="1" t="s">
        <v>55</v>
      </c>
      <c r="P1552" s="1" t="s">
        <v>34</v>
      </c>
      <c r="Q1552" s="1" t="s">
        <v>23</v>
      </c>
    </row>
    <row r="1553" spans="3:17" x14ac:dyDescent="0.25">
      <c r="C1553" s="1" t="str">
        <f>_xlfn.CONCAT(tabE.Flux[[#This Row],[DATA]],"+",tabE.Flux[[#This Row],[MOTORISTA + MATRÍCULA A]])</f>
        <v>45954+KAYLSON KLEYTON DA SILVA COSTA - 6224</v>
      </c>
      <c r="D1553" s="1" t="str">
        <f>_xlfn.CONCAT(tabE.Flux[[#This Row],[DATA]],"+",tabE.Flux[[#This Row],[MOTORISTA + MATRÍCULA B]])</f>
        <v>45954+MARCOS ROBERTO DE SOUSA - 5236</v>
      </c>
      <c r="E1553" s="1" t="str">
        <f>_xlfn.CONCAT(tabE.Flux[[#This Row],[DATA]],"+",tabE.Flux[[#This Row],[MOTORISTA + MATRÍCULA A]],"+",tabE.Flux[[#This Row],[LINHA]])</f>
        <v>45954+KAYLSON KLEYTON DA SILVA COSTA - 6224+GOIANIA (GO) X SAO LUIS (MA)</v>
      </c>
      <c r="F1553" s="1" t="str">
        <f>_xlfn.CONCAT(tabE.Flux[[#This Row],[DATA]],"+",tabE.Flux[[#This Row],[MOTORISTA + MATRÍCULA B]],"+",tabE.Flux[[#This Row],[LINHA]])</f>
        <v>45954+MARCOS ROBERTO DE SOUSA - 5236+GOIANIA (GO) X SAO LUIS (MA)</v>
      </c>
      <c r="G1553" s="1" t="str">
        <f>_xlfn.CONCAT(tabE.Flux[[#This Row],[DATA]],"+",tabE.Flux[[#This Row],[LINHA]])</f>
        <v>45954+GOIANIA (GO) X SAO LUIS (MA)</v>
      </c>
      <c r="H1553" s="125">
        <v>45954</v>
      </c>
      <c r="I1553" s="1" t="s">
        <v>15</v>
      </c>
      <c r="J1553" s="1">
        <v>24012</v>
      </c>
      <c r="K1553" s="126">
        <v>0.75</v>
      </c>
      <c r="L1553" s="126">
        <v>0.79166666666666663</v>
      </c>
      <c r="M1553" s="1" t="s">
        <v>42</v>
      </c>
      <c r="N1553" s="1" t="s">
        <v>16</v>
      </c>
      <c r="O1553" s="1" t="s">
        <v>80</v>
      </c>
      <c r="P1553" s="1" t="s">
        <v>234</v>
      </c>
      <c r="Q1553" s="1" t="s">
        <v>23</v>
      </c>
    </row>
    <row r="1554" spans="3:17" x14ac:dyDescent="0.25">
      <c r="C1554" s="1" t="str">
        <f>_xlfn.CONCAT(tabE.Flux[[#This Row],[DATA]],"+",tabE.Flux[[#This Row],[MOTORISTA + MATRÍCULA A]])</f>
        <v>45954+CANCELADO</v>
      </c>
      <c r="D1554" s="1" t="str">
        <f>_xlfn.CONCAT(tabE.Flux[[#This Row],[DATA]],"+",tabE.Flux[[#This Row],[MOTORISTA + MATRÍCULA B]])</f>
        <v>45954+CANCELADO</v>
      </c>
      <c r="E1554" s="1" t="str">
        <f>_xlfn.CONCAT(tabE.Flux[[#This Row],[DATA]],"+",tabE.Flux[[#This Row],[MOTORISTA + MATRÍCULA A]],"+",tabE.Flux[[#This Row],[LINHA]])</f>
        <v>45954+CANCELADO+IMPERATRIZ (MA) X SÃO LUIS (MA)</v>
      </c>
      <c r="F1554" s="1" t="str">
        <f>_xlfn.CONCAT(tabE.Flux[[#This Row],[DATA]],"+",tabE.Flux[[#This Row],[MOTORISTA + MATRÍCULA B]],"+",tabE.Flux[[#This Row],[LINHA]])</f>
        <v>45954+CANCELADO+IMPERATRIZ (MA) X SÃO LUIS (MA)</v>
      </c>
      <c r="G1554" s="1" t="str">
        <f>_xlfn.CONCAT(tabE.Flux[[#This Row],[DATA]],"+",tabE.Flux[[#This Row],[LINHA]])</f>
        <v>45954+IMPERATRIZ (MA) X SÃO LUIS (MA)</v>
      </c>
      <c r="H1554" s="125">
        <v>45954</v>
      </c>
      <c r="I1554" s="1" t="s">
        <v>15</v>
      </c>
      <c r="J1554" s="1" t="s">
        <v>27</v>
      </c>
      <c r="K1554" s="126">
        <v>0.77083333333333337</v>
      </c>
      <c r="L1554" s="126">
        <v>0.79513888888888884</v>
      </c>
      <c r="M1554" s="1" t="s">
        <v>42</v>
      </c>
      <c r="N1554" s="1" t="s">
        <v>16</v>
      </c>
      <c r="O1554" s="1" t="s">
        <v>27</v>
      </c>
      <c r="P1554" s="1" t="s">
        <v>27</v>
      </c>
      <c r="Q1554" s="1" t="s">
        <v>47</v>
      </c>
    </row>
    <row r="1555" spans="3:17" x14ac:dyDescent="0.25">
      <c r="C1555" s="1" t="str">
        <f>_xlfn.CONCAT(tabE.Flux[[#This Row],[DATA]],"+",tabE.Flux[[#This Row],[MOTORISTA + MATRÍCULA A]])</f>
        <v>45954+ANDRE LUIZ DA SILVA - 5188</v>
      </c>
      <c r="D1555" s="1" t="str">
        <f>_xlfn.CONCAT(tabE.Flux[[#This Row],[DATA]],"+",tabE.Flux[[#This Row],[MOTORISTA + MATRÍCULA B]])</f>
        <v>45954+LUSIMAR SOARES ROCHA - 5987</v>
      </c>
      <c r="E1555" s="1" t="str">
        <f>_xlfn.CONCAT(tabE.Flux[[#This Row],[DATA]],"+",tabE.Flux[[#This Row],[MOTORISTA + MATRÍCULA A]],"+",tabE.Flux[[#This Row],[LINHA]])</f>
        <v>45954+ANDRE LUIZ DA SILVA - 5188+GOIANIA (GO) X TERESINA (PI) VIA BC</v>
      </c>
      <c r="F1555" s="1" t="str">
        <f>_xlfn.CONCAT(tabE.Flux[[#This Row],[DATA]],"+",tabE.Flux[[#This Row],[MOTORISTA + MATRÍCULA B]],"+",tabE.Flux[[#This Row],[LINHA]])</f>
        <v>45954+LUSIMAR SOARES ROCHA - 5987+GOIANIA (GO) X TERESINA (PI) VIA BC</v>
      </c>
      <c r="G1555" s="1" t="str">
        <f>_xlfn.CONCAT(tabE.Flux[[#This Row],[DATA]],"+",tabE.Flux[[#This Row],[LINHA]])</f>
        <v>45954+GOIANIA (GO) X TERESINA (PI) VIA BC</v>
      </c>
      <c r="H1555" s="125">
        <v>45954</v>
      </c>
      <c r="I1555" s="1" t="s">
        <v>15</v>
      </c>
      <c r="J1555" s="1">
        <v>24014</v>
      </c>
      <c r="K1555" s="126">
        <v>0.89583333333333337</v>
      </c>
      <c r="L1555" s="126">
        <v>0.91666666666666663</v>
      </c>
      <c r="M1555" s="1" t="s">
        <v>36</v>
      </c>
      <c r="N1555" s="1" t="s">
        <v>17</v>
      </c>
      <c r="O1555" s="1" t="s">
        <v>18</v>
      </c>
      <c r="P1555" s="1" t="s">
        <v>214</v>
      </c>
      <c r="Q1555" s="1" t="s">
        <v>39</v>
      </c>
    </row>
    <row r="1556" spans="3:17" x14ac:dyDescent="0.25">
      <c r="C1556" s="1" t="str">
        <f>_xlfn.CONCAT(tabE.Flux[[#This Row],[DATA]],"+",tabE.Flux[[#This Row],[MOTORISTA + MATRÍCULA A]])</f>
        <v>45954+EUGENIO PEREIRA DOS SANTOS - 1197</v>
      </c>
      <c r="D1556" s="1" t="str">
        <f>_xlfn.CONCAT(tabE.Flux[[#This Row],[DATA]],"+",tabE.Flux[[#This Row],[MOTORISTA + MATRÍCULA B]])</f>
        <v>45954+JEFFERSON CARDOSO DOS SANTOS - 5837</v>
      </c>
      <c r="E1556" s="1" t="str">
        <f>_xlfn.CONCAT(tabE.Flux[[#This Row],[DATA]],"+",tabE.Flux[[#This Row],[MOTORISTA + MATRÍCULA A]],"+",tabE.Flux[[#This Row],[LINHA]])</f>
        <v>45954+EUGENIO PEREIRA DOS SANTOS - 1197+GOIANIA (GO) X BELEM (PA)</v>
      </c>
      <c r="F1556" s="1" t="str">
        <f>_xlfn.CONCAT(tabE.Flux[[#This Row],[DATA]],"+",tabE.Flux[[#This Row],[MOTORISTA + MATRÍCULA B]],"+",tabE.Flux[[#This Row],[LINHA]])</f>
        <v>45954+JEFFERSON CARDOSO DOS SANTOS - 5837+GOIANIA (GO) X BELEM (PA)</v>
      </c>
      <c r="G1556" s="1" t="str">
        <f>_xlfn.CONCAT(tabE.Flux[[#This Row],[DATA]],"+",tabE.Flux[[#This Row],[LINHA]])</f>
        <v>45954+GOIANIA (GO) X BELEM (PA)</v>
      </c>
      <c r="H1556" s="125">
        <v>45954</v>
      </c>
      <c r="I1556" s="1" t="s">
        <v>15</v>
      </c>
      <c r="J1556" s="1">
        <v>24009</v>
      </c>
      <c r="K1556" s="126">
        <v>0.76041666666666663</v>
      </c>
      <c r="L1556" s="126">
        <v>0.77083333333333337</v>
      </c>
      <c r="M1556" s="1" t="s">
        <v>33</v>
      </c>
      <c r="N1556" s="1" t="s">
        <v>16</v>
      </c>
      <c r="O1556" s="1" t="s">
        <v>264</v>
      </c>
      <c r="P1556" s="1" t="s">
        <v>30</v>
      </c>
      <c r="Q1556" s="1" t="s">
        <v>20</v>
      </c>
    </row>
    <row r="1557" spans="3:17" x14ac:dyDescent="0.25">
      <c r="C1557" s="1" t="str">
        <f>_xlfn.CONCAT(tabE.Flux[[#This Row],[DATA]],"+",tabE.Flux[[#This Row],[MOTORISTA + MATRÍCULA A]])</f>
        <v>45954+JERZUALDO DA SILVA GOMES - 4077</v>
      </c>
      <c r="D1557" s="1" t="str">
        <f>_xlfn.CONCAT(tabE.Flux[[#This Row],[DATA]],"+",tabE.Flux[[#This Row],[MOTORISTA + MATRÍCULA B]])</f>
        <v>45954+JOAO DE JESUS GOUVEIA - 6016</v>
      </c>
      <c r="E1557" s="1" t="str">
        <f>_xlfn.CONCAT(tabE.Flux[[#This Row],[DATA]],"+",tabE.Flux[[#This Row],[MOTORISTA + MATRÍCULA A]],"+",tabE.Flux[[#This Row],[LINHA]])</f>
        <v>45954+JERZUALDO DA SILVA GOMES - 4077+GOIANIA (GO) X BELEM (PA)</v>
      </c>
      <c r="F1557" s="1" t="str">
        <f>_xlfn.CONCAT(tabE.Flux[[#This Row],[DATA]],"+",tabE.Flux[[#This Row],[MOTORISTA + MATRÍCULA B]],"+",tabE.Flux[[#This Row],[LINHA]])</f>
        <v>45954+JOAO DE JESUS GOUVEIA - 6016+GOIANIA (GO) X BELEM (PA)</v>
      </c>
      <c r="G1557" s="1" t="str">
        <f>_xlfn.CONCAT(tabE.Flux[[#This Row],[DATA]],"+",tabE.Flux[[#This Row],[LINHA]])</f>
        <v>45954+GOIANIA (GO) X BELEM (PA)</v>
      </c>
      <c r="H1557" s="125">
        <v>45954</v>
      </c>
      <c r="I1557" s="1" t="s">
        <v>15</v>
      </c>
      <c r="J1557" s="1">
        <v>25009</v>
      </c>
      <c r="K1557" s="126">
        <v>0.76041666666666663</v>
      </c>
      <c r="L1557" s="126">
        <v>0.82777777777777772</v>
      </c>
      <c r="M1557" s="1" t="s">
        <v>16</v>
      </c>
      <c r="N1557" s="1" t="s">
        <v>33</v>
      </c>
      <c r="O1557" s="1" t="s">
        <v>130</v>
      </c>
      <c r="P1557" s="1" t="s">
        <v>58</v>
      </c>
      <c r="Q1557" s="1" t="s">
        <v>20</v>
      </c>
    </row>
    <row r="1558" spans="3:17" x14ac:dyDescent="0.25">
      <c r="C1558" s="1" t="str">
        <f>_xlfn.CONCAT(tabE.Flux[[#This Row],[DATA]],"+",tabE.Flux[[#This Row],[MOTORISTA + MATRÍCULA A]])</f>
        <v>45954+ANTONIO MARQUES NETO DOS SANTOS - 1738</v>
      </c>
      <c r="D1558" s="1" t="str">
        <f>_xlfn.CONCAT(tabE.Flux[[#This Row],[DATA]],"+",tabE.Flux[[#This Row],[MOTORISTA + MATRÍCULA B]])</f>
        <v>45954+ALTEMAR DO NASCIMENTO LIMA - 6225</v>
      </c>
      <c r="E1558" s="1" t="str">
        <f>_xlfn.CONCAT(tabE.Flux[[#This Row],[DATA]],"+",tabE.Flux[[#This Row],[MOTORISTA + MATRÍCULA A]],"+",tabE.Flux[[#This Row],[LINHA]])</f>
        <v>45954+ANTONIO MARQUES NETO DOS SANTOS - 1738+GOIANIA (GO) X SAO LUIS (MA)</v>
      </c>
      <c r="F1558" s="1" t="str">
        <f>_xlfn.CONCAT(tabE.Flux[[#This Row],[DATA]],"+",tabE.Flux[[#This Row],[MOTORISTA + MATRÍCULA B]],"+",tabE.Flux[[#This Row],[LINHA]])</f>
        <v>45954+ALTEMAR DO NASCIMENTO LIMA - 6225+GOIANIA (GO) X SAO LUIS (MA)</v>
      </c>
      <c r="G1558" s="1" t="str">
        <f>_xlfn.CONCAT(tabE.Flux[[#This Row],[DATA]],"+",tabE.Flux[[#This Row],[LINHA]])</f>
        <v>45954+GOIANIA (GO) X SAO LUIS (MA)</v>
      </c>
      <c r="H1558" s="125">
        <v>45954</v>
      </c>
      <c r="I1558" s="1" t="s">
        <v>15</v>
      </c>
      <c r="J1558" s="1">
        <v>19025</v>
      </c>
      <c r="K1558" s="126">
        <v>0.40763888888888888</v>
      </c>
      <c r="L1558" s="126">
        <v>0.47013888888888888</v>
      </c>
      <c r="M1558" s="1" t="s">
        <v>16</v>
      </c>
      <c r="N1558" s="1" t="s">
        <v>42</v>
      </c>
      <c r="O1558" s="1" t="s">
        <v>73</v>
      </c>
      <c r="P1558" s="1" t="s">
        <v>57</v>
      </c>
      <c r="Q1558" s="1" t="s">
        <v>23</v>
      </c>
    </row>
    <row r="1559" spans="3:17" x14ac:dyDescent="0.25">
      <c r="C1559" s="1" t="str">
        <f>_xlfn.CONCAT(tabE.Flux[[#This Row],[DATA]],"+",tabE.Flux[[#This Row],[MOTORISTA + MATRÍCULA A]])</f>
        <v>45954+CLODOALDO PEREIRA DE LIMA - 4067</v>
      </c>
      <c r="D1559" s="1" t="str">
        <f>_xlfn.CONCAT(tabE.Flux[[#This Row],[DATA]],"+",tabE.Flux[[#This Row],[MOTORISTA + MATRÍCULA B]])</f>
        <v>45954+LAUCEANDO DA SILVA ROCHA - 6220</v>
      </c>
      <c r="E1559" s="1" t="str">
        <f>_xlfn.CONCAT(tabE.Flux[[#This Row],[DATA]],"+",tabE.Flux[[#This Row],[MOTORISTA + MATRÍCULA A]],"+",tabE.Flux[[#This Row],[LINHA]])</f>
        <v>45954+CLODOALDO PEREIRA DE LIMA - 4067+IMPERATRIZ (MA) X SÃO LUIS (MA)</v>
      </c>
      <c r="F1559" s="1" t="str">
        <f>_xlfn.CONCAT(tabE.Flux[[#This Row],[DATA]],"+",tabE.Flux[[#This Row],[MOTORISTA + MATRÍCULA B]],"+",tabE.Flux[[#This Row],[LINHA]])</f>
        <v>45954+LAUCEANDO DA SILVA ROCHA - 6220+IMPERATRIZ (MA) X SÃO LUIS (MA)</v>
      </c>
      <c r="G1559" s="1" t="str">
        <f>_xlfn.CONCAT(tabE.Flux[[#This Row],[DATA]],"+",tabE.Flux[[#This Row],[LINHA]])</f>
        <v>45954+IMPERATRIZ (MA) X SÃO LUIS (MA)</v>
      </c>
      <c r="H1559" s="125">
        <v>45954</v>
      </c>
      <c r="I1559" s="1" t="s">
        <v>15</v>
      </c>
      <c r="J1559" s="1">
        <v>18016</v>
      </c>
      <c r="K1559" s="126">
        <v>0.77083333333333337</v>
      </c>
      <c r="L1559" s="126">
        <v>0.8125</v>
      </c>
      <c r="M1559" s="1" t="s">
        <v>16</v>
      </c>
      <c r="N1559" s="1" t="s">
        <v>42</v>
      </c>
      <c r="O1559" s="1" t="s">
        <v>109</v>
      </c>
      <c r="P1559" s="1" t="s">
        <v>86</v>
      </c>
      <c r="Q1559" s="1" t="s">
        <v>47</v>
      </c>
    </row>
    <row r="1560" spans="3:17" x14ac:dyDescent="0.25">
      <c r="C1560" s="1" t="str">
        <f>_xlfn.CONCAT(tabE.Flux[[#This Row],[DATA]],"+",tabE.Flux[[#This Row],[MOTORISTA + MATRÍCULA A]])</f>
        <v>45954+RONALDO ADRIANO COSTA SANTOS - 5637</v>
      </c>
      <c r="D1560" s="1" t="str">
        <f>_xlfn.CONCAT(tabE.Flux[[#This Row],[DATA]],"+",tabE.Flux[[#This Row],[MOTORISTA + MATRÍCULA B]])</f>
        <v>45954+EDIVALDO DE ARAUJO - 6217</v>
      </c>
      <c r="E1560" s="1" t="str">
        <f>_xlfn.CONCAT(tabE.Flux[[#This Row],[DATA]],"+",tabE.Flux[[#This Row],[MOTORISTA + MATRÍCULA A]],"+",tabE.Flux[[#This Row],[LINHA]])</f>
        <v>45954+RONALDO ADRIANO COSTA SANTOS - 5637+GOIANIA (GO) X SAO LUIS (MA)</v>
      </c>
      <c r="F1560" s="1" t="str">
        <f>_xlfn.CONCAT(tabE.Flux[[#This Row],[DATA]],"+",tabE.Flux[[#This Row],[MOTORISTA + MATRÍCULA B]],"+",tabE.Flux[[#This Row],[LINHA]])</f>
        <v>45954+EDIVALDO DE ARAUJO - 6217+GOIANIA (GO) X SAO LUIS (MA)</v>
      </c>
      <c r="G1560" s="1" t="str">
        <f>_xlfn.CONCAT(tabE.Flux[[#This Row],[DATA]],"+",tabE.Flux[[#This Row],[LINHA]])</f>
        <v>45954+GOIANIA (GO) X SAO LUIS (MA)</v>
      </c>
      <c r="H1560" s="125">
        <v>45954</v>
      </c>
      <c r="I1560" s="1" t="s">
        <v>15</v>
      </c>
      <c r="J1560" s="1">
        <v>25006</v>
      </c>
      <c r="K1560" s="126">
        <v>0.8125</v>
      </c>
      <c r="L1560" s="126">
        <v>0.84375</v>
      </c>
      <c r="M1560" s="1" t="s">
        <v>16</v>
      </c>
      <c r="N1560" s="1" t="s">
        <v>42</v>
      </c>
      <c r="O1560" s="1" t="s">
        <v>41</v>
      </c>
      <c r="P1560" s="1" t="s">
        <v>55</v>
      </c>
      <c r="Q1560" s="1" t="s">
        <v>23</v>
      </c>
    </row>
    <row r="1561" spans="3:17" x14ac:dyDescent="0.25">
      <c r="C1561" s="1" t="str">
        <f>_xlfn.CONCAT(tabE.Flux[[#This Row],[DATA]],"+",tabE.Flux[[#This Row],[MOTORISTA + MATRÍCULA A]])</f>
        <v>45954+JOSE ALVES DE FREITAS NETO - 5027</v>
      </c>
      <c r="D1561" s="1" t="str">
        <f>_xlfn.CONCAT(tabE.Flux[[#This Row],[DATA]],"+",tabE.Flux[[#This Row],[MOTORISTA + MATRÍCULA B]])</f>
        <v>45954+DANIEL PEREIRA DA ROCHA - 5298</v>
      </c>
      <c r="E1561" s="1" t="str">
        <f>_xlfn.CONCAT(tabE.Flux[[#This Row],[DATA]],"+",tabE.Flux[[#This Row],[MOTORISTA + MATRÍCULA A]],"+",tabE.Flux[[#This Row],[LINHA]])</f>
        <v>45954+JOSE ALVES DE FREITAS NETO - 5027+GOIANIA (GO) X TERESINA (PI) VIA STI</v>
      </c>
      <c r="F1561" s="1" t="str">
        <f>_xlfn.CONCAT(tabE.Flux[[#This Row],[DATA]],"+",tabE.Flux[[#This Row],[MOTORISTA + MATRÍCULA B]],"+",tabE.Flux[[#This Row],[LINHA]])</f>
        <v>45954+DANIEL PEREIRA DA ROCHA - 5298+GOIANIA (GO) X TERESINA (PI) VIA STI</v>
      </c>
      <c r="G1561" s="1" t="str">
        <f>_xlfn.CONCAT(tabE.Flux[[#This Row],[DATA]],"+",tabE.Flux[[#This Row],[LINHA]])</f>
        <v>45954+GOIANIA (GO) X TERESINA (PI) VIA STI</v>
      </c>
      <c r="H1561" s="125">
        <v>45954</v>
      </c>
      <c r="I1561" s="1" t="s">
        <v>15</v>
      </c>
      <c r="J1561" s="1">
        <v>19018</v>
      </c>
      <c r="K1561" s="126">
        <v>0.77083333333333337</v>
      </c>
      <c r="L1561" s="126">
        <v>0.79861111111111116</v>
      </c>
      <c r="M1561" s="1" t="s">
        <v>16</v>
      </c>
      <c r="N1561" s="1" t="s">
        <v>29</v>
      </c>
      <c r="O1561" s="1" t="s">
        <v>90</v>
      </c>
      <c r="P1561" s="1" t="s">
        <v>184</v>
      </c>
      <c r="Q1561" s="1" t="s">
        <v>26</v>
      </c>
    </row>
    <row r="1562" spans="3:17" x14ac:dyDescent="0.25">
      <c r="C1562" s="1" t="str">
        <f>_xlfn.CONCAT(tabE.Flux[[#This Row],[DATA]],"+",tabE.Flux[[#This Row],[MOTORISTA + MATRÍCULA A]])</f>
        <v>45954+GESMAR DE SOUZA - 574</v>
      </c>
      <c r="D1562" s="1" t="str">
        <f>_xlfn.CONCAT(tabE.Flux[[#This Row],[DATA]],"+",tabE.Flux[[#This Row],[MOTORISTA + MATRÍCULA B]])</f>
        <v>45954+ELIAS ALVES DE FRANCA - 6046</v>
      </c>
      <c r="E1562" s="1" t="str">
        <f>_xlfn.CONCAT(tabE.Flux[[#This Row],[DATA]],"+",tabE.Flux[[#This Row],[MOTORISTA + MATRÍCULA A]],"+",tabE.Flux[[#This Row],[LINHA]])</f>
        <v>45954+GESMAR DE SOUZA - 574+GOIANIA (GO) X SAO LUIS (MA)</v>
      </c>
      <c r="F1562" s="1" t="str">
        <f>_xlfn.CONCAT(tabE.Flux[[#This Row],[DATA]],"+",tabE.Flux[[#This Row],[MOTORISTA + MATRÍCULA B]],"+",tabE.Flux[[#This Row],[LINHA]])</f>
        <v>45954+ELIAS ALVES DE FRANCA - 6046+GOIANIA (GO) X SAO LUIS (MA)</v>
      </c>
      <c r="G1562" s="1" t="str">
        <f>_xlfn.CONCAT(tabE.Flux[[#This Row],[DATA]],"+",tabE.Flux[[#This Row],[LINHA]])</f>
        <v>45954+GOIANIA (GO) X SAO LUIS (MA)</v>
      </c>
      <c r="H1562" s="125">
        <v>45954</v>
      </c>
      <c r="I1562" s="1" t="s">
        <v>15</v>
      </c>
      <c r="J1562" s="1">
        <v>19020</v>
      </c>
      <c r="K1562" s="126">
        <v>0.8125</v>
      </c>
      <c r="L1562" s="126">
        <v>0.84166666666666667</v>
      </c>
      <c r="M1562" s="1" t="s">
        <v>16</v>
      </c>
      <c r="N1562" s="1" t="s">
        <v>17</v>
      </c>
      <c r="O1562" s="1" t="s">
        <v>21</v>
      </c>
      <c r="P1562" s="1" t="s">
        <v>189</v>
      </c>
      <c r="Q1562" s="1" t="s">
        <v>23</v>
      </c>
    </row>
    <row r="1563" spans="3:17" x14ac:dyDescent="0.25">
      <c r="C1563" s="1" t="str">
        <f>_xlfn.CONCAT(tabE.Flux[[#This Row],[DATA]],"+",tabE.Flux[[#This Row],[MOTORISTA + MATRÍCULA A]])</f>
        <v>45954+EDINANDES LUIZ DA SILVA - 2651</v>
      </c>
      <c r="D1563" s="1" t="str">
        <f>_xlfn.CONCAT(tabE.Flux[[#This Row],[DATA]],"+",tabE.Flux[[#This Row],[MOTORISTA + MATRÍCULA B]])</f>
        <v>45954+JEZANIAS GOIS DOS SANTOS - 5573</v>
      </c>
      <c r="E1563" s="1" t="str">
        <f>_xlfn.CONCAT(tabE.Flux[[#This Row],[DATA]],"+",tabE.Flux[[#This Row],[MOTORISTA + MATRÍCULA A]],"+",tabE.Flux[[#This Row],[LINHA]])</f>
        <v>45954+EDINANDES LUIZ DA SILVA - 2651+FORTALEZA (CE) X SINOP (MT)</v>
      </c>
      <c r="F1563" s="1" t="str">
        <f>_xlfn.CONCAT(tabE.Flux[[#This Row],[DATA]],"+",tabE.Flux[[#This Row],[MOTORISTA + MATRÍCULA B]],"+",tabE.Flux[[#This Row],[LINHA]])</f>
        <v>45954+JEZANIAS GOIS DOS SANTOS - 5573+FORTALEZA (CE) X SINOP (MT)</v>
      </c>
      <c r="G1563" s="1" t="str">
        <f>_xlfn.CONCAT(tabE.Flux[[#This Row],[DATA]],"+",tabE.Flux[[#This Row],[LINHA]])</f>
        <v>45954+FORTALEZA (CE) X SINOP (MT)</v>
      </c>
      <c r="H1563" s="125">
        <v>45954</v>
      </c>
      <c r="I1563" s="1" t="s">
        <v>15</v>
      </c>
      <c r="J1563" s="1">
        <v>19001</v>
      </c>
      <c r="K1563" s="126">
        <v>0.8125</v>
      </c>
      <c r="L1563" s="126">
        <v>0.85416666666666663</v>
      </c>
      <c r="M1563" s="1" t="s">
        <v>16</v>
      </c>
      <c r="N1563" s="1" t="s">
        <v>17</v>
      </c>
      <c r="O1563" s="1" t="s">
        <v>195</v>
      </c>
      <c r="P1563" s="1" t="s">
        <v>196</v>
      </c>
      <c r="Q1563" s="1" t="s">
        <v>32</v>
      </c>
    </row>
    <row r="1564" spans="3:17" x14ac:dyDescent="0.25">
      <c r="C1564" s="1" t="str">
        <f>_xlfn.CONCAT(tabE.Flux[[#This Row],[DATA]],"+",tabE.Flux[[#This Row],[MOTORISTA + MATRÍCULA A]])</f>
        <v>45954+ENIO GOMES DE SOUZA - 5825</v>
      </c>
      <c r="D1564" s="1" t="str">
        <f>_xlfn.CONCAT(tabE.Flux[[#This Row],[DATA]],"+",tabE.Flux[[#This Row],[MOTORISTA + MATRÍCULA B]])</f>
        <v>45954+ADAILTON DA SILVA RODRIGUES MENDONCA - 2662</v>
      </c>
      <c r="E1564" s="1" t="str">
        <f>_xlfn.CONCAT(tabE.Flux[[#This Row],[DATA]],"+",tabE.Flux[[#This Row],[MOTORISTA + MATRÍCULA A]],"+",tabE.Flux[[#This Row],[LINHA]])</f>
        <v>45954+ENIO GOMES DE SOUZA - 5825+GOIANIA (GO) X BELEM (PA)</v>
      </c>
      <c r="F1564" s="1" t="str">
        <f>_xlfn.CONCAT(tabE.Flux[[#This Row],[DATA]],"+",tabE.Flux[[#This Row],[MOTORISTA + MATRÍCULA B]],"+",tabE.Flux[[#This Row],[LINHA]])</f>
        <v>45954+ADAILTON DA SILVA RODRIGUES MENDONCA - 2662+GOIANIA (GO) X BELEM (PA)</v>
      </c>
      <c r="G1564" s="1" t="str">
        <f>_xlfn.CONCAT(tabE.Flux[[#This Row],[DATA]],"+",tabE.Flux[[#This Row],[LINHA]])</f>
        <v>45954+GOIANIA (GO) X BELEM (PA)</v>
      </c>
      <c r="H1564" s="125">
        <v>45954</v>
      </c>
      <c r="I1564" s="1" t="s">
        <v>15</v>
      </c>
      <c r="J1564" s="1">
        <v>20018</v>
      </c>
      <c r="K1564" s="126">
        <v>0.84722222222222221</v>
      </c>
      <c r="L1564" s="126">
        <v>0.87847222222222221</v>
      </c>
      <c r="M1564" s="1" t="s">
        <v>16</v>
      </c>
      <c r="N1564" s="1" t="s">
        <v>17</v>
      </c>
      <c r="O1564" s="1" t="s">
        <v>93</v>
      </c>
      <c r="P1564" s="1" t="s">
        <v>92</v>
      </c>
      <c r="Q1564" s="1" t="s">
        <v>20</v>
      </c>
    </row>
    <row r="1565" spans="3:17" x14ac:dyDescent="0.25">
      <c r="C1565" s="1" t="str">
        <f>_xlfn.CONCAT(tabE.Flux[[#This Row],[DATA]],"+",tabE.Flux[[#This Row],[MOTORISTA + MATRÍCULA A]])</f>
        <v>+</v>
      </c>
      <c r="D1565" s="1" t="str">
        <f>_xlfn.CONCAT(tabE.Flux[[#This Row],[DATA]],"+",tabE.Flux[[#This Row],[MOTORISTA + MATRÍCULA B]])</f>
        <v>+</v>
      </c>
      <c r="E1565" s="1" t="str">
        <f>_xlfn.CONCAT(tabE.Flux[[#This Row],[DATA]],"+",tabE.Flux[[#This Row],[MOTORISTA + MATRÍCULA A]],"+",tabE.Flux[[#This Row],[LINHA]])</f>
        <v>++</v>
      </c>
      <c r="F1565" s="1" t="str">
        <f>_xlfn.CONCAT(tabE.Flux[[#This Row],[DATA]],"+",tabE.Flux[[#This Row],[MOTORISTA + MATRÍCULA B]],"+",tabE.Flux[[#This Row],[LINHA]])</f>
        <v>++</v>
      </c>
      <c r="G1565" s="1" t="str">
        <f>_xlfn.CONCAT(tabE.Flux[[#This Row],[DATA]],"+",tabE.Flux[[#This Row],[LINHA]])</f>
        <v>+</v>
      </c>
      <c r="H1565" s="1"/>
      <c r="I1565" s="1"/>
      <c r="J1565" s="1"/>
      <c r="K1565" s="1"/>
      <c r="L1565" s="1"/>
      <c r="M1565" s="1"/>
      <c r="N1565" s="1"/>
      <c r="O1565" s="1"/>
      <c r="P1565" s="1"/>
      <c r="Q1565" s="1"/>
    </row>
    <row r="1566" spans="3:17" x14ac:dyDescent="0.25">
      <c r="C1566" s="1" t="str">
        <f>_xlfn.CONCAT(tabE.Flux[[#This Row],[DATA]],"+",tabE.Flux[[#This Row],[MOTORISTA + MATRÍCULA A]])</f>
        <v>45955+  JOAO AMARAL DA SILVA JUNIOR- 5290</v>
      </c>
      <c r="D1566" s="1" t="str">
        <f>_xlfn.CONCAT(tabE.Flux[[#This Row],[DATA]],"+",tabE.Flux[[#This Row],[MOTORISTA + MATRÍCULA B]])</f>
        <v>45955+ALEF DA CRUZ VIEIRA - 5291</v>
      </c>
      <c r="E1566" s="1" t="str">
        <f>_xlfn.CONCAT(tabE.Flux[[#This Row],[DATA]],"+",tabE.Flux[[#This Row],[MOTORISTA + MATRÍCULA A]],"+",tabE.Flux[[#This Row],[LINHA]])</f>
        <v>45955+  JOAO AMARAL DA SILVA JUNIOR- 5290+GOIANIA (GO) X BELEM (PA)</v>
      </c>
      <c r="F1566" s="1" t="str">
        <f>_xlfn.CONCAT(tabE.Flux[[#This Row],[DATA]],"+",tabE.Flux[[#This Row],[MOTORISTA + MATRÍCULA B]],"+",tabE.Flux[[#This Row],[LINHA]])</f>
        <v>45955+ALEF DA CRUZ VIEIRA - 5291+GOIANIA (GO) X BELEM (PA)</v>
      </c>
      <c r="G1566" s="1" t="str">
        <f>_xlfn.CONCAT(tabE.Flux[[#This Row],[DATA]],"+",tabE.Flux[[#This Row],[LINHA]])</f>
        <v>45955+GOIANIA (GO) X BELEM (PA)</v>
      </c>
      <c r="H1566" s="125">
        <v>45955</v>
      </c>
      <c r="I1566" s="1" t="s">
        <v>15</v>
      </c>
      <c r="J1566" s="1">
        <v>24009</v>
      </c>
      <c r="K1566" s="126">
        <v>0.25486111111111109</v>
      </c>
      <c r="L1566" s="126">
        <v>0.3</v>
      </c>
      <c r="M1566" s="1" t="s">
        <v>16</v>
      </c>
      <c r="N1566" s="1" t="s">
        <v>17</v>
      </c>
      <c r="O1566" s="1" t="s">
        <v>72</v>
      </c>
      <c r="P1566" s="1" t="s">
        <v>248</v>
      </c>
      <c r="Q1566" s="1" t="s">
        <v>20</v>
      </c>
    </row>
    <row r="1567" spans="3:17" x14ac:dyDescent="0.25">
      <c r="C1567" s="1" t="str">
        <f>_xlfn.CONCAT(tabE.Flux[[#This Row],[DATA]],"+",tabE.Flux[[#This Row],[MOTORISTA + MATRÍCULA A]])</f>
        <v>45955+BRUNO MATOS DA ROCHA - 6013</v>
      </c>
      <c r="D1567" s="1" t="str">
        <f>_xlfn.CONCAT(tabE.Flux[[#This Row],[DATA]],"+",tabE.Flux[[#This Row],[MOTORISTA + MATRÍCULA B]])</f>
        <v>45955+JWEBISON DE BRITO SOUZA - 2999</v>
      </c>
      <c r="E1567" s="1" t="str">
        <f>_xlfn.CONCAT(tabE.Flux[[#This Row],[DATA]],"+",tabE.Flux[[#This Row],[MOTORISTA + MATRÍCULA A]],"+",tabE.Flux[[#This Row],[LINHA]])</f>
        <v>45955+BRUNO MATOS DA ROCHA - 6013+GOIANIA (GO) X SAO LUIS (MA)</v>
      </c>
      <c r="F1567" s="1" t="str">
        <f>_xlfn.CONCAT(tabE.Flux[[#This Row],[DATA]],"+",tabE.Flux[[#This Row],[MOTORISTA + MATRÍCULA B]],"+",tabE.Flux[[#This Row],[LINHA]])</f>
        <v>45955+JWEBISON DE BRITO SOUZA - 2999+GOIANIA (GO) X SAO LUIS (MA)</v>
      </c>
      <c r="G1567" s="1" t="str">
        <f>_xlfn.CONCAT(tabE.Flux[[#This Row],[DATA]],"+",tabE.Flux[[#This Row],[LINHA]])</f>
        <v>45955+GOIANIA (GO) X SAO LUIS (MA)</v>
      </c>
      <c r="H1567" s="125">
        <v>45955</v>
      </c>
      <c r="I1567" s="1" t="s">
        <v>15</v>
      </c>
      <c r="J1567" s="1">
        <v>24012</v>
      </c>
      <c r="K1567" s="126">
        <v>0.32291666666666669</v>
      </c>
      <c r="L1567" s="126">
        <v>0.33333333333333331</v>
      </c>
      <c r="M1567" s="1" t="s">
        <v>16</v>
      </c>
      <c r="N1567" s="1" t="s">
        <v>17</v>
      </c>
      <c r="O1567" s="1" t="s">
        <v>147</v>
      </c>
      <c r="P1567" s="1" t="s">
        <v>77</v>
      </c>
      <c r="Q1567" s="1" t="s">
        <v>23</v>
      </c>
    </row>
    <row r="1568" spans="3:17" x14ac:dyDescent="0.25">
      <c r="C1568" s="1" t="str">
        <f>_xlfn.CONCAT(tabE.Flux[[#This Row],[DATA]],"+",tabE.Flux[[#This Row],[MOTORISTA + MATRÍCULA A]])</f>
        <v>45955+JARDEL DE SOUSA OLIVEIRA - 5992</v>
      </c>
      <c r="D1568" s="1" t="str">
        <f>_xlfn.CONCAT(tabE.Flux[[#This Row],[DATA]],"+",tabE.Flux[[#This Row],[MOTORISTA + MATRÍCULA B]])</f>
        <v>45955+NILSON CORTEZ MIRANDA - 5636</v>
      </c>
      <c r="E1568" s="1" t="str">
        <f>_xlfn.CONCAT(tabE.Flux[[#This Row],[DATA]],"+",tabE.Flux[[#This Row],[MOTORISTA + MATRÍCULA A]],"+",tabE.Flux[[#This Row],[LINHA]])</f>
        <v>45955+JARDEL DE SOUSA OLIVEIRA - 5992+GOIANIA (GO) X TERESINA (PI) VIA STI</v>
      </c>
      <c r="F1568" s="1" t="str">
        <f>_xlfn.CONCAT(tabE.Flux[[#This Row],[DATA]],"+",tabE.Flux[[#This Row],[MOTORISTA + MATRÍCULA B]],"+",tabE.Flux[[#This Row],[LINHA]])</f>
        <v>45955+NILSON CORTEZ MIRANDA - 5636+GOIANIA (GO) X TERESINA (PI) VIA STI</v>
      </c>
      <c r="G1568" s="1" t="str">
        <f>_xlfn.CONCAT(tabE.Flux[[#This Row],[DATA]],"+",tabE.Flux[[#This Row],[LINHA]])</f>
        <v>45955+GOIANIA (GO) X TERESINA (PI) VIA STI</v>
      </c>
      <c r="H1568" s="125">
        <v>45955</v>
      </c>
      <c r="I1568" s="1" t="s">
        <v>15</v>
      </c>
      <c r="J1568" s="1"/>
      <c r="K1568" s="126">
        <v>0.3888888888888889</v>
      </c>
      <c r="L1568" s="126">
        <v>0.39583333333333331</v>
      </c>
      <c r="M1568" s="1" t="s">
        <v>16</v>
      </c>
      <c r="N1568" s="1" t="s">
        <v>17</v>
      </c>
      <c r="O1568" s="1" t="s">
        <v>150</v>
      </c>
      <c r="P1568" s="1" t="s">
        <v>75</v>
      </c>
      <c r="Q1568" s="1" t="s">
        <v>26</v>
      </c>
    </row>
    <row r="1569" spans="3:17" x14ac:dyDescent="0.25">
      <c r="C1569" s="1" t="str">
        <f>_xlfn.CONCAT(tabE.Flux[[#This Row],[DATA]],"+",tabE.Flux[[#This Row],[MOTORISTA + MATRÍCULA A]])</f>
        <v>45955+CANCELADO</v>
      </c>
      <c r="D1569" s="1" t="str">
        <f>_xlfn.CONCAT(tabE.Flux[[#This Row],[DATA]],"+",tabE.Flux[[#This Row],[MOTORISTA + MATRÍCULA B]])</f>
        <v>45955+CANCELADO</v>
      </c>
      <c r="E1569" s="1" t="str">
        <f>_xlfn.CONCAT(tabE.Flux[[#This Row],[DATA]],"+",tabE.Flux[[#This Row],[MOTORISTA + MATRÍCULA A]],"+",tabE.Flux[[#This Row],[LINHA]])</f>
        <v>45955+CANCELADO+</v>
      </c>
      <c r="F1569" s="1" t="str">
        <f>_xlfn.CONCAT(tabE.Flux[[#This Row],[DATA]],"+",tabE.Flux[[#This Row],[MOTORISTA + MATRÍCULA B]],"+",tabE.Flux[[#This Row],[LINHA]])</f>
        <v>45955+CANCELADO+</v>
      </c>
      <c r="G1569" s="1" t="str">
        <f>_xlfn.CONCAT(tabE.Flux[[#This Row],[DATA]],"+",tabE.Flux[[#This Row],[LINHA]])</f>
        <v>45955+</v>
      </c>
      <c r="H1569" s="125">
        <v>45955</v>
      </c>
      <c r="I1569" s="1" t="s">
        <v>15</v>
      </c>
      <c r="J1569" s="1"/>
      <c r="K1569" s="126">
        <v>0.375</v>
      </c>
      <c r="L1569" s="126">
        <v>0.41666666666666669</v>
      </c>
      <c r="M1569" s="1" t="s">
        <v>16</v>
      </c>
      <c r="N1569" s="1" t="s">
        <v>28</v>
      </c>
      <c r="O1569" s="1" t="s">
        <v>27</v>
      </c>
      <c r="P1569" s="1" t="s">
        <v>27</v>
      </c>
      <c r="Q1569" s="1"/>
    </row>
    <row r="1570" spans="3:17" x14ac:dyDescent="0.25">
      <c r="C1570" s="1" t="str">
        <f>_xlfn.CONCAT(tabE.Flux[[#This Row],[DATA]],"+",tabE.Flux[[#This Row],[MOTORISTA + MATRÍCULA A]])</f>
        <v>45955+ANTONIO JOSE PEREIRA SOARES - 1774</v>
      </c>
      <c r="D1570" s="1" t="str">
        <f>_xlfn.CONCAT(tabE.Flux[[#This Row],[DATA]],"+",tabE.Flux[[#This Row],[MOTORISTA + MATRÍCULA B]])</f>
        <v>45955+</v>
      </c>
      <c r="E1570" s="1" t="str">
        <f>_xlfn.CONCAT(tabE.Flux[[#This Row],[DATA]],"+",tabE.Flux[[#This Row],[MOTORISTA + MATRÍCULA A]],"+",tabE.Flux[[#This Row],[LINHA]])</f>
        <v>45955+ANTONIO JOSE PEREIRA SOARES - 1774+FORTALEZA (CE) X SINOP (MT)</v>
      </c>
      <c r="F1570" s="1" t="str">
        <f>_xlfn.CONCAT(tabE.Flux[[#This Row],[DATA]],"+",tabE.Flux[[#This Row],[MOTORISTA + MATRÍCULA B]],"+",tabE.Flux[[#This Row],[LINHA]])</f>
        <v>45955++FORTALEZA (CE) X SINOP (MT)</v>
      </c>
      <c r="G1570" s="1" t="str">
        <f>_xlfn.CONCAT(tabE.Flux[[#This Row],[DATA]],"+",tabE.Flux[[#This Row],[LINHA]])</f>
        <v>45955+FORTALEZA (CE) X SINOP (MT)</v>
      </c>
      <c r="H1570" s="125">
        <v>45955</v>
      </c>
      <c r="I1570" s="1" t="s">
        <v>15</v>
      </c>
      <c r="J1570" s="1"/>
      <c r="K1570" s="126">
        <v>0.3888888888888889</v>
      </c>
      <c r="L1570" s="126">
        <v>0.37708333333333333</v>
      </c>
      <c r="M1570" s="1" t="s">
        <v>16</v>
      </c>
      <c r="N1570" s="1" t="s">
        <v>29</v>
      </c>
      <c r="O1570" s="1" t="s">
        <v>52</v>
      </c>
      <c r="P1570" s="1"/>
      <c r="Q1570" s="1" t="s">
        <v>32</v>
      </c>
    </row>
    <row r="1571" spans="3:17" x14ac:dyDescent="0.25">
      <c r="C1571" s="1" t="str">
        <f>_xlfn.CONCAT(tabE.Flux[[#This Row],[DATA]],"+",tabE.Flux[[#This Row],[MOTORISTA + MATRÍCULA A]])</f>
        <v>45955+MARCIO DE SOUSA MATOS - 5264</v>
      </c>
      <c r="D1571" s="1" t="str">
        <f>_xlfn.CONCAT(tabE.Flux[[#This Row],[DATA]],"+",tabE.Flux[[#This Row],[MOTORISTA + MATRÍCULA B]])</f>
        <v>45955+RAIMUNDO GUIMARAES ARAUJO - 1920</v>
      </c>
      <c r="E1571" s="1" t="str">
        <f>_xlfn.CONCAT(tabE.Flux[[#This Row],[DATA]],"+",tabE.Flux[[#This Row],[MOTORISTA + MATRÍCULA A]],"+",tabE.Flux[[#This Row],[LINHA]])</f>
        <v>45955+MARCIO DE SOUSA MATOS - 5264+GOIANIA (GO) X BELEM (PA)</v>
      </c>
      <c r="F1571" s="1" t="str">
        <f>_xlfn.CONCAT(tabE.Flux[[#This Row],[DATA]],"+",tabE.Flux[[#This Row],[MOTORISTA + MATRÍCULA B]],"+",tabE.Flux[[#This Row],[LINHA]])</f>
        <v>45955+RAIMUNDO GUIMARAES ARAUJO - 1920+GOIANIA (GO) X BELEM (PA)</v>
      </c>
      <c r="G1571" s="1" t="str">
        <f>_xlfn.CONCAT(tabE.Flux[[#This Row],[DATA]],"+",tabE.Flux[[#This Row],[LINHA]])</f>
        <v>45955+GOIANIA (GO) X BELEM (PA)</v>
      </c>
      <c r="H1571" s="125">
        <v>45955</v>
      </c>
      <c r="I1571" s="1" t="s">
        <v>15</v>
      </c>
      <c r="J1571" s="1"/>
      <c r="K1571" s="126">
        <v>0.38958333333333334</v>
      </c>
      <c r="L1571" s="126">
        <v>0.38541666666666669</v>
      </c>
      <c r="M1571" s="1" t="s">
        <v>16</v>
      </c>
      <c r="N1571" s="1" t="s">
        <v>33</v>
      </c>
      <c r="O1571" s="1" t="s">
        <v>62</v>
      </c>
      <c r="P1571" s="1" t="s">
        <v>231</v>
      </c>
      <c r="Q1571" s="1" t="s">
        <v>20</v>
      </c>
    </row>
    <row r="1572" spans="3:17" x14ac:dyDescent="0.25">
      <c r="C1572" s="1" t="str">
        <f>_xlfn.CONCAT(tabE.Flux[[#This Row],[DATA]],"+",tabE.Flux[[#This Row],[MOTORISTA + MATRÍCULA A]])</f>
        <v>45955+ELIEZIO JOSE DOS SANTOS - 2645</v>
      </c>
      <c r="D1572" s="1" t="str">
        <f>_xlfn.CONCAT(tabE.Flux[[#This Row],[DATA]],"+",tabE.Flux[[#This Row],[MOTORISTA + MATRÍCULA B]])</f>
        <v>45955+</v>
      </c>
      <c r="E1572" s="1" t="str">
        <f>_xlfn.CONCAT(tabE.Flux[[#This Row],[DATA]],"+",tabE.Flux[[#This Row],[MOTORISTA + MATRÍCULA A]],"+",tabE.Flux[[#This Row],[LINHA]])</f>
        <v>45955+ELIEZIO JOSE DOS SANTOS - 2645+GOIANIA (GO) X TERESINA (PI) VIA BC</v>
      </c>
      <c r="F1572" s="1" t="str">
        <f>_xlfn.CONCAT(tabE.Flux[[#This Row],[DATA]],"+",tabE.Flux[[#This Row],[MOTORISTA + MATRÍCULA B]],"+",tabE.Flux[[#This Row],[LINHA]])</f>
        <v>45955++GOIANIA (GO) X TERESINA (PI) VIA BC</v>
      </c>
      <c r="G1572" s="1" t="str">
        <f>_xlfn.CONCAT(tabE.Flux[[#This Row],[DATA]],"+",tabE.Flux[[#This Row],[LINHA]])</f>
        <v>45955+GOIANIA (GO) X TERESINA (PI) VIA BC</v>
      </c>
      <c r="H1572" s="125">
        <v>45955</v>
      </c>
      <c r="I1572" s="1" t="s">
        <v>15</v>
      </c>
      <c r="J1572" s="1"/>
      <c r="K1572" s="126">
        <v>0.375</v>
      </c>
      <c r="L1572" s="126">
        <v>0.39930555555555558</v>
      </c>
      <c r="M1572" s="1" t="s">
        <v>36</v>
      </c>
      <c r="N1572" s="1" t="s">
        <v>29</v>
      </c>
      <c r="O1572" s="1" t="s">
        <v>53</v>
      </c>
      <c r="P1572" s="1"/>
      <c r="Q1572" s="1" t="s">
        <v>39</v>
      </c>
    </row>
    <row r="1573" spans="3:17" x14ac:dyDescent="0.25">
      <c r="C1573" s="1" t="str">
        <f>_xlfn.CONCAT(tabE.Flux[[#This Row],[DATA]],"+",tabE.Flux[[#This Row],[MOTORISTA + MATRÍCULA A]])</f>
        <v>45955+ANTONIO RAMIRO WEBER - 5452</v>
      </c>
      <c r="D1573" s="1" t="str">
        <f>_xlfn.CONCAT(tabE.Flux[[#This Row],[DATA]],"+",tabE.Flux[[#This Row],[MOTORISTA + MATRÍCULA B]])</f>
        <v>45955+GILDEVAN DE ALMEIDA AGOSTINHO - 1924</v>
      </c>
      <c r="E1573" s="1" t="str">
        <f>_xlfn.CONCAT(tabE.Flux[[#This Row],[DATA]],"+",tabE.Flux[[#This Row],[MOTORISTA + MATRÍCULA A]],"+",tabE.Flux[[#This Row],[LINHA]])</f>
        <v>45955+ANTONIO RAMIRO WEBER - 5452+GOIANIA (GO) X BELEM (PA)</v>
      </c>
      <c r="F1573" s="1" t="str">
        <f>_xlfn.CONCAT(tabE.Flux[[#This Row],[DATA]],"+",tabE.Flux[[#This Row],[MOTORISTA + MATRÍCULA B]],"+",tabE.Flux[[#This Row],[LINHA]])</f>
        <v>45955+GILDEVAN DE ALMEIDA AGOSTINHO - 1924+GOIANIA (GO) X BELEM (PA)</v>
      </c>
      <c r="G1573" s="1" t="str">
        <f>_xlfn.CONCAT(tabE.Flux[[#This Row],[DATA]],"+",tabE.Flux[[#This Row],[LINHA]])</f>
        <v>45955+GOIANIA (GO) X BELEM (PA)</v>
      </c>
      <c r="H1573" s="125">
        <v>45955</v>
      </c>
      <c r="I1573" s="1" t="s">
        <v>15</v>
      </c>
      <c r="J1573" s="1"/>
      <c r="K1573" s="126">
        <v>0.375</v>
      </c>
      <c r="L1573" s="126">
        <v>0.41666666666666669</v>
      </c>
      <c r="M1573" s="1" t="s">
        <v>33</v>
      </c>
      <c r="N1573" s="1" t="s">
        <v>16</v>
      </c>
      <c r="O1573" s="1" t="s">
        <v>79</v>
      </c>
      <c r="P1573" s="1" t="s">
        <v>236</v>
      </c>
      <c r="Q1573" s="1" t="s">
        <v>20</v>
      </c>
    </row>
    <row r="1574" spans="3:17" x14ac:dyDescent="0.25">
      <c r="C1574" s="1" t="str">
        <f>_xlfn.CONCAT(tabE.Flux[[#This Row],[DATA]],"+",tabE.Flux[[#This Row],[MOTORISTA + MATRÍCULA A]])</f>
        <v>45955+PAULO ENEAS FARIAS ARAUJO - 6218</v>
      </c>
      <c r="D1574" s="1" t="str">
        <f>_xlfn.CONCAT(tabE.Flux[[#This Row],[DATA]],"+",tabE.Flux[[#This Row],[MOTORISTA + MATRÍCULA B]])</f>
        <v>45955+ANTONIO MARQUES NETO DOS SANTOS - 1738</v>
      </c>
      <c r="E1574" s="1" t="str">
        <f>_xlfn.CONCAT(tabE.Flux[[#This Row],[DATA]],"+",tabE.Flux[[#This Row],[MOTORISTA + MATRÍCULA A]],"+",tabE.Flux[[#This Row],[LINHA]])</f>
        <v>45955+PAULO ENEAS FARIAS ARAUJO - 6218+GOIANIA (GO) X SAO LUIS (MA)</v>
      </c>
      <c r="F1574" s="1" t="str">
        <f>_xlfn.CONCAT(tabE.Flux[[#This Row],[DATA]],"+",tabE.Flux[[#This Row],[MOTORISTA + MATRÍCULA B]],"+",tabE.Flux[[#This Row],[LINHA]])</f>
        <v>45955+ANTONIO MARQUES NETO DOS SANTOS - 1738+GOIANIA (GO) X SAO LUIS (MA)</v>
      </c>
      <c r="G1574" s="1" t="str">
        <f>_xlfn.CONCAT(tabE.Flux[[#This Row],[DATA]],"+",tabE.Flux[[#This Row],[LINHA]])</f>
        <v>45955+GOIANIA (GO) X SAO LUIS (MA)</v>
      </c>
      <c r="H1574" s="125">
        <v>45955</v>
      </c>
      <c r="I1574" s="1" t="s">
        <v>15</v>
      </c>
      <c r="J1574" s="1"/>
      <c r="K1574" s="126">
        <v>0.25</v>
      </c>
      <c r="L1574" s="126">
        <v>0.29166666666666669</v>
      </c>
      <c r="M1574" s="1" t="s">
        <v>42</v>
      </c>
      <c r="N1574" s="1" t="s">
        <v>16</v>
      </c>
      <c r="O1574" s="1" t="s">
        <v>43</v>
      </c>
      <c r="P1574" s="1" t="s">
        <v>73</v>
      </c>
      <c r="Q1574" s="1" t="s">
        <v>23</v>
      </c>
    </row>
    <row r="1575" spans="3:17" x14ac:dyDescent="0.25">
      <c r="C1575" s="1" t="str">
        <f>_xlfn.CONCAT(tabE.Flux[[#This Row],[DATA]],"+",tabE.Flux[[#This Row],[MOTORISTA + MATRÍCULA A]])</f>
        <v>45955+CARLOS ADRIANO DE SOUZA DO NASCIMENTO - 6222</v>
      </c>
      <c r="D1575" s="1" t="str">
        <f>_xlfn.CONCAT(tabE.Flux[[#This Row],[DATA]],"+",tabE.Flux[[#This Row],[MOTORISTA + MATRÍCULA B]])</f>
        <v>45955+RONALDO ADRIANO COSTA SANTOS - 5637</v>
      </c>
      <c r="E1575" s="1" t="str">
        <f>_xlfn.CONCAT(tabE.Flux[[#This Row],[DATA]],"+",tabE.Flux[[#This Row],[MOTORISTA + MATRÍCULA A]],"+",tabE.Flux[[#This Row],[LINHA]])</f>
        <v>45955+CARLOS ADRIANO DE SOUZA DO NASCIMENTO - 6222+GOIANIA (GO) X SAO LUIS (MA)</v>
      </c>
      <c r="F1575" s="1" t="str">
        <f>_xlfn.CONCAT(tabE.Flux[[#This Row],[DATA]],"+",tabE.Flux[[#This Row],[MOTORISTA + MATRÍCULA B]],"+",tabE.Flux[[#This Row],[LINHA]])</f>
        <v>45955+RONALDO ADRIANO COSTA SANTOS - 5637+GOIANIA (GO) X SAO LUIS (MA)</v>
      </c>
      <c r="G1575" s="1" t="str">
        <f>_xlfn.CONCAT(tabE.Flux[[#This Row],[DATA]],"+",tabE.Flux[[#This Row],[LINHA]])</f>
        <v>45955+GOIANIA (GO) X SAO LUIS (MA)</v>
      </c>
      <c r="H1575" s="125">
        <v>45955</v>
      </c>
      <c r="I1575" s="1" t="s">
        <v>15</v>
      </c>
      <c r="J1575" s="1"/>
      <c r="K1575" s="126">
        <v>0.75</v>
      </c>
      <c r="L1575" s="126">
        <v>0.79166666666666663</v>
      </c>
      <c r="M1575" s="1" t="s">
        <v>42</v>
      </c>
      <c r="N1575" s="1" t="s">
        <v>16</v>
      </c>
      <c r="O1575" s="1" t="s">
        <v>110</v>
      </c>
      <c r="P1575" s="1" t="s">
        <v>41</v>
      </c>
      <c r="Q1575" s="1" t="s">
        <v>23</v>
      </c>
    </row>
    <row r="1576" spans="3:17" x14ac:dyDescent="0.25">
      <c r="C1576" s="1" t="str">
        <f>_xlfn.CONCAT(tabE.Flux[[#This Row],[DATA]],"+",tabE.Flux[[#This Row],[MOTORISTA + MATRÍCULA A]])</f>
        <v>45955+CANCELADO</v>
      </c>
      <c r="D1576" s="1" t="str">
        <f>_xlfn.CONCAT(tabE.Flux[[#This Row],[DATA]],"+",tabE.Flux[[#This Row],[MOTORISTA + MATRÍCULA B]])</f>
        <v>45955+CANCELADO</v>
      </c>
      <c r="E1576" s="1" t="str">
        <f>_xlfn.CONCAT(tabE.Flux[[#This Row],[DATA]],"+",tabE.Flux[[#This Row],[MOTORISTA + MATRÍCULA A]],"+",tabE.Flux[[#This Row],[LINHA]])</f>
        <v>45955+CANCELADO+IMPERATRIZ (MA) X SÃO LUIS (MA)</v>
      </c>
      <c r="F1576" s="1" t="str">
        <f>_xlfn.CONCAT(tabE.Flux[[#This Row],[DATA]],"+",tabE.Flux[[#This Row],[MOTORISTA + MATRÍCULA B]],"+",tabE.Flux[[#This Row],[LINHA]])</f>
        <v>45955+CANCELADO+IMPERATRIZ (MA) X SÃO LUIS (MA)</v>
      </c>
      <c r="G1576" s="1" t="str">
        <f>_xlfn.CONCAT(tabE.Flux[[#This Row],[DATA]],"+",tabE.Flux[[#This Row],[LINHA]])</f>
        <v>45955+IMPERATRIZ (MA) X SÃO LUIS (MA)</v>
      </c>
      <c r="H1576" s="125">
        <v>45955</v>
      </c>
      <c r="I1576" s="1" t="s">
        <v>15</v>
      </c>
      <c r="J1576" s="1"/>
      <c r="K1576" s="126">
        <v>0.77083333333333337</v>
      </c>
      <c r="L1576" s="126">
        <v>0.79513888888888884</v>
      </c>
      <c r="M1576" s="1" t="s">
        <v>42</v>
      </c>
      <c r="N1576" s="1" t="s">
        <v>16</v>
      </c>
      <c r="O1576" s="1" t="s">
        <v>27</v>
      </c>
      <c r="P1576" s="1" t="s">
        <v>27</v>
      </c>
      <c r="Q1576" s="1" t="s">
        <v>47</v>
      </c>
    </row>
    <row r="1577" spans="3:17" x14ac:dyDescent="0.25">
      <c r="C1577" s="1" t="str">
        <f>_xlfn.CONCAT(tabE.Flux[[#This Row],[DATA]],"+",tabE.Flux[[#This Row],[MOTORISTA + MATRÍCULA A]])</f>
        <v>45955+JOAO MONTEIRO DA COSTA - 5187</v>
      </c>
      <c r="D1577" s="1" t="str">
        <f>_xlfn.CONCAT(tabE.Flux[[#This Row],[DATA]],"+",tabE.Flux[[#This Row],[MOTORISTA + MATRÍCULA B]])</f>
        <v>45955+REGISMAR ANTONIO TEODORO DA COSTA - 2966</v>
      </c>
      <c r="E1577" s="1" t="str">
        <f>_xlfn.CONCAT(tabE.Flux[[#This Row],[DATA]],"+",tabE.Flux[[#This Row],[MOTORISTA + MATRÍCULA A]],"+",tabE.Flux[[#This Row],[LINHA]])</f>
        <v>45955+JOAO MONTEIRO DA COSTA - 5187+GOIANIA (GO) X TERESINA (PI) VIA BC</v>
      </c>
      <c r="F1577" s="1" t="str">
        <f>_xlfn.CONCAT(tabE.Flux[[#This Row],[DATA]],"+",tabE.Flux[[#This Row],[MOTORISTA + MATRÍCULA B]],"+",tabE.Flux[[#This Row],[LINHA]])</f>
        <v>45955+REGISMAR ANTONIO TEODORO DA COSTA - 2966+GOIANIA (GO) X TERESINA (PI) VIA BC</v>
      </c>
      <c r="G1577" s="1" t="str">
        <f>_xlfn.CONCAT(tabE.Flux[[#This Row],[DATA]],"+",tabE.Flux[[#This Row],[LINHA]])</f>
        <v>45955+GOIANIA (GO) X TERESINA (PI) VIA BC</v>
      </c>
      <c r="H1577" s="125">
        <v>45955</v>
      </c>
      <c r="I1577" s="1" t="s">
        <v>15</v>
      </c>
      <c r="J1577" s="1"/>
      <c r="K1577" s="126">
        <v>0.89583333333333337</v>
      </c>
      <c r="L1577" s="126">
        <v>0.91666666666666663</v>
      </c>
      <c r="M1577" s="1" t="s">
        <v>36</v>
      </c>
      <c r="N1577" s="1" t="s">
        <v>17</v>
      </c>
      <c r="O1577" s="1" t="s">
        <v>135</v>
      </c>
      <c r="P1577" s="1" t="s">
        <v>206</v>
      </c>
      <c r="Q1577" s="1" t="s">
        <v>39</v>
      </c>
    </row>
    <row r="1578" spans="3:17" x14ac:dyDescent="0.25">
      <c r="C1578" s="1" t="str">
        <f>_xlfn.CONCAT(tabE.Flux[[#This Row],[DATA]],"+",tabE.Flux[[#This Row],[MOTORISTA + MATRÍCULA A]])</f>
        <v>45955+JAIRO VIEIRA FERREIRA - 5835</v>
      </c>
      <c r="D1578" s="1" t="str">
        <f>_xlfn.CONCAT(tabE.Flux[[#This Row],[DATA]],"+",tabE.Flux[[#This Row],[MOTORISTA + MATRÍCULA B]])</f>
        <v>45955+EUGENIO PEREIRA DOS SANTOS - 1197</v>
      </c>
      <c r="E1578" s="1" t="str">
        <f>_xlfn.CONCAT(tabE.Flux[[#This Row],[DATA]],"+",tabE.Flux[[#This Row],[MOTORISTA + MATRÍCULA A]],"+",tabE.Flux[[#This Row],[LINHA]])</f>
        <v>45955+JAIRO VIEIRA FERREIRA - 5835+GOIANIA (GO) X BELEM (PA)</v>
      </c>
      <c r="F1578" s="1" t="str">
        <f>_xlfn.CONCAT(tabE.Flux[[#This Row],[DATA]],"+",tabE.Flux[[#This Row],[MOTORISTA + MATRÍCULA B]],"+",tabE.Flux[[#This Row],[LINHA]])</f>
        <v>45955+EUGENIO PEREIRA DOS SANTOS - 1197+GOIANIA (GO) X BELEM (PA)</v>
      </c>
      <c r="G1578" s="1" t="str">
        <f>_xlfn.CONCAT(tabE.Flux[[#This Row],[DATA]],"+",tabE.Flux[[#This Row],[LINHA]])</f>
        <v>45955+GOIANIA (GO) X BELEM (PA)</v>
      </c>
      <c r="H1578" s="125">
        <v>45955</v>
      </c>
      <c r="I1578" s="1" t="s">
        <v>15</v>
      </c>
      <c r="J1578" s="1"/>
      <c r="K1578" s="126">
        <v>0.76041666666666663</v>
      </c>
      <c r="L1578" s="126">
        <v>0.77083333333333337</v>
      </c>
      <c r="M1578" s="1" t="s">
        <v>33</v>
      </c>
      <c r="N1578" s="1" t="s">
        <v>16</v>
      </c>
      <c r="O1578" s="1" t="s">
        <v>230</v>
      </c>
      <c r="P1578" s="1" t="s">
        <v>264</v>
      </c>
      <c r="Q1578" s="1" t="s">
        <v>20</v>
      </c>
    </row>
    <row r="1579" spans="3:17" x14ac:dyDescent="0.25">
      <c r="C1579" s="1" t="str">
        <f>_xlfn.CONCAT(tabE.Flux[[#This Row],[DATA]],"+",tabE.Flux[[#This Row],[MOTORISTA + MATRÍCULA A]])</f>
        <v>45955+RICHARD SOUSA DA SILVA - 1271</v>
      </c>
      <c r="D1579" s="1" t="str">
        <f>_xlfn.CONCAT(tabE.Flux[[#This Row],[DATA]],"+",tabE.Flux[[#This Row],[MOTORISTA + MATRÍCULA B]])</f>
        <v>45955+JERZUALDO DA SILVA GOMES - 4077</v>
      </c>
      <c r="E1579" s="1" t="str">
        <f>_xlfn.CONCAT(tabE.Flux[[#This Row],[DATA]],"+",tabE.Flux[[#This Row],[MOTORISTA + MATRÍCULA A]],"+",tabE.Flux[[#This Row],[LINHA]])</f>
        <v>45955+RICHARD SOUSA DA SILVA - 1271+GOIANIA (GO) X BELEM (PA)</v>
      </c>
      <c r="F1579" s="1" t="str">
        <f>_xlfn.CONCAT(tabE.Flux[[#This Row],[DATA]],"+",tabE.Flux[[#This Row],[MOTORISTA + MATRÍCULA B]],"+",tabE.Flux[[#This Row],[LINHA]])</f>
        <v>45955+JERZUALDO DA SILVA GOMES - 4077+GOIANIA (GO) X BELEM (PA)</v>
      </c>
      <c r="G1579" s="1" t="str">
        <f>_xlfn.CONCAT(tabE.Flux[[#This Row],[DATA]],"+",tabE.Flux[[#This Row],[LINHA]])</f>
        <v>45955+GOIANIA (GO) X BELEM (PA)</v>
      </c>
      <c r="H1579" s="125">
        <v>45955</v>
      </c>
      <c r="I1579" s="1" t="s">
        <v>15</v>
      </c>
      <c r="J1579" s="1"/>
      <c r="K1579" s="126">
        <v>0.76041666666666663</v>
      </c>
      <c r="L1579" s="126">
        <v>0.82777777777777772</v>
      </c>
      <c r="M1579" s="1" t="s">
        <v>16</v>
      </c>
      <c r="N1579" s="1" t="s">
        <v>33</v>
      </c>
      <c r="O1579" s="1" t="s">
        <v>56</v>
      </c>
      <c r="P1579" s="1" t="s">
        <v>130</v>
      </c>
      <c r="Q1579" s="1" t="s">
        <v>20</v>
      </c>
    </row>
    <row r="1580" spans="3:17" x14ac:dyDescent="0.25">
      <c r="C1580" s="1" t="str">
        <f>_xlfn.CONCAT(tabE.Flux[[#This Row],[DATA]],"+",tabE.Flux[[#This Row],[MOTORISTA + MATRÍCULA A]])</f>
        <v>45955+CLODOALDO PEREIRA DE LIMA - 4067</v>
      </c>
      <c r="D1580" s="1" t="str">
        <f>_xlfn.CONCAT(tabE.Flux[[#This Row],[DATA]],"+",tabE.Flux[[#This Row],[MOTORISTA + MATRÍCULA B]])</f>
        <v>45955+KAYLSON KLEYTON DA SILVA COSTA - 6224</v>
      </c>
      <c r="E1580" s="1" t="str">
        <f>_xlfn.CONCAT(tabE.Flux[[#This Row],[DATA]],"+",tabE.Flux[[#This Row],[MOTORISTA + MATRÍCULA A]],"+",tabE.Flux[[#This Row],[LINHA]])</f>
        <v>45955+CLODOALDO PEREIRA DE LIMA - 4067+GOIANIA (GO) X SAO LUIS (MA)</v>
      </c>
      <c r="F1580" s="1" t="str">
        <f>_xlfn.CONCAT(tabE.Flux[[#This Row],[DATA]],"+",tabE.Flux[[#This Row],[MOTORISTA + MATRÍCULA B]],"+",tabE.Flux[[#This Row],[LINHA]])</f>
        <v>45955+KAYLSON KLEYTON DA SILVA COSTA - 6224+GOIANIA (GO) X SAO LUIS (MA)</v>
      </c>
      <c r="G1580" s="1" t="str">
        <f>_xlfn.CONCAT(tabE.Flux[[#This Row],[DATA]],"+",tabE.Flux[[#This Row],[LINHA]])</f>
        <v>45955+GOIANIA (GO) X SAO LUIS (MA)</v>
      </c>
      <c r="H1580" s="125">
        <v>45955</v>
      </c>
      <c r="I1580" s="1" t="s">
        <v>15</v>
      </c>
      <c r="J1580" s="1"/>
      <c r="K1580" s="126">
        <v>0.40763888888888888</v>
      </c>
      <c r="L1580" s="126">
        <v>0.47013888888888888</v>
      </c>
      <c r="M1580" s="1" t="s">
        <v>16</v>
      </c>
      <c r="N1580" s="1" t="s">
        <v>42</v>
      </c>
      <c r="O1580" s="1" t="s">
        <v>109</v>
      </c>
      <c r="P1580" s="1" t="s">
        <v>80</v>
      </c>
      <c r="Q1580" s="1" t="s">
        <v>23</v>
      </c>
    </row>
    <row r="1581" spans="3:17" x14ac:dyDescent="0.25">
      <c r="C1581" s="1" t="str">
        <f>_xlfn.CONCAT(tabE.Flux[[#This Row],[DATA]],"+",tabE.Flux[[#This Row],[MOTORISTA + MATRÍCULA A]])</f>
        <v>45955+CANCELADO</v>
      </c>
      <c r="D1581" s="1" t="str">
        <f>_xlfn.CONCAT(tabE.Flux[[#This Row],[DATA]],"+",tabE.Flux[[#This Row],[MOTORISTA + MATRÍCULA B]])</f>
        <v>45955+CANCELADO</v>
      </c>
      <c r="E1581" s="1" t="str">
        <f>_xlfn.CONCAT(tabE.Flux[[#This Row],[DATA]],"+",tabE.Flux[[#This Row],[MOTORISTA + MATRÍCULA A]],"+",tabE.Flux[[#This Row],[LINHA]])</f>
        <v>45955+CANCELADO+IMPERATRIZ (MA) X SÃO LUIS (MA)</v>
      </c>
      <c r="F1581" s="1" t="str">
        <f>_xlfn.CONCAT(tabE.Flux[[#This Row],[DATA]],"+",tabE.Flux[[#This Row],[MOTORISTA + MATRÍCULA B]],"+",tabE.Flux[[#This Row],[LINHA]])</f>
        <v>45955+CANCELADO+IMPERATRIZ (MA) X SÃO LUIS (MA)</v>
      </c>
      <c r="G1581" s="1" t="str">
        <f>_xlfn.CONCAT(tabE.Flux[[#This Row],[DATA]],"+",tabE.Flux[[#This Row],[LINHA]])</f>
        <v>45955+IMPERATRIZ (MA) X SÃO LUIS (MA)</v>
      </c>
      <c r="H1581" s="125">
        <v>45955</v>
      </c>
      <c r="I1581" s="1" t="s">
        <v>15</v>
      </c>
      <c r="J1581" s="1"/>
      <c r="K1581" s="126">
        <v>0.77083333333333337</v>
      </c>
      <c r="L1581" s="126">
        <v>0.8125</v>
      </c>
      <c r="M1581" s="1" t="s">
        <v>16</v>
      </c>
      <c r="N1581" s="1" t="s">
        <v>42</v>
      </c>
      <c r="O1581" s="1" t="s">
        <v>27</v>
      </c>
      <c r="P1581" s="1" t="s">
        <v>27</v>
      </c>
      <c r="Q1581" s="1" t="s">
        <v>47</v>
      </c>
    </row>
    <row r="1582" spans="3:17" x14ac:dyDescent="0.25">
      <c r="C1582" s="1" t="str">
        <f>_xlfn.CONCAT(tabE.Flux[[#This Row],[DATA]],"+",tabE.Flux[[#This Row],[MOTORISTA + MATRÍCULA A]])</f>
        <v>45955+WESLEY SILVA PAIVA - 5638</v>
      </c>
      <c r="D1582" s="1" t="str">
        <f>_xlfn.CONCAT(tabE.Flux[[#This Row],[DATA]],"+",tabE.Flux[[#This Row],[MOTORISTA + MATRÍCULA B]])</f>
        <v>45955+PAULO ENEAS FARIAS ARAUJO - 6218</v>
      </c>
      <c r="E1582" s="1" t="str">
        <f>_xlfn.CONCAT(tabE.Flux[[#This Row],[DATA]],"+",tabE.Flux[[#This Row],[MOTORISTA + MATRÍCULA A]],"+",tabE.Flux[[#This Row],[LINHA]])</f>
        <v>45955+WESLEY SILVA PAIVA - 5638+GOIANIA (GO) X SAO LUIS (MA)</v>
      </c>
      <c r="F1582" s="1" t="str">
        <f>_xlfn.CONCAT(tabE.Flux[[#This Row],[DATA]],"+",tabE.Flux[[#This Row],[MOTORISTA + MATRÍCULA B]],"+",tabE.Flux[[#This Row],[LINHA]])</f>
        <v>45955+PAULO ENEAS FARIAS ARAUJO - 6218+GOIANIA (GO) X SAO LUIS (MA)</v>
      </c>
      <c r="G1582" s="1" t="str">
        <f>_xlfn.CONCAT(tabE.Flux[[#This Row],[DATA]],"+",tabE.Flux[[#This Row],[LINHA]])</f>
        <v>45955+GOIANIA (GO) X SAO LUIS (MA)</v>
      </c>
      <c r="H1582" s="125">
        <v>45955</v>
      </c>
      <c r="I1582" s="1" t="s">
        <v>15</v>
      </c>
      <c r="J1582" s="1"/>
      <c r="K1582" s="126">
        <v>0.8125</v>
      </c>
      <c r="L1582" s="126">
        <v>0.84375</v>
      </c>
      <c r="M1582" s="1" t="s">
        <v>16</v>
      </c>
      <c r="N1582" s="1" t="s">
        <v>42</v>
      </c>
      <c r="O1582" s="1" t="s">
        <v>112</v>
      </c>
      <c r="P1582" s="1" t="s">
        <v>43</v>
      </c>
      <c r="Q1582" s="1" t="s">
        <v>23</v>
      </c>
    </row>
    <row r="1583" spans="3:17" x14ac:dyDescent="0.25">
      <c r="C1583" s="1" t="str">
        <f>_xlfn.CONCAT(tabE.Flux[[#This Row],[DATA]],"+",tabE.Flux[[#This Row],[MOTORISTA + MATRÍCULA A]])</f>
        <v>45955+JOSE CARLOS BEZERRA DA SILVA - 3034</v>
      </c>
      <c r="D1583" s="1" t="str">
        <f>_xlfn.CONCAT(tabE.Flux[[#This Row],[DATA]],"+",tabE.Flux[[#This Row],[MOTORISTA + MATRÍCULA B]])</f>
        <v>45955+</v>
      </c>
      <c r="E1583" s="1" t="str">
        <f>_xlfn.CONCAT(tabE.Flux[[#This Row],[DATA]],"+",tabE.Flux[[#This Row],[MOTORISTA + MATRÍCULA A]],"+",tabE.Flux[[#This Row],[LINHA]])</f>
        <v>45955+JOSE CARLOS BEZERRA DA SILVA - 3034+GOIANIA (GO) X TERESINA (PI) VIA STI</v>
      </c>
      <c r="F1583" s="1" t="str">
        <f>_xlfn.CONCAT(tabE.Flux[[#This Row],[DATA]],"+",tabE.Flux[[#This Row],[MOTORISTA + MATRÍCULA B]],"+",tabE.Flux[[#This Row],[LINHA]])</f>
        <v>45955++GOIANIA (GO) X TERESINA (PI) VIA STI</v>
      </c>
      <c r="G1583" s="1" t="str">
        <f>_xlfn.CONCAT(tabE.Flux[[#This Row],[DATA]],"+",tabE.Flux[[#This Row],[LINHA]])</f>
        <v>45955+GOIANIA (GO) X TERESINA (PI) VIA STI</v>
      </c>
      <c r="H1583" s="125">
        <v>45955</v>
      </c>
      <c r="I1583" s="1" t="s">
        <v>15</v>
      </c>
      <c r="J1583" s="1"/>
      <c r="K1583" s="126">
        <v>0.77083333333333337</v>
      </c>
      <c r="L1583" s="126">
        <v>0.79861111111111116</v>
      </c>
      <c r="M1583" s="1" t="s">
        <v>16</v>
      </c>
      <c r="N1583" s="1" t="s">
        <v>29</v>
      </c>
      <c r="O1583" s="1" t="s">
        <v>76</v>
      </c>
      <c r="P1583" s="1"/>
      <c r="Q1583" s="1" t="s">
        <v>26</v>
      </c>
    </row>
    <row r="1584" spans="3:17" x14ac:dyDescent="0.25">
      <c r="C1584" s="1" t="str">
        <f>_xlfn.CONCAT(tabE.Flux[[#This Row],[DATA]],"+",tabE.Flux[[#This Row],[MOTORISTA + MATRÍCULA A]])</f>
        <v>45955+EURIPEDES BORGES DOS SANTOS - 5017</v>
      </c>
      <c r="D1584" s="1" t="str">
        <f>_xlfn.CONCAT(tabE.Flux[[#This Row],[DATA]],"+",tabE.Flux[[#This Row],[MOTORISTA + MATRÍCULA B]])</f>
        <v>45955+SANDRO CARLOS DE SOUSA - 5181</v>
      </c>
      <c r="E1584" s="1" t="str">
        <f>_xlfn.CONCAT(tabE.Flux[[#This Row],[DATA]],"+",tabE.Flux[[#This Row],[MOTORISTA + MATRÍCULA A]],"+",tabE.Flux[[#This Row],[LINHA]])</f>
        <v>45955+EURIPEDES BORGES DOS SANTOS - 5017+GOIANIA (GO) X SAO LUIS (MA)</v>
      </c>
      <c r="F1584" s="1" t="str">
        <f>_xlfn.CONCAT(tabE.Flux[[#This Row],[DATA]],"+",tabE.Flux[[#This Row],[MOTORISTA + MATRÍCULA B]],"+",tabE.Flux[[#This Row],[LINHA]])</f>
        <v>45955+SANDRO CARLOS DE SOUSA - 5181+GOIANIA (GO) X SAO LUIS (MA)</v>
      </c>
      <c r="G1584" s="1" t="str">
        <f>_xlfn.CONCAT(tabE.Flux[[#This Row],[DATA]],"+",tabE.Flux[[#This Row],[LINHA]])</f>
        <v>45955+GOIANIA (GO) X SAO LUIS (MA)</v>
      </c>
      <c r="H1584" s="125">
        <v>45955</v>
      </c>
      <c r="I1584" s="1" t="s">
        <v>15</v>
      </c>
      <c r="J1584" s="1">
        <v>0</v>
      </c>
      <c r="K1584" s="126">
        <v>0.8125</v>
      </c>
      <c r="L1584" s="126">
        <v>0.84166666666666667</v>
      </c>
      <c r="M1584" s="1" t="s">
        <v>16</v>
      </c>
      <c r="N1584" s="1" t="s">
        <v>17</v>
      </c>
      <c r="O1584" s="1" t="s">
        <v>121</v>
      </c>
      <c r="P1584" s="1" t="s">
        <v>120</v>
      </c>
      <c r="Q1584" s="1" t="s">
        <v>23</v>
      </c>
    </row>
    <row r="1585" spans="3:17" x14ac:dyDescent="0.25">
      <c r="C1585" s="1" t="str">
        <f>_xlfn.CONCAT(tabE.Flux[[#This Row],[DATA]],"+",tabE.Flux[[#This Row],[MOTORISTA + MATRÍCULA A]])</f>
        <v>45955+RONALDO MANOEL TEIXEIRA - 5308</v>
      </c>
      <c r="D1585" s="1" t="str">
        <f>_xlfn.CONCAT(tabE.Flux[[#This Row],[DATA]],"+",tabE.Flux[[#This Row],[MOTORISTA + MATRÍCULA B]])</f>
        <v>45955+LOURIVAL FRANCISCO DA COSTA - 5826</v>
      </c>
      <c r="E1585" s="1" t="str">
        <f>_xlfn.CONCAT(tabE.Flux[[#This Row],[DATA]],"+",tabE.Flux[[#This Row],[MOTORISTA + MATRÍCULA A]],"+",tabE.Flux[[#This Row],[LINHA]])</f>
        <v>45955+RONALDO MANOEL TEIXEIRA - 5308+FORTALEZA (CE) X SINOP (MT)</v>
      </c>
      <c r="F1585" s="1" t="str">
        <f>_xlfn.CONCAT(tabE.Flux[[#This Row],[DATA]],"+",tabE.Flux[[#This Row],[MOTORISTA + MATRÍCULA B]],"+",tabE.Flux[[#This Row],[LINHA]])</f>
        <v>45955+LOURIVAL FRANCISCO DA COSTA - 5826+FORTALEZA (CE) X SINOP (MT)</v>
      </c>
      <c r="G1585" s="1" t="str">
        <f>_xlfn.CONCAT(tabE.Flux[[#This Row],[DATA]],"+",tabE.Flux[[#This Row],[LINHA]])</f>
        <v>45955+FORTALEZA (CE) X SINOP (MT)</v>
      </c>
      <c r="H1585" s="125">
        <v>45955</v>
      </c>
      <c r="I1585" s="1" t="s">
        <v>15</v>
      </c>
      <c r="J1585" s="1"/>
      <c r="K1585" s="126">
        <v>0.8125</v>
      </c>
      <c r="L1585" s="126">
        <v>0.85416666666666663</v>
      </c>
      <c r="M1585" s="1" t="s">
        <v>16</v>
      </c>
      <c r="N1585" s="1" t="s">
        <v>17</v>
      </c>
      <c r="O1585" s="1" t="s">
        <v>220</v>
      </c>
      <c r="P1585" s="1" t="s">
        <v>68</v>
      </c>
      <c r="Q1585" s="1" t="s">
        <v>32</v>
      </c>
    </row>
    <row r="1586" spans="3:17" x14ac:dyDescent="0.25">
      <c r="C1586" s="1" t="str">
        <f>_xlfn.CONCAT(tabE.Flux[[#This Row],[DATA]],"+",tabE.Flux[[#This Row],[MOTORISTA + MATRÍCULA A]])</f>
        <v>45955+VALTER PEREIRA MACIEL - 5630</v>
      </c>
      <c r="D1586" s="1" t="str">
        <f>_xlfn.CONCAT(tabE.Flux[[#This Row],[DATA]],"+",tabE.Flux[[#This Row],[MOTORISTA + MATRÍCULA B]])</f>
        <v>45955+GERALDO MARTINS DOS SANTOS - 5610</v>
      </c>
      <c r="E1586" s="1" t="str">
        <f>_xlfn.CONCAT(tabE.Flux[[#This Row],[DATA]],"+",tabE.Flux[[#This Row],[MOTORISTA + MATRÍCULA A]],"+",tabE.Flux[[#This Row],[LINHA]])</f>
        <v>45955+VALTER PEREIRA MACIEL - 5630+GOIANIA (GO) X BELEM (PA)</v>
      </c>
      <c r="F1586" s="1" t="str">
        <f>_xlfn.CONCAT(tabE.Flux[[#This Row],[DATA]],"+",tabE.Flux[[#This Row],[MOTORISTA + MATRÍCULA B]],"+",tabE.Flux[[#This Row],[LINHA]])</f>
        <v>45955+GERALDO MARTINS DOS SANTOS - 5610+GOIANIA (GO) X BELEM (PA)</v>
      </c>
      <c r="G1586" s="1" t="str">
        <f>_xlfn.CONCAT(tabE.Flux[[#This Row],[DATA]],"+",tabE.Flux[[#This Row],[LINHA]])</f>
        <v>45955+GOIANIA (GO) X BELEM (PA)</v>
      </c>
      <c r="H1586" s="125">
        <v>45955</v>
      </c>
      <c r="I1586" s="1" t="s">
        <v>15</v>
      </c>
      <c r="J1586" s="1">
        <v>0</v>
      </c>
      <c r="K1586" s="126">
        <v>0.84722222222222221</v>
      </c>
      <c r="L1586" s="126">
        <v>0.87847222222222221</v>
      </c>
      <c r="M1586" s="1" t="s">
        <v>16</v>
      </c>
      <c r="N1586" s="1" t="s">
        <v>17</v>
      </c>
      <c r="O1586" s="1" t="s">
        <v>208</v>
      </c>
      <c r="P1586" s="1" t="s">
        <v>209</v>
      </c>
      <c r="Q1586" s="1" t="s">
        <v>20</v>
      </c>
    </row>
    <row r="1587" spans="3:17" x14ac:dyDescent="0.25">
      <c r="C1587" s="1" t="str">
        <f>_xlfn.CONCAT(tabE.Flux[[#This Row],[DATA]],"+",tabE.Flux[[#This Row],[MOTORISTA + MATRÍCULA A]])</f>
        <v>+</v>
      </c>
      <c r="D1587" s="1" t="str">
        <f>_xlfn.CONCAT(tabE.Flux[[#This Row],[DATA]],"+",tabE.Flux[[#This Row],[MOTORISTA + MATRÍCULA B]])</f>
        <v>+</v>
      </c>
      <c r="E1587" s="1" t="str">
        <f>_xlfn.CONCAT(tabE.Flux[[#This Row],[DATA]],"+",tabE.Flux[[#This Row],[MOTORISTA + MATRÍCULA A]],"+",tabE.Flux[[#This Row],[LINHA]])</f>
        <v>++</v>
      </c>
      <c r="F1587" s="1" t="str">
        <f>_xlfn.CONCAT(tabE.Flux[[#This Row],[DATA]],"+",tabE.Flux[[#This Row],[MOTORISTA + MATRÍCULA B]],"+",tabE.Flux[[#This Row],[LINHA]])</f>
        <v>++</v>
      </c>
      <c r="G1587" s="1" t="str">
        <f>_xlfn.CONCAT(tabE.Flux[[#This Row],[DATA]],"+",tabE.Flux[[#This Row],[LINHA]])</f>
        <v>+</v>
      </c>
      <c r="H1587" s="1"/>
      <c r="I1587" s="1"/>
      <c r="J1587" s="1"/>
      <c r="K1587" s="1"/>
      <c r="L1587" s="1"/>
      <c r="M1587" s="1"/>
      <c r="N1587" s="1"/>
      <c r="O1587" s="1"/>
      <c r="P1587" s="1"/>
      <c r="Q1587" s="1"/>
    </row>
    <row r="1588" spans="3:17" x14ac:dyDescent="0.25">
      <c r="C1588" s="1" t="str">
        <f>_xlfn.CONCAT(tabE.Flux[[#This Row],[DATA]],"+",tabE.Flux[[#This Row],[MOTORISTA + MATRÍCULA A]])</f>
        <v>45956+VALDIR NUNES DA SILVA - 2989</v>
      </c>
      <c r="D1588" s="1" t="str">
        <f>_xlfn.CONCAT(tabE.Flux[[#This Row],[DATA]],"+",tabE.Flux[[#This Row],[MOTORISTA + MATRÍCULA B]])</f>
        <v>45956+RAFAEL JOSE TOME DE LIMA - 5537</v>
      </c>
      <c r="E1588" s="1" t="str">
        <f>_xlfn.CONCAT(tabE.Flux[[#This Row],[DATA]],"+",tabE.Flux[[#This Row],[MOTORISTA + MATRÍCULA A]],"+",tabE.Flux[[#This Row],[LINHA]])</f>
        <v>45956+VALDIR NUNES DA SILVA - 2989+GOIANIA (GO) X BELEM (PA)</v>
      </c>
      <c r="F1588" s="1" t="str">
        <f>_xlfn.CONCAT(tabE.Flux[[#This Row],[DATA]],"+",tabE.Flux[[#This Row],[MOTORISTA + MATRÍCULA B]],"+",tabE.Flux[[#This Row],[LINHA]])</f>
        <v>45956+RAFAEL JOSE TOME DE LIMA - 5537+GOIANIA (GO) X BELEM (PA)</v>
      </c>
      <c r="G1588" s="1" t="str">
        <f>_xlfn.CONCAT(tabE.Flux[[#This Row],[DATA]],"+",tabE.Flux[[#This Row],[LINHA]])</f>
        <v>45956+GOIANIA (GO) X BELEM (PA)</v>
      </c>
      <c r="H1588" s="125">
        <v>45956</v>
      </c>
      <c r="I1588" s="1" t="s">
        <v>15</v>
      </c>
      <c r="J1588" s="1">
        <v>0</v>
      </c>
      <c r="K1588" s="126">
        <v>0.25486111111111109</v>
      </c>
      <c r="L1588" s="126">
        <v>0.3</v>
      </c>
      <c r="M1588" s="1" t="s">
        <v>16</v>
      </c>
      <c r="N1588" s="1" t="s">
        <v>17</v>
      </c>
      <c r="O1588" s="1" t="s">
        <v>134</v>
      </c>
      <c r="P1588" s="1" t="s">
        <v>181</v>
      </c>
      <c r="Q1588" s="1" t="s">
        <v>20</v>
      </c>
    </row>
    <row r="1589" spans="3:17" x14ac:dyDescent="0.25">
      <c r="C1589" s="1" t="str">
        <f>_xlfn.CONCAT(tabE.Flux[[#This Row],[DATA]],"+",tabE.Flux[[#This Row],[MOTORISTA + MATRÍCULA A]])</f>
        <v>45956+</v>
      </c>
      <c r="D1589" s="1" t="str">
        <f>_xlfn.CONCAT(tabE.Flux[[#This Row],[DATA]],"+",tabE.Flux[[#This Row],[MOTORISTA + MATRÍCULA B]])</f>
        <v>45956+</v>
      </c>
      <c r="E1589" s="1" t="str">
        <f>_xlfn.CONCAT(tabE.Flux[[#This Row],[DATA]],"+",tabE.Flux[[#This Row],[MOTORISTA + MATRÍCULA A]],"+",tabE.Flux[[#This Row],[LINHA]])</f>
        <v>45956++GOIANIA (GO) X SAO LUIS (MA)</v>
      </c>
      <c r="F1589" s="1" t="str">
        <f>_xlfn.CONCAT(tabE.Flux[[#This Row],[DATA]],"+",tabE.Flux[[#This Row],[MOTORISTA + MATRÍCULA B]],"+",tabE.Flux[[#This Row],[LINHA]])</f>
        <v>45956++GOIANIA (GO) X SAO LUIS (MA)</v>
      </c>
      <c r="G1589" s="1" t="str">
        <f>_xlfn.CONCAT(tabE.Flux[[#This Row],[DATA]],"+",tabE.Flux[[#This Row],[LINHA]])</f>
        <v>45956+GOIANIA (GO) X SAO LUIS (MA)</v>
      </c>
      <c r="H1589" s="125">
        <v>45956</v>
      </c>
      <c r="I1589" s="1" t="s">
        <v>15</v>
      </c>
      <c r="J1589" s="1">
        <v>0</v>
      </c>
      <c r="K1589" s="126">
        <v>0.32291666666666669</v>
      </c>
      <c r="L1589" s="126">
        <v>0.33333333333333331</v>
      </c>
      <c r="M1589" s="1" t="s">
        <v>16</v>
      </c>
      <c r="N1589" s="1" t="s">
        <v>17</v>
      </c>
      <c r="O1589" s="1"/>
      <c r="P1589" s="1"/>
      <c r="Q1589" s="1" t="s">
        <v>23</v>
      </c>
    </row>
    <row r="1590" spans="3:17" x14ac:dyDescent="0.25">
      <c r="C1590" s="1" t="str">
        <f>_xlfn.CONCAT(tabE.Flux[[#This Row],[DATA]],"+",tabE.Flux[[#This Row],[MOTORISTA + MATRÍCULA A]])</f>
        <v>45956+CLAUDIO JOSE DO NASCIMENTO - 549</v>
      </c>
      <c r="D1590" s="1" t="str">
        <f>_xlfn.CONCAT(tabE.Flux[[#This Row],[DATA]],"+",tabE.Flux[[#This Row],[MOTORISTA + MATRÍCULA B]])</f>
        <v>45956+COSME CAVALCANTE DA SILVA - 3002</v>
      </c>
      <c r="E1590" s="1" t="str">
        <f>_xlfn.CONCAT(tabE.Flux[[#This Row],[DATA]],"+",tabE.Flux[[#This Row],[MOTORISTA + MATRÍCULA A]],"+",tabE.Flux[[#This Row],[LINHA]])</f>
        <v>45956+CLAUDIO JOSE DO NASCIMENTO - 549+GOIANIA (GO) X TERESINA (PI) VIA STI</v>
      </c>
      <c r="F1590" s="1" t="str">
        <f>_xlfn.CONCAT(tabE.Flux[[#This Row],[DATA]],"+",tabE.Flux[[#This Row],[MOTORISTA + MATRÍCULA B]],"+",tabE.Flux[[#This Row],[LINHA]])</f>
        <v>45956+COSME CAVALCANTE DA SILVA - 3002+GOIANIA (GO) X TERESINA (PI) VIA STI</v>
      </c>
      <c r="G1590" s="1" t="str">
        <f>_xlfn.CONCAT(tabE.Flux[[#This Row],[DATA]],"+",tabE.Flux[[#This Row],[LINHA]])</f>
        <v>45956+GOIANIA (GO) X TERESINA (PI) VIA STI</v>
      </c>
      <c r="H1590" s="125">
        <v>45956</v>
      </c>
      <c r="I1590" s="1" t="s">
        <v>15</v>
      </c>
      <c r="J1590" s="1"/>
      <c r="K1590" s="126">
        <v>0.3888888888888889</v>
      </c>
      <c r="L1590" s="126">
        <v>0.39583333333333331</v>
      </c>
      <c r="M1590" s="1" t="s">
        <v>16</v>
      </c>
      <c r="N1590" s="1" t="s">
        <v>17</v>
      </c>
      <c r="O1590" s="1" t="s">
        <v>48</v>
      </c>
      <c r="P1590" s="1" t="s">
        <v>49</v>
      </c>
      <c r="Q1590" s="1" t="s">
        <v>26</v>
      </c>
    </row>
    <row r="1591" spans="3:17" x14ac:dyDescent="0.25">
      <c r="C1591" s="1" t="str">
        <f>_xlfn.CONCAT(tabE.Flux[[#This Row],[DATA]],"+",tabE.Flux[[#This Row],[MOTORISTA + MATRÍCULA A]])</f>
        <v>45956+</v>
      </c>
      <c r="D1591" s="1" t="str">
        <f>_xlfn.CONCAT(tabE.Flux[[#This Row],[DATA]],"+",tabE.Flux[[#This Row],[MOTORISTA + MATRÍCULA B]])</f>
        <v>45956+</v>
      </c>
      <c r="E1591" s="1" t="str">
        <f>_xlfn.CONCAT(tabE.Flux[[#This Row],[DATA]],"+",tabE.Flux[[#This Row],[MOTORISTA + MATRÍCULA A]],"+",tabE.Flux[[#This Row],[LINHA]])</f>
        <v>45956++IMPERATRIZ (MA) X VILA RICA (MT)</v>
      </c>
      <c r="F1591" s="1" t="str">
        <f>_xlfn.CONCAT(tabE.Flux[[#This Row],[DATA]],"+",tabE.Flux[[#This Row],[MOTORISTA + MATRÍCULA B]],"+",tabE.Flux[[#This Row],[LINHA]])</f>
        <v>45956++IMPERATRIZ (MA) X VILA RICA (MT)</v>
      </c>
      <c r="G1591" s="1" t="str">
        <f>_xlfn.CONCAT(tabE.Flux[[#This Row],[DATA]],"+",tabE.Flux[[#This Row],[LINHA]])</f>
        <v>45956+IMPERATRIZ (MA) X VILA RICA (MT)</v>
      </c>
      <c r="H1591" s="125">
        <v>45956</v>
      </c>
      <c r="I1591" s="1" t="s">
        <v>15</v>
      </c>
      <c r="J1591" s="1"/>
      <c r="K1591" s="126">
        <v>0.375</v>
      </c>
      <c r="L1591" s="126">
        <v>0.41666666666666669</v>
      </c>
      <c r="M1591" s="1" t="s">
        <v>16</v>
      </c>
      <c r="N1591" s="1" t="s">
        <v>28</v>
      </c>
      <c r="O1591" s="1"/>
      <c r="P1591" s="1"/>
      <c r="Q1591" s="1" t="s">
        <v>100</v>
      </c>
    </row>
    <row r="1592" spans="3:17" x14ac:dyDescent="0.25">
      <c r="C1592" s="1" t="str">
        <f>_xlfn.CONCAT(tabE.Flux[[#This Row],[DATA]],"+",tabE.Flux[[#This Row],[MOTORISTA + MATRÍCULA A]])</f>
        <v>45956+</v>
      </c>
      <c r="D1592" s="1" t="str">
        <f>_xlfn.CONCAT(tabE.Flux[[#This Row],[DATA]],"+",tabE.Flux[[#This Row],[MOTORISTA + MATRÍCULA B]])</f>
        <v>45956+</v>
      </c>
      <c r="E1592" s="1" t="str">
        <f>_xlfn.CONCAT(tabE.Flux[[#This Row],[DATA]],"+",tabE.Flux[[#This Row],[MOTORISTA + MATRÍCULA A]],"+",tabE.Flux[[#This Row],[LINHA]])</f>
        <v>45956++FORTALEZA (CE) X SINOP (MT)</v>
      </c>
      <c r="F1592" s="1" t="str">
        <f>_xlfn.CONCAT(tabE.Flux[[#This Row],[DATA]],"+",tabE.Flux[[#This Row],[MOTORISTA + MATRÍCULA B]],"+",tabE.Flux[[#This Row],[LINHA]])</f>
        <v>45956++FORTALEZA (CE) X SINOP (MT)</v>
      </c>
      <c r="G1592" s="1" t="str">
        <f>_xlfn.CONCAT(tabE.Flux[[#This Row],[DATA]],"+",tabE.Flux[[#This Row],[LINHA]])</f>
        <v>45956+FORTALEZA (CE) X SINOP (MT)</v>
      </c>
      <c r="H1592" s="125">
        <v>45956</v>
      </c>
      <c r="I1592" s="1" t="s">
        <v>15</v>
      </c>
      <c r="J1592" s="1"/>
      <c r="K1592" s="126">
        <v>0.3888888888888889</v>
      </c>
      <c r="L1592" s="126">
        <v>0.37708333333333333</v>
      </c>
      <c r="M1592" s="1" t="s">
        <v>16</v>
      </c>
      <c r="N1592" s="1" t="s">
        <v>29</v>
      </c>
      <c r="O1592" s="1"/>
      <c r="P1592" s="1"/>
      <c r="Q1592" s="1" t="s">
        <v>32</v>
      </c>
    </row>
    <row r="1593" spans="3:17" x14ac:dyDescent="0.25">
      <c r="C1593" s="1" t="str">
        <f>_xlfn.CONCAT(tabE.Flux[[#This Row],[DATA]],"+",tabE.Flux[[#This Row],[MOTORISTA + MATRÍCULA A]])</f>
        <v>45956+</v>
      </c>
      <c r="D1593" s="1" t="str">
        <f>_xlfn.CONCAT(tabE.Flux[[#This Row],[DATA]],"+",tabE.Flux[[#This Row],[MOTORISTA + MATRÍCULA B]])</f>
        <v>45956+</v>
      </c>
      <c r="E1593" s="1" t="str">
        <f>_xlfn.CONCAT(tabE.Flux[[#This Row],[DATA]],"+",tabE.Flux[[#This Row],[MOTORISTA + MATRÍCULA A]],"+",tabE.Flux[[#This Row],[LINHA]])</f>
        <v>45956++GOIANIA (GO) X BELEM (PA)</v>
      </c>
      <c r="F1593" s="1" t="str">
        <f>_xlfn.CONCAT(tabE.Flux[[#This Row],[DATA]],"+",tabE.Flux[[#This Row],[MOTORISTA + MATRÍCULA B]],"+",tabE.Flux[[#This Row],[LINHA]])</f>
        <v>45956++GOIANIA (GO) X BELEM (PA)</v>
      </c>
      <c r="G1593" s="1" t="str">
        <f>_xlfn.CONCAT(tabE.Flux[[#This Row],[DATA]],"+",tabE.Flux[[#This Row],[LINHA]])</f>
        <v>45956+GOIANIA (GO) X BELEM (PA)</v>
      </c>
      <c r="H1593" s="125">
        <v>45956</v>
      </c>
      <c r="I1593" s="1" t="s">
        <v>15</v>
      </c>
      <c r="J1593" s="1"/>
      <c r="K1593" s="126">
        <v>0.38958333333333334</v>
      </c>
      <c r="L1593" s="126">
        <v>0.38541666666666669</v>
      </c>
      <c r="M1593" s="1" t="s">
        <v>16</v>
      </c>
      <c r="N1593" s="1" t="s">
        <v>33</v>
      </c>
      <c r="O1593" s="1"/>
      <c r="P1593" s="1"/>
      <c r="Q1593" s="1" t="s">
        <v>20</v>
      </c>
    </row>
    <row r="1594" spans="3:17" x14ac:dyDescent="0.25">
      <c r="C1594" s="1" t="str">
        <f>_xlfn.CONCAT(tabE.Flux[[#This Row],[DATA]],"+",tabE.Flux[[#This Row],[MOTORISTA + MATRÍCULA A]])</f>
        <v>45956+</v>
      </c>
      <c r="D1594" s="1" t="str">
        <f>_xlfn.CONCAT(tabE.Flux[[#This Row],[DATA]],"+",tabE.Flux[[#This Row],[MOTORISTA + MATRÍCULA B]])</f>
        <v>45956+</v>
      </c>
      <c r="E1594" s="1" t="str">
        <f>_xlfn.CONCAT(tabE.Flux[[#This Row],[DATA]],"+",tabE.Flux[[#This Row],[MOTORISTA + MATRÍCULA A]],"+",tabE.Flux[[#This Row],[LINHA]])</f>
        <v>45956++GOIANIA (GO) X TERESINA (PI) VIA BC</v>
      </c>
      <c r="F1594" s="1" t="str">
        <f>_xlfn.CONCAT(tabE.Flux[[#This Row],[DATA]],"+",tabE.Flux[[#This Row],[MOTORISTA + MATRÍCULA B]],"+",tabE.Flux[[#This Row],[LINHA]])</f>
        <v>45956++GOIANIA (GO) X TERESINA (PI) VIA BC</v>
      </c>
      <c r="G1594" s="1" t="str">
        <f>_xlfn.CONCAT(tabE.Flux[[#This Row],[DATA]],"+",tabE.Flux[[#This Row],[LINHA]])</f>
        <v>45956+GOIANIA (GO) X TERESINA (PI) VIA BC</v>
      </c>
      <c r="H1594" s="125">
        <v>45956</v>
      </c>
      <c r="I1594" s="1" t="s">
        <v>15</v>
      </c>
      <c r="J1594" s="1"/>
      <c r="K1594" s="126">
        <v>0.375</v>
      </c>
      <c r="L1594" s="126">
        <v>0.39930555555555558</v>
      </c>
      <c r="M1594" s="1" t="s">
        <v>36</v>
      </c>
      <c r="N1594" s="1" t="s">
        <v>29</v>
      </c>
      <c r="O1594" s="1"/>
      <c r="P1594" s="1"/>
      <c r="Q1594" s="1" t="s">
        <v>39</v>
      </c>
    </row>
    <row r="1595" spans="3:17" x14ac:dyDescent="0.25">
      <c r="C1595" s="1" t="str">
        <f>_xlfn.CONCAT(tabE.Flux[[#This Row],[DATA]],"+",tabE.Flux[[#This Row],[MOTORISTA + MATRÍCULA A]])</f>
        <v>45956+</v>
      </c>
      <c r="D1595" s="1" t="str">
        <f>_xlfn.CONCAT(tabE.Flux[[#This Row],[DATA]],"+",tabE.Flux[[#This Row],[MOTORISTA + MATRÍCULA B]])</f>
        <v>45956+</v>
      </c>
      <c r="E1595" s="1" t="str">
        <f>_xlfn.CONCAT(tabE.Flux[[#This Row],[DATA]],"+",tabE.Flux[[#This Row],[MOTORISTA + MATRÍCULA A]],"+",tabE.Flux[[#This Row],[LINHA]])</f>
        <v>45956++GOIANIA (GO) X BELEM (PA)</v>
      </c>
      <c r="F1595" s="1" t="str">
        <f>_xlfn.CONCAT(tabE.Flux[[#This Row],[DATA]],"+",tabE.Flux[[#This Row],[MOTORISTA + MATRÍCULA B]],"+",tabE.Flux[[#This Row],[LINHA]])</f>
        <v>45956++GOIANIA (GO) X BELEM (PA)</v>
      </c>
      <c r="G1595" s="1" t="str">
        <f>_xlfn.CONCAT(tabE.Flux[[#This Row],[DATA]],"+",tabE.Flux[[#This Row],[LINHA]])</f>
        <v>45956+GOIANIA (GO) X BELEM (PA)</v>
      </c>
      <c r="H1595" s="125">
        <v>45956</v>
      </c>
      <c r="I1595" s="1" t="s">
        <v>15</v>
      </c>
      <c r="J1595" s="1"/>
      <c r="K1595" s="126">
        <v>0.375</v>
      </c>
      <c r="L1595" s="126">
        <v>0.41666666666666669</v>
      </c>
      <c r="M1595" s="1" t="s">
        <v>33</v>
      </c>
      <c r="N1595" s="1" t="s">
        <v>16</v>
      </c>
      <c r="O1595" s="1"/>
      <c r="P1595" s="1"/>
      <c r="Q1595" s="1" t="s">
        <v>20</v>
      </c>
    </row>
    <row r="1596" spans="3:17" x14ac:dyDescent="0.25">
      <c r="C1596" s="1" t="str">
        <f>_xlfn.CONCAT(tabE.Flux[[#This Row],[DATA]],"+",tabE.Flux[[#This Row],[MOTORISTA + MATRÍCULA A]])</f>
        <v>45956+</v>
      </c>
      <c r="D1596" s="1" t="str">
        <f>_xlfn.CONCAT(tabE.Flux[[#This Row],[DATA]],"+",tabE.Flux[[#This Row],[MOTORISTA + MATRÍCULA B]])</f>
        <v>45956+</v>
      </c>
      <c r="E1596" s="1" t="str">
        <f>_xlfn.CONCAT(tabE.Flux[[#This Row],[DATA]],"+",tabE.Flux[[#This Row],[MOTORISTA + MATRÍCULA A]],"+",tabE.Flux[[#This Row],[LINHA]])</f>
        <v>45956++GOIANIA (GO) X SAO LUIS (MA)</v>
      </c>
      <c r="F1596" s="1" t="str">
        <f>_xlfn.CONCAT(tabE.Flux[[#This Row],[DATA]],"+",tabE.Flux[[#This Row],[MOTORISTA + MATRÍCULA B]],"+",tabE.Flux[[#This Row],[LINHA]])</f>
        <v>45956++GOIANIA (GO) X SAO LUIS (MA)</v>
      </c>
      <c r="G1596" s="1" t="str">
        <f>_xlfn.CONCAT(tabE.Flux[[#This Row],[DATA]],"+",tabE.Flux[[#This Row],[LINHA]])</f>
        <v>45956+GOIANIA (GO) X SAO LUIS (MA)</v>
      </c>
      <c r="H1596" s="125">
        <v>45956</v>
      </c>
      <c r="I1596" s="1" t="s">
        <v>15</v>
      </c>
      <c r="J1596" s="1"/>
      <c r="K1596" s="126">
        <v>0.25</v>
      </c>
      <c r="L1596" s="126">
        <v>0.29166666666666669</v>
      </c>
      <c r="M1596" s="1" t="s">
        <v>42</v>
      </c>
      <c r="N1596" s="1" t="s">
        <v>16</v>
      </c>
      <c r="O1596" s="1"/>
      <c r="P1596" s="1"/>
      <c r="Q1596" s="1" t="s">
        <v>23</v>
      </c>
    </row>
    <row r="1597" spans="3:17" x14ac:dyDescent="0.25">
      <c r="C1597" s="1" t="str">
        <f>_xlfn.CONCAT(tabE.Flux[[#This Row],[DATA]],"+",tabE.Flux[[#This Row],[MOTORISTA + MATRÍCULA A]])</f>
        <v>45956+</v>
      </c>
      <c r="D1597" s="1" t="str">
        <f>_xlfn.CONCAT(tabE.Flux[[#This Row],[DATA]],"+",tabE.Flux[[#This Row],[MOTORISTA + MATRÍCULA B]])</f>
        <v>45956+</v>
      </c>
      <c r="E1597" s="1" t="str">
        <f>_xlfn.CONCAT(tabE.Flux[[#This Row],[DATA]],"+",tabE.Flux[[#This Row],[MOTORISTA + MATRÍCULA A]],"+",tabE.Flux[[#This Row],[LINHA]])</f>
        <v>45956++GOIANIA (GO) X SAO LUIS (MA)</v>
      </c>
      <c r="F1597" s="1" t="str">
        <f>_xlfn.CONCAT(tabE.Flux[[#This Row],[DATA]],"+",tabE.Flux[[#This Row],[MOTORISTA + MATRÍCULA B]],"+",tabE.Flux[[#This Row],[LINHA]])</f>
        <v>45956++GOIANIA (GO) X SAO LUIS (MA)</v>
      </c>
      <c r="G1597" s="1" t="str">
        <f>_xlfn.CONCAT(tabE.Flux[[#This Row],[DATA]],"+",tabE.Flux[[#This Row],[LINHA]])</f>
        <v>45956+GOIANIA (GO) X SAO LUIS (MA)</v>
      </c>
      <c r="H1597" s="125">
        <v>45956</v>
      </c>
      <c r="I1597" s="1" t="s">
        <v>15</v>
      </c>
      <c r="J1597" s="1"/>
      <c r="K1597" s="126">
        <v>0.75</v>
      </c>
      <c r="L1597" s="126">
        <v>0.79166666666666663</v>
      </c>
      <c r="M1597" s="1" t="s">
        <v>42</v>
      </c>
      <c r="N1597" s="1" t="s">
        <v>16</v>
      </c>
      <c r="O1597" s="1"/>
      <c r="P1597" s="1"/>
      <c r="Q1597" s="1" t="s">
        <v>23</v>
      </c>
    </row>
    <row r="1598" spans="3:17" x14ac:dyDescent="0.25">
      <c r="C1598" s="1" t="str">
        <f>_xlfn.CONCAT(tabE.Flux[[#This Row],[DATA]],"+",tabE.Flux[[#This Row],[MOTORISTA + MATRÍCULA A]])</f>
        <v>45956+</v>
      </c>
      <c r="D1598" s="1" t="str">
        <f>_xlfn.CONCAT(tabE.Flux[[#This Row],[DATA]],"+",tabE.Flux[[#This Row],[MOTORISTA + MATRÍCULA B]])</f>
        <v>45956+</v>
      </c>
      <c r="E1598" s="1" t="str">
        <f>_xlfn.CONCAT(tabE.Flux[[#This Row],[DATA]],"+",tabE.Flux[[#This Row],[MOTORISTA + MATRÍCULA A]],"+",tabE.Flux[[#This Row],[LINHA]])</f>
        <v>45956++IMPERATRIZ (MA) X SÃO LUIS (MA)</v>
      </c>
      <c r="F1598" s="1" t="str">
        <f>_xlfn.CONCAT(tabE.Flux[[#This Row],[DATA]],"+",tabE.Flux[[#This Row],[MOTORISTA + MATRÍCULA B]],"+",tabE.Flux[[#This Row],[LINHA]])</f>
        <v>45956++IMPERATRIZ (MA) X SÃO LUIS (MA)</v>
      </c>
      <c r="G1598" s="1" t="str">
        <f>_xlfn.CONCAT(tabE.Flux[[#This Row],[DATA]],"+",tabE.Flux[[#This Row],[LINHA]])</f>
        <v>45956+IMPERATRIZ (MA) X SÃO LUIS (MA)</v>
      </c>
      <c r="H1598" s="125">
        <v>45956</v>
      </c>
      <c r="I1598" s="1" t="s">
        <v>15</v>
      </c>
      <c r="J1598" s="1"/>
      <c r="K1598" s="126">
        <v>0.77083333333333337</v>
      </c>
      <c r="L1598" s="126">
        <v>0.79513888888888884</v>
      </c>
      <c r="M1598" s="1" t="s">
        <v>42</v>
      </c>
      <c r="N1598" s="1" t="s">
        <v>16</v>
      </c>
      <c r="O1598" s="1"/>
      <c r="P1598" s="1"/>
      <c r="Q1598" s="1" t="s">
        <v>47</v>
      </c>
    </row>
    <row r="1599" spans="3:17" x14ac:dyDescent="0.25">
      <c r="C1599" s="1" t="str">
        <f>_xlfn.CONCAT(tabE.Flux[[#This Row],[DATA]],"+",tabE.Flux[[#This Row],[MOTORISTA + MATRÍCULA A]])</f>
        <v>45956+RICARDO VIEIRA GERVASIO - 5297</v>
      </c>
      <c r="D1599" s="1" t="str">
        <f>_xlfn.CONCAT(tabE.Flux[[#This Row],[DATA]],"+",tabE.Flux[[#This Row],[MOTORISTA + MATRÍCULA B]])</f>
        <v>45956+JOSE ATAZ QUINTINO - 6048</v>
      </c>
      <c r="E1599" s="1" t="str">
        <f>_xlfn.CONCAT(tabE.Flux[[#This Row],[DATA]],"+",tabE.Flux[[#This Row],[MOTORISTA + MATRÍCULA A]],"+",tabE.Flux[[#This Row],[LINHA]])</f>
        <v>45956+RICARDO VIEIRA GERVASIO - 5297+GOIANIA (GO) X TERESINA (PI) VIA BC</v>
      </c>
      <c r="F1599" s="1" t="str">
        <f>_xlfn.CONCAT(tabE.Flux[[#This Row],[DATA]],"+",tabE.Flux[[#This Row],[MOTORISTA + MATRÍCULA B]],"+",tabE.Flux[[#This Row],[LINHA]])</f>
        <v>45956+JOSE ATAZ QUINTINO - 6048+GOIANIA (GO) X TERESINA (PI) VIA BC</v>
      </c>
      <c r="G1599" s="1" t="str">
        <f>_xlfn.CONCAT(tabE.Flux[[#This Row],[DATA]],"+",tabE.Flux[[#This Row],[LINHA]])</f>
        <v>45956+GOIANIA (GO) X TERESINA (PI) VIA BC</v>
      </c>
      <c r="H1599" s="125">
        <v>45956</v>
      </c>
      <c r="I1599" s="1" t="s">
        <v>15</v>
      </c>
      <c r="J1599" s="1"/>
      <c r="K1599" s="126">
        <v>0.89583333333333337</v>
      </c>
      <c r="L1599" s="126">
        <v>0.91666666666666663</v>
      </c>
      <c r="M1599" s="1" t="s">
        <v>36</v>
      </c>
      <c r="N1599" s="1" t="s">
        <v>17</v>
      </c>
      <c r="O1599" s="1" t="s">
        <v>203</v>
      </c>
      <c r="P1599" s="1" t="s">
        <v>202</v>
      </c>
      <c r="Q1599" s="1" t="s">
        <v>39</v>
      </c>
    </row>
    <row r="1600" spans="3:17" x14ac:dyDescent="0.25">
      <c r="C1600" s="1" t="str">
        <f>_xlfn.CONCAT(tabE.Flux[[#This Row],[DATA]],"+",tabE.Flux[[#This Row],[MOTORISTA + MATRÍCULA A]])</f>
        <v>45956+</v>
      </c>
      <c r="D1600" s="1" t="str">
        <f>_xlfn.CONCAT(tabE.Flux[[#This Row],[DATA]],"+",tabE.Flux[[#This Row],[MOTORISTA + MATRÍCULA B]])</f>
        <v>45956+</v>
      </c>
      <c r="E1600" s="1" t="str">
        <f>_xlfn.CONCAT(tabE.Flux[[#This Row],[DATA]],"+",tabE.Flux[[#This Row],[MOTORISTA + MATRÍCULA A]],"+",tabE.Flux[[#This Row],[LINHA]])</f>
        <v>45956++GOIANIA (GO) X BELEM (PA)</v>
      </c>
      <c r="F1600" s="1" t="str">
        <f>_xlfn.CONCAT(tabE.Flux[[#This Row],[DATA]],"+",tabE.Flux[[#This Row],[MOTORISTA + MATRÍCULA B]],"+",tabE.Flux[[#This Row],[LINHA]])</f>
        <v>45956++GOIANIA (GO) X BELEM (PA)</v>
      </c>
      <c r="G1600" s="1" t="str">
        <f>_xlfn.CONCAT(tabE.Flux[[#This Row],[DATA]],"+",tabE.Flux[[#This Row],[LINHA]])</f>
        <v>45956+GOIANIA (GO) X BELEM (PA)</v>
      </c>
      <c r="H1600" s="125">
        <v>45956</v>
      </c>
      <c r="I1600" s="1" t="s">
        <v>15</v>
      </c>
      <c r="J1600" s="1"/>
      <c r="K1600" s="126">
        <v>0.76041666666666663</v>
      </c>
      <c r="L1600" s="126">
        <v>0.77083333333333337</v>
      </c>
      <c r="M1600" s="1" t="s">
        <v>33</v>
      </c>
      <c r="N1600" s="1" t="s">
        <v>16</v>
      </c>
      <c r="O1600" s="1"/>
      <c r="P1600" s="1"/>
      <c r="Q1600" s="1" t="s">
        <v>20</v>
      </c>
    </row>
    <row r="1601" spans="3:17" x14ac:dyDescent="0.25">
      <c r="C1601" s="1" t="str">
        <f>_xlfn.CONCAT(tabE.Flux[[#This Row],[DATA]],"+",tabE.Flux[[#This Row],[MOTORISTA + MATRÍCULA A]])</f>
        <v>45956+</v>
      </c>
      <c r="D1601" s="1" t="str">
        <f>_xlfn.CONCAT(tabE.Flux[[#This Row],[DATA]],"+",tabE.Flux[[#This Row],[MOTORISTA + MATRÍCULA B]])</f>
        <v>45956+</v>
      </c>
      <c r="E1601" s="1" t="str">
        <f>_xlfn.CONCAT(tabE.Flux[[#This Row],[DATA]],"+",tabE.Flux[[#This Row],[MOTORISTA + MATRÍCULA A]],"+",tabE.Flux[[#This Row],[LINHA]])</f>
        <v>45956++GOIANIA (GO) X BELEM (PA)</v>
      </c>
      <c r="F1601" s="1" t="str">
        <f>_xlfn.CONCAT(tabE.Flux[[#This Row],[DATA]],"+",tabE.Flux[[#This Row],[MOTORISTA + MATRÍCULA B]],"+",tabE.Flux[[#This Row],[LINHA]])</f>
        <v>45956++GOIANIA (GO) X BELEM (PA)</v>
      </c>
      <c r="G1601" s="1" t="str">
        <f>_xlfn.CONCAT(tabE.Flux[[#This Row],[DATA]],"+",tabE.Flux[[#This Row],[LINHA]])</f>
        <v>45956+GOIANIA (GO) X BELEM (PA)</v>
      </c>
      <c r="H1601" s="125">
        <v>45956</v>
      </c>
      <c r="I1601" s="1" t="s">
        <v>15</v>
      </c>
      <c r="J1601" s="1"/>
      <c r="K1601" s="126">
        <v>0.76041666666666663</v>
      </c>
      <c r="L1601" s="126">
        <v>0.82777777777777772</v>
      </c>
      <c r="M1601" s="1" t="s">
        <v>16</v>
      </c>
      <c r="N1601" s="1" t="s">
        <v>33</v>
      </c>
      <c r="O1601" s="1"/>
      <c r="P1601" s="1"/>
      <c r="Q1601" s="1" t="s">
        <v>20</v>
      </c>
    </row>
    <row r="1602" spans="3:17" x14ac:dyDescent="0.25">
      <c r="C1602" s="1" t="str">
        <f>_xlfn.CONCAT(tabE.Flux[[#This Row],[DATA]],"+",tabE.Flux[[#This Row],[MOTORISTA + MATRÍCULA A]])</f>
        <v>45956+</v>
      </c>
      <c r="D1602" s="1" t="str">
        <f>_xlfn.CONCAT(tabE.Flux[[#This Row],[DATA]],"+",tabE.Flux[[#This Row],[MOTORISTA + MATRÍCULA B]])</f>
        <v>45956+</v>
      </c>
      <c r="E1602" s="1" t="str">
        <f>_xlfn.CONCAT(tabE.Flux[[#This Row],[DATA]],"+",tabE.Flux[[#This Row],[MOTORISTA + MATRÍCULA A]],"+",tabE.Flux[[#This Row],[LINHA]])</f>
        <v>45956++GOIANIA (GO) X SAO LUIS (MA)</v>
      </c>
      <c r="F1602" s="1" t="str">
        <f>_xlfn.CONCAT(tabE.Flux[[#This Row],[DATA]],"+",tabE.Flux[[#This Row],[MOTORISTA + MATRÍCULA B]],"+",tabE.Flux[[#This Row],[LINHA]])</f>
        <v>45956++GOIANIA (GO) X SAO LUIS (MA)</v>
      </c>
      <c r="G1602" s="1" t="str">
        <f>_xlfn.CONCAT(tabE.Flux[[#This Row],[DATA]],"+",tabE.Flux[[#This Row],[LINHA]])</f>
        <v>45956+GOIANIA (GO) X SAO LUIS (MA)</v>
      </c>
      <c r="H1602" s="125">
        <v>45956</v>
      </c>
      <c r="I1602" s="1" t="s">
        <v>15</v>
      </c>
      <c r="J1602" s="1"/>
      <c r="K1602" s="126">
        <v>0.40763888888888888</v>
      </c>
      <c r="L1602" s="126">
        <v>0.47013888888888888</v>
      </c>
      <c r="M1602" s="1" t="s">
        <v>16</v>
      </c>
      <c r="N1602" s="1" t="s">
        <v>42</v>
      </c>
      <c r="O1602" s="1"/>
      <c r="P1602" s="1"/>
      <c r="Q1602" s="1" t="s">
        <v>23</v>
      </c>
    </row>
    <row r="1603" spans="3:17" x14ac:dyDescent="0.25">
      <c r="C1603" s="1" t="str">
        <f>_xlfn.CONCAT(tabE.Flux[[#This Row],[DATA]],"+",tabE.Flux[[#This Row],[MOTORISTA + MATRÍCULA A]])</f>
        <v>45956+</v>
      </c>
      <c r="D1603" s="1" t="str">
        <f>_xlfn.CONCAT(tabE.Flux[[#This Row],[DATA]],"+",tabE.Flux[[#This Row],[MOTORISTA + MATRÍCULA B]])</f>
        <v>45956+</v>
      </c>
      <c r="E1603" s="1" t="str">
        <f>_xlfn.CONCAT(tabE.Flux[[#This Row],[DATA]],"+",tabE.Flux[[#This Row],[MOTORISTA + MATRÍCULA A]],"+",tabE.Flux[[#This Row],[LINHA]])</f>
        <v>45956++IMPERATRIZ (MA) X SÃO LUIS (MA)</v>
      </c>
      <c r="F1603" s="1" t="str">
        <f>_xlfn.CONCAT(tabE.Flux[[#This Row],[DATA]],"+",tabE.Flux[[#This Row],[MOTORISTA + MATRÍCULA B]],"+",tabE.Flux[[#This Row],[LINHA]])</f>
        <v>45956++IMPERATRIZ (MA) X SÃO LUIS (MA)</v>
      </c>
      <c r="G1603" s="1" t="str">
        <f>_xlfn.CONCAT(tabE.Flux[[#This Row],[DATA]],"+",tabE.Flux[[#This Row],[LINHA]])</f>
        <v>45956+IMPERATRIZ (MA) X SÃO LUIS (MA)</v>
      </c>
      <c r="H1603" s="125">
        <v>45956</v>
      </c>
      <c r="I1603" s="1" t="s">
        <v>15</v>
      </c>
      <c r="J1603" s="1"/>
      <c r="K1603" s="126">
        <v>0.77083333333333337</v>
      </c>
      <c r="L1603" s="126">
        <v>0.8125</v>
      </c>
      <c r="M1603" s="1" t="s">
        <v>16</v>
      </c>
      <c r="N1603" s="1" t="s">
        <v>42</v>
      </c>
      <c r="O1603" s="1"/>
      <c r="P1603" s="1"/>
      <c r="Q1603" s="1" t="s">
        <v>47</v>
      </c>
    </row>
    <row r="1604" spans="3:17" x14ac:dyDescent="0.25">
      <c r="C1604" s="1" t="str">
        <f>_xlfn.CONCAT(tabE.Flux[[#This Row],[DATA]],"+",tabE.Flux[[#This Row],[MOTORISTA + MATRÍCULA A]])</f>
        <v>45956+</v>
      </c>
      <c r="D1604" s="1" t="str">
        <f>_xlfn.CONCAT(tabE.Flux[[#This Row],[DATA]],"+",tabE.Flux[[#This Row],[MOTORISTA + MATRÍCULA B]])</f>
        <v>45956+</v>
      </c>
      <c r="E1604" s="1" t="str">
        <f>_xlfn.CONCAT(tabE.Flux[[#This Row],[DATA]],"+",tabE.Flux[[#This Row],[MOTORISTA + MATRÍCULA A]],"+",tabE.Flux[[#This Row],[LINHA]])</f>
        <v>45956++GOIANIA (GO) X SAO LUIS (MA)</v>
      </c>
      <c r="F1604" s="1" t="str">
        <f>_xlfn.CONCAT(tabE.Flux[[#This Row],[DATA]],"+",tabE.Flux[[#This Row],[MOTORISTA + MATRÍCULA B]],"+",tabE.Flux[[#This Row],[LINHA]])</f>
        <v>45956++GOIANIA (GO) X SAO LUIS (MA)</v>
      </c>
      <c r="G1604" s="1" t="str">
        <f>_xlfn.CONCAT(tabE.Flux[[#This Row],[DATA]],"+",tabE.Flux[[#This Row],[LINHA]])</f>
        <v>45956+GOIANIA (GO) X SAO LUIS (MA)</v>
      </c>
      <c r="H1604" s="125">
        <v>45956</v>
      </c>
      <c r="I1604" s="1" t="s">
        <v>15</v>
      </c>
      <c r="J1604" s="1"/>
      <c r="K1604" s="126">
        <v>0.8125</v>
      </c>
      <c r="L1604" s="126">
        <v>0.84375</v>
      </c>
      <c r="M1604" s="1" t="s">
        <v>16</v>
      </c>
      <c r="N1604" s="1" t="s">
        <v>42</v>
      </c>
      <c r="O1604" s="1"/>
      <c r="P1604" s="1"/>
      <c r="Q1604" s="1" t="s">
        <v>23</v>
      </c>
    </row>
    <row r="1605" spans="3:17" x14ac:dyDescent="0.25">
      <c r="C1605" s="1" t="str">
        <f>_xlfn.CONCAT(tabE.Flux[[#This Row],[DATA]],"+",tabE.Flux[[#This Row],[MOTORISTA + MATRÍCULA A]])</f>
        <v>45956+</v>
      </c>
      <c r="D1605" s="1" t="str">
        <f>_xlfn.CONCAT(tabE.Flux[[#This Row],[DATA]],"+",tabE.Flux[[#This Row],[MOTORISTA + MATRÍCULA B]])</f>
        <v>45956+</v>
      </c>
      <c r="E1605" s="1" t="str">
        <f>_xlfn.CONCAT(tabE.Flux[[#This Row],[DATA]],"+",tabE.Flux[[#This Row],[MOTORISTA + MATRÍCULA A]],"+",tabE.Flux[[#This Row],[LINHA]])</f>
        <v>45956++GOIANIA (GO) X TERESINA (PI) VIA STI</v>
      </c>
      <c r="F1605" s="1" t="str">
        <f>_xlfn.CONCAT(tabE.Flux[[#This Row],[DATA]],"+",tabE.Flux[[#This Row],[MOTORISTA + MATRÍCULA B]],"+",tabE.Flux[[#This Row],[LINHA]])</f>
        <v>45956++GOIANIA (GO) X TERESINA (PI) VIA STI</v>
      </c>
      <c r="G1605" s="1" t="str">
        <f>_xlfn.CONCAT(tabE.Flux[[#This Row],[DATA]],"+",tabE.Flux[[#This Row],[LINHA]])</f>
        <v>45956+GOIANIA (GO) X TERESINA (PI) VIA STI</v>
      </c>
      <c r="H1605" s="125">
        <v>45956</v>
      </c>
      <c r="I1605" s="1" t="s">
        <v>15</v>
      </c>
      <c r="J1605" s="1"/>
      <c r="K1605" s="126">
        <v>0.77083333333333337</v>
      </c>
      <c r="L1605" s="126">
        <v>0.79861111111111116</v>
      </c>
      <c r="M1605" s="1" t="s">
        <v>16</v>
      </c>
      <c r="N1605" s="1" t="s">
        <v>29</v>
      </c>
      <c r="O1605" s="1"/>
      <c r="P1605" s="1"/>
      <c r="Q1605" s="1" t="s">
        <v>26</v>
      </c>
    </row>
    <row r="1606" spans="3:17" x14ac:dyDescent="0.25">
      <c r="C1606" s="1" t="str">
        <f>_xlfn.CONCAT(tabE.Flux[[#This Row],[DATA]],"+",tabE.Flux[[#This Row],[MOTORISTA + MATRÍCULA A]])</f>
        <v>45956+</v>
      </c>
      <c r="D1606" s="1" t="str">
        <f>_xlfn.CONCAT(tabE.Flux[[#This Row],[DATA]],"+",tabE.Flux[[#This Row],[MOTORISTA + MATRÍCULA B]])</f>
        <v>45956+</v>
      </c>
      <c r="E1606" s="1" t="str">
        <f>_xlfn.CONCAT(tabE.Flux[[#This Row],[DATA]],"+",tabE.Flux[[#This Row],[MOTORISTA + MATRÍCULA A]],"+",tabE.Flux[[#This Row],[LINHA]])</f>
        <v>45956++GOIANIA (GO) X SAO LUIS (MA)</v>
      </c>
      <c r="F1606" s="1" t="str">
        <f>_xlfn.CONCAT(tabE.Flux[[#This Row],[DATA]],"+",tabE.Flux[[#This Row],[MOTORISTA + MATRÍCULA B]],"+",tabE.Flux[[#This Row],[LINHA]])</f>
        <v>45956++GOIANIA (GO) X SAO LUIS (MA)</v>
      </c>
      <c r="G1606" s="1" t="str">
        <f>_xlfn.CONCAT(tabE.Flux[[#This Row],[DATA]],"+",tabE.Flux[[#This Row],[LINHA]])</f>
        <v>45956+GOIANIA (GO) X SAO LUIS (MA)</v>
      </c>
      <c r="H1606" s="125">
        <v>45956</v>
      </c>
      <c r="I1606" s="1" t="s">
        <v>15</v>
      </c>
      <c r="J1606" s="1">
        <v>0</v>
      </c>
      <c r="K1606" s="126">
        <v>0.8125</v>
      </c>
      <c r="L1606" s="126">
        <v>0.84166666666666667</v>
      </c>
      <c r="M1606" s="1" t="s">
        <v>16</v>
      </c>
      <c r="N1606" s="1" t="s">
        <v>17</v>
      </c>
      <c r="O1606" s="1"/>
      <c r="P1606" s="1"/>
      <c r="Q1606" s="1" t="s">
        <v>23</v>
      </c>
    </row>
    <row r="1607" spans="3:17" x14ac:dyDescent="0.25">
      <c r="C1607" s="1" t="str">
        <f>_xlfn.CONCAT(tabE.Flux[[#This Row],[DATA]],"+",tabE.Flux[[#This Row],[MOTORISTA + MATRÍCULA A]])</f>
        <v>45956+VALDIVINO GONCALVES DA SILVA - 5724</v>
      </c>
      <c r="D1607" s="1" t="str">
        <f>_xlfn.CONCAT(tabE.Flux[[#This Row],[DATA]],"+",tabE.Flux[[#This Row],[MOTORISTA + MATRÍCULA B]])</f>
        <v>45956+ESLEI LOPES CHAVES - 2689</v>
      </c>
      <c r="E1607" s="1" t="str">
        <f>_xlfn.CONCAT(tabE.Flux[[#This Row],[DATA]],"+",tabE.Flux[[#This Row],[MOTORISTA + MATRÍCULA A]],"+",tabE.Flux[[#This Row],[LINHA]])</f>
        <v>45956+VALDIVINO GONCALVES DA SILVA - 5724+FORTALEZA (CE) X SINOP (MT)</v>
      </c>
      <c r="F1607" s="1" t="str">
        <f>_xlfn.CONCAT(tabE.Flux[[#This Row],[DATA]],"+",tabE.Flux[[#This Row],[MOTORISTA + MATRÍCULA B]],"+",tabE.Flux[[#This Row],[LINHA]])</f>
        <v>45956+ESLEI LOPES CHAVES - 2689+FORTALEZA (CE) X SINOP (MT)</v>
      </c>
      <c r="G1607" s="1" t="str">
        <f>_xlfn.CONCAT(tabE.Flux[[#This Row],[DATA]],"+",tabE.Flux[[#This Row],[LINHA]])</f>
        <v>45956+FORTALEZA (CE) X SINOP (MT)</v>
      </c>
      <c r="H1607" s="125">
        <v>45956</v>
      </c>
      <c r="I1607" s="1" t="s">
        <v>15</v>
      </c>
      <c r="J1607" s="1"/>
      <c r="K1607" s="126">
        <v>0.8125</v>
      </c>
      <c r="L1607" s="126">
        <v>0.85416666666666663</v>
      </c>
      <c r="M1607" s="1" t="s">
        <v>16</v>
      </c>
      <c r="N1607" s="1" t="s">
        <v>17</v>
      </c>
      <c r="O1607" s="1" t="s">
        <v>168</v>
      </c>
      <c r="P1607" s="1" t="s">
        <v>146</v>
      </c>
      <c r="Q1607" s="1" t="s">
        <v>32</v>
      </c>
    </row>
    <row r="1608" spans="3:17" x14ac:dyDescent="0.25">
      <c r="C1608" s="1" t="str">
        <f>_xlfn.CONCAT(tabE.Flux[[#This Row],[DATA]],"+",tabE.Flux[[#This Row],[MOTORISTA + MATRÍCULA A]])</f>
        <v>45956+</v>
      </c>
      <c r="D1608" s="1" t="str">
        <f>_xlfn.CONCAT(tabE.Flux[[#This Row],[DATA]],"+",tabE.Flux[[#This Row],[MOTORISTA + MATRÍCULA B]])</f>
        <v>45956+</v>
      </c>
      <c r="E1608" s="1" t="str">
        <f>_xlfn.CONCAT(tabE.Flux[[#This Row],[DATA]],"+",tabE.Flux[[#This Row],[MOTORISTA + MATRÍCULA A]],"+",tabE.Flux[[#This Row],[LINHA]])</f>
        <v>45956++GOIANIA (GO) X BELEM (PA)</v>
      </c>
      <c r="F1608" s="1" t="str">
        <f>_xlfn.CONCAT(tabE.Flux[[#This Row],[DATA]],"+",tabE.Flux[[#This Row],[MOTORISTA + MATRÍCULA B]],"+",tabE.Flux[[#This Row],[LINHA]])</f>
        <v>45956++GOIANIA (GO) X BELEM (PA)</v>
      </c>
      <c r="G1608" s="1" t="str">
        <f>_xlfn.CONCAT(tabE.Flux[[#This Row],[DATA]],"+",tabE.Flux[[#This Row],[LINHA]])</f>
        <v>45956+GOIANIA (GO) X BELEM (PA)</v>
      </c>
      <c r="H1608" s="125">
        <v>45956</v>
      </c>
      <c r="I1608" s="1" t="s">
        <v>15</v>
      </c>
      <c r="J1608" s="1">
        <v>0</v>
      </c>
      <c r="K1608" s="126">
        <v>0.84722222222222221</v>
      </c>
      <c r="L1608" s="126">
        <v>0.87847222222222221</v>
      </c>
      <c r="M1608" s="1" t="s">
        <v>16</v>
      </c>
      <c r="N1608" s="1" t="s">
        <v>17</v>
      </c>
      <c r="O1608" s="1"/>
      <c r="P1608" s="1"/>
      <c r="Q1608" s="1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D407-FD47-424E-82E8-C6B8E2AF8BDC}">
  <sheetPr>
    <tabColor theme="7"/>
  </sheetPr>
  <dimension ref="A1:AB379"/>
  <sheetViews>
    <sheetView topLeftCell="B194" zoomScaleNormal="100" workbookViewId="0">
      <selection activeCell="U279" sqref="U279"/>
    </sheetView>
  </sheetViews>
  <sheetFormatPr defaultColWidth="9.140625" defaultRowHeight="15" x14ac:dyDescent="0.25"/>
  <cols>
    <col min="1" max="1" width="32.7109375" customWidth="1"/>
    <col min="2" max="2" width="11.5703125" customWidth="1"/>
    <col min="3" max="3" width="3.7109375" style="6" customWidth="1"/>
    <col min="4" max="4" width="54.7109375" style="6" hidden="1" customWidth="1"/>
    <col min="5" max="6" width="33.5703125" style="6" hidden="1" customWidth="1"/>
    <col min="7" max="7" width="22.7109375" style="6" hidden="1" customWidth="1"/>
    <col min="8" max="8" width="48.5703125" style="6" hidden="1" customWidth="1"/>
    <col min="9" max="9" width="33.5703125" style="6" hidden="1" customWidth="1"/>
    <col min="10" max="10" width="31" style="6" hidden="1" customWidth="1"/>
    <col min="11" max="11" width="26" style="6" hidden="1" customWidth="1"/>
    <col min="12" max="12" width="54.7109375" style="6" hidden="1" customWidth="1"/>
    <col min="13" max="13" width="27" style="6" hidden="1" customWidth="1"/>
    <col min="14" max="14" width="33.5703125" style="6" hidden="1" customWidth="1"/>
    <col min="15" max="15" width="26.85546875" style="6" hidden="1" customWidth="1"/>
    <col min="16" max="16" width="33.5703125" style="6" hidden="1" customWidth="1"/>
    <col min="17" max="17" width="88.28515625" style="6" hidden="1" customWidth="1"/>
    <col min="18" max="18" width="18.7109375" style="6" hidden="1" customWidth="1"/>
    <col min="19" max="19" width="20.28515625" style="6" hidden="1" customWidth="1"/>
    <col min="20" max="20" width="13.7109375" customWidth="1"/>
    <col min="21" max="21" width="9.7109375" customWidth="1"/>
    <col min="22" max="22" width="11.7109375" bestFit="1" customWidth="1"/>
    <col min="23" max="23" width="13.5703125" bestFit="1" customWidth="1"/>
    <col min="24" max="24" width="53.5703125" bestFit="1" customWidth="1"/>
    <col min="25" max="25" width="8.5703125" customWidth="1"/>
    <col min="26" max="26" width="8.42578125" customWidth="1"/>
    <col min="27" max="27" width="35.140625" bestFit="1" customWidth="1"/>
    <col min="29" max="16384" width="9.140625" style="22"/>
  </cols>
  <sheetData>
    <row r="1" spans="2:27" ht="11.25" hidden="1" customHeight="1" x14ac:dyDescent="0.25"/>
    <row r="2" spans="2:27" ht="11.25" hidden="1" customHeight="1" x14ac:dyDescent="0.25">
      <c r="T2" s="163" t="s">
        <v>274</v>
      </c>
      <c r="U2" s="163"/>
      <c r="V2" s="163"/>
      <c r="W2" s="163"/>
      <c r="X2" s="163"/>
      <c r="Y2" s="163"/>
      <c r="Z2" s="163"/>
      <c r="AA2" s="163"/>
    </row>
    <row r="3" spans="2:27" ht="11.25" customHeight="1" x14ac:dyDescent="0.25"/>
    <row r="4" spans="2:27" x14ac:dyDescent="0.25"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5"/>
      <c r="T4" s="166" t="s">
        <v>275</v>
      </c>
      <c r="U4" s="166"/>
      <c r="V4" s="166"/>
      <c r="W4" s="166"/>
      <c r="X4" s="166"/>
      <c r="Y4" s="166"/>
      <c r="Z4" s="166"/>
      <c r="AA4" s="166"/>
    </row>
    <row r="5" spans="2:27" x14ac:dyDescent="0.25">
      <c r="B5" s="119"/>
      <c r="C5" s="156" t="s">
        <v>276</v>
      </c>
      <c r="D5" s="132" t="s">
        <v>277</v>
      </c>
      <c r="E5" s="133" t="s">
        <v>278</v>
      </c>
      <c r="F5" s="134" t="s">
        <v>279</v>
      </c>
      <c r="G5" s="135" t="s">
        <v>280</v>
      </c>
      <c r="H5" s="136" t="s">
        <v>281</v>
      </c>
      <c r="I5" s="133" t="s">
        <v>282</v>
      </c>
      <c r="J5" s="134" t="s">
        <v>283</v>
      </c>
      <c r="K5" s="135" t="s">
        <v>284</v>
      </c>
      <c r="L5" s="137" t="s">
        <v>285</v>
      </c>
      <c r="M5" s="134" t="s">
        <v>286</v>
      </c>
      <c r="N5" s="134" t="s">
        <v>287</v>
      </c>
      <c r="O5" s="135" t="s">
        <v>288</v>
      </c>
      <c r="P5" s="135" t="s">
        <v>289</v>
      </c>
      <c r="Q5" s="75" t="s">
        <v>290</v>
      </c>
      <c r="R5" s="67" t="s">
        <v>291</v>
      </c>
      <c r="S5" s="138" t="s">
        <v>292</v>
      </c>
      <c r="T5" s="122" t="s">
        <v>5</v>
      </c>
      <c r="U5" s="122" t="s">
        <v>7</v>
      </c>
      <c r="V5" s="122" t="s">
        <v>293</v>
      </c>
      <c r="W5" s="122" t="s">
        <v>294</v>
      </c>
      <c r="X5" s="122" t="s">
        <v>295</v>
      </c>
      <c r="Y5" s="122" t="s">
        <v>296</v>
      </c>
      <c r="Z5" s="122" t="s">
        <v>297</v>
      </c>
      <c r="AA5" s="122" t="s">
        <v>14</v>
      </c>
    </row>
    <row r="6" spans="2:27" hidden="1" x14ac:dyDescent="0.25">
      <c r="B6" s="7"/>
      <c r="C6" s="139" t="s">
        <v>298</v>
      </c>
      <c r="D6" s="56" t="str">
        <f>IF(tabAlmoco[[#This Row],[MOTORISTA]]="","",_xlfn.CONCAT(tabAlmoco[[#This Row],[DATA]],"+",tabAlmoco[[#This Row],[MOTORISTA]]))</f>
        <v>45885+JOAO DE JESUS GOUVEIA - 6016</v>
      </c>
      <c r="E6" s="56" t="str">
        <f>_xlfn.XLOOKUP(autocompAlmoco[[#This Row],[COMP ESCALA ATUAL]],tabE.Flux[COMP.AT. MOT A],tabE.Flux[LINHA],"NÃO",0,1)</f>
        <v>NÃO</v>
      </c>
      <c r="F6" s="56" t="str">
        <f>_xlfn.XLOOKUP(autocompAlmoco[[#This Row],[COMP ESCALA ATUAL]],tabE.Flux[COMP.AT. MOT B],tabE.Flux[LINHA],"NÃO",0,1)</f>
        <v>GOIANIA (GO) X SAO LUIS (MA)</v>
      </c>
      <c r="G6" s="61" t="str">
        <f>IF(AND(autocompAlmoco[[#This Row],[EXISTE MOT A AT]]="NÃO", autocompAlmoco[[#This Row],[EXISTE MOT B AT]]="NÃO"),"NÃO","SIM")</f>
        <v>SIM</v>
      </c>
      <c r="H6" s="71" t="str">
        <f>IF(autocompAlmoco[[#This Row],[EXISTE ESCALA ATUAL]]="NÃO",_xlfn.CONCAT(tabAlmoco[[#This Row],[DATA]]-1,"+",tabAlmoco[[#This Row],[MOTORISTA]]),"NÃO")</f>
        <v>NÃO</v>
      </c>
      <c r="I6" s="57" t="str">
        <f>IF(autocompAlmoco[[#This Row],[COMP ESCALA ANTERIOR]]="NÃO","NÃO",_xlfn.XLOOKUP(autocompAlmoco[[#This Row],[COMP ESCALA ANTERIOR]],tabE.Flux[COMP.AT. MOT A],tabE.Flux[LINHA],"NÃO",0,1))</f>
        <v>NÃO</v>
      </c>
      <c r="J6" s="58" t="str">
        <f>IF(autocompAlmoco[[#This Row],[COMP ESCALA ANTERIOR]]="NÃO","NÃO",_xlfn.XLOOKUP(autocompAlmoco[[#This Row],[COMP ESCALA ANTERIOR]],tabE.Flux[COMP.AT. MOT B],tabE.Flux[LINHA],"NÃO",0,1))</f>
        <v>NÃO</v>
      </c>
      <c r="K6" s="62" t="str">
        <f>IF(AND(autocompAlmoco[[#This Row],[EXISTE MOT A ANT]]="NÃO",autocompAlmoco[[#This Row],[EXISTE MOT B ANT]]="NÃO"),"NÃO","SIM")</f>
        <v>NÃO</v>
      </c>
      <c r="L6" s="73" t="str">
        <f t="shared" ref="L6:L37" si="0">_xlfn.CONCAT(T6+1,"+",X6)</f>
        <v>45886+JOAO DE JESUS GOUVEIA - 6016</v>
      </c>
      <c r="M6" s="59" t="str">
        <f>IF(autocompAlmoco[[#This Row],[COMP ESCALA POSTERIOR]]="NÃO","NÃO",_xlfn.XLOOKUP(autocompAlmoco[[#This Row],[COMP ESCALA POSTERIOR]],tabE.Flux[COMP.AT. MOT A],tabE.Flux[LINHA],"NÃO",0,1))</f>
        <v>NÃO</v>
      </c>
      <c r="N6" s="59" t="str">
        <f>IF(autocompAlmoco[[#This Row],[COMP ESCALA POSTERIOR]]="NÃO","NÃO",_xlfn.XLOOKUP(autocompAlmoco[[#This Row],[COMP ESCALA POSTERIOR]],tabE.Flux[COMP.AT. MOT B],tabE.Flux[LINHA],"NÃO",0,1))</f>
        <v>NÃO</v>
      </c>
      <c r="O6" s="65" t="str">
        <f>IF(AND(autocompAlmoco[[#This Row],[EXISTE MOT A POS]]="NÃO",autocompAlmoco[[#This Row],[EXISTE MOT B POS]]="NÃO"),"NÃO","SIM")</f>
        <v>NÃO</v>
      </c>
      <c r="P6" s="66" t="str" cm="1">
        <f t="array" ref="P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6" s="75" t="str" cm="1">
        <f t="array" ref="Q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45885+JOAO DE JESUS GOUVEIA - 6016+GOIANIA (GO) X SAO LUIS (MA)</v>
      </c>
      <c r="R6" s="67">
        <f>_xlfn.XLOOKUP(autocompAlmoco[[#This Row],[COMP ESCALA]],tabE.Flux[COMP. ESCALA MOT B],tabE.Flux[CARRO],
(_xlfn.XLOOKUP(autocompAlmoco[[#This Row],[COMP ESCALA]],tabE.Flux[COMP. ESCALA MOT A],tabE.Flux[CARRO],"N/E",0,1)),0,1)</f>
        <v>24016</v>
      </c>
      <c r="S6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6" s="125">
        <v>45885</v>
      </c>
      <c r="U6" s="4">
        <f>IF(IFERROR(autocompAlmoco[[#This Row],[CORRESP. CARRO]],"")="NÃO",(IF(tabAlmoco[[#This Row],[MOTORISTA]]=0,"","PASSE?")),autocompAlmoco[[#This Row],[CORRESP. CARRO]])</f>
        <v>24016</v>
      </c>
      <c r="V6" s="126">
        <f>IF(OR(ISERR(autocompAlmoco[[#This Row],[CORRESP HORARIO]]), autocompAlmoco[[#This Row],[CORRESP HORARIO]]&lt;&gt;"NÃO"),autocompAlmoco[[#This Row],[CORRESP HORARIO]],"")</f>
        <v>0.79166666666666663</v>
      </c>
      <c r="W6" s="1" t="s">
        <v>299</v>
      </c>
      <c r="X6" s="1" t="s">
        <v>58</v>
      </c>
      <c r="Y6" s="1">
        <f>IF(tabAlmoco[[#This Row],[MOTORISTA]]="","",COUNTIF(autocompAlmoco[COMP ESCALA ATUAL],autocompAlmoco[[#This Row],[COMP ESCALA ATUAL]]))</f>
        <v>1</v>
      </c>
      <c r="Z6" s="43">
        <f>IF(tabAlmoco[[#This Row],[MOTORISTA]]&lt;&gt;0,15,"")</f>
        <v>15</v>
      </c>
      <c r="AA6" s="4" t="str">
        <f>autocompAlmoco[[#This Row],[CORRESP LINHA]]</f>
        <v>GOIANIA (GO) X SAO LUIS (MA)</v>
      </c>
    </row>
    <row r="7" spans="2:27" hidden="1" x14ac:dyDescent="0.25">
      <c r="B7" s="7"/>
      <c r="C7" s="139" t="s">
        <v>300</v>
      </c>
      <c r="D7" s="56" t="str">
        <f>IF(tabAlmoco[[#This Row],[MOTORISTA]]="","",_xlfn.CONCAT(tabAlmoco[[#This Row],[DATA]],"+",tabAlmoco[[#This Row],[MOTORISTA]]))</f>
        <v>45885+RICHARD SOUSA DA SILVA - 1271</v>
      </c>
      <c r="E7" s="56" t="str">
        <f>_xlfn.XLOOKUP(autocompAlmoco[[#This Row],[COMP ESCALA ATUAL]],tabE.Flux[COMP.AT. MOT A],tabE.Flux[LINHA],"NÃO",0,1)</f>
        <v>NÃO</v>
      </c>
      <c r="F7" s="56" t="str">
        <f>_xlfn.XLOOKUP(autocompAlmoco[[#This Row],[COMP ESCALA ATUAL]],tabE.Flux[COMP.AT. MOT B],tabE.Flux[LINHA],"NÃO",0,1)</f>
        <v>NÃO</v>
      </c>
      <c r="G7" s="61" t="str">
        <f>IF(AND(autocompAlmoco[[#This Row],[EXISTE MOT A AT]]="NÃO", autocompAlmoco[[#This Row],[EXISTE MOT B AT]]="NÃO"),"NÃO","SIM")</f>
        <v>NÃO</v>
      </c>
      <c r="H7" s="71" t="str">
        <f>IF(autocompAlmoco[[#This Row],[EXISTE ESCALA ATUAL]]="NÃO",_xlfn.CONCAT(tabAlmoco[[#This Row],[DATA]]-1,"+",tabAlmoco[[#This Row],[MOTORISTA]]),"NÃO")</f>
        <v>45884+RICHARD SOUSA DA SILVA - 1271</v>
      </c>
      <c r="I7" s="57" t="str">
        <f>IF(autocompAlmoco[[#This Row],[COMP ESCALA ANTERIOR]]="NÃO","NÃO",_xlfn.XLOOKUP(autocompAlmoco[[#This Row],[COMP ESCALA ANTERIOR]],tabE.Flux[COMP.AT. MOT A],tabE.Flux[LINHA],"NÃO",0,1))</f>
        <v>IMPERATRIZ (MA) X SÃO LUIS (MA)</v>
      </c>
      <c r="J7" s="58" t="str">
        <f>IF(autocompAlmoco[[#This Row],[COMP ESCALA ANTERIOR]]="NÃO","NÃO",_xlfn.XLOOKUP(autocompAlmoco[[#This Row],[COMP ESCALA ANTERIOR]],tabE.Flux[COMP.AT. MOT B],tabE.Flux[LINHA],"NÃO",0,1))</f>
        <v>NÃO</v>
      </c>
      <c r="K7" s="62" t="str">
        <f>IF(AND(autocompAlmoco[[#This Row],[EXISTE MOT A ANT]]="NÃO",autocompAlmoco[[#This Row],[EXISTE MOT B ANT]]="NÃO"),"NÃO","SIM")</f>
        <v>SIM</v>
      </c>
      <c r="L7" s="73" t="str">
        <f t="shared" si="0"/>
        <v>45886+RICHARD SOUSA DA SILVA - 1271</v>
      </c>
      <c r="M7" s="59" t="str">
        <f>IF(autocompAlmoco[[#This Row],[COMP ESCALA POSTERIOR]]="NÃO","NÃO",_xlfn.XLOOKUP(autocompAlmoco[[#This Row],[COMP ESCALA POSTERIOR]],tabE.Flux[COMP.AT. MOT A],tabE.Flux[LINHA],"NÃO",0,1))</f>
        <v>NÃO</v>
      </c>
      <c r="N7" s="59" t="str">
        <f>IF(autocompAlmoco[[#This Row],[COMP ESCALA POSTERIOR]]="NÃO","NÃO",_xlfn.XLOOKUP(autocompAlmoco[[#This Row],[COMP ESCALA POSTERIOR]],tabE.Flux[COMP.AT. MOT B],tabE.Flux[LINHA],"NÃO",0,1))</f>
        <v>NÃO</v>
      </c>
      <c r="O7" s="65" t="str">
        <f>IF(AND(autocompAlmoco[[#This Row],[EXISTE MOT A POS]]="NÃO",autocompAlmoco[[#This Row],[EXISTE MOT B POS]]="NÃO"),"NÃO","SIM")</f>
        <v>NÃO</v>
      </c>
      <c r="P7" s="66" t="str" cm="1">
        <f t="array" ref="P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IMPERATRIZ (MA) X SÃO LUIS (MA)</v>
      </c>
      <c r="Q7" s="75" t="str" cm="1">
        <f t="array" ref="Q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45884+RICHARD SOUSA DA SILVA - 1271+IMPERATRIZ (MA) X SÃO LUIS (MA)</v>
      </c>
      <c r="R7" s="67">
        <f>_xlfn.XLOOKUP(autocompAlmoco[[#This Row],[COMP ESCALA]],tabE.Flux[COMP. ESCALA MOT B],tabE.Flux[CARRO],
(_xlfn.XLOOKUP(autocompAlmoco[[#This Row],[COMP ESCALA]],tabE.Flux[COMP. ESCALA MOT A],tabE.Flux[CARRO],"N/E",0,1)),0,1)</f>
        <v>18008</v>
      </c>
      <c r="S7" s="130">
        <f>_xlfn.XLOOKUP(autocompAlmoco[[#This Row],[COMP ESCALA]],tabE.Flux[COMP. ESCALA MOT A],tabE.Flux[HORARIO],(_xlfn.XLOOKUP(autocompAlmoco[[#This Row],[COMP ESCALA]],tabE.Flux[COMP. ESCALA MOT B],tabE.Flux[HORARIO],"N/E",0,1)),0,1)</f>
        <v>0.8125</v>
      </c>
      <c r="T7" s="125">
        <v>45885</v>
      </c>
      <c r="U7" s="4">
        <f>IF(IFERROR(autocompAlmoco[[#This Row],[CORRESP. CARRO]],"")="NÃO",(IF(tabAlmoco[[#This Row],[MOTORISTA]]=0,"","PASSE?")),autocompAlmoco[[#This Row],[CORRESP. CARRO]])</f>
        <v>18008</v>
      </c>
      <c r="V7" s="126">
        <f>IF(OR(ISERR(autocompAlmoco[[#This Row],[CORRESP HORARIO]]), autocompAlmoco[[#This Row],[CORRESP HORARIO]]&lt;&gt;"NÃO"),autocompAlmoco[[#This Row],[CORRESP HORARIO]],"")</f>
        <v>0.8125</v>
      </c>
      <c r="W7" s="4" t="s">
        <v>299</v>
      </c>
      <c r="X7" s="4" t="s">
        <v>56</v>
      </c>
      <c r="Y7" s="1">
        <f>IF(tabAlmoco[[#This Row],[MOTORISTA]]="","",COUNTIF(autocompAlmoco[COMP ESCALA ATUAL],autocompAlmoco[[#This Row],[COMP ESCALA ATUAL]]))</f>
        <v>1</v>
      </c>
      <c r="Z7" s="44">
        <f>IF(tabAlmoco[[#This Row],[MOTORISTA]]&lt;&gt;0,15,"")</f>
        <v>15</v>
      </c>
      <c r="AA7" s="4" t="str">
        <f>autocompAlmoco[[#This Row],[CORRESP LINHA]]</f>
        <v>IMPERATRIZ (MA) X SÃO LUIS (MA)</v>
      </c>
    </row>
    <row r="8" spans="2:27" hidden="1" x14ac:dyDescent="0.25">
      <c r="B8" s="7"/>
      <c r="C8" s="139" t="s">
        <v>301</v>
      </c>
      <c r="D8" s="56" t="str">
        <f>IF(tabAlmoco[[#This Row],[MOTORISTA]]="","",_xlfn.CONCAT(tabAlmoco[[#This Row],[DATA]],"+",tabAlmoco[[#This Row],[MOTORISTA]]))</f>
        <v>45885+JEFFERSON CARDOSO DOS SANTOS - 5837</v>
      </c>
      <c r="E8" s="56" t="str">
        <f>_xlfn.XLOOKUP(autocompAlmoco[[#This Row],[COMP ESCALA ATUAL]],tabE.Flux[COMP.AT. MOT A],tabE.Flux[LINHA],"NÃO",0,1)</f>
        <v>NÃO</v>
      </c>
      <c r="F8" s="56" t="str">
        <f>_xlfn.XLOOKUP(autocompAlmoco[[#This Row],[COMP ESCALA ATUAL]],tabE.Flux[COMP.AT. MOT B],tabE.Flux[LINHA],"NÃO",0,1)</f>
        <v>NÃO</v>
      </c>
      <c r="G8" s="61" t="str">
        <f>IF(AND(autocompAlmoco[[#This Row],[EXISTE MOT A AT]]="NÃO", autocompAlmoco[[#This Row],[EXISTE MOT B AT]]="NÃO"),"NÃO","SIM")</f>
        <v>NÃO</v>
      </c>
      <c r="H8" s="71" t="str">
        <f>IF(autocompAlmoco[[#This Row],[EXISTE ESCALA ATUAL]]="NÃO",_xlfn.CONCAT(tabAlmoco[[#This Row],[DATA]]-1,"+",tabAlmoco[[#This Row],[MOTORISTA]]),"NÃO")</f>
        <v>45884+JEFFERSON CARDOSO DOS SANTOS - 5837</v>
      </c>
      <c r="I8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8" s="58" t="str">
        <f>IF(autocompAlmoco[[#This Row],[COMP ESCALA ANTERIOR]]="NÃO","NÃO",_xlfn.XLOOKUP(autocompAlmoco[[#This Row],[COMP ESCALA ANTERIOR]],tabE.Flux[COMP.AT. MOT B],tabE.Flux[LINHA],"NÃO",0,1))</f>
        <v>NÃO</v>
      </c>
      <c r="K8" s="62" t="str">
        <f>IF(AND(autocompAlmoco[[#This Row],[EXISTE MOT A ANT]]="NÃO",autocompAlmoco[[#This Row],[EXISTE MOT B ANT]]="NÃO"),"NÃO","SIM")</f>
        <v>SIM</v>
      </c>
      <c r="L8" s="73" t="str">
        <f t="shared" si="0"/>
        <v>45886+JEFFERSON CARDOSO DOS SANTOS - 5837</v>
      </c>
      <c r="M8" s="59" t="str">
        <f>IF(autocompAlmoco[[#This Row],[COMP ESCALA POSTERIOR]]="NÃO","NÃO",_xlfn.XLOOKUP(autocompAlmoco[[#This Row],[COMP ESCALA POSTERIOR]],tabE.Flux[COMP.AT. MOT A],tabE.Flux[LINHA],"NÃO",0,1))</f>
        <v>NÃO</v>
      </c>
      <c r="N8" s="59" t="str">
        <f>IF(autocompAlmoco[[#This Row],[COMP ESCALA POSTERIOR]]="NÃO","NÃO",_xlfn.XLOOKUP(autocompAlmoco[[#This Row],[COMP ESCALA POSTERIOR]],tabE.Flux[COMP.AT. MOT B],tabE.Flux[LINHA],"NÃO",0,1))</f>
        <v>NÃO</v>
      </c>
      <c r="O8" s="65" t="str">
        <f>IF(AND(autocompAlmoco[[#This Row],[EXISTE MOT A POS]]="NÃO",autocompAlmoco[[#This Row],[EXISTE MOT B POS]]="NÃO"),"NÃO","SIM")</f>
        <v>NÃO</v>
      </c>
      <c r="P8" s="66" t="str" cm="1">
        <f t="array" ref="P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8" s="75" t="str" cm="1">
        <f t="array" ref="Q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45884+JEFFERSON CARDOSO DOS SANTOS - 5837+FORTALEZA (CE) X SINOP (MT)</v>
      </c>
      <c r="R8" s="67">
        <f>_xlfn.XLOOKUP(autocompAlmoco[[#This Row],[COMP ESCALA]],tabE.Flux[COMP. ESCALA MOT B],tabE.Flux[CARRO],
(_xlfn.XLOOKUP(autocompAlmoco[[#This Row],[COMP ESCALA]],tabE.Flux[COMP. ESCALA MOT A],tabE.Flux[CARRO],"N/E",0,1)),0,1)</f>
        <v>19019</v>
      </c>
      <c r="S8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8" s="125">
        <v>45885</v>
      </c>
      <c r="U8" s="4">
        <f>IF(IFERROR(autocompAlmoco[[#This Row],[CORRESP. CARRO]],"")="NÃO",(IF(tabAlmoco[[#This Row],[MOTORISTA]]=0,"","PASSE?")),autocompAlmoco[[#This Row],[CORRESP. CARRO]])</f>
        <v>19019</v>
      </c>
      <c r="V8" s="126">
        <f>IF(OR(ISERR(autocompAlmoco[[#This Row],[CORRESP HORARIO]]), autocompAlmoco[[#This Row],[CORRESP HORARIO]]&lt;&gt;"NÃO"),autocompAlmoco[[#This Row],[CORRESP HORARIO]],"")</f>
        <v>0.37708333333333333</v>
      </c>
      <c r="W8" s="4" t="s">
        <v>299</v>
      </c>
      <c r="X8" s="4" t="s">
        <v>30</v>
      </c>
      <c r="Y8" s="1">
        <f>IF(tabAlmoco[[#This Row],[MOTORISTA]]="","",COUNTIF(autocompAlmoco[COMP ESCALA ATUAL],autocompAlmoco[[#This Row],[COMP ESCALA ATUAL]]))</f>
        <v>1</v>
      </c>
      <c r="Z8" s="44">
        <f>IF(tabAlmoco[[#This Row],[MOTORISTA]]&lt;&gt;0,15,"")</f>
        <v>15</v>
      </c>
      <c r="AA8" s="4" t="str">
        <f>autocompAlmoco[[#This Row],[CORRESP LINHA]]</f>
        <v>FORTALEZA (CE) X SINOP (MT)</v>
      </c>
    </row>
    <row r="9" spans="2:27" hidden="1" x14ac:dyDescent="0.25">
      <c r="B9" s="7"/>
      <c r="C9" s="139" t="s">
        <v>302</v>
      </c>
      <c r="D9" s="56" t="str">
        <f>IF(tabAlmoco[[#This Row],[MOTORISTA]]="","",_xlfn.CONCAT(tabAlmoco[[#This Row],[DATA]],"+",tabAlmoco[[#This Row],[MOTORISTA]]))</f>
        <v>45885+RAIMUNDO COSTA SILVA - 6226</v>
      </c>
      <c r="E9" s="56" t="str">
        <f>_xlfn.XLOOKUP(autocompAlmoco[[#This Row],[COMP ESCALA ATUAL]],tabE.Flux[COMP.AT. MOT A],tabE.Flux[LINHA],"NÃO",0,1)</f>
        <v>NÃO</v>
      </c>
      <c r="F9" s="56" t="str">
        <f>_xlfn.XLOOKUP(autocompAlmoco[[#This Row],[COMP ESCALA ATUAL]],tabE.Flux[COMP.AT. MOT B],tabE.Flux[LINHA],"NÃO",0,1)</f>
        <v>GOIANIA (GO) X SAO LUIS (MA)</v>
      </c>
      <c r="G9" s="61" t="str">
        <f>IF(AND(autocompAlmoco[[#This Row],[EXISTE MOT A AT]]="NÃO", autocompAlmoco[[#This Row],[EXISTE MOT B AT]]="NÃO"),"NÃO","SIM")</f>
        <v>SIM</v>
      </c>
      <c r="H9" s="71" t="str">
        <f>IF(autocompAlmoco[[#This Row],[EXISTE ESCALA ATUAL]]="NÃO",_xlfn.CONCAT(tabAlmoco[[#This Row],[DATA]]-1,"+",tabAlmoco[[#This Row],[MOTORISTA]]),"NÃO")</f>
        <v>NÃO</v>
      </c>
      <c r="I9" s="57" t="str">
        <f>IF(autocompAlmoco[[#This Row],[COMP ESCALA ANTERIOR]]="NÃO","NÃO",_xlfn.XLOOKUP(autocompAlmoco[[#This Row],[COMP ESCALA ANTERIOR]],tabE.Flux[COMP.AT. MOT A],tabE.Flux[LINHA],"NÃO",0,1))</f>
        <v>NÃO</v>
      </c>
      <c r="J9" s="58" t="str">
        <f>IF(autocompAlmoco[[#This Row],[COMP ESCALA ANTERIOR]]="NÃO","NÃO",_xlfn.XLOOKUP(autocompAlmoco[[#This Row],[COMP ESCALA ANTERIOR]],tabE.Flux[COMP.AT. MOT B],tabE.Flux[LINHA],"NÃO",0,1))</f>
        <v>NÃO</v>
      </c>
      <c r="K9" s="62" t="str">
        <f>IF(AND(autocompAlmoco[[#This Row],[EXISTE MOT A ANT]]="NÃO",autocompAlmoco[[#This Row],[EXISTE MOT B ANT]]="NÃO"),"NÃO","SIM")</f>
        <v>NÃO</v>
      </c>
      <c r="L9" s="73" t="str">
        <f t="shared" si="0"/>
        <v>45886+RAIMUNDO COSTA SILVA - 6226</v>
      </c>
      <c r="M9" s="59" t="str">
        <f>IF(autocompAlmoco[[#This Row],[COMP ESCALA POSTERIOR]]="NÃO","NÃO",_xlfn.XLOOKUP(autocompAlmoco[[#This Row],[COMP ESCALA POSTERIOR]],tabE.Flux[COMP.AT. MOT A],tabE.Flux[LINHA],"NÃO",0,1))</f>
        <v>NÃO</v>
      </c>
      <c r="N9" s="59" t="str">
        <f>IF(autocompAlmoco[[#This Row],[COMP ESCALA POSTERIOR]]="NÃO","NÃO",_xlfn.XLOOKUP(autocompAlmoco[[#This Row],[COMP ESCALA POSTERIOR]],tabE.Flux[COMP.AT. MOT B],tabE.Flux[LINHA],"NÃO",0,1))</f>
        <v>NÃO</v>
      </c>
      <c r="O9" s="65" t="str">
        <f>IF(AND(autocompAlmoco[[#This Row],[EXISTE MOT A POS]]="NÃO",autocompAlmoco[[#This Row],[EXISTE MOT B POS]]="NÃO"),"NÃO","SIM")</f>
        <v>NÃO</v>
      </c>
      <c r="P9" s="66" t="str" cm="1">
        <f t="array" ref="P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9" s="75" t="str" cm="1">
        <f t="array" ref="Q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45885+RAIMUNDO COSTA SILVA - 6226+GOIANIA (GO) X SAO LUIS (MA)</v>
      </c>
      <c r="R9" s="67">
        <f>_xlfn.XLOOKUP(autocompAlmoco[[#This Row],[COMP ESCALA]],tabE.Flux[COMP. ESCALA MOT B],tabE.Flux[CARRO],
(_xlfn.XLOOKUP(autocompAlmoco[[#This Row],[COMP ESCALA]],tabE.Flux[COMP. ESCALA MOT A],tabE.Flux[CARRO],"N/E",0,1)),0,1)</f>
        <v>24015</v>
      </c>
      <c r="S9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9" s="125">
        <v>45885</v>
      </c>
      <c r="U9" s="4">
        <f>IF(IFERROR(autocompAlmoco[[#This Row],[CORRESP. CARRO]],"")="NÃO",(IF(tabAlmoco[[#This Row],[MOTORISTA]]=0,"","PASSE?")),autocompAlmoco[[#This Row],[CORRESP. CARRO]])</f>
        <v>24015</v>
      </c>
      <c r="V9" s="126">
        <f>IF(OR(ISERR(autocompAlmoco[[#This Row],[CORRESP HORARIO]]), autocompAlmoco[[#This Row],[CORRESP HORARIO]]&lt;&gt;"NÃO"),autocompAlmoco[[#This Row],[CORRESP HORARIO]],"")</f>
        <v>0.84375</v>
      </c>
      <c r="W9" s="4" t="s">
        <v>299</v>
      </c>
      <c r="X9" s="4" t="s">
        <v>45</v>
      </c>
      <c r="Y9" s="1">
        <f>IF(tabAlmoco[[#This Row],[MOTORISTA]]="","",COUNTIF(autocompAlmoco[COMP ESCALA ATUAL],autocompAlmoco[[#This Row],[COMP ESCALA ATUAL]]))</f>
        <v>1</v>
      </c>
      <c r="Z9" s="44">
        <f>IF(tabAlmoco[[#This Row],[MOTORISTA]]&lt;&gt;0,15,"")</f>
        <v>15</v>
      </c>
      <c r="AA9" s="4" t="str">
        <f>autocompAlmoco[[#This Row],[CORRESP LINHA]]</f>
        <v>GOIANIA (GO) X SAO LUIS (MA)</v>
      </c>
    </row>
    <row r="10" spans="2:27" hidden="1" x14ac:dyDescent="0.25">
      <c r="B10" s="7"/>
      <c r="C10" s="139" t="s">
        <v>303</v>
      </c>
      <c r="D10" s="56" t="str">
        <f>IF(tabAlmoco[[#This Row],[MOTORISTA]]="","",_xlfn.CONCAT(tabAlmoco[[#This Row],[DATA]],"+",tabAlmoco[[#This Row],[MOTORISTA]]))</f>
        <v>45885+ANTONIO  SOBRINHO DE OLIVEIRA - 5646</v>
      </c>
      <c r="E10" s="56" t="str">
        <f>_xlfn.XLOOKUP(autocompAlmoco[[#This Row],[COMP ESCALA ATUAL]],tabE.Flux[COMP.AT. MOT A],tabE.Flux[LINHA],"NÃO",0,1)</f>
        <v>NÃO</v>
      </c>
      <c r="F10" s="56" t="str">
        <f>_xlfn.XLOOKUP(autocompAlmoco[[#This Row],[COMP ESCALA ATUAL]],tabE.Flux[COMP.AT. MOT B],tabE.Flux[LINHA],"NÃO",0,1)</f>
        <v>FORTALEZA (CE) X SINOP (MT)</v>
      </c>
      <c r="G10" s="61" t="str">
        <f>IF(AND(autocompAlmoco[[#This Row],[EXISTE MOT A AT]]="NÃO", autocompAlmoco[[#This Row],[EXISTE MOT B AT]]="NÃO"),"NÃO","SIM")</f>
        <v>SIM</v>
      </c>
      <c r="H10" s="71" t="str">
        <f>IF(autocompAlmoco[[#This Row],[EXISTE ESCALA ATUAL]]="NÃO",_xlfn.CONCAT(tabAlmoco[[#This Row],[DATA]]-1,"+",tabAlmoco[[#This Row],[MOTORISTA]]),"NÃO")</f>
        <v>NÃO</v>
      </c>
      <c r="I10" s="57" t="str">
        <f>IF(autocompAlmoco[[#This Row],[COMP ESCALA ANTERIOR]]="NÃO","NÃO",_xlfn.XLOOKUP(autocompAlmoco[[#This Row],[COMP ESCALA ANTERIOR]],tabE.Flux[COMP.AT. MOT A],tabE.Flux[LINHA],"NÃO",0,1))</f>
        <v>NÃO</v>
      </c>
      <c r="J10" s="58" t="str">
        <f>IF(autocompAlmoco[[#This Row],[COMP ESCALA ANTERIOR]]="NÃO","NÃO",_xlfn.XLOOKUP(autocompAlmoco[[#This Row],[COMP ESCALA ANTERIOR]],tabE.Flux[COMP.AT. MOT B],tabE.Flux[LINHA],"NÃO",0,1))</f>
        <v>NÃO</v>
      </c>
      <c r="K10" s="62" t="str">
        <f>IF(AND(autocompAlmoco[[#This Row],[EXISTE MOT A ANT]]="NÃO",autocompAlmoco[[#This Row],[EXISTE MOT B ANT]]="NÃO"),"NÃO","SIM")</f>
        <v>NÃO</v>
      </c>
      <c r="L10" s="73" t="str">
        <f t="shared" si="0"/>
        <v>45886+ANTONIO  SOBRINHO DE OLIVEIRA - 5646</v>
      </c>
      <c r="M10" s="59" t="str">
        <f>IF(autocompAlmoco[[#This Row],[COMP ESCALA POSTERIOR]]="NÃO","NÃO",_xlfn.XLOOKUP(autocompAlmoco[[#This Row],[COMP ESCALA POSTERIOR]],tabE.Flux[COMP.AT. MOT A],tabE.Flux[LINHA],"NÃO",0,1))</f>
        <v>NÃO</v>
      </c>
      <c r="N10" s="59" t="str">
        <f>IF(autocompAlmoco[[#This Row],[COMP ESCALA POSTERIOR]]="NÃO","NÃO",_xlfn.XLOOKUP(autocompAlmoco[[#This Row],[COMP ESCALA POSTERIOR]],tabE.Flux[COMP.AT. MOT B],tabE.Flux[LINHA],"NÃO",0,1))</f>
        <v>NÃO</v>
      </c>
      <c r="O10" s="65" t="str">
        <f>IF(AND(autocompAlmoco[[#This Row],[EXISTE MOT A POS]]="NÃO",autocompAlmoco[[#This Row],[EXISTE MOT B POS]]="NÃO"),"NÃO","SIM")</f>
        <v>NÃO</v>
      </c>
      <c r="P10" s="66" t="str" cm="1">
        <f t="array" ref="P1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0" s="75" t="str" cm="1">
        <f t="array" ref="Q1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45885+ANTONIO  SOBRINHO DE OLIVEIRA - 5646+FORTALEZA (CE) X SINOP (MT)</v>
      </c>
      <c r="R10" s="67">
        <f>_xlfn.XLOOKUP(autocompAlmoco[[#This Row],[COMP ESCALA]],tabE.Flux[COMP. ESCALA MOT B],tabE.Flux[CARRO],
(_xlfn.XLOOKUP(autocompAlmoco[[#This Row],[COMP ESCALA]],tabE.Flux[COMP. ESCALA MOT A],tabE.Flux[CARRO],"N/E",0,1)),0,1)</f>
        <v>19011</v>
      </c>
      <c r="S10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0" s="125">
        <v>45885</v>
      </c>
      <c r="U10" s="4">
        <f>IF(IFERROR(autocompAlmoco[[#This Row],[CORRESP. CARRO]],"")="NÃO",(IF(tabAlmoco[[#This Row],[MOTORISTA]]=0,"","PASSE?")),autocompAlmoco[[#This Row],[CORRESP. CARRO]])</f>
        <v>19011</v>
      </c>
      <c r="V10" s="126">
        <f>IF(OR(ISERR(autocompAlmoco[[#This Row],[CORRESP HORARIO]]), autocompAlmoco[[#This Row],[CORRESP HORARIO]]&lt;&gt;"NÃO"),autocompAlmoco[[#This Row],[CORRESP HORARIO]],"")</f>
        <v>0.37708333333333333</v>
      </c>
      <c r="W10" s="4" t="s">
        <v>299</v>
      </c>
      <c r="X10" s="4" t="s">
        <v>74</v>
      </c>
      <c r="Y10" s="1">
        <f>IF(tabAlmoco[[#This Row],[MOTORISTA]]="","",COUNTIF(autocompAlmoco[COMP ESCALA ATUAL],autocompAlmoco[[#This Row],[COMP ESCALA ATUAL]]))</f>
        <v>1</v>
      </c>
      <c r="Z10" s="44">
        <f>IF(tabAlmoco[[#This Row],[MOTORISTA]]&lt;&gt;0,15,"")</f>
        <v>15</v>
      </c>
      <c r="AA10" s="4" t="str">
        <f>autocompAlmoco[[#This Row],[CORRESP LINHA]]</f>
        <v>FORTALEZA (CE) X SINOP (MT)</v>
      </c>
    </row>
    <row r="11" spans="2:27" hidden="1" x14ac:dyDescent="0.25">
      <c r="B11" s="7"/>
      <c r="C11" s="139" t="s">
        <v>304</v>
      </c>
      <c r="D11" s="56" t="str">
        <f>IF(tabAlmoco[[#This Row],[MOTORISTA]]="","",_xlfn.CONCAT(tabAlmoco[[#This Row],[DATA]],"+",tabAlmoco[[#This Row],[MOTORISTA]]))</f>
        <v>45885+JAKTAN DE OLIVEIRA RODRIGUES - 5836</v>
      </c>
      <c r="E11" s="56" t="str">
        <f>_xlfn.XLOOKUP(autocompAlmoco[[#This Row],[COMP ESCALA ATUAL]],tabE.Flux[COMP.AT. MOT A],tabE.Flux[LINHA],"NÃO",0,1)</f>
        <v>NÃO</v>
      </c>
      <c r="F11" s="56" t="str">
        <f>_xlfn.XLOOKUP(autocompAlmoco[[#This Row],[COMP ESCALA ATUAL]],tabE.Flux[COMP.AT. MOT B],tabE.Flux[LINHA],"NÃO",0,1)</f>
        <v>NÃO</v>
      </c>
      <c r="G11" s="61" t="str">
        <f>IF(AND(autocompAlmoco[[#This Row],[EXISTE MOT A AT]]="NÃO", autocompAlmoco[[#This Row],[EXISTE MOT B AT]]="NÃO"),"NÃO","SIM")</f>
        <v>NÃO</v>
      </c>
      <c r="H11" s="71" t="str">
        <f>IF(autocompAlmoco[[#This Row],[EXISTE ESCALA ATUAL]]="NÃO",_xlfn.CONCAT(tabAlmoco[[#This Row],[DATA]]-1,"+",tabAlmoco[[#This Row],[MOTORISTA]]),"NÃO")</f>
        <v>45884+JAKTAN DE OLIVEIRA RODRIGUES - 5836</v>
      </c>
      <c r="I11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1" s="58" t="str">
        <f>IF(autocompAlmoco[[#This Row],[COMP ESCALA ANTERIOR]]="NÃO","NÃO",_xlfn.XLOOKUP(autocompAlmoco[[#This Row],[COMP ESCALA ANTERIOR]],tabE.Flux[COMP.AT. MOT B],tabE.Flux[LINHA],"NÃO",0,1))</f>
        <v>NÃO</v>
      </c>
      <c r="K11" s="62" t="str">
        <f>IF(AND(autocompAlmoco[[#This Row],[EXISTE MOT A ANT]]="NÃO",autocompAlmoco[[#This Row],[EXISTE MOT B ANT]]="NÃO"),"NÃO","SIM")</f>
        <v>SIM</v>
      </c>
      <c r="L11" s="73" t="str">
        <f t="shared" si="0"/>
        <v>45886+JAKTAN DE OLIVEIRA RODRIGUES - 5836</v>
      </c>
      <c r="M11" s="59" t="str">
        <f>IF(autocompAlmoco[[#This Row],[COMP ESCALA POSTERIOR]]="NÃO","NÃO",_xlfn.XLOOKUP(autocompAlmoco[[#This Row],[COMP ESCALA POSTERIOR]],tabE.Flux[COMP.AT. MOT A],tabE.Flux[LINHA],"NÃO",0,1))</f>
        <v>NÃO</v>
      </c>
      <c r="N11" s="59" t="str">
        <f>IF(autocompAlmoco[[#This Row],[COMP ESCALA POSTERIOR]]="NÃO","NÃO",_xlfn.XLOOKUP(autocompAlmoco[[#This Row],[COMP ESCALA POSTERIOR]],tabE.Flux[COMP.AT. MOT B],tabE.Flux[LINHA],"NÃO",0,1))</f>
        <v>NÃO</v>
      </c>
      <c r="O11" s="65" t="str">
        <f>IF(AND(autocompAlmoco[[#This Row],[EXISTE MOT A POS]]="NÃO",autocompAlmoco[[#This Row],[EXISTE MOT B POS]]="NÃO"),"NÃO","SIM")</f>
        <v>NÃO</v>
      </c>
      <c r="P11" s="66" t="str" cm="1">
        <f t="array" ref="P1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1" s="75" t="str" cm="1">
        <f t="array" ref="Q1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45884+JAKTAN DE OLIVEIRA RODRIGUES - 5836+GOIANIA (GO) X TERESINA (PI) VIA STI</v>
      </c>
      <c r="R11" s="67">
        <f>_xlfn.XLOOKUP(autocompAlmoco[[#This Row],[COMP ESCALA]],tabE.Flux[COMP. ESCALA MOT B],tabE.Flux[CARRO],
(_xlfn.XLOOKUP(autocompAlmoco[[#This Row],[COMP ESCALA]],tabE.Flux[COMP. ESCALA MOT A],tabE.Flux[CARRO],"N/E",0,1)),0,1)</f>
        <v>19022</v>
      </c>
      <c r="S11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1" s="127">
        <v>45885</v>
      </c>
      <c r="U11" s="4">
        <f>IF(IFERROR(autocompAlmoco[[#This Row],[CORRESP. CARRO]],"")="NÃO",(IF(tabAlmoco[[#This Row],[MOTORISTA]]=0,"","PASSE?")),autocompAlmoco[[#This Row],[CORRESP. CARRO]])</f>
        <v>19022</v>
      </c>
      <c r="V11" s="128">
        <f>IF(OR(ISERR(autocompAlmoco[[#This Row],[CORRESP HORARIO]]), autocompAlmoco[[#This Row],[CORRESP HORARIO]]&lt;&gt;"NÃO"),autocompAlmoco[[#This Row],[CORRESP HORARIO]],"")</f>
        <v>0.79861111111111116</v>
      </c>
      <c r="W11" s="4" t="s">
        <v>299</v>
      </c>
      <c r="X11" s="4" t="s">
        <v>59</v>
      </c>
      <c r="Y11" s="4">
        <f>IF(tabAlmoco[[#This Row],[MOTORISTA]]="","",COUNTIF(autocompAlmoco[COMP ESCALA ATUAL],autocompAlmoco[[#This Row],[COMP ESCALA ATUAL]]))</f>
        <v>1</v>
      </c>
      <c r="Z11" s="44">
        <f>IF(tabAlmoco[[#This Row],[MOTORISTA]]&lt;&gt;0,15,"")</f>
        <v>15</v>
      </c>
      <c r="AA11" s="4" t="str">
        <f>autocompAlmoco[[#This Row],[CORRESP LINHA]]</f>
        <v>GOIANIA (GO) X TERESINA (PI) VIA STI</v>
      </c>
    </row>
    <row r="12" spans="2:27" hidden="1" x14ac:dyDescent="0.25">
      <c r="B12" s="7"/>
      <c r="C12" s="139" t="s">
        <v>305</v>
      </c>
      <c r="D12" s="56" t="str">
        <f>IF(tabAlmoco[[#This Row],[MOTORISTA]]="","",_xlfn.CONCAT(tabAlmoco[[#This Row],[DATA]],"+",tabAlmoco[[#This Row],[MOTORISTA]]))</f>
        <v>45885+LAUCEANDO DA SILVA ROCHA - 6220</v>
      </c>
      <c r="E12" s="56" t="str">
        <f>_xlfn.XLOOKUP(autocompAlmoco[[#This Row],[COMP ESCALA ATUAL]],tabE.Flux[COMP.AT. MOT A],tabE.Flux[LINHA],"NÃO",0,1)</f>
        <v>NÃO</v>
      </c>
      <c r="F12" s="56" t="str">
        <f>_xlfn.XLOOKUP(autocompAlmoco[[#This Row],[COMP ESCALA ATUAL]],tabE.Flux[COMP.AT. MOT B],tabE.Flux[LINHA],"NÃO",0,1)</f>
        <v>GOIANIA (GO) X SAO LUIS (MA)</v>
      </c>
      <c r="G12" s="61" t="str">
        <f>IF(AND(autocompAlmoco[[#This Row],[EXISTE MOT A AT]]="NÃO", autocompAlmoco[[#This Row],[EXISTE MOT B AT]]="NÃO"),"NÃO","SIM")</f>
        <v>SIM</v>
      </c>
      <c r="H12" s="71" t="str">
        <f>IF(autocompAlmoco[[#This Row],[EXISTE ESCALA ATUAL]]="NÃO",_xlfn.CONCAT(tabAlmoco[[#This Row],[DATA]]-1,"+",tabAlmoco[[#This Row],[MOTORISTA]]),"NÃO")</f>
        <v>NÃO</v>
      </c>
      <c r="I12" s="57" t="str">
        <f>IF(autocompAlmoco[[#This Row],[COMP ESCALA ANTERIOR]]="NÃO","NÃO",_xlfn.XLOOKUP(autocompAlmoco[[#This Row],[COMP ESCALA ANTERIOR]],tabE.Flux[COMP.AT. MOT A],tabE.Flux[LINHA],"NÃO",0,1))</f>
        <v>NÃO</v>
      </c>
      <c r="J12" s="58" t="str">
        <f>IF(autocompAlmoco[[#This Row],[COMP ESCALA ANTERIOR]]="NÃO","NÃO",_xlfn.XLOOKUP(autocompAlmoco[[#This Row],[COMP ESCALA ANTERIOR]],tabE.Flux[COMP.AT. MOT B],tabE.Flux[LINHA],"NÃO",0,1))</f>
        <v>NÃO</v>
      </c>
      <c r="K12" s="62" t="str">
        <f>IF(AND(autocompAlmoco[[#This Row],[EXISTE MOT A ANT]]="NÃO",autocompAlmoco[[#This Row],[EXISTE MOT B ANT]]="NÃO"),"NÃO","SIM")</f>
        <v>NÃO</v>
      </c>
      <c r="L12" s="73" t="str">
        <f t="shared" si="0"/>
        <v>45886+LAUCEANDO DA SILVA ROCHA - 6220</v>
      </c>
      <c r="M12" s="59" t="str">
        <f>IF(autocompAlmoco[[#This Row],[COMP ESCALA POSTERIOR]]="NÃO","NÃO",_xlfn.XLOOKUP(autocompAlmoco[[#This Row],[COMP ESCALA POSTERIOR]],tabE.Flux[COMP.AT. MOT A],tabE.Flux[LINHA],"NÃO",0,1))</f>
        <v>NÃO</v>
      </c>
      <c r="N12" s="59" t="str">
        <f>IF(autocompAlmoco[[#This Row],[COMP ESCALA POSTERIOR]]="NÃO","NÃO",_xlfn.XLOOKUP(autocompAlmoco[[#This Row],[COMP ESCALA POSTERIOR]],tabE.Flux[COMP.AT. MOT B],tabE.Flux[LINHA],"NÃO",0,1))</f>
        <v>NÃO</v>
      </c>
      <c r="O12" s="65" t="str">
        <f>IF(AND(autocompAlmoco[[#This Row],[EXISTE MOT A POS]]="NÃO",autocompAlmoco[[#This Row],[EXISTE MOT B POS]]="NÃO"),"NÃO","SIM")</f>
        <v>NÃO</v>
      </c>
      <c r="P12" s="66" t="str" cm="1">
        <f t="array" ref="P1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2" s="75" t="str" cm="1">
        <f t="array" ref="Q1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45885+LAUCEANDO DA SILVA ROCHA - 6220+GOIANIA (GO) X SAO LUIS (MA)</v>
      </c>
      <c r="R12" s="67">
        <f>_xlfn.XLOOKUP(autocompAlmoco[[#This Row],[COMP ESCALA]],tabE.Flux[COMP. ESCALA MOT B],tabE.Flux[CARRO],
(_xlfn.XLOOKUP(autocompAlmoco[[#This Row],[COMP ESCALA]],tabE.Flux[COMP. ESCALA MOT A],tabE.Flux[CARRO],"N/E",0,1)),0,1)</f>
        <v>20013</v>
      </c>
      <c r="S12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2" s="125">
        <v>45885</v>
      </c>
      <c r="U12" s="1">
        <f>IF(IFERROR(autocompAlmoco[[#This Row],[CORRESP. CARRO]],"")="NÃO",(IF(tabAlmoco[[#This Row],[MOTORISTA]]=0,"","PASSE?")),autocompAlmoco[[#This Row],[CORRESP. CARRO]])</f>
        <v>20013</v>
      </c>
      <c r="V12" s="126">
        <f>IF(OR(ISERR(autocompAlmoco[[#This Row],[CORRESP HORARIO]]), autocompAlmoco[[#This Row],[CORRESP HORARIO]]&lt;&gt;"NÃO"),autocompAlmoco[[#This Row],[CORRESP HORARIO]],"")</f>
        <v>0.47013888888888888</v>
      </c>
      <c r="W12" s="1" t="s">
        <v>299</v>
      </c>
      <c r="X12" s="1" t="s">
        <v>86</v>
      </c>
      <c r="Y12" s="1">
        <f>IF(tabAlmoco[[#This Row],[MOTORISTA]]="","",COUNTIF(autocompAlmoco[COMP ESCALA ATUAL],autocompAlmoco[[#This Row],[COMP ESCALA ATUAL]]))</f>
        <v>1</v>
      </c>
      <c r="Z12" s="105">
        <f>IF(tabAlmoco[[#This Row],[MOTORISTA]]&lt;&gt;0,15,"")</f>
        <v>15</v>
      </c>
      <c r="AA12" s="1" t="str">
        <f>autocompAlmoco[[#This Row],[CORRESP LINHA]]</f>
        <v>GOIANIA (GO) X SAO LUIS (MA)</v>
      </c>
    </row>
    <row r="13" spans="2:27" hidden="1" x14ac:dyDescent="0.25">
      <c r="C13" s="140" t="s">
        <v>226</v>
      </c>
      <c r="D13" s="56" t="str">
        <f>IF(tabAlmoco[[#This Row],[MOTORISTA]]="","",_xlfn.CONCAT(tabAlmoco[[#This Row],[DATA]],"+",tabAlmoco[[#This Row],[MOTORISTA]]))</f>
        <v>45886+ANTONIO MARQUES NETO DOS SANTOS - 1738</v>
      </c>
      <c r="E13" s="56" t="str">
        <f>_xlfn.XLOOKUP(autocompAlmoco[[#This Row],[COMP ESCALA ATUAL]],tabE.Flux[COMP.AT. MOT A],tabE.Flux[LINHA],"NÃO",0,1)</f>
        <v>NÃO</v>
      </c>
      <c r="F13" s="56" t="str">
        <f>_xlfn.XLOOKUP(autocompAlmoco[[#This Row],[COMP ESCALA ATUAL]],tabE.Flux[COMP.AT. MOT B],tabE.Flux[LINHA],"NÃO",0,1)</f>
        <v>NÃO</v>
      </c>
      <c r="G13" s="61" t="str">
        <f>IF(AND(autocompAlmoco[[#This Row],[EXISTE MOT A AT]]="NÃO", autocompAlmoco[[#This Row],[EXISTE MOT B AT]]="NÃO"),"NÃO","SIM")</f>
        <v>NÃO</v>
      </c>
      <c r="H13" s="71" t="str">
        <f>IF(autocompAlmoco[[#This Row],[EXISTE ESCALA ATUAL]]="NÃO",_xlfn.CONCAT(tabAlmoco[[#This Row],[DATA]]-1,"+",tabAlmoco[[#This Row],[MOTORISTA]]),"NÃO")</f>
        <v>45885+ANTONIO MARQUES NETO DOS SANTOS - 1738</v>
      </c>
      <c r="I13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3" s="58" t="str">
        <f>IF(autocompAlmoco[[#This Row],[COMP ESCALA ANTERIOR]]="NÃO","NÃO",_xlfn.XLOOKUP(autocompAlmoco[[#This Row],[COMP ESCALA ANTERIOR]],tabE.Flux[COMP.AT. MOT B],tabE.Flux[LINHA],"NÃO",0,1))</f>
        <v>NÃO</v>
      </c>
      <c r="K13" s="62" t="str">
        <f>IF(AND(autocompAlmoco[[#This Row],[EXISTE MOT A ANT]]="NÃO",autocompAlmoco[[#This Row],[EXISTE MOT B ANT]]="NÃO"),"NÃO","SIM")</f>
        <v>SIM</v>
      </c>
      <c r="L13" s="73" t="str">
        <f t="shared" si="0"/>
        <v>45887+ANTONIO MARQUES NETO DOS SANTOS - 1738</v>
      </c>
      <c r="M13" s="59" t="str">
        <f>IF(autocompAlmoco[[#This Row],[COMP ESCALA POSTERIOR]]="NÃO","NÃO",_xlfn.XLOOKUP(autocompAlmoco[[#This Row],[COMP ESCALA POSTERIOR]],tabE.Flux[COMP.AT. MOT A],tabE.Flux[LINHA],"NÃO",0,1))</f>
        <v>NÃO</v>
      </c>
      <c r="N13" s="59" t="str">
        <f>IF(autocompAlmoco[[#This Row],[COMP ESCALA POSTERIOR]]="NÃO","NÃO",_xlfn.XLOOKUP(autocompAlmoco[[#This Row],[COMP ESCALA POSTERIOR]],tabE.Flux[COMP.AT. MOT B],tabE.Flux[LINHA],"NÃO",0,1))</f>
        <v>NÃO</v>
      </c>
      <c r="O13" s="65" t="str">
        <f>IF(AND(autocompAlmoco[[#This Row],[EXISTE MOT A POS]]="NÃO",autocompAlmoco[[#This Row],[EXISTE MOT B POS]]="NÃO"),"NÃO","SIM")</f>
        <v>NÃO</v>
      </c>
      <c r="P13" s="66" t="str" cm="1">
        <f t="array" ref="P1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3" s="75" t="str" cm="1">
        <f t="array" ref="Q1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45885+ANTONIO MARQUES NETO DOS SANTOS - 1738+FORTALEZA (CE) X SINOP (MT)</v>
      </c>
      <c r="R13" s="67">
        <f>_xlfn.XLOOKUP(autocompAlmoco[[#This Row],[COMP ESCALA]],tabE.Flux[COMP. ESCALA MOT B],tabE.Flux[CARRO],
(_xlfn.XLOOKUP(autocompAlmoco[[#This Row],[COMP ESCALA]],tabE.Flux[COMP. ESCALA MOT A],tabE.Flux[CARRO],"N/E",0,1)),0,1)</f>
        <v>19011</v>
      </c>
      <c r="S13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3" s="125">
        <v>45886</v>
      </c>
      <c r="U13" s="4">
        <f>IF(IFERROR(autocompAlmoco[[#This Row],[CORRESP. CARRO]],"")="NÃO",(IF(tabAlmoco[[#This Row],[MOTORISTA]]=0,"","PASSE?")),autocompAlmoco[[#This Row],[CORRESP. CARRO]])</f>
        <v>19011</v>
      </c>
      <c r="V13" s="126">
        <f>IF(OR(ISERR(autocompAlmoco[[#This Row],[CORRESP HORARIO]]), autocompAlmoco[[#This Row],[CORRESP HORARIO]]&lt;&gt;"NÃO"),autocompAlmoco[[#This Row],[CORRESP HORARIO]],"")</f>
        <v>0.37708333333333333</v>
      </c>
      <c r="W13" s="4" t="s">
        <v>299</v>
      </c>
      <c r="X13" s="4" t="s">
        <v>73</v>
      </c>
      <c r="Y13" s="1">
        <f>IF(tabAlmoco[[#This Row],[MOTORISTA]]="","",COUNTIF(autocompAlmoco[COMP ESCALA ATUAL],autocompAlmoco[[#This Row],[COMP ESCALA ATUAL]]))</f>
        <v>1</v>
      </c>
      <c r="Z13" s="45">
        <f>IF(tabAlmoco[[#This Row],[MOTORISTA]]&lt;&gt;0,15,"")</f>
        <v>15</v>
      </c>
      <c r="AA13" s="4" t="str">
        <f>autocompAlmoco[[#This Row],[CORRESP LINHA]]</f>
        <v>FORTALEZA (CE) X SINOP (MT)</v>
      </c>
    </row>
    <row r="14" spans="2:27" hidden="1" x14ac:dyDescent="0.25">
      <c r="C14" s="140" t="s">
        <v>226</v>
      </c>
      <c r="D14" s="56" t="str">
        <f>IF(tabAlmoco[[#This Row],[MOTORISTA]]="","",_xlfn.CONCAT(tabAlmoco[[#This Row],[DATA]],"+",tabAlmoco[[#This Row],[MOTORISTA]]))</f>
        <v>45886+FRANCISCO RAIMUNDO VIANA DE SOUSA - 5314</v>
      </c>
      <c r="E14" s="56" t="str">
        <f>_xlfn.XLOOKUP(autocompAlmoco[[#This Row],[COMP ESCALA ATUAL]],tabE.Flux[COMP.AT. MOT A],tabE.Flux[LINHA],"NÃO",0,1)</f>
        <v>NÃO</v>
      </c>
      <c r="F14" s="56" t="str">
        <f>_xlfn.XLOOKUP(autocompAlmoco[[#This Row],[COMP ESCALA ATUAL]],tabE.Flux[COMP.AT. MOT B],tabE.Flux[LINHA],"NÃO",0,1)</f>
        <v>GOIANIA (GO) X SAO LUIS (MA)</v>
      </c>
      <c r="G14" s="61" t="str">
        <f>IF(AND(autocompAlmoco[[#This Row],[EXISTE MOT A AT]]="NÃO", autocompAlmoco[[#This Row],[EXISTE MOT B AT]]="NÃO"),"NÃO","SIM")</f>
        <v>SIM</v>
      </c>
      <c r="H14" s="71" t="str">
        <f>IF(autocompAlmoco[[#This Row],[EXISTE ESCALA ATUAL]]="NÃO",_xlfn.CONCAT(tabAlmoco[[#This Row],[DATA]]-1,"+",tabAlmoco[[#This Row],[MOTORISTA]]),"NÃO")</f>
        <v>NÃO</v>
      </c>
      <c r="I14" s="57" t="str">
        <f>IF(autocompAlmoco[[#This Row],[COMP ESCALA ANTERIOR]]="NÃO","NÃO",_xlfn.XLOOKUP(autocompAlmoco[[#This Row],[COMP ESCALA ANTERIOR]],tabE.Flux[COMP.AT. MOT A],tabE.Flux[LINHA],"NÃO",0,1))</f>
        <v>NÃO</v>
      </c>
      <c r="J14" s="58" t="str">
        <f>IF(autocompAlmoco[[#This Row],[COMP ESCALA ANTERIOR]]="NÃO","NÃO",_xlfn.XLOOKUP(autocompAlmoco[[#This Row],[COMP ESCALA ANTERIOR]],tabE.Flux[COMP.AT. MOT B],tabE.Flux[LINHA],"NÃO",0,1))</f>
        <v>NÃO</v>
      </c>
      <c r="K14" s="62" t="str">
        <f>IF(AND(autocompAlmoco[[#This Row],[EXISTE MOT A ANT]]="NÃO",autocompAlmoco[[#This Row],[EXISTE MOT B ANT]]="NÃO"),"NÃO","SIM")</f>
        <v>NÃO</v>
      </c>
      <c r="L14" s="73" t="str">
        <f t="shared" si="0"/>
        <v>45887+FRANCISCO RAIMUNDO VIANA DE SOUSA - 5314</v>
      </c>
      <c r="M14" s="59" t="str">
        <f>IF(autocompAlmoco[[#This Row],[COMP ESCALA POSTERIOR]]="NÃO","NÃO",_xlfn.XLOOKUP(autocompAlmoco[[#This Row],[COMP ESCALA POSTERIOR]],tabE.Flux[COMP.AT. MOT A],tabE.Flux[LINHA],"NÃO",0,1))</f>
        <v>NÃO</v>
      </c>
      <c r="N14" s="59" t="str">
        <f>IF(autocompAlmoco[[#This Row],[COMP ESCALA POSTERIOR]]="NÃO","NÃO",_xlfn.XLOOKUP(autocompAlmoco[[#This Row],[COMP ESCALA POSTERIOR]],tabE.Flux[COMP.AT. MOT B],tabE.Flux[LINHA],"NÃO",0,1))</f>
        <v>NÃO</v>
      </c>
      <c r="O14" s="65" t="str">
        <f>IF(AND(autocompAlmoco[[#This Row],[EXISTE MOT A POS]]="NÃO",autocompAlmoco[[#This Row],[EXISTE MOT B POS]]="NÃO"),"NÃO","SIM")</f>
        <v>NÃO</v>
      </c>
      <c r="P14" s="66" t="str" cm="1">
        <f t="array" ref="P1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4" s="75" t="str" cm="1">
        <f t="array" ref="Q1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45886+FRANCISCO RAIMUNDO VIANA DE SOUSA - 5314+GOIANIA (GO) X SAO LUIS (MA)</v>
      </c>
      <c r="R14" s="67">
        <f>_xlfn.XLOOKUP(autocompAlmoco[[#This Row],[COMP ESCALA]],tabE.Flux[COMP. ESCALA MOT B],tabE.Flux[CARRO],
(_xlfn.XLOOKUP(autocompAlmoco[[#This Row],[COMP ESCALA]],tabE.Flux[COMP. ESCALA MOT A],tabE.Flux[CARRO],"N/E",0,1)),0,1)</f>
        <v>24015</v>
      </c>
      <c r="S14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4" s="127">
        <v>45886</v>
      </c>
      <c r="U14" s="4">
        <f>IF(IFERROR(autocompAlmoco[[#This Row],[CORRESP. CARRO]],"")="NÃO",(IF(tabAlmoco[[#This Row],[MOTORISTA]]=0,"","PASSE?")),autocompAlmoco[[#This Row],[CORRESP. CARRO]])</f>
        <v>24015</v>
      </c>
      <c r="V14" s="126">
        <f>IF(OR(ISERR(autocompAlmoco[[#This Row],[CORRESP HORARIO]]), autocompAlmoco[[#This Row],[CORRESP HORARIO]]&lt;&gt;"NÃO"),autocompAlmoco[[#This Row],[CORRESP HORARIO]],"")</f>
        <v>0.79166666666666663</v>
      </c>
      <c r="W14" s="4" t="s">
        <v>299</v>
      </c>
      <c r="X14" s="4" t="s">
        <v>87</v>
      </c>
      <c r="Y14" s="1">
        <f>IF(tabAlmoco[[#This Row],[MOTORISTA]]="","",COUNTIF(autocompAlmoco[COMP ESCALA ATUAL],autocompAlmoco[[#This Row],[COMP ESCALA ATUAL]]))</f>
        <v>1</v>
      </c>
      <c r="Z14" s="45">
        <f>IF(tabAlmoco[[#This Row],[MOTORISTA]]&lt;&gt;0,15,"")</f>
        <v>15</v>
      </c>
      <c r="AA14" s="4" t="str">
        <f>autocompAlmoco[[#This Row],[CORRESP LINHA]]</f>
        <v>GOIANIA (GO) X SAO LUIS (MA)</v>
      </c>
    </row>
    <row r="15" spans="2:27" hidden="1" x14ac:dyDescent="0.25">
      <c r="C15" s="140" t="s">
        <v>226</v>
      </c>
      <c r="D15" s="56" t="str">
        <f>IF(tabAlmoco[[#This Row],[MOTORISTA]]="","",_xlfn.CONCAT(tabAlmoco[[#This Row],[DATA]],"+",tabAlmoco[[#This Row],[MOTORISTA]]))</f>
        <v>45886+KAYLSON KLEYTON DA SILVA COSTA - 6224</v>
      </c>
      <c r="E15" s="56" t="str">
        <f>_xlfn.XLOOKUP(autocompAlmoco[[#This Row],[COMP ESCALA ATUAL]],tabE.Flux[COMP.AT. MOT A],tabE.Flux[LINHA],"NÃO",0,1)</f>
        <v>NÃO</v>
      </c>
      <c r="F15" s="56" t="str">
        <f>_xlfn.XLOOKUP(autocompAlmoco[[#This Row],[COMP ESCALA ATUAL]],tabE.Flux[COMP.AT. MOT B],tabE.Flux[LINHA],"NÃO",0,1)</f>
        <v>GOIANIA (GO) X SAO LUIS (MA)</v>
      </c>
      <c r="G15" s="61" t="str">
        <f>IF(AND(autocompAlmoco[[#This Row],[EXISTE MOT A AT]]="NÃO", autocompAlmoco[[#This Row],[EXISTE MOT B AT]]="NÃO"),"NÃO","SIM")</f>
        <v>SIM</v>
      </c>
      <c r="H15" s="71" t="str">
        <f>IF(autocompAlmoco[[#This Row],[EXISTE ESCALA ATUAL]]="NÃO",_xlfn.CONCAT(tabAlmoco[[#This Row],[DATA]]-1,"+",tabAlmoco[[#This Row],[MOTORISTA]]),"NÃO")</f>
        <v>NÃO</v>
      </c>
      <c r="I15" s="57" t="str">
        <f>IF(autocompAlmoco[[#This Row],[COMP ESCALA ANTERIOR]]="NÃO","NÃO",_xlfn.XLOOKUP(autocompAlmoco[[#This Row],[COMP ESCALA ANTERIOR]],tabE.Flux[COMP.AT. MOT A],tabE.Flux[LINHA],"NÃO",0,1))</f>
        <v>NÃO</v>
      </c>
      <c r="J15" s="58" t="str">
        <f>IF(autocompAlmoco[[#This Row],[COMP ESCALA ANTERIOR]]="NÃO","NÃO",_xlfn.XLOOKUP(autocompAlmoco[[#This Row],[COMP ESCALA ANTERIOR]],tabE.Flux[COMP.AT. MOT B],tabE.Flux[LINHA],"NÃO",0,1))</f>
        <v>NÃO</v>
      </c>
      <c r="K15" s="62" t="str">
        <f>IF(AND(autocompAlmoco[[#This Row],[EXISTE MOT A ANT]]="NÃO",autocompAlmoco[[#This Row],[EXISTE MOT B ANT]]="NÃO"),"NÃO","SIM")</f>
        <v>NÃO</v>
      </c>
      <c r="L15" s="73" t="str">
        <f t="shared" si="0"/>
        <v>45887+KAYLSON KLEYTON DA SILVA COSTA - 6224</v>
      </c>
      <c r="M15" s="59" t="str">
        <f>IF(autocompAlmoco[[#This Row],[COMP ESCALA POSTERIOR]]="NÃO","NÃO",_xlfn.XLOOKUP(autocompAlmoco[[#This Row],[COMP ESCALA POSTERIOR]],tabE.Flux[COMP.AT. MOT A],tabE.Flux[LINHA],"NÃO",0,1))</f>
        <v>NÃO</v>
      </c>
      <c r="N15" s="59" t="str">
        <f>IF(autocompAlmoco[[#This Row],[COMP ESCALA POSTERIOR]]="NÃO","NÃO",_xlfn.XLOOKUP(autocompAlmoco[[#This Row],[COMP ESCALA POSTERIOR]],tabE.Flux[COMP.AT. MOT B],tabE.Flux[LINHA],"NÃO",0,1))</f>
        <v>NÃO</v>
      </c>
      <c r="O15" s="65" t="str">
        <f>IF(AND(autocompAlmoco[[#This Row],[EXISTE MOT A POS]]="NÃO",autocompAlmoco[[#This Row],[EXISTE MOT B POS]]="NÃO"),"NÃO","SIM")</f>
        <v>NÃO</v>
      </c>
      <c r="P15" s="66" t="str" cm="1">
        <f t="array" ref="P1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5" s="75" t="str" cm="1">
        <f t="array" ref="Q1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45886+KAYLSON KLEYTON DA SILVA COSTA - 6224+GOIANIA (GO) X SAO LUIS (MA)</v>
      </c>
      <c r="R15" s="67">
        <f>_xlfn.XLOOKUP(autocompAlmoco[[#This Row],[COMP ESCALA]],tabE.Flux[COMP. ESCALA MOT B],tabE.Flux[CARRO],
(_xlfn.XLOOKUP(autocompAlmoco[[#This Row],[COMP ESCALA]],tabE.Flux[COMP. ESCALA MOT A],tabE.Flux[CARRO],"N/E",0,1)),0,1)</f>
        <v>24004</v>
      </c>
      <c r="S15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15" s="127">
        <v>45886</v>
      </c>
      <c r="U15" s="4">
        <f>IF(IFERROR(autocompAlmoco[[#This Row],[CORRESP. CARRO]],"")="NÃO",(IF(tabAlmoco[[#This Row],[MOTORISTA]]=0,"","PASSE?")),autocompAlmoco[[#This Row],[CORRESP. CARRO]])</f>
        <v>24004</v>
      </c>
      <c r="V15" s="126">
        <f>IF(OR(ISERR(autocompAlmoco[[#This Row],[CORRESP HORARIO]]), autocompAlmoco[[#This Row],[CORRESP HORARIO]]&lt;&gt;"NÃO"),autocompAlmoco[[#This Row],[CORRESP HORARIO]],"")</f>
        <v>0.84375</v>
      </c>
      <c r="W15" s="4" t="s">
        <v>299</v>
      </c>
      <c r="X15" s="4" t="s">
        <v>80</v>
      </c>
      <c r="Y15" s="1">
        <f>IF(tabAlmoco[[#This Row],[MOTORISTA]]="","",COUNTIF(autocompAlmoco[COMP ESCALA ATUAL],autocompAlmoco[[#This Row],[COMP ESCALA ATUAL]]))</f>
        <v>1</v>
      </c>
      <c r="Z15" s="45">
        <f>IF(tabAlmoco[[#This Row],[MOTORISTA]]&lt;&gt;0,15,"")</f>
        <v>15</v>
      </c>
      <c r="AA15" s="4" t="str">
        <f>autocompAlmoco[[#This Row],[CORRESP LINHA]]</f>
        <v>GOIANIA (GO) X SAO LUIS (MA)</v>
      </c>
    </row>
    <row r="16" spans="2:27" hidden="1" x14ac:dyDescent="0.25">
      <c r="C16" s="140" t="s">
        <v>226</v>
      </c>
      <c r="D16" s="56" t="str">
        <f>IF(tabAlmoco[[#This Row],[MOTORISTA]]="","",_xlfn.CONCAT(tabAlmoco[[#This Row],[DATA]],"+",tabAlmoco[[#This Row],[MOTORISTA]]))</f>
        <v>45886+CARLOS ADRIANO DE SOUZA DO NASCIMENTO - 6222</v>
      </c>
      <c r="E16" s="56" t="str">
        <f>_xlfn.XLOOKUP(autocompAlmoco[[#This Row],[COMP ESCALA ATUAL]],tabE.Flux[COMP.AT. MOT A],tabE.Flux[LINHA],"NÃO",0,1)</f>
        <v>NÃO</v>
      </c>
      <c r="F16" s="56" t="str">
        <f>_xlfn.XLOOKUP(autocompAlmoco[[#This Row],[COMP ESCALA ATUAL]],tabE.Flux[COMP.AT. MOT B],tabE.Flux[LINHA],"NÃO",0,1)</f>
        <v>GOIANIA (GO) X SAO LUIS (MA)</v>
      </c>
      <c r="G16" s="61" t="str">
        <f>IF(AND(autocompAlmoco[[#This Row],[EXISTE MOT A AT]]="NÃO", autocompAlmoco[[#This Row],[EXISTE MOT B AT]]="NÃO"),"NÃO","SIM")</f>
        <v>SIM</v>
      </c>
      <c r="H16" s="71" t="str">
        <f>IF(autocompAlmoco[[#This Row],[EXISTE ESCALA ATUAL]]="NÃO",_xlfn.CONCAT(tabAlmoco[[#This Row],[DATA]]-1,"+",tabAlmoco[[#This Row],[MOTORISTA]]),"NÃO")</f>
        <v>NÃO</v>
      </c>
      <c r="I16" s="57" t="str">
        <f>IF(autocompAlmoco[[#This Row],[COMP ESCALA ANTERIOR]]="NÃO","NÃO",_xlfn.XLOOKUP(autocompAlmoco[[#This Row],[COMP ESCALA ANTERIOR]],tabE.Flux[COMP.AT. MOT A],tabE.Flux[LINHA],"NÃO",0,1))</f>
        <v>NÃO</v>
      </c>
      <c r="J16" s="58" t="str">
        <f>IF(autocompAlmoco[[#This Row],[COMP ESCALA ANTERIOR]]="NÃO","NÃO",_xlfn.XLOOKUP(autocompAlmoco[[#This Row],[COMP ESCALA ANTERIOR]],tabE.Flux[COMP.AT. MOT B],tabE.Flux[LINHA],"NÃO",0,1))</f>
        <v>NÃO</v>
      </c>
      <c r="K16" s="62" t="str">
        <f>IF(AND(autocompAlmoco[[#This Row],[EXISTE MOT A ANT]]="NÃO",autocompAlmoco[[#This Row],[EXISTE MOT B ANT]]="NÃO"),"NÃO","SIM")</f>
        <v>NÃO</v>
      </c>
      <c r="L16" s="73" t="str">
        <f t="shared" si="0"/>
        <v>45887+CARLOS ADRIANO DE SOUZA DO NASCIMENTO - 6222</v>
      </c>
      <c r="M16" s="59" t="str">
        <f>IF(autocompAlmoco[[#This Row],[COMP ESCALA POSTERIOR]]="NÃO","NÃO",_xlfn.XLOOKUP(autocompAlmoco[[#This Row],[COMP ESCALA POSTERIOR]],tabE.Flux[COMP.AT. MOT A],tabE.Flux[LINHA],"NÃO",0,1))</f>
        <v>NÃO</v>
      </c>
      <c r="N16" s="59" t="str">
        <f>IF(autocompAlmoco[[#This Row],[COMP ESCALA POSTERIOR]]="NÃO","NÃO",_xlfn.XLOOKUP(autocompAlmoco[[#This Row],[COMP ESCALA POSTERIOR]],tabE.Flux[COMP.AT. MOT B],tabE.Flux[LINHA],"NÃO",0,1))</f>
        <v>NÃO</v>
      </c>
      <c r="O16" s="65" t="str">
        <f>IF(AND(autocompAlmoco[[#This Row],[EXISTE MOT A POS]]="NÃO",autocompAlmoco[[#This Row],[EXISTE MOT B POS]]="NÃO"),"NÃO","SIM")</f>
        <v>NÃO</v>
      </c>
      <c r="P16" s="66" t="str" cm="1">
        <f t="array" ref="P1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6" s="75" t="str" cm="1">
        <f t="array" ref="Q1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45886+CARLOS ADRIANO DE SOUZA DO NASCIMENTO - 6222+GOIANIA (GO) X SAO LUIS (MA)</v>
      </c>
      <c r="R16" s="67">
        <f>_xlfn.XLOOKUP(autocompAlmoco[[#This Row],[COMP ESCALA]],tabE.Flux[COMP. ESCALA MOT B],tabE.Flux[CARRO],
(_xlfn.XLOOKUP(autocompAlmoco[[#This Row],[COMP ESCALA]],tabE.Flux[COMP. ESCALA MOT A],tabE.Flux[CARRO],"N/E",0,1)),0,1)</f>
        <v>19015</v>
      </c>
      <c r="S16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6" s="127">
        <v>45886</v>
      </c>
      <c r="U16" s="4">
        <f>IF(IFERROR(autocompAlmoco[[#This Row],[CORRESP. CARRO]],"")="NÃO",(IF(tabAlmoco[[#This Row],[MOTORISTA]]=0,"","PASSE?")),autocompAlmoco[[#This Row],[CORRESP. CARRO]])</f>
        <v>19015</v>
      </c>
      <c r="V16" s="126">
        <f>IF(OR(ISERR(autocompAlmoco[[#This Row],[CORRESP HORARIO]]), autocompAlmoco[[#This Row],[CORRESP HORARIO]]&lt;&gt;"NÃO"),autocompAlmoco[[#This Row],[CORRESP HORARIO]],"")</f>
        <v>0.47013888888888888</v>
      </c>
      <c r="W16" s="4" t="s">
        <v>299</v>
      </c>
      <c r="X16" s="4" t="s">
        <v>110</v>
      </c>
      <c r="Y16" s="1">
        <f>IF(tabAlmoco[[#This Row],[MOTORISTA]]="","",COUNTIF(autocompAlmoco[COMP ESCALA ATUAL],autocompAlmoco[[#This Row],[COMP ESCALA ATUAL]]))</f>
        <v>1</v>
      </c>
      <c r="Z16" s="45">
        <f>IF(tabAlmoco[[#This Row],[MOTORISTA]]&lt;&gt;0,15,"")</f>
        <v>15</v>
      </c>
      <c r="AA16" s="4" t="str">
        <f>autocompAlmoco[[#This Row],[CORRESP LINHA]]</f>
        <v>GOIANIA (GO) X SAO LUIS (MA)</v>
      </c>
    </row>
    <row r="17" spans="3:27" hidden="1" x14ac:dyDescent="0.25">
      <c r="C17" s="140" t="s">
        <v>226</v>
      </c>
      <c r="D17" s="56" t="str">
        <f>IF(tabAlmoco[[#This Row],[MOTORISTA]]="","",_xlfn.CONCAT(tabAlmoco[[#This Row],[DATA]],"+",tabAlmoco[[#This Row],[MOTORISTA]]))</f>
        <v>45887+CLODOALDO PEREIRA DE LIMA - 4067</v>
      </c>
      <c r="E17" s="56" t="str">
        <f>_xlfn.XLOOKUP(autocompAlmoco[[#This Row],[COMP ESCALA ATUAL]],tabE.Flux[COMP.AT. MOT A],tabE.Flux[LINHA],"NÃO",0,1)</f>
        <v>NÃO</v>
      </c>
      <c r="F17" s="56" t="str">
        <f>_xlfn.XLOOKUP(autocompAlmoco[[#This Row],[COMP ESCALA ATUAL]],tabE.Flux[COMP.AT. MOT B],tabE.Flux[LINHA],"NÃO",0,1)</f>
        <v>GOIANIA (GO) X SAO LUIS (MA)</v>
      </c>
      <c r="G17" s="61" t="str">
        <f>IF(AND(autocompAlmoco[[#This Row],[EXISTE MOT A AT]]="NÃO", autocompAlmoco[[#This Row],[EXISTE MOT B AT]]="NÃO"),"NÃO","SIM")</f>
        <v>SIM</v>
      </c>
      <c r="H17" s="71" t="str">
        <f>IF(autocompAlmoco[[#This Row],[EXISTE ESCALA ATUAL]]="NÃO",_xlfn.CONCAT(tabAlmoco[[#This Row],[DATA]]-1,"+",tabAlmoco[[#This Row],[MOTORISTA]]),"NÃO")</f>
        <v>NÃO</v>
      </c>
      <c r="I17" s="57" t="str">
        <f>IF(autocompAlmoco[[#This Row],[COMP ESCALA ANTERIOR]]="NÃO","NÃO",_xlfn.XLOOKUP(autocompAlmoco[[#This Row],[COMP ESCALA ANTERIOR]],tabE.Flux[COMP.AT. MOT A],tabE.Flux[LINHA],"NÃO",0,1))</f>
        <v>NÃO</v>
      </c>
      <c r="J17" s="58" t="str">
        <f>IF(autocompAlmoco[[#This Row],[COMP ESCALA ANTERIOR]]="NÃO","NÃO",_xlfn.XLOOKUP(autocompAlmoco[[#This Row],[COMP ESCALA ANTERIOR]],tabE.Flux[COMP.AT. MOT B],tabE.Flux[LINHA],"NÃO",0,1))</f>
        <v>NÃO</v>
      </c>
      <c r="K17" s="62" t="str">
        <f>IF(AND(autocompAlmoco[[#This Row],[EXISTE MOT A ANT]]="NÃO",autocompAlmoco[[#This Row],[EXISTE MOT B ANT]]="NÃO"),"NÃO","SIM")</f>
        <v>NÃO</v>
      </c>
      <c r="L17" s="73" t="str">
        <f t="shared" si="0"/>
        <v>45888+CLODOALDO PEREIRA DE LIMA - 4067</v>
      </c>
      <c r="M17" s="59" t="str">
        <f>IF(autocompAlmoco[[#This Row],[COMP ESCALA POSTERIOR]]="NÃO","NÃO",_xlfn.XLOOKUP(autocompAlmoco[[#This Row],[COMP ESCALA POSTERIOR]],tabE.Flux[COMP.AT. MOT A],tabE.Flux[LINHA],"NÃO",0,1))</f>
        <v>GOIANIA (GO) X TERESINA (PI) VIA STI</v>
      </c>
      <c r="N17" s="59" t="str">
        <f>IF(autocompAlmoco[[#This Row],[COMP ESCALA POSTERIOR]]="NÃO","NÃO",_xlfn.XLOOKUP(autocompAlmoco[[#This Row],[COMP ESCALA POSTERIOR]],tabE.Flux[COMP.AT. MOT B],tabE.Flux[LINHA],"NÃO",0,1))</f>
        <v>NÃO</v>
      </c>
      <c r="O17" s="65" t="str">
        <f>IF(AND(autocompAlmoco[[#This Row],[EXISTE MOT A POS]]="NÃO",autocompAlmoco[[#This Row],[EXISTE MOT B POS]]="NÃO"),"NÃO","SIM")</f>
        <v>SIM</v>
      </c>
      <c r="P17" s="66" t="str" cm="1">
        <f t="array" ref="P1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7" s="75" t="str" cm="1">
        <f t="array" ref="Q1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45887+CLODOALDO PEREIRA DE LIMA - 4067+GOIANIA (GO) X SAO LUIS (MA)</v>
      </c>
      <c r="R17" s="67">
        <f>_xlfn.XLOOKUP(autocompAlmoco[[#This Row],[COMP ESCALA]],tabE.Flux[COMP. ESCALA MOT B],tabE.Flux[CARRO],
(_xlfn.XLOOKUP(autocompAlmoco[[#This Row],[COMP ESCALA]],tabE.Flux[COMP. ESCALA MOT A],tabE.Flux[CARRO],"N/E",0,1)),0,1)</f>
        <v>19001</v>
      </c>
      <c r="S17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7" s="127">
        <v>45887</v>
      </c>
      <c r="U17" s="4">
        <f>IF(IFERROR(autocompAlmoco[[#This Row],[CORRESP. CARRO]],"")="NÃO",(IF(tabAlmoco[[#This Row],[MOTORISTA]]=0,"","PASSE?")),autocompAlmoco[[#This Row],[CORRESP. CARRO]])</f>
        <v>19001</v>
      </c>
      <c r="V17" s="126">
        <f>IF(OR(ISERR(autocompAlmoco[[#This Row],[CORRESP HORARIO]]), autocompAlmoco[[#This Row],[CORRESP HORARIO]]&lt;&gt;"NÃO"),autocompAlmoco[[#This Row],[CORRESP HORARIO]],"")</f>
        <v>0.29166666666666669</v>
      </c>
      <c r="W17" s="4" t="s">
        <v>299</v>
      </c>
      <c r="X17" s="4" t="s">
        <v>109</v>
      </c>
      <c r="Y17" s="1">
        <f>IF(tabAlmoco[[#This Row],[MOTORISTA]]="","",COUNTIF(autocompAlmoco[COMP ESCALA ATUAL],autocompAlmoco[[#This Row],[COMP ESCALA ATUAL]]))</f>
        <v>1</v>
      </c>
      <c r="Z17" s="45">
        <f>IF(tabAlmoco[[#This Row],[MOTORISTA]]&lt;&gt;0,15,"")</f>
        <v>15</v>
      </c>
      <c r="AA17" s="4" t="str">
        <f>autocompAlmoco[[#This Row],[CORRESP LINHA]]</f>
        <v>GOIANIA (GO) X SAO LUIS (MA)</v>
      </c>
    </row>
    <row r="18" spans="3:27" hidden="1" x14ac:dyDescent="0.25">
      <c r="C18" s="140" t="s">
        <v>226</v>
      </c>
      <c r="D18" s="56" t="str">
        <f>IF(tabAlmoco[[#This Row],[MOTORISTA]]="","",_xlfn.CONCAT(tabAlmoco[[#This Row],[DATA]],"+",tabAlmoco[[#This Row],[MOTORISTA]]))</f>
        <v>45887+LUIZ CARLOS MARIANO SIQUEIRA - 5634</v>
      </c>
      <c r="E18" s="56" t="str">
        <f>_xlfn.XLOOKUP(autocompAlmoco[[#This Row],[COMP ESCALA ATUAL]],tabE.Flux[COMP.AT. MOT A],tabE.Flux[LINHA],"NÃO",0,1)</f>
        <v>NÃO</v>
      </c>
      <c r="F18" s="56" t="str">
        <f>_xlfn.XLOOKUP(autocompAlmoco[[#This Row],[COMP ESCALA ATUAL]],tabE.Flux[COMP.AT. MOT B],tabE.Flux[LINHA],"NÃO",0,1)</f>
        <v>NÃO</v>
      </c>
      <c r="G18" s="61" t="str">
        <f>IF(AND(autocompAlmoco[[#This Row],[EXISTE MOT A AT]]="NÃO", autocompAlmoco[[#This Row],[EXISTE MOT B AT]]="NÃO"),"NÃO","SIM")</f>
        <v>NÃO</v>
      </c>
      <c r="H18" s="71" t="str">
        <f>IF(autocompAlmoco[[#This Row],[EXISTE ESCALA ATUAL]]="NÃO",_xlfn.CONCAT(tabAlmoco[[#This Row],[DATA]]-1,"+",tabAlmoco[[#This Row],[MOTORISTA]]),"NÃO")</f>
        <v>45886+LUIZ CARLOS MARIANO SIQUEIRA - 5634</v>
      </c>
      <c r="I18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8" s="58" t="str">
        <f>IF(autocompAlmoco[[#This Row],[COMP ESCALA ANTERIOR]]="NÃO","NÃO",_xlfn.XLOOKUP(autocompAlmoco[[#This Row],[COMP ESCALA ANTERIOR]],tabE.Flux[COMP.AT. MOT B],tabE.Flux[LINHA],"NÃO",0,1))</f>
        <v>NÃO</v>
      </c>
      <c r="K18" s="62" t="str">
        <f>IF(AND(autocompAlmoco[[#This Row],[EXISTE MOT A ANT]]="NÃO",autocompAlmoco[[#This Row],[EXISTE MOT B ANT]]="NÃO"),"NÃO","SIM")</f>
        <v>SIM</v>
      </c>
      <c r="L18" s="73" t="str">
        <f t="shared" si="0"/>
        <v>45888+LUIZ CARLOS MARIANO SIQUEIRA - 5634</v>
      </c>
      <c r="M18" s="59" t="str">
        <f>IF(autocompAlmoco[[#This Row],[COMP ESCALA POSTERIOR]]="NÃO","NÃO",_xlfn.XLOOKUP(autocompAlmoco[[#This Row],[COMP ESCALA POSTERIOR]],tabE.Flux[COMP.AT. MOT A],tabE.Flux[LINHA],"NÃO",0,1))</f>
        <v>NÃO</v>
      </c>
      <c r="N18" s="59" t="str">
        <f>IF(autocompAlmoco[[#This Row],[COMP ESCALA POSTERIOR]]="NÃO","NÃO",_xlfn.XLOOKUP(autocompAlmoco[[#This Row],[COMP ESCALA POSTERIOR]],tabE.Flux[COMP.AT. MOT B],tabE.Flux[LINHA],"NÃO",0,1))</f>
        <v>NÃO</v>
      </c>
      <c r="O18" s="65" t="str">
        <f>IF(AND(autocompAlmoco[[#This Row],[EXISTE MOT A POS]]="NÃO",autocompAlmoco[[#This Row],[EXISTE MOT B POS]]="NÃO"),"NÃO","SIM")</f>
        <v>NÃO</v>
      </c>
      <c r="P18" s="66" t="str" cm="1">
        <f t="array" ref="P1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8" s="75" t="str" cm="1">
        <f t="array" ref="Q1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45886+LUIZ CARLOS MARIANO SIQUEIRA - 5634+FORTALEZA (CE) X SINOP (MT)</v>
      </c>
      <c r="R18" s="67">
        <f>_xlfn.XLOOKUP(autocompAlmoco[[#This Row],[COMP ESCALA]],tabE.Flux[COMP. ESCALA MOT B],tabE.Flux[CARRO],
(_xlfn.XLOOKUP(autocompAlmoco[[#This Row],[COMP ESCALA]],tabE.Flux[COMP. ESCALA MOT A],tabE.Flux[CARRO],"N/E",0,1)),0,1)</f>
        <v>19006</v>
      </c>
      <c r="S18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8" s="127">
        <v>45887</v>
      </c>
      <c r="U18" s="4">
        <f>IF(IFERROR(autocompAlmoco[[#This Row],[CORRESP. CARRO]],"")="NÃO",(IF(tabAlmoco[[#This Row],[MOTORISTA]]=0,"","PASSE?")),autocompAlmoco[[#This Row],[CORRESP. CARRO]])</f>
        <v>19006</v>
      </c>
      <c r="V18" s="126">
        <f>IF(OR(ISERR(autocompAlmoco[[#This Row],[CORRESP HORARIO]]), autocompAlmoco[[#This Row],[CORRESP HORARIO]]&lt;&gt;"NÃO"),autocompAlmoco[[#This Row],[CORRESP HORARIO]],"")</f>
        <v>0.37708333333333333</v>
      </c>
      <c r="W18" s="4" t="s">
        <v>299</v>
      </c>
      <c r="X18" s="4" t="s">
        <v>51</v>
      </c>
      <c r="Y18" s="1">
        <f>IF(tabAlmoco[[#This Row],[MOTORISTA]]="","",COUNTIF(autocompAlmoco[COMP ESCALA ATUAL],autocompAlmoco[[#This Row],[COMP ESCALA ATUAL]]))</f>
        <v>1</v>
      </c>
      <c r="Z18" s="45">
        <f>IF(tabAlmoco[[#This Row],[MOTORISTA]]&lt;&gt;0,15,"")</f>
        <v>15</v>
      </c>
      <c r="AA18" s="4" t="str">
        <f>autocompAlmoco[[#This Row],[CORRESP LINHA]]</f>
        <v>FORTALEZA (CE) X SINOP (MT)</v>
      </c>
    </row>
    <row r="19" spans="3:27" hidden="1" x14ac:dyDescent="0.25">
      <c r="C19" s="140" t="s">
        <v>226</v>
      </c>
      <c r="D19" s="56" t="str">
        <f>IF(tabAlmoco[[#This Row],[MOTORISTA]]="","",_xlfn.CONCAT(tabAlmoco[[#This Row],[DATA]],"+",tabAlmoco[[#This Row],[MOTORISTA]]))</f>
        <v>45887+PAULO ENEAS FARIAS ARAUJO - 6218</v>
      </c>
      <c r="E19" s="56" t="str">
        <f>_xlfn.XLOOKUP(autocompAlmoco[[#This Row],[COMP ESCALA ATUAL]],tabE.Flux[COMP.AT. MOT A],tabE.Flux[LINHA],"NÃO",0,1)</f>
        <v>NÃO</v>
      </c>
      <c r="F19" s="56" t="str">
        <f>_xlfn.XLOOKUP(autocompAlmoco[[#This Row],[COMP ESCALA ATUAL]],tabE.Flux[COMP.AT. MOT B],tabE.Flux[LINHA],"NÃO",0,1)</f>
        <v>GOIANIA (GO) X SAO LUIS (MA)</v>
      </c>
      <c r="G19" s="61" t="str">
        <f>IF(AND(autocompAlmoco[[#This Row],[EXISTE MOT A AT]]="NÃO", autocompAlmoco[[#This Row],[EXISTE MOT B AT]]="NÃO"),"NÃO","SIM")</f>
        <v>SIM</v>
      </c>
      <c r="H19" s="71" t="str">
        <f>IF(autocompAlmoco[[#This Row],[EXISTE ESCALA ATUAL]]="NÃO",_xlfn.CONCAT(tabAlmoco[[#This Row],[DATA]]-1,"+",tabAlmoco[[#This Row],[MOTORISTA]]),"NÃO")</f>
        <v>NÃO</v>
      </c>
      <c r="I19" s="57" t="str">
        <f>IF(autocompAlmoco[[#This Row],[COMP ESCALA ANTERIOR]]="NÃO","NÃO",_xlfn.XLOOKUP(autocompAlmoco[[#This Row],[COMP ESCALA ANTERIOR]],tabE.Flux[COMP.AT. MOT A],tabE.Flux[LINHA],"NÃO",0,1))</f>
        <v>NÃO</v>
      </c>
      <c r="J19" s="58" t="str">
        <f>IF(autocompAlmoco[[#This Row],[COMP ESCALA ANTERIOR]]="NÃO","NÃO",_xlfn.XLOOKUP(autocompAlmoco[[#This Row],[COMP ESCALA ANTERIOR]],tabE.Flux[COMP.AT. MOT B],tabE.Flux[LINHA],"NÃO",0,1))</f>
        <v>NÃO</v>
      </c>
      <c r="K19" s="62" t="str">
        <f>IF(AND(autocompAlmoco[[#This Row],[EXISTE MOT A ANT]]="NÃO",autocompAlmoco[[#This Row],[EXISTE MOT B ANT]]="NÃO"),"NÃO","SIM")</f>
        <v>NÃO</v>
      </c>
      <c r="L19" s="73" t="str">
        <f t="shared" si="0"/>
        <v>45888+PAULO ENEAS FARIAS ARAUJO - 6218</v>
      </c>
      <c r="M19" s="59" t="str">
        <f>IF(autocompAlmoco[[#This Row],[COMP ESCALA POSTERIOR]]="NÃO","NÃO",_xlfn.XLOOKUP(autocompAlmoco[[#This Row],[COMP ESCALA POSTERIOR]],tabE.Flux[COMP.AT. MOT A],tabE.Flux[LINHA],"NÃO",0,1))</f>
        <v>NÃO</v>
      </c>
      <c r="N19" s="59" t="str">
        <f>IF(autocompAlmoco[[#This Row],[COMP ESCALA POSTERIOR]]="NÃO","NÃO",_xlfn.XLOOKUP(autocompAlmoco[[#This Row],[COMP ESCALA POSTERIOR]],tabE.Flux[COMP.AT. MOT B],tabE.Flux[LINHA],"NÃO",0,1))</f>
        <v>NÃO</v>
      </c>
      <c r="O19" s="65" t="str">
        <f>IF(AND(autocompAlmoco[[#This Row],[EXISTE MOT A POS]]="NÃO",autocompAlmoco[[#This Row],[EXISTE MOT B POS]]="NÃO"),"NÃO","SIM")</f>
        <v>NÃO</v>
      </c>
      <c r="P19" s="66" t="str" cm="1">
        <f t="array" ref="P1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9" s="75" t="str" cm="1">
        <f t="array" ref="Q1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45887+PAULO ENEAS FARIAS ARAUJO - 6218+GOIANIA (GO) X SAO LUIS (MA)</v>
      </c>
      <c r="R19" s="67">
        <f>_xlfn.XLOOKUP(autocompAlmoco[[#This Row],[COMP ESCALA]],tabE.Flux[COMP. ESCALA MOT B],tabE.Flux[CARRO],
(_xlfn.XLOOKUP(autocompAlmoco[[#This Row],[COMP ESCALA]],tabE.Flux[COMP. ESCALA MOT A],tabE.Flux[CARRO],"N/E",0,1)),0,1)</f>
        <v>19002</v>
      </c>
      <c r="S19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9" s="127">
        <v>45887</v>
      </c>
      <c r="U19" s="4">
        <f>IF(IFERROR(autocompAlmoco[[#This Row],[CORRESP. CARRO]],"")="NÃO",(IF(tabAlmoco[[#This Row],[MOTORISTA]]=0,"","PASSE?")),autocompAlmoco[[#This Row],[CORRESP. CARRO]])</f>
        <v>19002</v>
      </c>
      <c r="V19" s="126">
        <f>IF(OR(ISERR(autocompAlmoco[[#This Row],[CORRESP HORARIO]]), autocompAlmoco[[#This Row],[CORRESP HORARIO]]&lt;&gt;"NÃO"),autocompAlmoco[[#This Row],[CORRESP HORARIO]],"")</f>
        <v>0.47013888888888888</v>
      </c>
      <c r="W19" s="4" t="s">
        <v>299</v>
      </c>
      <c r="X19" s="1" t="s">
        <v>43</v>
      </c>
      <c r="Y19" s="1">
        <f>IF(tabAlmoco[[#This Row],[MOTORISTA]]="","",COUNTIF(autocompAlmoco[COMP ESCALA ATUAL],autocompAlmoco[[#This Row],[COMP ESCALA ATUAL]]))</f>
        <v>1</v>
      </c>
      <c r="Z19" s="105">
        <f>IF(tabAlmoco[[#This Row],[MOTORISTA]]&lt;&gt;0,15,"")</f>
        <v>15</v>
      </c>
      <c r="AA19" s="4" t="str">
        <f>autocompAlmoco[[#This Row],[CORRESP LINHA]]</f>
        <v>GOIANIA (GO) X SAO LUIS (MA)</v>
      </c>
    </row>
    <row r="20" spans="3:27" hidden="1" x14ac:dyDescent="0.25">
      <c r="C20" s="140" t="s">
        <v>226</v>
      </c>
      <c r="D20" s="56" t="str">
        <f>IF(tabAlmoco[[#This Row],[MOTORISTA]]="","",_xlfn.CONCAT(tabAlmoco[[#This Row],[DATA]],"+",tabAlmoco[[#This Row],[MOTORISTA]]))</f>
        <v>45887+RONALDO ADRIANO COSTA SANTOS - 5637</v>
      </c>
      <c r="E20" s="56" t="str">
        <f>_xlfn.XLOOKUP(autocompAlmoco[[#This Row],[COMP ESCALA ATUAL]],tabE.Flux[COMP.AT. MOT A],tabE.Flux[LINHA],"NÃO",0,1)</f>
        <v>NÃO</v>
      </c>
      <c r="F20" s="56" t="str">
        <f>_xlfn.XLOOKUP(autocompAlmoco[[#This Row],[COMP ESCALA ATUAL]],tabE.Flux[COMP.AT. MOT B],tabE.Flux[LINHA],"NÃO",0,1)</f>
        <v>GOIANIA (GO) X SAO LUIS (MA)</v>
      </c>
      <c r="G20" s="61" t="str">
        <f>IF(AND(autocompAlmoco[[#This Row],[EXISTE MOT A AT]]="NÃO", autocompAlmoco[[#This Row],[EXISTE MOT B AT]]="NÃO"),"NÃO","SIM")</f>
        <v>SIM</v>
      </c>
      <c r="H20" s="71" t="str">
        <f>IF(autocompAlmoco[[#This Row],[EXISTE ESCALA ATUAL]]="NÃO",_xlfn.CONCAT(tabAlmoco[[#This Row],[DATA]]-1,"+",tabAlmoco[[#This Row],[MOTORISTA]]),"NÃO")</f>
        <v>NÃO</v>
      </c>
      <c r="I20" s="57" t="str">
        <f>IF(autocompAlmoco[[#This Row],[COMP ESCALA ANTERIOR]]="NÃO","NÃO",_xlfn.XLOOKUP(autocompAlmoco[[#This Row],[COMP ESCALA ANTERIOR]],tabE.Flux[COMP.AT. MOT A],tabE.Flux[LINHA],"NÃO",0,1))</f>
        <v>NÃO</v>
      </c>
      <c r="J20" s="58" t="str">
        <f>IF(autocompAlmoco[[#This Row],[COMP ESCALA ANTERIOR]]="NÃO","NÃO",_xlfn.XLOOKUP(autocompAlmoco[[#This Row],[COMP ESCALA ANTERIOR]],tabE.Flux[COMP.AT. MOT B],tabE.Flux[LINHA],"NÃO",0,1))</f>
        <v>NÃO</v>
      </c>
      <c r="K20" s="62" t="str">
        <f>IF(AND(autocompAlmoco[[#This Row],[EXISTE MOT A ANT]]="NÃO",autocompAlmoco[[#This Row],[EXISTE MOT B ANT]]="NÃO"),"NÃO","SIM")</f>
        <v>NÃO</v>
      </c>
      <c r="L20" s="73" t="str">
        <f t="shared" si="0"/>
        <v>45888+RONALDO ADRIANO COSTA SANTOS - 5637</v>
      </c>
      <c r="M20" s="59" t="str">
        <f>IF(autocompAlmoco[[#This Row],[COMP ESCALA POSTERIOR]]="NÃO","NÃO",_xlfn.XLOOKUP(autocompAlmoco[[#This Row],[COMP ESCALA POSTERIOR]],tabE.Flux[COMP.AT. MOT A],tabE.Flux[LINHA],"NÃO",0,1))</f>
        <v>NÃO</v>
      </c>
      <c r="N20" s="59" t="str">
        <f>IF(autocompAlmoco[[#This Row],[COMP ESCALA POSTERIOR]]="NÃO","NÃO",_xlfn.XLOOKUP(autocompAlmoco[[#This Row],[COMP ESCALA POSTERIOR]],tabE.Flux[COMP.AT. MOT B],tabE.Flux[LINHA],"NÃO",0,1))</f>
        <v>NÃO</v>
      </c>
      <c r="O20" s="65" t="str">
        <f>IF(AND(autocompAlmoco[[#This Row],[EXISTE MOT A POS]]="NÃO",autocompAlmoco[[#This Row],[EXISTE MOT B POS]]="NÃO"),"NÃO","SIM")</f>
        <v>NÃO</v>
      </c>
      <c r="P20" s="66" t="str" cm="1">
        <f t="array" ref="P2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0" s="75" t="str" cm="1">
        <f t="array" ref="Q2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45887+RONALDO ADRIANO COSTA SANTOS - 5637+GOIANIA (GO) X SAO LUIS (MA)</v>
      </c>
      <c r="R20" s="67">
        <f>_xlfn.XLOOKUP(autocompAlmoco[[#This Row],[COMP ESCALA]],tabE.Flux[COMP. ESCALA MOT B],tabE.Flux[CARRO],
(_xlfn.XLOOKUP(autocompAlmoco[[#This Row],[COMP ESCALA]],tabE.Flux[COMP. ESCALA MOT A],tabE.Flux[CARRO],"N/E",0,1)),0,1)</f>
        <v>24004</v>
      </c>
      <c r="S20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20" s="127">
        <v>45887</v>
      </c>
      <c r="U20" s="4">
        <f>IF(IFERROR(autocompAlmoco[[#This Row],[CORRESP. CARRO]],"")="NÃO",(IF(tabAlmoco[[#This Row],[MOTORISTA]]=0,"","PASSE?")),autocompAlmoco[[#This Row],[CORRESP. CARRO]])</f>
        <v>24004</v>
      </c>
      <c r="V20" s="126">
        <f>IF(OR(ISERR(autocompAlmoco[[#This Row],[CORRESP HORARIO]]), autocompAlmoco[[#This Row],[CORRESP HORARIO]]&lt;&gt;"NÃO"),autocompAlmoco[[#This Row],[CORRESP HORARIO]],"")</f>
        <v>0.79166666666666663</v>
      </c>
      <c r="W20" s="4" t="s">
        <v>299</v>
      </c>
      <c r="X20" s="1" t="s">
        <v>41</v>
      </c>
      <c r="Y20" s="1">
        <f>IF(tabAlmoco[[#This Row],[MOTORISTA]]="","",COUNTIF(autocompAlmoco[COMP ESCALA ATUAL],autocompAlmoco[[#This Row],[COMP ESCALA ATUAL]]))</f>
        <v>1</v>
      </c>
      <c r="Z20" s="105">
        <f>IF(tabAlmoco[[#This Row],[MOTORISTA]]&lt;&gt;0,15,"")</f>
        <v>15</v>
      </c>
      <c r="AA20" s="4" t="str">
        <f>autocompAlmoco[[#This Row],[CORRESP LINHA]]</f>
        <v>GOIANIA (GO) X SAO LUIS (MA)</v>
      </c>
    </row>
    <row r="21" spans="3:27" hidden="1" x14ac:dyDescent="0.25">
      <c r="C21" s="140" t="s">
        <v>226</v>
      </c>
      <c r="D21" s="56" t="str">
        <f>IF(tabAlmoco[[#This Row],[MOTORISTA]]="","",_xlfn.CONCAT(tabAlmoco[[#This Row],[DATA]],"+",tabAlmoco[[#This Row],[MOTORISTA]]))</f>
        <v>45887+ADEMILTON DE OLIVEIRA SILVA - 5559</v>
      </c>
      <c r="E21" s="56" t="str">
        <f>_xlfn.XLOOKUP(autocompAlmoco[[#This Row],[COMP ESCALA ATUAL]],tabE.Flux[COMP.AT. MOT A],tabE.Flux[LINHA],"NÃO",0,1)</f>
        <v>NÃO</v>
      </c>
      <c r="F21" s="56" t="str">
        <f>_xlfn.XLOOKUP(autocompAlmoco[[#This Row],[COMP ESCALA ATUAL]],tabE.Flux[COMP.AT. MOT B],tabE.Flux[LINHA],"NÃO",0,1)</f>
        <v>NÃO</v>
      </c>
      <c r="G21" s="61" t="str">
        <f>IF(AND(autocompAlmoco[[#This Row],[EXISTE MOT A AT]]="NÃO", autocompAlmoco[[#This Row],[EXISTE MOT B AT]]="NÃO"),"NÃO","SIM")</f>
        <v>NÃO</v>
      </c>
      <c r="H21" s="71" t="str">
        <f>IF(autocompAlmoco[[#This Row],[EXISTE ESCALA ATUAL]]="NÃO",_xlfn.CONCAT(tabAlmoco[[#This Row],[DATA]]-1,"+",tabAlmoco[[#This Row],[MOTORISTA]]),"NÃO")</f>
        <v>45886+ADEMILTON DE OLIVEIRA SILVA - 5559</v>
      </c>
      <c r="I21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1" s="58" t="str">
        <f>IF(autocompAlmoco[[#This Row],[COMP ESCALA ANTERIOR]]="NÃO","NÃO",_xlfn.XLOOKUP(autocompAlmoco[[#This Row],[COMP ESCALA ANTERIOR]],tabE.Flux[COMP.AT. MOT B],tabE.Flux[LINHA],"NÃO",0,1))</f>
        <v>NÃO</v>
      </c>
      <c r="K21" s="62" t="str">
        <f>IF(AND(autocompAlmoco[[#This Row],[EXISTE MOT A ANT]]="NÃO",autocompAlmoco[[#This Row],[EXISTE MOT B ANT]]="NÃO"),"NÃO","SIM")</f>
        <v>SIM</v>
      </c>
      <c r="L21" s="73" t="str">
        <f t="shared" si="0"/>
        <v>45888+ADEMILTON DE OLIVEIRA SILVA - 5559</v>
      </c>
      <c r="M21" s="59" t="str">
        <f>IF(autocompAlmoco[[#This Row],[COMP ESCALA POSTERIOR]]="NÃO","NÃO",_xlfn.XLOOKUP(autocompAlmoco[[#This Row],[COMP ESCALA POSTERIOR]],tabE.Flux[COMP.AT. MOT A],tabE.Flux[LINHA],"NÃO",0,1))</f>
        <v>NÃO</v>
      </c>
      <c r="N21" s="59" t="str">
        <f>IF(autocompAlmoco[[#This Row],[COMP ESCALA POSTERIOR]]="NÃO","NÃO",_xlfn.XLOOKUP(autocompAlmoco[[#This Row],[COMP ESCALA POSTERIOR]],tabE.Flux[COMP.AT. MOT B],tabE.Flux[LINHA],"NÃO",0,1))</f>
        <v>NÃO</v>
      </c>
      <c r="O21" s="65" t="str">
        <f>IF(AND(autocompAlmoco[[#This Row],[EXISTE MOT A POS]]="NÃO",autocompAlmoco[[#This Row],[EXISTE MOT B POS]]="NÃO"),"NÃO","SIM")</f>
        <v>NÃO</v>
      </c>
      <c r="P21" s="66" t="str" cm="1">
        <f t="array" ref="P2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1" s="75" t="str" cm="1">
        <f t="array" ref="Q2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45886+ADEMILTON DE OLIVEIRA SILVA - 5559+GOIANIA (GO) X TERESINA (PI) VIA STI</v>
      </c>
      <c r="R21" s="67">
        <f>_xlfn.XLOOKUP(autocompAlmoco[[#This Row],[COMP ESCALA]],tabE.Flux[COMP. ESCALA MOT B],tabE.Flux[CARRO],
(_xlfn.XLOOKUP(autocompAlmoco[[#This Row],[COMP ESCALA]],tabE.Flux[COMP. ESCALA MOT A],tabE.Flux[CARRO],"N/E",0,1)),0,1)</f>
        <v>19005</v>
      </c>
      <c r="S21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1" s="127">
        <v>45887</v>
      </c>
      <c r="U21" s="4">
        <f>IF(IFERROR(autocompAlmoco[[#This Row],[CORRESP. CARRO]],"")="NÃO",(IF(tabAlmoco[[#This Row],[MOTORISTA]]=0,"","PASSE?")),autocompAlmoco[[#This Row],[CORRESP. CARRO]])</f>
        <v>19005</v>
      </c>
      <c r="V21" s="126">
        <f>IF(OR(ISERR(autocompAlmoco[[#This Row],[CORRESP HORARIO]]), autocompAlmoco[[#This Row],[CORRESP HORARIO]]&lt;&gt;"NÃO"),autocompAlmoco[[#This Row],[CORRESP HORARIO]],"")</f>
        <v>0.79861111111111116</v>
      </c>
      <c r="W21" s="4" t="s">
        <v>299</v>
      </c>
      <c r="X21" s="1" t="s">
        <v>40</v>
      </c>
      <c r="Y21" s="1">
        <f>IF(tabAlmoco[[#This Row],[MOTORISTA]]="","",COUNTIF(autocompAlmoco[COMP ESCALA ATUAL],autocompAlmoco[[#This Row],[COMP ESCALA ATUAL]]))</f>
        <v>1</v>
      </c>
      <c r="Z21" s="105">
        <f>IF(tabAlmoco[[#This Row],[MOTORISTA]]&lt;&gt;0,15,"")</f>
        <v>15</v>
      </c>
      <c r="AA21" s="4" t="str">
        <f>autocompAlmoco[[#This Row],[CORRESP LINHA]]</f>
        <v>GOIANIA (GO) X TERESINA (PI) VIA STI</v>
      </c>
    </row>
    <row r="22" spans="3:27" hidden="1" x14ac:dyDescent="0.25">
      <c r="C22" s="140" t="s">
        <v>226</v>
      </c>
      <c r="D22" s="56" t="str">
        <f>IF(tabAlmoco[[#This Row],[MOTORISTA]]="","",_xlfn.CONCAT(tabAlmoco[[#This Row],[DATA]],"+",tabAlmoco[[#This Row],[MOTORISTA]]))</f>
        <v>45888+JOSE POLICARPO DE SOUSA NETO - 1472</v>
      </c>
      <c r="E22" s="56" t="str">
        <f>_xlfn.XLOOKUP(autocompAlmoco[[#This Row],[COMP ESCALA ATUAL]],tabE.Flux[COMP.AT. MOT A],tabE.Flux[LINHA],"NÃO",0,1)</f>
        <v>NÃO</v>
      </c>
      <c r="F22" s="56" t="str">
        <f>_xlfn.XLOOKUP(autocompAlmoco[[#This Row],[COMP ESCALA ATUAL]],tabE.Flux[COMP.AT. MOT B],tabE.Flux[LINHA],"NÃO",0,1)</f>
        <v>GOIANIA (GO) X SAO LUIS (MA)</v>
      </c>
      <c r="G22" s="61" t="str">
        <f>IF(AND(autocompAlmoco[[#This Row],[EXISTE MOT A AT]]="NÃO", autocompAlmoco[[#This Row],[EXISTE MOT B AT]]="NÃO"),"NÃO","SIM")</f>
        <v>SIM</v>
      </c>
      <c r="H22" s="71" t="str">
        <f>IF(autocompAlmoco[[#This Row],[EXISTE ESCALA ATUAL]]="NÃO",_xlfn.CONCAT(tabAlmoco[[#This Row],[DATA]]-1,"+",tabAlmoco[[#This Row],[MOTORISTA]]),"NÃO")</f>
        <v>NÃO</v>
      </c>
      <c r="I22" s="57" t="str">
        <f>IF(autocompAlmoco[[#This Row],[COMP ESCALA ANTERIOR]]="NÃO","NÃO",_xlfn.XLOOKUP(autocompAlmoco[[#This Row],[COMP ESCALA ANTERIOR]],tabE.Flux[COMP.AT. MOT A],tabE.Flux[LINHA],"NÃO",0,1))</f>
        <v>NÃO</v>
      </c>
      <c r="J22" s="58" t="str">
        <f>IF(autocompAlmoco[[#This Row],[COMP ESCALA ANTERIOR]]="NÃO","NÃO",_xlfn.XLOOKUP(autocompAlmoco[[#This Row],[COMP ESCALA ANTERIOR]],tabE.Flux[COMP.AT. MOT B],tabE.Flux[LINHA],"NÃO",0,1))</f>
        <v>NÃO</v>
      </c>
      <c r="K22" s="62" t="str">
        <f>IF(AND(autocompAlmoco[[#This Row],[EXISTE MOT A ANT]]="NÃO",autocompAlmoco[[#This Row],[EXISTE MOT B ANT]]="NÃO"),"NÃO","SIM")</f>
        <v>NÃO</v>
      </c>
      <c r="L22" s="73" t="str">
        <f t="shared" si="0"/>
        <v>45889+JOSE POLICARPO DE SOUSA NETO - 1472</v>
      </c>
      <c r="M22" s="59" t="str">
        <f>IF(autocompAlmoco[[#This Row],[COMP ESCALA POSTERIOR]]="NÃO","NÃO",_xlfn.XLOOKUP(autocompAlmoco[[#This Row],[COMP ESCALA POSTERIOR]],tabE.Flux[COMP.AT. MOT A],tabE.Flux[LINHA],"NÃO",0,1))</f>
        <v>NÃO</v>
      </c>
      <c r="N22" s="59" t="str">
        <f>IF(autocompAlmoco[[#This Row],[COMP ESCALA POSTERIOR]]="NÃO","NÃO",_xlfn.XLOOKUP(autocompAlmoco[[#This Row],[COMP ESCALA POSTERIOR]],tabE.Flux[COMP.AT. MOT B],tabE.Flux[LINHA],"NÃO",0,1))</f>
        <v>NÃO</v>
      </c>
      <c r="O22" s="65" t="str">
        <f>IF(AND(autocompAlmoco[[#This Row],[EXISTE MOT A POS]]="NÃO",autocompAlmoco[[#This Row],[EXISTE MOT B POS]]="NÃO"),"NÃO","SIM")</f>
        <v>NÃO</v>
      </c>
      <c r="P22" s="66" t="str" cm="1">
        <f t="array" ref="P2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2" s="75" t="str" cm="1">
        <f t="array" ref="Q2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45888+JOSE POLICARPO DE SOUSA NETO - 1472+GOIANIA (GO) X SAO LUIS (MA)</v>
      </c>
      <c r="R22" s="67">
        <f>_xlfn.XLOOKUP(autocompAlmoco[[#This Row],[COMP ESCALA]],tabE.Flux[COMP. ESCALA MOT B],tabE.Flux[CARRO],
(_xlfn.XLOOKUP(autocompAlmoco[[#This Row],[COMP ESCALA]],tabE.Flux[COMP. ESCALA MOT A],tabE.Flux[CARRO],"N/E",0,1)),0,1)</f>
        <v>19003</v>
      </c>
      <c r="S22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2" s="127">
        <v>45888</v>
      </c>
      <c r="U22" s="4">
        <f>IF(IFERROR(autocompAlmoco[[#This Row],[CORRESP. CARRO]],"")="NÃO",(IF(tabAlmoco[[#This Row],[MOTORISTA]]=0,"","PASSE?")),autocompAlmoco[[#This Row],[CORRESP. CARRO]])</f>
        <v>19003</v>
      </c>
      <c r="V22" s="126">
        <f>IF(OR(ISERR(autocompAlmoco[[#This Row],[CORRESP HORARIO]]), autocompAlmoco[[#This Row],[CORRESP HORARIO]]&lt;&gt;"NÃO"),autocompAlmoco[[#This Row],[CORRESP HORARIO]],"")</f>
        <v>0.29166666666666669</v>
      </c>
      <c r="W22" s="4" t="s">
        <v>299</v>
      </c>
      <c r="X22" s="4" t="s">
        <v>54</v>
      </c>
      <c r="Y22" s="1">
        <f>IF(tabAlmoco[[#This Row],[MOTORISTA]]="","",COUNTIF(autocompAlmoco[COMP ESCALA ATUAL],autocompAlmoco[[#This Row],[COMP ESCALA ATUAL]]))</f>
        <v>1</v>
      </c>
      <c r="Z22" s="45">
        <f>IF(tabAlmoco[[#This Row],[MOTORISTA]]&lt;&gt;0,15,"")</f>
        <v>15</v>
      </c>
      <c r="AA22" s="4" t="str">
        <f>autocompAlmoco[[#This Row],[CORRESP LINHA]]</f>
        <v>GOIANIA (GO) X SAO LUIS (MA)</v>
      </c>
    </row>
    <row r="23" spans="3:27" hidden="1" x14ac:dyDescent="0.25">
      <c r="C23" s="140" t="s">
        <v>226</v>
      </c>
      <c r="D23" s="56" t="str">
        <f>IF(tabAlmoco[[#This Row],[MOTORISTA]]="","",_xlfn.CONCAT(tabAlmoco[[#This Row],[DATA]],"+",tabAlmoco[[#This Row],[MOTORISTA]]))</f>
        <v>45888+GILVAN DE SOUSA FRANCA - 5834</v>
      </c>
      <c r="E23" s="56" t="str">
        <f>_xlfn.XLOOKUP(autocompAlmoco[[#This Row],[COMP ESCALA ATUAL]],tabE.Flux[COMP.AT. MOT A],tabE.Flux[LINHA],"NÃO",0,1)</f>
        <v>NÃO</v>
      </c>
      <c r="F23" s="56" t="str">
        <f>_xlfn.XLOOKUP(autocompAlmoco[[#This Row],[COMP ESCALA ATUAL]],tabE.Flux[COMP.AT. MOT B],tabE.Flux[LINHA],"NÃO",0,1)</f>
        <v>NÃO</v>
      </c>
      <c r="G23" s="61" t="str">
        <f>IF(AND(autocompAlmoco[[#This Row],[EXISTE MOT A AT]]="NÃO", autocompAlmoco[[#This Row],[EXISTE MOT B AT]]="NÃO"),"NÃO","SIM")</f>
        <v>NÃO</v>
      </c>
      <c r="H23" s="71" t="str">
        <f>IF(autocompAlmoco[[#This Row],[EXISTE ESCALA ATUAL]]="NÃO",_xlfn.CONCAT(tabAlmoco[[#This Row],[DATA]]-1,"+",tabAlmoco[[#This Row],[MOTORISTA]]),"NÃO")</f>
        <v>45887+GILVAN DE SOUSA FRANCA - 5834</v>
      </c>
      <c r="I23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3" s="58" t="str">
        <f>IF(autocompAlmoco[[#This Row],[COMP ESCALA ANTERIOR]]="NÃO","NÃO",_xlfn.XLOOKUP(autocompAlmoco[[#This Row],[COMP ESCALA ANTERIOR]],tabE.Flux[COMP.AT. MOT B],tabE.Flux[LINHA],"NÃO",0,1))</f>
        <v>NÃO</v>
      </c>
      <c r="K23" s="62" t="str">
        <f>IF(AND(autocompAlmoco[[#This Row],[EXISTE MOT A ANT]]="NÃO",autocompAlmoco[[#This Row],[EXISTE MOT B ANT]]="NÃO"),"NÃO","SIM")</f>
        <v>SIM</v>
      </c>
      <c r="L23" s="73" t="str">
        <f t="shared" si="0"/>
        <v>45889+GILVAN DE SOUSA FRANCA - 5834</v>
      </c>
      <c r="M23" s="59" t="str">
        <f>IF(autocompAlmoco[[#This Row],[COMP ESCALA POSTERIOR]]="NÃO","NÃO",_xlfn.XLOOKUP(autocompAlmoco[[#This Row],[COMP ESCALA POSTERIOR]],tabE.Flux[COMP.AT. MOT A],tabE.Flux[LINHA],"NÃO",0,1))</f>
        <v>NÃO</v>
      </c>
      <c r="N23" s="59" t="str">
        <f>IF(autocompAlmoco[[#This Row],[COMP ESCALA POSTERIOR]]="NÃO","NÃO",_xlfn.XLOOKUP(autocompAlmoco[[#This Row],[COMP ESCALA POSTERIOR]],tabE.Flux[COMP.AT. MOT B],tabE.Flux[LINHA],"NÃO",0,1))</f>
        <v>NÃO</v>
      </c>
      <c r="O23" s="65" t="str">
        <f>IF(AND(autocompAlmoco[[#This Row],[EXISTE MOT A POS]]="NÃO",autocompAlmoco[[#This Row],[EXISTE MOT B POS]]="NÃO"),"NÃO","SIM")</f>
        <v>NÃO</v>
      </c>
      <c r="P23" s="66" t="str" cm="1">
        <f t="array" ref="P2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3" s="75" t="str" cm="1">
        <f t="array" ref="Q2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45887+GILVAN DE SOUSA FRANCA - 5834+GOIANIA (GO) X TERESINA (PI) VIA STI</v>
      </c>
      <c r="R23" s="67">
        <f>_xlfn.XLOOKUP(autocompAlmoco[[#This Row],[COMP ESCALA]],tabE.Flux[COMP. ESCALA MOT B],tabE.Flux[CARRO],
(_xlfn.XLOOKUP(autocompAlmoco[[#This Row],[COMP ESCALA]],tabE.Flux[COMP. ESCALA MOT A],tabE.Flux[CARRO],"N/E",0,1)),0,1)</f>
        <v>19017</v>
      </c>
      <c r="S23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3" s="127">
        <v>45888</v>
      </c>
      <c r="U23" s="4">
        <f>IF(IFERROR(autocompAlmoco[[#This Row],[CORRESP. CARRO]],"")="NÃO",(IF(tabAlmoco[[#This Row],[MOTORISTA]]=0,"","PASSE?")),autocompAlmoco[[#This Row],[CORRESP. CARRO]])</f>
        <v>19017</v>
      </c>
      <c r="V23" s="126">
        <f>IF(OR(ISERR(autocompAlmoco[[#This Row],[CORRESP HORARIO]]), autocompAlmoco[[#This Row],[CORRESP HORARIO]]&lt;&gt;"NÃO"),autocompAlmoco[[#This Row],[CORRESP HORARIO]],"")</f>
        <v>0.79861111111111116</v>
      </c>
      <c r="W23" s="4" t="s">
        <v>299</v>
      </c>
      <c r="X23" s="4" t="s">
        <v>35</v>
      </c>
      <c r="Y23" s="1">
        <f>IF(tabAlmoco[[#This Row],[MOTORISTA]]="","",COUNTIF(autocompAlmoco[COMP ESCALA ATUAL],autocompAlmoco[[#This Row],[COMP ESCALA ATUAL]]))</f>
        <v>1</v>
      </c>
      <c r="Z23" s="45">
        <f>IF(tabAlmoco[[#This Row],[MOTORISTA]]&lt;&gt;0,15,"")</f>
        <v>15</v>
      </c>
      <c r="AA23" s="4" t="str">
        <f>autocompAlmoco[[#This Row],[CORRESP LINHA]]</f>
        <v>GOIANIA (GO) X TERESINA (PI) VIA STI</v>
      </c>
    </row>
    <row r="24" spans="3:27" hidden="1" x14ac:dyDescent="0.25">
      <c r="C24" s="140" t="s">
        <v>226</v>
      </c>
      <c r="D24" s="56" t="str">
        <f>IF(tabAlmoco[[#This Row],[MOTORISTA]]="","",_xlfn.CONCAT(tabAlmoco[[#This Row],[DATA]],"+",tabAlmoco[[#This Row],[MOTORISTA]]))</f>
        <v>45888+FRANCISCO BATISTA DE LIMA - 1827</v>
      </c>
      <c r="E24" s="56" t="str">
        <f>_xlfn.XLOOKUP(autocompAlmoco[[#This Row],[COMP ESCALA ATUAL]],tabE.Flux[COMP.AT. MOT A],tabE.Flux[LINHA],"NÃO",0,1)</f>
        <v>NÃO</v>
      </c>
      <c r="F24" s="56" t="str">
        <f>_xlfn.XLOOKUP(autocompAlmoco[[#This Row],[COMP ESCALA ATUAL]],tabE.Flux[COMP.AT. MOT B],tabE.Flux[LINHA],"NÃO",0,1)</f>
        <v>GOIANIA (GO) X SAO LUIS (MA)</v>
      </c>
      <c r="G24" s="61" t="str">
        <f>IF(AND(autocompAlmoco[[#This Row],[EXISTE MOT A AT]]="NÃO", autocompAlmoco[[#This Row],[EXISTE MOT B AT]]="NÃO"),"NÃO","SIM")</f>
        <v>SIM</v>
      </c>
      <c r="H24" s="71" t="str">
        <f>IF(autocompAlmoco[[#This Row],[EXISTE ESCALA ATUAL]]="NÃO",_xlfn.CONCAT(tabAlmoco[[#This Row],[DATA]]-1,"+",tabAlmoco[[#This Row],[MOTORISTA]]),"NÃO")</f>
        <v>NÃO</v>
      </c>
      <c r="I24" s="57" t="str">
        <f>IF(autocompAlmoco[[#This Row],[COMP ESCALA ANTERIOR]]="NÃO","NÃO",_xlfn.XLOOKUP(autocompAlmoco[[#This Row],[COMP ESCALA ANTERIOR]],tabE.Flux[COMP.AT. MOT A],tabE.Flux[LINHA],"NÃO",0,1))</f>
        <v>NÃO</v>
      </c>
      <c r="J24" s="58" t="str">
        <f>IF(autocompAlmoco[[#This Row],[COMP ESCALA ANTERIOR]]="NÃO","NÃO",_xlfn.XLOOKUP(autocompAlmoco[[#This Row],[COMP ESCALA ANTERIOR]],tabE.Flux[COMP.AT. MOT B],tabE.Flux[LINHA],"NÃO",0,1))</f>
        <v>NÃO</v>
      </c>
      <c r="K24" s="62" t="str">
        <f>IF(AND(autocompAlmoco[[#This Row],[EXISTE MOT A ANT]]="NÃO",autocompAlmoco[[#This Row],[EXISTE MOT B ANT]]="NÃO"),"NÃO","SIM")</f>
        <v>NÃO</v>
      </c>
      <c r="L24" s="73" t="str">
        <f t="shared" si="0"/>
        <v>45889+FRANCISCO BATISTA DE LIMA - 1827</v>
      </c>
      <c r="M24" s="59" t="str">
        <f>IF(autocompAlmoco[[#This Row],[COMP ESCALA POSTERIOR]]="NÃO","NÃO",_xlfn.XLOOKUP(autocompAlmoco[[#This Row],[COMP ESCALA POSTERIOR]],tabE.Flux[COMP.AT. MOT A],tabE.Flux[LINHA],"NÃO",0,1))</f>
        <v>NÃO</v>
      </c>
      <c r="N24" s="59" t="str">
        <f>IF(autocompAlmoco[[#This Row],[COMP ESCALA POSTERIOR]]="NÃO","NÃO",_xlfn.XLOOKUP(autocompAlmoco[[#This Row],[COMP ESCALA POSTERIOR]],tabE.Flux[COMP.AT. MOT B],tabE.Flux[LINHA],"NÃO",0,1))</f>
        <v>NÃO</v>
      </c>
      <c r="O24" s="65" t="str">
        <f>IF(AND(autocompAlmoco[[#This Row],[EXISTE MOT A POS]]="NÃO",autocompAlmoco[[#This Row],[EXISTE MOT B POS]]="NÃO"),"NÃO","SIM")</f>
        <v>NÃO</v>
      </c>
      <c r="P24" s="66" t="str" cm="1">
        <f t="array" ref="P2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4" s="75" t="str" cm="1">
        <f t="array" ref="Q2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45888+FRANCISCO BATISTA DE LIMA - 1827+GOIANIA (GO) X SAO LUIS (MA)</v>
      </c>
      <c r="R24" s="67">
        <f>_xlfn.XLOOKUP(autocompAlmoco[[#This Row],[COMP ESCALA]],tabE.Flux[COMP. ESCALA MOT B],tabE.Flux[CARRO],
(_xlfn.XLOOKUP(autocompAlmoco[[#This Row],[COMP ESCALA]],tabE.Flux[COMP. ESCALA MOT A],tabE.Flux[CARRO],"N/E",0,1)),0,1)</f>
        <v>25012</v>
      </c>
      <c r="S24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24" s="127">
        <v>45888</v>
      </c>
      <c r="U24" s="4">
        <f>IF(IFERROR(autocompAlmoco[[#This Row],[CORRESP. CARRO]],"")="NÃO",(IF(tabAlmoco[[#This Row],[MOTORISTA]]=0,"","PASSE?")),autocompAlmoco[[#This Row],[CORRESP. CARRO]])</f>
        <v>25012</v>
      </c>
      <c r="V24" s="126">
        <f>IF(OR(ISERR(autocompAlmoco[[#This Row],[CORRESP HORARIO]]), autocompAlmoco[[#This Row],[CORRESP HORARIO]]&lt;&gt;"NÃO"),autocompAlmoco[[#This Row],[CORRESP HORARIO]],"")</f>
        <v>0.79166666666666663</v>
      </c>
      <c r="W24" s="4" t="s">
        <v>299</v>
      </c>
      <c r="X24" s="4" t="s">
        <v>128</v>
      </c>
      <c r="Y24" s="1">
        <f>IF(tabAlmoco[[#This Row],[MOTORISTA]]="","",COUNTIF(autocompAlmoco[COMP ESCALA ATUAL],autocompAlmoco[[#This Row],[COMP ESCALA ATUAL]]))</f>
        <v>1</v>
      </c>
      <c r="Z24" s="45">
        <f>IF(tabAlmoco[[#This Row],[MOTORISTA]]&lt;&gt;0,15,"")</f>
        <v>15</v>
      </c>
      <c r="AA24" s="4" t="str">
        <f>autocompAlmoco[[#This Row],[CORRESP LINHA]]</f>
        <v>GOIANIA (GO) X SAO LUIS (MA)</v>
      </c>
    </row>
    <row r="25" spans="3:27" hidden="1" x14ac:dyDescent="0.25">
      <c r="C25" s="140" t="s">
        <v>226</v>
      </c>
      <c r="D25" s="56" t="str">
        <f>IF(tabAlmoco[[#This Row],[MOTORISTA]]="","",_xlfn.CONCAT(tabAlmoco[[#This Row],[DATA]],"+",tabAlmoco[[#This Row],[MOTORISTA]]))</f>
        <v>45888+FRANCISCO WILSON SOARES - 1537</v>
      </c>
      <c r="E25" s="56" t="str">
        <f>_xlfn.XLOOKUP(autocompAlmoco[[#This Row],[COMP ESCALA ATUAL]],tabE.Flux[COMP.AT. MOT A],tabE.Flux[LINHA],"NÃO",0,1)</f>
        <v>NÃO</v>
      </c>
      <c r="F25" s="56" t="str">
        <f>_xlfn.XLOOKUP(autocompAlmoco[[#This Row],[COMP ESCALA ATUAL]],tabE.Flux[COMP.AT. MOT B],tabE.Flux[LINHA],"NÃO",0,1)</f>
        <v>NÃO</v>
      </c>
      <c r="G25" s="61" t="str">
        <f>IF(AND(autocompAlmoco[[#This Row],[EXISTE MOT A AT]]="NÃO", autocompAlmoco[[#This Row],[EXISTE MOT B AT]]="NÃO"),"NÃO","SIM")</f>
        <v>NÃO</v>
      </c>
      <c r="H25" s="71" t="str">
        <f>IF(autocompAlmoco[[#This Row],[EXISTE ESCALA ATUAL]]="NÃO",_xlfn.CONCAT(tabAlmoco[[#This Row],[DATA]]-1,"+",tabAlmoco[[#This Row],[MOTORISTA]]),"NÃO")</f>
        <v>45887+FRANCISCO WILSON SOARES - 1537</v>
      </c>
      <c r="I25" s="57" t="str">
        <f>IF(autocompAlmoco[[#This Row],[COMP ESCALA ANTERIOR]]="NÃO","NÃO",_xlfn.XLOOKUP(autocompAlmoco[[#This Row],[COMP ESCALA ANTERIOR]],tabE.Flux[COMP.AT. MOT A],tabE.Flux[LINHA],"NÃO",0,1))</f>
        <v>NÃO</v>
      </c>
      <c r="J25" s="58" t="str">
        <f>IF(autocompAlmoco[[#This Row],[COMP ESCALA ANTERIOR]]="NÃO","NÃO",_xlfn.XLOOKUP(autocompAlmoco[[#This Row],[COMP ESCALA ANTERIOR]],tabE.Flux[COMP.AT. MOT B],tabE.Flux[LINHA],"NÃO",0,1))</f>
        <v>NÃO</v>
      </c>
      <c r="K25" s="62" t="str">
        <f>IF(AND(autocompAlmoco[[#This Row],[EXISTE MOT A ANT]]="NÃO",autocompAlmoco[[#This Row],[EXISTE MOT B ANT]]="NÃO"),"NÃO","SIM")</f>
        <v>NÃO</v>
      </c>
      <c r="L25" s="73" t="str">
        <f t="shared" si="0"/>
        <v>45889+FRANCISCO WILSON SOARES - 1537</v>
      </c>
      <c r="M25" s="59" t="str">
        <f>IF(autocompAlmoco[[#This Row],[COMP ESCALA POSTERIOR]]="NÃO","NÃO",_xlfn.XLOOKUP(autocompAlmoco[[#This Row],[COMP ESCALA POSTERIOR]],tabE.Flux[COMP.AT. MOT A],tabE.Flux[LINHA],"NÃO",0,1))</f>
        <v>NÃO</v>
      </c>
      <c r="N25" s="59" t="str">
        <f>IF(autocompAlmoco[[#This Row],[COMP ESCALA POSTERIOR]]="NÃO","NÃO",_xlfn.XLOOKUP(autocompAlmoco[[#This Row],[COMP ESCALA POSTERIOR]],tabE.Flux[COMP.AT. MOT B],tabE.Flux[LINHA],"NÃO",0,1))</f>
        <v>FORTALEZA (CE) X SINOP (MT)</v>
      </c>
      <c r="O25" s="65" t="str">
        <f>IF(AND(autocompAlmoco[[#This Row],[EXISTE MOT A POS]]="NÃO",autocompAlmoco[[#This Row],[EXISTE MOT B POS]]="NÃO"),"NÃO","SIM")</f>
        <v>SIM</v>
      </c>
      <c r="P25" s="66" t="str" cm="1">
        <f t="array" ref="P2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25" s="75" t="str" cm="1">
        <f t="array" ref="Q2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45889+FRANCISCO WILSON SOARES - 1537+FORTALEZA (CE) X SINOP (MT)</v>
      </c>
      <c r="R25" s="67">
        <f>_xlfn.XLOOKUP(autocompAlmoco[[#This Row],[COMP ESCALA]],tabE.Flux[COMP. ESCALA MOT B],tabE.Flux[CARRO],
(_xlfn.XLOOKUP(autocompAlmoco[[#This Row],[COMP ESCALA]],tabE.Flux[COMP. ESCALA MOT A],tabE.Flux[CARRO],"N/E",0,1)),0,1)</f>
        <v>19013</v>
      </c>
      <c r="S25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25" s="127">
        <v>45888</v>
      </c>
      <c r="U25" s="4">
        <f>IF(IFERROR(autocompAlmoco[[#This Row],[CORRESP. CARRO]],"")="NÃO",(IF(tabAlmoco[[#This Row],[MOTORISTA]]=0,"","PASSE?")),autocompAlmoco[[#This Row],[CORRESP. CARRO]])</f>
        <v>19013</v>
      </c>
      <c r="V25" s="126">
        <f>IF(OR(ISERR(autocompAlmoco[[#This Row],[CORRESP HORARIO]]), autocompAlmoco[[#This Row],[CORRESP HORARIO]]&lt;&gt;"NÃO"),autocompAlmoco[[#This Row],[CORRESP HORARIO]],"")</f>
        <v>0.37708333333333333</v>
      </c>
      <c r="W25" s="4" t="s">
        <v>299</v>
      </c>
      <c r="X25" s="4" t="s">
        <v>159</v>
      </c>
      <c r="Y25" s="1">
        <f>IF(tabAlmoco[[#This Row],[MOTORISTA]]="","",COUNTIF(autocompAlmoco[COMP ESCALA ATUAL],autocompAlmoco[[#This Row],[COMP ESCALA ATUAL]]))</f>
        <v>1</v>
      </c>
      <c r="Z25" s="45">
        <f>IF(tabAlmoco[[#This Row],[MOTORISTA]]&lt;&gt;0,15,"")</f>
        <v>15</v>
      </c>
      <c r="AA25" s="4" t="str">
        <f>autocompAlmoco[[#This Row],[CORRESP LINHA]]</f>
        <v>FORTALEZA (CE) X SINOP (MT)</v>
      </c>
    </row>
    <row r="26" spans="3:27" hidden="1" x14ac:dyDescent="0.25">
      <c r="C26" s="140" t="s">
        <v>226</v>
      </c>
      <c r="D26" s="56" t="str">
        <f>IF(tabAlmoco[[#This Row],[MOTORISTA]]="","",_xlfn.CONCAT(tabAlmoco[[#This Row],[DATA]],"+",tabAlmoco[[#This Row],[MOTORISTA]]))</f>
        <v>45888+RAIMUNDO FERNANDES RIBEIRO - 907</v>
      </c>
      <c r="E26" s="56" t="str">
        <f>_xlfn.XLOOKUP(autocompAlmoco[[#This Row],[COMP ESCALA ATUAL]],tabE.Flux[COMP.AT. MOT A],tabE.Flux[LINHA],"NÃO",0,1)</f>
        <v>GOIANIA (GO) X SAO LUIS (MA)</v>
      </c>
      <c r="F26" s="56" t="str">
        <f>_xlfn.XLOOKUP(autocompAlmoco[[#This Row],[COMP ESCALA ATUAL]],tabE.Flux[COMP.AT. MOT B],tabE.Flux[LINHA],"NÃO",0,1)</f>
        <v>GOIANIA (GO) X SAO LUIS (MA)</v>
      </c>
      <c r="G26" s="61" t="str">
        <f>IF(AND(autocompAlmoco[[#This Row],[EXISTE MOT A AT]]="NÃO", autocompAlmoco[[#This Row],[EXISTE MOT B AT]]="NÃO"),"NÃO","SIM")</f>
        <v>SIM</v>
      </c>
      <c r="H26" s="71" t="str">
        <f>IF(autocompAlmoco[[#This Row],[EXISTE ESCALA ATUAL]]="NÃO",_xlfn.CONCAT(tabAlmoco[[#This Row],[DATA]]-1,"+",tabAlmoco[[#This Row],[MOTORISTA]]),"NÃO")</f>
        <v>NÃO</v>
      </c>
      <c r="I26" s="57" t="str">
        <f>IF(autocompAlmoco[[#This Row],[COMP ESCALA ANTERIOR]]="NÃO","NÃO",_xlfn.XLOOKUP(autocompAlmoco[[#This Row],[COMP ESCALA ANTERIOR]],tabE.Flux[COMP.AT. MOT A],tabE.Flux[LINHA],"NÃO",0,1))</f>
        <v>NÃO</v>
      </c>
      <c r="J26" s="58" t="str">
        <f>IF(autocompAlmoco[[#This Row],[COMP ESCALA ANTERIOR]]="NÃO","NÃO",_xlfn.XLOOKUP(autocompAlmoco[[#This Row],[COMP ESCALA ANTERIOR]],tabE.Flux[COMP.AT. MOT B],tabE.Flux[LINHA],"NÃO",0,1))</f>
        <v>NÃO</v>
      </c>
      <c r="K26" s="62" t="str">
        <f>IF(AND(autocompAlmoco[[#This Row],[EXISTE MOT A ANT]]="NÃO",autocompAlmoco[[#This Row],[EXISTE MOT B ANT]]="NÃO"),"NÃO","SIM")</f>
        <v>NÃO</v>
      </c>
      <c r="L26" s="73" t="str">
        <f t="shared" si="0"/>
        <v>45889+RAIMUNDO FERNANDES RIBEIRO - 907</v>
      </c>
      <c r="M26" s="59" t="str">
        <f>IF(autocompAlmoco[[#This Row],[COMP ESCALA POSTERIOR]]="NÃO","NÃO",_xlfn.XLOOKUP(autocompAlmoco[[#This Row],[COMP ESCALA POSTERIOR]],tabE.Flux[COMP.AT. MOT A],tabE.Flux[LINHA],"NÃO",0,1))</f>
        <v>NÃO</v>
      </c>
      <c r="N26" s="59" t="str">
        <f>IF(autocompAlmoco[[#This Row],[COMP ESCALA POSTERIOR]]="NÃO","NÃO",_xlfn.XLOOKUP(autocompAlmoco[[#This Row],[COMP ESCALA POSTERIOR]],tabE.Flux[COMP.AT. MOT B],tabE.Flux[LINHA],"NÃO",0,1))</f>
        <v>NÃO</v>
      </c>
      <c r="O26" s="65" t="str">
        <f>IF(AND(autocompAlmoco[[#This Row],[EXISTE MOT A POS]]="NÃO",autocompAlmoco[[#This Row],[EXISTE MOT B POS]]="NÃO"),"NÃO","SIM")</f>
        <v>NÃO</v>
      </c>
      <c r="P26" s="66" t="str" cm="1">
        <f t="array" ref="P2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6" s="75" t="str" cm="1">
        <f t="array" ref="Q2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45888+RAIMUNDO FERNANDES RIBEIRO - 907+GOIANIA (GO) X SAO LUIS (MA)</v>
      </c>
      <c r="R26" s="67">
        <f>_xlfn.XLOOKUP(autocompAlmoco[[#This Row],[COMP ESCALA]],tabE.Flux[COMP. ESCALA MOT B],tabE.Flux[CARRO],
(_xlfn.XLOOKUP(autocompAlmoco[[#This Row],[COMP ESCALA]],tabE.Flux[COMP. ESCALA MOT A],tabE.Flux[CARRO],"N/E",0,1)),0,1)</f>
        <v>24009</v>
      </c>
      <c r="S26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6" s="127">
        <v>45888</v>
      </c>
      <c r="U26" s="4">
        <f>IF(IFERROR(autocompAlmoco[[#This Row],[CORRESP. CARRO]],"")="NÃO",(IF(tabAlmoco[[#This Row],[MOTORISTA]]=0,"","PASSE?")),autocompAlmoco[[#This Row],[CORRESP. CARRO]])</f>
        <v>24009</v>
      </c>
      <c r="V26" s="126">
        <f>IF(OR(ISERR(autocompAlmoco[[#This Row],[CORRESP HORARIO]]), autocompAlmoco[[#This Row],[CORRESP HORARIO]]&lt;&gt;"NÃO"),autocompAlmoco[[#This Row],[CORRESP HORARIO]],"")</f>
        <v>0.29166666666666669</v>
      </c>
      <c r="W26" s="4" t="s">
        <v>299</v>
      </c>
      <c r="X26" s="4" t="s">
        <v>143</v>
      </c>
      <c r="Y26" s="1">
        <f>IF(tabAlmoco[[#This Row],[MOTORISTA]]="","",COUNTIF(autocompAlmoco[COMP ESCALA ATUAL],autocompAlmoco[[#This Row],[COMP ESCALA ATUAL]]))</f>
        <v>1</v>
      </c>
      <c r="Z26" s="45">
        <f>IF(tabAlmoco[[#This Row],[MOTORISTA]]&lt;&gt;0,15,"")</f>
        <v>15</v>
      </c>
      <c r="AA26" s="4" t="str">
        <f>autocompAlmoco[[#This Row],[CORRESP LINHA]]</f>
        <v>GOIANIA (GO) X SAO LUIS (MA)</v>
      </c>
    </row>
    <row r="27" spans="3:27" hidden="1" x14ac:dyDescent="0.25">
      <c r="C27" s="140" t="s">
        <v>226</v>
      </c>
      <c r="D27" s="56" t="str">
        <f>IF(tabAlmoco[[#This Row],[MOTORISTA]]="","",_xlfn.CONCAT(tabAlmoco[[#This Row],[DATA]],"+",tabAlmoco[[#This Row],[MOTORISTA]]))</f>
        <v>45889+CLODOALDO PEREIRA DE LIMA - 4067</v>
      </c>
      <c r="E27" s="56" t="str">
        <f>_xlfn.XLOOKUP(autocompAlmoco[[#This Row],[COMP ESCALA ATUAL]],tabE.Flux[COMP.AT. MOT A],tabE.Flux[LINHA],"NÃO",0,1)</f>
        <v>NÃO</v>
      </c>
      <c r="F27" s="56" t="str">
        <f>_xlfn.XLOOKUP(autocompAlmoco[[#This Row],[COMP ESCALA ATUAL]],tabE.Flux[COMP.AT. MOT B],tabE.Flux[LINHA],"NÃO",0,1)</f>
        <v>NÃO</v>
      </c>
      <c r="G27" s="61" t="str">
        <f>IF(AND(autocompAlmoco[[#This Row],[EXISTE MOT A AT]]="NÃO", autocompAlmoco[[#This Row],[EXISTE MOT B AT]]="NÃO"),"NÃO","SIM")</f>
        <v>NÃO</v>
      </c>
      <c r="H27" s="71" t="str">
        <f>IF(autocompAlmoco[[#This Row],[EXISTE ESCALA ATUAL]]="NÃO",_xlfn.CONCAT(tabAlmoco[[#This Row],[DATA]]-1,"+",tabAlmoco[[#This Row],[MOTORISTA]]),"NÃO")</f>
        <v>45888+CLODOALDO PEREIRA DE LIMA - 4067</v>
      </c>
      <c r="I27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7" s="58" t="str">
        <f>IF(autocompAlmoco[[#This Row],[COMP ESCALA ANTERIOR]]="NÃO","NÃO",_xlfn.XLOOKUP(autocompAlmoco[[#This Row],[COMP ESCALA ANTERIOR]],tabE.Flux[COMP.AT. MOT B],tabE.Flux[LINHA],"NÃO",0,1))</f>
        <v>NÃO</v>
      </c>
      <c r="K27" s="62" t="str">
        <f>IF(AND(autocompAlmoco[[#This Row],[EXISTE MOT A ANT]]="NÃO",autocompAlmoco[[#This Row],[EXISTE MOT B ANT]]="NÃO"),"NÃO","SIM")</f>
        <v>SIM</v>
      </c>
      <c r="L27" s="73" t="str">
        <f t="shared" si="0"/>
        <v>45890+CLODOALDO PEREIRA DE LIMA - 4067</v>
      </c>
      <c r="M27" s="59" t="str">
        <f>IF(autocompAlmoco[[#This Row],[COMP ESCALA POSTERIOR]]="NÃO","NÃO",_xlfn.XLOOKUP(autocompAlmoco[[#This Row],[COMP ESCALA POSTERIOR]],tabE.Flux[COMP.AT. MOT A],tabE.Flux[LINHA],"NÃO",0,1))</f>
        <v>NÃO</v>
      </c>
      <c r="N27" s="59" t="str">
        <f>IF(autocompAlmoco[[#This Row],[COMP ESCALA POSTERIOR]]="NÃO","NÃO",_xlfn.XLOOKUP(autocompAlmoco[[#This Row],[COMP ESCALA POSTERIOR]],tabE.Flux[COMP.AT. MOT B],tabE.Flux[LINHA],"NÃO",0,1))</f>
        <v>NÃO</v>
      </c>
      <c r="O27" s="65" t="str">
        <f>IF(AND(autocompAlmoco[[#This Row],[EXISTE MOT A POS]]="NÃO",autocompAlmoco[[#This Row],[EXISTE MOT B POS]]="NÃO"),"NÃO","SIM")</f>
        <v>NÃO</v>
      </c>
      <c r="P27" s="66" t="str" cm="1">
        <f t="array" ref="P2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7" s="75" t="str" cm="1">
        <f t="array" ref="Q2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45888+CLODOALDO PEREIRA DE LIMA - 4067+GOIANIA (GO) X TERESINA (PI) VIA STI</v>
      </c>
      <c r="R27" s="67">
        <f>_xlfn.XLOOKUP(autocompAlmoco[[#This Row],[COMP ESCALA]],tabE.Flux[COMP. ESCALA MOT B],tabE.Flux[CARRO],
(_xlfn.XLOOKUP(autocompAlmoco[[#This Row],[COMP ESCALA]],tabE.Flux[COMP. ESCALA MOT A],tabE.Flux[CARRO],"N/E",0,1)),0,1)</f>
        <v>15800</v>
      </c>
      <c r="S27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7" s="127">
        <v>45889</v>
      </c>
      <c r="U27" s="4">
        <f>IF(IFERROR(autocompAlmoco[[#This Row],[CORRESP. CARRO]],"")="NÃO",(IF(tabAlmoco[[#This Row],[MOTORISTA]]=0,"","PASSE?")),autocompAlmoco[[#This Row],[CORRESP. CARRO]])</f>
        <v>15800</v>
      </c>
      <c r="V27" s="126">
        <f>IF(OR(ISERR(autocompAlmoco[[#This Row],[CORRESP HORARIO]]), autocompAlmoco[[#This Row],[CORRESP HORARIO]]&lt;&gt;"NÃO"),autocompAlmoco[[#This Row],[CORRESP HORARIO]],"")</f>
        <v>0.79861111111111116</v>
      </c>
      <c r="W27" s="4" t="s">
        <v>299</v>
      </c>
      <c r="X27" s="4" t="s">
        <v>109</v>
      </c>
      <c r="Y27" s="1">
        <f>IF(tabAlmoco[[#This Row],[MOTORISTA]]="","",COUNTIF(autocompAlmoco[COMP ESCALA ATUAL],autocompAlmoco[[#This Row],[COMP ESCALA ATUAL]]))</f>
        <v>1</v>
      </c>
      <c r="Z27" s="45">
        <f>IF(tabAlmoco[[#This Row],[MOTORISTA]]&lt;&gt;0,15,"")</f>
        <v>15</v>
      </c>
      <c r="AA27" s="4" t="str">
        <f>autocompAlmoco[[#This Row],[CORRESP LINHA]]</f>
        <v>GOIANIA (GO) X TERESINA (PI) VIA STI</v>
      </c>
    </row>
    <row r="28" spans="3:27" hidden="1" x14ac:dyDescent="0.25">
      <c r="C28" s="140" t="s">
        <v>226</v>
      </c>
      <c r="D28" s="56" t="str">
        <f>IF(tabAlmoco[[#This Row],[MOTORISTA]]="","",_xlfn.CONCAT(tabAlmoco[[#This Row],[DATA]],"+",tabAlmoco[[#This Row],[MOTORISTA]]))</f>
        <v>45889+KAYLSON KLEYTON DA SILVA COSTA - 6224</v>
      </c>
      <c r="E28" s="56" t="str">
        <f>_xlfn.XLOOKUP(autocompAlmoco[[#This Row],[COMP ESCALA ATUAL]],tabE.Flux[COMP.AT. MOT A],tabE.Flux[LINHA],"NÃO",0,1)</f>
        <v>NÃO</v>
      </c>
      <c r="F28" s="56" t="str">
        <f>_xlfn.XLOOKUP(autocompAlmoco[[#This Row],[COMP ESCALA ATUAL]],tabE.Flux[COMP.AT. MOT B],tabE.Flux[LINHA],"NÃO",0,1)</f>
        <v>NÃO</v>
      </c>
      <c r="G28" s="61" t="str">
        <f>IF(AND(autocompAlmoco[[#This Row],[EXISTE MOT A AT]]="NÃO", autocompAlmoco[[#This Row],[EXISTE MOT B AT]]="NÃO"),"NÃO","SIM")</f>
        <v>NÃO</v>
      </c>
      <c r="H28" s="71" t="str">
        <f>IF(autocompAlmoco[[#This Row],[EXISTE ESCALA ATUAL]]="NÃO",_xlfn.CONCAT(tabAlmoco[[#This Row],[DATA]]-1,"+",tabAlmoco[[#This Row],[MOTORISTA]]),"NÃO")</f>
        <v>45888+KAYLSON KLEYTON DA SILVA COSTA - 6224</v>
      </c>
      <c r="I28" s="57" t="str">
        <f>IF(autocompAlmoco[[#This Row],[COMP ESCALA ANTERIOR]]="NÃO","NÃO",_xlfn.XLOOKUP(autocompAlmoco[[#This Row],[COMP ESCALA ANTERIOR]],tabE.Flux[COMP.AT. MOT A],tabE.Flux[LINHA],"NÃO",0,1))</f>
        <v>NÃO</v>
      </c>
      <c r="J28" s="58" t="str">
        <f>IF(autocompAlmoco[[#This Row],[COMP ESCALA ANTERIOR]]="NÃO","NÃO",_xlfn.XLOOKUP(autocompAlmoco[[#This Row],[COMP ESCALA ANTERIOR]],tabE.Flux[COMP.AT. MOT B],tabE.Flux[LINHA],"NÃO",0,1))</f>
        <v>NÃO</v>
      </c>
      <c r="K28" s="62" t="str">
        <f>IF(AND(autocompAlmoco[[#This Row],[EXISTE MOT A ANT]]="NÃO",autocompAlmoco[[#This Row],[EXISTE MOT B ANT]]="NÃO"),"NÃO","SIM")</f>
        <v>NÃO</v>
      </c>
      <c r="L28" s="73" t="str">
        <f t="shared" si="0"/>
        <v>45890+KAYLSON KLEYTON DA SILVA COSTA - 6224</v>
      </c>
      <c r="M28" s="59" t="str">
        <f>IF(autocompAlmoco[[#This Row],[COMP ESCALA POSTERIOR]]="NÃO","NÃO",_xlfn.XLOOKUP(autocompAlmoco[[#This Row],[COMP ESCALA POSTERIOR]],tabE.Flux[COMP.AT. MOT A],tabE.Flux[LINHA],"NÃO",0,1))</f>
        <v>NÃO</v>
      </c>
      <c r="N28" s="59" t="str">
        <f>IF(autocompAlmoco[[#This Row],[COMP ESCALA POSTERIOR]]="NÃO","NÃO",_xlfn.XLOOKUP(autocompAlmoco[[#This Row],[COMP ESCALA POSTERIOR]],tabE.Flux[COMP.AT. MOT B],tabE.Flux[LINHA],"NÃO",0,1))</f>
        <v>GOIANIA (GO) X SAO LUIS (MA)</v>
      </c>
      <c r="O28" s="65" t="str">
        <f>IF(AND(autocompAlmoco[[#This Row],[EXISTE MOT A POS]]="NÃO",autocompAlmoco[[#This Row],[EXISTE MOT B POS]]="NÃO"),"NÃO","SIM")</f>
        <v>SIM</v>
      </c>
      <c r="P28" s="66" t="str" cm="1">
        <f t="array" ref="P2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8" s="75" t="str" cm="1">
        <f t="array" ref="Q2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45890+KAYLSON KLEYTON DA SILVA COSTA - 6224+GOIANIA (GO) X SAO LUIS (MA)</v>
      </c>
      <c r="R28" s="67">
        <f>_xlfn.XLOOKUP(autocompAlmoco[[#This Row],[COMP ESCALA]],tabE.Flux[COMP. ESCALA MOT B],tabE.Flux[CARRO],
(_xlfn.XLOOKUP(autocompAlmoco[[#This Row],[COMP ESCALA]],tabE.Flux[COMP. ESCALA MOT A],tabE.Flux[CARRO],"N/E",0,1)),0,1)</f>
        <v>15600</v>
      </c>
      <c r="S28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8" s="127">
        <v>45889</v>
      </c>
      <c r="U28" s="4">
        <f>IF(IFERROR(autocompAlmoco[[#This Row],[CORRESP. CARRO]],"")="NÃO",(IF(tabAlmoco[[#This Row],[MOTORISTA]]=0,"","PASSE?")),autocompAlmoco[[#This Row],[CORRESP. CARRO]])</f>
        <v>15600</v>
      </c>
      <c r="V28" s="126">
        <f>IF(OR(ISERR(autocompAlmoco[[#This Row],[CORRESP HORARIO]]), autocompAlmoco[[#This Row],[CORRESP HORARIO]]&lt;&gt;"NÃO"),autocompAlmoco[[#This Row],[CORRESP HORARIO]],"")</f>
        <v>0.47013888888888888</v>
      </c>
      <c r="W28" s="4" t="s">
        <v>299</v>
      </c>
      <c r="X28" s="4" t="s">
        <v>80</v>
      </c>
      <c r="Y28" s="1">
        <f>IF(tabAlmoco[[#This Row],[MOTORISTA]]="","",COUNTIF(autocompAlmoco[COMP ESCALA ATUAL],autocompAlmoco[[#This Row],[COMP ESCALA ATUAL]]))</f>
        <v>1</v>
      </c>
      <c r="Z28" s="45">
        <f>IF(tabAlmoco[[#This Row],[MOTORISTA]]&lt;&gt;0,15,"")</f>
        <v>15</v>
      </c>
      <c r="AA28" s="4" t="str">
        <f>autocompAlmoco[[#This Row],[CORRESP LINHA]]</f>
        <v>GOIANIA (GO) X SAO LUIS (MA)</v>
      </c>
    </row>
    <row r="29" spans="3:27" hidden="1" x14ac:dyDescent="0.25">
      <c r="C29" s="140" t="s">
        <v>226</v>
      </c>
      <c r="D29" s="56" t="str">
        <f>IF(tabAlmoco[[#This Row],[MOTORISTA]]="","",_xlfn.CONCAT(tabAlmoco[[#This Row],[DATA]],"+",tabAlmoco[[#This Row],[MOTORISTA]]))</f>
        <v>45889+CARLOS ADRIANO DE SOUZA DO NASCIMENTO - 6222</v>
      </c>
      <c r="E29" s="56" t="str">
        <f>_xlfn.XLOOKUP(autocompAlmoco[[#This Row],[COMP ESCALA ATUAL]],tabE.Flux[COMP.AT. MOT A],tabE.Flux[LINHA],"NÃO",0,1)</f>
        <v>NÃO</v>
      </c>
      <c r="F29" s="56" t="str">
        <f>_xlfn.XLOOKUP(autocompAlmoco[[#This Row],[COMP ESCALA ATUAL]],tabE.Flux[COMP.AT. MOT B],tabE.Flux[LINHA],"NÃO",0,1)</f>
        <v>GOIANIA (GO) X SAO LUIS (MA)</v>
      </c>
      <c r="G29" s="61" t="str">
        <f>IF(AND(autocompAlmoco[[#This Row],[EXISTE MOT A AT]]="NÃO", autocompAlmoco[[#This Row],[EXISTE MOT B AT]]="NÃO"),"NÃO","SIM")</f>
        <v>SIM</v>
      </c>
      <c r="H29" s="71" t="str">
        <f>IF(autocompAlmoco[[#This Row],[EXISTE ESCALA ATUAL]]="NÃO",_xlfn.CONCAT(tabAlmoco[[#This Row],[DATA]]-1,"+",tabAlmoco[[#This Row],[MOTORISTA]]),"NÃO")</f>
        <v>NÃO</v>
      </c>
      <c r="I29" s="57" t="str">
        <f>IF(autocompAlmoco[[#This Row],[COMP ESCALA ANTERIOR]]="NÃO","NÃO",_xlfn.XLOOKUP(autocompAlmoco[[#This Row],[COMP ESCALA ANTERIOR]],tabE.Flux[COMP.AT. MOT A],tabE.Flux[LINHA],"NÃO",0,1))</f>
        <v>NÃO</v>
      </c>
      <c r="J29" s="58" t="str">
        <f>IF(autocompAlmoco[[#This Row],[COMP ESCALA ANTERIOR]]="NÃO","NÃO",_xlfn.XLOOKUP(autocompAlmoco[[#This Row],[COMP ESCALA ANTERIOR]],tabE.Flux[COMP.AT. MOT B],tabE.Flux[LINHA],"NÃO",0,1))</f>
        <v>NÃO</v>
      </c>
      <c r="K29" s="62" t="str">
        <f>IF(AND(autocompAlmoco[[#This Row],[EXISTE MOT A ANT]]="NÃO",autocompAlmoco[[#This Row],[EXISTE MOT B ANT]]="NÃO"),"NÃO","SIM")</f>
        <v>NÃO</v>
      </c>
      <c r="L29" s="73" t="str">
        <f t="shared" si="0"/>
        <v>45890+CARLOS ADRIANO DE SOUZA DO NASCIMENTO - 6222</v>
      </c>
      <c r="M29" s="59" t="str">
        <f>IF(autocompAlmoco[[#This Row],[COMP ESCALA POSTERIOR]]="NÃO","NÃO",_xlfn.XLOOKUP(autocompAlmoco[[#This Row],[COMP ESCALA POSTERIOR]],tabE.Flux[COMP.AT. MOT A],tabE.Flux[LINHA],"NÃO",0,1))</f>
        <v>NÃO</v>
      </c>
      <c r="N29" s="59" t="str">
        <f>IF(autocompAlmoco[[#This Row],[COMP ESCALA POSTERIOR]]="NÃO","NÃO",_xlfn.XLOOKUP(autocompAlmoco[[#This Row],[COMP ESCALA POSTERIOR]],tabE.Flux[COMP.AT. MOT B],tabE.Flux[LINHA],"NÃO",0,1))</f>
        <v>NÃO</v>
      </c>
      <c r="O29" s="65" t="str">
        <f>IF(AND(autocompAlmoco[[#This Row],[EXISTE MOT A POS]]="NÃO",autocompAlmoco[[#This Row],[EXISTE MOT B POS]]="NÃO"),"NÃO","SIM")</f>
        <v>NÃO</v>
      </c>
      <c r="P29" s="66" t="str" cm="1">
        <f t="array" ref="P2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9" s="75" t="str" cm="1">
        <f t="array" ref="Q2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45889+CARLOS ADRIANO DE SOUZA DO NASCIMENTO - 6222+GOIANIA (GO) X SAO LUIS (MA)</v>
      </c>
      <c r="R29" s="67">
        <f>_xlfn.XLOOKUP(autocompAlmoco[[#This Row],[COMP ESCALA]],tabE.Flux[COMP. ESCALA MOT B],tabE.Flux[CARRO],
(_xlfn.XLOOKUP(autocompAlmoco[[#This Row],[COMP ESCALA]],tabE.Flux[COMP. ESCALA MOT A],tabE.Flux[CARRO],"N/E",0,1)),0,1)</f>
        <v>19018</v>
      </c>
      <c r="S29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9" s="127">
        <v>45889</v>
      </c>
      <c r="U29" s="4">
        <f>IF(IFERROR(autocompAlmoco[[#This Row],[CORRESP. CARRO]],"")="NÃO",(IF(tabAlmoco[[#This Row],[MOTORISTA]]=0,"","PASSE?")),autocompAlmoco[[#This Row],[CORRESP. CARRO]])</f>
        <v>19018</v>
      </c>
      <c r="V29" s="126">
        <f>IF(OR(ISERR(autocompAlmoco[[#This Row],[CORRESP HORARIO]]), autocompAlmoco[[#This Row],[CORRESP HORARIO]]&lt;&gt;"NÃO"),autocompAlmoco[[#This Row],[CORRESP HORARIO]],"")</f>
        <v>0.47013888888888888</v>
      </c>
      <c r="W29" s="4" t="s">
        <v>299</v>
      </c>
      <c r="X29" s="4" t="s">
        <v>110</v>
      </c>
      <c r="Y29" s="1">
        <f>IF(tabAlmoco[[#This Row],[MOTORISTA]]="","",COUNTIF(autocompAlmoco[COMP ESCALA ATUAL],autocompAlmoco[[#This Row],[COMP ESCALA ATUAL]]))</f>
        <v>1</v>
      </c>
      <c r="Z29" s="45">
        <f>IF(tabAlmoco[[#This Row],[MOTORISTA]]&lt;&gt;0,15,"")</f>
        <v>15</v>
      </c>
      <c r="AA29" s="4" t="str">
        <f>autocompAlmoco[[#This Row],[CORRESP LINHA]]</f>
        <v>GOIANIA (GO) X SAO LUIS (MA)</v>
      </c>
    </row>
    <row r="30" spans="3:27" hidden="1" x14ac:dyDescent="0.25">
      <c r="C30" s="140" t="s">
        <v>226</v>
      </c>
      <c r="D30" s="56" t="str">
        <f>IF(tabAlmoco[[#This Row],[MOTORISTA]]="","",_xlfn.CONCAT(tabAlmoco[[#This Row],[DATA]],"+",tabAlmoco[[#This Row],[MOTORISTA]]))</f>
        <v>45889+RAIMUNDO COSTA SILVA - 6226</v>
      </c>
      <c r="E30" s="56" t="str">
        <f>_xlfn.XLOOKUP(autocompAlmoco[[#This Row],[COMP ESCALA ATUAL]],tabE.Flux[COMP.AT. MOT A],tabE.Flux[LINHA],"NÃO",0,1)</f>
        <v>NÃO</v>
      </c>
      <c r="F30" s="56" t="str">
        <f>_xlfn.XLOOKUP(autocompAlmoco[[#This Row],[COMP ESCALA ATUAL]],tabE.Flux[COMP.AT. MOT B],tabE.Flux[LINHA],"NÃO",0,1)</f>
        <v>GOIANIA (GO) X SAO LUIS (MA)</v>
      </c>
      <c r="G30" s="61" t="str">
        <f>IF(AND(autocompAlmoco[[#This Row],[EXISTE MOT A AT]]="NÃO", autocompAlmoco[[#This Row],[EXISTE MOT B AT]]="NÃO"),"NÃO","SIM")</f>
        <v>SIM</v>
      </c>
      <c r="H30" s="71" t="str">
        <f>IF(autocompAlmoco[[#This Row],[EXISTE ESCALA ATUAL]]="NÃO",_xlfn.CONCAT(tabAlmoco[[#This Row],[DATA]]-1,"+",tabAlmoco[[#This Row],[MOTORISTA]]),"NÃO")</f>
        <v>NÃO</v>
      </c>
      <c r="I30" s="57" t="str">
        <f>IF(autocompAlmoco[[#This Row],[COMP ESCALA ANTERIOR]]="NÃO","NÃO",_xlfn.XLOOKUP(autocompAlmoco[[#This Row],[COMP ESCALA ANTERIOR]],tabE.Flux[COMP.AT. MOT A],tabE.Flux[LINHA],"NÃO",0,1))</f>
        <v>NÃO</v>
      </c>
      <c r="J30" s="58" t="str">
        <f>IF(autocompAlmoco[[#This Row],[COMP ESCALA ANTERIOR]]="NÃO","NÃO",_xlfn.XLOOKUP(autocompAlmoco[[#This Row],[COMP ESCALA ANTERIOR]],tabE.Flux[COMP.AT. MOT B],tabE.Flux[LINHA],"NÃO",0,1))</f>
        <v>NÃO</v>
      </c>
      <c r="K30" s="62" t="str">
        <f>IF(AND(autocompAlmoco[[#This Row],[EXISTE MOT A ANT]]="NÃO",autocompAlmoco[[#This Row],[EXISTE MOT B ANT]]="NÃO"),"NÃO","SIM")</f>
        <v>NÃO</v>
      </c>
      <c r="L30" s="73" t="str">
        <f t="shared" si="0"/>
        <v>45890+RAIMUNDO COSTA SILVA - 6226</v>
      </c>
      <c r="M30" s="59" t="str">
        <f>IF(autocompAlmoco[[#This Row],[COMP ESCALA POSTERIOR]]="NÃO","NÃO",_xlfn.XLOOKUP(autocompAlmoco[[#This Row],[COMP ESCALA POSTERIOR]],tabE.Flux[COMP.AT. MOT A],tabE.Flux[LINHA],"NÃO",0,1))</f>
        <v>NÃO</v>
      </c>
      <c r="N30" s="59" t="str">
        <f>IF(autocompAlmoco[[#This Row],[COMP ESCALA POSTERIOR]]="NÃO","NÃO",_xlfn.XLOOKUP(autocompAlmoco[[#This Row],[COMP ESCALA POSTERIOR]],tabE.Flux[COMP.AT. MOT B],tabE.Flux[LINHA],"NÃO",0,1))</f>
        <v>NÃO</v>
      </c>
      <c r="O30" s="65" t="str">
        <f>IF(AND(autocompAlmoco[[#This Row],[EXISTE MOT A POS]]="NÃO",autocompAlmoco[[#This Row],[EXISTE MOT B POS]]="NÃO"),"NÃO","SIM")</f>
        <v>NÃO</v>
      </c>
      <c r="P30" s="66" t="str" cm="1">
        <f t="array" ref="P3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30" s="75" t="str" cm="1">
        <f t="array" ref="Q3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45889+RAIMUNDO COSTA SILVA - 6226+GOIANIA (GO) X SAO LUIS (MA)</v>
      </c>
      <c r="R30" s="67">
        <f>_xlfn.XLOOKUP(autocompAlmoco[[#This Row],[COMP ESCALA]],tabE.Flux[COMP. ESCALA MOT B],tabE.Flux[CARRO],
(_xlfn.XLOOKUP(autocompAlmoco[[#This Row],[COMP ESCALA]],tabE.Flux[COMP. ESCALA MOT A],tabE.Flux[CARRO],"N/E",0,1)),0,1)</f>
        <v>24015</v>
      </c>
      <c r="S30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30" s="127">
        <v>45889</v>
      </c>
      <c r="U30" s="4">
        <f>IF(IFERROR(autocompAlmoco[[#This Row],[CORRESP. CARRO]],"")="NÃO",(IF(tabAlmoco[[#This Row],[MOTORISTA]]=0,"","PASSE?")),autocompAlmoco[[#This Row],[CORRESP. CARRO]])</f>
        <v>24015</v>
      </c>
      <c r="V30" s="126">
        <f>IF(OR(ISERR(autocompAlmoco[[#This Row],[CORRESP HORARIO]]), autocompAlmoco[[#This Row],[CORRESP HORARIO]]&lt;&gt;"NÃO"),autocompAlmoco[[#This Row],[CORRESP HORARIO]],"")</f>
        <v>0.84375</v>
      </c>
      <c r="W30" s="4" t="s">
        <v>299</v>
      </c>
      <c r="X30" s="4" t="s">
        <v>45</v>
      </c>
      <c r="Y30" s="1">
        <f>IF(tabAlmoco[[#This Row],[MOTORISTA]]="","",COUNTIF(autocompAlmoco[COMP ESCALA ATUAL],autocompAlmoco[[#This Row],[COMP ESCALA ATUAL]]))</f>
        <v>1</v>
      </c>
      <c r="Z30" s="45">
        <f>IF(tabAlmoco[[#This Row],[MOTORISTA]]&lt;&gt;0,15,"")</f>
        <v>15</v>
      </c>
      <c r="AA30" s="4" t="str">
        <f>autocompAlmoco[[#This Row],[CORRESP LINHA]]</f>
        <v>GOIANIA (GO) X SAO LUIS (MA)</v>
      </c>
    </row>
    <row r="31" spans="3:27" hidden="1" x14ac:dyDescent="0.25">
      <c r="C31" s="140" t="s">
        <v>226</v>
      </c>
      <c r="D31" s="56" t="str">
        <f>IF(tabAlmoco[[#This Row],[MOTORISTA]]="","",_xlfn.CONCAT(tabAlmoco[[#This Row],[DATA]],"+",tabAlmoco[[#This Row],[MOTORISTA]]))</f>
        <v>45889+JOSE CARLOS BEZERRA DA SILVA - 3034</v>
      </c>
      <c r="E31" s="56" t="str">
        <f>_xlfn.XLOOKUP(autocompAlmoco[[#This Row],[COMP ESCALA ATUAL]],tabE.Flux[COMP.AT. MOT A],tabE.Flux[LINHA],"NÃO",0,1)</f>
        <v>NÃO</v>
      </c>
      <c r="F31" s="56" t="str">
        <f>_xlfn.XLOOKUP(autocompAlmoco[[#This Row],[COMP ESCALA ATUAL]],tabE.Flux[COMP.AT. MOT B],tabE.Flux[LINHA],"NÃO",0,1)</f>
        <v>GOIANIA (GO) X SAO LUIS (MA)</v>
      </c>
      <c r="G31" s="61" t="str">
        <f>IF(AND(autocompAlmoco[[#This Row],[EXISTE MOT A AT]]="NÃO", autocompAlmoco[[#This Row],[EXISTE MOT B AT]]="NÃO"),"NÃO","SIM")</f>
        <v>SIM</v>
      </c>
      <c r="H31" s="71" t="str">
        <f>IF(autocompAlmoco[[#This Row],[EXISTE ESCALA ATUAL]]="NÃO",_xlfn.CONCAT(tabAlmoco[[#This Row],[DATA]]-1,"+",tabAlmoco[[#This Row],[MOTORISTA]]),"NÃO")</f>
        <v>NÃO</v>
      </c>
      <c r="I31" s="57" t="str">
        <f>IF(autocompAlmoco[[#This Row],[COMP ESCALA ANTERIOR]]="NÃO","NÃO",_xlfn.XLOOKUP(autocompAlmoco[[#This Row],[COMP ESCALA ANTERIOR]],tabE.Flux[COMP.AT. MOT A],tabE.Flux[LINHA],"NÃO",0,1))</f>
        <v>NÃO</v>
      </c>
      <c r="J31" s="58" t="str">
        <f>IF(autocompAlmoco[[#This Row],[COMP ESCALA ANTERIOR]]="NÃO","NÃO",_xlfn.XLOOKUP(autocompAlmoco[[#This Row],[COMP ESCALA ANTERIOR]],tabE.Flux[COMP.AT. MOT B],tabE.Flux[LINHA],"NÃO",0,1))</f>
        <v>NÃO</v>
      </c>
      <c r="K31" s="62" t="str">
        <f>IF(AND(autocompAlmoco[[#This Row],[EXISTE MOT A ANT]]="NÃO",autocompAlmoco[[#This Row],[EXISTE MOT B ANT]]="NÃO"),"NÃO","SIM")</f>
        <v>NÃO</v>
      </c>
      <c r="L31" s="73" t="str">
        <f t="shared" si="0"/>
        <v>45890+JOSE CARLOS BEZERRA DA SILVA - 3034</v>
      </c>
      <c r="M31" s="59" t="str">
        <f>IF(autocompAlmoco[[#This Row],[COMP ESCALA POSTERIOR]]="NÃO","NÃO",_xlfn.XLOOKUP(autocompAlmoco[[#This Row],[COMP ESCALA POSTERIOR]],tabE.Flux[COMP.AT. MOT A],tabE.Flux[LINHA],"NÃO",0,1))</f>
        <v>NÃO</v>
      </c>
      <c r="N31" s="59" t="str">
        <f>IF(autocompAlmoco[[#This Row],[COMP ESCALA POSTERIOR]]="NÃO","NÃO",_xlfn.XLOOKUP(autocompAlmoco[[#This Row],[COMP ESCALA POSTERIOR]],tabE.Flux[COMP.AT. MOT B],tabE.Flux[LINHA],"NÃO",0,1))</f>
        <v>NÃO</v>
      </c>
      <c r="O31" s="65" t="str">
        <f>IF(AND(autocompAlmoco[[#This Row],[EXISTE MOT A POS]]="NÃO",autocompAlmoco[[#This Row],[EXISTE MOT B POS]]="NÃO"),"NÃO","SIM")</f>
        <v>NÃO</v>
      </c>
      <c r="P31" s="66" t="str" cm="1">
        <f t="array" ref="P3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31" s="75" t="str" cm="1">
        <f t="array" ref="Q3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45889+JOSE CARLOS BEZERRA DA SILVA - 3034+GOIANIA (GO) X SAO LUIS (MA)</v>
      </c>
      <c r="R31" s="67">
        <f>_xlfn.XLOOKUP(autocompAlmoco[[#This Row],[COMP ESCALA]],tabE.Flux[COMP. ESCALA MOT B],tabE.Flux[CARRO],
(_xlfn.XLOOKUP(autocompAlmoco[[#This Row],[COMP ESCALA]],tabE.Flux[COMP. ESCALA MOT A],tabE.Flux[CARRO],"N/E",0,1)),0,1)</f>
        <v>24009</v>
      </c>
      <c r="S31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31" s="127">
        <v>45889</v>
      </c>
      <c r="U31" s="4">
        <f>IF(IFERROR(autocompAlmoco[[#This Row],[CORRESP. CARRO]],"")="NÃO",(IF(tabAlmoco[[#This Row],[MOTORISTA]]=0,"","PASSE?")),autocompAlmoco[[#This Row],[CORRESP. CARRO]])</f>
        <v>24009</v>
      </c>
      <c r="V31" s="126">
        <f>IF(OR(ISERR(autocompAlmoco[[#This Row],[CORRESP HORARIO]]), autocompAlmoco[[#This Row],[CORRESP HORARIO]]&lt;&gt;"NÃO"),autocompAlmoco[[#This Row],[CORRESP HORARIO]],"")</f>
        <v>0.79166666666666663</v>
      </c>
      <c r="W31" s="4" t="s">
        <v>299</v>
      </c>
      <c r="X31" s="4" t="s">
        <v>76</v>
      </c>
      <c r="Y31" s="1">
        <f>IF(tabAlmoco[[#This Row],[MOTORISTA]]="","",COUNTIF(autocompAlmoco[COMP ESCALA ATUAL],autocompAlmoco[[#This Row],[COMP ESCALA ATUAL]]))</f>
        <v>1</v>
      </c>
      <c r="Z31" s="45">
        <f>IF(tabAlmoco[[#This Row],[MOTORISTA]]&lt;&gt;0,15,"")</f>
        <v>15</v>
      </c>
      <c r="AA31" s="4" t="str">
        <f>autocompAlmoco[[#This Row],[CORRESP LINHA]]</f>
        <v>GOIANIA (GO) X SAO LUIS (MA)</v>
      </c>
    </row>
    <row r="32" spans="3:27" hidden="1" x14ac:dyDescent="0.25">
      <c r="C32" s="140" t="s">
        <v>226</v>
      </c>
      <c r="D32" s="56" t="str">
        <f>IF(tabAlmoco[[#This Row],[MOTORISTA]]="","",_xlfn.CONCAT(tabAlmoco[[#This Row],[DATA]],"+",tabAlmoco[[#This Row],[MOTORISTA]]))</f>
        <v>45889+RAIMUNDO NONATO FRANCO NETO - 5658</v>
      </c>
      <c r="E32" s="56" t="str">
        <f>_xlfn.XLOOKUP(autocompAlmoco[[#This Row],[COMP ESCALA ATUAL]],tabE.Flux[COMP.AT. MOT A],tabE.Flux[LINHA],"NÃO",0,1)</f>
        <v>NÃO</v>
      </c>
      <c r="F32" s="56" t="str">
        <f>_xlfn.XLOOKUP(autocompAlmoco[[#This Row],[COMP ESCALA ATUAL]],tabE.Flux[COMP.AT. MOT B],tabE.Flux[LINHA],"NÃO",0,1)</f>
        <v>NÃO</v>
      </c>
      <c r="G32" s="61" t="str">
        <f>IF(AND(autocompAlmoco[[#This Row],[EXISTE MOT A AT]]="NÃO", autocompAlmoco[[#This Row],[EXISTE MOT B AT]]="NÃO"),"NÃO","SIM")</f>
        <v>NÃO</v>
      </c>
      <c r="H32" s="71" t="str">
        <f>IF(autocompAlmoco[[#This Row],[EXISTE ESCALA ATUAL]]="NÃO",_xlfn.CONCAT(tabAlmoco[[#This Row],[DATA]]-1,"+",tabAlmoco[[#This Row],[MOTORISTA]]),"NÃO")</f>
        <v>45888+RAIMUNDO NONATO FRANCO NETO - 5658</v>
      </c>
      <c r="I32" s="57" t="str">
        <f>IF(autocompAlmoco[[#This Row],[COMP ESCALA ANTERIOR]]="NÃO","NÃO",_xlfn.XLOOKUP(autocompAlmoco[[#This Row],[COMP ESCALA ANTERIOR]],tabE.Flux[COMP.AT. MOT A],tabE.Flux[LINHA],"NÃO",0,1))</f>
        <v>NÃO</v>
      </c>
      <c r="J32" s="58" t="str">
        <f>IF(autocompAlmoco[[#This Row],[COMP ESCALA ANTERIOR]]="NÃO","NÃO",_xlfn.XLOOKUP(autocompAlmoco[[#This Row],[COMP ESCALA ANTERIOR]],tabE.Flux[COMP.AT. MOT B],tabE.Flux[LINHA],"NÃO",0,1))</f>
        <v>NÃO</v>
      </c>
      <c r="K32" s="62" t="str">
        <f>IF(AND(autocompAlmoco[[#This Row],[EXISTE MOT A ANT]]="NÃO",autocompAlmoco[[#This Row],[EXISTE MOT B ANT]]="NÃO"),"NÃO","SIM")</f>
        <v>NÃO</v>
      </c>
      <c r="L32" s="73" t="str">
        <f t="shared" si="0"/>
        <v>45890+RAIMUNDO NONATO FRANCO NETO - 5658</v>
      </c>
      <c r="M32" s="59" t="str">
        <f>IF(autocompAlmoco[[#This Row],[COMP ESCALA POSTERIOR]]="NÃO","NÃO",_xlfn.XLOOKUP(autocompAlmoco[[#This Row],[COMP ESCALA POSTERIOR]],tabE.Flux[COMP.AT. MOT A],tabE.Flux[LINHA],"NÃO",0,1))</f>
        <v>NÃO</v>
      </c>
      <c r="N32" s="59" t="str">
        <f>IF(autocompAlmoco[[#This Row],[COMP ESCALA POSTERIOR]]="NÃO","NÃO",_xlfn.XLOOKUP(autocompAlmoco[[#This Row],[COMP ESCALA POSTERIOR]],tabE.Flux[COMP.AT. MOT B],tabE.Flux[LINHA],"NÃO",0,1))</f>
        <v>GOIANIA (GO) X TERESINA (PI) VIA STI</v>
      </c>
      <c r="O32" s="65" t="str">
        <f>IF(AND(autocompAlmoco[[#This Row],[EXISTE MOT A POS]]="NÃO",autocompAlmoco[[#This Row],[EXISTE MOT B POS]]="NÃO"),"NÃO","SIM")</f>
        <v>SIM</v>
      </c>
      <c r="P32" s="66" t="str" cm="1">
        <f t="array" ref="P3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32" s="75" t="str" cm="1">
        <f t="array" ref="Q3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45890+RAIMUNDO NONATO FRANCO NETO - 5658+GOIANIA (GO) X TERESINA (PI) VIA STI</v>
      </c>
      <c r="R32" s="67">
        <f>_xlfn.XLOOKUP(autocompAlmoco[[#This Row],[COMP ESCALA]],tabE.Flux[COMP. ESCALA MOT B],tabE.Flux[CARRO],
(_xlfn.XLOOKUP(autocompAlmoco[[#This Row],[COMP ESCALA]],tabE.Flux[COMP. ESCALA MOT A],tabE.Flux[CARRO],"N/E",0,1)),0,1)</f>
        <v>19019</v>
      </c>
      <c r="S32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32" s="127">
        <v>45889</v>
      </c>
      <c r="U32" s="4">
        <f>IF(IFERROR(autocompAlmoco[[#This Row],[CORRESP. CARRO]],"")="NÃO",(IF(tabAlmoco[[#This Row],[MOTORISTA]]=0,"","PASSE?")),autocompAlmoco[[#This Row],[CORRESP. CARRO]])</f>
        <v>19019</v>
      </c>
      <c r="V32" s="126">
        <f>IF(OR(ISERR(autocompAlmoco[[#This Row],[CORRESP HORARIO]]), autocompAlmoco[[#This Row],[CORRESP HORARIO]]&lt;&gt;"NÃO"),autocompAlmoco[[#This Row],[CORRESP HORARIO]],"")</f>
        <v>0.79861111111111116</v>
      </c>
      <c r="W32" s="4" t="s">
        <v>299</v>
      </c>
      <c r="X32" s="4" t="s">
        <v>176</v>
      </c>
      <c r="Y32" s="1">
        <f>IF(tabAlmoco[[#This Row],[MOTORISTA]]="","",COUNTIF(autocompAlmoco[COMP ESCALA ATUAL],autocompAlmoco[[#This Row],[COMP ESCALA ATUAL]]))</f>
        <v>1</v>
      </c>
      <c r="Z32" s="45">
        <f>IF(tabAlmoco[[#This Row],[MOTORISTA]]&lt;&gt;0,15,"")</f>
        <v>15</v>
      </c>
      <c r="AA32" s="4" t="str">
        <f>autocompAlmoco[[#This Row],[CORRESP LINHA]]</f>
        <v>GOIANIA (GO) X TERESINA (PI) VIA STI</v>
      </c>
    </row>
    <row r="33" spans="3:27" hidden="1" x14ac:dyDescent="0.25">
      <c r="C33" s="140" t="s">
        <v>226</v>
      </c>
      <c r="D33" s="56" t="str">
        <f>IF(tabAlmoco[[#This Row],[MOTORISTA]]="","",_xlfn.CONCAT(tabAlmoco[[#This Row],[DATA]],"+",tabAlmoco[[#This Row],[MOTORISTA]]))</f>
        <v>45889+ANTONIO MARQUES NETO DOS SANTOS - 1738</v>
      </c>
      <c r="E33" s="56" t="str">
        <f>_xlfn.XLOOKUP(autocompAlmoco[[#This Row],[COMP ESCALA ATUAL]],tabE.Flux[COMP.AT. MOT A],tabE.Flux[LINHA],"NÃO",0,1)</f>
        <v>NÃO</v>
      </c>
      <c r="F33" s="56" t="str">
        <f>_xlfn.XLOOKUP(autocompAlmoco[[#This Row],[COMP ESCALA ATUAL]],tabE.Flux[COMP.AT. MOT B],tabE.Flux[LINHA],"NÃO",0,1)</f>
        <v>GOIANIA (GO) X SAO LUIS (MA)</v>
      </c>
      <c r="G33" s="61" t="str">
        <f>IF(AND(autocompAlmoco[[#This Row],[EXISTE MOT A AT]]="NÃO", autocompAlmoco[[#This Row],[EXISTE MOT B AT]]="NÃO"),"NÃO","SIM")</f>
        <v>SIM</v>
      </c>
      <c r="H33" s="71" t="str">
        <f>IF(autocompAlmoco[[#This Row],[EXISTE ESCALA ATUAL]]="NÃO",_xlfn.CONCAT(tabAlmoco[[#This Row],[DATA]]-1,"+",tabAlmoco[[#This Row],[MOTORISTA]]),"NÃO")</f>
        <v>NÃO</v>
      </c>
      <c r="I33" s="57" t="str">
        <f>IF(autocompAlmoco[[#This Row],[COMP ESCALA ANTERIOR]]="NÃO","NÃO",_xlfn.XLOOKUP(autocompAlmoco[[#This Row],[COMP ESCALA ANTERIOR]],tabE.Flux[COMP.AT. MOT A],tabE.Flux[LINHA],"NÃO",0,1))</f>
        <v>NÃO</v>
      </c>
      <c r="J33" s="58" t="str">
        <f>IF(autocompAlmoco[[#This Row],[COMP ESCALA ANTERIOR]]="NÃO","NÃO",_xlfn.XLOOKUP(autocompAlmoco[[#This Row],[COMP ESCALA ANTERIOR]],tabE.Flux[COMP.AT. MOT B],tabE.Flux[LINHA],"NÃO",0,1))</f>
        <v>NÃO</v>
      </c>
      <c r="K33" s="62" t="str">
        <f>IF(AND(autocompAlmoco[[#This Row],[EXISTE MOT A ANT]]="NÃO",autocompAlmoco[[#This Row],[EXISTE MOT B ANT]]="NÃO"),"NÃO","SIM")</f>
        <v>NÃO</v>
      </c>
      <c r="L33" s="73" t="str">
        <f t="shared" si="0"/>
        <v>45890+ANTONIO MARQUES NETO DOS SANTOS - 1738</v>
      </c>
      <c r="M33" s="59" t="str">
        <f>IF(autocompAlmoco[[#This Row],[COMP ESCALA POSTERIOR]]="NÃO","NÃO",_xlfn.XLOOKUP(autocompAlmoco[[#This Row],[COMP ESCALA POSTERIOR]],tabE.Flux[COMP.AT. MOT A],tabE.Flux[LINHA],"NÃO",0,1))</f>
        <v>NÃO</v>
      </c>
      <c r="N33" s="59" t="str">
        <f>IF(autocompAlmoco[[#This Row],[COMP ESCALA POSTERIOR]]="NÃO","NÃO",_xlfn.XLOOKUP(autocompAlmoco[[#This Row],[COMP ESCALA POSTERIOR]],tabE.Flux[COMP.AT. MOT B],tabE.Flux[LINHA],"NÃO",0,1))</f>
        <v>NÃO</v>
      </c>
      <c r="O33" s="65" t="str">
        <f>IF(AND(autocompAlmoco[[#This Row],[EXISTE MOT A POS]]="NÃO",autocompAlmoco[[#This Row],[EXISTE MOT B POS]]="NÃO"),"NÃO","SIM")</f>
        <v>NÃO</v>
      </c>
      <c r="P33" s="66" t="str" cm="1">
        <f t="array" ref="P3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33" s="75" t="str" cm="1">
        <f t="array" ref="Q3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45889+ANTONIO MARQUES NETO DOS SANTOS - 1738+GOIANIA (GO) X SAO LUIS (MA)</v>
      </c>
      <c r="R33" s="67">
        <f>_xlfn.XLOOKUP(autocompAlmoco[[#This Row],[COMP ESCALA]],tabE.Flux[COMP. ESCALA MOT B],tabE.Flux[CARRO],
(_xlfn.XLOOKUP(autocompAlmoco[[#This Row],[COMP ESCALA]],tabE.Flux[COMP. ESCALA MOT A],tabE.Flux[CARRO],"N/E",0,1)),0,1)</f>
        <v>20013</v>
      </c>
      <c r="S33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33" s="127">
        <v>45889</v>
      </c>
      <c r="U33" s="4">
        <f>IF(IFERROR(autocompAlmoco[[#This Row],[CORRESP. CARRO]],"")="NÃO",(IF(tabAlmoco[[#This Row],[MOTORISTA]]=0,"","PASSE?")),autocompAlmoco[[#This Row],[CORRESP. CARRO]])</f>
        <v>20013</v>
      </c>
      <c r="V33" s="126">
        <f>IF(OR(ISERR(autocompAlmoco[[#This Row],[CORRESP HORARIO]]), autocompAlmoco[[#This Row],[CORRESP HORARIO]]&lt;&gt;"NÃO"),autocompAlmoco[[#This Row],[CORRESP HORARIO]],"")</f>
        <v>0.29166666666666669</v>
      </c>
      <c r="W33" s="4" t="s">
        <v>299</v>
      </c>
      <c r="X33" s="4" t="s">
        <v>73</v>
      </c>
      <c r="Y33" s="1">
        <f>IF(tabAlmoco[[#This Row],[MOTORISTA]]="","",COUNTIF(autocompAlmoco[COMP ESCALA ATUAL],autocompAlmoco[[#This Row],[COMP ESCALA ATUAL]]))</f>
        <v>1</v>
      </c>
      <c r="Z33" s="45">
        <f>IF(tabAlmoco[[#This Row],[MOTORISTA]]&lt;&gt;0,15,"")</f>
        <v>15</v>
      </c>
      <c r="AA33" s="4" t="str">
        <f>autocompAlmoco[[#This Row],[CORRESP LINHA]]</f>
        <v>GOIANIA (GO) X SAO LUIS (MA)</v>
      </c>
    </row>
    <row r="34" spans="3:27" hidden="1" x14ac:dyDescent="0.25">
      <c r="C34" s="140" t="s">
        <v>226</v>
      </c>
      <c r="D34" s="56" t="str">
        <f>IF(tabAlmoco[[#This Row],[MOTORISTA]]="","",_xlfn.CONCAT(tabAlmoco[[#This Row],[DATA]],"+",tabAlmoco[[#This Row],[MOTORISTA]]))</f>
        <v>45889+JOAO FERREIRA COSTA - 5545</v>
      </c>
      <c r="E34" s="56" t="str">
        <f>_xlfn.XLOOKUP(autocompAlmoco[[#This Row],[COMP ESCALA ATUAL]],tabE.Flux[COMP.AT. MOT A],tabE.Flux[LINHA],"NÃO",0,1)</f>
        <v>NÃO</v>
      </c>
      <c r="F34" s="56" t="str">
        <f>_xlfn.XLOOKUP(autocompAlmoco[[#This Row],[COMP ESCALA ATUAL]],tabE.Flux[COMP.AT. MOT B],tabE.Flux[LINHA],"NÃO",0,1)</f>
        <v>NÃO</v>
      </c>
      <c r="G34" s="61" t="str">
        <f>IF(AND(autocompAlmoco[[#This Row],[EXISTE MOT A AT]]="NÃO", autocompAlmoco[[#This Row],[EXISTE MOT B AT]]="NÃO"),"NÃO","SIM")</f>
        <v>NÃO</v>
      </c>
      <c r="H34" s="71" t="str">
        <f>IF(autocompAlmoco[[#This Row],[EXISTE ESCALA ATUAL]]="NÃO",_xlfn.CONCAT(tabAlmoco[[#This Row],[DATA]]-1,"+",tabAlmoco[[#This Row],[MOTORISTA]]),"NÃO")</f>
        <v>45888+JOAO FERREIRA COSTA - 5545</v>
      </c>
      <c r="I34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34" s="58" t="str">
        <f>IF(autocompAlmoco[[#This Row],[COMP ESCALA ANTERIOR]]="NÃO","NÃO",_xlfn.XLOOKUP(autocompAlmoco[[#This Row],[COMP ESCALA ANTERIOR]],tabE.Flux[COMP.AT. MOT B],tabE.Flux[LINHA],"NÃO",0,1))</f>
        <v>NÃO</v>
      </c>
      <c r="K34" s="62" t="str">
        <f>IF(AND(autocompAlmoco[[#This Row],[EXISTE MOT A ANT]]="NÃO",autocompAlmoco[[#This Row],[EXISTE MOT B ANT]]="NÃO"),"NÃO","SIM")</f>
        <v>SIM</v>
      </c>
      <c r="L34" s="73" t="str">
        <f t="shared" si="0"/>
        <v>45890+JOAO FERREIRA COSTA - 5545</v>
      </c>
      <c r="M34" s="59" t="str">
        <f>IF(autocompAlmoco[[#This Row],[COMP ESCALA POSTERIOR]]="NÃO","NÃO",_xlfn.XLOOKUP(autocompAlmoco[[#This Row],[COMP ESCALA POSTERIOR]],tabE.Flux[COMP.AT. MOT A],tabE.Flux[LINHA],"NÃO",0,1))</f>
        <v>NÃO</v>
      </c>
      <c r="N34" s="59" t="str">
        <f>IF(autocompAlmoco[[#This Row],[COMP ESCALA POSTERIOR]]="NÃO","NÃO",_xlfn.XLOOKUP(autocompAlmoco[[#This Row],[COMP ESCALA POSTERIOR]],tabE.Flux[COMP.AT. MOT B],tabE.Flux[LINHA],"NÃO",0,1))</f>
        <v>NÃO</v>
      </c>
      <c r="O34" s="65" t="str">
        <f>IF(AND(autocompAlmoco[[#This Row],[EXISTE MOT A POS]]="NÃO",autocompAlmoco[[#This Row],[EXISTE MOT B POS]]="NÃO"),"NÃO","SIM")</f>
        <v>NÃO</v>
      </c>
      <c r="P34" s="66" t="str" cm="1">
        <f t="array" ref="P3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34" s="75" t="str" cm="1">
        <f t="array" ref="Q3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45888+JOAO FERREIRA COSTA - 5545+FORTALEZA (CE) X SINOP (MT)</v>
      </c>
      <c r="R34" s="67">
        <f>_xlfn.XLOOKUP(autocompAlmoco[[#This Row],[COMP ESCALA]],tabE.Flux[COMP. ESCALA MOT B],tabE.Flux[CARRO],
(_xlfn.XLOOKUP(autocompAlmoco[[#This Row],[COMP ESCALA]],tabE.Flux[COMP. ESCALA MOT A],tabE.Flux[CARRO],"N/E",0,1)),0,1)</f>
        <v>19014</v>
      </c>
      <c r="S34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34" s="127">
        <v>45889</v>
      </c>
      <c r="U34" s="4">
        <f>IF(IFERROR(autocompAlmoco[[#This Row],[CORRESP. CARRO]],"")="NÃO",(IF(tabAlmoco[[#This Row],[MOTORISTA]]=0,"","PASSE?")),autocompAlmoco[[#This Row],[CORRESP. CARRO]])</f>
        <v>19014</v>
      </c>
      <c r="V34" s="126">
        <f>IF(OR(ISERR(autocompAlmoco[[#This Row],[CORRESP HORARIO]]), autocompAlmoco[[#This Row],[CORRESP HORARIO]]&lt;&gt;"NÃO"),autocompAlmoco[[#This Row],[CORRESP HORARIO]],"")</f>
        <v>0.37708333333333333</v>
      </c>
      <c r="W34" s="4" t="s">
        <v>299</v>
      </c>
      <c r="X34" s="4" t="s">
        <v>61</v>
      </c>
      <c r="Y34" s="1">
        <f>IF(tabAlmoco[[#This Row],[MOTORISTA]]="","",COUNTIF(autocompAlmoco[COMP ESCALA ATUAL],autocompAlmoco[[#This Row],[COMP ESCALA ATUAL]]))</f>
        <v>1</v>
      </c>
      <c r="Z34" s="45">
        <f>IF(tabAlmoco[[#This Row],[MOTORISTA]]&lt;&gt;0,15,"")</f>
        <v>15</v>
      </c>
      <c r="AA34" s="4" t="str">
        <f>autocompAlmoco[[#This Row],[CORRESP LINHA]]</f>
        <v>FORTALEZA (CE) X SINOP (MT)</v>
      </c>
    </row>
    <row r="35" spans="3:27" hidden="1" x14ac:dyDescent="0.25">
      <c r="C35" s="140" t="s">
        <v>226</v>
      </c>
      <c r="D35" s="56" t="str">
        <f>IF(tabAlmoco[[#This Row],[MOTORISTA]]="","",_xlfn.CONCAT(tabAlmoco[[#This Row],[DATA]],"+",tabAlmoco[[#This Row],[MOTORISTA]]))</f>
        <v>45890+KAYLSON KLEYTON DA SILVA COSTA - 6224</v>
      </c>
      <c r="E35" s="56" t="str">
        <f>_xlfn.XLOOKUP(autocompAlmoco[[#This Row],[COMP ESCALA ATUAL]],tabE.Flux[COMP.AT. MOT A],tabE.Flux[LINHA],"NÃO",0,1)</f>
        <v>NÃO</v>
      </c>
      <c r="F35" s="56" t="str">
        <f>_xlfn.XLOOKUP(autocompAlmoco[[#This Row],[COMP ESCALA ATUAL]],tabE.Flux[COMP.AT. MOT B],tabE.Flux[LINHA],"NÃO",0,1)</f>
        <v>GOIANIA (GO) X SAO LUIS (MA)</v>
      </c>
      <c r="G35" s="61" t="str">
        <f>IF(AND(autocompAlmoco[[#This Row],[EXISTE MOT A AT]]="NÃO", autocompAlmoco[[#This Row],[EXISTE MOT B AT]]="NÃO"),"NÃO","SIM")</f>
        <v>SIM</v>
      </c>
      <c r="H35" s="71" t="str">
        <f>IF(autocompAlmoco[[#This Row],[EXISTE ESCALA ATUAL]]="NÃO",_xlfn.CONCAT(tabAlmoco[[#This Row],[DATA]]-1,"+",tabAlmoco[[#This Row],[MOTORISTA]]),"NÃO")</f>
        <v>NÃO</v>
      </c>
      <c r="I35" s="57" t="str">
        <f>IF(autocompAlmoco[[#This Row],[COMP ESCALA ANTERIOR]]="NÃO","NÃO",_xlfn.XLOOKUP(autocompAlmoco[[#This Row],[COMP ESCALA ANTERIOR]],tabE.Flux[COMP.AT. MOT A],tabE.Flux[LINHA],"NÃO",0,1))</f>
        <v>NÃO</v>
      </c>
      <c r="J35" s="58" t="str">
        <f>IF(autocompAlmoco[[#This Row],[COMP ESCALA ANTERIOR]]="NÃO","NÃO",_xlfn.XLOOKUP(autocompAlmoco[[#This Row],[COMP ESCALA ANTERIOR]],tabE.Flux[COMP.AT. MOT B],tabE.Flux[LINHA],"NÃO",0,1))</f>
        <v>NÃO</v>
      </c>
      <c r="K35" s="62" t="str">
        <f>IF(AND(autocompAlmoco[[#This Row],[EXISTE MOT A ANT]]="NÃO",autocompAlmoco[[#This Row],[EXISTE MOT B ANT]]="NÃO"),"NÃO","SIM")</f>
        <v>NÃO</v>
      </c>
      <c r="L35" s="73" t="str">
        <f t="shared" si="0"/>
        <v>45891+KAYLSON KLEYTON DA SILVA COSTA - 6224</v>
      </c>
      <c r="M35" s="59" t="str">
        <f>IF(autocompAlmoco[[#This Row],[COMP ESCALA POSTERIOR]]="NÃO","NÃO",_xlfn.XLOOKUP(autocompAlmoco[[#This Row],[COMP ESCALA POSTERIOR]],tabE.Flux[COMP.AT. MOT A],tabE.Flux[LINHA],"NÃO",0,1))</f>
        <v>NÃO</v>
      </c>
      <c r="N35" s="59" t="str">
        <f>IF(autocompAlmoco[[#This Row],[COMP ESCALA POSTERIOR]]="NÃO","NÃO",_xlfn.XLOOKUP(autocompAlmoco[[#This Row],[COMP ESCALA POSTERIOR]],tabE.Flux[COMP.AT. MOT B],tabE.Flux[LINHA],"NÃO",0,1))</f>
        <v>NÃO</v>
      </c>
      <c r="O35" s="65" t="str">
        <f>IF(AND(autocompAlmoco[[#This Row],[EXISTE MOT A POS]]="NÃO",autocompAlmoco[[#This Row],[EXISTE MOT B POS]]="NÃO"),"NÃO","SIM")</f>
        <v>NÃO</v>
      </c>
      <c r="P35" s="66" t="str" cm="1">
        <f t="array" ref="P3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35" s="75" t="str" cm="1">
        <f t="array" ref="Q3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45890+KAYLSON KLEYTON DA SILVA COSTA - 6224+GOIANIA (GO) X SAO LUIS (MA)</v>
      </c>
      <c r="R35" s="67">
        <f>_xlfn.XLOOKUP(autocompAlmoco[[#This Row],[COMP ESCALA]],tabE.Flux[COMP. ESCALA MOT B],tabE.Flux[CARRO],
(_xlfn.XLOOKUP(autocompAlmoco[[#This Row],[COMP ESCALA]],tabE.Flux[COMP. ESCALA MOT A],tabE.Flux[CARRO],"N/E",0,1)),0,1)</f>
        <v>15600</v>
      </c>
      <c r="S35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35" s="127">
        <v>45890</v>
      </c>
      <c r="U35" s="4">
        <f>IF(IFERROR(autocompAlmoco[[#This Row],[CORRESP. CARRO]],"")="NÃO",(IF(tabAlmoco[[#This Row],[MOTORISTA]]=0,"","PASSE?")),autocompAlmoco[[#This Row],[CORRESP. CARRO]])</f>
        <v>15600</v>
      </c>
      <c r="V35" s="126">
        <f>IF(OR(ISERR(autocompAlmoco[[#This Row],[CORRESP HORARIO]]), autocompAlmoco[[#This Row],[CORRESP HORARIO]]&lt;&gt;"NÃO"),autocompAlmoco[[#This Row],[CORRESP HORARIO]],"")</f>
        <v>0.47013888888888888</v>
      </c>
      <c r="W35" s="4" t="s">
        <v>299</v>
      </c>
      <c r="X35" s="4" t="s">
        <v>80</v>
      </c>
      <c r="Y35" s="1">
        <f>IF(tabAlmoco[[#This Row],[MOTORISTA]]="","",COUNTIF(autocompAlmoco[COMP ESCALA ATUAL],autocompAlmoco[[#This Row],[COMP ESCALA ATUAL]]))</f>
        <v>1</v>
      </c>
      <c r="Z35" s="45">
        <f>IF(tabAlmoco[[#This Row],[MOTORISTA]]&lt;&gt;0,15,"")</f>
        <v>15</v>
      </c>
      <c r="AA35" s="4" t="str">
        <f>autocompAlmoco[[#This Row],[CORRESP LINHA]]</f>
        <v>GOIANIA (GO) X SAO LUIS (MA)</v>
      </c>
    </row>
    <row r="36" spans="3:27" hidden="1" x14ac:dyDescent="0.25">
      <c r="C36" s="140" t="s">
        <v>226</v>
      </c>
      <c r="D36" s="56" t="str">
        <f>IF(tabAlmoco[[#This Row],[MOTORISTA]]="","",_xlfn.CONCAT(tabAlmoco[[#This Row],[DATA]],"+",tabAlmoco[[#This Row],[MOTORISTA]]))</f>
        <v>45890+JAME DOS SANTOS MOURA - 5332</v>
      </c>
      <c r="E36" s="56" t="str">
        <f>_xlfn.XLOOKUP(autocompAlmoco[[#This Row],[COMP ESCALA ATUAL]],tabE.Flux[COMP.AT. MOT A],tabE.Flux[LINHA],"NÃO",0,1)</f>
        <v>NÃO</v>
      </c>
      <c r="F36" s="56" t="str">
        <f>_xlfn.XLOOKUP(autocompAlmoco[[#This Row],[COMP ESCALA ATUAL]],tabE.Flux[COMP.AT. MOT B],tabE.Flux[LINHA],"NÃO",0,1)</f>
        <v>GOIANIA (GO) X SAO LUIS (MA)</v>
      </c>
      <c r="G36" s="61" t="str">
        <f>IF(AND(autocompAlmoco[[#This Row],[EXISTE MOT A AT]]="NÃO", autocompAlmoco[[#This Row],[EXISTE MOT B AT]]="NÃO"),"NÃO","SIM")</f>
        <v>SIM</v>
      </c>
      <c r="H36" s="71" t="str">
        <f>IF(autocompAlmoco[[#This Row],[EXISTE ESCALA ATUAL]]="NÃO",_xlfn.CONCAT(tabAlmoco[[#This Row],[DATA]]-1,"+",tabAlmoco[[#This Row],[MOTORISTA]]),"NÃO")</f>
        <v>NÃO</v>
      </c>
      <c r="I36" s="57" t="str">
        <f>IF(autocompAlmoco[[#This Row],[COMP ESCALA ANTERIOR]]="NÃO","NÃO",_xlfn.XLOOKUP(autocompAlmoco[[#This Row],[COMP ESCALA ANTERIOR]],tabE.Flux[COMP.AT. MOT A],tabE.Flux[LINHA],"NÃO",0,1))</f>
        <v>NÃO</v>
      </c>
      <c r="J36" s="58" t="str">
        <f>IF(autocompAlmoco[[#This Row],[COMP ESCALA ANTERIOR]]="NÃO","NÃO",_xlfn.XLOOKUP(autocompAlmoco[[#This Row],[COMP ESCALA ANTERIOR]],tabE.Flux[COMP.AT. MOT B],tabE.Flux[LINHA],"NÃO",0,1))</f>
        <v>NÃO</v>
      </c>
      <c r="K36" s="62" t="str">
        <f>IF(AND(autocompAlmoco[[#This Row],[EXISTE MOT A ANT]]="NÃO",autocompAlmoco[[#This Row],[EXISTE MOT B ANT]]="NÃO"),"NÃO","SIM")</f>
        <v>NÃO</v>
      </c>
      <c r="L36" s="73" t="str">
        <f t="shared" si="0"/>
        <v>45891+JAME DOS SANTOS MOURA - 5332</v>
      </c>
      <c r="M36" s="59" t="str">
        <f>IF(autocompAlmoco[[#This Row],[COMP ESCALA POSTERIOR]]="NÃO","NÃO",_xlfn.XLOOKUP(autocompAlmoco[[#This Row],[COMP ESCALA POSTERIOR]],tabE.Flux[COMP.AT. MOT A],tabE.Flux[LINHA],"NÃO",0,1))</f>
        <v>NÃO</v>
      </c>
      <c r="N36" s="59" t="str">
        <f>IF(autocompAlmoco[[#This Row],[COMP ESCALA POSTERIOR]]="NÃO","NÃO",_xlfn.XLOOKUP(autocompAlmoco[[#This Row],[COMP ESCALA POSTERIOR]],tabE.Flux[COMP.AT. MOT B],tabE.Flux[LINHA],"NÃO",0,1))</f>
        <v>FORTALEZA (CE) X SINOP (MT)</v>
      </c>
      <c r="O36" s="65" t="str">
        <f>IF(AND(autocompAlmoco[[#This Row],[EXISTE MOT A POS]]="NÃO",autocompAlmoco[[#This Row],[EXISTE MOT B POS]]="NÃO"),"NÃO","SIM")</f>
        <v>SIM</v>
      </c>
      <c r="P36" s="66" t="str" cm="1">
        <f t="array" ref="P3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36" s="75" t="str" cm="1">
        <f t="array" ref="Q3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45890+JAME DOS SANTOS MOURA - 5332+GOIANIA (GO) X SAO LUIS (MA)</v>
      </c>
      <c r="R36" s="67">
        <f>_xlfn.XLOOKUP(autocompAlmoco[[#This Row],[COMP ESCALA]],tabE.Flux[COMP. ESCALA MOT B],tabE.Flux[CARRO],
(_xlfn.XLOOKUP(autocompAlmoco[[#This Row],[COMP ESCALA]],tabE.Flux[COMP. ESCALA MOT A],tabE.Flux[CARRO],"N/E",0,1)),0,1)</f>
        <v>19015</v>
      </c>
      <c r="S36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36" s="127">
        <v>45890</v>
      </c>
      <c r="U36" s="4">
        <f>IF(IFERROR(autocompAlmoco[[#This Row],[CORRESP. CARRO]],"")="NÃO",(IF(tabAlmoco[[#This Row],[MOTORISTA]]=0,"","PASSE?")),autocompAlmoco[[#This Row],[CORRESP. CARRO]])</f>
        <v>19015</v>
      </c>
      <c r="V36" s="126">
        <f>IF(OR(ISERR(autocompAlmoco[[#This Row],[CORRESP HORARIO]]), autocompAlmoco[[#This Row],[CORRESP HORARIO]]&lt;&gt;"NÃO"),autocompAlmoco[[#This Row],[CORRESP HORARIO]],"")</f>
        <v>0.29166666666666669</v>
      </c>
      <c r="W36" s="4" t="s">
        <v>299</v>
      </c>
      <c r="X36" s="4" t="s">
        <v>103</v>
      </c>
      <c r="Y36" s="1">
        <f>IF(tabAlmoco[[#This Row],[MOTORISTA]]="","",COUNTIF(autocompAlmoco[COMP ESCALA ATUAL],autocompAlmoco[[#This Row],[COMP ESCALA ATUAL]]))</f>
        <v>1</v>
      </c>
      <c r="Z36" s="45">
        <f>IF(tabAlmoco[[#This Row],[MOTORISTA]]&lt;&gt;0,15,"")</f>
        <v>15</v>
      </c>
      <c r="AA36" s="4" t="str">
        <f>autocompAlmoco[[#This Row],[CORRESP LINHA]]</f>
        <v>GOIANIA (GO) X SAO LUIS (MA)</v>
      </c>
    </row>
    <row r="37" spans="3:27" hidden="1" x14ac:dyDescent="0.25">
      <c r="C37" s="140" t="s">
        <v>226</v>
      </c>
      <c r="D37" s="56" t="str">
        <f>IF(tabAlmoco[[#This Row],[MOTORISTA]]="","",_xlfn.CONCAT(tabAlmoco[[#This Row],[DATA]],"+",tabAlmoco[[#This Row],[MOTORISTA]]))</f>
        <v>45890+RONALDO ADRIANO COSTA SANTOS - 5637</v>
      </c>
      <c r="E37" s="56" t="str">
        <f>_xlfn.XLOOKUP(autocompAlmoco[[#This Row],[COMP ESCALA ATUAL]],tabE.Flux[COMP.AT. MOT A],tabE.Flux[LINHA],"NÃO",0,1)</f>
        <v>NÃO</v>
      </c>
      <c r="F37" s="56" t="str">
        <f>_xlfn.XLOOKUP(autocompAlmoco[[#This Row],[COMP ESCALA ATUAL]],tabE.Flux[COMP.AT. MOT B],tabE.Flux[LINHA],"NÃO",0,1)</f>
        <v>NÃO</v>
      </c>
      <c r="G37" s="61" t="str">
        <f>IF(AND(autocompAlmoco[[#This Row],[EXISTE MOT A AT]]="NÃO", autocompAlmoco[[#This Row],[EXISTE MOT B AT]]="NÃO"),"NÃO","SIM")</f>
        <v>NÃO</v>
      </c>
      <c r="H37" s="71" t="str">
        <f>IF(autocompAlmoco[[#This Row],[EXISTE ESCALA ATUAL]]="NÃO",_xlfn.CONCAT(tabAlmoco[[#This Row],[DATA]]-1,"+",tabAlmoco[[#This Row],[MOTORISTA]]),"NÃO")</f>
        <v>45889+RONALDO ADRIANO COSTA SANTOS - 5637</v>
      </c>
      <c r="I37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37" s="58" t="str">
        <f>IF(autocompAlmoco[[#This Row],[COMP ESCALA ANTERIOR]]="NÃO","NÃO",_xlfn.XLOOKUP(autocompAlmoco[[#This Row],[COMP ESCALA ANTERIOR]],tabE.Flux[COMP.AT. MOT B],tabE.Flux[LINHA],"NÃO",0,1))</f>
        <v>NÃO</v>
      </c>
      <c r="K37" s="62" t="str">
        <f>IF(AND(autocompAlmoco[[#This Row],[EXISTE MOT A ANT]]="NÃO",autocompAlmoco[[#This Row],[EXISTE MOT B ANT]]="NÃO"),"NÃO","SIM")</f>
        <v>SIM</v>
      </c>
      <c r="L37" s="73" t="str">
        <f t="shared" si="0"/>
        <v>45891+RONALDO ADRIANO COSTA SANTOS - 5637</v>
      </c>
      <c r="M37" s="59" t="str">
        <f>IF(autocompAlmoco[[#This Row],[COMP ESCALA POSTERIOR]]="NÃO","NÃO",_xlfn.XLOOKUP(autocompAlmoco[[#This Row],[COMP ESCALA POSTERIOR]],tabE.Flux[COMP.AT. MOT A],tabE.Flux[LINHA],"NÃO",0,1))</f>
        <v>FORTALEZA (CE) X SINOP (MT)</v>
      </c>
      <c r="N37" s="59" t="str">
        <f>IF(autocompAlmoco[[#This Row],[COMP ESCALA POSTERIOR]]="NÃO","NÃO",_xlfn.XLOOKUP(autocompAlmoco[[#This Row],[COMP ESCALA POSTERIOR]],tabE.Flux[COMP.AT. MOT B],tabE.Flux[LINHA],"NÃO",0,1))</f>
        <v>NÃO</v>
      </c>
      <c r="O37" s="65" t="str">
        <f>IF(AND(autocompAlmoco[[#This Row],[EXISTE MOT A POS]]="NÃO",autocompAlmoco[[#This Row],[EXISTE MOT B POS]]="NÃO"),"NÃO","SIM")</f>
        <v>SIM</v>
      </c>
      <c r="P37" s="66" t="str" cm="1">
        <f t="array" ref="P3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37" s="75" t="str" cm="1">
        <f t="array" ref="Q3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45889+RONALDO ADRIANO COSTA SANTOS - 5637+FORTALEZA (CE) X SINOP (MT)</v>
      </c>
      <c r="R37" s="67">
        <f>_xlfn.XLOOKUP(autocompAlmoco[[#This Row],[COMP ESCALA]],tabE.Flux[COMP. ESCALA MOT B],tabE.Flux[CARRO],
(_xlfn.XLOOKUP(autocompAlmoco[[#This Row],[COMP ESCALA]],tabE.Flux[COMP. ESCALA MOT A],tabE.Flux[CARRO],"N/E",0,1)),0,1)</f>
        <v>19013</v>
      </c>
      <c r="S37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37" s="127">
        <v>45890</v>
      </c>
      <c r="U37" s="4">
        <f>IF(IFERROR(autocompAlmoco[[#This Row],[CORRESP. CARRO]],"")="NÃO",(IF(tabAlmoco[[#This Row],[MOTORISTA]]=0,"","PASSE?")),autocompAlmoco[[#This Row],[CORRESP. CARRO]])</f>
        <v>19013</v>
      </c>
      <c r="V37" s="128">
        <f>IF(OR(ISERR(autocompAlmoco[[#This Row],[CORRESP HORARIO]]), autocompAlmoco[[#This Row],[CORRESP HORARIO]]&lt;&gt;"NÃO"),autocompAlmoco[[#This Row],[CORRESP HORARIO]],"")</f>
        <v>0.37708333333333333</v>
      </c>
      <c r="W37" s="4" t="s">
        <v>299</v>
      </c>
      <c r="X37" s="4" t="s">
        <v>41</v>
      </c>
      <c r="Y37" s="4">
        <f>IF(tabAlmoco[[#This Row],[MOTORISTA]]="","",COUNTIF(autocompAlmoco[COMP ESCALA ATUAL],autocompAlmoco[[#This Row],[COMP ESCALA ATUAL]]))</f>
        <v>1</v>
      </c>
      <c r="Z37" s="45">
        <f>IF(tabAlmoco[[#This Row],[MOTORISTA]]&lt;&gt;0,15,"")</f>
        <v>15</v>
      </c>
      <c r="AA37" s="4" t="str">
        <f>autocompAlmoco[[#This Row],[CORRESP LINHA]]</f>
        <v>FORTALEZA (CE) X SINOP (MT)</v>
      </c>
    </row>
    <row r="38" spans="3:27" hidden="1" x14ac:dyDescent="0.25">
      <c r="C38" s="140" t="s">
        <v>226</v>
      </c>
      <c r="D38" s="56" t="str">
        <f>IF(tabAlmoco[[#This Row],[MOTORISTA]]="","",_xlfn.CONCAT(tabAlmoco[[#This Row],[DATA]],"+",tabAlmoco[[#This Row],[MOTORISTA]]))</f>
        <v>45890+NILSON CORTEZ MIRANDA - 5636</v>
      </c>
      <c r="E38" s="56" t="str">
        <f>_xlfn.XLOOKUP(autocompAlmoco[[#This Row],[COMP ESCALA ATUAL]],tabE.Flux[COMP.AT. MOT A],tabE.Flux[LINHA],"NÃO",0,1)</f>
        <v>NÃO</v>
      </c>
      <c r="F38" s="56" t="str">
        <f>_xlfn.XLOOKUP(autocompAlmoco[[#This Row],[COMP ESCALA ATUAL]],tabE.Flux[COMP.AT. MOT B],tabE.Flux[LINHA],"NÃO",0,1)</f>
        <v>GOIANIA (GO) X SAO LUIS (MA)</v>
      </c>
      <c r="G38" s="61" t="str">
        <f>IF(AND(autocompAlmoco[[#This Row],[EXISTE MOT A AT]]="NÃO", autocompAlmoco[[#This Row],[EXISTE MOT B AT]]="NÃO"),"NÃO","SIM")</f>
        <v>SIM</v>
      </c>
      <c r="H38" s="71" t="str">
        <f>IF(autocompAlmoco[[#This Row],[EXISTE ESCALA ATUAL]]="NÃO",_xlfn.CONCAT(tabAlmoco[[#This Row],[DATA]]-1,"+",tabAlmoco[[#This Row],[MOTORISTA]]),"NÃO")</f>
        <v>NÃO</v>
      </c>
      <c r="I38" s="57" t="str">
        <f>IF(autocompAlmoco[[#This Row],[COMP ESCALA ANTERIOR]]="NÃO","NÃO",_xlfn.XLOOKUP(autocompAlmoco[[#This Row],[COMP ESCALA ANTERIOR]],tabE.Flux[COMP.AT. MOT A],tabE.Flux[LINHA],"NÃO",0,1))</f>
        <v>NÃO</v>
      </c>
      <c r="J38" s="58" t="str">
        <f>IF(autocompAlmoco[[#This Row],[COMP ESCALA ANTERIOR]]="NÃO","NÃO",_xlfn.XLOOKUP(autocompAlmoco[[#This Row],[COMP ESCALA ANTERIOR]],tabE.Flux[COMP.AT. MOT B],tabE.Flux[LINHA],"NÃO",0,1))</f>
        <v>NÃO</v>
      </c>
      <c r="K38" s="62" t="str">
        <f>IF(AND(autocompAlmoco[[#This Row],[EXISTE MOT A ANT]]="NÃO",autocompAlmoco[[#This Row],[EXISTE MOT B ANT]]="NÃO"),"NÃO","SIM")</f>
        <v>NÃO</v>
      </c>
      <c r="L38" s="73" t="str">
        <f t="shared" ref="L38:L69" si="1">_xlfn.CONCAT(T38+1,"+",X38)</f>
        <v>45891+NILSON CORTEZ MIRANDA - 5636</v>
      </c>
      <c r="M38" s="59" t="str">
        <f>IF(autocompAlmoco[[#This Row],[COMP ESCALA POSTERIOR]]="NÃO","NÃO",_xlfn.XLOOKUP(autocompAlmoco[[#This Row],[COMP ESCALA POSTERIOR]],tabE.Flux[COMP.AT. MOT A],tabE.Flux[LINHA],"NÃO",0,1))</f>
        <v>NÃO</v>
      </c>
      <c r="N38" s="59" t="str">
        <f>IF(autocompAlmoco[[#This Row],[COMP ESCALA POSTERIOR]]="NÃO","NÃO",_xlfn.XLOOKUP(autocompAlmoco[[#This Row],[COMP ESCALA POSTERIOR]],tabE.Flux[COMP.AT. MOT B],tabE.Flux[LINHA],"NÃO",0,1))</f>
        <v>NÃO</v>
      </c>
      <c r="O38" s="65" t="str">
        <f>IF(AND(autocompAlmoco[[#This Row],[EXISTE MOT A POS]]="NÃO",autocompAlmoco[[#This Row],[EXISTE MOT B POS]]="NÃO"),"NÃO","SIM")</f>
        <v>NÃO</v>
      </c>
      <c r="P38" s="66" t="str" cm="1">
        <f t="array" ref="P3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38" s="75" t="str" cm="1">
        <f t="array" ref="Q3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45890+NILSON CORTEZ MIRANDA - 5636+GOIANIA (GO) X SAO LUIS (MA)</v>
      </c>
      <c r="R38" s="67">
        <f>_xlfn.XLOOKUP(autocompAlmoco[[#This Row],[COMP ESCALA]],tabE.Flux[COMP. ESCALA MOT B],tabE.Flux[CARRO],
(_xlfn.XLOOKUP(autocompAlmoco[[#This Row],[COMP ESCALA]],tabE.Flux[COMP. ESCALA MOT A],tabE.Flux[CARRO],"N/E",0,1)),0,1)</f>
        <v>24015</v>
      </c>
      <c r="S38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38" s="125">
        <v>45890</v>
      </c>
      <c r="U38" s="1">
        <f>IF(IFERROR(autocompAlmoco[[#This Row],[CORRESP. CARRO]],"")="NÃO",(IF(tabAlmoco[[#This Row],[MOTORISTA]]=0,"","PASSE?")),autocompAlmoco[[#This Row],[CORRESP. CARRO]])</f>
        <v>24015</v>
      </c>
      <c r="V38" s="126">
        <f>IF(OR(ISERR(autocompAlmoco[[#This Row],[CORRESP HORARIO]]), autocompAlmoco[[#This Row],[CORRESP HORARIO]]&lt;&gt;"NÃO"),autocompAlmoco[[#This Row],[CORRESP HORARIO]],"")</f>
        <v>0.79166666666666663</v>
      </c>
      <c r="W38" s="1" t="s">
        <v>299</v>
      </c>
      <c r="X38" s="1" t="s">
        <v>75</v>
      </c>
      <c r="Y38" s="1">
        <f>IF(tabAlmoco[[#This Row],[MOTORISTA]]="","",COUNTIF(autocompAlmoco[COMP ESCALA ATUAL],autocompAlmoco[[#This Row],[COMP ESCALA ATUAL]]))</f>
        <v>1</v>
      </c>
      <c r="Z38" s="105">
        <f>IF(tabAlmoco[[#This Row],[MOTORISTA]]&lt;&gt;0,15,"")</f>
        <v>15</v>
      </c>
      <c r="AA38" s="1" t="str">
        <f>autocompAlmoco[[#This Row],[CORRESP LINHA]]</f>
        <v>GOIANIA (GO) X SAO LUIS (MA)</v>
      </c>
    </row>
    <row r="39" spans="3:27" hidden="1" x14ac:dyDescent="0.25">
      <c r="C39" s="140" t="s">
        <v>226</v>
      </c>
      <c r="D39" s="56" t="str">
        <f>IF(tabAlmoco[[#This Row],[MOTORISTA]]="","",_xlfn.CONCAT(tabAlmoco[[#This Row],[DATA]],"+",tabAlmoco[[#This Row],[MOTORISTA]]))</f>
        <v>45890+JAKTAN DE OLIVEIRA RODRIGUES - 5836</v>
      </c>
      <c r="E39" s="56" t="str">
        <f>_xlfn.XLOOKUP(autocompAlmoco[[#This Row],[COMP ESCALA ATUAL]],tabE.Flux[COMP.AT. MOT A],tabE.Flux[LINHA],"NÃO",0,1)</f>
        <v>NÃO</v>
      </c>
      <c r="F39" s="56" t="str">
        <f>_xlfn.XLOOKUP(autocompAlmoco[[#This Row],[COMP ESCALA ATUAL]],tabE.Flux[COMP.AT. MOT B],tabE.Flux[LINHA],"NÃO",0,1)</f>
        <v>NÃO</v>
      </c>
      <c r="G39" s="61" t="str">
        <f>IF(AND(autocompAlmoco[[#This Row],[EXISTE MOT A AT]]="NÃO", autocompAlmoco[[#This Row],[EXISTE MOT B AT]]="NÃO"),"NÃO","SIM")</f>
        <v>NÃO</v>
      </c>
      <c r="H39" s="71" t="str">
        <f>IF(autocompAlmoco[[#This Row],[EXISTE ESCALA ATUAL]]="NÃO",_xlfn.CONCAT(tabAlmoco[[#This Row],[DATA]]-1,"+",tabAlmoco[[#This Row],[MOTORISTA]]),"NÃO")</f>
        <v>45889+JAKTAN DE OLIVEIRA RODRIGUES - 5836</v>
      </c>
      <c r="I39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39" s="58" t="str">
        <f>IF(autocompAlmoco[[#This Row],[COMP ESCALA ANTERIOR]]="NÃO","NÃO",_xlfn.XLOOKUP(autocompAlmoco[[#This Row],[COMP ESCALA ANTERIOR]],tabE.Flux[COMP.AT. MOT B],tabE.Flux[LINHA],"NÃO",0,1))</f>
        <v>NÃO</v>
      </c>
      <c r="K39" s="62" t="str">
        <f>IF(AND(autocompAlmoco[[#This Row],[EXISTE MOT A ANT]]="NÃO",autocompAlmoco[[#This Row],[EXISTE MOT B ANT]]="NÃO"),"NÃO","SIM")</f>
        <v>SIM</v>
      </c>
      <c r="L39" s="73" t="str">
        <f t="shared" si="1"/>
        <v>45891+JAKTAN DE OLIVEIRA RODRIGUES - 5836</v>
      </c>
      <c r="M39" s="59" t="str">
        <f>IF(autocompAlmoco[[#This Row],[COMP ESCALA POSTERIOR]]="NÃO","NÃO",_xlfn.XLOOKUP(autocompAlmoco[[#This Row],[COMP ESCALA POSTERIOR]],tabE.Flux[COMP.AT. MOT A],tabE.Flux[LINHA],"NÃO",0,1))</f>
        <v>NÃO</v>
      </c>
      <c r="N39" s="59" t="str">
        <f>IF(autocompAlmoco[[#This Row],[COMP ESCALA POSTERIOR]]="NÃO","NÃO",_xlfn.XLOOKUP(autocompAlmoco[[#This Row],[COMP ESCALA POSTERIOR]],tabE.Flux[COMP.AT. MOT B],tabE.Flux[LINHA],"NÃO",0,1))</f>
        <v>NÃO</v>
      </c>
      <c r="O39" s="65" t="str">
        <f>IF(AND(autocompAlmoco[[#This Row],[EXISTE MOT A POS]]="NÃO",autocompAlmoco[[#This Row],[EXISTE MOT B POS]]="NÃO"),"NÃO","SIM")</f>
        <v>NÃO</v>
      </c>
      <c r="P39" s="66" t="str" cm="1">
        <f t="array" ref="P3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39" s="75" t="str" cm="1">
        <f t="array" ref="Q3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45889+JAKTAN DE OLIVEIRA RODRIGUES - 5836+GOIANIA (GO) X TERESINA (PI) VIA STI</v>
      </c>
      <c r="R39" s="67">
        <f>_xlfn.XLOOKUP(autocompAlmoco[[#This Row],[COMP ESCALA]],tabE.Flux[COMP. ESCALA MOT B],tabE.Flux[CARRO],
(_xlfn.XLOOKUP(autocompAlmoco[[#This Row],[COMP ESCALA]],tabE.Flux[COMP. ESCALA MOT A],tabE.Flux[CARRO],"N/E",0,1)),0,1)</f>
        <v>16800</v>
      </c>
      <c r="S39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39" s="127">
        <v>45890</v>
      </c>
      <c r="U39" s="4">
        <f>IF(IFERROR(autocompAlmoco[[#This Row],[CORRESP. CARRO]],"")="NÃO",(IF(tabAlmoco[[#This Row],[MOTORISTA]]=0,"","PASSE?")),autocompAlmoco[[#This Row],[CORRESP. CARRO]])</f>
        <v>16800</v>
      </c>
      <c r="V39" s="126">
        <f>IF(OR(ISERR(autocompAlmoco[[#This Row],[CORRESP HORARIO]]), autocompAlmoco[[#This Row],[CORRESP HORARIO]]&lt;&gt;"NÃO"),autocompAlmoco[[#This Row],[CORRESP HORARIO]],"")</f>
        <v>0.79861111111111116</v>
      </c>
      <c r="W39" s="4" t="s">
        <v>299</v>
      </c>
      <c r="X39" s="4" t="s">
        <v>59</v>
      </c>
      <c r="Y39" s="1">
        <f>IF(tabAlmoco[[#This Row],[MOTORISTA]]="","",COUNTIF(autocompAlmoco[COMP ESCALA ATUAL],autocompAlmoco[[#This Row],[COMP ESCALA ATUAL]]))</f>
        <v>1</v>
      </c>
      <c r="Z39" s="45">
        <f>IF(tabAlmoco[[#This Row],[MOTORISTA]]&lt;&gt;0,15,"")</f>
        <v>15</v>
      </c>
      <c r="AA39" s="4" t="str">
        <f>autocompAlmoco[[#This Row],[CORRESP LINHA]]</f>
        <v>GOIANIA (GO) X TERESINA (PI) VIA STI</v>
      </c>
    </row>
    <row r="40" spans="3:27" hidden="1" x14ac:dyDescent="0.25">
      <c r="C40" s="140" t="s">
        <v>226</v>
      </c>
      <c r="D40" s="56" t="str">
        <f>IF(tabAlmoco[[#This Row],[MOTORISTA]]="","",_xlfn.CONCAT(tabAlmoco[[#This Row],[DATA]],"+",tabAlmoco[[#This Row],[MOTORISTA]]))</f>
        <v>45890+LAUCEANDO DA SILVA ROCHA - 6220</v>
      </c>
      <c r="E40" s="56" t="str">
        <f>_xlfn.XLOOKUP(autocompAlmoco[[#This Row],[COMP ESCALA ATUAL]],tabE.Flux[COMP.AT. MOT A],tabE.Flux[LINHA],"NÃO",0,1)</f>
        <v>GOIANIA (GO) X SAO LUIS (MA)</v>
      </c>
      <c r="F40" s="56" t="str">
        <f>_xlfn.XLOOKUP(autocompAlmoco[[#This Row],[COMP ESCALA ATUAL]],tabE.Flux[COMP.AT. MOT B],tabE.Flux[LINHA],"NÃO",0,1)</f>
        <v>GOIANIA (GO) X SAO LUIS (MA)</v>
      </c>
      <c r="G40" s="61" t="str">
        <f>IF(AND(autocompAlmoco[[#This Row],[EXISTE MOT A AT]]="NÃO", autocompAlmoco[[#This Row],[EXISTE MOT B AT]]="NÃO"),"NÃO","SIM")</f>
        <v>SIM</v>
      </c>
      <c r="H40" s="71" t="str">
        <f>IF(autocompAlmoco[[#This Row],[EXISTE ESCALA ATUAL]]="NÃO",_xlfn.CONCAT(tabAlmoco[[#This Row],[DATA]]-1,"+",tabAlmoco[[#This Row],[MOTORISTA]]),"NÃO")</f>
        <v>NÃO</v>
      </c>
      <c r="I40" s="57" t="str">
        <f>IF(autocompAlmoco[[#This Row],[COMP ESCALA ANTERIOR]]="NÃO","NÃO",_xlfn.XLOOKUP(autocompAlmoco[[#This Row],[COMP ESCALA ANTERIOR]],tabE.Flux[COMP.AT. MOT A],tabE.Flux[LINHA],"NÃO",0,1))</f>
        <v>NÃO</v>
      </c>
      <c r="J40" s="58" t="str">
        <f>IF(autocompAlmoco[[#This Row],[COMP ESCALA ANTERIOR]]="NÃO","NÃO",_xlfn.XLOOKUP(autocompAlmoco[[#This Row],[COMP ESCALA ANTERIOR]],tabE.Flux[COMP.AT. MOT B],tabE.Flux[LINHA],"NÃO",0,1))</f>
        <v>NÃO</v>
      </c>
      <c r="K40" s="62" t="str">
        <f>IF(AND(autocompAlmoco[[#This Row],[EXISTE MOT A ANT]]="NÃO",autocompAlmoco[[#This Row],[EXISTE MOT B ANT]]="NÃO"),"NÃO","SIM")</f>
        <v>NÃO</v>
      </c>
      <c r="L40" s="73" t="str">
        <f t="shared" si="1"/>
        <v>45891+LAUCEANDO DA SILVA ROCHA - 6220</v>
      </c>
      <c r="M40" s="59" t="str">
        <f>IF(autocompAlmoco[[#This Row],[COMP ESCALA POSTERIOR]]="NÃO","NÃO",_xlfn.XLOOKUP(autocompAlmoco[[#This Row],[COMP ESCALA POSTERIOR]],tabE.Flux[COMP.AT. MOT A],tabE.Flux[LINHA],"NÃO",0,1))</f>
        <v>NÃO</v>
      </c>
      <c r="N40" s="59" t="str">
        <f>IF(autocompAlmoco[[#This Row],[COMP ESCALA POSTERIOR]]="NÃO","NÃO",_xlfn.XLOOKUP(autocompAlmoco[[#This Row],[COMP ESCALA POSTERIOR]],tabE.Flux[COMP.AT. MOT B],tabE.Flux[LINHA],"NÃO",0,1))</f>
        <v>NÃO</v>
      </c>
      <c r="O40" s="65" t="str">
        <f>IF(AND(autocompAlmoco[[#This Row],[EXISTE MOT A POS]]="NÃO",autocompAlmoco[[#This Row],[EXISTE MOT B POS]]="NÃO"),"NÃO","SIM")</f>
        <v>NÃO</v>
      </c>
      <c r="P40" s="66" t="str" cm="1">
        <f t="array" ref="P4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40" s="75" t="str" cm="1">
        <f t="array" ref="Q4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45890+LAUCEANDO DA SILVA ROCHA - 6220+GOIANIA (GO) X SAO LUIS (MA)</v>
      </c>
      <c r="R40" s="67">
        <f>_xlfn.XLOOKUP(autocompAlmoco[[#This Row],[COMP ESCALA]],tabE.Flux[COMP. ESCALA MOT B],tabE.Flux[CARRO],
(_xlfn.XLOOKUP(autocompAlmoco[[#This Row],[COMP ESCALA]],tabE.Flux[COMP. ESCALA MOT A],tabE.Flux[CARRO],"N/E",0,1)),0,1)</f>
        <v>24004</v>
      </c>
      <c r="S40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40" s="127">
        <v>45890</v>
      </c>
      <c r="U40" s="4">
        <f>IF(IFERROR(autocompAlmoco[[#This Row],[CORRESP. CARRO]],"")="NÃO",(IF(tabAlmoco[[#This Row],[MOTORISTA]]=0,"","PASSE?")),autocompAlmoco[[#This Row],[CORRESP. CARRO]])</f>
        <v>24004</v>
      </c>
      <c r="V40" s="126">
        <f>IF(OR(ISERR(autocompAlmoco[[#This Row],[CORRESP HORARIO]]), autocompAlmoco[[#This Row],[CORRESP HORARIO]]&lt;&gt;"NÃO"),autocompAlmoco[[#This Row],[CORRESP HORARIO]],"")</f>
        <v>0.29166666666666669</v>
      </c>
      <c r="W40" s="4" t="s">
        <v>299</v>
      </c>
      <c r="X40" s="4" t="s">
        <v>86</v>
      </c>
      <c r="Y40" s="1">
        <f>IF(tabAlmoco[[#This Row],[MOTORISTA]]="","",COUNTIF(autocompAlmoco[COMP ESCALA ATUAL],autocompAlmoco[[#This Row],[COMP ESCALA ATUAL]]))</f>
        <v>1</v>
      </c>
      <c r="Z40" s="45">
        <f>IF(tabAlmoco[[#This Row],[MOTORISTA]]&lt;&gt;0,15,"")</f>
        <v>15</v>
      </c>
      <c r="AA40" s="4" t="str">
        <f>autocompAlmoco[[#This Row],[CORRESP LINHA]]</f>
        <v>GOIANIA (GO) X SAO LUIS (MA)</v>
      </c>
    </row>
    <row r="41" spans="3:27" hidden="1" x14ac:dyDescent="0.25">
      <c r="C41" s="140" t="s">
        <v>226</v>
      </c>
      <c r="D41" s="56" t="str">
        <f>IF(tabAlmoco[[#This Row],[MOTORISTA]]="","",_xlfn.CONCAT(tabAlmoco[[#This Row],[DATA]],"+",tabAlmoco[[#This Row],[MOTORISTA]]))</f>
        <v>45891+EDIVALDO DE ARAUJO - 6217</v>
      </c>
      <c r="E41" s="56" t="str">
        <f>_xlfn.XLOOKUP(autocompAlmoco[[#This Row],[COMP ESCALA ATUAL]],tabE.Flux[COMP.AT. MOT A],tabE.Flux[LINHA],"NÃO",0,1)</f>
        <v>NÃO</v>
      </c>
      <c r="F41" s="56" t="str">
        <f>_xlfn.XLOOKUP(autocompAlmoco[[#This Row],[COMP ESCALA ATUAL]],tabE.Flux[COMP.AT. MOT B],tabE.Flux[LINHA],"NÃO",0,1)</f>
        <v>GOIANIA (GO) X SAO LUIS (MA)</v>
      </c>
      <c r="G41" s="61" t="str">
        <f>IF(AND(autocompAlmoco[[#This Row],[EXISTE MOT A AT]]="NÃO", autocompAlmoco[[#This Row],[EXISTE MOT B AT]]="NÃO"),"NÃO","SIM")</f>
        <v>SIM</v>
      </c>
      <c r="H41" s="71" t="str">
        <f>IF(autocompAlmoco[[#This Row],[EXISTE ESCALA ATUAL]]="NÃO",_xlfn.CONCAT(tabAlmoco[[#This Row],[DATA]]-1,"+",tabAlmoco[[#This Row],[MOTORISTA]]),"NÃO")</f>
        <v>NÃO</v>
      </c>
      <c r="I41" s="57" t="str">
        <f>IF(autocompAlmoco[[#This Row],[COMP ESCALA ANTERIOR]]="NÃO","NÃO",_xlfn.XLOOKUP(autocompAlmoco[[#This Row],[COMP ESCALA ANTERIOR]],tabE.Flux[COMP.AT. MOT A],tabE.Flux[LINHA],"NÃO",0,1))</f>
        <v>NÃO</v>
      </c>
      <c r="J41" s="58" t="str">
        <f>IF(autocompAlmoco[[#This Row],[COMP ESCALA ANTERIOR]]="NÃO","NÃO",_xlfn.XLOOKUP(autocompAlmoco[[#This Row],[COMP ESCALA ANTERIOR]],tabE.Flux[COMP.AT. MOT B],tabE.Flux[LINHA],"NÃO",0,1))</f>
        <v>NÃO</v>
      </c>
      <c r="K41" s="62" t="str">
        <f>IF(AND(autocompAlmoco[[#This Row],[EXISTE MOT A ANT]]="NÃO",autocompAlmoco[[#This Row],[EXISTE MOT B ANT]]="NÃO"),"NÃO","SIM")</f>
        <v>NÃO</v>
      </c>
      <c r="L41" s="73" t="str">
        <f t="shared" si="1"/>
        <v>45892+EDIVALDO DE ARAUJO - 6217</v>
      </c>
      <c r="M41" s="59" t="str">
        <f>IF(autocompAlmoco[[#This Row],[COMP ESCALA POSTERIOR]]="NÃO","NÃO",_xlfn.XLOOKUP(autocompAlmoco[[#This Row],[COMP ESCALA POSTERIOR]],tabE.Flux[COMP.AT. MOT A],tabE.Flux[LINHA],"NÃO",0,1))</f>
        <v>NÃO</v>
      </c>
      <c r="N41" s="59" t="str">
        <f>IF(autocompAlmoco[[#This Row],[COMP ESCALA POSTERIOR]]="NÃO","NÃO",_xlfn.XLOOKUP(autocompAlmoco[[#This Row],[COMP ESCALA POSTERIOR]],tabE.Flux[COMP.AT. MOT B],tabE.Flux[LINHA],"NÃO",0,1))</f>
        <v>NÃO</v>
      </c>
      <c r="O41" s="65" t="str">
        <f>IF(AND(autocompAlmoco[[#This Row],[EXISTE MOT A POS]]="NÃO",autocompAlmoco[[#This Row],[EXISTE MOT B POS]]="NÃO"),"NÃO","SIM")</f>
        <v>NÃO</v>
      </c>
      <c r="P41" s="66" t="str" cm="1">
        <f t="array" ref="P4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41" s="75" t="str" cm="1">
        <f t="array" ref="Q4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45891+EDIVALDO DE ARAUJO - 6217+GOIANIA (GO) X SAO LUIS (MA)</v>
      </c>
      <c r="R41" s="67">
        <f>_xlfn.XLOOKUP(autocompAlmoco[[#This Row],[COMP ESCALA]],tabE.Flux[COMP. ESCALA MOT B],tabE.Flux[CARRO],
(_xlfn.XLOOKUP(autocompAlmoco[[#This Row],[COMP ESCALA]],tabE.Flux[COMP. ESCALA MOT A],tabE.Flux[CARRO],"N/E",0,1)),0,1)</f>
        <v>19007</v>
      </c>
      <c r="S41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41" s="127">
        <v>45891</v>
      </c>
      <c r="U41" s="4">
        <f>IF(IFERROR(autocompAlmoco[[#This Row],[CORRESP. CARRO]],"")="NÃO",(IF(tabAlmoco[[#This Row],[MOTORISTA]]=0,"","PASSE?")),autocompAlmoco[[#This Row],[CORRESP. CARRO]])</f>
        <v>19007</v>
      </c>
      <c r="V41" s="126">
        <f>IF(OR(ISERR(autocompAlmoco[[#This Row],[CORRESP HORARIO]]), autocompAlmoco[[#This Row],[CORRESP HORARIO]]&lt;&gt;"NÃO"),autocompAlmoco[[#This Row],[CORRESP HORARIO]],"")</f>
        <v>0.47013888888888888</v>
      </c>
      <c r="W41" s="4" t="s">
        <v>299</v>
      </c>
      <c r="X41" s="4" t="s">
        <v>55</v>
      </c>
      <c r="Y41" s="1">
        <f>IF(tabAlmoco[[#This Row],[MOTORISTA]]="","",COUNTIF(autocompAlmoco[COMP ESCALA ATUAL],autocompAlmoco[[#This Row],[COMP ESCALA ATUAL]]))</f>
        <v>1</v>
      </c>
      <c r="Z41" s="45">
        <f>IF(tabAlmoco[[#This Row],[MOTORISTA]]&lt;&gt;0,15,"")</f>
        <v>15</v>
      </c>
      <c r="AA41" s="4" t="str">
        <f>autocompAlmoco[[#This Row],[CORRESP LINHA]]</f>
        <v>GOIANIA (GO) X SAO LUIS (MA)</v>
      </c>
    </row>
    <row r="42" spans="3:27" hidden="1" x14ac:dyDescent="0.25">
      <c r="C42" s="140" t="s">
        <v>226</v>
      </c>
      <c r="D42" s="56" t="str">
        <f>IF(tabAlmoco[[#This Row],[MOTORISTA]]="","",_xlfn.CONCAT(tabAlmoco[[#This Row],[DATA]],"+",tabAlmoco[[#This Row],[MOTORISTA]]))</f>
        <v>45891+PAULO ENEAS FARIAS ARAUJO - 6218</v>
      </c>
      <c r="E42" s="56" t="str">
        <f>_xlfn.XLOOKUP(autocompAlmoco[[#This Row],[COMP ESCALA ATUAL]],tabE.Flux[COMP.AT. MOT A],tabE.Flux[LINHA],"NÃO",0,1)</f>
        <v>NÃO</v>
      </c>
      <c r="F42" s="56" t="str">
        <f>_xlfn.XLOOKUP(autocompAlmoco[[#This Row],[COMP ESCALA ATUAL]],tabE.Flux[COMP.AT. MOT B],tabE.Flux[LINHA],"NÃO",0,1)</f>
        <v>IMPERATRIZ (MA) X SÃO LUIS (MA)</v>
      </c>
      <c r="G42" s="61" t="str">
        <f>IF(AND(autocompAlmoco[[#This Row],[EXISTE MOT A AT]]="NÃO", autocompAlmoco[[#This Row],[EXISTE MOT B AT]]="NÃO"),"NÃO","SIM")</f>
        <v>SIM</v>
      </c>
      <c r="H42" s="71" t="str">
        <f>IF(autocompAlmoco[[#This Row],[EXISTE ESCALA ATUAL]]="NÃO",_xlfn.CONCAT(tabAlmoco[[#This Row],[DATA]]-1,"+",tabAlmoco[[#This Row],[MOTORISTA]]),"NÃO")</f>
        <v>NÃO</v>
      </c>
      <c r="I42" s="57" t="str">
        <f>IF(autocompAlmoco[[#This Row],[COMP ESCALA ANTERIOR]]="NÃO","NÃO",_xlfn.XLOOKUP(autocompAlmoco[[#This Row],[COMP ESCALA ANTERIOR]],tabE.Flux[COMP.AT. MOT A],tabE.Flux[LINHA],"NÃO",0,1))</f>
        <v>NÃO</v>
      </c>
      <c r="J42" s="58" t="str">
        <f>IF(autocompAlmoco[[#This Row],[COMP ESCALA ANTERIOR]]="NÃO","NÃO",_xlfn.XLOOKUP(autocompAlmoco[[#This Row],[COMP ESCALA ANTERIOR]],tabE.Flux[COMP.AT. MOT B],tabE.Flux[LINHA],"NÃO",0,1))</f>
        <v>NÃO</v>
      </c>
      <c r="K42" s="62" t="str">
        <f>IF(AND(autocompAlmoco[[#This Row],[EXISTE MOT A ANT]]="NÃO",autocompAlmoco[[#This Row],[EXISTE MOT B ANT]]="NÃO"),"NÃO","SIM")</f>
        <v>NÃO</v>
      </c>
      <c r="L42" s="73" t="str">
        <f t="shared" si="1"/>
        <v>45892+PAULO ENEAS FARIAS ARAUJO - 6218</v>
      </c>
      <c r="M42" s="59" t="str">
        <f>IF(autocompAlmoco[[#This Row],[COMP ESCALA POSTERIOR]]="NÃO","NÃO",_xlfn.XLOOKUP(autocompAlmoco[[#This Row],[COMP ESCALA POSTERIOR]],tabE.Flux[COMP.AT. MOT A],tabE.Flux[LINHA],"NÃO",0,1))</f>
        <v>NÃO</v>
      </c>
      <c r="N42" s="59" t="str">
        <f>IF(autocompAlmoco[[#This Row],[COMP ESCALA POSTERIOR]]="NÃO","NÃO",_xlfn.XLOOKUP(autocompAlmoco[[#This Row],[COMP ESCALA POSTERIOR]],tabE.Flux[COMP.AT. MOT B],tabE.Flux[LINHA],"NÃO",0,1))</f>
        <v>NÃO</v>
      </c>
      <c r="O42" s="65" t="str">
        <f>IF(AND(autocompAlmoco[[#This Row],[EXISTE MOT A POS]]="NÃO",autocompAlmoco[[#This Row],[EXISTE MOT B POS]]="NÃO"),"NÃO","SIM")</f>
        <v>NÃO</v>
      </c>
      <c r="P42" s="66" t="str" cm="1">
        <f t="array" ref="P4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IMPERATRIZ (MA) X SÃO LUIS (MA)</v>
      </c>
      <c r="Q42" s="75" t="str" cm="1">
        <f t="array" ref="Q4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45891+PAULO ENEAS FARIAS ARAUJO - 6218+IMPERATRIZ (MA) X SÃO LUIS (MA)</v>
      </c>
      <c r="R42" s="67">
        <f>_xlfn.XLOOKUP(autocompAlmoco[[#This Row],[COMP ESCALA]],tabE.Flux[COMP. ESCALA MOT B],tabE.Flux[CARRO],
(_xlfn.XLOOKUP(autocompAlmoco[[#This Row],[COMP ESCALA]],tabE.Flux[COMP. ESCALA MOT A],tabE.Flux[CARRO],"N/E",0,1)),0,1)</f>
        <v>18008</v>
      </c>
      <c r="S42" s="130">
        <f>_xlfn.XLOOKUP(autocompAlmoco[[#This Row],[COMP ESCALA]],tabE.Flux[COMP. ESCALA MOT A],tabE.Flux[HORARIO],(_xlfn.XLOOKUP(autocompAlmoco[[#This Row],[COMP ESCALA]],tabE.Flux[COMP. ESCALA MOT B],tabE.Flux[HORARIO],"N/E",0,1)),0,1)</f>
        <v>0.8125</v>
      </c>
      <c r="T42" s="127">
        <v>45891</v>
      </c>
      <c r="U42" s="4">
        <f>IF(IFERROR(autocompAlmoco[[#This Row],[CORRESP. CARRO]],"")="NÃO",(IF(tabAlmoco[[#This Row],[MOTORISTA]]=0,"","PASSE?")),autocompAlmoco[[#This Row],[CORRESP. CARRO]])</f>
        <v>18008</v>
      </c>
      <c r="V42" s="126">
        <f>IF(OR(ISERR(autocompAlmoco[[#This Row],[CORRESP HORARIO]]), autocompAlmoco[[#This Row],[CORRESP HORARIO]]&lt;&gt;"NÃO"),autocompAlmoco[[#This Row],[CORRESP HORARIO]],"")</f>
        <v>0.8125</v>
      </c>
      <c r="W42" s="4" t="s">
        <v>299</v>
      </c>
      <c r="X42" s="4" t="s">
        <v>43</v>
      </c>
      <c r="Y42" s="1">
        <f>IF(tabAlmoco[[#This Row],[MOTORISTA]]="","",COUNTIF(autocompAlmoco[COMP ESCALA ATUAL],autocompAlmoco[[#This Row],[COMP ESCALA ATUAL]]))</f>
        <v>1</v>
      </c>
      <c r="Z42" s="45">
        <f>IF(tabAlmoco[[#This Row],[MOTORISTA]]&lt;&gt;0,15,"")</f>
        <v>15</v>
      </c>
      <c r="AA42" s="4" t="str">
        <f>autocompAlmoco[[#This Row],[CORRESP LINHA]]</f>
        <v>IMPERATRIZ (MA) X SÃO LUIS (MA)</v>
      </c>
    </row>
    <row r="43" spans="3:27" hidden="1" x14ac:dyDescent="0.25">
      <c r="C43" s="140" t="s">
        <v>226</v>
      </c>
      <c r="D43" s="56" t="str">
        <f>IF(tabAlmoco[[#This Row],[MOTORISTA]]="","",_xlfn.CONCAT(tabAlmoco[[#This Row],[DATA]],"+",tabAlmoco[[#This Row],[MOTORISTA]]))</f>
        <v>45891+  PAULO MORAES DOS SANTOS- 1534</v>
      </c>
      <c r="E43" s="56" t="str">
        <f>_xlfn.XLOOKUP(autocompAlmoco[[#This Row],[COMP ESCALA ATUAL]],tabE.Flux[COMP.AT. MOT A],tabE.Flux[LINHA],"NÃO",0,1)</f>
        <v>NÃO</v>
      </c>
      <c r="F43" s="56" t="str">
        <f>_xlfn.XLOOKUP(autocompAlmoco[[#This Row],[COMP ESCALA ATUAL]],tabE.Flux[COMP.AT. MOT B],tabE.Flux[LINHA],"NÃO",0,1)</f>
        <v>FORTALEZA (CE) X SINOP (MT)</v>
      </c>
      <c r="G43" s="61" t="str">
        <f>IF(AND(autocompAlmoco[[#This Row],[EXISTE MOT A AT]]="NÃO", autocompAlmoco[[#This Row],[EXISTE MOT B AT]]="NÃO"),"NÃO","SIM")</f>
        <v>SIM</v>
      </c>
      <c r="H43" s="71" t="str">
        <f>IF(autocompAlmoco[[#This Row],[EXISTE ESCALA ATUAL]]="NÃO",_xlfn.CONCAT(tabAlmoco[[#This Row],[DATA]]-1,"+",tabAlmoco[[#This Row],[MOTORISTA]]),"NÃO")</f>
        <v>NÃO</v>
      </c>
      <c r="I43" s="57" t="str">
        <f>IF(autocompAlmoco[[#This Row],[COMP ESCALA ANTERIOR]]="NÃO","NÃO",_xlfn.XLOOKUP(autocompAlmoco[[#This Row],[COMP ESCALA ANTERIOR]],tabE.Flux[COMP.AT. MOT A],tabE.Flux[LINHA],"NÃO",0,1))</f>
        <v>NÃO</v>
      </c>
      <c r="J43" s="58" t="str">
        <f>IF(autocompAlmoco[[#This Row],[COMP ESCALA ANTERIOR]]="NÃO","NÃO",_xlfn.XLOOKUP(autocompAlmoco[[#This Row],[COMP ESCALA ANTERIOR]],tabE.Flux[COMP.AT. MOT B],tabE.Flux[LINHA],"NÃO",0,1))</f>
        <v>NÃO</v>
      </c>
      <c r="K43" s="62" t="str">
        <f>IF(AND(autocompAlmoco[[#This Row],[EXISTE MOT A ANT]]="NÃO",autocompAlmoco[[#This Row],[EXISTE MOT B ANT]]="NÃO"),"NÃO","SIM")</f>
        <v>NÃO</v>
      </c>
      <c r="L43" s="73" t="str">
        <f t="shared" si="1"/>
        <v>45892+  PAULO MORAES DOS SANTOS- 1534</v>
      </c>
      <c r="M43" s="59" t="str">
        <f>IF(autocompAlmoco[[#This Row],[COMP ESCALA POSTERIOR]]="NÃO","NÃO",_xlfn.XLOOKUP(autocompAlmoco[[#This Row],[COMP ESCALA POSTERIOR]],tabE.Flux[COMP.AT. MOT A],tabE.Flux[LINHA],"NÃO",0,1))</f>
        <v>NÃO</v>
      </c>
      <c r="N43" s="59" t="str">
        <f>IF(autocompAlmoco[[#This Row],[COMP ESCALA POSTERIOR]]="NÃO","NÃO",_xlfn.XLOOKUP(autocompAlmoco[[#This Row],[COMP ESCALA POSTERIOR]],tabE.Flux[COMP.AT. MOT B],tabE.Flux[LINHA],"NÃO",0,1))</f>
        <v>NÃO</v>
      </c>
      <c r="O43" s="65" t="str">
        <f>IF(AND(autocompAlmoco[[#This Row],[EXISTE MOT A POS]]="NÃO",autocompAlmoco[[#This Row],[EXISTE MOT B POS]]="NÃO"),"NÃO","SIM")</f>
        <v>NÃO</v>
      </c>
      <c r="P43" s="66" t="str" cm="1">
        <f t="array" ref="P4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43" s="75" t="str" cm="1">
        <f t="array" ref="Q4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45891+  PAULO MORAES DOS SANTOS- 1534+FORTALEZA (CE) X SINOP (MT)</v>
      </c>
      <c r="R43" s="67">
        <f>_xlfn.XLOOKUP(autocompAlmoco[[#This Row],[COMP ESCALA]],tabE.Flux[COMP. ESCALA MOT B],tabE.Flux[CARRO],
(_xlfn.XLOOKUP(autocompAlmoco[[#This Row],[COMP ESCALA]],tabE.Flux[COMP. ESCALA MOT A],tabE.Flux[CARRO],"N/E",0,1)),0,1)</f>
        <v>20018</v>
      </c>
      <c r="S43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43" s="127">
        <v>45891</v>
      </c>
      <c r="U43" s="4">
        <f>IF(IFERROR(autocompAlmoco[[#This Row],[CORRESP. CARRO]],"")="NÃO",(IF(tabAlmoco[[#This Row],[MOTORISTA]]=0,"","PASSE?")),autocompAlmoco[[#This Row],[CORRESP. CARRO]])</f>
        <v>20018</v>
      </c>
      <c r="V43" s="126">
        <f>IF(OR(ISERR(autocompAlmoco[[#This Row],[CORRESP HORARIO]]), autocompAlmoco[[#This Row],[CORRESP HORARIO]]&lt;&gt;"NÃO"),autocompAlmoco[[#This Row],[CORRESP HORARIO]],"")</f>
        <v>0.37708333333333333</v>
      </c>
      <c r="W43" s="4" t="s">
        <v>299</v>
      </c>
      <c r="X43" s="4" t="s">
        <v>183</v>
      </c>
      <c r="Y43" s="1">
        <f>IF(tabAlmoco[[#This Row],[MOTORISTA]]="","",COUNTIF(autocompAlmoco[COMP ESCALA ATUAL],autocompAlmoco[[#This Row],[COMP ESCALA ATUAL]]))</f>
        <v>1</v>
      </c>
      <c r="Z43" s="45">
        <f>IF(tabAlmoco[[#This Row],[MOTORISTA]]&lt;&gt;0,15,"")</f>
        <v>15</v>
      </c>
      <c r="AA43" s="4" t="str">
        <f>autocompAlmoco[[#This Row],[CORRESP LINHA]]</f>
        <v>FORTALEZA (CE) X SINOP (MT)</v>
      </c>
    </row>
    <row r="44" spans="3:27" hidden="1" x14ac:dyDescent="0.25">
      <c r="C44" s="140" t="s">
        <v>226</v>
      </c>
      <c r="D44" s="56" t="str">
        <f>IF(tabAlmoco[[#This Row],[MOTORISTA]]="","",_xlfn.CONCAT(tabAlmoco[[#This Row],[DATA]],"+",tabAlmoco[[#This Row],[MOTORISTA]]))</f>
        <v>45891+MANOEL MESSIAS SILVA DOS SANTOS - 1833</v>
      </c>
      <c r="E44" s="56" t="str">
        <f>_xlfn.XLOOKUP(autocompAlmoco[[#This Row],[COMP ESCALA ATUAL]],tabE.Flux[COMP.AT. MOT A],tabE.Flux[LINHA],"NÃO",0,1)</f>
        <v>NÃO</v>
      </c>
      <c r="F44" s="56" t="str">
        <f>_xlfn.XLOOKUP(autocompAlmoco[[#This Row],[COMP ESCALA ATUAL]],tabE.Flux[COMP.AT. MOT B],tabE.Flux[LINHA],"NÃO",0,1)</f>
        <v>NÃO</v>
      </c>
      <c r="G44" s="61" t="str">
        <f>IF(AND(autocompAlmoco[[#This Row],[EXISTE MOT A AT]]="NÃO", autocompAlmoco[[#This Row],[EXISTE MOT B AT]]="NÃO"),"NÃO","SIM")</f>
        <v>NÃO</v>
      </c>
      <c r="H44" s="71" t="str">
        <f>IF(autocompAlmoco[[#This Row],[EXISTE ESCALA ATUAL]]="NÃO",_xlfn.CONCAT(tabAlmoco[[#This Row],[DATA]]-1,"+",tabAlmoco[[#This Row],[MOTORISTA]]),"NÃO")</f>
        <v>45890+MANOEL MESSIAS SILVA DOS SANTOS - 1833</v>
      </c>
      <c r="I44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44" s="58" t="str">
        <f>IF(autocompAlmoco[[#This Row],[COMP ESCALA ANTERIOR]]="NÃO","NÃO",_xlfn.XLOOKUP(autocompAlmoco[[#This Row],[COMP ESCALA ANTERIOR]],tabE.Flux[COMP.AT. MOT B],tabE.Flux[LINHA],"NÃO",0,1))</f>
        <v>NÃO</v>
      </c>
      <c r="K44" s="62" t="str">
        <f>IF(AND(autocompAlmoco[[#This Row],[EXISTE MOT A ANT]]="NÃO",autocompAlmoco[[#This Row],[EXISTE MOT B ANT]]="NÃO"),"NÃO","SIM")</f>
        <v>SIM</v>
      </c>
      <c r="L44" s="73" t="str">
        <f t="shared" si="1"/>
        <v>45892+MANOEL MESSIAS SILVA DOS SANTOS - 1833</v>
      </c>
      <c r="M44" s="59" t="str">
        <f>IF(autocompAlmoco[[#This Row],[COMP ESCALA POSTERIOR]]="NÃO","NÃO",_xlfn.XLOOKUP(autocompAlmoco[[#This Row],[COMP ESCALA POSTERIOR]],tabE.Flux[COMP.AT. MOT A],tabE.Flux[LINHA],"NÃO",0,1))</f>
        <v>NÃO</v>
      </c>
      <c r="N44" s="59" t="str">
        <f>IF(autocompAlmoco[[#This Row],[COMP ESCALA POSTERIOR]]="NÃO","NÃO",_xlfn.XLOOKUP(autocompAlmoco[[#This Row],[COMP ESCALA POSTERIOR]],tabE.Flux[COMP.AT. MOT B],tabE.Flux[LINHA],"NÃO",0,1))</f>
        <v>FORTALEZA (CE) X SINOP (MT)</v>
      </c>
      <c r="O44" s="65" t="str">
        <f>IF(AND(autocompAlmoco[[#This Row],[EXISTE MOT A POS]]="NÃO",autocompAlmoco[[#This Row],[EXISTE MOT B POS]]="NÃO"),"NÃO","SIM")</f>
        <v>SIM</v>
      </c>
      <c r="P44" s="66" t="str" cm="1">
        <f t="array" ref="P4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44" s="75" t="str" cm="1">
        <f t="array" ref="Q4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45890+MANOEL MESSIAS SILVA DOS SANTOS - 1833+FORTALEZA (CE) X SINOP (MT)</v>
      </c>
      <c r="R44" s="67">
        <f>_xlfn.XLOOKUP(autocompAlmoco[[#This Row],[COMP ESCALA]],tabE.Flux[COMP. ESCALA MOT B],tabE.Flux[CARRO],
(_xlfn.XLOOKUP(autocompAlmoco[[#This Row],[COMP ESCALA]],tabE.Flux[COMP. ESCALA MOT A],tabE.Flux[CARRO],"N/E",0,1)),0,1)</f>
        <v>17600</v>
      </c>
      <c r="S44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44" s="127">
        <v>45891</v>
      </c>
      <c r="U44" s="4">
        <f>IF(IFERROR(autocompAlmoco[[#This Row],[CORRESP. CARRO]],"")="NÃO",(IF(tabAlmoco[[#This Row],[MOTORISTA]]=0,"","PASSE?")),autocompAlmoco[[#This Row],[CORRESP. CARRO]])</f>
        <v>17600</v>
      </c>
      <c r="V44" s="126">
        <f>IF(OR(ISERR(autocompAlmoco[[#This Row],[CORRESP HORARIO]]), autocompAlmoco[[#This Row],[CORRESP HORARIO]]&lt;&gt;"NÃO"),autocompAlmoco[[#This Row],[CORRESP HORARIO]],"")</f>
        <v>0.37708333333333333</v>
      </c>
      <c r="W44" s="4" t="s">
        <v>299</v>
      </c>
      <c r="X44" s="4" t="s">
        <v>173</v>
      </c>
      <c r="Y44" s="1">
        <f>IF(tabAlmoco[[#This Row],[MOTORISTA]]="","",COUNTIF(autocompAlmoco[COMP ESCALA ATUAL],autocompAlmoco[[#This Row],[COMP ESCALA ATUAL]]))</f>
        <v>1</v>
      </c>
      <c r="Z44" s="45">
        <f>IF(tabAlmoco[[#This Row],[MOTORISTA]]&lt;&gt;0,15,"")</f>
        <v>15</v>
      </c>
      <c r="AA44" s="4" t="str">
        <f>autocompAlmoco[[#This Row],[CORRESP LINHA]]</f>
        <v>FORTALEZA (CE) X SINOP (MT)</v>
      </c>
    </row>
    <row r="45" spans="3:27" hidden="1" x14ac:dyDescent="0.25">
      <c r="C45" s="140" t="s">
        <v>226</v>
      </c>
      <c r="D45" s="56" t="str">
        <f>IF(tabAlmoco[[#This Row],[MOTORISTA]]="","",_xlfn.CONCAT(tabAlmoco[[#This Row],[DATA]],"+",tabAlmoco[[#This Row],[MOTORISTA]]))</f>
        <v>45891+RAINERIO COSTA MENDES - 5850</v>
      </c>
      <c r="E45" s="56" t="str">
        <f>_xlfn.XLOOKUP(autocompAlmoco[[#This Row],[COMP ESCALA ATUAL]],tabE.Flux[COMP.AT. MOT A],tabE.Flux[LINHA],"NÃO",0,1)</f>
        <v>NÃO</v>
      </c>
      <c r="F45" s="56" t="str">
        <f>_xlfn.XLOOKUP(autocompAlmoco[[#This Row],[COMP ESCALA ATUAL]],tabE.Flux[COMP.AT. MOT B],tabE.Flux[LINHA],"NÃO",0,1)</f>
        <v>GOIANIA (GO) X SAO LUIS (MA)</v>
      </c>
      <c r="G45" s="61" t="str">
        <f>IF(AND(autocompAlmoco[[#This Row],[EXISTE MOT A AT]]="NÃO", autocompAlmoco[[#This Row],[EXISTE MOT B AT]]="NÃO"),"NÃO","SIM")</f>
        <v>SIM</v>
      </c>
      <c r="H45" s="71" t="str">
        <f>IF(autocompAlmoco[[#This Row],[EXISTE ESCALA ATUAL]]="NÃO",_xlfn.CONCAT(tabAlmoco[[#This Row],[DATA]]-1,"+",tabAlmoco[[#This Row],[MOTORISTA]]),"NÃO")</f>
        <v>NÃO</v>
      </c>
      <c r="I45" s="57" t="str">
        <f>IF(autocompAlmoco[[#This Row],[COMP ESCALA ANTERIOR]]="NÃO","NÃO",_xlfn.XLOOKUP(autocompAlmoco[[#This Row],[COMP ESCALA ANTERIOR]],tabE.Flux[COMP.AT. MOT A],tabE.Flux[LINHA],"NÃO",0,1))</f>
        <v>NÃO</v>
      </c>
      <c r="J45" s="58" t="str">
        <f>IF(autocompAlmoco[[#This Row],[COMP ESCALA ANTERIOR]]="NÃO","NÃO",_xlfn.XLOOKUP(autocompAlmoco[[#This Row],[COMP ESCALA ANTERIOR]],tabE.Flux[COMP.AT. MOT B],tabE.Flux[LINHA],"NÃO",0,1))</f>
        <v>NÃO</v>
      </c>
      <c r="K45" s="62" t="str">
        <f>IF(AND(autocompAlmoco[[#This Row],[EXISTE MOT A ANT]]="NÃO",autocompAlmoco[[#This Row],[EXISTE MOT B ANT]]="NÃO"),"NÃO","SIM")</f>
        <v>NÃO</v>
      </c>
      <c r="L45" s="73" t="str">
        <f t="shared" si="1"/>
        <v>45892+RAINERIO COSTA MENDES - 5850</v>
      </c>
      <c r="M45" s="59" t="str">
        <f>IF(autocompAlmoco[[#This Row],[COMP ESCALA POSTERIOR]]="NÃO","NÃO",_xlfn.XLOOKUP(autocompAlmoco[[#This Row],[COMP ESCALA POSTERIOR]],tabE.Flux[COMP.AT. MOT A],tabE.Flux[LINHA],"NÃO",0,1))</f>
        <v>NÃO</v>
      </c>
      <c r="N45" s="59" t="str">
        <f>IF(autocompAlmoco[[#This Row],[COMP ESCALA POSTERIOR]]="NÃO","NÃO",_xlfn.XLOOKUP(autocompAlmoco[[#This Row],[COMP ESCALA POSTERIOR]],tabE.Flux[COMP.AT. MOT B],tabE.Flux[LINHA],"NÃO",0,1))</f>
        <v>NÃO</v>
      </c>
      <c r="O45" s="65" t="str">
        <f>IF(AND(autocompAlmoco[[#This Row],[EXISTE MOT A POS]]="NÃO",autocompAlmoco[[#This Row],[EXISTE MOT B POS]]="NÃO"),"NÃO","SIM")</f>
        <v>NÃO</v>
      </c>
      <c r="P45" s="66" t="str" cm="1">
        <f t="array" ref="P4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45" s="75" t="str" cm="1">
        <f t="array" ref="Q4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45891+RAINERIO COSTA MENDES - 5850+GOIANIA (GO) X SAO LUIS (MA)</v>
      </c>
      <c r="R45" s="67">
        <f>_xlfn.XLOOKUP(autocompAlmoco[[#This Row],[COMP ESCALA]],tabE.Flux[COMP. ESCALA MOT B],tabE.Flux[CARRO],
(_xlfn.XLOOKUP(autocompAlmoco[[#This Row],[COMP ESCALA]],tabE.Flux[COMP. ESCALA MOT A],tabE.Flux[CARRO],"N/E",0,1)),0,1)</f>
        <v>24004</v>
      </c>
      <c r="S45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45" s="127">
        <v>45891</v>
      </c>
      <c r="U45" s="4">
        <f>IF(IFERROR(autocompAlmoco[[#This Row],[CORRESP. CARRO]],"")="NÃO",(IF(tabAlmoco[[#This Row],[MOTORISTA]]=0,"","PASSE?")),autocompAlmoco[[#This Row],[CORRESP. CARRO]])</f>
        <v>24004</v>
      </c>
      <c r="V45" s="126">
        <f>IF(OR(ISERR(autocompAlmoco[[#This Row],[CORRESP HORARIO]]), autocompAlmoco[[#This Row],[CORRESP HORARIO]]&lt;&gt;"NÃO"),autocompAlmoco[[#This Row],[CORRESP HORARIO]],"")</f>
        <v>0.79166666666666663</v>
      </c>
      <c r="W45" s="4" t="s">
        <v>299</v>
      </c>
      <c r="X45" s="4" t="s">
        <v>108</v>
      </c>
      <c r="Y45" s="1">
        <f>IF(tabAlmoco[[#This Row],[MOTORISTA]]="","",COUNTIF(autocompAlmoco[COMP ESCALA ATUAL],autocompAlmoco[[#This Row],[COMP ESCALA ATUAL]]))</f>
        <v>1</v>
      </c>
      <c r="Z45" s="45">
        <f>IF(tabAlmoco[[#This Row],[MOTORISTA]]&lt;&gt;0,15,"")</f>
        <v>15</v>
      </c>
      <c r="AA45" s="4" t="str">
        <f>autocompAlmoco[[#This Row],[CORRESP LINHA]]</f>
        <v>GOIANIA (GO) X SAO LUIS (MA)</v>
      </c>
    </row>
    <row r="46" spans="3:27" hidden="1" x14ac:dyDescent="0.25">
      <c r="C46" s="140" t="s">
        <v>226</v>
      </c>
      <c r="D46" s="56" t="str">
        <f>IF(tabAlmoco[[#This Row],[MOTORISTA]]="","",_xlfn.CONCAT(tabAlmoco[[#This Row],[DATA]],"+",tabAlmoco[[#This Row],[MOTORISTA]]))</f>
        <v>45891+MARCIO RODRIGUES DA COSTA - 5993</v>
      </c>
      <c r="E46" s="56" t="str">
        <f>_xlfn.XLOOKUP(autocompAlmoco[[#This Row],[COMP ESCALA ATUAL]],tabE.Flux[COMP.AT. MOT A],tabE.Flux[LINHA],"NÃO",0,1)</f>
        <v>NÃO</v>
      </c>
      <c r="F46" s="56" t="str">
        <f>_xlfn.XLOOKUP(autocompAlmoco[[#This Row],[COMP ESCALA ATUAL]],tabE.Flux[COMP.AT. MOT B],tabE.Flux[LINHA],"NÃO",0,1)</f>
        <v>NÃO</v>
      </c>
      <c r="G46" s="61" t="str">
        <f>IF(AND(autocompAlmoco[[#This Row],[EXISTE MOT A AT]]="NÃO", autocompAlmoco[[#This Row],[EXISTE MOT B AT]]="NÃO"),"NÃO","SIM")</f>
        <v>NÃO</v>
      </c>
      <c r="H46" s="71" t="str">
        <f>IF(autocompAlmoco[[#This Row],[EXISTE ESCALA ATUAL]]="NÃO",_xlfn.CONCAT(tabAlmoco[[#This Row],[DATA]]-1,"+",tabAlmoco[[#This Row],[MOTORISTA]]),"NÃO")</f>
        <v>45890+MARCIO RODRIGUES DA COSTA - 5993</v>
      </c>
      <c r="I46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46" s="58" t="str">
        <f>IF(autocompAlmoco[[#This Row],[COMP ESCALA ANTERIOR]]="NÃO","NÃO",_xlfn.XLOOKUP(autocompAlmoco[[#This Row],[COMP ESCALA ANTERIOR]],tabE.Flux[COMP.AT. MOT B],tabE.Flux[LINHA],"NÃO",0,1))</f>
        <v>NÃO</v>
      </c>
      <c r="K46" s="62" t="str">
        <f>IF(AND(autocompAlmoco[[#This Row],[EXISTE MOT A ANT]]="NÃO",autocompAlmoco[[#This Row],[EXISTE MOT B ANT]]="NÃO"),"NÃO","SIM")</f>
        <v>SIM</v>
      </c>
      <c r="L46" s="73" t="str">
        <f t="shared" si="1"/>
        <v>45892+MARCIO RODRIGUES DA COSTA - 5993</v>
      </c>
      <c r="M46" s="59" t="str">
        <f>IF(autocompAlmoco[[#This Row],[COMP ESCALA POSTERIOR]]="NÃO","NÃO",_xlfn.XLOOKUP(autocompAlmoco[[#This Row],[COMP ESCALA POSTERIOR]],tabE.Flux[COMP.AT. MOT A],tabE.Flux[LINHA],"NÃO",0,1))</f>
        <v>NÃO</v>
      </c>
      <c r="N46" s="59" t="str">
        <f>IF(autocompAlmoco[[#This Row],[COMP ESCALA POSTERIOR]]="NÃO","NÃO",_xlfn.XLOOKUP(autocompAlmoco[[#This Row],[COMP ESCALA POSTERIOR]],tabE.Flux[COMP.AT. MOT B],tabE.Flux[LINHA],"NÃO",0,1))</f>
        <v>NÃO</v>
      </c>
      <c r="O46" s="65" t="str">
        <f>IF(AND(autocompAlmoco[[#This Row],[EXISTE MOT A POS]]="NÃO",autocompAlmoco[[#This Row],[EXISTE MOT B POS]]="NÃO"),"NÃO","SIM")</f>
        <v>NÃO</v>
      </c>
      <c r="P46" s="66" t="str" cm="1">
        <f t="array" ref="P4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46" s="75" t="str" cm="1">
        <f t="array" ref="Q4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45890+MARCIO RODRIGUES DA COSTA - 5993+GOIANIA (GO) X TERESINA (PI) VIA STI</v>
      </c>
      <c r="R46" s="67">
        <f>_xlfn.XLOOKUP(autocompAlmoco[[#This Row],[COMP ESCALA]],tabE.Flux[COMP. ESCALA MOT B],tabE.Flux[CARRO],
(_xlfn.XLOOKUP(autocompAlmoco[[#This Row],[COMP ESCALA]],tabE.Flux[COMP. ESCALA MOT A],tabE.Flux[CARRO],"N/E",0,1)),0,1)</f>
        <v>19019</v>
      </c>
      <c r="S46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46" s="127">
        <v>45891</v>
      </c>
      <c r="U46" s="4">
        <f>IF(IFERROR(autocompAlmoco[[#This Row],[CORRESP. CARRO]],"")="NÃO",(IF(tabAlmoco[[#This Row],[MOTORISTA]]=0,"","PASSE?")),autocompAlmoco[[#This Row],[CORRESP. CARRO]])</f>
        <v>19019</v>
      </c>
      <c r="V46" s="126">
        <f>IF(OR(ISERR(autocompAlmoco[[#This Row],[CORRESP HORARIO]]), autocompAlmoco[[#This Row],[CORRESP HORARIO]]&lt;&gt;"NÃO"),autocompAlmoco[[#This Row],[CORRESP HORARIO]],"")</f>
        <v>0.79861111111111116</v>
      </c>
      <c r="W46" s="4" t="s">
        <v>299</v>
      </c>
      <c r="X46" s="4" t="s">
        <v>107</v>
      </c>
      <c r="Y46" s="1">
        <f>IF(tabAlmoco[[#This Row],[MOTORISTA]]="","",COUNTIF(autocompAlmoco[COMP ESCALA ATUAL],autocompAlmoco[[#This Row],[COMP ESCALA ATUAL]]))</f>
        <v>1</v>
      </c>
      <c r="Z46" s="45">
        <f>IF(tabAlmoco[[#This Row],[MOTORISTA]]&lt;&gt;0,15,"")</f>
        <v>15</v>
      </c>
      <c r="AA46" s="4" t="str">
        <f>autocompAlmoco[[#This Row],[CORRESP LINHA]]</f>
        <v>GOIANIA (GO) X TERESINA (PI) VIA STI</v>
      </c>
    </row>
    <row r="47" spans="3:27" hidden="1" x14ac:dyDescent="0.25">
      <c r="C47" s="140" t="s">
        <v>226</v>
      </c>
      <c r="D47" s="56" t="str">
        <f>IF(tabAlmoco[[#This Row],[MOTORISTA]]="","",_xlfn.CONCAT(tabAlmoco[[#This Row],[DATA]],"+",tabAlmoco[[#This Row],[MOTORISTA]]))</f>
        <v>45891+JOSE ALVES DA ROCHA - 5035</v>
      </c>
      <c r="E47" s="56" t="str">
        <f>_xlfn.XLOOKUP(autocompAlmoco[[#This Row],[COMP ESCALA ATUAL]],tabE.Flux[COMP.AT. MOT A],tabE.Flux[LINHA],"NÃO",0,1)</f>
        <v>NÃO</v>
      </c>
      <c r="F47" s="56" t="str">
        <f>_xlfn.XLOOKUP(autocompAlmoco[[#This Row],[COMP ESCALA ATUAL]],tabE.Flux[COMP.AT. MOT B],tabE.Flux[LINHA],"NÃO",0,1)</f>
        <v>GOIANIA (GO) X SAO LUIS (MA)</v>
      </c>
      <c r="G47" s="61" t="str">
        <f>IF(AND(autocompAlmoco[[#This Row],[EXISTE MOT A AT]]="NÃO", autocompAlmoco[[#This Row],[EXISTE MOT B AT]]="NÃO"),"NÃO","SIM")</f>
        <v>SIM</v>
      </c>
      <c r="H47" s="71" t="str">
        <f>IF(autocompAlmoco[[#This Row],[EXISTE ESCALA ATUAL]]="NÃO",_xlfn.CONCAT(tabAlmoco[[#This Row],[DATA]]-1,"+",tabAlmoco[[#This Row],[MOTORISTA]]),"NÃO")</f>
        <v>NÃO</v>
      </c>
      <c r="I47" s="57" t="str">
        <f>IF(autocompAlmoco[[#This Row],[COMP ESCALA ANTERIOR]]="NÃO","NÃO",_xlfn.XLOOKUP(autocompAlmoco[[#This Row],[COMP ESCALA ANTERIOR]],tabE.Flux[COMP.AT. MOT A],tabE.Flux[LINHA],"NÃO",0,1))</f>
        <v>NÃO</v>
      </c>
      <c r="J47" s="58" t="str">
        <f>IF(autocompAlmoco[[#This Row],[COMP ESCALA ANTERIOR]]="NÃO","NÃO",_xlfn.XLOOKUP(autocompAlmoco[[#This Row],[COMP ESCALA ANTERIOR]],tabE.Flux[COMP.AT. MOT B],tabE.Flux[LINHA],"NÃO",0,1))</f>
        <v>NÃO</v>
      </c>
      <c r="K47" s="62" t="str">
        <f>IF(AND(autocompAlmoco[[#This Row],[EXISTE MOT A ANT]]="NÃO",autocompAlmoco[[#This Row],[EXISTE MOT B ANT]]="NÃO"),"NÃO","SIM")</f>
        <v>NÃO</v>
      </c>
      <c r="L47" s="73" t="str">
        <f t="shared" si="1"/>
        <v>45892+JOSE ALVES DA ROCHA - 5035</v>
      </c>
      <c r="M47" s="59" t="str">
        <f>IF(autocompAlmoco[[#This Row],[COMP ESCALA POSTERIOR]]="NÃO","NÃO",_xlfn.XLOOKUP(autocompAlmoco[[#This Row],[COMP ESCALA POSTERIOR]],tabE.Flux[COMP.AT. MOT A],tabE.Flux[LINHA],"NÃO",0,1))</f>
        <v>NÃO</v>
      </c>
      <c r="N47" s="59" t="str">
        <f>IF(autocompAlmoco[[#This Row],[COMP ESCALA POSTERIOR]]="NÃO","NÃO",_xlfn.XLOOKUP(autocompAlmoco[[#This Row],[COMP ESCALA POSTERIOR]],tabE.Flux[COMP.AT. MOT B],tabE.Flux[LINHA],"NÃO",0,1))</f>
        <v>NÃO</v>
      </c>
      <c r="O47" s="65" t="str">
        <f>IF(AND(autocompAlmoco[[#This Row],[EXISTE MOT A POS]]="NÃO",autocompAlmoco[[#This Row],[EXISTE MOT B POS]]="NÃO"),"NÃO","SIM")</f>
        <v>NÃO</v>
      </c>
      <c r="P47" s="66" t="str" cm="1">
        <f t="array" ref="P4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47" s="75" t="str" cm="1">
        <f t="array" ref="Q4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45891+JOSE ALVES DA ROCHA - 5035+GOIANIA (GO) X SAO LUIS (MA)</v>
      </c>
      <c r="R47" s="67">
        <f>_xlfn.XLOOKUP(autocompAlmoco[[#This Row],[COMP ESCALA]],tabE.Flux[COMP. ESCALA MOT B],tabE.Flux[CARRO],
(_xlfn.XLOOKUP(autocompAlmoco[[#This Row],[COMP ESCALA]],tabE.Flux[COMP. ESCALA MOT A],tabE.Flux[CARRO],"N/E",0,1)),0,1)</f>
        <v>19002</v>
      </c>
      <c r="S47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47" s="127">
        <v>45891</v>
      </c>
      <c r="U47" s="4">
        <f>IF(IFERROR(autocompAlmoco[[#This Row],[CORRESP. CARRO]],"")="NÃO",(IF(tabAlmoco[[#This Row],[MOTORISTA]]=0,"","PASSE?")),autocompAlmoco[[#This Row],[CORRESP. CARRO]])</f>
        <v>19002</v>
      </c>
      <c r="V47" s="126">
        <f>IF(OR(ISERR(autocompAlmoco[[#This Row],[CORRESP HORARIO]]), autocompAlmoco[[#This Row],[CORRESP HORARIO]]&lt;&gt;"NÃO"),autocompAlmoco[[#This Row],[CORRESP HORARIO]],"")</f>
        <v>0.29166666666666669</v>
      </c>
      <c r="W47" s="4" t="s">
        <v>299</v>
      </c>
      <c r="X47" s="4" t="s">
        <v>91</v>
      </c>
      <c r="Y47" s="1">
        <f>IF(tabAlmoco[[#This Row],[MOTORISTA]]="","",COUNTIF(autocompAlmoco[COMP ESCALA ATUAL],autocompAlmoco[[#This Row],[COMP ESCALA ATUAL]]))</f>
        <v>1</v>
      </c>
      <c r="Z47" s="45">
        <f>IF(tabAlmoco[[#This Row],[MOTORISTA]]&lt;&gt;0,15,"")</f>
        <v>15</v>
      </c>
      <c r="AA47" s="4" t="str">
        <f>autocompAlmoco[[#This Row],[CORRESP LINHA]]</f>
        <v>GOIANIA (GO) X SAO LUIS (MA)</v>
      </c>
    </row>
    <row r="48" spans="3:27" hidden="1" x14ac:dyDescent="0.25">
      <c r="C48" s="140" t="s">
        <v>226</v>
      </c>
      <c r="D48" s="56" t="str">
        <f>IF(tabAlmoco[[#This Row],[MOTORISTA]]="","",_xlfn.CONCAT(tabAlmoco[[#This Row],[DATA]],"+",tabAlmoco[[#This Row],[MOTORISTA]]))</f>
        <v>45891+CARLOS ADRIANO DE SOUZA DO NASCIMENTO - 6222</v>
      </c>
      <c r="E48" s="56" t="str">
        <f>_xlfn.XLOOKUP(autocompAlmoco[[#This Row],[COMP ESCALA ATUAL]],tabE.Flux[COMP.AT. MOT A],tabE.Flux[LINHA],"NÃO",0,1)</f>
        <v>GOIANIA (GO) X SAO LUIS (MA)</v>
      </c>
      <c r="F48" s="56" t="str">
        <f>_xlfn.XLOOKUP(autocompAlmoco[[#This Row],[COMP ESCALA ATUAL]],tabE.Flux[COMP.AT. MOT B],tabE.Flux[LINHA],"NÃO",0,1)</f>
        <v>GOIANIA (GO) X SAO LUIS (MA)</v>
      </c>
      <c r="G48" s="61" t="str">
        <f>IF(AND(autocompAlmoco[[#This Row],[EXISTE MOT A AT]]="NÃO", autocompAlmoco[[#This Row],[EXISTE MOT B AT]]="NÃO"),"NÃO","SIM")</f>
        <v>SIM</v>
      </c>
      <c r="H48" s="71" t="str">
        <f>IF(autocompAlmoco[[#This Row],[EXISTE ESCALA ATUAL]]="NÃO",_xlfn.CONCAT(tabAlmoco[[#This Row],[DATA]]-1,"+",tabAlmoco[[#This Row],[MOTORISTA]]),"NÃO")</f>
        <v>NÃO</v>
      </c>
      <c r="I48" s="57" t="str">
        <f>IF(autocompAlmoco[[#This Row],[COMP ESCALA ANTERIOR]]="NÃO","NÃO",_xlfn.XLOOKUP(autocompAlmoco[[#This Row],[COMP ESCALA ANTERIOR]],tabE.Flux[COMP.AT. MOT A],tabE.Flux[LINHA],"NÃO",0,1))</f>
        <v>NÃO</v>
      </c>
      <c r="J48" s="58" t="str">
        <f>IF(autocompAlmoco[[#This Row],[COMP ESCALA ANTERIOR]]="NÃO","NÃO",_xlfn.XLOOKUP(autocompAlmoco[[#This Row],[COMP ESCALA ANTERIOR]],tabE.Flux[COMP.AT. MOT B],tabE.Flux[LINHA],"NÃO",0,1))</f>
        <v>NÃO</v>
      </c>
      <c r="K48" s="62" t="str">
        <f>IF(AND(autocompAlmoco[[#This Row],[EXISTE MOT A ANT]]="NÃO",autocompAlmoco[[#This Row],[EXISTE MOT B ANT]]="NÃO"),"NÃO","SIM")</f>
        <v>NÃO</v>
      </c>
      <c r="L48" s="73" t="str">
        <f t="shared" si="1"/>
        <v>45892+CARLOS ADRIANO DE SOUZA DO NASCIMENTO - 6222</v>
      </c>
      <c r="M48" s="59" t="str">
        <f>IF(autocompAlmoco[[#This Row],[COMP ESCALA POSTERIOR]]="NÃO","NÃO",_xlfn.XLOOKUP(autocompAlmoco[[#This Row],[COMP ESCALA POSTERIOR]],tabE.Flux[COMP.AT. MOT A],tabE.Flux[LINHA],"NÃO",0,1))</f>
        <v>NÃO</v>
      </c>
      <c r="N48" s="59" t="str">
        <f>IF(autocompAlmoco[[#This Row],[COMP ESCALA POSTERIOR]]="NÃO","NÃO",_xlfn.XLOOKUP(autocompAlmoco[[#This Row],[COMP ESCALA POSTERIOR]],tabE.Flux[COMP.AT. MOT B],tabE.Flux[LINHA],"NÃO",0,1))</f>
        <v>NÃO</v>
      </c>
      <c r="O48" s="65" t="str">
        <f>IF(AND(autocompAlmoco[[#This Row],[EXISTE MOT A POS]]="NÃO",autocompAlmoco[[#This Row],[EXISTE MOT B POS]]="NÃO"),"NÃO","SIM")</f>
        <v>NÃO</v>
      </c>
      <c r="P48" s="66" t="str" cm="1">
        <f t="array" ref="P4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48" s="75" t="str" cm="1">
        <f t="array" ref="Q4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45891+CARLOS ADRIANO DE SOUZA DO NASCIMENTO - 6222+GOIANIA (GO) X SAO LUIS (MA)</v>
      </c>
      <c r="R48" s="67">
        <f>_xlfn.XLOOKUP(autocompAlmoco[[#This Row],[COMP ESCALA]],tabE.Flux[COMP. ESCALA MOT B],tabE.Flux[CARRO],
(_xlfn.XLOOKUP(autocompAlmoco[[#This Row],[COMP ESCALA]],tabE.Flux[COMP. ESCALA MOT A],tabE.Flux[CARRO],"N/E",0,1)),0,1)</f>
        <v>25011</v>
      </c>
      <c r="S48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48" s="127">
        <v>45891</v>
      </c>
      <c r="U48" s="4">
        <f>IF(IFERROR(autocompAlmoco[[#This Row],[CORRESP. CARRO]],"")="NÃO",(IF(tabAlmoco[[#This Row],[MOTORISTA]]=0,"","PASSE?")),autocompAlmoco[[#This Row],[CORRESP. CARRO]])</f>
        <v>25011</v>
      </c>
      <c r="V48" s="126">
        <f>IF(OR(ISERR(autocompAlmoco[[#This Row],[CORRESP HORARIO]]), autocompAlmoco[[#This Row],[CORRESP HORARIO]]&lt;&gt;"NÃO"),autocompAlmoco[[#This Row],[CORRESP HORARIO]],"")</f>
        <v>0.29166666666666669</v>
      </c>
      <c r="W48" s="4" t="s">
        <v>299</v>
      </c>
      <c r="X48" s="4" t="s">
        <v>110</v>
      </c>
      <c r="Y48" s="1">
        <f>IF(tabAlmoco[[#This Row],[MOTORISTA]]="","",COUNTIF(autocompAlmoco[COMP ESCALA ATUAL],autocompAlmoco[[#This Row],[COMP ESCALA ATUAL]]))</f>
        <v>1</v>
      </c>
      <c r="Z48" s="45">
        <f>IF(tabAlmoco[[#This Row],[MOTORISTA]]&lt;&gt;0,15,"")</f>
        <v>15</v>
      </c>
      <c r="AA48" s="4" t="str">
        <f>autocompAlmoco[[#This Row],[CORRESP LINHA]]</f>
        <v>GOIANIA (GO) X SAO LUIS (MA)</v>
      </c>
    </row>
    <row r="49" spans="3:27" hidden="1" x14ac:dyDescent="0.25">
      <c r="C49" s="140" t="s">
        <v>226</v>
      </c>
      <c r="D49" s="56" t="str">
        <f>IF(tabAlmoco[[#This Row],[MOTORISTA]]="","",_xlfn.CONCAT(tabAlmoco[[#This Row],[DATA]],"+",tabAlmoco[[#This Row],[MOTORISTA]]))</f>
        <v>45891+WASHINGTON ALVES BRITO - 1553</v>
      </c>
      <c r="E49" s="56" t="str">
        <f>_xlfn.XLOOKUP(autocompAlmoco[[#This Row],[COMP ESCALA ATUAL]],tabE.Flux[COMP.AT. MOT A],tabE.Flux[LINHA],"NÃO",0,1)</f>
        <v>NÃO</v>
      </c>
      <c r="F49" s="56" t="str">
        <f>_xlfn.XLOOKUP(autocompAlmoco[[#This Row],[COMP ESCALA ATUAL]],tabE.Flux[COMP.AT. MOT B],tabE.Flux[LINHA],"NÃO",0,1)</f>
        <v>NÃO</v>
      </c>
      <c r="G49" s="61" t="str">
        <f>IF(AND(autocompAlmoco[[#This Row],[EXISTE MOT A AT]]="NÃO", autocompAlmoco[[#This Row],[EXISTE MOT B AT]]="NÃO"),"NÃO","SIM")</f>
        <v>NÃO</v>
      </c>
      <c r="H49" s="71" t="str">
        <f>IF(autocompAlmoco[[#This Row],[EXISTE ESCALA ATUAL]]="NÃO",_xlfn.CONCAT(tabAlmoco[[#This Row],[DATA]]-1,"+",tabAlmoco[[#This Row],[MOTORISTA]]),"NÃO")</f>
        <v>45890+WASHINGTON ALVES BRITO - 1553</v>
      </c>
      <c r="I49" s="57" t="str">
        <f>IF(autocompAlmoco[[#This Row],[COMP ESCALA ANTERIOR]]="NÃO","NÃO",_xlfn.XLOOKUP(autocompAlmoco[[#This Row],[COMP ESCALA ANTERIOR]],tabE.Flux[COMP.AT. MOT A],tabE.Flux[LINHA],"NÃO",0,1))</f>
        <v>NÃO</v>
      </c>
      <c r="J49" s="58" t="str">
        <f>IF(autocompAlmoco[[#This Row],[COMP ESCALA ANTERIOR]]="NÃO","NÃO",_xlfn.XLOOKUP(autocompAlmoco[[#This Row],[COMP ESCALA ANTERIOR]],tabE.Flux[COMP.AT. MOT B],tabE.Flux[LINHA],"NÃO",0,1))</f>
        <v>NÃO</v>
      </c>
      <c r="K49" s="62" t="str">
        <f>IF(AND(autocompAlmoco[[#This Row],[EXISTE MOT A ANT]]="NÃO",autocompAlmoco[[#This Row],[EXISTE MOT B ANT]]="NÃO"),"NÃO","SIM")</f>
        <v>NÃO</v>
      </c>
      <c r="L49" s="73" t="str">
        <f t="shared" si="1"/>
        <v>45892+WASHINGTON ALVES BRITO - 1553</v>
      </c>
      <c r="M49" s="59" t="str">
        <f>IF(autocompAlmoco[[#This Row],[COMP ESCALA POSTERIOR]]="NÃO","NÃO",_xlfn.XLOOKUP(autocompAlmoco[[#This Row],[COMP ESCALA POSTERIOR]],tabE.Flux[COMP.AT. MOT A],tabE.Flux[LINHA],"NÃO",0,1))</f>
        <v>NÃO</v>
      </c>
      <c r="N49" s="59" t="str">
        <f>IF(autocompAlmoco[[#This Row],[COMP ESCALA POSTERIOR]]="NÃO","NÃO",_xlfn.XLOOKUP(autocompAlmoco[[#This Row],[COMP ESCALA POSTERIOR]],tabE.Flux[COMP.AT. MOT B],tabE.Flux[LINHA],"NÃO",0,1))</f>
        <v>GOIANIA (GO) X TERESINA (PI) VIA STI</v>
      </c>
      <c r="O49" s="65" t="str">
        <f>IF(AND(autocompAlmoco[[#This Row],[EXISTE MOT A POS]]="NÃO",autocompAlmoco[[#This Row],[EXISTE MOT B POS]]="NÃO"),"NÃO","SIM")</f>
        <v>SIM</v>
      </c>
      <c r="P49" s="66" t="str" cm="1">
        <f t="array" ref="P4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49" s="75" t="str" cm="1">
        <f t="array" ref="Q4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45892+WASHINGTON ALVES BRITO - 1553+GOIANIA (GO) X TERESINA (PI) VIA STI</v>
      </c>
      <c r="R49" s="67">
        <f>_xlfn.XLOOKUP(autocompAlmoco[[#This Row],[COMP ESCALA]],tabE.Flux[COMP. ESCALA MOT B],tabE.Flux[CARRO],
(_xlfn.XLOOKUP(autocompAlmoco[[#This Row],[COMP ESCALA]],tabE.Flux[COMP. ESCALA MOT A],tabE.Flux[CARRO],"N/E",0,1)),0,1)</f>
        <v>19008</v>
      </c>
      <c r="S49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49" s="127">
        <v>45891</v>
      </c>
      <c r="U49" s="4">
        <f>IF(IFERROR(autocompAlmoco[[#This Row],[CORRESP. CARRO]],"")="NÃO",(IF(tabAlmoco[[#This Row],[MOTORISTA]]=0,"","PASSE?")),autocompAlmoco[[#This Row],[CORRESP. CARRO]])</f>
        <v>19008</v>
      </c>
      <c r="V49" s="128">
        <f>IF(OR(ISERR(autocompAlmoco[[#This Row],[CORRESP HORARIO]]), autocompAlmoco[[#This Row],[CORRESP HORARIO]]&lt;&gt;"NÃO"),autocompAlmoco[[#This Row],[CORRESP HORARIO]],"")</f>
        <v>0.79861111111111116</v>
      </c>
      <c r="W49" s="4" t="s">
        <v>299</v>
      </c>
      <c r="X49" s="4" t="s">
        <v>201</v>
      </c>
      <c r="Y49" s="4">
        <f>IF(tabAlmoco[[#This Row],[MOTORISTA]]="","",COUNTIF(autocompAlmoco[COMP ESCALA ATUAL],autocompAlmoco[[#This Row],[COMP ESCALA ATUAL]]))</f>
        <v>1</v>
      </c>
      <c r="Z49" s="45">
        <f>IF(tabAlmoco[[#This Row],[MOTORISTA]]&lt;&gt;0,15,"")</f>
        <v>15</v>
      </c>
      <c r="AA49" s="4" t="str">
        <f>autocompAlmoco[[#This Row],[CORRESP LINHA]]</f>
        <v>GOIANIA (GO) X TERESINA (PI) VIA STI</v>
      </c>
    </row>
    <row r="50" spans="3:27" hidden="1" x14ac:dyDescent="0.25">
      <c r="C50" s="140" t="s">
        <v>226</v>
      </c>
      <c r="D50" s="56" t="str">
        <f>IF(tabAlmoco[[#This Row],[MOTORISTA]]="","",_xlfn.CONCAT(tabAlmoco[[#This Row],[DATA]],"+",tabAlmoco[[#This Row],[MOTORISTA]]))</f>
        <v>45892+RAIMUNDO COSTA SILVA - 6226</v>
      </c>
      <c r="E50" s="56" t="str">
        <f>_xlfn.XLOOKUP(autocompAlmoco[[#This Row],[COMP ESCALA ATUAL]],tabE.Flux[COMP.AT. MOT A],tabE.Flux[LINHA],"NÃO",0,1)</f>
        <v>NÃO</v>
      </c>
      <c r="F50" s="56" t="str">
        <f>_xlfn.XLOOKUP(autocompAlmoco[[#This Row],[COMP ESCALA ATUAL]],tabE.Flux[COMP.AT. MOT B],tabE.Flux[LINHA],"NÃO",0,1)</f>
        <v>GOIANIA (GO) X SAO LUIS (MA)</v>
      </c>
      <c r="G50" s="61" t="str">
        <f>IF(AND(autocompAlmoco[[#This Row],[EXISTE MOT A AT]]="NÃO", autocompAlmoco[[#This Row],[EXISTE MOT B AT]]="NÃO"),"NÃO","SIM")</f>
        <v>SIM</v>
      </c>
      <c r="H50" s="71" t="str">
        <f>IF(autocompAlmoco[[#This Row],[EXISTE ESCALA ATUAL]]="NÃO",_xlfn.CONCAT(tabAlmoco[[#This Row],[DATA]]-1,"+",tabAlmoco[[#This Row],[MOTORISTA]]),"NÃO")</f>
        <v>NÃO</v>
      </c>
      <c r="I50" s="57" t="str">
        <f>IF(autocompAlmoco[[#This Row],[COMP ESCALA ANTERIOR]]="NÃO","NÃO",_xlfn.XLOOKUP(autocompAlmoco[[#This Row],[COMP ESCALA ANTERIOR]],tabE.Flux[COMP.AT. MOT A],tabE.Flux[LINHA],"NÃO",0,1))</f>
        <v>NÃO</v>
      </c>
      <c r="J50" s="58" t="str">
        <f>IF(autocompAlmoco[[#This Row],[COMP ESCALA ANTERIOR]]="NÃO","NÃO",_xlfn.XLOOKUP(autocompAlmoco[[#This Row],[COMP ESCALA ANTERIOR]],tabE.Flux[COMP.AT. MOT B],tabE.Flux[LINHA],"NÃO",0,1))</f>
        <v>NÃO</v>
      </c>
      <c r="K50" s="62" t="str">
        <f>IF(AND(autocompAlmoco[[#This Row],[EXISTE MOT A ANT]]="NÃO",autocompAlmoco[[#This Row],[EXISTE MOT B ANT]]="NÃO"),"NÃO","SIM")</f>
        <v>NÃO</v>
      </c>
      <c r="L50" s="73" t="str">
        <f t="shared" si="1"/>
        <v>45893+RAIMUNDO COSTA SILVA - 6226</v>
      </c>
      <c r="M50" s="59" t="str">
        <f>IF(autocompAlmoco[[#This Row],[COMP ESCALA POSTERIOR]]="NÃO","NÃO",_xlfn.XLOOKUP(autocompAlmoco[[#This Row],[COMP ESCALA POSTERIOR]],tabE.Flux[COMP.AT. MOT A],tabE.Flux[LINHA],"NÃO",0,1))</f>
        <v>NÃO</v>
      </c>
      <c r="N50" s="59" t="str">
        <f>IF(autocompAlmoco[[#This Row],[COMP ESCALA POSTERIOR]]="NÃO","NÃO",_xlfn.XLOOKUP(autocompAlmoco[[#This Row],[COMP ESCALA POSTERIOR]],tabE.Flux[COMP.AT. MOT B],tabE.Flux[LINHA],"NÃO",0,1))</f>
        <v>NÃO</v>
      </c>
      <c r="O50" s="65" t="str">
        <f>IF(AND(autocompAlmoco[[#This Row],[EXISTE MOT A POS]]="NÃO",autocompAlmoco[[#This Row],[EXISTE MOT B POS]]="NÃO"),"NÃO","SIM")</f>
        <v>NÃO</v>
      </c>
      <c r="P50" s="66" t="str" cm="1">
        <f t="array" ref="P5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50" s="75" t="str" cm="1">
        <f t="array" ref="Q5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45892+RAIMUNDO COSTA SILVA - 6226+GOIANIA (GO) X SAO LUIS (MA)</v>
      </c>
      <c r="R50" s="67">
        <f>_xlfn.XLOOKUP(autocompAlmoco[[#This Row],[COMP ESCALA]],tabE.Flux[COMP. ESCALA MOT B],tabE.Flux[CARRO],
(_xlfn.XLOOKUP(autocompAlmoco[[#This Row],[COMP ESCALA]],tabE.Flux[COMP. ESCALA MOT A],tabE.Flux[CARRO],"N/E",0,1)),0,1)</f>
        <v>20013</v>
      </c>
      <c r="S50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50" s="125">
        <v>45892</v>
      </c>
      <c r="U50" s="1">
        <f>IF(IFERROR(autocompAlmoco[[#This Row],[CORRESP. CARRO]],"")="NÃO",(IF(tabAlmoco[[#This Row],[MOTORISTA]]=0,"","PASSE?")),autocompAlmoco[[#This Row],[CORRESP. CARRO]])</f>
        <v>20013</v>
      </c>
      <c r="V50" s="126">
        <f>IF(OR(ISERR(autocompAlmoco[[#This Row],[CORRESP HORARIO]]), autocompAlmoco[[#This Row],[CORRESP HORARIO]]&lt;&gt;"NÃO"),autocompAlmoco[[#This Row],[CORRESP HORARIO]],"")</f>
        <v>0.47013888888888888</v>
      </c>
      <c r="W50" s="1" t="s">
        <v>299</v>
      </c>
      <c r="X50" s="1" t="s">
        <v>45</v>
      </c>
      <c r="Y50" s="1">
        <f>IF(tabAlmoco[[#This Row],[MOTORISTA]]="","",COUNTIF(autocompAlmoco[COMP ESCALA ATUAL],autocompAlmoco[[#This Row],[COMP ESCALA ATUAL]]))</f>
        <v>1</v>
      </c>
      <c r="Z50" s="105">
        <f>IF(tabAlmoco[[#This Row],[MOTORISTA]]&lt;&gt;0,15,"")</f>
        <v>15</v>
      </c>
      <c r="AA50" s="1" t="str">
        <f>autocompAlmoco[[#This Row],[CORRESP LINHA]]</f>
        <v>GOIANIA (GO) X SAO LUIS (MA)</v>
      </c>
    </row>
    <row r="51" spans="3:27" hidden="1" x14ac:dyDescent="0.25">
      <c r="C51" s="140" t="s">
        <v>226</v>
      </c>
      <c r="D51" s="56" t="str">
        <f>IF(tabAlmoco[[#This Row],[MOTORISTA]]="","",_xlfn.CONCAT(tabAlmoco[[#This Row],[DATA]],"+",tabAlmoco[[#This Row],[MOTORISTA]]))</f>
        <v>45892+JOSE HAILTON PEREIRA DOS SANTOS - 6018</v>
      </c>
      <c r="E51" s="56" t="str">
        <f>_xlfn.XLOOKUP(autocompAlmoco[[#This Row],[COMP ESCALA ATUAL]],tabE.Flux[COMP.AT. MOT A],tabE.Flux[LINHA],"NÃO",0,1)</f>
        <v>NÃO</v>
      </c>
      <c r="F51" s="56" t="str">
        <f>_xlfn.XLOOKUP(autocompAlmoco[[#This Row],[COMP ESCALA ATUAL]],tabE.Flux[COMP.AT. MOT B],tabE.Flux[LINHA],"NÃO",0,1)</f>
        <v>GOIANIA (GO) X SAO LUIS (MA)</v>
      </c>
      <c r="G51" s="61" t="str">
        <f>IF(AND(autocompAlmoco[[#This Row],[EXISTE MOT A AT]]="NÃO", autocompAlmoco[[#This Row],[EXISTE MOT B AT]]="NÃO"),"NÃO","SIM")</f>
        <v>SIM</v>
      </c>
      <c r="H51" s="71" t="str">
        <f>IF(autocompAlmoco[[#This Row],[EXISTE ESCALA ATUAL]]="NÃO",_xlfn.CONCAT(tabAlmoco[[#This Row],[DATA]]-1,"+",tabAlmoco[[#This Row],[MOTORISTA]]),"NÃO")</f>
        <v>NÃO</v>
      </c>
      <c r="I51" s="57" t="str">
        <f>IF(autocompAlmoco[[#This Row],[COMP ESCALA ANTERIOR]]="NÃO","NÃO",_xlfn.XLOOKUP(autocompAlmoco[[#This Row],[COMP ESCALA ANTERIOR]],tabE.Flux[COMP.AT. MOT A],tabE.Flux[LINHA],"NÃO",0,1))</f>
        <v>NÃO</v>
      </c>
      <c r="J51" s="58" t="str">
        <f>IF(autocompAlmoco[[#This Row],[COMP ESCALA ANTERIOR]]="NÃO","NÃO",_xlfn.XLOOKUP(autocompAlmoco[[#This Row],[COMP ESCALA ANTERIOR]],tabE.Flux[COMP.AT. MOT B],tabE.Flux[LINHA],"NÃO",0,1))</f>
        <v>NÃO</v>
      </c>
      <c r="K51" s="62" t="str">
        <f>IF(AND(autocompAlmoco[[#This Row],[EXISTE MOT A ANT]]="NÃO",autocompAlmoco[[#This Row],[EXISTE MOT B ANT]]="NÃO"),"NÃO","SIM")</f>
        <v>NÃO</v>
      </c>
      <c r="L51" s="73" t="str">
        <f t="shared" si="1"/>
        <v>45893+JOSE HAILTON PEREIRA DOS SANTOS - 6018</v>
      </c>
      <c r="M51" s="59" t="str">
        <f>IF(autocompAlmoco[[#This Row],[COMP ESCALA POSTERIOR]]="NÃO","NÃO",_xlfn.XLOOKUP(autocompAlmoco[[#This Row],[COMP ESCALA POSTERIOR]],tabE.Flux[COMP.AT. MOT A],tabE.Flux[LINHA],"NÃO",0,1))</f>
        <v>NÃO</v>
      </c>
      <c r="N51" s="59" t="str">
        <f>IF(autocompAlmoco[[#This Row],[COMP ESCALA POSTERIOR]]="NÃO","NÃO",_xlfn.XLOOKUP(autocompAlmoco[[#This Row],[COMP ESCALA POSTERIOR]],tabE.Flux[COMP.AT. MOT B],tabE.Flux[LINHA],"NÃO",0,1))</f>
        <v>NÃO</v>
      </c>
      <c r="O51" s="65" t="str">
        <f>IF(AND(autocompAlmoco[[#This Row],[EXISTE MOT A POS]]="NÃO",autocompAlmoco[[#This Row],[EXISTE MOT B POS]]="NÃO"),"NÃO","SIM")</f>
        <v>NÃO</v>
      </c>
      <c r="P51" s="66" t="str" cm="1">
        <f t="array" ref="P5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51" s="75" t="str" cm="1">
        <f t="array" ref="Q5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45892+JOSE HAILTON PEREIRA DOS SANTOS - 6018+GOIANIA (GO) X SAO LUIS (MA)</v>
      </c>
      <c r="R51" s="67">
        <f>_xlfn.XLOOKUP(autocompAlmoco[[#This Row],[COMP ESCALA]],tabE.Flux[COMP. ESCALA MOT B],tabE.Flux[CARRO],
(_xlfn.XLOOKUP(autocompAlmoco[[#This Row],[COMP ESCALA]],tabE.Flux[COMP. ESCALA MOT A],tabE.Flux[CARRO],"N/E",0,1)),0,1)</f>
        <v>19018</v>
      </c>
      <c r="S51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51" s="127">
        <v>45892</v>
      </c>
      <c r="U51" s="4">
        <f>IF(IFERROR(autocompAlmoco[[#This Row],[CORRESP. CARRO]],"")="NÃO",(IF(tabAlmoco[[#This Row],[MOTORISTA]]=0,"","PASSE?")),autocompAlmoco[[#This Row],[CORRESP. CARRO]])</f>
        <v>19018</v>
      </c>
      <c r="V51" s="126">
        <f>IF(OR(ISERR(autocompAlmoco[[#This Row],[CORRESP HORARIO]]), autocompAlmoco[[#This Row],[CORRESP HORARIO]]&lt;&gt;"NÃO"),autocompAlmoco[[#This Row],[CORRESP HORARIO]],"")</f>
        <v>0.29166666666666669</v>
      </c>
      <c r="W51" s="4" t="s">
        <v>299</v>
      </c>
      <c r="X51" s="4" t="s">
        <v>141</v>
      </c>
      <c r="Y51" s="1">
        <f>IF(tabAlmoco[[#This Row],[MOTORISTA]]="","",COUNTIF(autocompAlmoco[COMP ESCALA ATUAL],autocompAlmoco[[#This Row],[COMP ESCALA ATUAL]]))</f>
        <v>1</v>
      </c>
      <c r="Z51" s="45">
        <f>IF(tabAlmoco[[#This Row],[MOTORISTA]]&lt;&gt;0,15,"")</f>
        <v>15</v>
      </c>
      <c r="AA51" s="4" t="str">
        <f>autocompAlmoco[[#This Row],[CORRESP LINHA]]</f>
        <v>GOIANIA (GO) X SAO LUIS (MA)</v>
      </c>
    </row>
    <row r="52" spans="3:27" hidden="1" x14ac:dyDescent="0.25">
      <c r="C52" s="140" t="s">
        <v>226</v>
      </c>
      <c r="D52" s="56" t="str">
        <f>IF(tabAlmoco[[#This Row],[MOTORISTA]]="","",_xlfn.CONCAT(tabAlmoco[[#This Row],[DATA]],"+",tabAlmoco[[#This Row],[MOTORISTA]]))</f>
        <v>45892+RICHARD SOUSA DA SILVA - 1271</v>
      </c>
      <c r="E52" s="56" t="str">
        <f>_xlfn.XLOOKUP(autocompAlmoco[[#This Row],[COMP ESCALA ATUAL]],tabE.Flux[COMP.AT. MOT A],tabE.Flux[LINHA],"NÃO",0,1)</f>
        <v>NÃO</v>
      </c>
      <c r="F52" s="56" t="str">
        <f>_xlfn.XLOOKUP(autocompAlmoco[[#This Row],[COMP ESCALA ATUAL]],tabE.Flux[COMP.AT. MOT B],tabE.Flux[LINHA],"NÃO",0,1)</f>
        <v>NÃO</v>
      </c>
      <c r="G52" s="61" t="str">
        <f>IF(AND(autocompAlmoco[[#This Row],[EXISTE MOT A AT]]="NÃO", autocompAlmoco[[#This Row],[EXISTE MOT B AT]]="NÃO"),"NÃO","SIM")</f>
        <v>NÃO</v>
      </c>
      <c r="H52" s="71" t="str">
        <f>IF(autocompAlmoco[[#This Row],[EXISTE ESCALA ATUAL]]="NÃO",_xlfn.CONCAT(tabAlmoco[[#This Row],[DATA]]-1,"+",tabAlmoco[[#This Row],[MOTORISTA]]),"NÃO")</f>
        <v>45891+RICHARD SOUSA DA SILVA - 1271</v>
      </c>
      <c r="I52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52" s="58" t="str">
        <f>IF(autocompAlmoco[[#This Row],[COMP ESCALA ANTERIOR]]="NÃO","NÃO",_xlfn.XLOOKUP(autocompAlmoco[[#This Row],[COMP ESCALA ANTERIOR]],tabE.Flux[COMP.AT. MOT B],tabE.Flux[LINHA],"NÃO",0,1))</f>
        <v>NÃO</v>
      </c>
      <c r="K52" s="62" t="str">
        <f>IF(AND(autocompAlmoco[[#This Row],[EXISTE MOT A ANT]]="NÃO",autocompAlmoco[[#This Row],[EXISTE MOT B ANT]]="NÃO"),"NÃO","SIM")</f>
        <v>SIM</v>
      </c>
      <c r="L52" s="73" t="str">
        <f t="shared" si="1"/>
        <v>45893+RICHARD SOUSA DA SILVA - 1271</v>
      </c>
      <c r="M52" s="59" t="str">
        <f>IF(autocompAlmoco[[#This Row],[COMP ESCALA POSTERIOR]]="NÃO","NÃO",_xlfn.XLOOKUP(autocompAlmoco[[#This Row],[COMP ESCALA POSTERIOR]],tabE.Flux[COMP.AT. MOT A],tabE.Flux[LINHA],"NÃO",0,1))</f>
        <v>NÃO</v>
      </c>
      <c r="N52" s="59" t="str">
        <f>IF(autocompAlmoco[[#This Row],[COMP ESCALA POSTERIOR]]="NÃO","NÃO",_xlfn.XLOOKUP(autocompAlmoco[[#This Row],[COMP ESCALA POSTERIOR]],tabE.Flux[COMP.AT. MOT B],tabE.Flux[LINHA],"NÃO",0,1))</f>
        <v>NÃO</v>
      </c>
      <c r="O52" s="65" t="str">
        <f>IF(AND(autocompAlmoco[[#This Row],[EXISTE MOT A POS]]="NÃO",autocompAlmoco[[#This Row],[EXISTE MOT B POS]]="NÃO"),"NÃO","SIM")</f>
        <v>NÃO</v>
      </c>
      <c r="P52" s="66" t="str" cm="1">
        <f t="array" ref="P5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52" s="75" t="str" cm="1">
        <f t="array" ref="Q5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45891+RICHARD SOUSA DA SILVA - 1271+FORTALEZA (CE) X SINOP (MT)</v>
      </c>
      <c r="R52" s="67">
        <f>_xlfn.XLOOKUP(autocompAlmoco[[#This Row],[COMP ESCALA]],tabE.Flux[COMP. ESCALA MOT B],tabE.Flux[CARRO],
(_xlfn.XLOOKUP(autocompAlmoco[[#This Row],[COMP ESCALA]],tabE.Flux[COMP. ESCALA MOT A],tabE.Flux[CARRO],"N/E",0,1)),0,1)</f>
        <v>20018</v>
      </c>
      <c r="S52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52" s="127">
        <v>45892</v>
      </c>
      <c r="U52" s="4">
        <f>IF(IFERROR(autocompAlmoco[[#This Row],[CORRESP. CARRO]],"")="NÃO",(IF(tabAlmoco[[#This Row],[MOTORISTA]]=0,"","PASSE?")),autocompAlmoco[[#This Row],[CORRESP. CARRO]])</f>
        <v>20018</v>
      </c>
      <c r="V52" s="126">
        <f>IF(OR(ISERR(autocompAlmoco[[#This Row],[CORRESP HORARIO]]), autocompAlmoco[[#This Row],[CORRESP HORARIO]]&lt;&gt;"NÃO"),autocompAlmoco[[#This Row],[CORRESP HORARIO]],"")</f>
        <v>0.37708333333333333</v>
      </c>
      <c r="W52" s="4" t="s">
        <v>299</v>
      </c>
      <c r="X52" s="4" t="s">
        <v>56</v>
      </c>
      <c r="Y52" s="1">
        <f>IF(tabAlmoco[[#This Row],[MOTORISTA]]="","",COUNTIF(autocompAlmoco[COMP ESCALA ATUAL],autocompAlmoco[[#This Row],[COMP ESCALA ATUAL]]))</f>
        <v>1</v>
      </c>
      <c r="Z52" s="45">
        <f>IF(tabAlmoco[[#This Row],[MOTORISTA]]&lt;&gt;0,15,"")</f>
        <v>15</v>
      </c>
      <c r="AA52" s="4" t="str">
        <f>autocompAlmoco[[#This Row],[CORRESP LINHA]]</f>
        <v>FORTALEZA (CE) X SINOP (MT)</v>
      </c>
    </row>
    <row r="53" spans="3:27" hidden="1" x14ac:dyDescent="0.25">
      <c r="C53" s="140" t="s">
        <v>226</v>
      </c>
      <c r="D53" s="56" t="str">
        <f>IF(tabAlmoco[[#This Row],[MOTORISTA]]="","",_xlfn.CONCAT(tabAlmoco[[#This Row],[DATA]],"+",tabAlmoco[[#This Row],[MOTORISTA]]))</f>
        <v>45892+ANTONIO JOSE PEREIRA SOARES - 1774</v>
      </c>
      <c r="E53" s="56" t="str">
        <f>_xlfn.XLOOKUP(autocompAlmoco[[#This Row],[COMP ESCALA ATUAL]],tabE.Flux[COMP.AT. MOT A],tabE.Flux[LINHA],"NÃO",0,1)</f>
        <v>NÃO</v>
      </c>
      <c r="F53" s="56" t="str">
        <f>_xlfn.XLOOKUP(autocompAlmoco[[#This Row],[COMP ESCALA ATUAL]],tabE.Flux[COMP.AT. MOT B],tabE.Flux[LINHA],"NÃO",0,1)</f>
        <v>NÃO</v>
      </c>
      <c r="G53" s="61" t="str">
        <f>IF(AND(autocompAlmoco[[#This Row],[EXISTE MOT A AT]]="NÃO", autocompAlmoco[[#This Row],[EXISTE MOT B AT]]="NÃO"),"NÃO","SIM")</f>
        <v>NÃO</v>
      </c>
      <c r="H53" s="71" t="str">
        <f>IF(autocompAlmoco[[#This Row],[EXISTE ESCALA ATUAL]]="NÃO",_xlfn.CONCAT(tabAlmoco[[#This Row],[DATA]]-1,"+",tabAlmoco[[#This Row],[MOTORISTA]]),"NÃO")</f>
        <v>45891+ANTONIO JOSE PEREIRA SOARES - 1774</v>
      </c>
      <c r="I53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53" s="58" t="str">
        <f>IF(autocompAlmoco[[#This Row],[COMP ESCALA ANTERIOR]]="NÃO","NÃO",_xlfn.XLOOKUP(autocompAlmoco[[#This Row],[COMP ESCALA ANTERIOR]],tabE.Flux[COMP.AT. MOT B],tabE.Flux[LINHA],"NÃO",0,1))</f>
        <v>NÃO</v>
      </c>
      <c r="K53" s="62" t="str">
        <f>IF(AND(autocompAlmoco[[#This Row],[EXISTE MOT A ANT]]="NÃO",autocompAlmoco[[#This Row],[EXISTE MOT B ANT]]="NÃO"),"NÃO","SIM")</f>
        <v>SIM</v>
      </c>
      <c r="L53" s="73" t="str">
        <f t="shared" si="1"/>
        <v>45893+ANTONIO JOSE PEREIRA SOARES - 1774</v>
      </c>
      <c r="M53" s="59" t="str">
        <f>IF(autocompAlmoco[[#This Row],[COMP ESCALA POSTERIOR]]="NÃO","NÃO",_xlfn.XLOOKUP(autocompAlmoco[[#This Row],[COMP ESCALA POSTERIOR]],tabE.Flux[COMP.AT. MOT A],tabE.Flux[LINHA],"NÃO",0,1))</f>
        <v>NÃO</v>
      </c>
      <c r="N53" s="59" t="str">
        <f>IF(autocompAlmoco[[#This Row],[COMP ESCALA POSTERIOR]]="NÃO","NÃO",_xlfn.XLOOKUP(autocompAlmoco[[#This Row],[COMP ESCALA POSTERIOR]],tabE.Flux[COMP.AT. MOT B],tabE.Flux[LINHA],"NÃO",0,1))</f>
        <v>NÃO</v>
      </c>
      <c r="O53" s="65" t="str">
        <f>IF(AND(autocompAlmoco[[#This Row],[EXISTE MOT A POS]]="NÃO",autocompAlmoco[[#This Row],[EXISTE MOT B POS]]="NÃO"),"NÃO","SIM")</f>
        <v>NÃO</v>
      </c>
      <c r="P53" s="66" t="str" cm="1">
        <f t="array" ref="P5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53" s="75" t="str" cm="1">
        <f t="array" ref="Q5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45891+ANTONIO JOSE PEREIRA SOARES - 1774+GOIANIA (GO) X TERESINA (PI) VIA STI</v>
      </c>
      <c r="R53" s="67">
        <f>_xlfn.XLOOKUP(autocompAlmoco[[#This Row],[COMP ESCALA]],tabE.Flux[COMP. ESCALA MOT B],tabE.Flux[CARRO],
(_xlfn.XLOOKUP(autocompAlmoco[[#This Row],[COMP ESCALA]],tabE.Flux[COMP. ESCALA MOT A],tabE.Flux[CARRO],"N/E",0,1)),0,1)</f>
        <v>19021</v>
      </c>
      <c r="S53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53" s="127">
        <v>45892</v>
      </c>
      <c r="U53" s="4">
        <f>IF(IFERROR(autocompAlmoco[[#This Row],[CORRESP. CARRO]],"")="NÃO",(IF(tabAlmoco[[#This Row],[MOTORISTA]]=0,"","PASSE?")),autocompAlmoco[[#This Row],[CORRESP. CARRO]])</f>
        <v>19021</v>
      </c>
      <c r="V53" s="126">
        <f>IF(OR(ISERR(autocompAlmoco[[#This Row],[CORRESP HORARIO]]), autocompAlmoco[[#This Row],[CORRESP HORARIO]]&lt;&gt;"NÃO"),autocompAlmoco[[#This Row],[CORRESP HORARIO]],"")</f>
        <v>0.79861111111111116</v>
      </c>
      <c r="W53" s="4" t="s">
        <v>299</v>
      </c>
      <c r="X53" s="4" t="s">
        <v>52</v>
      </c>
      <c r="Y53" s="1">
        <f>IF(tabAlmoco[[#This Row],[MOTORISTA]]="","",COUNTIF(autocompAlmoco[COMP ESCALA ATUAL],autocompAlmoco[[#This Row],[COMP ESCALA ATUAL]]))</f>
        <v>1</v>
      </c>
      <c r="Z53" s="45">
        <f>IF(tabAlmoco[[#This Row],[MOTORISTA]]&lt;&gt;0,15,"")</f>
        <v>15</v>
      </c>
      <c r="AA53" s="4" t="str">
        <f>autocompAlmoco[[#This Row],[CORRESP LINHA]]</f>
        <v>GOIANIA (GO) X TERESINA (PI) VIA STI</v>
      </c>
    </row>
    <row r="54" spans="3:27" hidden="1" x14ac:dyDescent="0.25">
      <c r="C54" s="140" t="s">
        <v>226</v>
      </c>
      <c r="D54" s="56" t="str">
        <f>IF(tabAlmoco[[#This Row],[MOTORISTA]]="","",_xlfn.CONCAT(tabAlmoco[[#This Row],[DATA]],"+",tabAlmoco[[#This Row],[MOTORISTA]]))</f>
        <v>45892+JEFFERSON CARDOSO DOS SANTOS - 5837</v>
      </c>
      <c r="E54" s="56" t="str">
        <f>_xlfn.XLOOKUP(autocompAlmoco[[#This Row],[COMP ESCALA ATUAL]],tabE.Flux[COMP.AT. MOT A],tabE.Flux[LINHA],"NÃO",0,1)</f>
        <v>NÃO</v>
      </c>
      <c r="F54" s="56" t="str">
        <f>_xlfn.XLOOKUP(autocompAlmoco[[#This Row],[COMP ESCALA ATUAL]],tabE.Flux[COMP.AT. MOT B],tabE.Flux[LINHA],"NÃO",0,1)</f>
        <v>GOIANIA (GO) X SAO LUIS (MA)</v>
      </c>
      <c r="G54" s="61" t="str">
        <f>IF(AND(autocompAlmoco[[#This Row],[EXISTE MOT A AT]]="NÃO", autocompAlmoco[[#This Row],[EXISTE MOT B AT]]="NÃO"),"NÃO","SIM")</f>
        <v>SIM</v>
      </c>
      <c r="H54" s="71" t="str">
        <f>IF(autocompAlmoco[[#This Row],[EXISTE ESCALA ATUAL]]="NÃO",_xlfn.CONCAT(tabAlmoco[[#This Row],[DATA]]-1,"+",tabAlmoco[[#This Row],[MOTORISTA]]),"NÃO")</f>
        <v>NÃO</v>
      </c>
      <c r="I54" s="57" t="str">
        <f>IF(autocompAlmoco[[#This Row],[COMP ESCALA ANTERIOR]]="NÃO","NÃO",_xlfn.XLOOKUP(autocompAlmoco[[#This Row],[COMP ESCALA ANTERIOR]],tabE.Flux[COMP.AT. MOT A],tabE.Flux[LINHA],"NÃO",0,1))</f>
        <v>NÃO</v>
      </c>
      <c r="J54" s="58" t="str">
        <f>IF(autocompAlmoco[[#This Row],[COMP ESCALA ANTERIOR]]="NÃO","NÃO",_xlfn.XLOOKUP(autocompAlmoco[[#This Row],[COMP ESCALA ANTERIOR]],tabE.Flux[COMP.AT. MOT B],tabE.Flux[LINHA],"NÃO",0,1))</f>
        <v>NÃO</v>
      </c>
      <c r="K54" s="62" t="str">
        <f>IF(AND(autocompAlmoco[[#This Row],[EXISTE MOT A ANT]]="NÃO",autocompAlmoco[[#This Row],[EXISTE MOT B ANT]]="NÃO"),"NÃO","SIM")</f>
        <v>NÃO</v>
      </c>
      <c r="L54" s="73" t="str">
        <f t="shared" si="1"/>
        <v>45893+JEFFERSON CARDOSO DOS SANTOS - 5837</v>
      </c>
      <c r="M54" s="59" t="str">
        <f>IF(autocompAlmoco[[#This Row],[COMP ESCALA POSTERIOR]]="NÃO","NÃO",_xlfn.XLOOKUP(autocompAlmoco[[#This Row],[COMP ESCALA POSTERIOR]],tabE.Flux[COMP.AT. MOT A],tabE.Flux[LINHA],"NÃO",0,1))</f>
        <v>NÃO</v>
      </c>
      <c r="N54" s="59" t="str">
        <f>IF(autocompAlmoco[[#This Row],[COMP ESCALA POSTERIOR]]="NÃO","NÃO",_xlfn.XLOOKUP(autocompAlmoco[[#This Row],[COMP ESCALA POSTERIOR]],tabE.Flux[COMP.AT. MOT B],tabE.Flux[LINHA],"NÃO",0,1))</f>
        <v>NÃO</v>
      </c>
      <c r="O54" s="65" t="str">
        <f>IF(AND(autocompAlmoco[[#This Row],[EXISTE MOT A POS]]="NÃO",autocompAlmoco[[#This Row],[EXISTE MOT B POS]]="NÃO"),"NÃO","SIM")</f>
        <v>NÃO</v>
      </c>
      <c r="P54" s="66" t="str" cm="1">
        <f t="array" ref="P5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54" s="75" t="str" cm="1">
        <f t="array" ref="Q5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45892+JEFFERSON CARDOSO DOS SANTOS - 5837+GOIANIA (GO) X SAO LUIS (MA)</v>
      </c>
      <c r="R54" s="67">
        <f>_xlfn.XLOOKUP(autocompAlmoco[[#This Row],[COMP ESCALA]],tabE.Flux[COMP. ESCALA MOT B],tabE.Flux[CARRO],
(_xlfn.XLOOKUP(autocompAlmoco[[#This Row],[COMP ESCALA]],tabE.Flux[COMP. ESCALA MOT A],tabE.Flux[CARRO],"N/E",0,1)),0,1)</f>
        <v>25011</v>
      </c>
      <c r="S54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54" s="127">
        <v>45892</v>
      </c>
      <c r="U54" s="4">
        <f>IF(IFERROR(autocompAlmoco[[#This Row],[CORRESP. CARRO]],"")="NÃO",(IF(tabAlmoco[[#This Row],[MOTORISTA]]=0,"","PASSE?")),autocompAlmoco[[#This Row],[CORRESP. CARRO]])</f>
        <v>25011</v>
      </c>
      <c r="V54" s="126">
        <f>IF(OR(ISERR(autocompAlmoco[[#This Row],[CORRESP HORARIO]]), autocompAlmoco[[#This Row],[CORRESP HORARIO]]&lt;&gt;"NÃO"),autocompAlmoco[[#This Row],[CORRESP HORARIO]],"")</f>
        <v>0.79166666666666663</v>
      </c>
      <c r="W54" s="4" t="s">
        <v>299</v>
      </c>
      <c r="X54" s="4" t="s">
        <v>30</v>
      </c>
      <c r="Y54" s="1">
        <f>IF(tabAlmoco[[#This Row],[MOTORISTA]]="","",COUNTIF(autocompAlmoco[COMP ESCALA ATUAL],autocompAlmoco[[#This Row],[COMP ESCALA ATUAL]]))</f>
        <v>1</v>
      </c>
      <c r="Z54" s="45">
        <f>IF(tabAlmoco[[#This Row],[MOTORISTA]]&lt;&gt;0,15,"")</f>
        <v>15</v>
      </c>
      <c r="AA54" s="4" t="str">
        <f>autocompAlmoco[[#This Row],[CORRESP LINHA]]</f>
        <v>GOIANIA (GO) X SAO LUIS (MA)</v>
      </c>
    </row>
    <row r="55" spans="3:27" hidden="1" x14ac:dyDescent="0.25">
      <c r="C55" s="140" t="s">
        <v>226</v>
      </c>
      <c r="D55" s="56" t="str">
        <f>IF(tabAlmoco[[#This Row],[MOTORISTA]]="","",_xlfn.CONCAT(tabAlmoco[[#This Row],[DATA]],"+",tabAlmoco[[#This Row],[MOTORISTA]]))</f>
        <v>45892+DAVID ALVES PEREIRA - 5300</v>
      </c>
      <c r="E55" s="56" t="str">
        <f>_xlfn.XLOOKUP(autocompAlmoco[[#This Row],[COMP ESCALA ATUAL]],tabE.Flux[COMP.AT. MOT A],tabE.Flux[LINHA],"NÃO",0,1)</f>
        <v>NÃO</v>
      </c>
      <c r="F55" s="56" t="str">
        <f>_xlfn.XLOOKUP(autocompAlmoco[[#This Row],[COMP ESCALA ATUAL]],tabE.Flux[COMP.AT. MOT B],tabE.Flux[LINHA],"NÃO",0,1)</f>
        <v>FORTALEZA (CE) X SINOP (MT)</v>
      </c>
      <c r="G55" s="61" t="str">
        <f>IF(AND(autocompAlmoco[[#This Row],[EXISTE MOT A AT]]="NÃO", autocompAlmoco[[#This Row],[EXISTE MOT B AT]]="NÃO"),"NÃO","SIM")</f>
        <v>SIM</v>
      </c>
      <c r="H55" s="71" t="str">
        <f>IF(autocompAlmoco[[#This Row],[EXISTE ESCALA ATUAL]]="NÃO",_xlfn.CONCAT(tabAlmoco[[#This Row],[DATA]]-1,"+",tabAlmoco[[#This Row],[MOTORISTA]]),"NÃO")</f>
        <v>NÃO</v>
      </c>
      <c r="I55" s="57" t="str">
        <f>IF(autocompAlmoco[[#This Row],[COMP ESCALA ANTERIOR]]="NÃO","NÃO",_xlfn.XLOOKUP(autocompAlmoco[[#This Row],[COMP ESCALA ANTERIOR]],tabE.Flux[COMP.AT. MOT A],tabE.Flux[LINHA],"NÃO",0,1))</f>
        <v>NÃO</v>
      </c>
      <c r="J55" s="58" t="str">
        <f>IF(autocompAlmoco[[#This Row],[COMP ESCALA ANTERIOR]]="NÃO","NÃO",_xlfn.XLOOKUP(autocompAlmoco[[#This Row],[COMP ESCALA ANTERIOR]],tabE.Flux[COMP.AT. MOT B],tabE.Flux[LINHA],"NÃO",0,1))</f>
        <v>NÃO</v>
      </c>
      <c r="K55" s="62" t="str">
        <f>IF(AND(autocompAlmoco[[#This Row],[EXISTE MOT A ANT]]="NÃO",autocompAlmoco[[#This Row],[EXISTE MOT B ANT]]="NÃO"),"NÃO","SIM")</f>
        <v>NÃO</v>
      </c>
      <c r="L55" s="73" t="str">
        <f t="shared" si="1"/>
        <v>45893+DAVID ALVES PEREIRA - 5300</v>
      </c>
      <c r="M55" s="59" t="str">
        <f>IF(autocompAlmoco[[#This Row],[COMP ESCALA POSTERIOR]]="NÃO","NÃO",_xlfn.XLOOKUP(autocompAlmoco[[#This Row],[COMP ESCALA POSTERIOR]],tabE.Flux[COMP.AT. MOT A],tabE.Flux[LINHA],"NÃO",0,1))</f>
        <v>NÃO</v>
      </c>
      <c r="N55" s="59" t="str">
        <f>IF(autocompAlmoco[[#This Row],[COMP ESCALA POSTERIOR]]="NÃO","NÃO",_xlfn.XLOOKUP(autocompAlmoco[[#This Row],[COMP ESCALA POSTERIOR]],tabE.Flux[COMP.AT. MOT B],tabE.Flux[LINHA],"NÃO",0,1))</f>
        <v>NÃO</v>
      </c>
      <c r="O55" s="65" t="str">
        <f>IF(AND(autocompAlmoco[[#This Row],[EXISTE MOT A POS]]="NÃO",autocompAlmoco[[#This Row],[EXISTE MOT B POS]]="NÃO"),"NÃO","SIM")</f>
        <v>NÃO</v>
      </c>
      <c r="P55" s="66" t="str" cm="1">
        <f t="array" ref="P5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55" s="75" t="str" cm="1">
        <f t="array" ref="Q5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45892+DAVID ALVES PEREIRA - 5300+FORTALEZA (CE) X SINOP (MT)</v>
      </c>
      <c r="R55" s="67">
        <f>_xlfn.XLOOKUP(autocompAlmoco[[#This Row],[COMP ESCALA]],tabE.Flux[COMP. ESCALA MOT B],tabE.Flux[CARRO],
(_xlfn.XLOOKUP(autocompAlmoco[[#This Row],[COMP ESCALA]],tabE.Flux[COMP. ESCALA MOT A],tabE.Flux[CARRO],"N/E",0,1)),0,1)</f>
        <v>19003</v>
      </c>
      <c r="S55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55" s="127">
        <v>45892</v>
      </c>
      <c r="U55" s="4">
        <f>IF(IFERROR(autocompAlmoco[[#This Row],[CORRESP. CARRO]],"")="NÃO",(IF(tabAlmoco[[#This Row],[MOTORISTA]]=0,"","PASSE?")),autocompAlmoco[[#This Row],[CORRESP. CARRO]])</f>
        <v>19003</v>
      </c>
      <c r="V55" s="126">
        <f>IF(OR(ISERR(autocompAlmoco[[#This Row],[CORRESP HORARIO]]), autocompAlmoco[[#This Row],[CORRESP HORARIO]]&lt;&gt;"NÃO"),autocompAlmoco[[#This Row],[CORRESP HORARIO]],"")</f>
        <v>0.37708333333333333</v>
      </c>
      <c r="W55" s="4" t="s">
        <v>299</v>
      </c>
      <c r="X55" s="4" t="s">
        <v>197</v>
      </c>
      <c r="Y55" s="1">
        <f>IF(tabAlmoco[[#This Row],[MOTORISTA]]="","",COUNTIF(autocompAlmoco[COMP ESCALA ATUAL],autocompAlmoco[[#This Row],[COMP ESCALA ATUAL]]))</f>
        <v>1</v>
      </c>
      <c r="Z55" s="45">
        <f>IF(tabAlmoco[[#This Row],[MOTORISTA]]&lt;&gt;0,15,"")</f>
        <v>15</v>
      </c>
      <c r="AA55" s="4" t="str">
        <f>autocompAlmoco[[#This Row],[CORRESP LINHA]]</f>
        <v>FORTALEZA (CE) X SINOP (MT)</v>
      </c>
    </row>
    <row r="56" spans="3:27" hidden="1" x14ac:dyDescent="0.25">
      <c r="C56" s="140" t="s">
        <v>226</v>
      </c>
      <c r="D56" s="56" t="str">
        <f>IF(tabAlmoco[[#This Row],[MOTORISTA]]="","",_xlfn.CONCAT(tabAlmoco[[#This Row],[DATA]],"+",tabAlmoco[[#This Row],[MOTORISTA]]))</f>
        <v>45892+MARCOS ANTONIO ALVES DE SOUSA - 5278</v>
      </c>
      <c r="E56" s="56" t="str">
        <f>_xlfn.XLOOKUP(autocompAlmoco[[#This Row],[COMP ESCALA ATUAL]],tabE.Flux[COMP.AT. MOT A],tabE.Flux[LINHA],"NÃO",0,1)</f>
        <v>NÃO</v>
      </c>
      <c r="F56" s="56" t="str">
        <f>_xlfn.XLOOKUP(autocompAlmoco[[#This Row],[COMP ESCALA ATUAL]],tabE.Flux[COMP.AT. MOT B],tabE.Flux[LINHA],"NÃO",0,1)</f>
        <v>NÃO</v>
      </c>
      <c r="G56" s="61" t="str">
        <f>IF(AND(autocompAlmoco[[#This Row],[EXISTE MOT A AT]]="NÃO", autocompAlmoco[[#This Row],[EXISTE MOT B AT]]="NÃO"),"NÃO","SIM")</f>
        <v>NÃO</v>
      </c>
      <c r="H56" s="71" t="str">
        <f>IF(autocompAlmoco[[#This Row],[EXISTE ESCALA ATUAL]]="NÃO",_xlfn.CONCAT(tabAlmoco[[#This Row],[DATA]]-1,"+",tabAlmoco[[#This Row],[MOTORISTA]]),"NÃO")</f>
        <v>45891+MARCOS ANTONIO ALVES DE SOUSA - 5278</v>
      </c>
      <c r="I56" s="57" t="str">
        <f>IF(autocompAlmoco[[#This Row],[COMP ESCALA ANTERIOR]]="NÃO","NÃO",_xlfn.XLOOKUP(autocompAlmoco[[#This Row],[COMP ESCALA ANTERIOR]],tabE.Flux[COMP.AT. MOT A],tabE.Flux[LINHA],"NÃO",0,1))</f>
        <v>NÃO</v>
      </c>
      <c r="J56" s="58" t="str">
        <f>IF(autocompAlmoco[[#This Row],[COMP ESCALA ANTERIOR]]="NÃO","NÃO",_xlfn.XLOOKUP(autocompAlmoco[[#This Row],[COMP ESCALA ANTERIOR]],tabE.Flux[COMP.AT. MOT B],tabE.Flux[LINHA],"NÃO",0,1))</f>
        <v>NÃO</v>
      </c>
      <c r="K56" s="62" t="str">
        <f>IF(AND(autocompAlmoco[[#This Row],[EXISTE MOT A ANT]]="NÃO",autocompAlmoco[[#This Row],[EXISTE MOT B ANT]]="NÃO"),"NÃO","SIM")</f>
        <v>NÃO</v>
      </c>
      <c r="L56" s="73" t="str">
        <f t="shared" si="1"/>
        <v>45893+MARCOS ANTONIO ALVES DE SOUSA - 5278</v>
      </c>
      <c r="M56" s="59" t="str">
        <f>IF(autocompAlmoco[[#This Row],[COMP ESCALA POSTERIOR]]="NÃO","NÃO",_xlfn.XLOOKUP(autocompAlmoco[[#This Row],[COMP ESCALA POSTERIOR]],tabE.Flux[COMP.AT. MOT A],tabE.Flux[LINHA],"NÃO",0,1))</f>
        <v>NÃO</v>
      </c>
      <c r="N56" s="59" t="str">
        <f>IF(autocompAlmoco[[#This Row],[COMP ESCALA POSTERIOR]]="NÃO","NÃO",_xlfn.XLOOKUP(autocompAlmoco[[#This Row],[COMP ESCALA POSTERIOR]],tabE.Flux[COMP.AT. MOT B],tabE.Flux[LINHA],"NÃO",0,1))</f>
        <v>GOIANIA (GO) X TERESINA (PI) VIA STI</v>
      </c>
      <c r="O56" s="65" t="str">
        <f>IF(AND(autocompAlmoco[[#This Row],[EXISTE MOT A POS]]="NÃO",autocompAlmoco[[#This Row],[EXISTE MOT B POS]]="NÃO"),"NÃO","SIM")</f>
        <v>SIM</v>
      </c>
      <c r="P56" s="66" t="str" cm="1">
        <f t="array" ref="P5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56" s="75" t="str" cm="1">
        <f t="array" ref="Q5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45893+MARCOS ANTONIO ALVES DE SOUSA - 5278+GOIANIA (GO) X TERESINA (PI) VIA STI</v>
      </c>
      <c r="R56" s="67">
        <f>_xlfn.XLOOKUP(autocompAlmoco[[#This Row],[COMP ESCALA]],tabE.Flux[COMP. ESCALA MOT B],tabE.Flux[CARRO],
(_xlfn.XLOOKUP(autocompAlmoco[[#This Row],[COMP ESCALA]],tabE.Flux[COMP. ESCALA MOT A],tabE.Flux[CARRO],"N/E",0,1)),0,1)</f>
        <v>17200</v>
      </c>
      <c r="S56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56" s="127">
        <v>45892</v>
      </c>
      <c r="U56" s="4">
        <f>IF(IFERROR(autocompAlmoco[[#This Row],[CORRESP. CARRO]],"")="NÃO",(IF(tabAlmoco[[#This Row],[MOTORISTA]]=0,"","PASSE?")),autocompAlmoco[[#This Row],[CORRESP. CARRO]])</f>
        <v>17200</v>
      </c>
      <c r="V56" s="126">
        <f>IF(OR(ISERR(autocompAlmoco[[#This Row],[CORRESP HORARIO]]), autocompAlmoco[[#This Row],[CORRESP HORARIO]]&lt;&gt;"NÃO"),autocompAlmoco[[#This Row],[CORRESP HORARIO]],"")</f>
        <v>0.79861111111111116</v>
      </c>
      <c r="W56" s="4" t="s">
        <v>299</v>
      </c>
      <c r="X56" s="4" t="s">
        <v>210</v>
      </c>
      <c r="Y56" s="1">
        <f>IF(tabAlmoco[[#This Row],[MOTORISTA]]="","",COUNTIF(autocompAlmoco[COMP ESCALA ATUAL],autocompAlmoco[[#This Row],[COMP ESCALA ATUAL]]))</f>
        <v>1</v>
      </c>
      <c r="Z56" s="45">
        <f>IF(tabAlmoco[[#This Row],[MOTORISTA]]&lt;&gt;0,15,"")</f>
        <v>15</v>
      </c>
      <c r="AA56" s="4" t="str">
        <f>autocompAlmoco[[#This Row],[CORRESP LINHA]]</f>
        <v>GOIANIA (GO) X TERESINA (PI) VIA STI</v>
      </c>
    </row>
    <row r="57" spans="3:27" hidden="1" x14ac:dyDescent="0.25">
      <c r="C57" s="140" t="s">
        <v>226</v>
      </c>
      <c r="D57" s="56" t="str">
        <f>IF(tabAlmoco[[#This Row],[MOTORISTA]]="","",_xlfn.CONCAT(tabAlmoco[[#This Row],[DATA]],"+",tabAlmoco[[#This Row],[MOTORISTA]]))</f>
        <v>45892+KAYLSON KLEYTON DA SILVA COSTA - 6224</v>
      </c>
      <c r="E57" s="56" t="str">
        <f>_xlfn.XLOOKUP(autocompAlmoco[[#This Row],[COMP ESCALA ATUAL]],tabE.Flux[COMP.AT. MOT A],tabE.Flux[LINHA],"NÃO",0,1)</f>
        <v>GOIANIA (GO) X SAO LUIS (MA)</v>
      </c>
      <c r="F57" s="56" t="str">
        <f>_xlfn.XLOOKUP(autocompAlmoco[[#This Row],[COMP ESCALA ATUAL]],tabE.Flux[COMP.AT. MOT B],tabE.Flux[LINHA],"NÃO",0,1)</f>
        <v>GOIANIA (GO) X SAO LUIS (MA)</v>
      </c>
      <c r="G57" s="61" t="str">
        <f>IF(AND(autocompAlmoco[[#This Row],[EXISTE MOT A AT]]="NÃO", autocompAlmoco[[#This Row],[EXISTE MOT B AT]]="NÃO"),"NÃO","SIM")</f>
        <v>SIM</v>
      </c>
      <c r="H57" s="71" t="str">
        <f>IF(autocompAlmoco[[#This Row],[EXISTE ESCALA ATUAL]]="NÃO",_xlfn.CONCAT(tabAlmoco[[#This Row],[DATA]]-1,"+",tabAlmoco[[#This Row],[MOTORISTA]]),"NÃO")</f>
        <v>NÃO</v>
      </c>
      <c r="I57" s="57" t="str">
        <f>IF(autocompAlmoco[[#This Row],[COMP ESCALA ANTERIOR]]="NÃO","NÃO",_xlfn.XLOOKUP(autocompAlmoco[[#This Row],[COMP ESCALA ANTERIOR]],tabE.Flux[COMP.AT. MOT A],tabE.Flux[LINHA],"NÃO",0,1))</f>
        <v>NÃO</v>
      </c>
      <c r="J57" s="58" t="str">
        <f>IF(autocompAlmoco[[#This Row],[COMP ESCALA ANTERIOR]]="NÃO","NÃO",_xlfn.XLOOKUP(autocompAlmoco[[#This Row],[COMP ESCALA ANTERIOR]],tabE.Flux[COMP.AT. MOT B],tabE.Flux[LINHA],"NÃO",0,1))</f>
        <v>NÃO</v>
      </c>
      <c r="K57" s="62" t="str">
        <f>IF(AND(autocompAlmoco[[#This Row],[EXISTE MOT A ANT]]="NÃO",autocompAlmoco[[#This Row],[EXISTE MOT B ANT]]="NÃO"),"NÃO","SIM")</f>
        <v>NÃO</v>
      </c>
      <c r="L57" s="73" t="str">
        <f t="shared" si="1"/>
        <v>45893+KAYLSON KLEYTON DA SILVA COSTA - 6224</v>
      </c>
      <c r="M57" s="59" t="str">
        <f>IF(autocompAlmoco[[#This Row],[COMP ESCALA POSTERIOR]]="NÃO","NÃO",_xlfn.XLOOKUP(autocompAlmoco[[#This Row],[COMP ESCALA POSTERIOR]],tabE.Flux[COMP.AT. MOT A],tabE.Flux[LINHA],"NÃO",0,1))</f>
        <v>NÃO</v>
      </c>
      <c r="N57" s="59" t="str">
        <f>IF(autocompAlmoco[[#This Row],[COMP ESCALA POSTERIOR]]="NÃO","NÃO",_xlfn.XLOOKUP(autocompAlmoco[[#This Row],[COMP ESCALA POSTERIOR]],tabE.Flux[COMP.AT. MOT B],tabE.Flux[LINHA],"NÃO",0,1))</f>
        <v>NÃO</v>
      </c>
      <c r="O57" s="65" t="str">
        <f>IF(AND(autocompAlmoco[[#This Row],[EXISTE MOT A POS]]="NÃO",autocompAlmoco[[#This Row],[EXISTE MOT B POS]]="NÃO"),"NÃO","SIM")</f>
        <v>NÃO</v>
      </c>
      <c r="P57" s="66" t="str" cm="1">
        <f t="array" ref="P5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57" s="75" t="str" cm="1">
        <f t="array" ref="Q5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45892+KAYLSON KLEYTON DA SILVA COSTA - 6224+GOIANIA (GO) X SAO LUIS (MA)</v>
      </c>
      <c r="R57" s="67">
        <f>_xlfn.XLOOKUP(autocompAlmoco[[#This Row],[COMP ESCALA]],tabE.Flux[COMP. ESCALA MOT B],tabE.Flux[CARRO],
(_xlfn.XLOOKUP(autocompAlmoco[[#This Row],[COMP ESCALA]],tabE.Flux[COMP. ESCALA MOT A],tabE.Flux[CARRO],"N/E",0,1)),0,1)</f>
        <v>25006</v>
      </c>
      <c r="S57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57" s="127">
        <v>45892</v>
      </c>
      <c r="U57" s="4">
        <f>IF(IFERROR(autocompAlmoco[[#This Row],[CORRESP. CARRO]],"")="NÃO",(IF(tabAlmoco[[#This Row],[MOTORISTA]]=0,"","PASSE?")),autocompAlmoco[[#This Row],[CORRESP. CARRO]])</f>
        <v>25006</v>
      </c>
      <c r="V57" s="126">
        <f>IF(OR(ISERR(autocompAlmoco[[#This Row],[CORRESP HORARIO]]), autocompAlmoco[[#This Row],[CORRESP HORARIO]]&lt;&gt;"NÃO"),autocompAlmoco[[#This Row],[CORRESP HORARIO]],"")</f>
        <v>0.29166666666666669</v>
      </c>
      <c r="W57" s="4" t="s">
        <v>299</v>
      </c>
      <c r="X57" s="4" t="s">
        <v>80</v>
      </c>
      <c r="Y57" s="1">
        <f>IF(tabAlmoco[[#This Row],[MOTORISTA]]="","",COUNTIF(autocompAlmoco[COMP ESCALA ATUAL],autocompAlmoco[[#This Row],[COMP ESCALA ATUAL]]))</f>
        <v>1</v>
      </c>
      <c r="Z57" s="45">
        <f>IF(tabAlmoco[[#This Row],[MOTORISTA]]&lt;&gt;0,15,"")</f>
        <v>15</v>
      </c>
      <c r="AA57" s="4" t="str">
        <f>autocompAlmoco[[#This Row],[CORRESP LINHA]]</f>
        <v>GOIANIA (GO) X SAO LUIS (MA)</v>
      </c>
    </row>
    <row r="58" spans="3:27" hidden="1" x14ac:dyDescent="0.25">
      <c r="C58" s="140" t="s">
        <v>226</v>
      </c>
      <c r="D58" s="56" t="str">
        <f>IF(tabAlmoco[[#This Row],[MOTORISTA]]="","",_xlfn.CONCAT(tabAlmoco[[#This Row],[DATA]],"+",tabAlmoco[[#This Row],[MOTORISTA]]))</f>
        <v>45893+LAUCEANDO DA SILVA ROCHA - 6220</v>
      </c>
      <c r="E58" s="56" t="str">
        <f>_xlfn.XLOOKUP(autocompAlmoco[[#This Row],[COMP ESCALA ATUAL]],tabE.Flux[COMP.AT. MOT A],tabE.Flux[LINHA],"NÃO",0,1)</f>
        <v>NÃO</v>
      </c>
      <c r="F58" s="56" t="str">
        <f>_xlfn.XLOOKUP(autocompAlmoco[[#This Row],[COMP ESCALA ATUAL]],tabE.Flux[COMP.AT. MOT B],tabE.Flux[LINHA],"NÃO",0,1)</f>
        <v>GOIANIA (GO) X SAO LUIS (MA)</v>
      </c>
      <c r="G58" s="61" t="str">
        <f>IF(AND(autocompAlmoco[[#This Row],[EXISTE MOT A AT]]="NÃO", autocompAlmoco[[#This Row],[EXISTE MOT B AT]]="NÃO"),"NÃO","SIM")</f>
        <v>SIM</v>
      </c>
      <c r="H58" s="71" t="str">
        <f>IF(autocompAlmoco[[#This Row],[EXISTE ESCALA ATUAL]]="NÃO",_xlfn.CONCAT(tabAlmoco[[#This Row],[DATA]]-1,"+",tabAlmoco[[#This Row],[MOTORISTA]]),"NÃO")</f>
        <v>NÃO</v>
      </c>
      <c r="I58" s="57" t="str">
        <f>IF(autocompAlmoco[[#This Row],[COMP ESCALA ANTERIOR]]="NÃO","NÃO",_xlfn.XLOOKUP(autocompAlmoco[[#This Row],[COMP ESCALA ANTERIOR]],tabE.Flux[COMP.AT. MOT A],tabE.Flux[LINHA],"NÃO",0,1))</f>
        <v>NÃO</v>
      </c>
      <c r="J58" s="58" t="str">
        <f>IF(autocompAlmoco[[#This Row],[COMP ESCALA ANTERIOR]]="NÃO","NÃO",_xlfn.XLOOKUP(autocompAlmoco[[#This Row],[COMP ESCALA ANTERIOR]],tabE.Flux[COMP.AT. MOT B],tabE.Flux[LINHA],"NÃO",0,1))</f>
        <v>NÃO</v>
      </c>
      <c r="K58" s="62" t="str">
        <f>IF(AND(autocompAlmoco[[#This Row],[EXISTE MOT A ANT]]="NÃO",autocompAlmoco[[#This Row],[EXISTE MOT B ANT]]="NÃO"),"NÃO","SIM")</f>
        <v>NÃO</v>
      </c>
      <c r="L58" s="73" t="str">
        <f t="shared" si="1"/>
        <v>45894+LAUCEANDO DA SILVA ROCHA - 6220</v>
      </c>
      <c r="M58" s="59" t="str">
        <f>IF(autocompAlmoco[[#This Row],[COMP ESCALA POSTERIOR]]="NÃO","NÃO",_xlfn.XLOOKUP(autocompAlmoco[[#This Row],[COMP ESCALA POSTERIOR]],tabE.Flux[COMP.AT. MOT A],tabE.Flux[LINHA],"NÃO",0,1))</f>
        <v>NÃO</v>
      </c>
      <c r="N58" s="59" t="str">
        <f>IF(autocompAlmoco[[#This Row],[COMP ESCALA POSTERIOR]]="NÃO","NÃO",_xlfn.XLOOKUP(autocompAlmoco[[#This Row],[COMP ESCALA POSTERIOR]],tabE.Flux[COMP.AT. MOT B],tabE.Flux[LINHA],"NÃO",0,1))</f>
        <v>NÃO</v>
      </c>
      <c r="O58" s="65" t="str">
        <f>IF(AND(autocompAlmoco[[#This Row],[EXISTE MOT A POS]]="NÃO",autocompAlmoco[[#This Row],[EXISTE MOT B POS]]="NÃO"),"NÃO","SIM")</f>
        <v>NÃO</v>
      </c>
      <c r="P58" s="66" t="str" cm="1">
        <f t="array" ref="P5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58" s="75" t="str" cm="1">
        <f t="array" ref="Q5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45893+LAUCEANDO DA SILVA ROCHA - 6220+GOIANIA (GO) X SAO LUIS (MA)</v>
      </c>
      <c r="R58" s="67">
        <f>_xlfn.XLOOKUP(autocompAlmoco[[#This Row],[COMP ESCALA]],tabE.Flux[COMP. ESCALA MOT B],tabE.Flux[CARRO],
(_xlfn.XLOOKUP(autocompAlmoco[[#This Row],[COMP ESCALA]],tabE.Flux[COMP. ESCALA MOT A],tabE.Flux[CARRO],"N/E",0,1)),0,1)</f>
        <v>24005</v>
      </c>
      <c r="S58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58" s="127">
        <v>45893</v>
      </c>
      <c r="U58" s="4">
        <f>IF(IFERROR(autocompAlmoco[[#This Row],[CORRESP. CARRO]],"")="NÃO",(IF(tabAlmoco[[#This Row],[MOTORISTA]]=0,"","PASSE?")),autocompAlmoco[[#This Row],[CORRESP. CARRO]])</f>
        <v>24005</v>
      </c>
      <c r="V58" s="126">
        <f>IF(OR(ISERR(autocompAlmoco[[#This Row],[CORRESP HORARIO]]), autocompAlmoco[[#This Row],[CORRESP HORARIO]]&lt;&gt;"NÃO"),autocompAlmoco[[#This Row],[CORRESP HORARIO]],"")</f>
        <v>0.84375</v>
      </c>
      <c r="W58" s="4" t="s">
        <v>299</v>
      </c>
      <c r="X58" s="4" t="s">
        <v>86</v>
      </c>
      <c r="Y58" s="1">
        <f>IF(tabAlmoco[[#This Row],[MOTORISTA]]="","",COUNTIF(autocompAlmoco[COMP ESCALA ATUAL],autocompAlmoco[[#This Row],[COMP ESCALA ATUAL]]))</f>
        <v>1</v>
      </c>
      <c r="Z58" s="45">
        <f>IF(tabAlmoco[[#This Row],[MOTORISTA]]&lt;&gt;0,15,"")</f>
        <v>15</v>
      </c>
      <c r="AA58" s="4" t="str">
        <f>autocompAlmoco[[#This Row],[CORRESP LINHA]]</f>
        <v>GOIANIA (GO) X SAO LUIS (MA)</v>
      </c>
    </row>
    <row r="59" spans="3:27" hidden="1" x14ac:dyDescent="0.25">
      <c r="C59" s="140" t="s">
        <v>226</v>
      </c>
      <c r="D59" s="56" t="str">
        <f>IF(tabAlmoco[[#This Row],[MOTORISTA]]="","",_xlfn.CONCAT(tabAlmoco[[#This Row],[DATA]],"+",tabAlmoco[[#This Row],[MOTORISTA]]))</f>
        <v>45893+EDIMILSON LUIS FRANÇA - 5442</v>
      </c>
      <c r="E59" s="56" t="str">
        <f>_xlfn.XLOOKUP(autocompAlmoco[[#This Row],[COMP ESCALA ATUAL]],tabE.Flux[COMP.AT. MOT A],tabE.Flux[LINHA],"NÃO",0,1)</f>
        <v>NÃO</v>
      </c>
      <c r="F59" s="56" t="str">
        <f>_xlfn.XLOOKUP(autocompAlmoco[[#This Row],[COMP ESCALA ATUAL]],tabE.Flux[COMP.AT. MOT B],tabE.Flux[LINHA],"NÃO",0,1)</f>
        <v>FORTALEZA (CE) X SINOP (MT)</v>
      </c>
      <c r="G59" s="61" t="str">
        <f>IF(AND(autocompAlmoco[[#This Row],[EXISTE MOT A AT]]="NÃO", autocompAlmoco[[#This Row],[EXISTE MOT B AT]]="NÃO"),"NÃO","SIM")</f>
        <v>SIM</v>
      </c>
      <c r="H59" s="71" t="str">
        <f>IF(autocompAlmoco[[#This Row],[EXISTE ESCALA ATUAL]]="NÃO",_xlfn.CONCAT(tabAlmoco[[#This Row],[DATA]]-1,"+",tabAlmoco[[#This Row],[MOTORISTA]]),"NÃO")</f>
        <v>NÃO</v>
      </c>
      <c r="I59" s="57" t="str">
        <f>IF(autocompAlmoco[[#This Row],[COMP ESCALA ANTERIOR]]="NÃO","NÃO",_xlfn.XLOOKUP(autocompAlmoco[[#This Row],[COMP ESCALA ANTERIOR]],tabE.Flux[COMP.AT. MOT A],tabE.Flux[LINHA],"NÃO",0,1))</f>
        <v>NÃO</v>
      </c>
      <c r="J59" s="58" t="str">
        <f>IF(autocompAlmoco[[#This Row],[COMP ESCALA ANTERIOR]]="NÃO","NÃO",_xlfn.XLOOKUP(autocompAlmoco[[#This Row],[COMP ESCALA ANTERIOR]],tabE.Flux[COMP.AT. MOT B],tabE.Flux[LINHA],"NÃO",0,1))</f>
        <v>NÃO</v>
      </c>
      <c r="K59" s="62" t="str">
        <f>IF(AND(autocompAlmoco[[#This Row],[EXISTE MOT A ANT]]="NÃO",autocompAlmoco[[#This Row],[EXISTE MOT B ANT]]="NÃO"),"NÃO","SIM")</f>
        <v>NÃO</v>
      </c>
      <c r="L59" s="73" t="str">
        <f t="shared" si="1"/>
        <v>45894+EDIMILSON LUIS FRANÇA - 5442</v>
      </c>
      <c r="M59" s="59" t="str">
        <f>IF(autocompAlmoco[[#This Row],[COMP ESCALA POSTERIOR]]="NÃO","NÃO",_xlfn.XLOOKUP(autocompAlmoco[[#This Row],[COMP ESCALA POSTERIOR]],tabE.Flux[COMP.AT. MOT A],tabE.Flux[LINHA],"NÃO",0,1))</f>
        <v>NÃO</v>
      </c>
      <c r="N59" s="59" t="str">
        <f>IF(autocompAlmoco[[#This Row],[COMP ESCALA POSTERIOR]]="NÃO","NÃO",_xlfn.XLOOKUP(autocompAlmoco[[#This Row],[COMP ESCALA POSTERIOR]],tabE.Flux[COMP.AT. MOT B],tabE.Flux[LINHA],"NÃO",0,1))</f>
        <v>NÃO</v>
      </c>
      <c r="O59" s="65" t="str">
        <f>IF(AND(autocompAlmoco[[#This Row],[EXISTE MOT A POS]]="NÃO",autocompAlmoco[[#This Row],[EXISTE MOT B POS]]="NÃO"),"NÃO","SIM")</f>
        <v>NÃO</v>
      </c>
      <c r="P59" s="66" t="str" cm="1">
        <f t="array" ref="P5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59" s="75" t="str" cm="1">
        <f t="array" ref="Q5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45893+EDIMILSON LUIS FRANÇA - 5442+FORTALEZA (CE) X SINOP (MT)</v>
      </c>
      <c r="R59" s="67">
        <f>_xlfn.XLOOKUP(autocompAlmoco[[#This Row],[COMP ESCALA]],tabE.Flux[COMP. ESCALA MOT B],tabE.Flux[CARRO],
(_xlfn.XLOOKUP(autocompAlmoco[[#This Row],[COMP ESCALA]],tabE.Flux[COMP. ESCALA MOT A],tabE.Flux[CARRO],"N/E",0,1)),0,1)</f>
        <v>19009</v>
      </c>
      <c r="S59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59" s="127">
        <v>45893</v>
      </c>
      <c r="U59" s="4">
        <f>IF(IFERROR(autocompAlmoco[[#This Row],[CORRESP. CARRO]],"")="NÃO",(IF(tabAlmoco[[#This Row],[MOTORISTA]]=0,"","PASSE?")),autocompAlmoco[[#This Row],[CORRESP. CARRO]])</f>
        <v>19009</v>
      </c>
      <c r="V59" s="126">
        <f>IF(OR(ISERR(autocompAlmoco[[#This Row],[CORRESP HORARIO]]), autocompAlmoco[[#This Row],[CORRESP HORARIO]]&lt;&gt;"NÃO"),autocompAlmoco[[#This Row],[CORRESP HORARIO]],"")</f>
        <v>0.37708333333333333</v>
      </c>
      <c r="W59" s="4" t="s">
        <v>299</v>
      </c>
      <c r="X59" s="4" t="s">
        <v>89</v>
      </c>
      <c r="Y59" s="1">
        <f>IF(tabAlmoco[[#This Row],[MOTORISTA]]="","",COUNTIF(autocompAlmoco[COMP ESCALA ATUAL],autocompAlmoco[[#This Row],[COMP ESCALA ATUAL]]))</f>
        <v>1</v>
      </c>
      <c r="Z59" s="45">
        <f>IF(tabAlmoco[[#This Row],[MOTORISTA]]&lt;&gt;0,15,"")</f>
        <v>15</v>
      </c>
      <c r="AA59" s="4" t="str">
        <f>autocompAlmoco[[#This Row],[CORRESP LINHA]]</f>
        <v>FORTALEZA (CE) X SINOP (MT)</v>
      </c>
    </row>
    <row r="60" spans="3:27" hidden="1" x14ac:dyDescent="0.25">
      <c r="C60" s="140" t="s">
        <v>226</v>
      </c>
      <c r="D60" s="56" t="str">
        <f>IF(tabAlmoco[[#This Row],[MOTORISTA]]="","",_xlfn.CONCAT(tabAlmoco[[#This Row],[DATA]],"+",tabAlmoco[[#This Row],[MOTORISTA]]))</f>
        <v>45893+ESIEL COSTA RODRIGUES - 1749</v>
      </c>
      <c r="E60" s="56" t="str">
        <f>_xlfn.XLOOKUP(autocompAlmoco[[#This Row],[COMP ESCALA ATUAL]],tabE.Flux[COMP.AT. MOT A],tabE.Flux[LINHA],"NÃO",0,1)</f>
        <v>NÃO</v>
      </c>
      <c r="F60" s="56" t="str">
        <f>_xlfn.XLOOKUP(autocompAlmoco[[#This Row],[COMP ESCALA ATUAL]],tabE.Flux[COMP.AT. MOT B],tabE.Flux[LINHA],"NÃO",0,1)</f>
        <v>NÃO</v>
      </c>
      <c r="G60" s="61" t="str">
        <f>IF(AND(autocompAlmoco[[#This Row],[EXISTE MOT A AT]]="NÃO", autocompAlmoco[[#This Row],[EXISTE MOT B AT]]="NÃO"),"NÃO","SIM")</f>
        <v>NÃO</v>
      </c>
      <c r="H60" s="71" t="str">
        <f>IF(autocompAlmoco[[#This Row],[EXISTE ESCALA ATUAL]]="NÃO",_xlfn.CONCAT(tabAlmoco[[#This Row],[DATA]]-1,"+",tabAlmoco[[#This Row],[MOTORISTA]]),"NÃO")</f>
        <v>45892+ESIEL COSTA RODRIGUES - 1749</v>
      </c>
      <c r="I60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60" s="58" t="str">
        <f>IF(autocompAlmoco[[#This Row],[COMP ESCALA ANTERIOR]]="NÃO","NÃO",_xlfn.XLOOKUP(autocompAlmoco[[#This Row],[COMP ESCALA ANTERIOR]],tabE.Flux[COMP.AT. MOT B],tabE.Flux[LINHA],"NÃO",0,1))</f>
        <v>NÃO</v>
      </c>
      <c r="K60" s="62" t="str">
        <f>IF(AND(autocompAlmoco[[#This Row],[EXISTE MOT A ANT]]="NÃO",autocompAlmoco[[#This Row],[EXISTE MOT B ANT]]="NÃO"),"NÃO","SIM")</f>
        <v>SIM</v>
      </c>
      <c r="L60" s="73" t="str">
        <f t="shared" si="1"/>
        <v>45894+ESIEL COSTA RODRIGUES - 1749</v>
      </c>
      <c r="M60" s="59" t="str">
        <f>IF(autocompAlmoco[[#This Row],[COMP ESCALA POSTERIOR]]="NÃO","NÃO",_xlfn.XLOOKUP(autocompAlmoco[[#This Row],[COMP ESCALA POSTERIOR]],tabE.Flux[COMP.AT. MOT A],tabE.Flux[LINHA],"NÃO",0,1))</f>
        <v>NÃO</v>
      </c>
      <c r="N60" s="59" t="str">
        <f>IF(autocompAlmoco[[#This Row],[COMP ESCALA POSTERIOR]]="NÃO","NÃO",_xlfn.XLOOKUP(autocompAlmoco[[#This Row],[COMP ESCALA POSTERIOR]],tabE.Flux[COMP.AT. MOT B],tabE.Flux[LINHA],"NÃO",0,1))</f>
        <v>NÃO</v>
      </c>
      <c r="O60" s="65" t="str">
        <f>IF(AND(autocompAlmoco[[#This Row],[EXISTE MOT A POS]]="NÃO",autocompAlmoco[[#This Row],[EXISTE MOT B POS]]="NÃO"),"NÃO","SIM")</f>
        <v>NÃO</v>
      </c>
      <c r="P60" s="66" t="str" cm="1">
        <f t="array" ref="P6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60" s="75" t="str" cm="1">
        <f t="array" ref="Q6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45892+ESIEL COSTA RODRIGUES - 1749+GOIANIA (GO) X TERESINA (PI) VIA STI</v>
      </c>
      <c r="R60" s="67">
        <f>_xlfn.XLOOKUP(autocompAlmoco[[#This Row],[COMP ESCALA]],tabE.Flux[COMP. ESCALA MOT B],tabE.Flux[CARRO],
(_xlfn.XLOOKUP(autocompAlmoco[[#This Row],[COMP ESCALA]],tabE.Flux[COMP. ESCALA MOT A],tabE.Flux[CARRO],"N/E",0,1)),0,1)</f>
        <v>19008</v>
      </c>
      <c r="S60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60" s="127">
        <v>45893</v>
      </c>
      <c r="U60" s="4">
        <f>IF(IFERROR(autocompAlmoco[[#This Row],[CORRESP. CARRO]],"")="NÃO",(IF(tabAlmoco[[#This Row],[MOTORISTA]]=0,"","PASSE?")),autocompAlmoco[[#This Row],[CORRESP. CARRO]])</f>
        <v>19008</v>
      </c>
      <c r="V60" s="126">
        <f>IF(OR(ISERR(autocompAlmoco[[#This Row],[CORRESP HORARIO]]), autocompAlmoco[[#This Row],[CORRESP HORARIO]]&lt;&gt;"NÃO"),autocompAlmoco[[#This Row],[CORRESP HORARIO]],"")</f>
        <v>0.79861111111111116</v>
      </c>
      <c r="W60" s="4" t="s">
        <v>299</v>
      </c>
      <c r="X60" s="4" t="s">
        <v>46</v>
      </c>
      <c r="Y60" s="1">
        <f>IF(tabAlmoco[[#This Row],[MOTORISTA]]="","",COUNTIF(autocompAlmoco[COMP ESCALA ATUAL],autocompAlmoco[[#This Row],[COMP ESCALA ATUAL]]))</f>
        <v>1</v>
      </c>
      <c r="Z60" s="45">
        <f>IF(tabAlmoco[[#This Row],[MOTORISTA]]&lt;&gt;0,15,"")</f>
        <v>15</v>
      </c>
      <c r="AA60" s="4" t="str">
        <f>autocompAlmoco[[#This Row],[CORRESP LINHA]]</f>
        <v>GOIANIA (GO) X TERESINA (PI) VIA STI</v>
      </c>
    </row>
    <row r="61" spans="3:27" hidden="1" x14ac:dyDescent="0.25">
      <c r="C61" s="140" t="s">
        <v>226</v>
      </c>
      <c r="D61" s="56" t="str">
        <f>IF(tabAlmoco[[#This Row],[MOTORISTA]]="","",_xlfn.CONCAT(tabAlmoco[[#This Row],[DATA]],"+",tabAlmoco[[#This Row],[MOTORISTA]]))</f>
        <v>45893+JARDEL DE SOUSA OLIVEIRA - 5992</v>
      </c>
      <c r="E61" s="56" t="str">
        <f>_xlfn.XLOOKUP(autocompAlmoco[[#This Row],[COMP ESCALA ATUAL]],tabE.Flux[COMP.AT. MOT A],tabE.Flux[LINHA],"NÃO",0,1)</f>
        <v>NÃO</v>
      </c>
      <c r="F61" s="56" t="str">
        <f>_xlfn.XLOOKUP(autocompAlmoco[[#This Row],[COMP ESCALA ATUAL]],tabE.Flux[COMP.AT. MOT B],tabE.Flux[LINHA],"NÃO",0,1)</f>
        <v>IMPERATRIZ (MA) X SÃO LUIS (MA)</v>
      </c>
      <c r="G61" s="61" t="str">
        <f>IF(AND(autocompAlmoco[[#This Row],[EXISTE MOT A AT]]="NÃO", autocompAlmoco[[#This Row],[EXISTE MOT B AT]]="NÃO"),"NÃO","SIM")</f>
        <v>SIM</v>
      </c>
      <c r="H61" s="71" t="str">
        <f>IF(autocompAlmoco[[#This Row],[EXISTE ESCALA ATUAL]]="NÃO",_xlfn.CONCAT(tabAlmoco[[#This Row],[DATA]]-1,"+",tabAlmoco[[#This Row],[MOTORISTA]]),"NÃO")</f>
        <v>NÃO</v>
      </c>
      <c r="I61" s="57" t="str">
        <f>IF(autocompAlmoco[[#This Row],[COMP ESCALA ANTERIOR]]="NÃO","NÃO",_xlfn.XLOOKUP(autocompAlmoco[[#This Row],[COMP ESCALA ANTERIOR]],tabE.Flux[COMP.AT. MOT A],tabE.Flux[LINHA],"NÃO",0,1))</f>
        <v>NÃO</v>
      </c>
      <c r="J61" s="58" t="str">
        <f>IF(autocompAlmoco[[#This Row],[COMP ESCALA ANTERIOR]]="NÃO","NÃO",_xlfn.XLOOKUP(autocompAlmoco[[#This Row],[COMP ESCALA ANTERIOR]],tabE.Flux[COMP.AT. MOT B],tabE.Flux[LINHA],"NÃO",0,1))</f>
        <v>NÃO</v>
      </c>
      <c r="K61" s="62" t="str">
        <f>IF(AND(autocompAlmoco[[#This Row],[EXISTE MOT A ANT]]="NÃO",autocompAlmoco[[#This Row],[EXISTE MOT B ANT]]="NÃO"),"NÃO","SIM")</f>
        <v>NÃO</v>
      </c>
      <c r="L61" s="73" t="str">
        <f t="shared" si="1"/>
        <v>45894+JARDEL DE SOUSA OLIVEIRA - 5992</v>
      </c>
      <c r="M61" s="59" t="str">
        <f>IF(autocompAlmoco[[#This Row],[COMP ESCALA POSTERIOR]]="NÃO","NÃO",_xlfn.XLOOKUP(autocompAlmoco[[#This Row],[COMP ESCALA POSTERIOR]],tabE.Flux[COMP.AT. MOT A],tabE.Flux[LINHA],"NÃO",0,1))</f>
        <v>NÃO</v>
      </c>
      <c r="N61" s="59" t="str">
        <f>IF(autocompAlmoco[[#This Row],[COMP ESCALA POSTERIOR]]="NÃO","NÃO",_xlfn.XLOOKUP(autocompAlmoco[[#This Row],[COMP ESCALA POSTERIOR]],tabE.Flux[COMP.AT. MOT B],tabE.Flux[LINHA],"NÃO",0,1))</f>
        <v>NÃO</v>
      </c>
      <c r="O61" s="65" t="str">
        <f>IF(AND(autocompAlmoco[[#This Row],[EXISTE MOT A POS]]="NÃO",autocompAlmoco[[#This Row],[EXISTE MOT B POS]]="NÃO"),"NÃO","SIM")</f>
        <v>NÃO</v>
      </c>
      <c r="P61" s="66" t="str" cm="1">
        <f t="array" ref="P6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IMPERATRIZ (MA) X SÃO LUIS (MA)</v>
      </c>
      <c r="Q61" s="75" t="str" cm="1">
        <f t="array" ref="Q6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45893+JARDEL DE SOUSA OLIVEIRA - 5992+IMPERATRIZ (MA) X SÃO LUIS (MA)</v>
      </c>
      <c r="R61" s="67">
        <f>_xlfn.XLOOKUP(autocompAlmoco[[#This Row],[COMP ESCALA]],tabE.Flux[COMP. ESCALA MOT B],tabE.Flux[CARRO],
(_xlfn.XLOOKUP(autocompAlmoco[[#This Row],[COMP ESCALA]],tabE.Flux[COMP. ESCALA MOT A],tabE.Flux[CARRO],"N/E",0,1)),0,1)</f>
        <v>18008</v>
      </c>
      <c r="S61" s="130">
        <f>_xlfn.XLOOKUP(autocompAlmoco[[#This Row],[COMP ESCALA]],tabE.Flux[COMP. ESCALA MOT A],tabE.Flux[HORARIO],(_xlfn.XLOOKUP(autocompAlmoco[[#This Row],[COMP ESCALA]],tabE.Flux[COMP. ESCALA MOT B],tabE.Flux[HORARIO],"N/E",0,1)),0,1)</f>
        <v>0.79513888888888884</v>
      </c>
      <c r="T61" s="127">
        <v>45893</v>
      </c>
      <c r="U61" s="4">
        <f>IF(IFERROR(autocompAlmoco[[#This Row],[CORRESP. CARRO]],"")="NÃO",(IF(tabAlmoco[[#This Row],[MOTORISTA]]=0,"","PASSE?")),autocompAlmoco[[#This Row],[CORRESP. CARRO]])</f>
        <v>18008</v>
      </c>
      <c r="V61" s="126">
        <f>IF(OR(ISERR(autocompAlmoco[[#This Row],[CORRESP HORARIO]]), autocompAlmoco[[#This Row],[CORRESP HORARIO]]&lt;&gt;"NÃO"),autocompAlmoco[[#This Row],[CORRESP HORARIO]],"")</f>
        <v>0.79513888888888884</v>
      </c>
      <c r="W61" s="4" t="s">
        <v>299</v>
      </c>
      <c r="X61" s="4" t="s">
        <v>150</v>
      </c>
      <c r="Y61" s="1">
        <f>IF(tabAlmoco[[#This Row],[MOTORISTA]]="","",COUNTIF(autocompAlmoco[COMP ESCALA ATUAL],autocompAlmoco[[#This Row],[COMP ESCALA ATUAL]]))</f>
        <v>1</v>
      </c>
      <c r="Z61" s="45">
        <f>IF(tabAlmoco[[#This Row],[MOTORISTA]]&lt;&gt;0,15,"")</f>
        <v>15</v>
      </c>
      <c r="AA61" s="4" t="str">
        <f>autocompAlmoco[[#This Row],[CORRESP LINHA]]</f>
        <v>IMPERATRIZ (MA) X SÃO LUIS (MA)</v>
      </c>
    </row>
    <row r="62" spans="3:27" hidden="1" x14ac:dyDescent="0.25">
      <c r="C62" s="140" t="s">
        <v>226</v>
      </c>
      <c r="D62" s="56" t="str">
        <f>IF(tabAlmoco[[#This Row],[MOTORISTA]]="","",_xlfn.CONCAT(tabAlmoco[[#This Row],[DATA]],"+",tabAlmoco[[#This Row],[MOTORISTA]]))</f>
        <v>45893+VALDEY OLIVEIRA ARAUJO - 2790</v>
      </c>
      <c r="E62" s="56" t="str">
        <f>_xlfn.XLOOKUP(autocompAlmoco[[#This Row],[COMP ESCALA ATUAL]],tabE.Flux[COMP.AT. MOT A],tabE.Flux[LINHA],"NÃO",0,1)</f>
        <v>NÃO</v>
      </c>
      <c r="F62" s="56" t="str">
        <f>_xlfn.XLOOKUP(autocompAlmoco[[#This Row],[COMP ESCALA ATUAL]],tabE.Flux[COMP.AT. MOT B],tabE.Flux[LINHA],"NÃO",0,1)</f>
        <v>NÃO</v>
      </c>
      <c r="G62" s="61" t="str">
        <f>IF(AND(autocompAlmoco[[#This Row],[EXISTE MOT A AT]]="NÃO", autocompAlmoco[[#This Row],[EXISTE MOT B AT]]="NÃO"),"NÃO","SIM")</f>
        <v>NÃO</v>
      </c>
      <c r="H62" s="71" t="str">
        <f>IF(autocompAlmoco[[#This Row],[EXISTE ESCALA ATUAL]]="NÃO",_xlfn.CONCAT(tabAlmoco[[#This Row],[DATA]]-1,"+",tabAlmoco[[#This Row],[MOTORISTA]]),"NÃO")</f>
        <v>45892+VALDEY OLIVEIRA ARAUJO - 2790</v>
      </c>
      <c r="I62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62" s="58" t="str">
        <f>IF(autocompAlmoco[[#This Row],[COMP ESCALA ANTERIOR]]="NÃO","NÃO",_xlfn.XLOOKUP(autocompAlmoco[[#This Row],[COMP ESCALA ANTERIOR]],tabE.Flux[COMP.AT. MOT B],tabE.Flux[LINHA],"NÃO",0,1))</f>
        <v>NÃO</v>
      </c>
      <c r="K62" s="62" t="str">
        <f>IF(AND(autocompAlmoco[[#This Row],[EXISTE MOT A ANT]]="NÃO",autocompAlmoco[[#This Row],[EXISTE MOT B ANT]]="NÃO"),"NÃO","SIM")</f>
        <v>SIM</v>
      </c>
      <c r="L62" s="73" t="str">
        <f t="shared" si="1"/>
        <v>45894+VALDEY OLIVEIRA ARAUJO - 2790</v>
      </c>
      <c r="M62" s="59" t="str">
        <f>IF(autocompAlmoco[[#This Row],[COMP ESCALA POSTERIOR]]="NÃO","NÃO",_xlfn.XLOOKUP(autocompAlmoco[[#This Row],[COMP ESCALA POSTERIOR]],tabE.Flux[COMP.AT. MOT A],tabE.Flux[LINHA],"NÃO",0,1))</f>
        <v>NÃO</v>
      </c>
      <c r="N62" s="59" t="str">
        <f>IF(autocompAlmoco[[#This Row],[COMP ESCALA POSTERIOR]]="NÃO","NÃO",_xlfn.XLOOKUP(autocompAlmoco[[#This Row],[COMP ESCALA POSTERIOR]],tabE.Flux[COMP.AT. MOT B],tabE.Flux[LINHA],"NÃO",0,1))</f>
        <v>GOIANIA (GO) X BELEM (PA)</v>
      </c>
      <c r="O62" s="65" t="str">
        <f>IF(AND(autocompAlmoco[[#This Row],[EXISTE MOT A POS]]="NÃO",autocompAlmoco[[#This Row],[EXISTE MOT B POS]]="NÃO"),"NÃO","SIM")</f>
        <v>SIM</v>
      </c>
      <c r="P62" s="66" t="str" cm="1">
        <f t="array" ref="P6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62" s="75" t="str" cm="1">
        <f t="array" ref="Q6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45892+VALDEY OLIVEIRA ARAUJO - 2790+FORTALEZA (CE) X SINOP (MT)</v>
      </c>
      <c r="R62" s="67">
        <f>_xlfn.XLOOKUP(autocompAlmoco[[#This Row],[COMP ESCALA]],tabE.Flux[COMP. ESCALA MOT B],tabE.Flux[CARRO],
(_xlfn.XLOOKUP(autocompAlmoco[[#This Row],[COMP ESCALA]],tabE.Flux[COMP. ESCALA MOT A],tabE.Flux[CARRO],"N/E",0,1)),0,1)</f>
        <v>19003</v>
      </c>
      <c r="S62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62" s="127">
        <v>45893</v>
      </c>
      <c r="U62" s="4">
        <f>IF(IFERROR(autocompAlmoco[[#This Row],[CORRESP. CARRO]],"")="NÃO",(IF(tabAlmoco[[#This Row],[MOTORISTA]]=0,"","PASSE?")),autocompAlmoco[[#This Row],[CORRESP. CARRO]])</f>
        <v>19003</v>
      </c>
      <c r="V62" s="128">
        <f>IF(OR(ISERR(autocompAlmoco[[#This Row],[CORRESP HORARIO]]), autocompAlmoco[[#This Row],[CORRESP HORARIO]]&lt;&gt;"NÃO"),autocompAlmoco[[#This Row],[CORRESP HORARIO]],"")</f>
        <v>0.37708333333333333</v>
      </c>
      <c r="W62" s="4" t="s">
        <v>299</v>
      </c>
      <c r="X62" s="4" t="s">
        <v>34</v>
      </c>
      <c r="Y62" s="4">
        <f>IF(tabAlmoco[[#This Row],[MOTORISTA]]="","",COUNTIF(autocompAlmoco[COMP ESCALA ATUAL],autocompAlmoco[[#This Row],[COMP ESCALA ATUAL]]))</f>
        <v>1</v>
      </c>
      <c r="Z62" s="45">
        <f>IF(tabAlmoco[[#This Row],[MOTORISTA]]&lt;&gt;0,15,"")</f>
        <v>15</v>
      </c>
      <c r="AA62" s="4" t="str">
        <f>autocompAlmoco[[#This Row],[CORRESP LINHA]]</f>
        <v>FORTALEZA (CE) X SINOP (MT)</v>
      </c>
    </row>
    <row r="63" spans="3:27" hidden="1" x14ac:dyDescent="0.25">
      <c r="C63" s="140" t="s">
        <v>226</v>
      </c>
      <c r="D63" s="56" t="str">
        <f>IF(tabAlmoco[[#This Row],[MOTORISTA]]="","",_xlfn.CONCAT(tabAlmoco[[#This Row],[DATA]],"+",tabAlmoco[[#This Row],[MOTORISTA]]))</f>
        <v>45893+PAULO ENEAS FARIAS ARAUJO - 6218</v>
      </c>
      <c r="E63" s="56" t="str">
        <f>_xlfn.XLOOKUP(autocompAlmoco[[#This Row],[COMP ESCALA ATUAL]],tabE.Flux[COMP.AT. MOT A],tabE.Flux[LINHA],"NÃO",0,1)</f>
        <v>NÃO</v>
      </c>
      <c r="F63" s="56" t="str">
        <f>_xlfn.XLOOKUP(autocompAlmoco[[#This Row],[COMP ESCALA ATUAL]],tabE.Flux[COMP.AT. MOT B],tabE.Flux[LINHA],"NÃO",0,1)</f>
        <v>GOIANIA (GO) X SAO LUIS (MA)</v>
      </c>
      <c r="G63" s="61" t="str">
        <f>IF(AND(autocompAlmoco[[#This Row],[EXISTE MOT A AT]]="NÃO", autocompAlmoco[[#This Row],[EXISTE MOT B AT]]="NÃO"),"NÃO","SIM")</f>
        <v>SIM</v>
      </c>
      <c r="H63" s="71" t="str">
        <f>IF(autocompAlmoco[[#This Row],[EXISTE ESCALA ATUAL]]="NÃO",_xlfn.CONCAT(tabAlmoco[[#This Row],[DATA]]-1,"+",tabAlmoco[[#This Row],[MOTORISTA]]),"NÃO")</f>
        <v>NÃO</v>
      </c>
      <c r="I63" s="57" t="str">
        <f>IF(autocompAlmoco[[#This Row],[COMP ESCALA ANTERIOR]]="NÃO","NÃO",_xlfn.XLOOKUP(autocompAlmoco[[#This Row],[COMP ESCALA ANTERIOR]],tabE.Flux[COMP.AT. MOT A],tabE.Flux[LINHA],"NÃO",0,1))</f>
        <v>NÃO</v>
      </c>
      <c r="J63" s="58" t="str">
        <f>IF(autocompAlmoco[[#This Row],[COMP ESCALA ANTERIOR]]="NÃO","NÃO",_xlfn.XLOOKUP(autocompAlmoco[[#This Row],[COMP ESCALA ANTERIOR]],tabE.Flux[COMP.AT. MOT B],tabE.Flux[LINHA],"NÃO",0,1))</f>
        <v>NÃO</v>
      </c>
      <c r="K63" s="62" t="str">
        <f>IF(AND(autocompAlmoco[[#This Row],[EXISTE MOT A ANT]]="NÃO",autocompAlmoco[[#This Row],[EXISTE MOT B ANT]]="NÃO"),"NÃO","SIM")</f>
        <v>NÃO</v>
      </c>
      <c r="L63" s="73" t="str">
        <f t="shared" si="1"/>
        <v>45894+PAULO ENEAS FARIAS ARAUJO - 6218</v>
      </c>
      <c r="M63" s="59" t="str">
        <f>IF(autocompAlmoco[[#This Row],[COMP ESCALA POSTERIOR]]="NÃO","NÃO",_xlfn.XLOOKUP(autocompAlmoco[[#This Row],[COMP ESCALA POSTERIOR]],tabE.Flux[COMP.AT. MOT A],tabE.Flux[LINHA],"NÃO",0,1))</f>
        <v>NÃO</v>
      </c>
      <c r="N63" s="59" t="str">
        <f>IF(autocompAlmoco[[#This Row],[COMP ESCALA POSTERIOR]]="NÃO","NÃO",_xlfn.XLOOKUP(autocompAlmoco[[#This Row],[COMP ESCALA POSTERIOR]],tabE.Flux[COMP.AT. MOT B],tabE.Flux[LINHA],"NÃO",0,1))</f>
        <v>NÃO</v>
      </c>
      <c r="O63" s="65" t="str">
        <f>IF(AND(autocompAlmoco[[#This Row],[EXISTE MOT A POS]]="NÃO",autocompAlmoco[[#This Row],[EXISTE MOT B POS]]="NÃO"),"NÃO","SIM")</f>
        <v>NÃO</v>
      </c>
      <c r="P63" s="66" t="str" cm="1">
        <f t="array" ref="P6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63" s="75" t="str" cm="1">
        <f t="array" ref="Q6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45893+PAULO ENEAS FARIAS ARAUJO - 6218+GOIANIA (GO) X SAO LUIS (MA)</v>
      </c>
      <c r="R63" s="67">
        <f>_xlfn.XLOOKUP(autocompAlmoco[[#This Row],[COMP ESCALA]],tabE.Flux[COMP. ESCALA MOT B],tabE.Flux[CARRO],
(_xlfn.XLOOKUP(autocompAlmoco[[#This Row],[COMP ESCALA]],tabE.Flux[COMP. ESCALA MOT A],tabE.Flux[CARRO],"N/E",0,1)),0,1)</f>
        <v>19015</v>
      </c>
      <c r="S63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63" s="125">
        <v>45893</v>
      </c>
      <c r="U63" s="1">
        <f>IF(IFERROR(autocompAlmoco[[#This Row],[CORRESP. CARRO]],"")="NÃO",(IF(tabAlmoco[[#This Row],[MOTORISTA]]=0,"","PASSE?")),autocompAlmoco[[#This Row],[CORRESP. CARRO]])</f>
        <v>19015</v>
      </c>
      <c r="V63" s="126">
        <f>IF(OR(ISERR(autocompAlmoco[[#This Row],[CORRESP HORARIO]]), autocompAlmoco[[#This Row],[CORRESP HORARIO]]&lt;&gt;"NÃO"),autocompAlmoco[[#This Row],[CORRESP HORARIO]],"")</f>
        <v>0.47013888888888888</v>
      </c>
      <c r="W63" s="1" t="s">
        <v>299</v>
      </c>
      <c r="X63" s="1" t="s">
        <v>43</v>
      </c>
      <c r="Y63" s="1">
        <f>IF(tabAlmoco[[#This Row],[MOTORISTA]]="","",COUNTIF(autocompAlmoco[COMP ESCALA ATUAL],autocompAlmoco[[#This Row],[COMP ESCALA ATUAL]]))</f>
        <v>1</v>
      </c>
      <c r="Z63" s="105">
        <f>IF(tabAlmoco[[#This Row],[MOTORISTA]]&lt;&gt;0,15,"")</f>
        <v>15</v>
      </c>
      <c r="AA63" s="1" t="str">
        <f>autocompAlmoco[[#This Row],[CORRESP LINHA]]</f>
        <v>GOIANIA (GO) X SAO LUIS (MA)</v>
      </c>
    </row>
    <row r="64" spans="3:27" hidden="1" x14ac:dyDescent="0.25">
      <c r="C64" s="140" t="s">
        <v>226</v>
      </c>
      <c r="D64" s="56" t="str">
        <f>IF(tabAlmoco[[#This Row],[MOTORISTA]]="","",_xlfn.CONCAT(tabAlmoco[[#This Row],[DATA]],"+",tabAlmoco[[#This Row],[MOTORISTA]]))</f>
        <v>45893+MARCOS ATAIDE SILVA - 1352</v>
      </c>
      <c r="E64" s="56" t="str">
        <f>_xlfn.XLOOKUP(autocompAlmoco[[#This Row],[COMP ESCALA ATUAL]],tabE.Flux[COMP.AT. MOT A],tabE.Flux[LINHA],"NÃO",0,1)</f>
        <v>NÃO</v>
      </c>
      <c r="F64" s="56" t="str">
        <f>_xlfn.XLOOKUP(autocompAlmoco[[#This Row],[COMP ESCALA ATUAL]],tabE.Flux[COMP.AT. MOT B],tabE.Flux[LINHA],"NÃO",0,1)</f>
        <v>GOIANIA (GO) X SAO LUIS (MA)</v>
      </c>
      <c r="G64" s="61" t="str">
        <f>IF(AND(autocompAlmoco[[#This Row],[EXISTE MOT A AT]]="NÃO", autocompAlmoco[[#This Row],[EXISTE MOT B AT]]="NÃO"),"NÃO","SIM")</f>
        <v>SIM</v>
      </c>
      <c r="H64" s="71" t="str">
        <f>IF(autocompAlmoco[[#This Row],[EXISTE ESCALA ATUAL]]="NÃO",_xlfn.CONCAT(tabAlmoco[[#This Row],[DATA]]-1,"+",tabAlmoco[[#This Row],[MOTORISTA]]),"NÃO")</f>
        <v>NÃO</v>
      </c>
      <c r="I64" s="57" t="str">
        <f>IF(autocompAlmoco[[#This Row],[COMP ESCALA ANTERIOR]]="NÃO","NÃO",_xlfn.XLOOKUP(autocompAlmoco[[#This Row],[COMP ESCALA ANTERIOR]],tabE.Flux[COMP.AT. MOT A],tabE.Flux[LINHA],"NÃO",0,1))</f>
        <v>NÃO</v>
      </c>
      <c r="J64" s="58" t="str">
        <f>IF(autocompAlmoco[[#This Row],[COMP ESCALA ANTERIOR]]="NÃO","NÃO",_xlfn.XLOOKUP(autocompAlmoco[[#This Row],[COMP ESCALA ANTERIOR]],tabE.Flux[COMP.AT. MOT B],tabE.Flux[LINHA],"NÃO",0,1))</f>
        <v>NÃO</v>
      </c>
      <c r="K64" s="62" t="str">
        <f>IF(AND(autocompAlmoco[[#This Row],[EXISTE MOT A ANT]]="NÃO",autocompAlmoco[[#This Row],[EXISTE MOT B ANT]]="NÃO"),"NÃO","SIM")</f>
        <v>NÃO</v>
      </c>
      <c r="L64" s="73" t="str">
        <f t="shared" si="1"/>
        <v>45894+MARCOS ATAIDE SILVA - 1352</v>
      </c>
      <c r="M64" s="59" t="str">
        <f>IF(autocompAlmoco[[#This Row],[COMP ESCALA POSTERIOR]]="NÃO","NÃO",_xlfn.XLOOKUP(autocompAlmoco[[#This Row],[COMP ESCALA POSTERIOR]],tabE.Flux[COMP.AT. MOT A],tabE.Flux[LINHA],"NÃO",0,1))</f>
        <v>NÃO</v>
      </c>
      <c r="N64" s="59" t="str">
        <f>IF(autocompAlmoco[[#This Row],[COMP ESCALA POSTERIOR]]="NÃO","NÃO",_xlfn.XLOOKUP(autocompAlmoco[[#This Row],[COMP ESCALA POSTERIOR]],tabE.Flux[COMP.AT. MOT B],tabE.Flux[LINHA],"NÃO",0,1))</f>
        <v>NÃO</v>
      </c>
      <c r="O64" s="65" t="str">
        <f>IF(AND(autocompAlmoco[[#This Row],[EXISTE MOT A POS]]="NÃO",autocompAlmoco[[#This Row],[EXISTE MOT B POS]]="NÃO"),"NÃO","SIM")</f>
        <v>NÃO</v>
      </c>
      <c r="P64" s="66" t="str" cm="1">
        <f t="array" ref="P6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64" s="75" t="str" cm="1">
        <f t="array" ref="Q6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45893+MARCOS ATAIDE SILVA - 1352+GOIANIA (GO) X SAO LUIS (MA)</v>
      </c>
      <c r="R64" s="67">
        <f>_xlfn.XLOOKUP(autocompAlmoco[[#This Row],[COMP ESCALA]],tabE.Flux[COMP. ESCALA MOT B],tabE.Flux[CARRO],
(_xlfn.XLOOKUP(autocompAlmoco[[#This Row],[COMP ESCALA]],tabE.Flux[COMP. ESCALA MOT A],tabE.Flux[CARRO],"N/E",0,1)),0,1)</f>
        <v>25006</v>
      </c>
      <c r="S64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64" s="127">
        <v>45893</v>
      </c>
      <c r="U64" s="4">
        <f>IF(IFERROR(autocompAlmoco[[#This Row],[CORRESP. CARRO]],"")="NÃO",(IF(tabAlmoco[[#This Row],[MOTORISTA]]=0,"","PASSE?")),autocompAlmoco[[#This Row],[CORRESP. CARRO]])</f>
        <v>25006</v>
      </c>
      <c r="V64" s="126">
        <f>IF(OR(ISERR(autocompAlmoco[[#This Row],[CORRESP HORARIO]]), autocompAlmoco[[#This Row],[CORRESP HORARIO]]&lt;&gt;"NÃO"),autocompAlmoco[[#This Row],[CORRESP HORARIO]],"")</f>
        <v>0.79166666666666663</v>
      </c>
      <c r="W64" s="4" t="s">
        <v>299</v>
      </c>
      <c r="X64" s="4" t="s">
        <v>113</v>
      </c>
      <c r="Y64" s="1">
        <f>IF(tabAlmoco[[#This Row],[MOTORISTA]]="","",COUNTIF(autocompAlmoco[COMP ESCALA ATUAL],autocompAlmoco[[#This Row],[COMP ESCALA ATUAL]]))</f>
        <v>1</v>
      </c>
      <c r="Z64" s="45">
        <f>IF(tabAlmoco[[#This Row],[MOTORISTA]]&lt;&gt;0,15,"")</f>
        <v>15</v>
      </c>
      <c r="AA64" s="4" t="str">
        <f>autocompAlmoco[[#This Row],[CORRESP LINHA]]</f>
        <v>GOIANIA (GO) X SAO LUIS (MA)</v>
      </c>
    </row>
    <row r="65" spans="3:27" hidden="1" x14ac:dyDescent="0.25">
      <c r="C65" s="140" t="s">
        <v>226</v>
      </c>
      <c r="D65" s="56" t="str">
        <f>IF(tabAlmoco[[#This Row],[MOTORISTA]]="","",_xlfn.CONCAT(tabAlmoco[[#This Row],[DATA]],"+",tabAlmoco[[#This Row],[MOTORISTA]]))</f>
        <v>45894+REINAN JOSE BORGES SOUSA - 1075</v>
      </c>
      <c r="E65" s="56" t="str">
        <f>_xlfn.XLOOKUP(autocompAlmoco[[#This Row],[COMP ESCALA ATUAL]],tabE.Flux[COMP.AT. MOT A],tabE.Flux[LINHA],"NÃO",0,1)</f>
        <v>NÃO</v>
      </c>
      <c r="F65" s="56" t="str">
        <f>_xlfn.XLOOKUP(autocompAlmoco[[#This Row],[COMP ESCALA ATUAL]],tabE.Flux[COMP.AT. MOT B],tabE.Flux[LINHA],"NÃO",0,1)</f>
        <v>GOIANIA (GO) X SAO LUIS (MA)</v>
      </c>
      <c r="G65" s="61" t="str">
        <f>IF(AND(autocompAlmoco[[#This Row],[EXISTE MOT A AT]]="NÃO", autocompAlmoco[[#This Row],[EXISTE MOT B AT]]="NÃO"),"NÃO","SIM")</f>
        <v>SIM</v>
      </c>
      <c r="H65" s="71" t="str">
        <f>IF(autocompAlmoco[[#This Row],[EXISTE ESCALA ATUAL]]="NÃO",_xlfn.CONCAT(tabAlmoco[[#This Row],[DATA]]-1,"+",tabAlmoco[[#This Row],[MOTORISTA]]),"NÃO")</f>
        <v>NÃO</v>
      </c>
      <c r="I65" s="57" t="str">
        <f>IF(autocompAlmoco[[#This Row],[COMP ESCALA ANTERIOR]]="NÃO","NÃO",_xlfn.XLOOKUP(autocompAlmoco[[#This Row],[COMP ESCALA ANTERIOR]],tabE.Flux[COMP.AT. MOT A],tabE.Flux[LINHA],"NÃO",0,1))</f>
        <v>NÃO</v>
      </c>
      <c r="J65" s="58" t="str">
        <f>IF(autocompAlmoco[[#This Row],[COMP ESCALA ANTERIOR]]="NÃO","NÃO",_xlfn.XLOOKUP(autocompAlmoco[[#This Row],[COMP ESCALA ANTERIOR]],tabE.Flux[COMP.AT. MOT B],tabE.Flux[LINHA],"NÃO",0,1))</f>
        <v>NÃO</v>
      </c>
      <c r="K65" s="62" t="str">
        <f>IF(AND(autocompAlmoco[[#This Row],[EXISTE MOT A ANT]]="NÃO",autocompAlmoco[[#This Row],[EXISTE MOT B ANT]]="NÃO"),"NÃO","SIM")</f>
        <v>NÃO</v>
      </c>
      <c r="L65" s="73" t="str">
        <f t="shared" si="1"/>
        <v>45895+REINAN JOSE BORGES SOUSA - 1075</v>
      </c>
      <c r="M65" s="59" t="str">
        <f>IF(autocompAlmoco[[#This Row],[COMP ESCALA POSTERIOR]]="NÃO","NÃO",_xlfn.XLOOKUP(autocompAlmoco[[#This Row],[COMP ESCALA POSTERIOR]],tabE.Flux[COMP.AT. MOT A],tabE.Flux[LINHA],"NÃO",0,1))</f>
        <v>NÃO</v>
      </c>
      <c r="N65" s="59" t="str">
        <f>IF(autocompAlmoco[[#This Row],[COMP ESCALA POSTERIOR]]="NÃO","NÃO",_xlfn.XLOOKUP(autocompAlmoco[[#This Row],[COMP ESCALA POSTERIOR]],tabE.Flux[COMP.AT. MOT B],tabE.Flux[LINHA],"NÃO",0,1))</f>
        <v>GOIANIA (GO) X SAO LUIS (MA)</v>
      </c>
      <c r="O65" s="65" t="str">
        <f>IF(AND(autocompAlmoco[[#This Row],[EXISTE MOT A POS]]="NÃO",autocompAlmoco[[#This Row],[EXISTE MOT B POS]]="NÃO"),"NÃO","SIM")</f>
        <v>SIM</v>
      </c>
      <c r="P65" s="66" t="str" cm="1">
        <f t="array" ref="P6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65" s="75" t="str" cm="1">
        <f t="array" ref="Q6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45894+REINAN JOSE BORGES SOUSA - 1075+GOIANIA (GO) X SAO LUIS (MA)</v>
      </c>
      <c r="R65" s="67">
        <f>_xlfn.XLOOKUP(autocompAlmoco[[#This Row],[COMP ESCALA]],tabE.Flux[COMP. ESCALA MOT B],tabE.Flux[CARRO],
(_xlfn.XLOOKUP(autocompAlmoco[[#This Row],[COMP ESCALA]],tabE.Flux[COMP. ESCALA MOT A],tabE.Flux[CARRO],"N/E",0,1)),0,1)</f>
        <v>24005</v>
      </c>
      <c r="S65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65" s="127">
        <v>45894</v>
      </c>
      <c r="U65" s="4">
        <f>IF(IFERROR(autocompAlmoco[[#This Row],[CORRESP. CARRO]],"")="NÃO",(IF(tabAlmoco[[#This Row],[MOTORISTA]]=0,"","PASSE?")),autocompAlmoco[[#This Row],[CORRESP. CARRO]])</f>
        <v>24005</v>
      </c>
      <c r="V65" s="126">
        <f>IF(OR(ISERR(autocompAlmoco[[#This Row],[CORRESP HORARIO]]), autocompAlmoco[[#This Row],[CORRESP HORARIO]]&lt;&gt;"NÃO"),autocompAlmoco[[#This Row],[CORRESP HORARIO]],"")</f>
        <v>0.79166666666666663</v>
      </c>
      <c r="W65" s="4" t="s">
        <v>299</v>
      </c>
      <c r="X65" s="4" t="s">
        <v>84</v>
      </c>
      <c r="Y65" s="1">
        <f>IF(tabAlmoco[[#This Row],[MOTORISTA]]="","",COUNTIF(autocompAlmoco[COMP ESCALA ATUAL],autocompAlmoco[[#This Row],[COMP ESCALA ATUAL]]))</f>
        <v>1</v>
      </c>
      <c r="Z65" s="45">
        <f>IF(tabAlmoco[[#This Row],[MOTORISTA]]&lt;&gt;0,15,"")</f>
        <v>15</v>
      </c>
      <c r="AA65" s="4" t="str">
        <f>autocompAlmoco[[#This Row],[CORRESP LINHA]]</f>
        <v>GOIANIA (GO) X SAO LUIS (MA)</v>
      </c>
    </row>
    <row r="66" spans="3:27" hidden="1" x14ac:dyDescent="0.25">
      <c r="C66" s="140" t="s">
        <v>226</v>
      </c>
      <c r="D66" s="56" t="str">
        <f>IF(tabAlmoco[[#This Row],[MOTORISTA]]="","",_xlfn.CONCAT(tabAlmoco[[#This Row],[DATA]],"+",tabAlmoco[[#This Row],[MOTORISTA]]))</f>
        <v>45894+EDIVALDO DE ARAUJO - 6217</v>
      </c>
      <c r="E66" s="56" t="str">
        <f>_xlfn.XLOOKUP(autocompAlmoco[[#This Row],[COMP ESCALA ATUAL]],tabE.Flux[COMP.AT. MOT A],tabE.Flux[LINHA],"NÃO",0,1)</f>
        <v>NÃO</v>
      </c>
      <c r="F66" s="56" t="str">
        <f>_xlfn.XLOOKUP(autocompAlmoco[[#This Row],[COMP ESCALA ATUAL]],tabE.Flux[COMP.AT. MOT B],tabE.Flux[LINHA],"NÃO",0,1)</f>
        <v>GOIANIA (GO) X SAO LUIS (MA)</v>
      </c>
      <c r="G66" s="61" t="str">
        <f>IF(AND(autocompAlmoco[[#This Row],[EXISTE MOT A AT]]="NÃO", autocompAlmoco[[#This Row],[EXISTE MOT B AT]]="NÃO"),"NÃO","SIM")</f>
        <v>SIM</v>
      </c>
      <c r="H66" s="71" t="str">
        <f>IF(autocompAlmoco[[#This Row],[EXISTE ESCALA ATUAL]]="NÃO",_xlfn.CONCAT(tabAlmoco[[#This Row],[DATA]]-1,"+",tabAlmoco[[#This Row],[MOTORISTA]]),"NÃO")</f>
        <v>NÃO</v>
      </c>
      <c r="I66" s="57" t="str">
        <f>IF(autocompAlmoco[[#This Row],[COMP ESCALA ANTERIOR]]="NÃO","NÃO",_xlfn.XLOOKUP(autocompAlmoco[[#This Row],[COMP ESCALA ANTERIOR]],tabE.Flux[COMP.AT. MOT A],tabE.Flux[LINHA],"NÃO",0,1))</f>
        <v>NÃO</v>
      </c>
      <c r="J66" s="58" t="str">
        <f>IF(autocompAlmoco[[#This Row],[COMP ESCALA ANTERIOR]]="NÃO","NÃO",_xlfn.XLOOKUP(autocompAlmoco[[#This Row],[COMP ESCALA ANTERIOR]],tabE.Flux[COMP.AT. MOT B],tabE.Flux[LINHA],"NÃO",0,1))</f>
        <v>NÃO</v>
      </c>
      <c r="K66" s="62" t="str">
        <f>IF(AND(autocompAlmoco[[#This Row],[EXISTE MOT A ANT]]="NÃO",autocompAlmoco[[#This Row],[EXISTE MOT B ANT]]="NÃO"),"NÃO","SIM")</f>
        <v>NÃO</v>
      </c>
      <c r="L66" s="73" t="str">
        <f t="shared" si="1"/>
        <v>45895+EDIVALDO DE ARAUJO - 6217</v>
      </c>
      <c r="M66" s="59" t="str">
        <f>IF(autocompAlmoco[[#This Row],[COMP ESCALA POSTERIOR]]="NÃO","NÃO",_xlfn.XLOOKUP(autocompAlmoco[[#This Row],[COMP ESCALA POSTERIOR]],tabE.Flux[COMP.AT. MOT A],tabE.Flux[LINHA],"NÃO",0,1))</f>
        <v>NÃO</v>
      </c>
      <c r="N66" s="59" t="str">
        <f>IF(autocompAlmoco[[#This Row],[COMP ESCALA POSTERIOR]]="NÃO","NÃO",_xlfn.XLOOKUP(autocompAlmoco[[#This Row],[COMP ESCALA POSTERIOR]],tabE.Flux[COMP.AT. MOT B],tabE.Flux[LINHA],"NÃO",0,1))</f>
        <v>NÃO</v>
      </c>
      <c r="O66" s="65" t="str">
        <f>IF(AND(autocompAlmoco[[#This Row],[EXISTE MOT A POS]]="NÃO",autocompAlmoco[[#This Row],[EXISTE MOT B POS]]="NÃO"),"NÃO","SIM")</f>
        <v>NÃO</v>
      </c>
      <c r="P66" s="66" t="str" cm="1">
        <f t="array" ref="P6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66" s="75" t="str" cm="1">
        <f t="array" ref="Q6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45894+EDIVALDO DE ARAUJO - 6217+GOIANIA (GO) X SAO LUIS (MA)</v>
      </c>
      <c r="R66" s="67">
        <f>_xlfn.XLOOKUP(autocompAlmoco[[#This Row],[COMP ESCALA]],tabE.Flux[COMP. ESCALA MOT B],tabE.Flux[CARRO],
(_xlfn.XLOOKUP(autocompAlmoco[[#This Row],[COMP ESCALA]],tabE.Flux[COMP. ESCALA MOT A],tabE.Flux[CARRO],"N/E",0,1)),0,1)</f>
        <v>19006</v>
      </c>
      <c r="S66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66" s="127">
        <v>45894</v>
      </c>
      <c r="U66" s="4">
        <f>IF(IFERROR(autocompAlmoco[[#This Row],[CORRESP. CARRO]],"")="NÃO",(IF(tabAlmoco[[#This Row],[MOTORISTA]]=0,"","PASSE?")),autocompAlmoco[[#This Row],[CORRESP. CARRO]])</f>
        <v>19006</v>
      </c>
      <c r="V66" s="126">
        <f>IF(OR(ISERR(autocompAlmoco[[#This Row],[CORRESP HORARIO]]), autocompAlmoco[[#This Row],[CORRESP HORARIO]]&lt;&gt;"NÃO"),autocompAlmoco[[#This Row],[CORRESP HORARIO]],"")</f>
        <v>0.47013888888888888</v>
      </c>
      <c r="W66" s="4" t="s">
        <v>299</v>
      </c>
      <c r="X66" s="4" t="s">
        <v>55</v>
      </c>
      <c r="Y66" s="1">
        <f>IF(tabAlmoco[[#This Row],[MOTORISTA]]="","",COUNTIF(autocompAlmoco[COMP ESCALA ATUAL],autocompAlmoco[[#This Row],[COMP ESCALA ATUAL]]))</f>
        <v>1</v>
      </c>
      <c r="Z66" s="45">
        <f>IF(tabAlmoco[[#This Row],[MOTORISTA]]&lt;&gt;0,15,"")</f>
        <v>15</v>
      </c>
      <c r="AA66" s="4" t="str">
        <f>autocompAlmoco[[#This Row],[CORRESP LINHA]]</f>
        <v>GOIANIA (GO) X SAO LUIS (MA)</v>
      </c>
    </row>
    <row r="67" spans="3:27" hidden="1" x14ac:dyDescent="0.25">
      <c r="C67" s="140" t="s">
        <v>226</v>
      </c>
      <c r="D67" s="56" t="str">
        <f>IF(tabAlmoco[[#This Row],[MOTORISTA]]="","",_xlfn.CONCAT(tabAlmoco[[#This Row],[DATA]],"+",tabAlmoco[[#This Row],[MOTORISTA]]))</f>
        <v>45894+JACINTO BATISTA DE SOUSA - 5271</v>
      </c>
      <c r="E67" s="56" t="str">
        <f>_xlfn.XLOOKUP(autocompAlmoco[[#This Row],[COMP ESCALA ATUAL]],tabE.Flux[COMP.AT. MOT A],tabE.Flux[LINHA],"NÃO",0,1)</f>
        <v>NÃO</v>
      </c>
      <c r="F67" s="56" t="str">
        <f>_xlfn.XLOOKUP(autocompAlmoco[[#This Row],[COMP ESCALA ATUAL]],tabE.Flux[COMP.AT. MOT B],tabE.Flux[LINHA],"NÃO",0,1)</f>
        <v>FORTALEZA (CE) X SINOP (MT)</v>
      </c>
      <c r="G67" s="61" t="str">
        <f>IF(AND(autocompAlmoco[[#This Row],[EXISTE MOT A AT]]="NÃO", autocompAlmoco[[#This Row],[EXISTE MOT B AT]]="NÃO"),"NÃO","SIM")</f>
        <v>SIM</v>
      </c>
      <c r="H67" s="71" t="str">
        <f>IF(autocompAlmoco[[#This Row],[EXISTE ESCALA ATUAL]]="NÃO",_xlfn.CONCAT(tabAlmoco[[#This Row],[DATA]]-1,"+",tabAlmoco[[#This Row],[MOTORISTA]]),"NÃO")</f>
        <v>NÃO</v>
      </c>
      <c r="I67" s="57" t="str">
        <f>IF(autocompAlmoco[[#This Row],[COMP ESCALA ANTERIOR]]="NÃO","NÃO",_xlfn.XLOOKUP(autocompAlmoco[[#This Row],[COMP ESCALA ANTERIOR]],tabE.Flux[COMP.AT. MOT A],tabE.Flux[LINHA],"NÃO",0,1))</f>
        <v>NÃO</v>
      </c>
      <c r="J67" s="58" t="str">
        <f>IF(autocompAlmoco[[#This Row],[COMP ESCALA ANTERIOR]]="NÃO","NÃO",_xlfn.XLOOKUP(autocompAlmoco[[#This Row],[COMP ESCALA ANTERIOR]],tabE.Flux[COMP.AT. MOT B],tabE.Flux[LINHA],"NÃO",0,1))</f>
        <v>NÃO</v>
      </c>
      <c r="K67" s="62" t="str">
        <f>IF(AND(autocompAlmoco[[#This Row],[EXISTE MOT A ANT]]="NÃO",autocompAlmoco[[#This Row],[EXISTE MOT B ANT]]="NÃO"),"NÃO","SIM")</f>
        <v>NÃO</v>
      </c>
      <c r="L67" s="73" t="str">
        <f t="shared" si="1"/>
        <v>45895+JACINTO BATISTA DE SOUSA - 5271</v>
      </c>
      <c r="M67" s="59" t="str">
        <f>IF(autocompAlmoco[[#This Row],[COMP ESCALA POSTERIOR]]="NÃO","NÃO",_xlfn.XLOOKUP(autocompAlmoco[[#This Row],[COMP ESCALA POSTERIOR]],tabE.Flux[COMP.AT. MOT A],tabE.Flux[LINHA],"NÃO",0,1))</f>
        <v>NÃO</v>
      </c>
      <c r="N67" s="59" t="str">
        <f>IF(autocompAlmoco[[#This Row],[COMP ESCALA POSTERIOR]]="NÃO","NÃO",_xlfn.XLOOKUP(autocompAlmoco[[#This Row],[COMP ESCALA POSTERIOR]],tabE.Flux[COMP.AT. MOT B],tabE.Flux[LINHA],"NÃO",0,1))</f>
        <v>NÃO</v>
      </c>
      <c r="O67" s="65" t="str">
        <f>IF(AND(autocompAlmoco[[#This Row],[EXISTE MOT A POS]]="NÃO",autocompAlmoco[[#This Row],[EXISTE MOT B POS]]="NÃO"),"NÃO","SIM")</f>
        <v>NÃO</v>
      </c>
      <c r="P67" s="66" t="str" cm="1">
        <f t="array" ref="P6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67" s="75" t="str" cm="1">
        <f t="array" ref="Q6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45894+JACINTO BATISTA DE SOUSA - 5271+FORTALEZA (CE) X SINOP (MT)</v>
      </c>
      <c r="R67" s="67">
        <f>_xlfn.XLOOKUP(autocompAlmoco[[#This Row],[COMP ESCALA]],tabE.Flux[COMP. ESCALA MOT B],tabE.Flux[CARRO],
(_xlfn.XLOOKUP(autocompAlmoco[[#This Row],[COMP ESCALA]],tabE.Flux[COMP. ESCALA MOT A],tabE.Flux[CARRO],"N/E",0,1)),0,1)</f>
        <v>19005</v>
      </c>
      <c r="S67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67" s="127">
        <v>45894</v>
      </c>
      <c r="U67" s="4">
        <f>IF(IFERROR(autocompAlmoco[[#This Row],[CORRESP. CARRO]],"")="NÃO",(IF(tabAlmoco[[#This Row],[MOTORISTA]]=0,"","PASSE?")),autocompAlmoco[[#This Row],[CORRESP. CARRO]])</f>
        <v>19005</v>
      </c>
      <c r="V67" s="126">
        <f>IF(OR(ISERR(autocompAlmoco[[#This Row],[CORRESP HORARIO]]), autocompAlmoco[[#This Row],[CORRESP HORARIO]]&lt;&gt;"NÃO"),autocompAlmoco[[#This Row],[CORRESP HORARIO]],"")</f>
        <v>0.37708333333333333</v>
      </c>
      <c r="W67" s="4" t="s">
        <v>299</v>
      </c>
      <c r="X67" s="4" t="s">
        <v>104</v>
      </c>
      <c r="Y67" s="1">
        <f>IF(tabAlmoco[[#This Row],[MOTORISTA]]="","",COUNTIF(autocompAlmoco[COMP ESCALA ATUAL],autocompAlmoco[[#This Row],[COMP ESCALA ATUAL]]))</f>
        <v>1</v>
      </c>
      <c r="Z67" s="45">
        <f>IF(tabAlmoco[[#This Row],[MOTORISTA]]&lt;&gt;0,15,"")</f>
        <v>15</v>
      </c>
      <c r="AA67" s="4" t="str">
        <f>autocompAlmoco[[#This Row],[CORRESP LINHA]]</f>
        <v>FORTALEZA (CE) X SINOP (MT)</v>
      </c>
    </row>
    <row r="68" spans="3:27" hidden="1" x14ac:dyDescent="0.25">
      <c r="C68" s="140" t="s">
        <v>226</v>
      </c>
      <c r="D68" s="56" t="str">
        <f>IF(tabAlmoco[[#This Row],[MOTORISTA]]="","",_xlfn.CONCAT(tabAlmoco[[#This Row],[DATA]],"+",tabAlmoco[[#This Row],[MOTORISTA]]))</f>
        <v>45894+LEANDRO DE OLIVEIRA MELO - 2151</v>
      </c>
      <c r="E68" s="56" t="str">
        <f>_xlfn.XLOOKUP(autocompAlmoco[[#This Row],[COMP ESCALA ATUAL]],tabE.Flux[COMP.AT. MOT A],tabE.Flux[LINHA],"NÃO",0,1)</f>
        <v>NÃO</v>
      </c>
      <c r="F68" s="56" t="str">
        <f>_xlfn.XLOOKUP(autocompAlmoco[[#This Row],[COMP ESCALA ATUAL]],tabE.Flux[COMP.AT. MOT B],tabE.Flux[LINHA],"NÃO",0,1)</f>
        <v>NÃO</v>
      </c>
      <c r="G68" s="61" t="str">
        <f>IF(AND(autocompAlmoco[[#This Row],[EXISTE MOT A AT]]="NÃO", autocompAlmoco[[#This Row],[EXISTE MOT B AT]]="NÃO"),"NÃO","SIM")</f>
        <v>NÃO</v>
      </c>
      <c r="H68" s="71" t="str">
        <f>IF(autocompAlmoco[[#This Row],[EXISTE ESCALA ATUAL]]="NÃO",_xlfn.CONCAT(tabAlmoco[[#This Row],[DATA]]-1,"+",tabAlmoco[[#This Row],[MOTORISTA]]),"NÃO")</f>
        <v>45893+LEANDRO DE OLIVEIRA MELO - 2151</v>
      </c>
      <c r="I68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68" s="58" t="str">
        <f>IF(autocompAlmoco[[#This Row],[COMP ESCALA ANTERIOR]]="NÃO","NÃO",_xlfn.XLOOKUP(autocompAlmoco[[#This Row],[COMP ESCALA ANTERIOR]],tabE.Flux[COMP.AT. MOT B],tabE.Flux[LINHA],"NÃO",0,1))</f>
        <v>NÃO</v>
      </c>
      <c r="K68" s="62" t="str">
        <f>IF(AND(autocompAlmoco[[#This Row],[EXISTE MOT A ANT]]="NÃO",autocompAlmoco[[#This Row],[EXISTE MOT B ANT]]="NÃO"),"NÃO","SIM")</f>
        <v>SIM</v>
      </c>
      <c r="L68" s="73" t="str">
        <f t="shared" si="1"/>
        <v>45895+LEANDRO DE OLIVEIRA MELO - 2151</v>
      </c>
      <c r="M68" s="59" t="str">
        <f>IF(autocompAlmoco[[#This Row],[COMP ESCALA POSTERIOR]]="NÃO","NÃO",_xlfn.XLOOKUP(autocompAlmoco[[#This Row],[COMP ESCALA POSTERIOR]],tabE.Flux[COMP.AT. MOT A],tabE.Flux[LINHA],"NÃO",0,1))</f>
        <v>NÃO</v>
      </c>
      <c r="N68" s="59" t="str">
        <f>IF(autocompAlmoco[[#This Row],[COMP ESCALA POSTERIOR]]="NÃO","NÃO",_xlfn.XLOOKUP(autocompAlmoco[[#This Row],[COMP ESCALA POSTERIOR]],tabE.Flux[COMP.AT. MOT B],tabE.Flux[LINHA],"NÃO",0,1))</f>
        <v>NÃO</v>
      </c>
      <c r="O68" s="65" t="str">
        <f>IF(AND(autocompAlmoco[[#This Row],[EXISTE MOT A POS]]="NÃO",autocompAlmoco[[#This Row],[EXISTE MOT B POS]]="NÃO"),"NÃO","SIM")</f>
        <v>NÃO</v>
      </c>
      <c r="P68" s="66" t="str" cm="1">
        <f t="array" ref="P6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68" s="75" t="str" cm="1">
        <f t="array" ref="Q6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45893+LEANDRO DE OLIVEIRA MELO - 2151+FORTALEZA (CE) X SINOP (MT)</v>
      </c>
      <c r="R68" s="67">
        <f>_xlfn.XLOOKUP(autocompAlmoco[[#This Row],[COMP ESCALA]],tabE.Flux[COMP. ESCALA MOT B],tabE.Flux[CARRO],
(_xlfn.XLOOKUP(autocompAlmoco[[#This Row],[COMP ESCALA]],tabE.Flux[COMP. ESCALA MOT A],tabE.Flux[CARRO],"N/E",0,1)),0,1)</f>
        <v>19009</v>
      </c>
      <c r="S68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68" s="127">
        <v>45894</v>
      </c>
      <c r="U68" s="4">
        <f>IF(IFERROR(autocompAlmoco[[#This Row],[CORRESP. CARRO]],"")="NÃO",(IF(tabAlmoco[[#This Row],[MOTORISTA]]=0,"","PASSE?")),autocompAlmoco[[#This Row],[CORRESP. CARRO]])</f>
        <v>19009</v>
      </c>
      <c r="V68" s="126">
        <f>IF(OR(ISERR(autocompAlmoco[[#This Row],[CORRESP HORARIO]]), autocompAlmoco[[#This Row],[CORRESP HORARIO]]&lt;&gt;"NÃO"),autocompAlmoco[[#This Row],[CORRESP HORARIO]],"")</f>
        <v>0.37708333333333333</v>
      </c>
      <c r="W68" s="4" t="s">
        <v>299</v>
      </c>
      <c r="X68" s="4" t="s">
        <v>64</v>
      </c>
      <c r="Y68" s="1">
        <f>IF(tabAlmoco[[#This Row],[MOTORISTA]]="","",COUNTIF(autocompAlmoco[COMP ESCALA ATUAL],autocompAlmoco[[#This Row],[COMP ESCALA ATUAL]]))</f>
        <v>1</v>
      </c>
      <c r="Z68" s="45">
        <f>IF(tabAlmoco[[#This Row],[MOTORISTA]]&lt;&gt;0,15,"")</f>
        <v>15</v>
      </c>
      <c r="AA68" s="4" t="str">
        <f>autocompAlmoco[[#This Row],[CORRESP LINHA]]</f>
        <v>FORTALEZA (CE) X SINOP (MT)</v>
      </c>
    </row>
    <row r="69" spans="3:27" hidden="1" x14ac:dyDescent="0.25">
      <c r="C69" s="140" t="s">
        <v>226</v>
      </c>
      <c r="D69" s="56" t="str">
        <f>IF(tabAlmoco[[#This Row],[MOTORISTA]]="","",_xlfn.CONCAT(tabAlmoco[[#This Row],[DATA]],"+",tabAlmoco[[#This Row],[MOTORISTA]]))</f>
        <v>45894+NILSON CORTEZ MIRANDA - 5636</v>
      </c>
      <c r="E69" s="56" t="str">
        <f>_xlfn.XLOOKUP(autocompAlmoco[[#This Row],[COMP ESCALA ATUAL]],tabE.Flux[COMP.AT. MOT A],tabE.Flux[LINHA],"NÃO",0,1)</f>
        <v>NÃO</v>
      </c>
      <c r="F69" s="56" t="str">
        <f>_xlfn.XLOOKUP(autocompAlmoco[[#This Row],[COMP ESCALA ATUAL]],tabE.Flux[COMP.AT. MOT B],tabE.Flux[LINHA],"NÃO",0,1)</f>
        <v>NÃO</v>
      </c>
      <c r="G69" s="61" t="str">
        <f>IF(AND(autocompAlmoco[[#This Row],[EXISTE MOT A AT]]="NÃO", autocompAlmoco[[#This Row],[EXISTE MOT B AT]]="NÃO"),"NÃO","SIM")</f>
        <v>NÃO</v>
      </c>
      <c r="H69" s="71" t="str">
        <f>IF(autocompAlmoco[[#This Row],[EXISTE ESCALA ATUAL]]="NÃO",_xlfn.CONCAT(tabAlmoco[[#This Row],[DATA]]-1,"+",tabAlmoco[[#This Row],[MOTORISTA]]),"NÃO")</f>
        <v>45893+NILSON CORTEZ MIRANDA - 5636</v>
      </c>
      <c r="I69" s="57" t="str">
        <f>IF(autocompAlmoco[[#This Row],[COMP ESCALA ANTERIOR]]="NÃO","NÃO",_xlfn.XLOOKUP(autocompAlmoco[[#This Row],[COMP ESCALA ANTERIOR]],tabE.Flux[COMP.AT. MOT A],tabE.Flux[LINHA],"NÃO",0,1))</f>
        <v>NÃO</v>
      </c>
      <c r="J69" s="58" t="str">
        <f>IF(autocompAlmoco[[#This Row],[COMP ESCALA ANTERIOR]]="NÃO","NÃO",_xlfn.XLOOKUP(autocompAlmoco[[#This Row],[COMP ESCALA ANTERIOR]],tabE.Flux[COMP.AT. MOT B],tabE.Flux[LINHA],"NÃO",0,1))</f>
        <v>NÃO</v>
      </c>
      <c r="K69" s="62" t="str">
        <f>IF(AND(autocompAlmoco[[#This Row],[EXISTE MOT A ANT]]="NÃO",autocompAlmoco[[#This Row],[EXISTE MOT B ANT]]="NÃO"),"NÃO","SIM")</f>
        <v>NÃO</v>
      </c>
      <c r="L69" s="73" t="str">
        <f t="shared" si="1"/>
        <v>45895+NILSON CORTEZ MIRANDA - 5636</v>
      </c>
      <c r="M69" s="59" t="str">
        <f>IF(autocompAlmoco[[#This Row],[COMP ESCALA POSTERIOR]]="NÃO","NÃO",_xlfn.XLOOKUP(autocompAlmoco[[#This Row],[COMP ESCALA POSTERIOR]],tabE.Flux[COMP.AT. MOT A],tabE.Flux[LINHA],"NÃO",0,1))</f>
        <v>NÃO</v>
      </c>
      <c r="N69" s="59" t="str">
        <f>IF(autocompAlmoco[[#This Row],[COMP ESCALA POSTERIOR]]="NÃO","NÃO",_xlfn.XLOOKUP(autocompAlmoco[[#This Row],[COMP ESCALA POSTERIOR]],tabE.Flux[COMP.AT. MOT B],tabE.Flux[LINHA],"NÃO",0,1))</f>
        <v>GOIANIA (GO) X TERESINA (PI) VIA STI</v>
      </c>
      <c r="O69" s="65" t="str">
        <f>IF(AND(autocompAlmoco[[#This Row],[EXISTE MOT A POS]]="NÃO",autocompAlmoco[[#This Row],[EXISTE MOT B POS]]="NÃO"),"NÃO","SIM")</f>
        <v>SIM</v>
      </c>
      <c r="P69" s="66" t="str" cm="1">
        <f t="array" ref="P6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69" s="75" t="str" cm="1">
        <f t="array" ref="Q6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45895+NILSON CORTEZ MIRANDA - 5636+GOIANIA (GO) X TERESINA (PI) VIA STI</v>
      </c>
      <c r="R69" s="67">
        <f>_xlfn.XLOOKUP(autocompAlmoco[[#This Row],[COMP ESCALA]],tabE.Flux[COMP. ESCALA MOT B],tabE.Flux[CARRO],
(_xlfn.XLOOKUP(autocompAlmoco[[#This Row],[COMP ESCALA]],tabE.Flux[COMP. ESCALA MOT A],tabE.Flux[CARRO],"N/E",0,1)),0,1)</f>
        <v>19018</v>
      </c>
      <c r="S69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69" s="127">
        <v>45894</v>
      </c>
      <c r="U69" s="4">
        <f>IF(IFERROR(autocompAlmoco[[#This Row],[CORRESP. CARRO]],"")="NÃO",(IF(tabAlmoco[[#This Row],[MOTORISTA]]=0,"","PASSE?")),autocompAlmoco[[#This Row],[CORRESP. CARRO]])</f>
        <v>19018</v>
      </c>
      <c r="V69" s="128">
        <f>IF(OR(ISERR(autocompAlmoco[[#This Row],[CORRESP HORARIO]]), autocompAlmoco[[#This Row],[CORRESP HORARIO]]&lt;&gt;"NÃO"),autocompAlmoco[[#This Row],[CORRESP HORARIO]],"")</f>
        <v>0.79861111111111116</v>
      </c>
      <c r="W69" s="4" t="s">
        <v>299</v>
      </c>
      <c r="X69" s="4" t="s">
        <v>75</v>
      </c>
      <c r="Y69" s="4">
        <f>IF(tabAlmoco[[#This Row],[MOTORISTA]]="","",COUNTIF(autocompAlmoco[COMP ESCALA ATUAL],autocompAlmoco[[#This Row],[COMP ESCALA ATUAL]]))</f>
        <v>1</v>
      </c>
      <c r="Z69" s="45">
        <f>IF(tabAlmoco[[#This Row],[MOTORISTA]]&lt;&gt;0,15,"")</f>
        <v>15</v>
      </c>
      <c r="AA69" s="4" t="str">
        <f>autocompAlmoco[[#This Row],[CORRESP LINHA]]</f>
        <v>GOIANIA (GO) X TERESINA (PI) VIA STI</v>
      </c>
    </row>
    <row r="70" spans="3:27" hidden="1" x14ac:dyDescent="0.25">
      <c r="C70" s="140" t="s">
        <v>226</v>
      </c>
      <c r="D70" s="56" t="str">
        <f>IF(tabAlmoco[[#This Row],[MOTORISTA]]="","",_xlfn.CONCAT(tabAlmoco[[#This Row],[DATA]],"+",tabAlmoco[[#This Row],[MOTORISTA]]))</f>
        <v>45894+CARLOS ADRIANO DE SOUZA DO NASCIMENTO - 6222</v>
      </c>
      <c r="E70" s="56" t="str">
        <f>_xlfn.XLOOKUP(autocompAlmoco[[#This Row],[COMP ESCALA ATUAL]],tabE.Flux[COMP.AT. MOT A],tabE.Flux[LINHA],"NÃO",0,1)</f>
        <v>GOIANIA (GO) X SAO LUIS (MA)</v>
      </c>
      <c r="F70" s="56" t="str">
        <f>_xlfn.XLOOKUP(autocompAlmoco[[#This Row],[COMP ESCALA ATUAL]],tabE.Flux[COMP.AT. MOT B],tabE.Flux[LINHA],"NÃO",0,1)</f>
        <v>GOIANIA (GO) X SAO LUIS (MA)</v>
      </c>
      <c r="G70" s="61" t="str">
        <f>IF(AND(autocompAlmoco[[#This Row],[EXISTE MOT A AT]]="NÃO", autocompAlmoco[[#This Row],[EXISTE MOT B AT]]="NÃO"),"NÃO","SIM")</f>
        <v>SIM</v>
      </c>
      <c r="H70" s="71" t="str">
        <f>IF(autocompAlmoco[[#This Row],[EXISTE ESCALA ATUAL]]="NÃO",_xlfn.CONCAT(tabAlmoco[[#This Row],[DATA]]-1,"+",tabAlmoco[[#This Row],[MOTORISTA]]),"NÃO")</f>
        <v>NÃO</v>
      </c>
      <c r="I70" s="57" t="str">
        <f>IF(autocompAlmoco[[#This Row],[COMP ESCALA ANTERIOR]]="NÃO","NÃO",_xlfn.XLOOKUP(autocompAlmoco[[#This Row],[COMP ESCALA ANTERIOR]],tabE.Flux[COMP.AT. MOT A],tabE.Flux[LINHA],"NÃO",0,1))</f>
        <v>NÃO</v>
      </c>
      <c r="J70" s="58" t="str">
        <f>IF(autocompAlmoco[[#This Row],[COMP ESCALA ANTERIOR]]="NÃO","NÃO",_xlfn.XLOOKUP(autocompAlmoco[[#This Row],[COMP ESCALA ANTERIOR]],tabE.Flux[COMP.AT. MOT B],tabE.Flux[LINHA],"NÃO",0,1))</f>
        <v>NÃO</v>
      </c>
      <c r="K70" s="62" t="str">
        <f>IF(AND(autocompAlmoco[[#This Row],[EXISTE MOT A ANT]]="NÃO",autocompAlmoco[[#This Row],[EXISTE MOT B ANT]]="NÃO"),"NÃO","SIM")</f>
        <v>NÃO</v>
      </c>
      <c r="L70" s="73" t="str">
        <f t="shared" ref="L70:L101" si="2">_xlfn.CONCAT(T70+1,"+",X70)</f>
        <v>45895+CARLOS ADRIANO DE SOUZA DO NASCIMENTO - 6222</v>
      </c>
      <c r="M70" s="59" t="str">
        <f>IF(autocompAlmoco[[#This Row],[COMP ESCALA POSTERIOR]]="NÃO","NÃO",_xlfn.XLOOKUP(autocompAlmoco[[#This Row],[COMP ESCALA POSTERIOR]],tabE.Flux[COMP.AT. MOT A],tabE.Flux[LINHA],"NÃO",0,1))</f>
        <v>NÃO</v>
      </c>
      <c r="N70" s="59" t="str">
        <f>IF(autocompAlmoco[[#This Row],[COMP ESCALA POSTERIOR]]="NÃO","NÃO",_xlfn.XLOOKUP(autocompAlmoco[[#This Row],[COMP ESCALA POSTERIOR]],tabE.Flux[COMP.AT. MOT B],tabE.Flux[LINHA],"NÃO",0,1))</f>
        <v>NÃO</v>
      </c>
      <c r="O70" s="65" t="str">
        <f>IF(AND(autocompAlmoco[[#This Row],[EXISTE MOT A POS]]="NÃO",autocompAlmoco[[#This Row],[EXISTE MOT B POS]]="NÃO"),"NÃO","SIM")</f>
        <v>NÃO</v>
      </c>
      <c r="P70" s="66" t="str" cm="1">
        <f t="array" ref="P7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70" s="75" t="str" cm="1">
        <f t="array" ref="Q7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45894+CARLOS ADRIANO DE SOUZA DO NASCIMENTO - 6222+GOIANIA (GO) X SAO LUIS (MA)</v>
      </c>
      <c r="R70" s="67">
        <f>_xlfn.XLOOKUP(autocompAlmoco[[#This Row],[COMP ESCALA]],tabE.Flux[COMP. ESCALA MOT B],tabE.Flux[CARRO],
(_xlfn.XLOOKUP(autocompAlmoco[[#This Row],[COMP ESCALA]],tabE.Flux[COMP. ESCALA MOT A],tabE.Flux[CARRO],"N/E",0,1)),0,1)</f>
        <v>24013</v>
      </c>
      <c r="S70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70" s="125">
        <v>45894</v>
      </c>
      <c r="U70" s="1">
        <f>IF(IFERROR(autocompAlmoco[[#This Row],[CORRESP. CARRO]],"")="NÃO",(IF(tabAlmoco[[#This Row],[MOTORISTA]]=0,"","PASSE?")),autocompAlmoco[[#This Row],[CORRESP. CARRO]])</f>
        <v>24013</v>
      </c>
      <c r="V70" s="126">
        <f>IF(OR(ISERR(autocompAlmoco[[#This Row],[CORRESP HORARIO]]), autocompAlmoco[[#This Row],[CORRESP HORARIO]]&lt;&gt;"NÃO"),autocompAlmoco[[#This Row],[CORRESP HORARIO]],"")</f>
        <v>0.29166666666666669</v>
      </c>
      <c r="W70" s="1" t="s">
        <v>299</v>
      </c>
      <c r="X70" s="1" t="s">
        <v>110</v>
      </c>
      <c r="Y70" s="1">
        <f>IF(tabAlmoco[[#This Row],[MOTORISTA]]="","",COUNTIF(autocompAlmoco[COMP ESCALA ATUAL],autocompAlmoco[[#This Row],[COMP ESCALA ATUAL]]))</f>
        <v>1</v>
      </c>
      <c r="Z70" s="105">
        <f>IF(tabAlmoco[[#This Row],[MOTORISTA]]&lt;&gt;0,15,"")</f>
        <v>15</v>
      </c>
      <c r="AA70" s="1" t="str">
        <f>autocompAlmoco[[#This Row],[CORRESP LINHA]]</f>
        <v>GOIANIA (GO) X SAO LUIS (MA)</v>
      </c>
    </row>
    <row r="71" spans="3:27" hidden="1" x14ac:dyDescent="0.25">
      <c r="C71" s="140" t="s">
        <v>226</v>
      </c>
      <c r="D71" s="56" t="str">
        <f>IF(tabAlmoco[[#This Row],[MOTORISTA]]="","",_xlfn.CONCAT(tabAlmoco[[#This Row],[DATA]],"+",tabAlmoco[[#This Row],[MOTORISTA]]))</f>
        <v>45895+JOSE ALVES DE FREITAS NETO - 5027</v>
      </c>
      <c r="E71" s="56" t="str">
        <f>_xlfn.XLOOKUP(autocompAlmoco[[#This Row],[COMP ESCALA ATUAL]],tabE.Flux[COMP.AT. MOT A],tabE.Flux[LINHA],"NÃO",0,1)</f>
        <v>NÃO</v>
      </c>
      <c r="F71" s="56" t="str">
        <f>_xlfn.XLOOKUP(autocompAlmoco[[#This Row],[COMP ESCALA ATUAL]],tabE.Flux[COMP.AT. MOT B],tabE.Flux[LINHA],"NÃO",0,1)</f>
        <v>NÃO</v>
      </c>
      <c r="G71" s="61" t="str">
        <f>IF(AND(autocompAlmoco[[#This Row],[EXISTE MOT A AT]]="NÃO", autocompAlmoco[[#This Row],[EXISTE MOT B AT]]="NÃO"),"NÃO","SIM")</f>
        <v>NÃO</v>
      </c>
      <c r="H71" s="71" t="str">
        <f>IF(autocompAlmoco[[#This Row],[EXISTE ESCALA ATUAL]]="NÃO",_xlfn.CONCAT(tabAlmoco[[#This Row],[DATA]]-1,"+",tabAlmoco[[#This Row],[MOTORISTA]]),"NÃO")</f>
        <v>45894+JOSE ALVES DE FREITAS NETO - 5027</v>
      </c>
      <c r="I71" s="57" t="str">
        <f>IF(autocompAlmoco[[#This Row],[COMP ESCALA ANTERIOR]]="NÃO","NÃO",_xlfn.XLOOKUP(autocompAlmoco[[#This Row],[COMP ESCALA ANTERIOR]],tabE.Flux[COMP.AT. MOT A],tabE.Flux[LINHA],"NÃO",0,1))</f>
        <v>GOIANIA (GO) X SAO LUIS (MA)</v>
      </c>
      <c r="J71" s="58" t="str">
        <f>IF(autocompAlmoco[[#This Row],[COMP ESCALA ANTERIOR]]="NÃO","NÃO",_xlfn.XLOOKUP(autocompAlmoco[[#This Row],[COMP ESCALA ANTERIOR]],tabE.Flux[COMP.AT. MOT B],tabE.Flux[LINHA],"NÃO",0,1))</f>
        <v>NÃO</v>
      </c>
      <c r="K71" s="62" t="str">
        <f>IF(AND(autocompAlmoco[[#This Row],[EXISTE MOT A ANT]]="NÃO",autocompAlmoco[[#This Row],[EXISTE MOT B ANT]]="NÃO"),"NÃO","SIM")</f>
        <v>SIM</v>
      </c>
      <c r="L71" s="73" t="str">
        <f t="shared" si="2"/>
        <v>45896+JOSE ALVES DE FREITAS NETO - 5027</v>
      </c>
      <c r="M71" s="59" t="str">
        <f>IF(autocompAlmoco[[#This Row],[COMP ESCALA POSTERIOR]]="NÃO","NÃO",_xlfn.XLOOKUP(autocompAlmoco[[#This Row],[COMP ESCALA POSTERIOR]],tabE.Flux[COMP.AT. MOT A],tabE.Flux[LINHA],"NÃO",0,1))</f>
        <v>NÃO</v>
      </c>
      <c r="N71" s="59" t="str">
        <f>IF(autocompAlmoco[[#This Row],[COMP ESCALA POSTERIOR]]="NÃO","NÃO",_xlfn.XLOOKUP(autocompAlmoco[[#This Row],[COMP ESCALA POSTERIOR]],tabE.Flux[COMP.AT. MOT B],tabE.Flux[LINHA],"NÃO",0,1))</f>
        <v>NÃO</v>
      </c>
      <c r="O71" s="65" t="str">
        <f>IF(AND(autocompAlmoco[[#This Row],[EXISTE MOT A POS]]="NÃO",autocompAlmoco[[#This Row],[EXISTE MOT B POS]]="NÃO"),"NÃO","SIM")</f>
        <v>NÃO</v>
      </c>
      <c r="P71" s="66" t="str" cm="1">
        <f t="array" ref="P7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71" s="75" t="str" cm="1">
        <f t="array" ref="Q7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45894+JOSE ALVES DE FREITAS NETO - 5027+GOIANIA (GO) X SAO LUIS (MA)</v>
      </c>
      <c r="R71" s="67">
        <f>_xlfn.XLOOKUP(autocompAlmoco[[#This Row],[COMP ESCALA]],tabE.Flux[COMP. ESCALA MOT B],tabE.Flux[CARRO],
(_xlfn.XLOOKUP(autocompAlmoco[[#This Row],[COMP ESCALA]],tabE.Flux[COMP. ESCALA MOT A],tabE.Flux[CARRO],"N/E",0,1)),0,1)</f>
        <v>24013</v>
      </c>
      <c r="S71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71" s="127">
        <v>45895</v>
      </c>
      <c r="U71" s="4">
        <f>IF(IFERROR(autocompAlmoco[[#This Row],[CORRESP. CARRO]],"")="NÃO",(IF(tabAlmoco[[#This Row],[MOTORISTA]]=0,"","PASSE?")),autocompAlmoco[[#This Row],[CORRESP. CARRO]])</f>
        <v>24013</v>
      </c>
      <c r="V71" s="126">
        <f>IF(OR(ISERR(autocompAlmoco[[#This Row],[CORRESP HORARIO]]), autocompAlmoco[[#This Row],[CORRESP HORARIO]]&lt;&gt;"NÃO"),autocompAlmoco[[#This Row],[CORRESP HORARIO]],"")</f>
        <v>0.84375</v>
      </c>
      <c r="W71" s="4" t="s">
        <v>299</v>
      </c>
      <c r="X71" s="4" t="s">
        <v>90</v>
      </c>
      <c r="Y71" s="1">
        <f>IF(tabAlmoco[[#This Row],[MOTORISTA]]="","",COUNTIF(autocompAlmoco[COMP ESCALA ATUAL],autocompAlmoco[[#This Row],[COMP ESCALA ATUAL]]))</f>
        <v>1</v>
      </c>
      <c r="Z71" s="45">
        <f>IF(tabAlmoco[[#This Row],[MOTORISTA]]&lt;&gt;0,15,"")</f>
        <v>15</v>
      </c>
      <c r="AA71" s="4" t="str">
        <f>autocompAlmoco[[#This Row],[CORRESP LINHA]]</f>
        <v>GOIANIA (GO) X SAO LUIS (MA)</v>
      </c>
    </row>
    <row r="72" spans="3:27" hidden="1" x14ac:dyDescent="0.25">
      <c r="C72" s="140" t="s">
        <v>226</v>
      </c>
      <c r="D72" s="56" t="str">
        <f>IF(tabAlmoco[[#This Row],[MOTORISTA]]="","",_xlfn.CONCAT(tabAlmoco[[#This Row],[DATA]],"+",tabAlmoco[[#This Row],[MOTORISTA]]))</f>
        <v>45895+ADEMILTON DE OLIVEIRA SILVA - 5559</v>
      </c>
      <c r="E72" s="56" t="str">
        <f>_xlfn.XLOOKUP(autocompAlmoco[[#This Row],[COMP ESCALA ATUAL]],tabE.Flux[COMP.AT. MOT A],tabE.Flux[LINHA],"NÃO",0,1)</f>
        <v>NÃO</v>
      </c>
      <c r="F72" s="56" t="str">
        <f>_xlfn.XLOOKUP(autocompAlmoco[[#This Row],[COMP ESCALA ATUAL]],tabE.Flux[COMP.AT. MOT B],tabE.Flux[LINHA],"NÃO",0,1)</f>
        <v>GOIANIA (GO) X SAO LUIS (MA)</v>
      </c>
      <c r="G72" s="61" t="str">
        <f>IF(AND(autocompAlmoco[[#This Row],[EXISTE MOT A AT]]="NÃO", autocompAlmoco[[#This Row],[EXISTE MOT B AT]]="NÃO"),"NÃO","SIM")</f>
        <v>SIM</v>
      </c>
      <c r="H72" s="71" t="str">
        <f>IF(autocompAlmoco[[#This Row],[EXISTE ESCALA ATUAL]]="NÃO",_xlfn.CONCAT(tabAlmoco[[#This Row],[DATA]]-1,"+",tabAlmoco[[#This Row],[MOTORISTA]]),"NÃO")</f>
        <v>NÃO</v>
      </c>
      <c r="I72" s="57" t="str">
        <f>IF(autocompAlmoco[[#This Row],[COMP ESCALA ANTERIOR]]="NÃO","NÃO",_xlfn.XLOOKUP(autocompAlmoco[[#This Row],[COMP ESCALA ANTERIOR]],tabE.Flux[COMP.AT. MOT A],tabE.Flux[LINHA],"NÃO",0,1))</f>
        <v>NÃO</v>
      </c>
      <c r="J72" s="58" t="str">
        <f>IF(autocompAlmoco[[#This Row],[COMP ESCALA ANTERIOR]]="NÃO","NÃO",_xlfn.XLOOKUP(autocompAlmoco[[#This Row],[COMP ESCALA ANTERIOR]],tabE.Flux[COMP.AT. MOT B],tabE.Flux[LINHA],"NÃO",0,1))</f>
        <v>NÃO</v>
      </c>
      <c r="K72" s="62" t="str">
        <f>IF(AND(autocompAlmoco[[#This Row],[EXISTE MOT A ANT]]="NÃO",autocompAlmoco[[#This Row],[EXISTE MOT B ANT]]="NÃO"),"NÃO","SIM")</f>
        <v>NÃO</v>
      </c>
      <c r="L72" s="73" t="str">
        <f t="shared" si="2"/>
        <v>45896+ADEMILTON DE OLIVEIRA SILVA - 5559</v>
      </c>
      <c r="M72" s="59" t="str">
        <f>IF(autocompAlmoco[[#This Row],[COMP ESCALA POSTERIOR]]="NÃO","NÃO",_xlfn.XLOOKUP(autocompAlmoco[[#This Row],[COMP ESCALA POSTERIOR]],tabE.Flux[COMP.AT. MOT A],tabE.Flux[LINHA],"NÃO",0,1))</f>
        <v>NÃO</v>
      </c>
      <c r="N72" s="59" t="str">
        <f>IF(autocompAlmoco[[#This Row],[COMP ESCALA POSTERIOR]]="NÃO","NÃO",_xlfn.XLOOKUP(autocompAlmoco[[#This Row],[COMP ESCALA POSTERIOR]],tabE.Flux[COMP.AT. MOT B],tabE.Flux[LINHA],"NÃO",0,1))</f>
        <v>NÃO</v>
      </c>
      <c r="O72" s="65" t="str">
        <f>IF(AND(autocompAlmoco[[#This Row],[EXISTE MOT A POS]]="NÃO",autocompAlmoco[[#This Row],[EXISTE MOT B POS]]="NÃO"),"NÃO","SIM")</f>
        <v>NÃO</v>
      </c>
      <c r="P72" s="66" t="str" cm="1">
        <f t="array" ref="P7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72" s="75" t="str" cm="1">
        <f t="array" ref="Q7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45895+ADEMILTON DE OLIVEIRA SILVA - 5559+GOIANIA (GO) X SAO LUIS (MA)</v>
      </c>
      <c r="R72" s="67">
        <f>_xlfn.XLOOKUP(autocompAlmoco[[#This Row],[COMP ESCALA]],tabE.Flux[COMP. ESCALA MOT B],tabE.Flux[CARRO],
(_xlfn.XLOOKUP(autocompAlmoco[[#This Row],[COMP ESCALA]],tabE.Flux[COMP. ESCALA MOT A],tabE.Flux[CARRO],"N/E",0,1)),0,1)</f>
        <v>19007</v>
      </c>
      <c r="S72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72" s="127">
        <v>45895</v>
      </c>
      <c r="U72" s="4">
        <f>IF(IFERROR(autocompAlmoco[[#This Row],[CORRESP. CARRO]],"")="NÃO",(IF(tabAlmoco[[#This Row],[MOTORISTA]]=0,"","PASSE?")),autocompAlmoco[[#This Row],[CORRESP. CARRO]])</f>
        <v>19007</v>
      </c>
      <c r="V72" s="126">
        <f>IF(OR(ISERR(autocompAlmoco[[#This Row],[CORRESP HORARIO]]), autocompAlmoco[[#This Row],[CORRESP HORARIO]]&lt;&gt;"NÃO"),autocompAlmoco[[#This Row],[CORRESP HORARIO]],"")</f>
        <v>0.29166666666666669</v>
      </c>
      <c r="W72" s="4" t="s">
        <v>299</v>
      </c>
      <c r="X72" s="4" t="s">
        <v>40</v>
      </c>
      <c r="Y72" s="1">
        <f>IF(tabAlmoco[[#This Row],[MOTORISTA]]="","",COUNTIF(autocompAlmoco[COMP ESCALA ATUAL],autocompAlmoco[[#This Row],[COMP ESCALA ATUAL]]))</f>
        <v>1</v>
      </c>
      <c r="Z72" s="45">
        <f>IF(tabAlmoco[[#This Row],[MOTORISTA]]&lt;&gt;0,15,"")</f>
        <v>15</v>
      </c>
      <c r="AA72" s="4" t="str">
        <f>autocompAlmoco[[#This Row],[CORRESP LINHA]]</f>
        <v>GOIANIA (GO) X SAO LUIS (MA)</v>
      </c>
    </row>
    <row r="73" spans="3:27" hidden="1" x14ac:dyDescent="0.25">
      <c r="C73" s="140" t="s">
        <v>226</v>
      </c>
      <c r="D73" s="56" t="str">
        <f>IF(tabAlmoco[[#This Row],[MOTORISTA]]="","",_xlfn.CONCAT(tabAlmoco[[#This Row],[DATA]],"+",tabAlmoco[[#This Row],[MOTORISTA]]))</f>
        <v>45895+JOSE POLICARPO DE SOUSA NETO - 1472</v>
      </c>
      <c r="E73" s="56" t="str">
        <f>_xlfn.XLOOKUP(autocompAlmoco[[#This Row],[COMP ESCALA ATUAL]],tabE.Flux[COMP.AT. MOT A],tabE.Flux[LINHA],"NÃO",0,1)</f>
        <v>NÃO</v>
      </c>
      <c r="F73" s="56" t="str">
        <f>_xlfn.XLOOKUP(autocompAlmoco[[#This Row],[COMP ESCALA ATUAL]],tabE.Flux[COMP.AT. MOT B],tabE.Flux[LINHA],"NÃO",0,1)</f>
        <v>NÃO</v>
      </c>
      <c r="G73" s="61" t="str">
        <f>IF(AND(autocompAlmoco[[#This Row],[EXISTE MOT A AT]]="NÃO", autocompAlmoco[[#This Row],[EXISTE MOT B AT]]="NÃO"),"NÃO","SIM")</f>
        <v>NÃO</v>
      </c>
      <c r="H73" s="71" t="str">
        <f>IF(autocompAlmoco[[#This Row],[EXISTE ESCALA ATUAL]]="NÃO",_xlfn.CONCAT(tabAlmoco[[#This Row],[DATA]]-1,"+",tabAlmoco[[#This Row],[MOTORISTA]]),"NÃO")</f>
        <v>45894+JOSE POLICARPO DE SOUSA NETO - 1472</v>
      </c>
      <c r="I73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73" s="58" t="str">
        <f>IF(autocompAlmoco[[#This Row],[COMP ESCALA ANTERIOR]]="NÃO","NÃO",_xlfn.XLOOKUP(autocompAlmoco[[#This Row],[COMP ESCALA ANTERIOR]],tabE.Flux[COMP.AT. MOT B],tabE.Flux[LINHA],"NÃO",0,1))</f>
        <v>NÃO</v>
      </c>
      <c r="K73" s="62" t="str">
        <f>IF(AND(autocompAlmoco[[#This Row],[EXISTE MOT A ANT]]="NÃO",autocompAlmoco[[#This Row],[EXISTE MOT B ANT]]="NÃO"),"NÃO","SIM")</f>
        <v>SIM</v>
      </c>
      <c r="L73" s="73" t="str">
        <f t="shared" si="2"/>
        <v>45896+JOSE POLICARPO DE SOUSA NETO - 1472</v>
      </c>
      <c r="M73" s="59" t="str">
        <f>IF(autocompAlmoco[[#This Row],[COMP ESCALA POSTERIOR]]="NÃO","NÃO",_xlfn.XLOOKUP(autocompAlmoco[[#This Row],[COMP ESCALA POSTERIOR]],tabE.Flux[COMP.AT. MOT A],tabE.Flux[LINHA],"NÃO",0,1))</f>
        <v>NÃO</v>
      </c>
      <c r="N73" s="59" t="str">
        <f>IF(autocompAlmoco[[#This Row],[COMP ESCALA POSTERIOR]]="NÃO","NÃO",_xlfn.XLOOKUP(autocompAlmoco[[#This Row],[COMP ESCALA POSTERIOR]],tabE.Flux[COMP.AT. MOT B],tabE.Flux[LINHA],"NÃO",0,1))</f>
        <v>NÃO</v>
      </c>
      <c r="O73" s="65" t="str">
        <f>IF(AND(autocompAlmoco[[#This Row],[EXISTE MOT A POS]]="NÃO",autocompAlmoco[[#This Row],[EXISTE MOT B POS]]="NÃO"),"NÃO","SIM")</f>
        <v>NÃO</v>
      </c>
      <c r="P73" s="66" t="str" cm="1">
        <f t="array" ref="P7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73" s="75" t="str" cm="1">
        <f t="array" ref="Q7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45894+JOSE POLICARPO DE SOUSA NETO - 1472+GOIANIA (GO) X TERESINA (PI) VIA STI</v>
      </c>
      <c r="R73" s="67">
        <f>_xlfn.XLOOKUP(autocompAlmoco[[#This Row],[COMP ESCALA]],tabE.Flux[COMP. ESCALA MOT B],tabE.Flux[CARRO],
(_xlfn.XLOOKUP(autocompAlmoco[[#This Row],[COMP ESCALA]],tabE.Flux[COMP. ESCALA MOT A],tabE.Flux[CARRO],"N/E",0,1)),0,1)</f>
        <v>17100</v>
      </c>
      <c r="S73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73" s="127">
        <v>45895</v>
      </c>
      <c r="U73" s="4">
        <f>IF(IFERROR(autocompAlmoco[[#This Row],[CORRESP. CARRO]],"")="NÃO",(IF(tabAlmoco[[#This Row],[MOTORISTA]]=0,"","PASSE?")),autocompAlmoco[[#This Row],[CORRESP. CARRO]])</f>
        <v>17100</v>
      </c>
      <c r="V73" s="126">
        <f>IF(OR(ISERR(autocompAlmoco[[#This Row],[CORRESP HORARIO]]), autocompAlmoco[[#This Row],[CORRESP HORARIO]]&lt;&gt;"NÃO"),autocompAlmoco[[#This Row],[CORRESP HORARIO]],"")</f>
        <v>0.79861111111111116</v>
      </c>
      <c r="W73" s="4" t="s">
        <v>299</v>
      </c>
      <c r="X73" s="4" t="s">
        <v>54</v>
      </c>
      <c r="Y73" s="1">
        <f>IF(tabAlmoco[[#This Row],[MOTORISTA]]="","",COUNTIF(autocompAlmoco[COMP ESCALA ATUAL],autocompAlmoco[[#This Row],[COMP ESCALA ATUAL]]))</f>
        <v>1</v>
      </c>
      <c r="Z73" s="45">
        <f>IF(tabAlmoco[[#This Row],[MOTORISTA]]&lt;&gt;0,15,"")</f>
        <v>15</v>
      </c>
      <c r="AA73" s="4" t="str">
        <f>autocompAlmoco[[#This Row],[CORRESP LINHA]]</f>
        <v>GOIANIA (GO) X TERESINA (PI) VIA STI</v>
      </c>
    </row>
    <row r="74" spans="3:27" hidden="1" x14ac:dyDescent="0.25">
      <c r="C74" s="140" t="s">
        <v>226</v>
      </c>
      <c r="D74" s="56" t="str">
        <f>IF(tabAlmoco[[#This Row],[MOTORISTA]]="","",_xlfn.CONCAT(tabAlmoco[[#This Row],[DATA]],"+",tabAlmoco[[#This Row],[MOTORISTA]]))</f>
        <v>45895+BRUNO MATOS DA ROCHA - 6013</v>
      </c>
      <c r="E74" s="56" t="str">
        <f>_xlfn.XLOOKUP(autocompAlmoco[[#This Row],[COMP ESCALA ATUAL]],tabE.Flux[COMP.AT. MOT A],tabE.Flux[LINHA],"NÃO",0,1)</f>
        <v>NÃO</v>
      </c>
      <c r="F74" s="56" t="str">
        <f>_xlfn.XLOOKUP(autocompAlmoco[[#This Row],[COMP ESCALA ATUAL]],tabE.Flux[COMP.AT. MOT B],tabE.Flux[LINHA],"NÃO",0,1)</f>
        <v>FORTALEZA (CE) X SINOP (MT)</v>
      </c>
      <c r="G74" s="61" t="str">
        <f>IF(AND(autocompAlmoco[[#This Row],[EXISTE MOT A AT]]="NÃO", autocompAlmoco[[#This Row],[EXISTE MOT B AT]]="NÃO"),"NÃO","SIM")</f>
        <v>SIM</v>
      </c>
      <c r="H74" s="71" t="str">
        <f>IF(autocompAlmoco[[#This Row],[EXISTE ESCALA ATUAL]]="NÃO",_xlfn.CONCAT(tabAlmoco[[#This Row],[DATA]]-1,"+",tabAlmoco[[#This Row],[MOTORISTA]]),"NÃO")</f>
        <v>NÃO</v>
      </c>
      <c r="I74" s="57" t="str">
        <f>IF(autocompAlmoco[[#This Row],[COMP ESCALA ANTERIOR]]="NÃO","NÃO",_xlfn.XLOOKUP(autocompAlmoco[[#This Row],[COMP ESCALA ANTERIOR]],tabE.Flux[COMP.AT. MOT A],tabE.Flux[LINHA],"NÃO",0,1))</f>
        <v>NÃO</v>
      </c>
      <c r="J74" s="58" t="str">
        <f>IF(autocompAlmoco[[#This Row],[COMP ESCALA ANTERIOR]]="NÃO","NÃO",_xlfn.XLOOKUP(autocompAlmoco[[#This Row],[COMP ESCALA ANTERIOR]],tabE.Flux[COMP.AT. MOT B],tabE.Flux[LINHA],"NÃO",0,1))</f>
        <v>NÃO</v>
      </c>
      <c r="K74" s="62" t="str">
        <f>IF(AND(autocompAlmoco[[#This Row],[EXISTE MOT A ANT]]="NÃO",autocompAlmoco[[#This Row],[EXISTE MOT B ANT]]="NÃO"),"NÃO","SIM")</f>
        <v>NÃO</v>
      </c>
      <c r="L74" s="73" t="str">
        <f t="shared" si="2"/>
        <v>45896+BRUNO MATOS DA ROCHA - 6013</v>
      </c>
      <c r="M74" s="59" t="str">
        <f>IF(autocompAlmoco[[#This Row],[COMP ESCALA POSTERIOR]]="NÃO","NÃO",_xlfn.XLOOKUP(autocompAlmoco[[#This Row],[COMP ESCALA POSTERIOR]],tabE.Flux[COMP.AT. MOT A],tabE.Flux[LINHA],"NÃO",0,1))</f>
        <v>NÃO</v>
      </c>
      <c r="N74" s="59" t="str">
        <f>IF(autocompAlmoco[[#This Row],[COMP ESCALA POSTERIOR]]="NÃO","NÃO",_xlfn.XLOOKUP(autocompAlmoco[[#This Row],[COMP ESCALA POSTERIOR]],tabE.Flux[COMP.AT. MOT B],tabE.Flux[LINHA],"NÃO",0,1))</f>
        <v>NÃO</v>
      </c>
      <c r="O74" s="65" t="str">
        <f>IF(AND(autocompAlmoco[[#This Row],[EXISTE MOT A POS]]="NÃO",autocompAlmoco[[#This Row],[EXISTE MOT B POS]]="NÃO"),"NÃO","SIM")</f>
        <v>NÃO</v>
      </c>
      <c r="P74" s="66" t="str" cm="1">
        <f t="array" ref="P7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74" s="75" t="str" cm="1">
        <f t="array" ref="Q7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45895+BRUNO MATOS DA ROCHA - 6013+FORTALEZA (CE) X SINOP (MT)</v>
      </c>
      <c r="R74" s="67">
        <f>_xlfn.XLOOKUP(autocompAlmoco[[#This Row],[COMP ESCALA]],tabE.Flux[COMP. ESCALA MOT B],tabE.Flux[CARRO],
(_xlfn.XLOOKUP(autocompAlmoco[[#This Row],[COMP ESCALA]],tabE.Flux[COMP. ESCALA MOT A],tabE.Flux[CARRO],"N/E",0,1)),0,1)</f>
        <v>19002</v>
      </c>
      <c r="S74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74" s="127">
        <v>45895</v>
      </c>
      <c r="U74" s="4">
        <f>IF(IFERROR(autocompAlmoco[[#This Row],[CORRESP. CARRO]],"")="NÃO",(IF(tabAlmoco[[#This Row],[MOTORISTA]]=0,"","PASSE?")),autocompAlmoco[[#This Row],[CORRESP. CARRO]])</f>
        <v>19002</v>
      </c>
      <c r="V74" s="126">
        <f>IF(OR(ISERR(autocompAlmoco[[#This Row],[CORRESP HORARIO]]), autocompAlmoco[[#This Row],[CORRESP HORARIO]]&lt;&gt;"NÃO"),autocompAlmoco[[#This Row],[CORRESP HORARIO]],"")</f>
        <v>0.37708333333333333</v>
      </c>
      <c r="W74" s="4" t="s">
        <v>299</v>
      </c>
      <c r="X74" s="4" t="s">
        <v>147</v>
      </c>
      <c r="Y74" s="1">
        <f>IF(tabAlmoco[[#This Row],[MOTORISTA]]="","",COUNTIF(autocompAlmoco[COMP ESCALA ATUAL],autocompAlmoco[[#This Row],[COMP ESCALA ATUAL]]))</f>
        <v>1</v>
      </c>
      <c r="Z74" s="45">
        <f>IF(tabAlmoco[[#This Row],[MOTORISTA]]&lt;&gt;0,15,"")</f>
        <v>15</v>
      </c>
      <c r="AA74" s="4" t="str">
        <f>autocompAlmoco[[#This Row],[CORRESP LINHA]]</f>
        <v>FORTALEZA (CE) X SINOP (MT)</v>
      </c>
    </row>
    <row r="75" spans="3:27" hidden="1" x14ac:dyDescent="0.25">
      <c r="C75" s="140" t="s">
        <v>226</v>
      </c>
      <c r="D75" s="56" t="str">
        <f>IF(tabAlmoco[[#This Row],[MOTORISTA]]="","",_xlfn.CONCAT(tabAlmoco[[#This Row],[DATA]],"+",tabAlmoco[[#This Row],[MOTORISTA]]))</f>
        <v>45895+ELIEZIO JOSE DOS SANTOS - 2645</v>
      </c>
      <c r="E75" s="56" t="str">
        <f>_xlfn.XLOOKUP(autocompAlmoco[[#This Row],[COMP ESCALA ATUAL]],tabE.Flux[COMP.AT. MOT A],tabE.Flux[LINHA],"NÃO",0,1)</f>
        <v>NÃO</v>
      </c>
      <c r="F75" s="56" t="str">
        <f>_xlfn.XLOOKUP(autocompAlmoco[[#This Row],[COMP ESCALA ATUAL]],tabE.Flux[COMP.AT. MOT B],tabE.Flux[LINHA],"NÃO",0,1)</f>
        <v>NÃO</v>
      </c>
      <c r="G75" s="61" t="str">
        <f>IF(AND(autocompAlmoco[[#This Row],[EXISTE MOT A AT]]="NÃO", autocompAlmoco[[#This Row],[EXISTE MOT B AT]]="NÃO"),"NÃO","SIM")</f>
        <v>NÃO</v>
      </c>
      <c r="H75" s="71" t="str">
        <f>IF(autocompAlmoco[[#This Row],[EXISTE ESCALA ATUAL]]="NÃO",_xlfn.CONCAT(tabAlmoco[[#This Row],[DATA]]-1,"+",tabAlmoco[[#This Row],[MOTORISTA]]),"NÃO")</f>
        <v>45894+ELIEZIO JOSE DOS SANTOS - 2645</v>
      </c>
      <c r="I75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75" s="58" t="str">
        <f>IF(autocompAlmoco[[#This Row],[COMP ESCALA ANTERIOR]]="NÃO","NÃO",_xlfn.XLOOKUP(autocompAlmoco[[#This Row],[COMP ESCALA ANTERIOR]],tabE.Flux[COMP.AT. MOT B],tabE.Flux[LINHA],"NÃO",0,1))</f>
        <v>NÃO</v>
      </c>
      <c r="K75" s="62" t="str">
        <f>IF(AND(autocompAlmoco[[#This Row],[EXISTE MOT A ANT]]="NÃO",autocompAlmoco[[#This Row],[EXISTE MOT B ANT]]="NÃO"),"NÃO","SIM")</f>
        <v>SIM</v>
      </c>
      <c r="L75" s="73" t="str">
        <f t="shared" si="2"/>
        <v>45896+ELIEZIO JOSE DOS SANTOS - 2645</v>
      </c>
      <c r="M75" s="59" t="str">
        <f>IF(autocompAlmoco[[#This Row],[COMP ESCALA POSTERIOR]]="NÃO","NÃO",_xlfn.XLOOKUP(autocompAlmoco[[#This Row],[COMP ESCALA POSTERIOR]],tabE.Flux[COMP.AT. MOT A],tabE.Flux[LINHA],"NÃO",0,1))</f>
        <v>GOIANIA (GO) X SAO LUIS (MA)</v>
      </c>
      <c r="N75" s="59" t="str">
        <f>IF(autocompAlmoco[[#This Row],[COMP ESCALA POSTERIOR]]="NÃO","NÃO",_xlfn.XLOOKUP(autocompAlmoco[[#This Row],[COMP ESCALA POSTERIOR]],tabE.Flux[COMP.AT. MOT B],tabE.Flux[LINHA],"NÃO",0,1))</f>
        <v>NÃO</v>
      </c>
      <c r="O75" s="65" t="str">
        <f>IF(AND(autocompAlmoco[[#This Row],[EXISTE MOT A POS]]="NÃO",autocompAlmoco[[#This Row],[EXISTE MOT B POS]]="NÃO"),"NÃO","SIM")</f>
        <v>SIM</v>
      </c>
      <c r="P75" s="66" t="str" cm="1">
        <f t="array" ref="P7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75" s="75" t="str" cm="1">
        <f t="array" ref="Q7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45894+ELIEZIO JOSE DOS SANTOS - 2645+FORTALEZA (CE) X SINOP (MT)</v>
      </c>
      <c r="R75" s="67">
        <f>_xlfn.XLOOKUP(autocompAlmoco[[#This Row],[COMP ESCALA]],tabE.Flux[COMP. ESCALA MOT B],tabE.Flux[CARRO],
(_xlfn.XLOOKUP(autocompAlmoco[[#This Row],[COMP ESCALA]],tabE.Flux[COMP. ESCALA MOT A],tabE.Flux[CARRO],"N/E",0,1)),0,1)</f>
        <v>19005</v>
      </c>
      <c r="S75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75" s="127">
        <v>45895</v>
      </c>
      <c r="U75" s="4">
        <f>IF(IFERROR(autocompAlmoco[[#This Row],[CORRESP. CARRO]],"")="NÃO",(IF(tabAlmoco[[#This Row],[MOTORISTA]]=0,"","PASSE?")),autocompAlmoco[[#This Row],[CORRESP. CARRO]])</f>
        <v>19005</v>
      </c>
      <c r="V75" s="126">
        <f>IF(OR(ISERR(autocompAlmoco[[#This Row],[CORRESP HORARIO]]), autocompAlmoco[[#This Row],[CORRESP HORARIO]]&lt;&gt;"NÃO"),autocompAlmoco[[#This Row],[CORRESP HORARIO]],"")</f>
        <v>0.37708333333333333</v>
      </c>
      <c r="W75" s="4" t="s">
        <v>299</v>
      </c>
      <c r="X75" s="4" t="s">
        <v>53</v>
      </c>
      <c r="Y75" s="1">
        <f>IF(tabAlmoco[[#This Row],[MOTORISTA]]="","",COUNTIF(autocompAlmoco[COMP ESCALA ATUAL],autocompAlmoco[[#This Row],[COMP ESCALA ATUAL]]))</f>
        <v>1</v>
      </c>
      <c r="Z75" s="45">
        <f>IF(tabAlmoco[[#This Row],[MOTORISTA]]&lt;&gt;0,15,"")</f>
        <v>15</v>
      </c>
      <c r="AA75" s="4" t="str">
        <f>autocompAlmoco[[#This Row],[CORRESP LINHA]]</f>
        <v>FORTALEZA (CE) X SINOP (MT)</v>
      </c>
    </row>
    <row r="76" spans="3:27" hidden="1" x14ac:dyDescent="0.25">
      <c r="C76" s="140" t="s">
        <v>226</v>
      </c>
      <c r="D76" s="56" t="str">
        <f>IF(tabAlmoco[[#This Row],[MOTORISTA]]="","",_xlfn.CONCAT(tabAlmoco[[#This Row],[DATA]],"+",tabAlmoco[[#This Row],[MOTORISTA]]))</f>
        <v>45896+ANTONIO DE PADUA DA  SILVA - 5645</v>
      </c>
      <c r="E76" s="56" t="str">
        <f>_xlfn.XLOOKUP(autocompAlmoco[[#This Row],[COMP ESCALA ATUAL]],tabE.Flux[COMP.AT. MOT A],tabE.Flux[LINHA],"NÃO",0,1)</f>
        <v>NÃO</v>
      </c>
      <c r="F76" s="56" t="str">
        <f>_xlfn.XLOOKUP(autocompAlmoco[[#This Row],[COMP ESCALA ATUAL]],tabE.Flux[COMP.AT. MOT B],tabE.Flux[LINHA],"NÃO",0,1)</f>
        <v>FORTALEZA (CE) X SINOP (MT)</v>
      </c>
      <c r="G76" s="61" t="str">
        <f>IF(AND(autocompAlmoco[[#This Row],[EXISTE MOT A AT]]="NÃO", autocompAlmoco[[#This Row],[EXISTE MOT B AT]]="NÃO"),"NÃO","SIM")</f>
        <v>SIM</v>
      </c>
      <c r="H76" s="71" t="str">
        <f>IF(autocompAlmoco[[#This Row],[EXISTE ESCALA ATUAL]]="NÃO",_xlfn.CONCAT(tabAlmoco[[#This Row],[DATA]]-1,"+",tabAlmoco[[#This Row],[MOTORISTA]]),"NÃO")</f>
        <v>NÃO</v>
      </c>
      <c r="I76" s="57" t="str">
        <f>IF(autocompAlmoco[[#This Row],[COMP ESCALA ANTERIOR]]="NÃO","NÃO",_xlfn.XLOOKUP(autocompAlmoco[[#This Row],[COMP ESCALA ANTERIOR]],tabE.Flux[COMP.AT. MOT A],tabE.Flux[LINHA],"NÃO",0,1))</f>
        <v>NÃO</v>
      </c>
      <c r="J76" s="58" t="str">
        <f>IF(autocompAlmoco[[#This Row],[COMP ESCALA ANTERIOR]]="NÃO","NÃO",_xlfn.XLOOKUP(autocompAlmoco[[#This Row],[COMP ESCALA ANTERIOR]],tabE.Flux[COMP.AT. MOT B],tabE.Flux[LINHA],"NÃO",0,1))</f>
        <v>NÃO</v>
      </c>
      <c r="K76" s="62" t="str">
        <f>IF(AND(autocompAlmoco[[#This Row],[EXISTE MOT A ANT]]="NÃO",autocompAlmoco[[#This Row],[EXISTE MOT B ANT]]="NÃO"),"NÃO","SIM")</f>
        <v>NÃO</v>
      </c>
      <c r="L76" s="73" t="str">
        <f t="shared" si="2"/>
        <v>45897+ANTONIO DE PADUA DA  SILVA - 5645</v>
      </c>
      <c r="M76" s="59" t="str">
        <f>IF(autocompAlmoco[[#This Row],[COMP ESCALA POSTERIOR]]="NÃO","NÃO",_xlfn.XLOOKUP(autocompAlmoco[[#This Row],[COMP ESCALA POSTERIOR]],tabE.Flux[COMP.AT. MOT A],tabE.Flux[LINHA],"NÃO",0,1))</f>
        <v>NÃO</v>
      </c>
      <c r="N76" s="59" t="str">
        <f>IF(autocompAlmoco[[#This Row],[COMP ESCALA POSTERIOR]]="NÃO","NÃO",_xlfn.XLOOKUP(autocompAlmoco[[#This Row],[COMP ESCALA POSTERIOR]],tabE.Flux[COMP.AT. MOT B],tabE.Flux[LINHA],"NÃO",0,1))</f>
        <v>NÃO</v>
      </c>
      <c r="O76" s="65" t="str">
        <f>IF(AND(autocompAlmoco[[#This Row],[EXISTE MOT A POS]]="NÃO",autocompAlmoco[[#This Row],[EXISTE MOT B POS]]="NÃO"),"NÃO","SIM")</f>
        <v>NÃO</v>
      </c>
      <c r="P76" s="66" t="str" cm="1">
        <f t="array" ref="P7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76" s="75" t="str" cm="1">
        <f t="array" ref="Q7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45896+ANTONIO DE PADUA DA  SILVA - 5645+FORTALEZA (CE) X SINOP (MT)</v>
      </c>
      <c r="R76" s="67">
        <f>_xlfn.XLOOKUP(autocompAlmoco[[#This Row],[COMP ESCALA]],tabE.Flux[COMP. ESCALA MOT B],tabE.Flux[CARRO],
(_xlfn.XLOOKUP(autocompAlmoco[[#This Row],[COMP ESCALA]],tabE.Flux[COMP. ESCALA MOT A],tabE.Flux[CARRO],"N/E",0,1)),0,1)</f>
        <v>19014</v>
      </c>
      <c r="S76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76" s="127">
        <v>45896</v>
      </c>
      <c r="U76" s="4">
        <f>IF(IFERROR(autocompAlmoco[[#This Row],[CORRESP. CARRO]],"")="NÃO",(IF(tabAlmoco[[#This Row],[MOTORISTA]]=0,"","PASSE?")),autocompAlmoco[[#This Row],[CORRESP. CARRO]])</f>
        <v>19014</v>
      </c>
      <c r="V76" s="126">
        <f>IF(OR(ISERR(autocompAlmoco[[#This Row],[CORRESP HORARIO]]), autocompAlmoco[[#This Row],[CORRESP HORARIO]]&lt;&gt;"NÃO"),autocompAlmoco[[#This Row],[CORRESP HORARIO]],"")</f>
        <v>0.37708333333333333</v>
      </c>
      <c r="W76" s="4" t="s">
        <v>299</v>
      </c>
      <c r="X76" s="4" t="s">
        <v>125</v>
      </c>
      <c r="Y76" s="1">
        <f>IF(tabAlmoco[[#This Row],[MOTORISTA]]="","",COUNTIF(autocompAlmoco[COMP ESCALA ATUAL],autocompAlmoco[[#This Row],[COMP ESCALA ATUAL]]))</f>
        <v>1</v>
      </c>
      <c r="Z76" s="45">
        <f>IF(tabAlmoco[[#This Row],[MOTORISTA]]&lt;&gt;0,15,"")</f>
        <v>15</v>
      </c>
      <c r="AA76" s="4" t="str">
        <f>autocompAlmoco[[#This Row],[CORRESP LINHA]]</f>
        <v>FORTALEZA (CE) X SINOP (MT)</v>
      </c>
    </row>
    <row r="77" spans="3:27" hidden="1" x14ac:dyDescent="0.25">
      <c r="C77" s="140" t="s">
        <v>226</v>
      </c>
      <c r="D77" s="56" t="str">
        <f>IF(tabAlmoco[[#This Row],[MOTORISTA]]="","",_xlfn.CONCAT(tabAlmoco[[#This Row],[DATA]],"+",tabAlmoco[[#This Row],[MOTORISTA]]))</f>
        <v>45896+ALTEMAR DO NASCIMENTO LIMA - 6225</v>
      </c>
      <c r="E77" s="56" t="str">
        <f>_xlfn.XLOOKUP(autocompAlmoco[[#This Row],[COMP ESCALA ATUAL]],tabE.Flux[COMP.AT. MOT A],tabE.Flux[LINHA],"NÃO",0,1)</f>
        <v>NÃO</v>
      </c>
      <c r="F77" s="56" t="str">
        <f>_xlfn.XLOOKUP(autocompAlmoco[[#This Row],[COMP ESCALA ATUAL]],tabE.Flux[COMP.AT. MOT B],tabE.Flux[LINHA],"NÃO",0,1)</f>
        <v>GOIANIA (GO) X SAO LUIS (MA)</v>
      </c>
      <c r="G77" s="61" t="str">
        <f>IF(AND(autocompAlmoco[[#This Row],[EXISTE MOT A AT]]="NÃO", autocompAlmoco[[#This Row],[EXISTE MOT B AT]]="NÃO"),"NÃO","SIM")</f>
        <v>SIM</v>
      </c>
      <c r="H77" s="71" t="str">
        <f>IF(autocompAlmoco[[#This Row],[EXISTE ESCALA ATUAL]]="NÃO",_xlfn.CONCAT(tabAlmoco[[#This Row],[DATA]]-1,"+",tabAlmoco[[#This Row],[MOTORISTA]]),"NÃO")</f>
        <v>NÃO</v>
      </c>
      <c r="I77" s="57" t="str">
        <f>IF(autocompAlmoco[[#This Row],[COMP ESCALA ANTERIOR]]="NÃO","NÃO",_xlfn.XLOOKUP(autocompAlmoco[[#This Row],[COMP ESCALA ANTERIOR]],tabE.Flux[COMP.AT. MOT A],tabE.Flux[LINHA],"NÃO",0,1))</f>
        <v>NÃO</v>
      </c>
      <c r="J77" s="58" t="str">
        <f>IF(autocompAlmoco[[#This Row],[COMP ESCALA ANTERIOR]]="NÃO","NÃO",_xlfn.XLOOKUP(autocompAlmoco[[#This Row],[COMP ESCALA ANTERIOR]],tabE.Flux[COMP.AT. MOT B],tabE.Flux[LINHA],"NÃO",0,1))</f>
        <v>NÃO</v>
      </c>
      <c r="K77" s="62" t="str">
        <f>IF(AND(autocompAlmoco[[#This Row],[EXISTE MOT A ANT]]="NÃO",autocompAlmoco[[#This Row],[EXISTE MOT B ANT]]="NÃO"),"NÃO","SIM")</f>
        <v>NÃO</v>
      </c>
      <c r="L77" s="73" t="str">
        <f t="shared" si="2"/>
        <v>45897+ALTEMAR DO NASCIMENTO LIMA - 6225</v>
      </c>
      <c r="M77" s="59" t="str">
        <f>IF(autocompAlmoco[[#This Row],[COMP ESCALA POSTERIOR]]="NÃO","NÃO",_xlfn.XLOOKUP(autocompAlmoco[[#This Row],[COMP ESCALA POSTERIOR]],tabE.Flux[COMP.AT. MOT A],tabE.Flux[LINHA],"NÃO",0,1))</f>
        <v>NÃO</v>
      </c>
      <c r="N77" s="59" t="str">
        <f>IF(autocompAlmoco[[#This Row],[COMP ESCALA POSTERIOR]]="NÃO","NÃO",_xlfn.XLOOKUP(autocompAlmoco[[#This Row],[COMP ESCALA POSTERIOR]],tabE.Flux[COMP.AT. MOT B],tabE.Flux[LINHA],"NÃO",0,1))</f>
        <v>NÃO</v>
      </c>
      <c r="O77" s="65" t="str">
        <f>IF(AND(autocompAlmoco[[#This Row],[EXISTE MOT A POS]]="NÃO",autocompAlmoco[[#This Row],[EXISTE MOT B POS]]="NÃO"),"NÃO","SIM")</f>
        <v>NÃO</v>
      </c>
      <c r="P77" s="66" t="str" cm="1">
        <f t="array" ref="P7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77" s="75" t="str" cm="1">
        <f t="array" ref="Q7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45896+ALTEMAR DO NASCIMENTO LIMA - 6225+GOIANIA (GO) X SAO LUIS (MA)</v>
      </c>
      <c r="R77" s="67">
        <f>_xlfn.XLOOKUP(autocompAlmoco[[#This Row],[COMP ESCALA]],tabE.Flux[COMP. ESCALA MOT B],tabE.Flux[CARRO],
(_xlfn.XLOOKUP(autocompAlmoco[[#This Row],[COMP ESCALA]],tabE.Flux[COMP. ESCALA MOT A],tabE.Flux[CARRO],"N/E",0,1)),0,1)</f>
        <v>19024</v>
      </c>
      <c r="S77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77" s="127">
        <v>45896</v>
      </c>
      <c r="U77" s="4">
        <f>IF(IFERROR(autocompAlmoco[[#This Row],[CORRESP. CARRO]],"")="NÃO",(IF(tabAlmoco[[#This Row],[MOTORISTA]]=0,"","PASSE?")),autocompAlmoco[[#This Row],[CORRESP. CARRO]])</f>
        <v>19024</v>
      </c>
      <c r="V77" s="126">
        <f>IF(OR(ISERR(autocompAlmoco[[#This Row],[CORRESP HORARIO]]), autocompAlmoco[[#This Row],[CORRESP HORARIO]]&lt;&gt;"NÃO"),autocompAlmoco[[#This Row],[CORRESP HORARIO]],"")</f>
        <v>0.47013888888888888</v>
      </c>
      <c r="W77" s="4" t="s">
        <v>299</v>
      </c>
      <c r="X77" s="4" t="s">
        <v>57</v>
      </c>
      <c r="Y77" s="1">
        <f>IF(tabAlmoco[[#This Row],[MOTORISTA]]="","",COUNTIF(autocompAlmoco[COMP ESCALA ATUAL],autocompAlmoco[[#This Row],[COMP ESCALA ATUAL]]))</f>
        <v>1</v>
      </c>
      <c r="Z77" s="45">
        <f>IF(tabAlmoco[[#This Row],[MOTORISTA]]&lt;&gt;0,15,"")</f>
        <v>15</v>
      </c>
      <c r="AA77" s="4" t="str">
        <f>autocompAlmoco[[#This Row],[CORRESP LINHA]]</f>
        <v>GOIANIA (GO) X SAO LUIS (MA)</v>
      </c>
    </row>
    <row r="78" spans="3:27" hidden="1" x14ac:dyDescent="0.25">
      <c r="C78" s="140" t="s">
        <v>226</v>
      </c>
      <c r="D78" s="56" t="str">
        <f>IF(tabAlmoco[[#This Row],[MOTORISTA]]="","",_xlfn.CONCAT(tabAlmoco[[#This Row],[DATA]],"+",tabAlmoco[[#This Row],[MOTORISTA]]))</f>
        <v>45896+WESLEY SILVA PAIVA - 5638</v>
      </c>
      <c r="E78" s="56" t="str">
        <f>_xlfn.XLOOKUP(autocompAlmoco[[#This Row],[COMP ESCALA ATUAL]],tabE.Flux[COMP.AT. MOT A],tabE.Flux[LINHA],"NÃO",0,1)</f>
        <v>NÃO</v>
      </c>
      <c r="F78" s="56" t="str">
        <f>_xlfn.XLOOKUP(autocompAlmoco[[#This Row],[COMP ESCALA ATUAL]],tabE.Flux[COMP.AT. MOT B],tabE.Flux[LINHA],"NÃO",0,1)</f>
        <v>NÃO</v>
      </c>
      <c r="G78" s="61" t="str">
        <f>IF(AND(autocompAlmoco[[#This Row],[EXISTE MOT A AT]]="NÃO", autocompAlmoco[[#This Row],[EXISTE MOT B AT]]="NÃO"),"NÃO","SIM")</f>
        <v>NÃO</v>
      </c>
      <c r="H78" s="71" t="str">
        <f>IF(autocompAlmoco[[#This Row],[EXISTE ESCALA ATUAL]]="NÃO",_xlfn.CONCAT(tabAlmoco[[#This Row],[DATA]]-1,"+",tabAlmoco[[#This Row],[MOTORISTA]]),"NÃO")</f>
        <v>45895+WESLEY SILVA PAIVA - 5638</v>
      </c>
      <c r="I78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78" s="58" t="str">
        <f>IF(autocompAlmoco[[#This Row],[COMP ESCALA ANTERIOR]]="NÃO","NÃO",_xlfn.XLOOKUP(autocompAlmoco[[#This Row],[COMP ESCALA ANTERIOR]],tabE.Flux[COMP.AT. MOT B],tabE.Flux[LINHA],"NÃO",0,1))</f>
        <v>NÃO</v>
      </c>
      <c r="K78" s="62" t="str">
        <f>IF(AND(autocompAlmoco[[#This Row],[EXISTE MOT A ANT]]="NÃO",autocompAlmoco[[#This Row],[EXISTE MOT B ANT]]="NÃO"),"NÃO","SIM")</f>
        <v>SIM</v>
      </c>
      <c r="L78" s="73" t="str">
        <f t="shared" si="2"/>
        <v>45897+WESLEY SILVA PAIVA - 5638</v>
      </c>
      <c r="M78" s="59" t="str">
        <f>IF(autocompAlmoco[[#This Row],[COMP ESCALA POSTERIOR]]="NÃO","NÃO",_xlfn.XLOOKUP(autocompAlmoco[[#This Row],[COMP ESCALA POSTERIOR]],tabE.Flux[COMP.AT. MOT A],tabE.Flux[LINHA],"NÃO",0,1))</f>
        <v>NÃO</v>
      </c>
      <c r="N78" s="59" t="str">
        <f>IF(autocompAlmoco[[#This Row],[COMP ESCALA POSTERIOR]]="NÃO","NÃO",_xlfn.XLOOKUP(autocompAlmoco[[#This Row],[COMP ESCALA POSTERIOR]],tabE.Flux[COMP.AT. MOT B],tabE.Flux[LINHA],"NÃO",0,1))</f>
        <v>NÃO</v>
      </c>
      <c r="O78" s="65" t="str">
        <f>IF(AND(autocompAlmoco[[#This Row],[EXISTE MOT A POS]]="NÃO",autocompAlmoco[[#This Row],[EXISTE MOT B POS]]="NÃO"),"NÃO","SIM")</f>
        <v>NÃO</v>
      </c>
      <c r="P78" s="66" t="str" cm="1">
        <f t="array" ref="P7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78" s="75" t="str" cm="1">
        <f t="array" ref="Q7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45895+WESLEY SILVA PAIVA - 5638+GOIANIA (GO) X TERESINA (PI) VIA STI</v>
      </c>
      <c r="R78" s="67">
        <f>_xlfn.XLOOKUP(autocompAlmoco[[#This Row],[COMP ESCALA]],tabE.Flux[COMP. ESCALA MOT B],tabE.Flux[CARRO],
(_xlfn.XLOOKUP(autocompAlmoco[[#This Row],[COMP ESCALA]],tabE.Flux[COMP. ESCALA MOT A],tabE.Flux[CARRO],"N/E",0,1)),0,1)</f>
        <v>19018</v>
      </c>
      <c r="S78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78" s="127">
        <v>45896</v>
      </c>
      <c r="U78" s="4">
        <f>IF(IFERROR(autocompAlmoco[[#This Row],[CORRESP. CARRO]],"")="NÃO",(IF(tabAlmoco[[#This Row],[MOTORISTA]]=0,"","PASSE?")),autocompAlmoco[[#This Row],[CORRESP. CARRO]])</f>
        <v>19018</v>
      </c>
      <c r="V78" s="126">
        <f>IF(OR(ISERR(autocompAlmoco[[#This Row],[CORRESP HORARIO]]), autocompAlmoco[[#This Row],[CORRESP HORARIO]]&lt;&gt;"NÃO"),autocompAlmoco[[#This Row],[CORRESP HORARIO]],"")</f>
        <v>0.79861111111111116</v>
      </c>
      <c r="W78" s="4" t="s">
        <v>299</v>
      </c>
      <c r="X78" s="4" t="s">
        <v>112</v>
      </c>
      <c r="Y78" s="1">
        <f>IF(tabAlmoco[[#This Row],[MOTORISTA]]="","",COUNTIF(autocompAlmoco[COMP ESCALA ATUAL],autocompAlmoco[[#This Row],[COMP ESCALA ATUAL]]))</f>
        <v>1</v>
      </c>
      <c r="Z78" s="45">
        <f>IF(tabAlmoco[[#This Row],[MOTORISTA]]&lt;&gt;0,15,"")</f>
        <v>15</v>
      </c>
      <c r="AA78" s="4" t="str">
        <f>autocompAlmoco[[#This Row],[CORRESP LINHA]]</f>
        <v>GOIANIA (GO) X TERESINA (PI) VIA STI</v>
      </c>
    </row>
    <row r="79" spans="3:27" hidden="1" x14ac:dyDescent="0.25">
      <c r="C79" s="140" t="s">
        <v>226</v>
      </c>
      <c r="D79" s="56" t="str">
        <f>IF(tabAlmoco[[#This Row],[MOTORISTA]]="","",_xlfn.CONCAT(tabAlmoco[[#This Row],[DATA]],"+",tabAlmoco[[#This Row],[MOTORISTA]]))</f>
        <v>45896+FRANCISCO BATISTA DE LIMA - 1827</v>
      </c>
      <c r="E79" s="56" t="str">
        <f>_xlfn.XLOOKUP(autocompAlmoco[[#This Row],[COMP ESCALA ATUAL]],tabE.Flux[COMP.AT. MOT A],tabE.Flux[LINHA],"NÃO",0,1)</f>
        <v>NÃO</v>
      </c>
      <c r="F79" s="56" t="str">
        <f>_xlfn.XLOOKUP(autocompAlmoco[[#This Row],[COMP ESCALA ATUAL]],tabE.Flux[COMP.AT. MOT B],tabE.Flux[LINHA],"NÃO",0,1)</f>
        <v>NÃO</v>
      </c>
      <c r="G79" s="61" t="str">
        <f>IF(AND(autocompAlmoco[[#This Row],[EXISTE MOT A AT]]="NÃO", autocompAlmoco[[#This Row],[EXISTE MOT B AT]]="NÃO"),"NÃO","SIM")</f>
        <v>NÃO</v>
      </c>
      <c r="H79" s="71" t="str">
        <f>IF(autocompAlmoco[[#This Row],[EXISTE ESCALA ATUAL]]="NÃO",_xlfn.CONCAT(tabAlmoco[[#This Row],[DATA]]-1,"+",tabAlmoco[[#This Row],[MOTORISTA]]),"NÃO")</f>
        <v>45895+FRANCISCO BATISTA DE LIMA - 1827</v>
      </c>
      <c r="I79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79" s="58" t="str">
        <f>IF(autocompAlmoco[[#This Row],[COMP ESCALA ANTERIOR]]="NÃO","NÃO",_xlfn.XLOOKUP(autocompAlmoco[[#This Row],[COMP ESCALA ANTERIOR]],tabE.Flux[COMP.AT. MOT B],tabE.Flux[LINHA],"NÃO",0,1))</f>
        <v>NÃO</v>
      </c>
      <c r="K79" s="62" t="str">
        <f>IF(AND(autocompAlmoco[[#This Row],[EXISTE MOT A ANT]]="NÃO",autocompAlmoco[[#This Row],[EXISTE MOT B ANT]]="NÃO"),"NÃO","SIM")</f>
        <v>SIM</v>
      </c>
      <c r="L79" s="73" t="str">
        <f t="shared" si="2"/>
        <v>45897+FRANCISCO BATISTA DE LIMA - 1827</v>
      </c>
      <c r="M79" s="59" t="str">
        <f>IF(autocompAlmoco[[#This Row],[COMP ESCALA POSTERIOR]]="NÃO","NÃO",_xlfn.XLOOKUP(autocompAlmoco[[#This Row],[COMP ESCALA POSTERIOR]],tabE.Flux[COMP.AT. MOT A],tabE.Flux[LINHA],"NÃO",0,1))</f>
        <v>GOIANIA (GO) X BELEM (PA)</v>
      </c>
      <c r="N79" s="59" t="str">
        <f>IF(autocompAlmoco[[#This Row],[COMP ESCALA POSTERIOR]]="NÃO","NÃO",_xlfn.XLOOKUP(autocompAlmoco[[#This Row],[COMP ESCALA POSTERIOR]],tabE.Flux[COMP.AT. MOT B],tabE.Flux[LINHA],"NÃO",0,1))</f>
        <v>NÃO</v>
      </c>
      <c r="O79" s="65" t="str">
        <f>IF(AND(autocompAlmoco[[#This Row],[EXISTE MOT A POS]]="NÃO",autocompAlmoco[[#This Row],[EXISTE MOT B POS]]="NÃO"),"NÃO","SIM")</f>
        <v>SIM</v>
      </c>
      <c r="P79" s="66" t="str" cm="1">
        <f t="array" ref="P7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79" s="75" t="str" cm="1">
        <f t="array" ref="Q7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45895+FRANCISCO BATISTA DE LIMA - 1827+FORTALEZA (CE) X SINOP (MT)</v>
      </c>
      <c r="R79" s="67">
        <f>_xlfn.XLOOKUP(autocompAlmoco[[#This Row],[COMP ESCALA]],tabE.Flux[COMP. ESCALA MOT B],tabE.Flux[CARRO],
(_xlfn.XLOOKUP(autocompAlmoco[[#This Row],[COMP ESCALA]],tabE.Flux[COMP. ESCALA MOT A],tabE.Flux[CARRO],"N/E",0,1)),0,1)</f>
        <v>19002</v>
      </c>
      <c r="S79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79" s="127">
        <v>45896</v>
      </c>
      <c r="U79" s="4">
        <f>IF(IFERROR(autocompAlmoco[[#This Row],[CORRESP. CARRO]],"")="NÃO",(IF(tabAlmoco[[#This Row],[MOTORISTA]]=0,"","PASSE?")),autocompAlmoco[[#This Row],[CORRESP. CARRO]])</f>
        <v>19002</v>
      </c>
      <c r="V79" s="126">
        <f>IF(OR(ISERR(autocompAlmoco[[#This Row],[CORRESP HORARIO]]), autocompAlmoco[[#This Row],[CORRESP HORARIO]]&lt;&gt;"NÃO"),autocompAlmoco[[#This Row],[CORRESP HORARIO]],"")</f>
        <v>0.37708333333333333</v>
      </c>
      <c r="W79" s="4" t="s">
        <v>299</v>
      </c>
      <c r="X79" s="4" t="s">
        <v>128</v>
      </c>
      <c r="Y79" s="1">
        <f>IF(tabAlmoco[[#This Row],[MOTORISTA]]="","",COUNTIF(autocompAlmoco[COMP ESCALA ATUAL],autocompAlmoco[[#This Row],[COMP ESCALA ATUAL]]))</f>
        <v>1</v>
      </c>
      <c r="Z79" s="45">
        <f>IF(tabAlmoco[[#This Row],[MOTORISTA]]&lt;&gt;0,15,"")</f>
        <v>15</v>
      </c>
      <c r="AA79" s="4" t="str">
        <f>autocompAlmoco[[#This Row],[CORRESP LINHA]]</f>
        <v>FORTALEZA (CE) X SINOP (MT)</v>
      </c>
    </row>
    <row r="80" spans="3:27" hidden="1" x14ac:dyDescent="0.25">
      <c r="C80" s="140" t="s">
        <v>226</v>
      </c>
      <c r="D80" s="56" t="str">
        <f>IF(tabAlmoco[[#This Row],[MOTORISTA]]="","",_xlfn.CONCAT(tabAlmoco[[#This Row],[DATA]],"+",tabAlmoco[[#This Row],[MOTORISTA]]))</f>
        <v>45896+JOAO FERREIRA COSTA - 5545</v>
      </c>
      <c r="E80" s="56" t="str">
        <f>_xlfn.XLOOKUP(autocompAlmoco[[#This Row],[COMP ESCALA ATUAL]],tabE.Flux[COMP.AT. MOT A],tabE.Flux[LINHA],"NÃO",0,1)</f>
        <v>NÃO</v>
      </c>
      <c r="F80" s="56" t="str">
        <f>_xlfn.XLOOKUP(autocompAlmoco[[#This Row],[COMP ESCALA ATUAL]],tabE.Flux[COMP.AT. MOT B],tabE.Flux[LINHA],"NÃO",0,1)</f>
        <v>GOIANIA (GO) X SAO LUIS (MA)</v>
      </c>
      <c r="G80" s="61" t="str">
        <f>IF(AND(autocompAlmoco[[#This Row],[EXISTE MOT A AT]]="NÃO", autocompAlmoco[[#This Row],[EXISTE MOT B AT]]="NÃO"),"NÃO","SIM")</f>
        <v>SIM</v>
      </c>
      <c r="H80" s="71" t="str">
        <f>IF(autocompAlmoco[[#This Row],[EXISTE ESCALA ATUAL]]="NÃO",_xlfn.CONCAT(tabAlmoco[[#This Row],[DATA]]-1,"+",tabAlmoco[[#This Row],[MOTORISTA]]),"NÃO")</f>
        <v>NÃO</v>
      </c>
      <c r="I80" s="57" t="str">
        <f>IF(autocompAlmoco[[#This Row],[COMP ESCALA ANTERIOR]]="NÃO","NÃO",_xlfn.XLOOKUP(autocompAlmoco[[#This Row],[COMP ESCALA ANTERIOR]],tabE.Flux[COMP.AT. MOT A],tabE.Flux[LINHA],"NÃO",0,1))</f>
        <v>NÃO</v>
      </c>
      <c r="J80" s="58" t="str">
        <f>IF(autocompAlmoco[[#This Row],[COMP ESCALA ANTERIOR]]="NÃO","NÃO",_xlfn.XLOOKUP(autocompAlmoco[[#This Row],[COMP ESCALA ANTERIOR]],tabE.Flux[COMP.AT. MOT B],tabE.Flux[LINHA],"NÃO",0,1))</f>
        <v>NÃO</v>
      </c>
      <c r="K80" s="62" t="str">
        <f>IF(AND(autocompAlmoco[[#This Row],[EXISTE MOT A ANT]]="NÃO",autocompAlmoco[[#This Row],[EXISTE MOT B ANT]]="NÃO"),"NÃO","SIM")</f>
        <v>NÃO</v>
      </c>
      <c r="L80" s="73" t="str">
        <f t="shared" si="2"/>
        <v>45897+JOAO FERREIRA COSTA - 5545</v>
      </c>
      <c r="M80" s="59" t="str">
        <f>IF(autocompAlmoco[[#This Row],[COMP ESCALA POSTERIOR]]="NÃO","NÃO",_xlfn.XLOOKUP(autocompAlmoco[[#This Row],[COMP ESCALA POSTERIOR]],tabE.Flux[COMP.AT. MOT A],tabE.Flux[LINHA],"NÃO",0,1))</f>
        <v>NÃO</v>
      </c>
      <c r="N80" s="59" t="str">
        <f>IF(autocompAlmoco[[#This Row],[COMP ESCALA POSTERIOR]]="NÃO","NÃO",_xlfn.XLOOKUP(autocompAlmoco[[#This Row],[COMP ESCALA POSTERIOR]],tabE.Flux[COMP.AT. MOT B],tabE.Flux[LINHA],"NÃO",0,1))</f>
        <v>NÃO</v>
      </c>
      <c r="O80" s="65" t="str">
        <f>IF(AND(autocompAlmoco[[#This Row],[EXISTE MOT A POS]]="NÃO",autocompAlmoco[[#This Row],[EXISTE MOT B POS]]="NÃO"),"NÃO","SIM")</f>
        <v>NÃO</v>
      </c>
      <c r="P80" s="66" t="str" cm="1">
        <f t="array" ref="P8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80" s="75" t="str" cm="1">
        <f t="array" ref="Q8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45896+JOAO FERREIRA COSTA - 5545+GOIANIA (GO) X SAO LUIS (MA)</v>
      </c>
      <c r="R80" s="67">
        <f>_xlfn.XLOOKUP(autocompAlmoco[[#This Row],[COMP ESCALA]],tabE.Flux[COMP. ESCALA MOT B],tabE.Flux[CARRO],
(_xlfn.XLOOKUP(autocompAlmoco[[#This Row],[COMP ESCALA]],tabE.Flux[COMP. ESCALA MOT A],tabE.Flux[CARRO],"N/E",0,1)),0,1)</f>
        <v>24001</v>
      </c>
      <c r="S80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80" s="127">
        <v>45896</v>
      </c>
      <c r="U80" s="4">
        <f>IF(IFERROR(autocompAlmoco[[#This Row],[CORRESP. CARRO]],"")="NÃO",(IF(tabAlmoco[[#This Row],[MOTORISTA]]=0,"","PASSE?")),autocompAlmoco[[#This Row],[CORRESP. CARRO]])</f>
        <v>24001</v>
      </c>
      <c r="V80" s="126">
        <f>IF(OR(ISERR(autocompAlmoco[[#This Row],[CORRESP HORARIO]]), autocompAlmoco[[#This Row],[CORRESP HORARIO]]&lt;&gt;"NÃO"),autocompAlmoco[[#This Row],[CORRESP HORARIO]],"")</f>
        <v>0.79166666666666663</v>
      </c>
      <c r="W80" s="4" t="s">
        <v>299</v>
      </c>
      <c r="X80" s="4" t="s">
        <v>61</v>
      </c>
      <c r="Y80" s="1">
        <f>IF(tabAlmoco[[#This Row],[MOTORISTA]]="","",COUNTIF(autocompAlmoco[COMP ESCALA ATUAL],autocompAlmoco[[#This Row],[COMP ESCALA ATUAL]]))</f>
        <v>1</v>
      </c>
      <c r="Z80" s="45">
        <f>IF(tabAlmoco[[#This Row],[MOTORISTA]]&lt;&gt;0,15,"")</f>
        <v>15</v>
      </c>
      <c r="AA80" s="4" t="str">
        <f>autocompAlmoco[[#This Row],[CORRESP LINHA]]</f>
        <v>GOIANIA (GO) X SAO LUIS (MA)</v>
      </c>
    </row>
    <row r="81" spans="3:27" hidden="1" x14ac:dyDescent="0.25">
      <c r="C81" s="140" t="s">
        <v>226</v>
      </c>
      <c r="D81" s="56" t="str">
        <f>IF(tabAlmoco[[#This Row],[MOTORISTA]]="","",_xlfn.CONCAT(tabAlmoco[[#This Row],[DATA]],"+",tabAlmoco[[#This Row],[MOTORISTA]]))</f>
        <v>45896+PAULO ENEAS FARIAS ARAUJO - 6218</v>
      </c>
      <c r="E81" s="56" t="str">
        <f>_xlfn.XLOOKUP(autocompAlmoco[[#This Row],[COMP ESCALA ATUAL]],tabE.Flux[COMP.AT. MOT A],tabE.Flux[LINHA],"NÃO",0,1)</f>
        <v>GOIANIA (GO) X SAO LUIS (MA)</v>
      </c>
      <c r="F81" s="56" t="str">
        <f>_xlfn.XLOOKUP(autocompAlmoco[[#This Row],[COMP ESCALA ATUAL]],tabE.Flux[COMP.AT. MOT B],tabE.Flux[LINHA],"NÃO",0,1)</f>
        <v>GOIANIA (GO) X SAO LUIS (MA)</v>
      </c>
      <c r="G81" s="61" t="str">
        <f>IF(AND(autocompAlmoco[[#This Row],[EXISTE MOT A AT]]="NÃO", autocompAlmoco[[#This Row],[EXISTE MOT B AT]]="NÃO"),"NÃO","SIM")</f>
        <v>SIM</v>
      </c>
      <c r="H81" s="71" t="str">
        <f>IF(autocompAlmoco[[#This Row],[EXISTE ESCALA ATUAL]]="NÃO",_xlfn.CONCAT(tabAlmoco[[#This Row],[DATA]]-1,"+",tabAlmoco[[#This Row],[MOTORISTA]]),"NÃO")</f>
        <v>NÃO</v>
      </c>
      <c r="I81" s="57" t="str">
        <f>IF(autocompAlmoco[[#This Row],[COMP ESCALA ANTERIOR]]="NÃO","NÃO",_xlfn.XLOOKUP(autocompAlmoco[[#This Row],[COMP ESCALA ANTERIOR]],tabE.Flux[COMP.AT. MOT A],tabE.Flux[LINHA],"NÃO",0,1))</f>
        <v>NÃO</v>
      </c>
      <c r="J81" s="58" t="str">
        <f>IF(autocompAlmoco[[#This Row],[COMP ESCALA ANTERIOR]]="NÃO","NÃO",_xlfn.XLOOKUP(autocompAlmoco[[#This Row],[COMP ESCALA ANTERIOR]],tabE.Flux[COMP.AT. MOT B],tabE.Flux[LINHA],"NÃO",0,1))</f>
        <v>NÃO</v>
      </c>
      <c r="K81" s="62" t="str">
        <f>IF(AND(autocompAlmoco[[#This Row],[EXISTE MOT A ANT]]="NÃO",autocompAlmoco[[#This Row],[EXISTE MOT B ANT]]="NÃO"),"NÃO","SIM")</f>
        <v>NÃO</v>
      </c>
      <c r="L81" s="73" t="str">
        <f t="shared" si="2"/>
        <v>45897+PAULO ENEAS FARIAS ARAUJO - 6218</v>
      </c>
      <c r="M81" s="59" t="str">
        <f>IF(autocompAlmoco[[#This Row],[COMP ESCALA POSTERIOR]]="NÃO","NÃO",_xlfn.XLOOKUP(autocompAlmoco[[#This Row],[COMP ESCALA POSTERIOR]],tabE.Flux[COMP.AT. MOT A],tabE.Flux[LINHA],"NÃO",0,1))</f>
        <v>NÃO</v>
      </c>
      <c r="N81" s="59" t="str">
        <f>IF(autocompAlmoco[[#This Row],[COMP ESCALA POSTERIOR]]="NÃO","NÃO",_xlfn.XLOOKUP(autocompAlmoco[[#This Row],[COMP ESCALA POSTERIOR]],tabE.Flux[COMP.AT. MOT B],tabE.Flux[LINHA],"NÃO",0,1))</f>
        <v>NÃO</v>
      </c>
      <c r="O81" s="65" t="str">
        <f>IF(AND(autocompAlmoco[[#This Row],[EXISTE MOT A POS]]="NÃO",autocompAlmoco[[#This Row],[EXISTE MOT B POS]]="NÃO"),"NÃO","SIM")</f>
        <v>NÃO</v>
      </c>
      <c r="P81" s="66" t="str" cm="1">
        <f t="array" ref="P8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81" s="75" t="str" cm="1">
        <f t="array" ref="Q8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45896+PAULO ENEAS FARIAS ARAUJO - 6218+GOIANIA (GO) X SAO LUIS (MA)</v>
      </c>
      <c r="R81" s="67">
        <f>_xlfn.XLOOKUP(autocompAlmoco[[#This Row],[COMP ESCALA]],tabE.Flux[COMP. ESCALA MOT B],tabE.Flux[CARRO],
(_xlfn.XLOOKUP(autocompAlmoco[[#This Row],[COMP ESCALA]],tabE.Flux[COMP. ESCALA MOT A],tabE.Flux[CARRO],"N/E",0,1)),0,1)</f>
        <v>25006</v>
      </c>
      <c r="S81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81" s="127">
        <v>45896</v>
      </c>
      <c r="U81" s="4">
        <f>IF(IFERROR(autocompAlmoco[[#This Row],[CORRESP. CARRO]],"")="NÃO",(IF(tabAlmoco[[#This Row],[MOTORISTA]]=0,"","PASSE?")),autocompAlmoco[[#This Row],[CORRESP. CARRO]])</f>
        <v>25006</v>
      </c>
      <c r="V81" s="126">
        <f>IF(OR(ISERR(autocompAlmoco[[#This Row],[CORRESP HORARIO]]), autocompAlmoco[[#This Row],[CORRESP HORARIO]]&lt;&gt;"NÃO"),autocompAlmoco[[#This Row],[CORRESP HORARIO]],"")</f>
        <v>0.29166666666666669</v>
      </c>
      <c r="W81" s="4" t="s">
        <v>299</v>
      </c>
      <c r="X81" s="4" t="s">
        <v>43</v>
      </c>
      <c r="Y81" s="1">
        <f>IF(tabAlmoco[[#This Row],[MOTORISTA]]="","",COUNTIF(autocompAlmoco[COMP ESCALA ATUAL],autocompAlmoco[[#This Row],[COMP ESCALA ATUAL]]))</f>
        <v>1</v>
      </c>
      <c r="Z81" s="45">
        <f>IF(tabAlmoco[[#This Row],[MOTORISTA]]&lt;&gt;0,15,"")</f>
        <v>15</v>
      </c>
      <c r="AA81" s="4" t="str">
        <f>autocompAlmoco[[#This Row],[CORRESP LINHA]]</f>
        <v>GOIANIA (GO) X SAO LUIS (MA)</v>
      </c>
    </row>
    <row r="82" spans="3:27" hidden="1" x14ac:dyDescent="0.25">
      <c r="C82" s="140" t="s">
        <v>226</v>
      </c>
      <c r="D82" s="56" t="str">
        <f>IF(tabAlmoco[[#This Row],[MOTORISTA]]="","",_xlfn.CONCAT(tabAlmoco[[#This Row],[DATA]],"+",tabAlmoco[[#This Row],[MOTORISTA]]))</f>
        <v>45897+ANTONIO RAMIRO WEBER - 5452</v>
      </c>
      <c r="E82" s="56" t="str">
        <f>_xlfn.XLOOKUP(autocompAlmoco[[#This Row],[COMP ESCALA ATUAL]],tabE.Flux[COMP.AT. MOT A],tabE.Flux[LINHA],"NÃO",0,1)</f>
        <v>NÃO</v>
      </c>
      <c r="F82" s="56" t="str">
        <f>_xlfn.XLOOKUP(autocompAlmoco[[#This Row],[COMP ESCALA ATUAL]],tabE.Flux[COMP.AT. MOT B],tabE.Flux[LINHA],"NÃO",0,1)</f>
        <v>GOIANIA (GO) X SAO LUIS (MA)</v>
      </c>
      <c r="G82" s="61" t="str">
        <f>IF(AND(autocompAlmoco[[#This Row],[EXISTE MOT A AT]]="NÃO", autocompAlmoco[[#This Row],[EXISTE MOT B AT]]="NÃO"),"NÃO","SIM")</f>
        <v>SIM</v>
      </c>
      <c r="H82" s="71" t="str">
        <f>IF(autocompAlmoco[[#This Row],[EXISTE ESCALA ATUAL]]="NÃO",_xlfn.CONCAT(tabAlmoco[[#This Row],[DATA]]-1,"+",tabAlmoco[[#This Row],[MOTORISTA]]),"NÃO")</f>
        <v>NÃO</v>
      </c>
      <c r="I82" s="57" t="str">
        <f>IF(autocompAlmoco[[#This Row],[COMP ESCALA ANTERIOR]]="NÃO","NÃO",_xlfn.XLOOKUP(autocompAlmoco[[#This Row],[COMP ESCALA ANTERIOR]],tabE.Flux[COMP.AT. MOT A],tabE.Flux[LINHA],"NÃO",0,1))</f>
        <v>NÃO</v>
      </c>
      <c r="J82" s="58" t="str">
        <f>IF(autocompAlmoco[[#This Row],[COMP ESCALA ANTERIOR]]="NÃO","NÃO",_xlfn.XLOOKUP(autocompAlmoco[[#This Row],[COMP ESCALA ANTERIOR]],tabE.Flux[COMP.AT. MOT B],tabE.Flux[LINHA],"NÃO",0,1))</f>
        <v>NÃO</v>
      </c>
      <c r="K82" s="62" t="str">
        <f>IF(AND(autocompAlmoco[[#This Row],[EXISTE MOT A ANT]]="NÃO",autocompAlmoco[[#This Row],[EXISTE MOT B ANT]]="NÃO"),"NÃO","SIM")</f>
        <v>NÃO</v>
      </c>
      <c r="L82" s="73" t="str">
        <f t="shared" si="2"/>
        <v>45898+ANTONIO RAMIRO WEBER - 5452</v>
      </c>
      <c r="M82" s="59" t="str">
        <f>IF(autocompAlmoco[[#This Row],[COMP ESCALA POSTERIOR]]="NÃO","NÃO",_xlfn.XLOOKUP(autocompAlmoco[[#This Row],[COMP ESCALA POSTERIOR]],tabE.Flux[COMP.AT. MOT A],tabE.Flux[LINHA],"NÃO",0,1))</f>
        <v>IMPERATRIZ (MA) X SÃO LUIS (MA)</v>
      </c>
      <c r="N82" s="59" t="str">
        <f>IF(autocompAlmoco[[#This Row],[COMP ESCALA POSTERIOR]]="NÃO","NÃO",_xlfn.XLOOKUP(autocompAlmoco[[#This Row],[COMP ESCALA POSTERIOR]],tabE.Flux[COMP.AT. MOT B],tabE.Flux[LINHA],"NÃO",0,1))</f>
        <v>NÃO</v>
      </c>
      <c r="O82" s="65" t="str">
        <f>IF(AND(autocompAlmoco[[#This Row],[EXISTE MOT A POS]]="NÃO",autocompAlmoco[[#This Row],[EXISTE MOT B POS]]="NÃO"),"NÃO","SIM")</f>
        <v>SIM</v>
      </c>
      <c r="P82" s="66" t="str" cm="1">
        <f t="array" ref="P8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82" s="75" t="str" cm="1">
        <f t="array" ref="Q8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45897+ANTONIO RAMIRO WEBER - 5452+GOIANIA (GO) X SAO LUIS (MA)</v>
      </c>
      <c r="R82" s="67">
        <f>_xlfn.XLOOKUP(autocompAlmoco[[#This Row],[COMP ESCALA]],tabE.Flux[COMP. ESCALA MOT B],tabE.Flux[CARRO],
(_xlfn.XLOOKUP(autocompAlmoco[[#This Row],[COMP ESCALA]],tabE.Flux[COMP. ESCALA MOT A],tabE.Flux[CARRO],"N/E",0,1)),0,1)</f>
        <v>19006</v>
      </c>
      <c r="S82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82" s="127">
        <v>45897</v>
      </c>
      <c r="U82" s="4">
        <f>IF(IFERROR(autocompAlmoco[[#This Row],[CORRESP. CARRO]],"")="NÃO",(IF(tabAlmoco[[#This Row],[MOTORISTA]]=0,"","PASSE?")),autocompAlmoco[[#This Row],[CORRESP. CARRO]])</f>
        <v>19006</v>
      </c>
      <c r="V82" s="126">
        <f>IF(OR(ISERR(autocompAlmoco[[#This Row],[CORRESP HORARIO]]), autocompAlmoco[[#This Row],[CORRESP HORARIO]]&lt;&gt;"NÃO"),autocompAlmoco[[#This Row],[CORRESP HORARIO]],"")</f>
        <v>0.29166666666666669</v>
      </c>
      <c r="W82" s="4" t="s">
        <v>299</v>
      </c>
      <c r="X82" s="4" t="s">
        <v>79</v>
      </c>
      <c r="Y82" s="1">
        <f>IF(tabAlmoco[[#This Row],[MOTORISTA]]="","",COUNTIF(autocompAlmoco[COMP ESCALA ATUAL],autocompAlmoco[[#This Row],[COMP ESCALA ATUAL]]))</f>
        <v>1</v>
      </c>
      <c r="Z82" s="45">
        <f>IF(tabAlmoco[[#This Row],[MOTORISTA]]&lt;&gt;0,15,"")</f>
        <v>15</v>
      </c>
      <c r="AA82" s="4" t="str">
        <f>autocompAlmoco[[#This Row],[CORRESP LINHA]]</f>
        <v>GOIANIA (GO) X SAO LUIS (MA)</v>
      </c>
    </row>
    <row r="83" spans="3:27" hidden="1" x14ac:dyDescent="0.25">
      <c r="C83" s="140" t="s">
        <v>226</v>
      </c>
      <c r="D83" s="56" t="str">
        <f>IF(tabAlmoco[[#This Row],[MOTORISTA]]="","",_xlfn.CONCAT(tabAlmoco[[#This Row],[DATA]],"+",tabAlmoco[[#This Row],[MOTORISTA]]))</f>
        <v>45897+ELIEZIO JOSE DOS SANTOS - 2645</v>
      </c>
      <c r="E83" s="56" t="str">
        <f>_xlfn.XLOOKUP(autocompAlmoco[[#This Row],[COMP ESCALA ATUAL]],tabE.Flux[COMP.AT. MOT A],tabE.Flux[LINHA],"NÃO",0,1)</f>
        <v>NÃO</v>
      </c>
      <c r="F83" s="56" t="str">
        <f>_xlfn.XLOOKUP(autocompAlmoco[[#This Row],[COMP ESCALA ATUAL]],tabE.Flux[COMP.AT. MOT B],tabE.Flux[LINHA],"NÃO",0,1)</f>
        <v>GOIANIA (GO) X SAO LUIS (MA)</v>
      </c>
      <c r="G83" s="61" t="str">
        <f>IF(AND(autocompAlmoco[[#This Row],[EXISTE MOT A AT]]="NÃO", autocompAlmoco[[#This Row],[EXISTE MOT B AT]]="NÃO"),"NÃO","SIM")</f>
        <v>SIM</v>
      </c>
      <c r="H83" s="71" t="str">
        <f>IF(autocompAlmoco[[#This Row],[EXISTE ESCALA ATUAL]]="NÃO",_xlfn.CONCAT(tabAlmoco[[#This Row],[DATA]]-1,"+",tabAlmoco[[#This Row],[MOTORISTA]]),"NÃO")</f>
        <v>NÃO</v>
      </c>
      <c r="I83" s="57" t="str">
        <f>IF(autocompAlmoco[[#This Row],[COMP ESCALA ANTERIOR]]="NÃO","NÃO",_xlfn.XLOOKUP(autocompAlmoco[[#This Row],[COMP ESCALA ANTERIOR]],tabE.Flux[COMP.AT. MOT A],tabE.Flux[LINHA],"NÃO",0,1))</f>
        <v>NÃO</v>
      </c>
      <c r="J83" s="58" t="str">
        <f>IF(autocompAlmoco[[#This Row],[COMP ESCALA ANTERIOR]]="NÃO","NÃO",_xlfn.XLOOKUP(autocompAlmoco[[#This Row],[COMP ESCALA ANTERIOR]],tabE.Flux[COMP.AT. MOT B],tabE.Flux[LINHA],"NÃO",0,1))</f>
        <v>NÃO</v>
      </c>
      <c r="K83" s="62" t="str">
        <f>IF(AND(autocompAlmoco[[#This Row],[EXISTE MOT A ANT]]="NÃO",autocompAlmoco[[#This Row],[EXISTE MOT B ANT]]="NÃO"),"NÃO","SIM")</f>
        <v>NÃO</v>
      </c>
      <c r="L83" s="73" t="str">
        <f t="shared" si="2"/>
        <v>45898+ELIEZIO JOSE DOS SANTOS - 2645</v>
      </c>
      <c r="M83" s="59" t="str">
        <f>IF(autocompAlmoco[[#This Row],[COMP ESCALA POSTERIOR]]="NÃO","NÃO",_xlfn.XLOOKUP(autocompAlmoco[[#This Row],[COMP ESCALA POSTERIOR]],tabE.Flux[COMP.AT. MOT A],tabE.Flux[LINHA],"NÃO",0,1))</f>
        <v>NÃO</v>
      </c>
      <c r="N83" s="59" t="str">
        <f>IF(autocompAlmoco[[#This Row],[COMP ESCALA POSTERIOR]]="NÃO","NÃO",_xlfn.XLOOKUP(autocompAlmoco[[#This Row],[COMP ESCALA POSTERIOR]],tabE.Flux[COMP.AT. MOT B],tabE.Flux[LINHA],"NÃO",0,1))</f>
        <v>NÃO</v>
      </c>
      <c r="O83" s="65" t="str">
        <f>IF(AND(autocompAlmoco[[#This Row],[EXISTE MOT A POS]]="NÃO",autocompAlmoco[[#This Row],[EXISTE MOT B POS]]="NÃO"),"NÃO","SIM")</f>
        <v>NÃO</v>
      </c>
      <c r="P83" s="66" t="str" cm="1">
        <f t="array" ref="P8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83" s="75" t="str" cm="1">
        <f t="array" ref="Q8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45897+ELIEZIO JOSE DOS SANTOS - 2645+GOIANIA (GO) X SAO LUIS (MA)</v>
      </c>
      <c r="R83" s="67">
        <f>_xlfn.XLOOKUP(autocompAlmoco[[#This Row],[COMP ESCALA]],tabE.Flux[COMP. ESCALA MOT B],tabE.Flux[CARRO],
(_xlfn.XLOOKUP(autocompAlmoco[[#This Row],[COMP ESCALA]],tabE.Flux[COMP. ESCALA MOT A],tabE.Flux[CARRO],"N/E",0,1)),0,1)</f>
        <v>25006</v>
      </c>
      <c r="S83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83" s="127">
        <v>45897</v>
      </c>
      <c r="U83" s="4">
        <f>IF(IFERROR(autocompAlmoco[[#This Row],[CORRESP. CARRO]],"")="NÃO",(IF(tabAlmoco[[#This Row],[MOTORISTA]]=0,"","PASSE?")),autocompAlmoco[[#This Row],[CORRESP. CARRO]])</f>
        <v>25006</v>
      </c>
      <c r="V83" s="126">
        <f>IF(OR(ISERR(autocompAlmoco[[#This Row],[CORRESP HORARIO]]), autocompAlmoco[[#This Row],[CORRESP HORARIO]]&lt;&gt;"NÃO"),autocompAlmoco[[#This Row],[CORRESP HORARIO]],"")</f>
        <v>0.79166666666666663</v>
      </c>
      <c r="W83" s="4" t="s">
        <v>299</v>
      </c>
      <c r="X83" s="4" t="s">
        <v>53</v>
      </c>
      <c r="Y83" s="1">
        <f>IF(tabAlmoco[[#This Row],[MOTORISTA]]="","",COUNTIF(autocompAlmoco[COMP ESCALA ATUAL],autocompAlmoco[[#This Row],[COMP ESCALA ATUAL]]))</f>
        <v>1</v>
      </c>
      <c r="Z83" s="45">
        <f>IF(tabAlmoco[[#This Row],[MOTORISTA]]&lt;&gt;0,15,"")</f>
        <v>15</v>
      </c>
      <c r="AA83" s="4" t="str">
        <f>autocompAlmoco[[#This Row],[CORRESP LINHA]]</f>
        <v>GOIANIA (GO) X SAO LUIS (MA)</v>
      </c>
    </row>
    <row r="84" spans="3:27" hidden="1" x14ac:dyDescent="0.25">
      <c r="C84" s="140" t="s">
        <v>226</v>
      </c>
      <c r="D84" s="56" t="str">
        <f>IF(tabAlmoco[[#This Row],[MOTORISTA]]="","",_xlfn.CONCAT(tabAlmoco[[#This Row],[DATA]],"+",tabAlmoco[[#This Row],[MOTORISTA]]))</f>
        <v>45897+IZALMIR RODRIGUES COELHO - 958</v>
      </c>
      <c r="E84" s="56" t="str">
        <f>_xlfn.XLOOKUP(autocompAlmoco[[#This Row],[COMP ESCALA ATUAL]],tabE.Flux[COMP.AT. MOT A],tabE.Flux[LINHA],"NÃO",0,1)</f>
        <v>NÃO</v>
      </c>
      <c r="F84" s="56" t="str">
        <f>_xlfn.XLOOKUP(autocompAlmoco[[#This Row],[COMP ESCALA ATUAL]],tabE.Flux[COMP.AT. MOT B],tabE.Flux[LINHA],"NÃO",0,1)</f>
        <v>NÃO</v>
      </c>
      <c r="G84" s="61" t="str">
        <f>IF(AND(autocompAlmoco[[#This Row],[EXISTE MOT A AT]]="NÃO", autocompAlmoco[[#This Row],[EXISTE MOT B AT]]="NÃO"),"NÃO","SIM")</f>
        <v>NÃO</v>
      </c>
      <c r="H84" s="71" t="str">
        <f>IF(autocompAlmoco[[#This Row],[EXISTE ESCALA ATUAL]]="NÃO",_xlfn.CONCAT(tabAlmoco[[#This Row],[DATA]]-1,"+",tabAlmoco[[#This Row],[MOTORISTA]]),"NÃO")</f>
        <v>45896+IZALMIR RODRIGUES COELHO - 958</v>
      </c>
      <c r="I84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84" s="58" t="str">
        <f>IF(autocompAlmoco[[#This Row],[COMP ESCALA ANTERIOR]]="NÃO","NÃO",_xlfn.XLOOKUP(autocompAlmoco[[#This Row],[COMP ESCALA ANTERIOR]],tabE.Flux[COMP.AT. MOT B],tabE.Flux[LINHA],"NÃO",0,1))</f>
        <v>NÃO</v>
      </c>
      <c r="K84" s="62" t="str">
        <f>IF(AND(autocompAlmoco[[#This Row],[EXISTE MOT A ANT]]="NÃO",autocompAlmoco[[#This Row],[EXISTE MOT B ANT]]="NÃO"),"NÃO","SIM")</f>
        <v>SIM</v>
      </c>
      <c r="L84" s="73" t="str">
        <f t="shared" si="2"/>
        <v>45898+IZALMIR RODRIGUES COELHO - 958</v>
      </c>
      <c r="M84" s="59" t="str">
        <f>IF(autocompAlmoco[[#This Row],[COMP ESCALA POSTERIOR]]="NÃO","NÃO",_xlfn.XLOOKUP(autocompAlmoco[[#This Row],[COMP ESCALA POSTERIOR]],tabE.Flux[COMP.AT. MOT A],tabE.Flux[LINHA],"NÃO",0,1))</f>
        <v>NÃO</v>
      </c>
      <c r="N84" s="59" t="str">
        <f>IF(autocompAlmoco[[#This Row],[COMP ESCALA POSTERIOR]]="NÃO","NÃO",_xlfn.XLOOKUP(autocompAlmoco[[#This Row],[COMP ESCALA POSTERIOR]],tabE.Flux[COMP.AT. MOT B],tabE.Flux[LINHA],"NÃO",0,1))</f>
        <v>NÃO</v>
      </c>
      <c r="O84" s="65" t="str">
        <f>IF(AND(autocompAlmoco[[#This Row],[EXISTE MOT A POS]]="NÃO",autocompAlmoco[[#This Row],[EXISTE MOT B POS]]="NÃO"),"NÃO","SIM")</f>
        <v>NÃO</v>
      </c>
      <c r="P84" s="66" t="str" cm="1">
        <f t="array" ref="P8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84" s="75" t="str" cm="1">
        <f t="array" ref="Q8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45896+IZALMIR RODRIGUES COELHO - 958+GOIANIA (GO) X TERESINA (PI) VIA STI</v>
      </c>
      <c r="R84" s="67">
        <f>_xlfn.XLOOKUP(autocompAlmoco[[#This Row],[COMP ESCALA]],tabE.Flux[COMP. ESCALA MOT B],tabE.Flux[CARRO],
(_xlfn.XLOOKUP(autocompAlmoco[[#This Row],[COMP ESCALA]],tabE.Flux[COMP. ESCALA MOT A],tabE.Flux[CARRO],"N/E",0,1)),0,1)</f>
        <v>15800</v>
      </c>
      <c r="S84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84" s="127">
        <v>45897</v>
      </c>
      <c r="U84" s="4">
        <f>IF(IFERROR(autocompAlmoco[[#This Row],[CORRESP. CARRO]],"")="NÃO",(IF(tabAlmoco[[#This Row],[MOTORISTA]]=0,"","PASSE?")),autocompAlmoco[[#This Row],[CORRESP. CARRO]])</f>
        <v>15800</v>
      </c>
      <c r="V84" s="126">
        <f>IF(OR(ISERR(autocompAlmoco[[#This Row],[CORRESP HORARIO]]), autocompAlmoco[[#This Row],[CORRESP HORARIO]]&lt;&gt;"NÃO"),autocompAlmoco[[#This Row],[CORRESP HORARIO]],"")</f>
        <v>0.79861111111111116</v>
      </c>
      <c r="W84" s="4" t="s">
        <v>299</v>
      </c>
      <c r="X84" s="4" t="s">
        <v>83</v>
      </c>
      <c r="Y84" s="1">
        <f>IF(tabAlmoco[[#This Row],[MOTORISTA]]="","",COUNTIF(autocompAlmoco[COMP ESCALA ATUAL],autocompAlmoco[[#This Row],[COMP ESCALA ATUAL]]))</f>
        <v>1</v>
      </c>
      <c r="Z84" s="45">
        <f>IF(tabAlmoco[[#This Row],[MOTORISTA]]&lt;&gt;0,15,"")</f>
        <v>15</v>
      </c>
      <c r="AA84" s="4" t="str">
        <f>autocompAlmoco[[#This Row],[CORRESP LINHA]]</f>
        <v>GOIANIA (GO) X TERESINA (PI) VIA STI</v>
      </c>
    </row>
    <row r="85" spans="3:27" hidden="1" x14ac:dyDescent="0.25">
      <c r="C85" s="140" t="s">
        <v>226</v>
      </c>
      <c r="D85" s="56" t="str">
        <f>IF(tabAlmoco[[#This Row],[MOTORISTA]]="","",_xlfn.CONCAT(tabAlmoco[[#This Row],[DATA]],"+",tabAlmoco[[#This Row],[MOTORISTA]]))</f>
        <v>45897+MARCOS AUGUSTO SILVA ROCHA - 5268</v>
      </c>
      <c r="E85" s="56" t="str">
        <f>_xlfn.XLOOKUP(autocompAlmoco[[#This Row],[COMP ESCALA ATUAL]],tabE.Flux[COMP.AT. MOT A],tabE.Flux[LINHA],"NÃO",0,1)</f>
        <v>NÃO</v>
      </c>
      <c r="F85" s="56" t="str">
        <f>_xlfn.XLOOKUP(autocompAlmoco[[#This Row],[COMP ESCALA ATUAL]],tabE.Flux[COMP.AT. MOT B],tabE.Flux[LINHA],"NÃO",0,1)</f>
        <v>FORTALEZA (CE) X SINOP (MT)</v>
      </c>
      <c r="G85" s="61" t="str">
        <f>IF(AND(autocompAlmoco[[#This Row],[EXISTE MOT A AT]]="NÃO", autocompAlmoco[[#This Row],[EXISTE MOT B AT]]="NÃO"),"NÃO","SIM")</f>
        <v>SIM</v>
      </c>
      <c r="H85" s="71" t="str">
        <f>IF(autocompAlmoco[[#This Row],[EXISTE ESCALA ATUAL]]="NÃO",_xlfn.CONCAT(tabAlmoco[[#This Row],[DATA]]-1,"+",tabAlmoco[[#This Row],[MOTORISTA]]),"NÃO")</f>
        <v>NÃO</v>
      </c>
      <c r="I85" s="57" t="str">
        <f>IF(autocompAlmoco[[#This Row],[COMP ESCALA ANTERIOR]]="NÃO","NÃO",_xlfn.XLOOKUP(autocompAlmoco[[#This Row],[COMP ESCALA ANTERIOR]],tabE.Flux[COMP.AT. MOT A],tabE.Flux[LINHA],"NÃO",0,1))</f>
        <v>NÃO</v>
      </c>
      <c r="J85" s="58" t="str">
        <f>IF(autocompAlmoco[[#This Row],[COMP ESCALA ANTERIOR]]="NÃO","NÃO",_xlfn.XLOOKUP(autocompAlmoco[[#This Row],[COMP ESCALA ANTERIOR]],tabE.Flux[COMP.AT. MOT B],tabE.Flux[LINHA],"NÃO",0,1))</f>
        <v>NÃO</v>
      </c>
      <c r="K85" s="62" t="str">
        <f>IF(AND(autocompAlmoco[[#This Row],[EXISTE MOT A ANT]]="NÃO",autocompAlmoco[[#This Row],[EXISTE MOT B ANT]]="NÃO"),"NÃO","SIM")</f>
        <v>NÃO</v>
      </c>
      <c r="L85" s="73" t="str">
        <f t="shared" si="2"/>
        <v>45898+MARCOS AUGUSTO SILVA ROCHA - 5268</v>
      </c>
      <c r="M85" s="59" t="str">
        <f>IF(autocompAlmoco[[#This Row],[COMP ESCALA POSTERIOR]]="NÃO","NÃO",_xlfn.XLOOKUP(autocompAlmoco[[#This Row],[COMP ESCALA POSTERIOR]],tabE.Flux[COMP.AT. MOT A],tabE.Flux[LINHA],"NÃO",0,1))</f>
        <v>NÃO</v>
      </c>
      <c r="N85" s="59" t="str">
        <f>IF(autocompAlmoco[[#This Row],[COMP ESCALA POSTERIOR]]="NÃO","NÃO",_xlfn.XLOOKUP(autocompAlmoco[[#This Row],[COMP ESCALA POSTERIOR]],tabE.Flux[COMP.AT. MOT B],tabE.Flux[LINHA],"NÃO",0,1))</f>
        <v>NÃO</v>
      </c>
      <c r="O85" s="65" t="str">
        <f>IF(AND(autocompAlmoco[[#This Row],[EXISTE MOT A POS]]="NÃO",autocompAlmoco[[#This Row],[EXISTE MOT B POS]]="NÃO"),"NÃO","SIM")</f>
        <v>NÃO</v>
      </c>
      <c r="P85" s="66" t="str" cm="1">
        <f t="array" ref="P8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85" s="75" t="str" cm="1">
        <f t="array" ref="Q8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45897+MARCOS AUGUSTO SILVA ROCHA - 5268+FORTALEZA (CE) X SINOP (MT)</v>
      </c>
      <c r="R85" s="67">
        <f>_xlfn.XLOOKUP(autocompAlmoco[[#This Row],[COMP ESCALA]],tabE.Flux[COMP. ESCALA MOT B],tabE.Flux[CARRO],
(_xlfn.XLOOKUP(autocompAlmoco[[#This Row],[COMP ESCALA]],tabE.Flux[COMP. ESCALA MOT A],tabE.Flux[CARRO],"N/E",0,1)),0,1)</f>
        <v>19003</v>
      </c>
      <c r="S85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85" s="127">
        <v>45897</v>
      </c>
      <c r="U85" s="4">
        <f>IF(IFERROR(autocompAlmoco[[#This Row],[CORRESP. CARRO]],"")="NÃO",(IF(tabAlmoco[[#This Row],[MOTORISTA]]=0,"","PASSE?")),autocompAlmoco[[#This Row],[CORRESP. CARRO]])</f>
        <v>19003</v>
      </c>
      <c r="V85" s="126">
        <f>IF(OR(ISERR(autocompAlmoco[[#This Row],[CORRESP HORARIO]]), autocompAlmoco[[#This Row],[CORRESP HORARIO]]&lt;&gt;"NÃO"),autocompAlmoco[[#This Row],[CORRESP HORARIO]],"")</f>
        <v>0.37708333333333333</v>
      </c>
      <c r="W85" s="4" t="s">
        <v>299</v>
      </c>
      <c r="X85" s="4" t="s">
        <v>221</v>
      </c>
      <c r="Y85" s="1">
        <f>IF(tabAlmoco[[#This Row],[MOTORISTA]]="","",COUNTIF(autocompAlmoco[COMP ESCALA ATUAL],autocompAlmoco[[#This Row],[COMP ESCALA ATUAL]]))</f>
        <v>1</v>
      </c>
      <c r="Z85" s="45">
        <f>IF(tabAlmoco[[#This Row],[MOTORISTA]]&lt;&gt;0,15,"")</f>
        <v>15</v>
      </c>
      <c r="AA85" s="4" t="str">
        <f>autocompAlmoco[[#This Row],[CORRESP LINHA]]</f>
        <v>FORTALEZA (CE) X SINOP (MT)</v>
      </c>
    </row>
    <row r="86" spans="3:27" hidden="1" x14ac:dyDescent="0.25">
      <c r="C86" s="140" t="s">
        <v>226</v>
      </c>
      <c r="D86" s="56" t="str">
        <f>IF(tabAlmoco[[#This Row],[MOTORISTA]]="","",_xlfn.CONCAT(tabAlmoco[[#This Row],[DATA]],"+",tabAlmoco[[#This Row],[MOTORISTA]]))</f>
        <v>45897+LAUCEANDO DA SILVA ROCHA - 6220</v>
      </c>
      <c r="E86" s="56" t="str">
        <f>_xlfn.XLOOKUP(autocompAlmoco[[#This Row],[COMP ESCALA ATUAL]],tabE.Flux[COMP.AT. MOT A],tabE.Flux[LINHA],"NÃO",0,1)</f>
        <v>NÃO</v>
      </c>
      <c r="F86" s="56" t="str">
        <f>_xlfn.XLOOKUP(autocompAlmoco[[#This Row],[COMP ESCALA ATUAL]],tabE.Flux[COMP.AT. MOT B],tabE.Flux[LINHA],"NÃO",0,1)</f>
        <v>GOIANIA (GO) X SAO LUIS (MA)</v>
      </c>
      <c r="G86" s="61" t="str">
        <f>IF(AND(autocompAlmoco[[#This Row],[EXISTE MOT A AT]]="NÃO", autocompAlmoco[[#This Row],[EXISTE MOT B AT]]="NÃO"),"NÃO","SIM")</f>
        <v>SIM</v>
      </c>
      <c r="H86" s="71" t="str">
        <f>IF(autocompAlmoco[[#This Row],[EXISTE ESCALA ATUAL]]="NÃO",_xlfn.CONCAT(tabAlmoco[[#This Row],[DATA]]-1,"+",tabAlmoco[[#This Row],[MOTORISTA]]),"NÃO")</f>
        <v>NÃO</v>
      </c>
      <c r="I86" s="57" t="str">
        <f>IF(autocompAlmoco[[#This Row],[COMP ESCALA ANTERIOR]]="NÃO","NÃO",_xlfn.XLOOKUP(autocompAlmoco[[#This Row],[COMP ESCALA ANTERIOR]],tabE.Flux[COMP.AT. MOT A],tabE.Flux[LINHA],"NÃO",0,1))</f>
        <v>NÃO</v>
      </c>
      <c r="J86" s="58" t="str">
        <f>IF(autocompAlmoco[[#This Row],[COMP ESCALA ANTERIOR]]="NÃO","NÃO",_xlfn.XLOOKUP(autocompAlmoco[[#This Row],[COMP ESCALA ANTERIOR]],tabE.Flux[COMP.AT. MOT B],tabE.Flux[LINHA],"NÃO",0,1))</f>
        <v>NÃO</v>
      </c>
      <c r="K86" s="62" t="str">
        <f>IF(AND(autocompAlmoco[[#This Row],[EXISTE MOT A ANT]]="NÃO",autocompAlmoco[[#This Row],[EXISTE MOT B ANT]]="NÃO"),"NÃO","SIM")</f>
        <v>NÃO</v>
      </c>
      <c r="L86" s="73" t="str">
        <f t="shared" si="2"/>
        <v>45898+LAUCEANDO DA SILVA ROCHA - 6220</v>
      </c>
      <c r="M86" s="59" t="str">
        <f>IF(autocompAlmoco[[#This Row],[COMP ESCALA POSTERIOR]]="NÃO","NÃO",_xlfn.XLOOKUP(autocompAlmoco[[#This Row],[COMP ESCALA POSTERIOR]],tabE.Flux[COMP.AT. MOT A],tabE.Flux[LINHA],"NÃO",0,1))</f>
        <v>NÃO</v>
      </c>
      <c r="N86" s="59" t="str">
        <f>IF(autocompAlmoco[[#This Row],[COMP ESCALA POSTERIOR]]="NÃO","NÃO",_xlfn.XLOOKUP(autocompAlmoco[[#This Row],[COMP ESCALA POSTERIOR]],tabE.Flux[COMP.AT. MOT B],tabE.Flux[LINHA],"NÃO",0,1))</f>
        <v>NÃO</v>
      </c>
      <c r="O86" s="65" t="str">
        <f>IF(AND(autocompAlmoco[[#This Row],[EXISTE MOT A POS]]="NÃO",autocompAlmoco[[#This Row],[EXISTE MOT B POS]]="NÃO"),"NÃO","SIM")</f>
        <v>NÃO</v>
      </c>
      <c r="P86" s="66" t="str" cm="1">
        <f t="array" ref="P8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86" s="75" t="str" cm="1">
        <f t="array" ref="Q8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45897+LAUCEANDO DA SILVA ROCHA - 6220+GOIANIA (GO) X SAO LUIS (MA)</v>
      </c>
      <c r="R86" s="67">
        <f>_xlfn.XLOOKUP(autocompAlmoco[[#This Row],[COMP ESCALA]],tabE.Flux[COMP. ESCALA MOT B],tabE.Flux[CARRO],
(_xlfn.XLOOKUP(autocompAlmoco[[#This Row],[COMP ESCALA]],tabE.Flux[COMP. ESCALA MOT A],tabE.Flux[CARRO],"N/E",0,1)),0,1)</f>
        <v>19013</v>
      </c>
      <c r="S86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86" s="127">
        <v>45897</v>
      </c>
      <c r="U86" s="4">
        <f>IF(IFERROR(autocompAlmoco[[#This Row],[CORRESP. CARRO]],"")="NÃO",(IF(tabAlmoco[[#This Row],[MOTORISTA]]=0,"","PASSE?")),autocompAlmoco[[#This Row],[CORRESP. CARRO]])</f>
        <v>19013</v>
      </c>
      <c r="V86" s="126">
        <f>IF(OR(ISERR(autocompAlmoco[[#This Row],[CORRESP HORARIO]]), autocompAlmoco[[#This Row],[CORRESP HORARIO]]&lt;&gt;"NÃO"),autocompAlmoco[[#This Row],[CORRESP HORARIO]],"")</f>
        <v>0.47013888888888888</v>
      </c>
      <c r="W86" s="4" t="s">
        <v>299</v>
      </c>
      <c r="X86" s="4" t="s">
        <v>86</v>
      </c>
      <c r="Y86" s="1">
        <f>IF(tabAlmoco[[#This Row],[MOTORISTA]]="","",COUNTIF(autocompAlmoco[COMP ESCALA ATUAL],autocompAlmoco[[#This Row],[COMP ESCALA ATUAL]]))</f>
        <v>1</v>
      </c>
      <c r="Z86" s="45">
        <f>IF(tabAlmoco[[#This Row],[MOTORISTA]]&lt;&gt;0,15,"")</f>
        <v>15</v>
      </c>
      <c r="AA86" s="4" t="str">
        <f>autocompAlmoco[[#This Row],[CORRESP LINHA]]</f>
        <v>GOIANIA (GO) X SAO LUIS (MA)</v>
      </c>
    </row>
    <row r="87" spans="3:27" hidden="1" x14ac:dyDescent="0.25">
      <c r="C87" s="140" t="s">
        <v>226</v>
      </c>
      <c r="D87" s="56" t="str">
        <f>IF(tabAlmoco[[#This Row],[MOTORISTA]]="","",_xlfn.CONCAT(tabAlmoco[[#This Row],[DATA]],"+",tabAlmoco[[#This Row],[MOTORISTA]]))</f>
        <v>45897+EDIVALDO DE ARAUJO - 6217</v>
      </c>
      <c r="E87" s="56" t="str">
        <f>_xlfn.XLOOKUP(autocompAlmoco[[#This Row],[COMP ESCALA ATUAL]],tabE.Flux[COMP.AT. MOT A],tabE.Flux[LINHA],"NÃO",0,1)</f>
        <v>GOIANIA (GO) X SAO LUIS (MA)</v>
      </c>
      <c r="F87" s="56" t="str">
        <f>_xlfn.XLOOKUP(autocompAlmoco[[#This Row],[COMP ESCALA ATUAL]],tabE.Flux[COMP.AT. MOT B],tabE.Flux[LINHA],"NÃO",0,1)</f>
        <v>GOIANIA (GO) X SAO LUIS (MA)</v>
      </c>
      <c r="G87" s="61" t="str">
        <f>IF(AND(autocompAlmoco[[#This Row],[EXISTE MOT A AT]]="NÃO", autocompAlmoco[[#This Row],[EXISTE MOT B AT]]="NÃO"),"NÃO","SIM")</f>
        <v>SIM</v>
      </c>
      <c r="H87" s="71" t="str">
        <f>IF(autocompAlmoco[[#This Row],[EXISTE ESCALA ATUAL]]="NÃO",_xlfn.CONCAT(tabAlmoco[[#This Row],[DATA]]-1,"+",tabAlmoco[[#This Row],[MOTORISTA]]),"NÃO")</f>
        <v>NÃO</v>
      </c>
      <c r="I87" s="57" t="str">
        <f>IF(autocompAlmoco[[#This Row],[COMP ESCALA ANTERIOR]]="NÃO","NÃO",_xlfn.XLOOKUP(autocompAlmoco[[#This Row],[COMP ESCALA ANTERIOR]],tabE.Flux[COMP.AT. MOT A],tabE.Flux[LINHA],"NÃO",0,1))</f>
        <v>NÃO</v>
      </c>
      <c r="J87" s="58" t="str">
        <f>IF(autocompAlmoco[[#This Row],[COMP ESCALA ANTERIOR]]="NÃO","NÃO",_xlfn.XLOOKUP(autocompAlmoco[[#This Row],[COMP ESCALA ANTERIOR]],tabE.Flux[COMP.AT. MOT B],tabE.Flux[LINHA],"NÃO",0,1))</f>
        <v>NÃO</v>
      </c>
      <c r="K87" s="62" t="str">
        <f>IF(AND(autocompAlmoco[[#This Row],[EXISTE MOT A ANT]]="NÃO",autocompAlmoco[[#This Row],[EXISTE MOT B ANT]]="NÃO"),"NÃO","SIM")</f>
        <v>NÃO</v>
      </c>
      <c r="L87" s="73" t="str">
        <f t="shared" si="2"/>
        <v>45898+EDIVALDO DE ARAUJO - 6217</v>
      </c>
      <c r="M87" s="59" t="str">
        <f>IF(autocompAlmoco[[#This Row],[COMP ESCALA POSTERIOR]]="NÃO","NÃO",_xlfn.XLOOKUP(autocompAlmoco[[#This Row],[COMP ESCALA POSTERIOR]],tabE.Flux[COMP.AT. MOT A],tabE.Flux[LINHA],"NÃO",0,1))</f>
        <v>NÃO</v>
      </c>
      <c r="N87" s="59" t="str">
        <f>IF(autocompAlmoco[[#This Row],[COMP ESCALA POSTERIOR]]="NÃO","NÃO",_xlfn.XLOOKUP(autocompAlmoco[[#This Row],[COMP ESCALA POSTERIOR]],tabE.Flux[COMP.AT. MOT B],tabE.Flux[LINHA],"NÃO",0,1))</f>
        <v>NÃO</v>
      </c>
      <c r="O87" s="65" t="str">
        <f>IF(AND(autocompAlmoco[[#This Row],[EXISTE MOT A POS]]="NÃO",autocompAlmoco[[#This Row],[EXISTE MOT B POS]]="NÃO"),"NÃO","SIM")</f>
        <v>NÃO</v>
      </c>
      <c r="P87" s="66" t="str" cm="1">
        <f t="array" ref="P8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87" s="75" t="str" cm="1">
        <f t="array" ref="Q8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45897+EDIVALDO DE ARAUJO - 6217+GOIANIA (GO) X SAO LUIS (MA)</v>
      </c>
      <c r="R87" s="67">
        <f>_xlfn.XLOOKUP(autocompAlmoco[[#This Row],[COMP ESCALA]],tabE.Flux[COMP. ESCALA MOT B],tabE.Flux[CARRO],
(_xlfn.XLOOKUP(autocompAlmoco[[#This Row],[COMP ESCALA]],tabE.Flux[COMP. ESCALA MOT A],tabE.Flux[CARRO],"N/E",0,1)),0,1)</f>
        <v>24004</v>
      </c>
      <c r="S87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87" s="127">
        <v>45897</v>
      </c>
      <c r="U87" s="4">
        <f>IF(IFERROR(autocompAlmoco[[#This Row],[CORRESP. CARRO]],"")="NÃO",(IF(tabAlmoco[[#This Row],[MOTORISTA]]=0,"","PASSE?")),autocompAlmoco[[#This Row],[CORRESP. CARRO]])</f>
        <v>24004</v>
      </c>
      <c r="V87" s="126">
        <f>IF(OR(ISERR(autocompAlmoco[[#This Row],[CORRESP HORARIO]]), autocompAlmoco[[#This Row],[CORRESP HORARIO]]&lt;&gt;"NÃO"),autocompAlmoco[[#This Row],[CORRESP HORARIO]],"")</f>
        <v>0.29166666666666669</v>
      </c>
      <c r="W87" s="4" t="s">
        <v>299</v>
      </c>
      <c r="X87" s="4" t="s">
        <v>55</v>
      </c>
      <c r="Y87" s="1">
        <f>IF(tabAlmoco[[#This Row],[MOTORISTA]]="","",COUNTIF(autocompAlmoco[COMP ESCALA ATUAL],autocompAlmoco[[#This Row],[COMP ESCALA ATUAL]]))</f>
        <v>1</v>
      </c>
      <c r="Z87" s="45">
        <f>IF(tabAlmoco[[#This Row],[MOTORISTA]]&lt;&gt;0,15,"")</f>
        <v>15</v>
      </c>
      <c r="AA87" s="4" t="str">
        <f>autocompAlmoco[[#This Row],[CORRESP LINHA]]</f>
        <v>GOIANIA (GO) X SAO LUIS (MA)</v>
      </c>
    </row>
    <row r="88" spans="3:27" hidden="1" x14ac:dyDescent="0.25">
      <c r="C88" s="140" t="s">
        <v>226</v>
      </c>
      <c r="D88" s="56" t="str">
        <f>IF(tabAlmoco[[#This Row],[MOTORISTA]]="","",_xlfn.CONCAT(tabAlmoco[[#This Row],[DATA]],"+",tabAlmoco[[#This Row],[MOTORISTA]]))</f>
        <v>45898+ANTONIO MARQUES NETO DOS SANTOS - 1738</v>
      </c>
      <c r="E88" s="56" t="str">
        <f>_xlfn.XLOOKUP(autocompAlmoco[[#This Row],[COMP ESCALA ATUAL]],tabE.Flux[COMP.AT. MOT A],tabE.Flux[LINHA],"NÃO",0,1)</f>
        <v>NÃO</v>
      </c>
      <c r="F88" s="56" t="str">
        <f>_xlfn.XLOOKUP(autocompAlmoco[[#This Row],[COMP ESCALA ATUAL]],tabE.Flux[COMP.AT. MOT B],tabE.Flux[LINHA],"NÃO",0,1)</f>
        <v>GOIANIA (GO) X SAO LUIS (MA)</v>
      </c>
      <c r="G88" s="61" t="str">
        <f>IF(AND(autocompAlmoco[[#This Row],[EXISTE MOT A AT]]="NÃO", autocompAlmoco[[#This Row],[EXISTE MOT B AT]]="NÃO"),"NÃO","SIM")</f>
        <v>SIM</v>
      </c>
      <c r="H88" s="71" t="str">
        <f>IF(autocompAlmoco[[#This Row],[EXISTE ESCALA ATUAL]]="NÃO",_xlfn.CONCAT(tabAlmoco[[#This Row],[DATA]]-1,"+",tabAlmoco[[#This Row],[MOTORISTA]]),"NÃO")</f>
        <v>NÃO</v>
      </c>
      <c r="I88" s="57" t="str">
        <f>IF(autocompAlmoco[[#This Row],[COMP ESCALA ANTERIOR]]="NÃO","NÃO",_xlfn.XLOOKUP(autocompAlmoco[[#This Row],[COMP ESCALA ANTERIOR]],tabE.Flux[COMP.AT. MOT A],tabE.Flux[LINHA],"NÃO",0,1))</f>
        <v>NÃO</v>
      </c>
      <c r="J88" s="58" t="str">
        <f>IF(autocompAlmoco[[#This Row],[COMP ESCALA ANTERIOR]]="NÃO","NÃO",_xlfn.XLOOKUP(autocompAlmoco[[#This Row],[COMP ESCALA ANTERIOR]],tabE.Flux[COMP.AT. MOT B],tabE.Flux[LINHA],"NÃO",0,1))</f>
        <v>NÃO</v>
      </c>
      <c r="K88" s="62" t="str">
        <f>IF(AND(autocompAlmoco[[#This Row],[EXISTE MOT A ANT]]="NÃO",autocompAlmoco[[#This Row],[EXISTE MOT B ANT]]="NÃO"),"NÃO","SIM")</f>
        <v>NÃO</v>
      </c>
      <c r="L88" s="73" t="str">
        <f t="shared" si="2"/>
        <v>45899+ANTONIO MARQUES NETO DOS SANTOS - 1738</v>
      </c>
      <c r="M88" s="59" t="str">
        <f>IF(autocompAlmoco[[#This Row],[COMP ESCALA POSTERIOR]]="NÃO","NÃO",_xlfn.XLOOKUP(autocompAlmoco[[#This Row],[COMP ESCALA POSTERIOR]],tabE.Flux[COMP.AT. MOT A],tabE.Flux[LINHA],"NÃO",0,1))</f>
        <v>NÃO</v>
      </c>
      <c r="N88" s="59" t="str">
        <f>IF(autocompAlmoco[[#This Row],[COMP ESCALA POSTERIOR]]="NÃO","NÃO",_xlfn.XLOOKUP(autocompAlmoco[[#This Row],[COMP ESCALA POSTERIOR]],tabE.Flux[COMP.AT. MOT B],tabE.Flux[LINHA],"NÃO",0,1))</f>
        <v>NÃO</v>
      </c>
      <c r="O88" s="65" t="str">
        <f>IF(AND(autocompAlmoco[[#This Row],[EXISTE MOT A POS]]="NÃO",autocompAlmoco[[#This Row],[EXISTE MOT B POS]]="NÃO"),"NÃO","SIM")</f>
        <v>NÃO</v>
      </c>
      <c r="P88" s="66" t="str" cm="1">
        <f t="array" ref="P8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88" s="75" t="str" cm="1">
        <f t="array" ref="Q8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45898+ANTONIO MARQUES NETO DOS SANTOS - 1738+GOIANIA (GO) X SAO LUIS (MA)</v>
      </c>
      <c r="R88" s="67">
        <f>_xlfn.XLOOKUP(autocompAlmoco[[#This Row],[COMP ESCALA]],tabE.Flux[COMP. ESCALA MOT B],tabE.Flux[CARRO],
(_xlfn.XLOOKUP(autocompAlmoco[[#This Row],[COMP ESCALA]],tabE.Flux[COMP. ESCALA MOT A],tabE.Flux[CARRO],"N/E",0,1)),0,1)</f>
        <v>24004</v>
      </c>
      <c r="S88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88" s="127">
        <v>45898</v>
      </c>
      <c r="U88" s="4">
        <f>IF(IFERROR(autocompAlmoco[[#This Row],[CORRESP. CARRO]],"")="NÃO",(IF(tabAlmoco[[#This Row],[MOTORISTA]]=0,"","PASSE?")),autocompAlmoco[[#This Row],[CORRESP. CARRO]])</f>
        <v>24004</v>
      </c>
      <c r="V88" s="126">
        <f>IF(OR(ISERR(autocompAlmoco[[#This Row],[CORRESP HORARIO]]), autocompAlmoco[[#This Row],[CORRESP HORARIO]]&lt;&gt;"NÃO"),autocompAlmoco[[#This Row],[CORRESP HORARIO]],"")</f>
        <v>0.79166666666666663</v>
      </c>
      <c r="W88" s="4" t="s">
        <v>299</v>
      </c>
      <c r="X88" s="4" t="s">
        <v>73</v>
      </c>
      <c r="Y88" s="1">
        <f>IF(tabAlmoco[[#This Row],[MOTORISTA]]="","",COUNTIF(autocompAlmoco[COMP ESCALA ATUAL],autocompAlmoco[[#This Row],[COMP ESCALA ATUAL]]))</f>
        <v>1</v>
      </c>
      <c r="Z88" s="45">
        <f>IF(tabAlmoco[[#This Row],[MOTORISTA]]&lt;&gt;0,15,"")</f>
        <v>15</v>
      </c>
      <c r="AA88" s="4" t="str">
        <f>autocompAlmoco[[#This Row],[CORRESP LINHA]]</f>
        <v>GOIANIA (GO) X SAO LUIS (MA)</v>
      </c>
    </row>
    <row r="89" spans="3:27" hidden="1" x14ac:dyDescent="0.25">
      <c r="C89" s="140" t="s">
        <v>226</v>
      </c>
      <c r="D89" s="56" t="str">
        <f>IF(tabAlmoco[[#This Row],[MOTORISTA]]="","",_xlfn.CONCAT(tabAlmoco[[#This Row],[DATA]],"+",tabAlmoco[[#This Row],[MOTORISTA]]))</f>
        <v>45898+JERZUALDO DA SILVA GOMES - 4077</v>
      </c>
      <c r="E89" s="56" t="str">
        <f>_xlfn.XLOOKUP(autocompAlmoco[[#This Row],[COMP ESCALA ATUAL]],tabE.Flux[COMP.AT. MOT A],tabE.Flux[LINHA],"NÃO",0,1)</f>
        <v>NÃO</v>
      </c>
      <c r="F89" s="56" t="str">
        <f>_xlfn.XLOOKUP(autocompAlmoco[[#This Row],[COMP ESCALA ATUAL]],tabE.Flux[COMP.AT. MOT B],tabE.Flux[LINHA],"NÃO",0,1)</f>
        <v>NÃO</v>
      </c>
      <c r="G89" s="61" t="str">
        <f>IF(AND(autocompAlmoco[[#This Row],[EXISTE MOT A AT]]="NÃO", autocompAlmoco[[#This Row],[EXISTE MOT B AT]]="NÃO"),"NÃO","SIM")</f>
        <v>NÃO</v>
      </c>
      <c r="H89" s="71" t="str">
        <f>IF(autocompAlmoco[[#This Row],[EXISTE ESCALA ATUAL]]="NÃO",_xlfn.CONCAT(tabAlmoco[[#This Row],[DATA]]-1,"+",tabAlmoco[[#This Row],[MOTORISTA]]),"NÃO")</f>
        <v>45897+JERZUALDO DA SILVA GOMES - 4077</v>
      </c>
      <c r="I89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89" s="58" t="str">
        <f>IF(autocompAlmoco[[#This Row],[COMP ESCALA ANTERIOR]]="NÃO","NÃO",_xlfn.XLOOKUP(autocompAlmoco[[#This Row],[COMP ESCALA ANTERIOR]],tabE.Flux[COMP.AT. MOT B],tabE.Flux[LINHA],"NÃO",0,1))</f>
        <v>NÃO</v>
      </c>
      <c r="K89" s="62" t="str">
        <f>IF(AND(autocompAlmoco[[#This Row],[EXISTE MOT A ANT]]="NÃO",autocompAlmoco[[#This Row],[EXISTE MOT B ANT]]="NÃO"),"NÃO","SIM")</f>
        <v>SIM</v>
      </c>
      <c r="L89" s="73" t="str">
        <f t="shared" si="2"/>
        <v>45899+JERZUALDO DA SILVA GOMES - 4077</v>
      </c>
      <c r="M89" s="59" t="str">
        <f>IF(autocompAlmoco[[#This Row],[COMP ESCALA POSTERIOR]]="NÃO","NÃO",_xlfn.XLOOKUP(autocompAlmoco[[#This Row],[COMP ESCALA POSTERIOR]],tabE.Flux[COMP.AT. MOT A],tabE.Flux[LINHA],"NÃO",0,1))</f>
        <v>NÃO</v>
      </c>
      <c r="N89" s="59" t="str">
        <f>IF(autocompAlmoco[[#This Row],[COMP ESCALA POSTERIOR]]="NÃO","NÃO",_xlfn.XLOOKUP(autocompAlmoco[[#This Row],[COMP ESCALA POSTERIOR]],tabE.Flux[COMP.AT. MOT B],tabE.Flux[LINHA],"NÃO",0,1))</f>
        <v>NÃO</v>
      </c>
      <c r="O89" s="65" t="str">
        <f>IF(AND(autocompAlmoco[[#This Row],[EXISTE MOT A POS]]="NÃO",autocompAlmoco[[#This Row],[EXISTE MOT B POS]]="NÃO"),"NÃO","SIM")</f>
        <v>NÃO</v>
      </c>
      <c r="P89" s="66" t="str" cm="1">
        <f t="array" ref="P8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89" s="75" t="str" cm="1">
        <f t="array" ref="Q8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45897+JERZUALDO DA SILVA GOMES - 4077+GOIANIA (GO) X TERESINA (PI) VIA STI</v>
      </c>
      <c r="R89" s="67">
        <f>_xlfn.XLOOKUP(autocompAlmoco[[#This Row],[COMP ESCALA]],tabE.Flux[COMP. ESCALA MOT B],tabE.Flux[CARRO],
(_xlfn.XLOOKUP(autocompAlmoco[[#This Row],[COMP ESCALA]],tabE.Flux[COMP. ESCALA MOT A],tabE.Flux[CARRO],"N/E",0,1)),0,1)</f>
        <v>15600</v>
      </c>
      <c r="S89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89" s="127">
        <v>45898</v>
      </c>
      <c r="U89" s="4">
        <f>IF(IFERROR(autocompAlmoco[[#This Row],[CORRESP. CARRO]],"")="NÃO",(IF(tabAlmoco[[#This Row],[MOTORISTA]]=0,"","PASSE?")),autocompAlmoco[[#This Row],[CORRESP. CARRO]])</f>
        <v>15600</v>
      </c>
      <c r="V89" s="126">
        <f>IF(OR(ISERR(autocompAlmoco[[#This Row],[CORRESP HORARIO]]), autocompAlmoco[[#This Row],[CORRESP HORARIO]]&lt;&gt;"NÃO"),autocompAlmoco[[#This Row],[CORRESP HORARIO]],"")</f>
        <v>0.79861111111111116</v>
      </c>
      <c r="W89" s="4" t="s">
        <v>299</v>
      </c>
      <c r="X89" s="4" t="s">
        <v>130</v>
      </c>
      <c r="Y89" s="1">
        <f>IF(tabAlmoco[[#This Row],[MOTORISTA]]="","",COUNTIF(autocompAlmoco[COMP ESCALA ATUAL],autocompAlmoco[[#This Row],[COMP ESCALA ATUAL]]))</f>
        <v>1</v>
      </c>
      <c r="Z89" s="45">
        <f>IF(tabAlmoco[[#This Row],[MOTORISTA]]&lt;&gt;0,15,"")</f>
        <v>15</v>
      </c>
      <c r="AA89" s="4" t="str">
        <f>autocompAlmoco[[#This Row],[CORRESP LINHA]]</f>
        <v>GOIANIA (GO) X TERESINA (PI) VIA STI</v>
      </c>
    </row>
    <row r="90" spans="3:27" ht="15" hidden="1" customHeight="1" x14ac:dyDescent="0.25">
      <c r="C90" s="140" t="s">
        <v>226</v>
      </c>
      <c r="D90" s="56" t="str">
        <f>IF(tabAlmoco[[#This Row],[MOTORISTA]]="","",_xlfn.CONCAT(tabAlmoco[[#This Row],[DATA]],"+",tabAlmoco[[#This Row],[MOTORISTA]]))</f>
        <v>45898+KAYLSON KLEYTON DA SILVA COSTA - 6224</v>
      </c>
      <c r="E90" s="56" t="str">
        <f>_xlfn.XLOOKUP(autocompAlmoco[[#This Row],[COMP ESCALA ATUAL]],tabE.Flux[COMP.AT. MOT A],tabE.Flux[LINHA],"NÃO",0,1)</f>
        <v>NÃO</v>
      </c>
      <c r="F90" s="56" t="str">
        <f>_xlfn.XLOOKUP(autocompAlmoco[[#This Row],[COMP ESCALA ATUAL]],tabE.Flux[COMP.AT. MOT B],tabE.Flux[LINHA],"NÃO",0,1)</f>
        <v>GOIANIA (GO) X SAO LUIS (MA)</v>
      </c>
      <c r="G90" s="61" t="str">
        <f>IF(AND(autocompAlmoco[[#This Row],[EXISTE MOT A AT]]="NÃO", autocompAlmoco[[#This Row],[EXISTE MOT B AT]]="NÃO"),"NÃO","SIM")</f>
        <v>SIM</v>
      </c>
      <c r="H90" s="57" t="str">
        <f>IF(autocompAlmoco[[#This Row],[EXISTE ESCALA ATUAL]]="NÃO",_xlfn.CONCAT(tabAlmoco[[#This Row],[DATA]]-1,"+",tabAlmoco[[#This Row],[MOTORISTA]]),"NÃO")</f>
        <v>NÃO</v>
      </c>
      <c r="I90" s="57" t="str">
        <f>IF(autocompAlmoco[[#This Row],[COMP ESCALA ANTERIOR]]="NÃO","NÃO",_xlfn.XLOOKUP(autocompAlmoco[[#This Row],[COMP ESCALA ANTERIOR]],tabE.Flux[COMP.AT. MOT A],tabE.Flux[LINHA],"NÃO",0,1))</f>
        <v>NÃO</v>
      </c>
      <c r="J90" s="58" t="str">
        <f>IF(autocompAlmoco[[#This Row],[COMP ESCALA ANTERIOR]]="NÃO","NÃO",_xlfn.XLOOKUP(autocompAlmoco[[#This Row],[COMP ESCALA ANTERIOR]],tabE.Flux[COMP.AT. MOT B],tabE.Flux[LINHA],"NÃO",0,1))</f>
        <v>NÃO</v>
      </c>
      <c r="K90" s="62" t="str">
        <f>IF(AND(autocompAlmoco[[#This Row],[EXISTE MOT A ANT]]="NÃO",autocompAlmoco[[#This Row],[EXISTE MOT B ANT]]="NÃO"),"NÃO","SIM")</f>
        <v>NÃO</v>
      </c>
      <c r="L90" s="59" t="str">
        <f t="shared" si="2"/>
        <v>45899+KAYLSON KLEYTON DA SILVA COSTA - 6224</v>
      </c>
      <c r="M90" s="59" t="str">
        <f>IF(autocompAlmoco[[#This Row],[COMP ESCALA POSTERIOR]]="NÃO","NÃO",_xlfn.XLOOKUP(autocompAlmoco[[#This Row],[COMP ESCALA POSTERIOR]],tabE.Flux[COMP.AT. MOT A],tabE.Flux[LINHA],"NÃO",0,1))</f>
        <v>NÃO</v>
      </c>
      <c r="N90" s="59" t="str">
        <f>IF(autocompAlmoco[[#This Row],[COMP ESCALA POSTERIOR]]="NÃO","NÃO",_xlfn.XLOOKUP(autocompAlmoco[[#This Row],[COMP ESCALA POSTERIOR]],tabE.Flux[COMP.AT. MOT B],tabE.Flux[LINHA],"NÃO",0,1))</f>
        <v>NÃO</v>
      </c>
      <c r="O90" s="65" t="str">
        <f>IF(AND(autocompAlmoco[[#This Row],[EXISTE MOT A POS]]="NÃO",autocompAlmoco[[#This Row],[EXISTE MOT B POS]]="NÃO"),"NÃO","SIM")</f>
        <v>NÃO</v>
      </c>
      <c r="P90" s="66" t="str" cm="1">
        <f t="array" ref="P9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90" s="103" t="str" cm="1">
        <f t="array" ref="Q9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45898+KAYLSON KLEYTON DA SILVA COSTA - 6224+GOIANIA (GO) X SAO LUIS (MA)</v>
      </c>
      <c r="R90" s="67">
        <f>_xlfn.XLOOKUP(autocompAlmoco[[#This Row],[COMP ESCALA]],tabE.Flux[COMP. ESCALA MOT B],tabE.Flux[CARRO],
(_xlfn.XLOOKUP(autocompAlmoco[[#This Row],[COMP ESCALA]],tabE.Flux[COMP. ESCALA MOT A],tabE.Flux[CARRO],"N/E",0,1)),0,1)</f>
        <v>19019</v>
      </c>
      <c r="S90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90" s="125">
        <v>45898</v>
      </c>
      <c r="U90" s="4">
        <f>IF(IFERROR(autocompAlmoco[[#This Row],[CORRESP. CARRO]],"")="NÃO",(IF(tabAlmoco[[#This Row],[MOTORISTA]]=0,"","PASSE?")),autocompAlmoco[[#This Row],[CORRESP. CARRO]])</f>
        <v>19019</v>
      </c>
      <c r="V90" s="126">
        <f>IF(OR(ISERR(autocompAlmoco[[#This Row],[CORRESP HORARIO]]), autocompAlmoco[[#This Row],[CORRESP HORARIO]]&lt;&gt;"NÃO"),autocompAlmoco[[#This Row],[CORRESP HORARIO]],"")</f>
        <v>0.47013888888888888</v>
      </c>
      <c r="W90" s="4" t="s">
        <v>299</v>
      </c>
      <c r="X90" s="1" t="s">
        <v>80</v>
      </c>
      <c r="Y90" s="1">
        <f>IF(tabAlmoco[[#This Row],[MOTORISTA]]="","",COUNTIF(autocompAlmoco[COMP ESCALA ATUAL],autocompAlmoco[[#This Row],[COMP ESCALA ATUAL]]))</f>
        <v>1</v>
      </c>
      <c r="Z90" s="105">
        <f>IF(tabAlmoco[[#This Row],[MOTORISTA]]&lt;&gt;0,15,"")</f>
        <v>15</v>
      </c>
      <c r="AA90" s="4" t="str">
        <f>autocompAlmoco[[#This Row],[CORRESP LINHA]]</f>
        <v>GOIANIA (GO) X SAO LUIS (MA)</v>
      </c>
    </row>
    <row r="91" spans="3:27" ht="15" hidden="1" customHeight="1" x14ac:dyDescent="0.25">
      <c r="C91" s="140" t="s">
        <v>226</v>
      </c>
      <c r="D91" s="56" t="str">
        <f>IF(tabAlmoco[[#This Row],[MOTORISTA]]="","",_xlfn.CONCAT(tabAlmoco[[#This Row],[DATA]],"+",tabAlmoco[[#This Row],[MOTORISTA]]))</f>
        <v>45898+KLEBER OLIVEIRA LIMA - 5849</v>
      </c>
      <c r="E91" s="56" t="str">
        <f>_xlfn.XLOOKUP(autocompAlmoco[[#This Row],[COMP ESCALA ATUAL]],tabE.Flux[COMP.AT. MOT A],tabE.Flux[LINHA],"NÃO",0,1)</f>
        <v>NÃO</v>
      </c>
      <c r="F91" s="56" t="str">
        <f>_xlfn.XLOOKUP(autocompAlmoco[[#This Row],[COMP ESCALA ATUAL]],tabE.Flux[COMP.AT. MOT B],tabE.Flux[LINHA],"NÃO",0,1)</f>
        <v>GOIANIA (GO) X SAO LUIS (MA)</v>
      </c>
      <c r="G91" s="61" t="str">
        <f>IF(AND(autocompAlmoco[[#This Row],[EXISTE MOT A AT]]="NÃO", autocompAlmoco[[#This Row],[EXISTE MOT B AT]]="NÃO"),"NÃO","SIM")</f>
        <v>SIM</v>
      </c>
      <c r="H91" s="57" t="str">
        <f>IF(autocompAlmoco[[#This Row],[EXISTE ESCALA ATUAL]]="NÃO",_xlfn.CONCAT(tabAlmoco[[#This Row],[DATA]]-1,"+",tabAlmoco[[#This Row],[MOTORISTA]]),"NÃO")</f>
        <v>NÃO</v>
      </c>
      <c r="I91" s="57" t="str">
        <f>IF(autocompAlmoco[[#This Row],[COMP ESCALA ANTERIOR]]="NÃO","NÃO",_xlfn.XLOOKUP(autocompAlmoco[[#This Row],[COMP ESCALA ANTERIOR]],tabE.Flux[COMP.AT. MOT A],tabE.Flux[LINHA],"NÃO",0,1))</f>
        <v>NÃO</v>
      </c>
      <c r="J91" s="58" t="str">
        <f>IF(autocompAlmoco[[#This Row],[COMP ESCALA ANTERIOR]]="NÃO","NÃO",_xlfn.XLOOKUP(autocompAlmoco[[#This Row],[COMP ESCALA ANTERIOR]],tabE.Flux[COMP.AT. MOT B],tabE.Flux[LINHA],"NÃO",0,1))</f>
        <v>NÃO</v>
      </c>
      <c r="K91" s="62" t="str">
        <f>IF(AND(autocompAlmoco[[#This Row],[EXISTE MOT A ANT]]="NÃO",autocompAlmoco[[#This Row],[EXISTE MOT B ANT]]="NÃO"),"NÃO","SIM")</f>
        <v>NÃO</v>
      </c>
      <c r="L91" s="59" t="str">
        <f t="shared" si="2"/>
        <v>45899+KLEBER OLIVEIRA LIMA - 5849</v>
      </c>
      <c r="M91" s="59" t="str">
        <f>IF(autocompAlmoco[[#This Row],[COMP ESCALA POSTERIOR]]="NÃO","NÃO",_xlfn.XLOOKUP(autocompAlmoco[[#This Row],[COMP ESCALA POSTERIOR]],tabE.Flux[COMP.AT. MOT A],tabE.Flux[LINHA],"NÃO",0,1))</f>
        <v>NÃO</v>
      </c>
      <c r="N91" s="59" t="str">
        <f>IF(autocompAlmoco[[#This Row],[COMP ESCALA POSTERIOR]]="NÃO","NÃO",_xlfn.XLOOKUP(autocompAlmoco[[#This Row],[COMP ESCALA POSTERIOR]],tabE.Flux[COMP.AT. MOT B],tabE.Flux[LINHA],"NÃO",0,1))</f>
        <v>NÃO</v>
      </c>
      <c r="O91" s="65" t="str">
        <f>IF(AND(autocompAlmoco[[#This Row],[EXISTE MOT A POS]]="NÃO",autocompAlmoco[[#This Row],[EXISTE MOT B POS]]="NÃO"),"NÃO","SIM")</f>
        <v>NÃO</v>
      </c>
      <c r="P91" s="66" t="str" cm="1">
        <f t="array" ref="P9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91" s="103" t="str" cm="1">
        <f t="array" ref="Q9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45898+KLEBER OLIVEIRA LIMA - 5849+GOIANIA (GO) X SAO LUIS (MA)</v>
      </c>
      <c r="R91" s="67">
        <f>_xlfn.XLOOKUP(autocompAlmoco[[#This Row],[COMP ESCALA]],tabE.Flux[COMP. ESCALA MOT B],tabE.Flux[CARRO],
(_xlfn.XLOOKUP(autocompAlmoco[[#This Row],[COMP ESCALA]],tabE.Flux[COMP. ESCALA MOT A],tabE.Flux[CARRO],"N/E",0,1)),0,1)</f>
        <v>19024</v>
      </c>
      <c r="S91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91" s="125">
        <v>45898</v>
      </c>
      <c r="U91" s="131">
        <f>IF(IFERROR(autocompAlmoco[[#This Row],[CORRESP. CARRO]],"")="NÃO",(IF(tabAlmoco[[#This Row],[MOTORISTA]]=0,"","PASSE?")),autocompAlmoco[[#This Row],[CORRESP. CARRO]])</f>
        <v>19024</v>
      </c>
      <c r="V91" s="126">
        <f>IF(OR(ISERR(autocompAlmoco[[#This Row],[CORRESP HORARIO]]), autocompAlmoco[[#This Row],[CORRESP HORARIO]]&lt;&gt;"NÃO"),autocompAlmoco[[#This Row],[CORRESP HORARIO]],"")</f>
        <v>0.29166666666666669</v>
      </c>
      <c r="W91" s="4" t="s">
        <v>299</v>
      </c>
      <c r="X91" s="1" t="s">
        <v>102</v>
      </c>
      <c r="Y91" s="1">
        <f>IF(tabAlmoco[[#This Row],[MOTORISTA]]="","",COUNTIF(autocompAlmoco[COMP ESCALA ATUAL],autocompAlmoco[[#This Row],[COMP ESCALA ATUAL]]))</f>
        <v>1</v>
      </c>
      <c r="Z91" s="105">
        <f>IF(tabAlmoco[[#This Row],[MOTORISTA]]&lt;&gt;0,15,"")</f>
        <v>15</v>
      </c>
      <c r="AA91" s="131" t="str">
        <f>autocompAlmoco[[#This Row],[CORRESP LINHA]]</f>
        <v>GOIANIA (GO) X SAO LUIS (MA)</v>
      </c>
    </row>
    <row r="92" spans="3:27" ht="15" hidden="1" customHeight="1" x14ac:dyDescent="0.25">
      <c r="C92" s="140" t="s">
        <v>226</v>
      </c>
      <c r="D92" s="56" t="str">
        <f>IF(tabAlmoco[[#This Row],[MOTORISTA]]="","",_xlfn.CONCAT(tabAlmoco[[#This Row],[DATA]],"+",tabAlmoco[[#This Row],[MOTORISTA]]))</f>
        <v>45898+PAULO ENEAS FARIAS ARAUJO - 6218</v>
      </c>
      <c r="E92" s="56" t="str">
        <f>_xlfn.XLOOKUP(autocompAlmoco[[#This Row],[COMP ESCALA ATUAL]],tabE.Flux[COMP.AT. MOT A],tabE.Flux[LINHA],"NÃO",0,1)</f>
        <v>NÃO</v>
      </c>
      <c r="F92" s="56" t="str">
        <f>_xlfn.XLOOKUP(autocompAlmoco[[#This Row],[COMP ESCALA ATUAL]],tabE.Flux[COMP.AT. MOT B],tabE.Flux[LINHA],"NÃO",0,1)</f>
        <v>IMPERATRIZ (MA) X SÃO LUIS (MA)</v>
      </c>
      <c r="G92" s="61" t="str">
        <f>IF(AND(autocompAlmoco[[#This Row],[EXISTE MOT A AT]]="NÃO", autocompAlmoco[[#This Row],[EXISTE MOT B AT]]="NÃO"),"NÃO","SIM")</f>
        <v>SIM</v>
      </c>
      <c r="H92" s="57" t="str">
        <f>IF(autocompAlmoco[[#This Row],[EXISTE ESCALA ATUAL]]="NÃO",_xlfn.CONCAT(tabAlmoco[[#This Row],[DATA]]-1,"+",tabAlmoco[[#This Row],[MOTORISTA]]),"NÃO")</f>
        <v>NÃO</v>
      </c>
      <c r="I92" s="57" t="str">
        <f>IF(autocompAlmoco[[#This Row],[COMP ESCALA ANTERIOR]]="NÃO","NÃO",_xlfn.XLOOKUP(autocompAlmoco[[#This Row],[COMP ESCALA ANTERIOR]],tabE.Flux[COMP.AT. MOT A],tabE.Flux[LINHA],"NÃO",0,1))</f>
        <v>NÃO</v>
      </c>
      <c r="J92" s="58" t="str">
        <f>IF(autocompAlmoco[[#This Row],[COMP ESCALA ANTERIOR]]="NÃO","NÃO",_xlfn.XLOOKUP(autocompAlmoco[[#This Row],[COMP ESCALA ANTERIOR]],tabE.Flux[COMP.AT. MOT B],tabE.Flux[LINHA],"NÃO",0,1))</f>
        <v>NÃO</v>
      </c>
      <c r="K92" s="62" t="str">
        <f>IF(AND(autocompAlmoco[[#This Row],[EXISTE MOT A ANT]]="NÃO",autocompAlmoco[[#This Row],[EXISTE MOT B ANT]]="NÃO"),"NÃO","SIM")</f>
        <v>NÃO</v>
      </c>
      <c r="L92" s="59" t="str">
        <f t="shared" si="2"/>
        <v>45899+PAULO ENEAS FARIAS ARAUJO - 6218</v>
      </c>
      <c r="M92" s="59" t="str">
        <f>IF(autocompAlmoco[[#This Row],[COMP ESCALA POSTERIOR]]="NÃO","NÃO",_xlfn.XLOOKUP(autocompAlmoco[[#This Row],[COMP ESCALA POSTERIOR]],tabE.Flux[COMP.AT. MOT A],tabE.Flux[LINHA],"NÃO",0,1))</f>
        <v>NÃO</v>
      </c>
      <c r="N92" s="59" t="str">
        <f>IF(autocompAlmoco[[#This Row],[COMP ESCALA POSTERIOR]]="NÃO","NÃO",_xlfn.XLOOKUP(autocompAlmoco[[#This Row],[COMP ESCALA POSTERIOR]],tabE.Flux[COMP.AT. MOT B],tabE.Flux[LINHA],"NÃO",0,1))</f>
        <v>NÃO</v>
      </c>
      <c r="O92" s="65" t="str">
        <f>IF(AND(autocompAlmoco[[#This Row],[EXISTE MOT A POS]]="NÃO",autocompAlmoco[[#This Row],[EXISTE MOT B POS]]="NÃO"),"NÃO","SIM")</f>
        <v>NÃO</v>
      </c>
      <c r="P92" s="66" t="str" cm="1">
        <f t="array" ref="P9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IMPERATRIZ (MA) X SÃO LUIS (MA)</v>
      </c>
      <c r="Q92" s="103" t="str" cm="1">
        <f t="array" ref="Q9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45898+PAULO ENEAS FARIAS ARAUJO - 6218+IMPERATRIZ (MA) X SÃO LUIS (MA)</v>
      </c>
      <c r="R92" s="67">
        <f>_xlfn.XLOOKUP(autocompAlmoco[[#This Row],[COMP ESCALA]],tabE.Flux[COMP. ESCALA MOT B],tabE.Flux[CARRO],
(_xlfn.XLOOKUP(autocompAlmoco[[#This Row],[COMP ESCALA]],tabE.Flux[COMP. ESCALA MOT A],tabE.Flux[CARRO],"N/E",0,1)),0,1)</f>
        <v>19021</v>
      </c>
      <c r="S92" s="130">
        <f>_xlfn.XLOOKUP(autocompAlmoco[[#This Row],[COMP ESCALA]],tabE.Flux[COMP. ESCALA MOT A],tabE.Flux[HORARIO],(_xlfn.XLOOKUP(autocompAlmoco[[#This Row],[COMP ESCALA]],tabE.Flux[COMP. ESCALA MOT B],tabE.Flux[HORARIO],"N/E",0,1)),0,1)</f>
        <v>0.8125</v>
      </c>
      <c r="T92" s="125">
        <v>45898</v>
      </c>
      <c r="U92" s="131">
        <f>IF(IFERROR(autocompAlmoco[[#This Row],[CORRESP. CARRO]],"")="NÃO",(IF(tabAlmoco[[#This Row],[MOTORISTA]]=0,"","PASSE?")),autocompAlmoco[[#This Row],[CORRESP. CARRO]])</f>
        <v>19021</v>
      </c>
      <c r="V92" s="126">
        <f>IF(OR(ISERR(autocompAlmoco[[#This Row],[CORRESP HORARIO]]), autocompAlmoco[[#This Row],[CORRESP HORARIO]]&lt;&gt;"NÃO"),autocompAlmoco[[#This Row],[CORRESP HORARIO]],"")</f>
        <v>0.8125</v>
      </c>
      <c r="W92" s="4" t="s">
        <v>299</v>
      </c>
      <c r="X92" s="1" t="s">
        <v>43</v>
      </c>
      <c r="Y92" s="1">
        <f>IF(tabAlmoco[[#This Row],[MOTORISTA]]="","",COUNTIF(autocompAlmoco[COMP ESCALA ATUAL],autocompAlmoco[[#This Row],[COMP ESCALA ATUAL]]))</f>
        <v>1</v>
      </c>
      <c r="Z92" s="105">
        <f>IF(tabAlmoco[[#This Row],[MOTORISTA]]&lt;&gt;0,15,"")</f>
        <v>15</v>
      </c>
      <c r="AA92" s="131" t="str">
        <f>autocompAlmoco[[#This Row],[CORRESP LINHA]]</f>
        <v>IMPERATRIZ (MA) X SÃO LUIS (MA)</v>
      </c>
    </row>
    <row r="93" spans="3:27" ht="15" hidden="1" customHeight="1" x14ac:dyDescent="0.25">
      <c r="C93" s="140" t="s">
        <v>226</v>
      </c>
      <c r="D93" s="56" t="str">
        <f>IF(tabAlmoco[[#This Row],[MOTORISTA]]="","",_xlfn.CONCAT(tabAlmoco[[#This Row],[DATA]],"+",tabAlmoco[[#This Row],[MOTORISTA]]))</f>
        <v>45899+ALTEMAR DO NASCIMENTO LIMA - 6225</v>
      </c>
      <c r="E93" s="56" t="str">
        <f>_xlfn.XLOOKUP(autocompAlmoco[[#This Row],[COMP ESCALA ATUAL]],tabE.Flux[COMP.AT. MOT A],tabE.Flux[LINHA],"NÃO",0,1)</f>
        <v>NÃO</v>
      </c>
      <c r="F93" s="56" t="str">
        <f>_xlfn.XLOOKUP(autocompAlmoco[[#This Row],[COMP ESCALA ATUAL]],tabE.Flux[COMP.AT. MOT B],tabE.Flux[LINHA],"NÃO",0,1)</f>
        <v>GOIANIA (GO) X SAO LUIS (MA)</v>
      </c>
      <c r="G93" s="61" t="str">
        <f>IF(AND(autocompAlmoco[[#This Row],[EXISTE MOT A AT]]="NÃO", autocompAlmoco[[#This Row],[EXISTE MOT B AT]]="NÃO"),"NÃO","SIM")</f>
        <v>SIM</v>
      </c>
      <c r="H93" s="57" t="str">
        <f>IF(autocompAlmoco[[#This Row],[EXISTE ESCALA ATUAL]]="NÃO",_xlfn.CONCAT(tabAlmoco[[#This Row],[DATA]]-1,"+",tabAlmoco[[#This Row],[MOTORISTA]]),"NÃO")</f>
        <v>NÃO</v>
      </c>
      <c r="I93" s="57" t="str">
        <f>IF(autocompAlmoco[[#This Row],[COMP ESCALA ANTERIOR]]="NÃO","NÃO",_xlfn.XLOOKUP(autocompAlmoco[[#This Row],[COMP ESCALA ANTERIOR]],tabE.Flux[COMP.AT. MOT A],tabE.Flux[LINHA],"NÃO",0,1))</f>
        <v>NÃO</v>
      </c>
      <c r="J93" s="58" t="str">
        <f>IF(autocompAlmoco[[#This Row],[COMP ESCALA ANTERIOR]]="NÃO","NÃO",_xlfn.XLOOKUP(autocompAlmoco[[#This Row],[COMP ESCALA ANTERIOR]],tabE.Flux[COMP.AT. MOT B],tabE.Flux[LINHA],"NÃO",0,1))</f>
        <v>NÃO</v>
      </c>
      <c r="K93" s="62" t="str">
        <f>IF(AND(autocompAlmoco[[#This Row],[EXISTE MOT A ANT]]="NÃO",autocompAlmoco[[#This Row],[EXISTE MOT B ANT]]="NÃO"),"NÃO","SIM")</f>
        <v>NÃO</v>
      </c>
      <c r="L93" s="59" t="str">
        <f t="shared" si="2"/>
        <v>45900+ALTEMAR DO NASCIMENTO LIMA - 6225</v>
      </c>
      <c r="M93" s="59" t="str">
        <f>IF(autocompAlmoco[[#This Row],[COMP ESCALA POSTERIOR]]="NÃO","NÃO",_xlfn.XLOOKUP(autocompAlmoco[[#This Row],[COMP ESCALA POSTERIOR]],tabE.Flux[COMP.AT. MOT A],tabE.Flux[LINHA],"NÃO",0,1))</f>
        <v>NÃO</v>
      </c>
      <c r="N93" s="59" t="str">
        <f>IF(autocompAlmoco[[#This Row],[COMP ESCALA POSTERIOR]]="NÃO","NÃO",_xlfn.XLOOKUP(autocompAlmoco[[#This Row],[COMP ESCALA POSTERIOR]],tabE.Flux[COMP.AT. MOT B],tabE.Flux[LINHA],"NÃO",0,1))</f>
        <v>NÃO</v>
      </c>
      <c r="O93" s="65" t="str">
        <f>IF(AND(autocompAlmoco[[#This Row],[EXISTE MOT A POS]]="NÃO",autocompAlmoco[[#This Row],[EXISTE MOT B POS]]="NÃO"),"NÃO","SIM")</f>
        <v>NÃO</v>
      </c>
      <c r="P93" s="66" t="str" cm="1">
        <f t="array" ref="P9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93" s="103" t="str" cm="1">
        <f t="array" ref="Q9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45899+ALTEMAR DO NASCIMENTO LIMA - 6225+GOIANIA (GO) X SAO LUIS (MA)</v>
      </c>
      <c r="R93" s="67">
        <f>_xlfn.XLOOKUP(autocompAlmoco[[#This Row],[COMP ESCALA]],tabE.Flux[COMP. ESCALA MOT B],tabE.Flux[CARRO],
(_xlfn.XLOOKUP(autocompAlmoco[[#This Row],[COMP ESCALA]],tabE.Flux[COMP. ESCALA MOT A],tabE.Flux[CARRO],"N/E",0,1)),0,1)</f>
        <v>20013</v>
      </c>
      <c r="S93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93" s="125">
        <v>45899</v>
      </c>
      <c r="U93" s="131">
        <f>IF(IFERROR(autocompAlmoco[[#This Row],[CORRESP. CARRO]],"")="NÃO",(IF(tabAlmoco[[#This Row],[MOTORISTA]]=0,"","PASSE?")),autocompAlmoco[[#This Row],[CORRESP. CARRO]])</f>
        <v>20013</v>
      </c>
      <c r="V93" s="126">
        <f>IF(OR(ISERR(autocompAlmoco[[#This Row],[CORRESP HORARIO]]), autocompAlmoco[[#This Row],[CORRESP HORARIO]]&lt;&gt;"NÃO"),autocompAlmoco[[#This Row],[CORRESP HORARIO]],"")</f>
        <v>0.47013888888888888</v>
      </c>
      <c r="W93" s="4" t="s">
        <v>299</v>
      </c>
      <c r="X93" s="1" t="s">
        <v>57</v>
      </c>
      <c r="Y93" s="1">
        <f>IF(tabAlmoco[[#This Row],[MOTORISTA]]="","",COUNTIF(autocompAlmoco[COMP ESCALA ATUAL],autocompAlmoco[[#This Row],[COMP ESCALA ATUAL]]))</f>
        <v>1</v>
      </c>
      <c r="Z93" s="105">
        <f>IF(tabAlmoco[[#This Row],[MOTORISTA]]&lt;&gt;0,15,"")</f>
        <v>15</v>
      </c>
      <c r="AA93" s="131" t="str">
        <f>autocompAlmoco[[#This Row],[CORRESP LINHA]]</f>
        <v>GOIANIA (GO) X SAO LUIS (MA)</v>
      </c>
    </row>
    <row r="94" spans="3:27" ht="15" hidden="1" customHeight="1" x14ac:dyDescent="0.25">
      <c r="C94" s="140" t="s">
        <v>226</v>
      </c>
      <c r="D94" s="56" t="str">
        <f>IF(tabAlmoco[[#This Row],[MOTORISTA]]="","",_xlfn.CONCAT(tabAlmoco[[#This Row],[DATA]],"+",tabAlmoco[[#This Row],[MOTORISTA]]))</f>
        <v>45899+LAUCEANDO DA SILVA ROCHA - 6220</v>
      </c>
      <c r="E94" s="56" t="str">
        <f>_xlfn.XLOOKUP(autocompAlmoco[[#This Row],[COMP ESCALA ATUAL]],tabE.Flux[COMP.AT. MOT A],tabE.Flux[LINHA],"NÃO",0,1)</f>
        <v>GOIANIA (GO) X SAO LUIS (MA)</v>
      </c>
      <c r="F94" s="56" t="str">
        <f>_xlfn.XLOOKUP(autocompAlmoco[[#This Row],[COMP ESCALA ATUAL]],tabE.Flux[COMP.AT. MOT B],tabE.Flux[LINHA],"NÃO",0,1)</f>
        <v>GOIANIA (GO) X SAO LUIS (MA)</v>
      </c>
      <c r="G94" s="61" t="str">
        <f>IF(AND(autocompAlmoco[[#This Row],[EXISTE MOT A AT]]="NÃO", autocompAlmoco[[#This Row],[EXISTE MOT B AT]]="NÃO"),"NÃO","SIM")</f>
        <v>SIM</v>
      </c>
      <c r="H94" s="57" t="str">
        <f>IF(autocompAlmoco[[#This Row],[EXISTE ESCALA ATUAL]]="NÃO",_xlfn.CONCAT(tabAlmoco[[#This Row],[DATA]]-1,"+",tabAlmoco[[#This Row],[MOTORISTA]]),"NÃO")</f>
        <v>NÃO</v>
      </c>
      <c r="I94" s="57" t="str">
        <f>IF(autocompAlmoco[[#This Row],[COMP ESCALA ANTERIOR]]="NÃO","NÃO",_xlfn.XLOOKUP(autocompAlmoco[[#This Row],[COMP ESCALA ANTERIOR]],tabE.Flux[COMP.AT. MOT A],tabE.Flux[LINHA],"NÃO",0,1))</f>
        <v>NÃO</v>
      </c>
      <c r="J94" s="58" t="str">
        <f>IF(autocompAlmoco[[#This Row],[COMP ESCALA ANTERIOR]]="NÃO","NÃO",_xlfn.XLOOKUP(autocompAlmoco[[#This Row],[COMP ESCALA ANTERIOR]],tabE.Flux[COMP.AT. MOT B],tabE.Flux[LINHA],"NÃO",0,1))</f>
        <v>NÃO</v>
      </c>
      <c r="K94" s="62" t="str">
        <f>IF(AND(autocompAlmoco[[#This Row],[EXISTE MOT A ANT]]="NÃO",autocompAlmoco[[#This Row],[EXISTE MOT B ANT]]="NÃO"),"NÃO","SIM")</f>
        <v>NÃO</v>
      </c>
      <c r="L94" s="59" t="str">
        <f t="shared" si="2"/>
        <v>45900+LAUCEANDO DA SILVA ROCHA - 6220</v>
      </c>
      <c r="M94" s="59" t="str">
        <f>IF(autocompAlmoco[[#This Row],[COMP ESCALA POSTERIOR]]="NÃO","NÃO",_xlfn.XLOOKUP(autocompAlmoco[[#This Row],[COMP ESCALA POSTERIOR]],tabE.Flux[COMP.AT. MOT A],tabE.Flux[LINHA],"NÃO",0,1))</f>
        <v>NÃO</v>
      </c>
      <c r="N94" s="59" t="str">
        <f>IF(autocompAlmoco[[#This Row],[COMP ESCALA POSTERIOR]]="NÃO","NÃO",_xlfn.XLOOKUP(autocompAlmoco[[#This Row],[COMP ESCALA POSTERIOR]],tabE.Flux[COMP.AT. MOT B],tabE.Flux[LINHA],"NÃO",0,1))</f>
        <v>NÃO</v>
      </c>
      <c r="O94" s="65" t="str">
        <f>IF(AND(autocompAlmoco[[#This Row],[EXISTE MOT A POS]]="NÃO",autocompAlmoco[[#This Row],[EXISTE MOT B POS]]="NÃO"),"NÃO","SIM")</f>
        <v>NÃO</v>
      </c>
      <c r="P94" s="66" t="str" cm="1">
        <f t="array" ref="P9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94" s="103" t="str" cm="1">
        <f t="array" ref="Q9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45899+LAUCEANDO DA SILVA ROCHA - 6220+GOIANIA (GO) X SAO LUIS (MA)</v>
      </c>
      <c r="R94" s="67">
        <f>_xlfn.XLOOKUP(autocompAlmoco[[#This Row],[COMP ESCALA]],tabE.Flux[COMP. ESCALA MOT B],tabE.Flux[CARRO],
(_xlfn.XLOOKUP(autocompAlmoco[[#This Row],[COMP ESCALA]],tabE.Flux[COMP. ESCALA MOT A],tabE.Flux[CARRO],"N/E",0,1)),0,1)</f>
        <v>24006</v>
      </c>
      <c r="S94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94" s="125">
        <v>45899</v>
      </c>
      <c r="U94" s="131">
        <f>IF(IFERROR(autocompAlmoco[[#This Row],[CORRESP. CARRO]],"")="NÃO",(IF(tabAlmoco[[#This Row],[MOTORISTA]]=0,"","PASSE?")),autocompAlmoco[[#This Row],[CORRESP. CARRO]])</f>
        <v>24006</v>
      </c>
      <c r="V94" s="126">
        <f>IF(OR(ISERR(autocompAlmoco[[#This Row],[CORRESP HORARIO]]), autocompAlmoco[[#This Row],[CORRESP HORARIO]]&lt;&gt;"NÃO"),autocompAlmoco[[#This Row],[CORRESP HORARIO]],"")</f>
        <v>0.29166666666666669</v>
      </c>
      <c r="W94" s="4" t="s">
        <v>299</v>
      </c>
      <c r="X94" s="1" t="s">
        <v>86</v>
      </c>
      <c r="Y94" s="1">
        <f>IF(tabAlmoco[[#This Row],[MOTORISTA]]="","",COUNTIF(autocompAlmoco[COMP ESCALA ATUAL],autocompAlmoco[[#This Row],[COMP ESCALA ATUAL]]))</f>
        <v>1</v>
      </c>
      <c r="Z94" s="105">
        <f>IF(tabAlmoco[[#This Row],[MOTORISTA]]&lt;&gt;0,15,"")</f>
        <v>15</v>
      </c>
      <c r="AA94" s="131" t="str">
        <f>autocompAlmoco[[#This Row],[CORRESP LINHA]]</f>
        <v>GOIANIA (GO) X SAO LUIS (MA)</v>
      </c>
    </row>
    <row r="95" spans="3:27" ht="15" hidden="1" customHeight="1" x14ac:dyDescent="0.25">
      <c r="C95" s="140" t="s">
        <v>226</v>
      </c>
      <c r="D95" s="56" t="str">
        <f>IF(tabAlmoco[[#This Row],[MOTORISTA]]="","",_xlfn.CONCAT(tabAlmoco[[#This Row],[DATA]],"+",tabAlmoco[[#This Row],[MOTORISTA]]))</f>
        <v>45899+ANTONIO LEONESIO CAMPELO DA SILVA - 5303</v>
      </c>
      <c r="E95" s="56" t="str">
        <f>_xlfn.XLOOKUP(autocompAlmoco[[#This Row],[COMP ESCALA ATUAL]],tabE.Flux[COMP.AT. MOT A],tabE.Flux[LINHA],"NÃO",0,1)</f>
        <v>NÃO</v>
      </c>
      <c r="F95" s="56" t="str">
        <f>_xlfn.XLOOKUP(autocompAlmoco[[#This Row],[COMP ESCALA ATUAL]],tabE.Flux[COMP.AT. MOT B],tabE.Flux[LINHA],"NÃO",0,1)</f>
        <v>NÃO</v>
      </c>
      <c r="G95" s="61" t="str">
        <f>IF(AND(autocompAlmoco[[#This Row],[EXISTE MOT A AT]]="NÃO", autocompAlmoco[[#This Row],[EXISTE MOT B AT]]="NÃO"),"NÃO","SIM")</f>
        <v>NÃO</v>
      </c>
      <c r="H95" s="57" t="str">
        <f>IF(autocompAlmoco[[#This Row],[EXISTE ESCALA ATUAL]]="NÃO",_xlfn.CONCAT(tabAlmoco[[#This Row],[DATA]]-1,"+",tabAlmoco[[#This Row],[MOTORISTA]]),"NÃO")</f>
        <v>45898+ANTONIO LEONESIO CAMPELO DA SILVA - 5303</v>
      </c>
      <c r="I95" s="57" t="str">
        <f>IF(autocompAlmoco[[#This Row],[COMP ESCALA ANTERIOR]]="NÃO","NÃO",_xlfn.XLOOKUP(autocompAlmoco[[#This Row],[COMP ESCALA ANTERIOR]],tabE.Flux[COMP.AT. MOT A],tabE.Flux[LINHA],"NÃO",0,1))</f>
        <v>NÃO</v>
      </c>
      <c r="J95" s="58" t="str">
        <f>IF(autocompAlmoco[[#This Row],[COMP ESCALA ANTERIOR]]="NÃO","NÃO",_xlfn.XLOOKUP(autocompAlmoco[[#This Row],[COMP ESCALA ANTERIOR]],tabE.Flux[COMP.AT. MOT B],tabE.Flux[LINHA],"NÃO",0,1))</f>
        <v>NÃO</v>
      </c>
      <c r="K95" s="62" t="str">
        <f>IF(AND(autocompAlmoco[[#This Row],[EXISTE MOT A ANT]]="NÃO",autocompAlmoco[[#This Row],[EXISTE MOT B ANT]]="NÃO"),"NÃO","SIM")</f>
        <v>NÃO</v>
      </c>
      <c r="L95" s="59" t="str">
        <f t="shared" si="2"/>
        <v>45900+ANTONIO LEONESIO CAMPELO DA SILVA - 5303</v>
      </c>
      <c r="M95" s="59" t="str">
        <f>IF(autocompAlmoco[[#This Row],[COMP ESCALA POSTERIOR]]="NÃO","NÃO",_xlfn.XLOOKUP(autocompAlmoco[[#This Row],[COMP ESCALA POSTERIOR]],tabE.Flux[COMP.AT. MOT A],tabE.Flux[LINHA],"NÃO",0,1))</f>
        <v>NÃO</v>
      </c>
      <c r="N95" s="59" t="str">
        <f>IF(autocompAlmoco[[#This Row],[COMP ESCALA POSTERIOR]]="NÃO","NÃO",_xlfn.XLOOKUP(autocompAlmoco[[#This Row],[COMP ESCALA POSTERIOR]],tabE.Flux[COMP.AT. MOT B],tabE.Flux[LINHA],"NÃO",0,1))</f>
        <v>GOIANIA (GO) X TERESINA (PI) VIA STI</v>
      </c>
      <c r="O95" s="65" t="str">
        <f>IF(AND(autocompAlmoco[[#This Row],[EXISTE MOT A POS]]="NÃO",autocompAlmoco[[#This Row],[EXISTE MOT B POS]]="NÃO"),"NÃO","SIM")</f>
        <v>SIM</v>
      </c>
      <c r="P95" s="66" t="str" cm="1">
        <f t="array" ref="P9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95" s="103" t="str" cm="1">
        <f t="array" ref="Q9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45900+ANTONIO LEONESIO CAMPELO DA SILVA - 5303+GOIANIA (GO) X TERESINA (PI) VIA STI</v>
      </c>
      <c r="R95" s="67">
        <f>_xlfn.XLOOKUP(autocompAlmoco[[#This Row],[COMP ESCALA]],tabE.Flux[COMP. ESCALA MOT B],tabE.Flux[CARRO],
(_xlfn.XLOOKUP(autocompAlmoco[[#This Row],[COMP ESCALA]],tabE.Flux[COMP. ESCALA MOT A],tabE.Flux[CARRO],"N/E",0,1)),0,1)</f>
        <v>19006</v>
      </c>
      <c r="S95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95" s="125">
        <v>45899</v>
      </c>
      <c r="U95" s="131">
        <f>IF(IFERROR(autocompAlmoco[[#This Row],[CORRESP. CARRO]],"")="NÃO",(IF(tabAlmoco[[#This Row],[MOTORISTA]]=0,"","PASSE?")),autocompAlmoco[[#This Row],[CORRESP. CARRO]])</f>
        <v>19006</v>
      </c>
      <c r="V95" s="126">
        <f>IF(OR(ISERR(autocompAlmoco[[#This Row],[CORRESP HORARIO]]), autocompAlmoco[[#This Row],[CORRESP HORARIO]]&lt;&gt;"NÃO"),autocompAlmoco[[#This Row],[CORRESP HORARIO]],"")</f>
        <v>0.79861111111111116</v>
      </c>
      <c r="W95" s="4" t="s">
        <v>299</v>
      </c>
      <c r="X95" s="1" t="s">
        <v>111</v>
      </c>
      <c r="Y95" s="1">
        <f>IF(tabAlmoco[[#This Row],[MOTORISTA]]="","",COUNTIF(autocompAlmoco[COMP ESCALA ATUAL],autocompAlmoco[[#This Row],[COMP ESCALA ATUAL]]))</f>
        <v>1</v>
      </c>
      <c r="Z95" s="105">
        <f>IF(tabAlmoco[[#This Row],[MOTORISTA]]&lt;&gt;0,15,"")</f>
        <v>15</v>
      </c>
      <c r="AA95" s="131" t="str">
        <f>autocompAlmoco[[#This Row],[CORRESP LINHA]]</f>
        <v>GOIANIA (GO) X TERESINA (PI) VIA STI</v>
      </c>
    </row>
    <row r="96" spans="3:27" ht="15" hidden="1" customHeight="1" x14ac:dyDescent="0.25">
      <c r="C96" s="140" t="s">
        <v>226</v>
      </c>
      <c r="D96" s="56" t="str">
        <f>IF(tabAlmoco[[#This Row],[MOTORISTA]]="","",_xlfn.CONCAT(tabAlmoco[[#This Row],[DATA]],"+",tabAlmoco[[#This Row],[MOTORISTA]]))</f>
        <v>45899+PEDRO PAULO DO NASCIMENTO DO CARMO - 2559</v>
      </c>
      <c r="E96" s="56" t="str">
        <f>_xlfn.XLOOKUP(autocompAlmoco[[#This Row],[COMP ESCALA ATUAL]],tabE.Flux[COMP.AT. MOT A],tabE.Flux[LINHA],"NÃO",0,1)</f>
        <v>NÃO</v>
      </c>
      <c r="F96" s="56" t="str">
        <f>_xlfn.XLOOKUP(autocompAlmoco[[#This Row],[COMP ESCALA ATUAL]],tabE.Flux[COMP.AT. MOT B],tabE.Flux[LINHA],"NÃO",0,1)</f>
        <v>FORTALEZA (CE) X SINOP (MT)</v>
      </c>
      <c r="G96" s="61" t="str">
        <f>IF(AND(autocompAlmoco[[#This Row],[EXISTE MOT A AT]]="NÃO", autocompAlmoco[[#This Row],[EXISTE MOT B AT]]="NÃO"),"NÃO","SIM")</f>
        <v>SIM</v>
      </c>
      <c r="H96" s="57" t="str">
        <f>IF(autocompAlmoco[[#This Row],[EXISTE ESCALA ATUAL]]="NÃO",_xlfn.CONCAT(tabAlmoco[[#This Row],[DATA]]-1,"+",tabAlmoco[[#This Row],[MOTORISTA]]),"NÃO")</f>
        <v>NÃO</v>
      </c>
      <c r="I96" s="57" t="str">
        <f>IF(autocompAlmoco[[#This Row],[COMP ESCALA ANTERIOR]]="NÃO","NÃO",_xlfn.XLOOKUP(autocompAlmoco[[#This Row],[COMP ESCALA ANTERIOR]],tabE.Flux[COMP.AT. MOT A],tabE.Flux[LINHA],"NÃO",0,1))</f>
        <v>NÃO</v>
      </c>
      <c r="J96" s="58" t="str">
        <f>IF(autocompAlmoco[[#This Row],[COMP ESCALA ANTERIOR]]="NÃO","NÃO",_xlfn.XLOOKUP(autocompAlmoco[[#This Row],[COMP ESCALA ANTERIOR]],tabE.Flux[COMP.AT. MOT B],tabE.Flux[LINHA],"NÃO",0,1))</f>
        <v>NÃO</v>
      </c>
      <c r="K96" s="62" t="str">
        <f>IF(AND(autocompAlmoco[[#This Row],[EXISTE MOT A ANT]]="NÃO",autocompAlmoco[[#This Row],[EXISTE MOT B ANT]]="NÃO"),"NÃO","SIM")</f>
        <v>NÃO</v>
      </c>
      <c r="L96" s="59" t="str">
        <f t="shared" si="2"/>
        <v>45900+PEDRO PAULO DO NASCIMENTO DO CARMO - 2559</v>
      </c>
      <c r="M96" s="59" t="str">
        <f>IF(autocompAlmoco[[#This Row],[COMP ESCALA POSTERIOR]]="NÃO","NÃO",_xlfn.XLOOKUP(autocompAlmoco[[#This Row],[COMP ESCALA POSTERIOR]],tabE.Flux[COMP.AT. MOT A],tabE.Flux[LINHA],"NÃO",0,1))</f>
        <v>NÃO</v>
      </c>
      <c r="N96" s="59" t="str">
        <f>IF(autocompAlmoco[[#This Row],[COMP ESCALA POSTERIOR]]="NÃO","NÃO",_xlfn.XLOOKUP(autocompAlmoco[[#This Row],[COMP ESCALA POSTERIOR]],tabE.Flux[COMP.AT. MOT B],tabE.Flux[LINHA],"NÃO",0,1))</f>
        <v>NÃO</v>
      </c>
      <c r="O96" s="65" t="str">
        <f>IF(AND(autocompAlmoco[[#This Row],[EXISTE MOT A POS]]="NÃO",autocompAlmoco[[#This Row],[EXISTE MOT B POS]]="NÃO"),"NÃO","SIM")</f>
        <v>NÃO</v>
      </c>
      <c r="P96" s="66" t="str" cm="1">
        <f t="array" ref="P9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96" s="103" t="str" cm="1">
        <f t="array" ref="Q9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45899+PEDRO PAULO DO NASCIMENTO DO CARMO - 2559+FORTALEZA (CE) X SINOP (MT)</v>
      </c>
      <c r="R96" s="67">
        <f>_xlfn.XLOOKUP(autocompAlmoco[[#This Row],[COMP ESCALA]],tabE.Flux[COMP. ESCALA MOT B],tabE.Flux[CARRO],
(_xlfn.XLOOKUP(autocompAlmoco[[#This Row],[COMP ESCALA]],tabE.Flux[COMP. ESCALA MOT A],tabE.Flux[CARRO],"N/E",0,1)),0,1)</f>
        <v>19022</v>
      </c>
      <c r="S96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96" s="125">
        <v>45899</v>
      </c>
      <c r="U96" s="131">
        <f>IF(IFERROR(autocompAlmoco[[#This Row],[CORRESP. CARRO]],"")="NÃO",(IF(tabAlmoco[[#This Row],[MOTORISTA]]=0,"","PASSE?")),autocompAlmoco[[#This Row],[CORRESP. CARRO]])</f>
        <v>19022</v>
      </c>
      <c r="V96" s="126">
        <f>IF(OR(ISERR(autocompAlmoco[[#This Row],[CORRESP HORARIO]]), autocompAlmoco[[#This Row],[CORRESP HORARIO]]&lt;&gt;"NÃO"),autocompAlmoco[[#This Row],[CORRESP HORARIO]],"")</f>
        <v>0.37708333333333333</v>
      </c>
      <c r="W96" s="4" t="s">
        <v>299</v>
      </c>
      <c r="X96" s="1" t="s">
        <v>175</v>
      </c>
      <c r="Y96" s="1">
        <f>IF(tabAlmoco[[#This Row],[MOTORISTA]]="","",COUNTIF(autocompAlmoco[COMP ESCALA ATUAL],autocompAlmoco[[#This Row],[COMP ESCALA ATUAL]]))</f>
        <v>1</v>
      </c>
      <c r="Z96" s="105">
        <f>IF(tabAlmoco[[#This Row],[MOTORISTA]]&lt;&gt;0,15,"")</f>
        <v>15</v>
      </c>
      <c r="AA96" s="131" t="str">
        <f>autocompAlmoco[[#This Row],[CORRESP LINHA]]</f>
        <v>FORTALEZA (CE) X SINOP (MT)</v>
      </c>
    </row>
    <row r="97" spans="3:27" ht="15" hidden="1" customHeight="1" x14ac:dyDescent="0.25">
      <c r="C97" s="140" t="s">
        <v>226</v>
      </c>
      <c r="D97" s="56" t="str">
        <f>IF(tabAlmoco[[#This Row],[MOTORISTA]]="","",_xlfn.CONCAT(tabAlmoco[[#This Row],[DATA]],"+",tabAlmoco[[#This Row],[MOTORISTA]]))</f>
        <v>45899+JARDEL DE SOUSA OLIVEIRA - 5992</v>
      </c>
      <c r="E97" s="56" t="str">
        <f>_xlfn.XLOOKUP(autocompAlmoco[[#This Row],[COMP ESCALA ATUAL]],tabE.Flux[COMP.AT. MOT A],tabE.Flux[LINHA],"NÃO",0,1)</f>
        <v>NÃO</v>
      </c>
      <c r="F97" s="56" t="str">
        <f>_xlfn.XLOOKUP(autocompAlmoco[[#This Row],[COMP ESCALA ATUAL]],tabE.Flux[COMP.AT. MOT B],tabE.Flux[LINHA],"NÃO",0,1)</f>
        <v>NÃO</v>
      </c>
      <c r="G97" s="61" t="str">
        <f>IF(AND(autocompAlmoco[[#This Row],[EXISTE MOT A AT]]="NÃO", autocompAlmoco[[#This Row],[EXISTE MOT B AT]]="NÃO"),"NÃO","SIM")</f>
        <v>NÃO</v>
      </c>
      <c r="H97" s="57" t="str">
        <f>IF(autocompAlmoco[[#This Row],[EXISTE ESCALA ATUAL]]="NÃO",_xlfn.CONCAT(tabAlmoco[[#This Row],[DATA]]-1,"+",tabAlmoco[[#This Row],[MOTORISTA]]),"NÃO")</f>
        <v>45898+JARDEL DE SOUSA OLIVEIRA - 5992</v>
      </c>
      <c r="I97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97" s="58" t="str">
        <f>IF(autocompAlmoco[[#This Row],[COMP ESCALA ANTERIOR]]="NÃO","NÃO",_xlfn.XLOOKUP(autocompAlmoco[[#This Row],[COMP ESCALA ANTERIOR]],tabE.Flux[COMP.AT. MOT B],tabE.Flux[LINHA],"NÃO",0,1))</f>
        <v>NÃO</v>
      </c>
      <c r="K97" s="62" t="str">
        <f>IF(AND(autocompAlmoco[[#This Row],[EXISTE MOT A ANT]]="NÃO",autocompAlmoco[[#This Row],[EXISTE MOT B ANT]]="NÃO"),"NÃO","SIM")</f>
        <v>SIM</v>
      </c>
      <c r="L97" s="59" t="str">
        <f t="shared" si="2"/>
        <v>45900+JARDEL DE SOUSA OLIVEIRA - 5992</v>
      </c>
      <c r="M97" s="59" t="str">
        <f>IF(autocompAlmoco[[#This Row],[COMP ESCALA POSTERIOR]]="NÃO","NÃO",_xlfn.XLOOKUP(autocompAlmoco[[#This Row],[COMP ESCALA POSTERIOR]],tabE.Flux[COMP.AT. MOT A],tabE.Flux[LINHA],"NÃO",0,1))</f>
        <v>NÃO</v>
      </c>
      <c r="N97" s="59" t="str">
        <f>IF(autocompAlmoco[[#This Row],[COMP ESCALA POSTERIOR]]="NÃO","NÃO",_xlfn.XLOOKUP(autocompAlmoco[[#This Row],[COMP ESCALA POSTERIOR]],tabE.Flux[COMP.AT. MOT B],tabE.Flux[LINHA],"NÃO",0,1))</f>
        <v>NÃO</v>
      </c>
      <c r="O97" s="65" t="str">
        <f>IF(AND(autocompAlmoco[[#This Row],[EXISTE MOT A POS]]="NÃO",autocompAlmoco[[#This Row],[EXISTE MOT B POS]]="NÃO"),"NÃO","SIM")</f>
        <v>NÃO</v>
      </c>
      <c r="P97" s="66" t="str" cm="1">
        <f t="array" ref="P9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97" s="103" t="str" cm="1">
        <f t="array" ref="Q9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45898+JARDEL DE SOUSA OLIVEIRA - 5992+GOIANIA (GO) X TERESINA (PI) VIA STI</v>
      </c>
      <c r="R97" s="67">
        <f>_xlfn.XLOOKUP(autocompAlmoco[[#This Row],[COMP ESCALA]],tabE.Flux[COMP. ESCALA MOT B],tabE.Flux[CARRO],
(_xlfn.XLOOKUP(autocompAlmoco[[#This Row],[COMP ESCALA]],tabE.Flux[COMP. ESCALA MOT A],tabE.Flux[CARRO],"N/E",0,1)),0,1)</f>
        <v>20018</v>
      </c>
      <c r="S97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97" s="125">
        <v>45899</v>
      </c>
      <c r="U97" s="131">
        <f>IF(IFERROR(autocompAlmoco[[#This Row],[CORRESP. CARRO]],"")="NÃO",(IF(tabAlmoco[[#This Row],[MOTORISTA]]=0,"","PASSE?")),autocompAlmoco[[#This Row],[CORRESP. CARRO]])</f>
        <v>20018</v>
      </c>
      <c r="V97" s="126">
        <f>IF(OR(ISERR(autocompAlmoco[[#This Row],[CORRESP HORARIO]]), autocompAlmoco[[#This Row],[CORRESP HORARIO]]&lt;&gt;"NÃO"),autocompAlmoco[[#This Row],[CORRESP HORARIO]],"")</f>
        <v>0.79861111111111116</v>
      </c>
      <c r="W97" s="4" t="s">
        <v>299</v>
      </c>
      <c r="X97" s="1" t="s">
        <v>150</v>
      </c>
      <c r="Y97" s="1">
        <f>IF(tabAlmoco[[#This Row],[MOTORISTA]]="","",COUNTIF(autocompAlmoco[COMP ESCALA ATUAL],autocompAlmoco[[#This Row],[COMP ESCALA ATUAL]]))</f>
        <v>1</v>
      </c>
      <c r="Z97" s="105">
        <f>IF(tabAlmoco[[#This Row],[MOTORISTA]]&lt;&gt;0,15,"")</f>
        <v>15</v>
      </c>
      <c r="AA97" s="131" t="str">
        <f>autocompAlmoco[[#This Row],[CORRESP LINHA]]</f>
        <v>GOIANIA (GO) X TERESINA (PI) VIA STI</v>
      </c>
    </row>
    <row r="98" spans="3:27" ht="15" hidden="1" customHeight="1" x14ac:dyDescent="0.25">
      <c r="C98" s="140" t="s">
        <v>226</v>
      </c>
      <c r="D98" s="56" t="str">
        <f>IF(tabAlmoco[[#This Row],[MOTORISTA]]="","",_xlfn.CONCAT(tabAlmoco[[#This Row],[DATA]],"+",tabAlmoco[[#This Row],[MOTORISTA]]))</f>
        <v>45900+EDIVALDO DE ARAUJO - 6217</v>
      </c>
      <c r="E98" s="56" t="str">
        <f>_xlfn.XLOOKUP(autocompAlmoco[[#This Row],[COMP ESCALA ATUAL]],tabE.Flux[COMP.AT. MOT A],tabE.Flux[LINHA],"NÃO",0,1)</f>
        <v>NÃO</v>
      </c>
      <c r="F98" s="56" t="str">
        <f>_xlfn.XLOOKUP(autocompAlmoco[[#This Row],[COMP ESCALA ATUAL]],tabE.Flux[COMP.AT. MOT B],tabE.Flux[LINHA],"NÃO",0,1)</f>
        <v>GOIANIA (GO) X SAO LUIS (MA)</v>
      </c>
      <c r="G98" s="61" t="str">
        <f>IF(AND(autocompAlmoco[[#This Row],[EXISTE MOT A AT]]="NÃO", autocompAlmoco[[#This Row],[EXISTE MOT B AT]]="NÃO"),"NÃO","SIM")</f>
        <v>SIM</v>
      </c>
      <c r="H98" s="57" t="str">
        <f>IF(autocompAlmoco[[#This Row],[EXISTE ESCALA ATUAL]]="NÃO",_xlfn.CONCAT(tabAlmoco[[#This Row],[DATA]]-1,"+",tabAlmoco[[#This Row],[MOTORISTA]]),"NÃO")</f>
        <v>NÃO</v>
      </c>
      <c r="I98" s="57" t="str">
        <f>IF(autocompAlmoco[[#This Row],[COMP ESCALA ANTERIOR]]="NÃO","NÃO",_xlfn.XLOOKUP(autocompAlmoco[[#This Row],[COMP ESCALA ANTERIOR]],tabE.Flux[COMP.AT. MOT A],tabE.Flux[LINHA],"NÃO",0,1))</f>
        <v>NÃO</v>
      </c>
      <c r="J98" s="58" t="str">
        <f>IF(autocompAlmoco[[#This Row],[COMP ESCALA ANTERIOR]]="NÃO","NÃO",_xlfn.XLOOKUP(autocompAlmoco[[#This Row],[COMP ESCALA ANTERIOR]],tabE.Flux[COMP.AT. MOT B],tabE.Flux[LINHA],"NÃO",0,1))</f>
        <v>NÃO</v>
      </c>
      <c r="K98" s="62" t="str">
        <f>IF(AND(autocompAlmoco[[#This Row],[EXISTE MOT A ANT]]="NÃO",autocompAlmoco[[#This Row],[EXISTE MOT B ANT]]="NÃO"),"NÃO","SIM")</f>
        <v>NÃO</v>
      </c>
      <c r="L98" s="59" t="str">
        <f t="shared" si="2"/>
        <v>45901+EDIVALDO DE ARAUJO - 6217</v>
      </c>
      <c r="M98" s="59" t="str">
        <f>IF(autocompAlmoco[[#This Row],[COMP ESCALA POSTERIOR]]="NÃO","NÃO",_xlfn.XLOOKUP(autocompAlmoco[[#This Row],[COMP ESCALA POSTERIOR]],tabE.Flux[COMP.AT. MOT A],tabE.Flux[LINHA],"NÃO",0,1))</f>
        <v>NÃO</v>
      </c>
      <c r="N98" s="59" t="str">
        <f>IF(autocompAlmoco[[#This Row],[COMP ESCALA POSTERIOR]]="NÃO","NÃO",_xlfn.XLOOKUP(autocompAlmoco[[#This Row],[COMP ESCALA POSTERIOR]],tabE.Flux[COMP.AT. MOT B],tabE.Flux[LINHA],"NÃO",0,1))</f>
        <v>NÃO</v>
      </c>
      <c r="O98" s="65" t="str">
        <f>IF(AND(autocompAlmoco[[#This Row],[EXISTE MOT A POS]]="NÃO",autocompAlmoco[[#This Row],[EXISTE MOT B POS]]="NÃO"),"NÃO","SIM")</f>
        <v>NÃO</v>
      </c>
      <c r="P98" s="66" t="str" cm="1">
        <f t="array" ref="P9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98" s="103" t="str" cm="1">
        <f t="array" ref="Q9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45900+EDIVALDO DE ARAUJO - 6217+GOIANIA (GO) X SAO LUIS (MA)</v>
      </c>
      <c r="R98" s="67">
        <f>_xlfn.XLOOKUP(autocompAlmoco[[#This Row],[COMP ESCALA]],tabE.Flux[COMP. ESCALA MOT B],tabE.Flux[CARRO],
(_xlfn.XLOOKUP(autocompAlmoco[[#This Row],[COMP ESCALA]],tabE.Flux[COMP. ESCALA MOT A],tabE.Flux[CARRO],"N/E",0,1)),0,1)</f>
        <v>19007</v>
      </c>
      <c r="S98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98" s="125">
        <v>45900</v>
      </c>
      <c r="U98" s="131">
        <f>IF(IFERROR(autocompAlmoco[[#This Row],[CORRESP. CARRO]],"")="NÃO",(IF(tabAlmoco[[#This Row],[MOTORISTA]]=0,"","PASSE?")),autocompAlmoco[[#This Row],[CORRESP. CARRO]])</f>
        <v>19007</v>
      </c>
      <c r="V98" s="126">
        <f>IF(OR(ISERR(autocompAlmoco[[#This Row],[CORRESP HORARIO]]), autocompAlmoco[[#This Row],[CORRESP HORARIO]]&lt;&gt;"NÃO"),autocompAlmoco[[#This Row],[CORRESP HORARIO]],"")</f>
        <v>0.47013888888888888</v>
      </c>
      <c r="W98" s="4" t="s">
        <v>299</v>
      </c>
      <c r="X98" s="1" t="s">
        <v>55</v>
      </c>
      <c r="Y98" s="1">
        <f>IF(tabAlmoco[[#This Row],[MOTORISTA]]="","",COUNTIF(autocompAlmoco[COMP ESCALA ATUAL],autocompAlmoco[[#This Row],[COMP ESCALA ATUAL]]))</f>
        <v>1</v>
      </c>
      <c r="Z98" s="105">
        <f>IF(tabAlmoco[[#This Row],[MOTORISTA]]&lt;&gt;0,15,"")</f>
        <v>15</v>
      </c>
      <c r="AA98" s="131" t="str">
        <f>autocompAlmoco[[#This Row],[CORRESP LINHA]]</f>
        <v>GOIANIA (GO) X SAO LUIS (MA)</v>
      </c>
    </row>
    <row r="99" spans="3:27" ht="15" hidden="1" customHeight="1" x14ac:dyDescent="0.25">
      <c r="C99" s="140" t="s">
        <v>226</v>
      </c>
      <c r="D99" s="56" t="str">
        <f>IF(tabAlmoco[[#This Row],[MOTORISTA]]="","",_xlfn.CONCAT(tabAlmoco[[#This Row],[DATA]],"+",tabAlmoco[[#This Row],[MOTORISTA]]))</f>
        <v>45900+CARLOS ADRIANO DE SOUZA DO NASCIMENTO - 6222</v>
      </c>
      <c r="E99" s="56" t="str">
        <f>_xlfn.XLOOKUP(autocompAlmoco[[#This Row],[COMP ESCALA ATUAL]],tabE.Flux[COMP.AT. MOT A],tabE.Flux[LINHA],"NÃO",0,1)</f>
        <v>NÃO</v>
      </c>
      <c r="F99" s="56" t="str">
        <f>_xlfn.XLOOKUP(autocompAlmoco[[#This Row],[COMP ESCALA ATUAL]],tabE.Flux[COMP.AT. MOT B],tabE.Flux[LINHA],"NÃO",0,1)</f>
        <v>GOIANIA (GO) X SAO LUIS (MA)</v>
      </c>
      <c r="G99" s="61" t="str">
        <f>IF(AND(autocompAlmoco[[#This Row],[EXISTE MOT A AT]]="NÃO", autocompAlmoco[[#This Row],[EXISTE MOT B AT]]="NÃO"),"NÃO","SIM")</f>
        <v>SIM</v>
      </c>
      <c r="H99" s="57" t="str">
        <f>IF(autocompAlmoco[[#This Row],[EXISTE ESCALA ATUAL]]="NÃO",_xlfn.CONCAT(tabAlmoco[[#This Row],[DATA]]-1,"+",tabAlmoco[[#This Row],[MOTORISTA]]),"NÃO")</f>
        <v>NÃO</v>
      </c>
      <c r="I99" s="57" t="str">
        <f>IF(autocompAlmoco[[#This Row],[COMP ESCALA ANTERIOR]]="NÃO","NÃO",_xlfn.XLOOKUP(autocompAlmoco[[#This Row],[COMP ESCALA ANTERIOR]],tabE.Flux[COMP.AT. MOT A],tabE.Flux[LINHA],"NÃO",0,1))</f>
        <v>NÃO</v>
      </c>
      <c r="J99" s="58" t="str">
        <f>IF(autocompAlmoco[[#This Row],[COMP ESCALA ANTERIOR]]="NÃO","NÃO",_xlfn.XLOOKUP(autocompAlmoco[[#This Row],[COMP ESCALA ANTERIOR]],tabE.Flux[COMP.AT. MOT B],tabE.Flux[LINHA],"NÃO",0,1))</f>
        <v>NÃO</v>
      </c>
      <c r="K99" s="62" t="str">
        <f>IF(AND(autocompAlmoco[[#This Row],[EXISTE MOT A ANT]]="NÃO",autocompAlmoco[[#This Row],[EXISTE MOT B ANT]]="NÃO"),"NÃO","SIM")</f>
        <v>NÃO</v>
      </c>
      <c r="L99" s="59" t="str">
        <f t="shared" si="2"/>
        <v>45901+CARLOS ADRIANO DE SOUZA DO NASCIMENTO - 6222</v>
      </c>
      <c r="M99" s="59" t="str">
        <f>IF(autocompAlmoco[[#This Row],[COMP ESCALA POSTERIOR]]="NÃO","NÃO",_xlfn.XLOOKUP(autocompAlmoco[[#This Row],[COMP ESCALA POSTERIOR]],tabE.Flux[COMP.AT. MOT A],tabE.Flux[LINHA],"NÃO",0,1))</f>
        <v>NÃO</v>
      </c>
      <c r="N99" s="59" t="str">
        <f>IF(autocompAlmoco[[#This Row],[COMP ESCALA POSTERIOR]]="NÃO","NÃO",_xlfn.XLOOKUP(autocompAlmoco[[#This Row],[COMP ESCALA POSTERIOR]],tabE.Flux[COMP.AT. MOT B],tabE.Flux[LINHA],"NÃO",0,1))</f>
        <v>NÃO</v>
      </c>
      <c r="O99" s="65" t="str">
        <f>IF(AND(autocompAlmoco[[#This Row],[EXISTE MOT A POS]]="NÃO",autocompAlmoco[[#This Row],[EXISTE MOT B POS]]="NÃO"),"NÃO","SIM")</f>
        <v>NÃO</v>
      </c>
      <c r="P99" s="66" t="str" cm="1">
        <f t="array" ref="P9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99" s="103" t="str" cm="1">
        <f t="array" ref="Q9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45900+CARLOS ADRIANO DE SOUZA DO NASCIMENTO - 6222+GOIANIA (GO) X SAO LUIS (MA)</v>
      </c>
      <c r="R99" s="67">
        <f>_xlfn.XLOOKUP(autocompAlmoco[[#This Row],[COMP ESCALA]],tabE.Flux[COMP. ESCALA MOT B],tabE.Flux[CARRO],
(_xlfn.XLOOKUP(autocompAlmoco[[#This Row],[COMP ESCALA]],tabE.Flux[COMP. ESCALA MOT A],tabE.Flux[CARRO],"N/E",0,1)),0,1)</f>
        <v>24003</v>
      </c>
      <c r="S99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99" s="125">
        <v>45900</v>
      </c>
      <c r="U99" s="131">
        <f>IF(IFERROR(autocompAlmoco[[#This Row],[CORRESP. CARRO]],"")="NÃO",(IF(tabAlmoco[[#This Row],[MOTORISTA]]=0,"","PASSE?")),autocompAlmoco[[#This Row],[CORRESP. CARRO]])</f>
        <v>24003</v>
      </c>
      <c r="V99" s="126">
        <f>IF(OR(ISERR(autocompAlmoco[[#This Row],[CORRESP HORARIO]]), autocompAlmoco[[#This Row],[CORRESP HORARIO]]&lt;&gt;"NÃO"),autocompAlmoco[[#This Row],[CORRESP HORARIO]],"")</f>
        <v>0.84375</v>
      </c>
      <c r="W99" s="4" t="s">
        <v>299</v>
      </c>
      <c r="X99" s="1" t="s">
        <v>110</v>
      </c>
      <c r="Y99" s="1">
        <f>IF(tabAlmoco[[#This Row],[MOTORISTA]]="","",COUNTIF(autocompAlmoco[COMP ESCALA ATUAL],autocompAlmoco[[#This Row],[COMP ESCALA ATUAL]]))</f>
        <v>1</v>
      </c>
      <c r="Z99" s="105">
        <f>IF(tabAlmoco[[#This Row],[MOTORISTA]]&lt;&gt;0,15,"")</f>
        <v>15</v>
      </c>
      <c r="AA99" s="131" t="str">
        <f>autocompAlmoco[[#This Row],[CORRESP LINHA]]</f>
        <v>GOIANIA (GO) X SAO LUIS (MA)</v>
      </c>
    </row>
    <row r="100" spans="3:27" ht="15" hidden="1" customHeight="1" x14ac:dyDescent="0.25">
      <c r="C100" s="140" t="s">
        <v>226</v>
      </c>
      <c r="D100" s="56" t="str">
        <f>IF(tabAlmoco[[#This Row],[MOTORISTA]]="","",_xlfn.CONCAT(tabAlmoco[[#This Row],[DATA]],"+",tabAlmoco[[#This Row],[MOTORISTA]]))</f>
        <v>45900+RONALDO ADRIANO COSTA SANTOS - 5637</v>
      </c>
      <c r="E100" s="56" t="str">
        <f>_xlfn.XLOOKUP(autocompAlmoco[[#This Row],[COMP ESCALA ATUAL]],tabE.Flux[COMP.AT. MOT A],tabE.Flux[LINHA],"NÃO",0,1)</f>
        <v>NÃO</v>
      </c>
      <c r="F100" s="56" t="str">
        <f>_xlfn.XLOOKUP(autocompAlmoco[[#This Row],[COMP ESCALA ATUAL]],tabE.Flux[COMP.AT. MOT B],tabE.Flux[LINHA],"NÃO",0,1)</f>
        <v>NÃO</v>
      </c>
      <c r="G100" s="61" t="str">
        <f>IF(AND(autocompAlmoco[[#This Row],[EXISTE MOT A AT]]="NÃO", autocompAlmoco[[#This Row],[EXISTE MOT B AT]]="NÃO"),"NÃO","SIM")</f>
        <v>NÃO</v>
      </c>
      <c r="H100" s="57" t="str">
        <f>IF(autocompAlmoco[[#This Row],[EXISTE ESCALA ATUAL]]="NÃO",_xlfn.CONCAT(tabAlmoco[[#This Row],[DATA]]-1,"+",tabAlmoco[[#This Row],[MOTORISTA]]),"NÃO")</f>
        <v>45899+RONALDO ADRIANO COSTA SANTOS - 5637</v>
      </c>
      <c r="I100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00" s="58" t="str">
        <f>IF(autocompAlmoco[[#This Row],[COMP ESCALA ANTERIOR]]="NÃO","NÃO",_xlfn.XLOOKUP(autocompAlmoco[[#This Row],[COMP ESCALA ANTERIOR]],tabE.Flux[COMP.AT. MOT B],tabE.Flux[LINHA],"NÃO",0,1))</f>
        <v>NÃO</v>
      </c>
      <c r="K100" s="62" t="str">
        <f>IF(AND(autocompAlmoco[[#This Row],[EXISTE MOT A ANT]]="NÃO",autocompAlmoco[[#This Row],[EXISTE MOT B ANT]]="NÃO"),"NÃO","SIM")</f>
        <v>SIM</v>
      </c>
      <c r="L100" s="59" t="str">
        <f t="shared" si="2"/>
        <v>45901+RONALDO ADRIANO COSTA SANTOS - 5637</v>
      </c>
      <c r="M100" s="59" t="str">
        <f>IF(autocompAlmoco[[#This Row],[COMP ESCALA POSTERIOR]]="NÃO","NÃO",_xlfn.XLOOKUP(autocompAlmoco[[#This Row],[COMP ESCALA POSTERIOR]],tabE.Flux[COMP.AT. MOT A],tabE.Flux[LINHA],"NÃO",0,1))</f>
        <v>NÃO</v>
      </c>
      <c r="N100" s="59" t="str">
        <f>IF(autocompAlmoco[[#This Row],[COMP ESCALA POSTERIOR]]="NÃO","NÃO",_xlfn.XLOOKUP(autocompAlmoco[[#This Row],[COMP ESCALA POSTERIOR]],tabE.Flux[COMP.AT. MOT B],tabE.Flux[LINHA],"NÃO",0,1))</f>
        <v>NÃO</v>
      </c>
      <c r="O100" s="65" t="str">
        <f>IF(AND(autocompAlmoco[[#This Row],[EXISTE MOT A POS]]="NÃO",autocompAlmoco[[#This Row],[EXISTE MOT B POS]]="NÃO"),"NÃO","SIM")</f>
        <v>NÃO</v>
      </c>
      <c r="P100" s="66" t="str" cm="1">
        <f t="array" ref="P10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00" s="103" t="str" cm="1">
        <f t="array" ref="Q10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45899+RONALDO ADRIANO COSTA SANTOS - 5637+FORTALEZA (CE) X SINOP (MT)</v>
      </c>
      <c r="R100" s="67">
        <f>_xlfn.XLOOKUP(autocompAlmoco[[#This Row],[COMP ESCALA]],tabE.Flux[COMP. ESCALA MOT B],tabE.Flux[CARRO],
(_xlfn.XLOOKUP(autocompAlmoco[[#This Row],[COMP ESCALA]],tabE.Flux[COMP. ESCALA MOT A],tabE.Flux[CARRO],"N/E",0,1)),0,1)</f>
        <v>19022</v>
      </c>
      <c r="S100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00" s="125">
        <v>45900</v>
      </c>
      <c r="U100" s="131">
        <f>IF(IFERROR(autocompAlmoco[[#This Row],[CORRESP. CARRO]],"")="NÃO",(IF(tabAlmoco[[#This Row],[MOTORISTA]]=0,"","PASSE?")),autocompAlmoco[[#This Row],[CORRESP. CARRO]])</f>
        <v>19022</v>
      </c>
      <c r="V100" s="126">
        <f>IF(OR(ISERR(autocompAlmoco[[#This Row],[CORRESP HORARIO]]), autocompAlmoco[[#This Row],[CORRESP HORARIO]]&lt;&gt;"NÃO"),autocompAlmoco[[#This Row],[CORRESP HORARIO]],"")</f>
        <v>0.37708333333333333</v>
      </c>
      <c r="W100" s="4" t="s">
        <v>299</v>
      </c>
      <c r="X100" s="1" t="s">
        <v>41</v>
      </c>
      <c r="Y100" s="1">
        <f>IF(tabAlmoco[[#This Row],[MOTORISTA]]="","",COUNTIF(autocompAlmoco[COMP ESCALA ATUAL],autocompAlmoco[[#This Row],[COMP ESCALA ATUAL]]))</f>
        <v>1</v>
      </c>
      <c r="Z100" s="105">
        <f>IF(tabAlmoco[[#This Row],[MOTORISTA]]&lt;&gt;0,15,"")</f>
        <v>15</v>
      </c>
      <c r="AA100" s="131" t="str">
        <f>autocompAlmoco[[#This Row],[CORRESP LINHA]]</f>
        <v>FORTALEZA (CE) X SINOP (MT)</v>
      </c>
    </row>
    <row r="101" spans="3:27" ht="15" hidden="1" customHeight="1" x14ac:dyDescent="0.25">
      <c r="C101" s="140" t="s">
        <v>226</v>
      </c>
      <c r="D101" s="56" t="str">
        <f>IF(tabAlmoco[[#This Row],[MOTORISTA]]="","",_xlfn.CONCAT(tabAlmoco[[#This Row],[DATA]],"+",tabAlmoco[[#This Row],[MOTORISTA]]))</f>
        <v>45900+PAULO MORAES DOS SANTOS - 1534</v>
      </c>
      <c r="E101" s="56" t="str">
        <f>_xlfn.XLOOKUP(autocompAlmoco[[#This Row],[COMP ESCALA ATUAL]],tabE.Flux[COMP.AT. MOT A],tabE.Flux[LINHA],"NÃO",0,1)</f>
        <v>NÃO</v>
      </c>
      <c r="F101" s="56" t="str">
        <f>_xlfn.XLOOKUP(autocompAlmoco[[#This Row],[COMP ESCALA ATUAL]],tabE.Flux[COMP.AT. MOT B],tabE.Flux[LINHA],"NÃO",0,1)</f>
        <v>FORTALEZA (CE) X SINOP (MT)</v>
      </c>
      <c r="G101" s="61" t="str">
        <f>IF(AND(autocompAlmoco[[#This Row],[EXISTE MOT A AT]]="NÃO", autocompAlmoco[[#This Row],[EXISTE MOT B AT]]="NÃO"),"NÃO","SIM")</f>
        <v>SIM</v>
      </c>
      <c r="H101" s="57" t="str">
        <f>IF(autocompAlmoco[[#This Row],[EXISTE ESCALA ATUAL]]="NÃO",_xlfn.CONCAT(tabAlmoco[[#This Row],[DATA]]-1,"+",tabAlmoco[[#This Row],[MOTORISTA]]),"NÃO")</f>
        <v>NÃO</v>
      </c>
      <c r="I101" s="57" t="str">
        <f>IF(autocompAlmoco[[#This Row],[COMP ESCALA ANTERIOR]]="NÃO","NÃO",_xlfn.XLOOKUP(autocompAlmoco[[#This Row],[COMP ESCALA ANTERIOR]],tabE.Flux[COMP.AT. MOT A],tabE.Flux[LINHA],"NÃO",0,1))</f>
        <v>NÃO</v>
      </c>
      <c r="J101" s="58" t="str">
        <f>IF(autocompAlmoco[[#This Row],[COMP ESCALA ANTERIOR]]="NÃO","NÃO",_xlfn.XLOOKUP(autocompAlmoco[[#This Row],[COMP ESCALA ANTERIOR]],tabE.Flux[COMP.AT. MOT B],tabE.Flux[LINHA],"NÃO",0,1))</f>
        <v>NÃO</v>
      </c>
      <c r="K101" s="62" t="str">
        <f>IF(AND(autocompAlmoco[[#This Row],[EXISTE MOT A ANT]]="NÃO",autocompAlmoco[[#This Row],[EXISTE MOT B ANT]]="NÃO"),"NÃO","SIM")</f>
        <v>NÃO</v>
      </c>
      <c r="L101" s="59" t="str">
        <f t="shared" si="2"/>
        <v>45901+PAULO MORAES DOS SANTOS - 1534</v>
      </c>
      <c r="M101" s="59" t="str">
        <f>IF(autocompAlmoco[[#This Row],[COMP ESCALA POSTERIOR]]="NÃO","NÃO",_xlfn.XLOOKUP(autocompAlmoco[[#This Row],[COMP ESCALA POSTERIOR]],tabE.Flux[COMP.AT. MOT A],tabE.Flux[LINHA],"NÃO",0,1))</f>
        <v>NÃO</v>
      </c>
      <c r="N101" s="59" t="str">
        <f>IF(autocompAlmoco[[#This Row],[COMP ESCALA POSTERIOR]]="NÃO","NÃO",_xlfn.XLOOKUP(autocompAlmoco[[#This Row],[COMP ESCALA POSTERIOR]],tabE.Flux[COMP.AT. MOT B],tabE.Flux[LINHA],"NÃO",0,1))</f>
        <v>NÃO</v>
      </c>
      <c r="O101" s="65" t="str">
        <f>IF(AND(autocompAlmoco[[#This Row],[EXISTE MOT A POS]]="NÃO",autocompAlmoco[[#This Row],[EXISTE MOT B POS]]="NÃO"),"NÃO","SIM")</f>
        <v>NÃO</v>
      </c>
      <c r="P101" s="66" t="str" cm="1">
        <f t="array" ref="P10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01" s="103" t="str" cm="1">
        <f t="array" ref="Q10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45900+PAULO MORAES DOS SANTOS - 1534+FORTALEZA (CE) X SINOP (MT)</v>
      </c>
      <c r="R101" s="67">
        <f>_xlfn.XLOOKUP(autocompAlmoco[[#This Row],[COMP ESCALA]],tabE.Flux[COMP. ESCALA MOT B],tabE.Flux[CARRO],
(_xlfn.XLOOKUP(autocompAlmoco[[#This Row],[COMP ESCALA]],tabE.Flux[COMP. ESCALA MOT A],tabE.Flux[CARRO],"N/E",0,1)),0,1)</f>
        <v>19001</v>
      </c>
      <c r="S101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01" s="125">
        <v>45900</v>
      </c>
      <c r="U101" s="131">
        <f>IF(IFERROR(autocompAlmoco[[#This Row],[CORRESP. CARRO]],"")="NÃO",(IF(tabAlmoco[[#This Row],[MOTORISTA]]=0,"","PASSE?")),autocompAlmoco[[#This Row],[CORRESP. CARRO]])</f>
        <v>19001</v>
      </c>
      <c r="V101" s="126">
        <f>IF(OR(ISERR(autocompAlmoco[[#This Row],[CORRESP HORARIO]]), autocompAlmoco[[#This Row],[CORRESP HORARIO]]&lt;&gt;"NÃO"),autocompAlmoco[[#This Row],[CORRESP HORARIO]],"")</f>
        <v>0.37708333333333333</v>
      </c>
      <c r="W101" s="4" t="s">
        <v>299</v>
      </c>
      <c r="X101" s="1" t="s">
        <v>225</v>
      </c>
      <c r="Y101" s="1">
        <f>IF(tabAlmoco[[#This Row],[MOTORISTA]]="","",COUNTIF(autocompAlmoco[COMP ESCALA ATUAL],autocompAlmoco[[#This Row],[COMP ESCALA ATUAL]]))</f>
        <v>1</v>
      </c>
      <c r="Z101" s="105">
        <f>IF(tabAlmoco[[#This Row],[MOTORISTA]]&lt;&gt;0,15,"")</f>
        <v>15</v>
      </c>
      <c r="AA101" s="131" t="str">
        <f>autocompAlmoco[[#This Row],[CORRESP LINHA]]</f>
        <v>FORTALEZA (CE) X SINOP (MT)</v>
      </c>
    </row>
    <row r="102" spans="3:27" ht="15" hidden="1" customHeight="1" x14ac:dyDescent="0.25">
      <c r="C102" s="140" t="s">
        <v>226</v>
      </c>
      <c r="D102" s="56" t="str">
        <f>IF(tabAlmoco[[#This Row],[MOTORISTA]]="","",_xlfn.CONCAT(tabAlmoco[[#This Row],[DATA]],"+",tabAlmoco[[#This Row],[MOTORISTA]]))</f>
        <v>45900+RAIMUNDO FERNANDES RIBEIRO - 907</v>
      </c>
      <c r="E102" s="56" t="str">
        <f>_xlfn.XLOOKUP(autocompAlmoco[[#This Row],[COMP ESCALA ATUAL]],tabE.Flux[COMP.AT. MOT A],tabE.Flux[LINHA],"NÃO",0,1)</f>
        <v>NÃO</v>
      </c>
      <c r="F102" s="56" t="str">
        <f>_xlfn.XLOOKUP(autocompAlmoco[[#This Row],[COMP ESCALA ATUAL]],tabE.Flux[COMP.AT. MOT B],tabE.Flux[LINHA],"NÃO",0,1)</f>
        <v>IMPERATRIZ (MA) X SÃO LUIS (MA)</v>
      </c>
      <c r="G102" s="61" t="str">
        <f>IF(AND(autocompAlmoco[[#This Row],[EXISTE MOT A AT]]="NÃO", autocompAlmoco[[#This Row],[EXISTE MOT B AT]]="NÃO"),"NÃO","SIM")</f>
        <v>SIM</v>
      </c>
      <c r="H102" s="57" t="str">
        <f>IF(autocompAlmoco[[#This Row],[EXISTE ESCALA ATUAL]]="NÃO",_xlfn.CONCAT(tabAlmoco[[#This Row],[DATA]]-1,"+",tabAlmoco[[#This Row],[MOTORISTA]]),"NÃO")</f>
        <v>NÃO</v>
      </c>
      <c r="I102" s="57" t="str">
        <f>IF(autocompAlmoco[[#This Row],[COMP ESCALA ANTERIOR]]="NÃO","NÃO",_xlfn.XLOOKUP(autocompAlmoco[[#This Row],[COMP ESCALA ANTERIOR]],tabE.Flux[COMP.AT. MOT A],tabE.Flux[LINHA],"NÃO",0,1))</f>
        <v>NÃO</v>
      </c>
      <c r="J102" s="58" t="str">
        <f>IF(autocompAlmoco[[#This Row],[COMP ESCALA ANTERIOR]]="NÃO","NÃO",_xlfn.XLOOKUP(autocompAlmoco[[#This Row],[COMP ESCALA ANTERIOR]],tabE.Flux[COMP.AT. MOT B],tabE.Flux[LINHA],"NÃO",0,1))</f>
        <v>NÃO</v>
      </c>
      <c r="K102" s="62" t="str">
        <f>IF(AND(autocompAlmoco[[#This Row],[EXISTE MOT A ANT]]="NÃO",autocompAlmoco[[#This Row],[EXISTE MOT B ANT]]="NÃO"),"NÃO","SIM")</f>
        <v>NÃO</v>
      </c>
      <c r="L102" s="59" t="str">
        <f t="shared" ref="L102:L133" si="3">_xlfn.CONCAT(T102+1,"+",X102)</f>
        <v>45901+RAIMUNDO FERNANDES RIBEIRO - 907</v>
      </c>
      <c r="M102" s="59" t="str">
        <f>IF(autocompAlmoco[[#This Row],[COMP ESCALA POSTERIOR]]="NÃO","NÃO",_xlfn.XLOOKUP(autocompAlmoco[[#This Row],[COMP ESCALA POSTERIOR]],tabE.Flux[COMP.AT. MOT A],tabE.Flux[LINHA],"NÃO",0,1))</f>
        <v>NÃO</v>
      </c>
      <c r="N102" s="59" t="str">
        <f>IF(autocompAlmoco[[#This Row],[COMP ESCALA POSTERIOR]]="NÃO","NÃO",_xlfn.XLOOKUP(autocompAlmoco[[#This Row],[COMP ESCALA POSTERIOR]],tabE.Flux[COMP.AT. MOT B],tabE.Flux[LINHA],"NÃO",0,1))</f>
        <v>GOIANIA (GO) X BELEM (PA)</v>
      </c>
      <c r="O102" s="65" t="str">
        <f>IF(AND(autocompAlmoco[[#This Row],[EXISTE MOT A POS]]="NÃO",autocompAlmoco[[#This Row],[EXISTE MOT B POS]]="NÃO"),"NÃO","SIM")</f>
        <v>SIM</v>
      </c>
      <c r="P102" s="66" t="str" cm="1">
        <f t="array" ref="P10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IMPERATRIZ (MA) X SÃO LUIS (MA)</v>
      </c>
      <c r="Q102" s="103" t="str" cm="1">
        <f t="array" ref="Q10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45900+RAIMUNDO FERNANDES RIBEIRO - 907+IMPERATRIZ (MA) X SÃO LUIS (MA)</v>
      </c>
      <c r="R102" s="67">
        <f>_xlfn.XLOOKUP(autocompAlmoco[[#This Row],[COMP ESCALA]],tabE.Flux[COMP. ESCALA MOT B],tabE.Flux[CARRO],
(_xlfn.XLOOKUP(autocompAlmoco[[#This Row],[COMP ESCALA]],tabE.Flux[COMP. ESCALA MOT A],tabE.Flux[CARRO],"N/E",0,1)),0,1)</f>
        <v>19019</v>
      </c>
      <c r="S102" s="130">
        <f>_xlfn.XLOOKUP(autocompAlmoco[[#This Row],[COMP ESCALA]],tabE.Flux[COMP. ESCALA MOT A],tabE.Flux[HORARIO],(_xlfn.XLOOKUP(autocompAlmoco[[#This Row],[COMP ESCALA]],tabE.Flux[COMP. ESCALA MOT B],tabE.Flux[HORARIO],"N/E",0,1)),0,1)</f>
        <v>0.79513888888888884</v>
      </c>
      <c r="T102" s="125">
        <v>45900</v>
      </c>
      <c r="U102" s="131">
        <f>IF(IFERROR(autocompAlmoco[[#This Row],[CORRESP. CARRO]],"")="NÃO",(IF(tabAlmoco[[#This Row],[MOTORISTA]]=0,"","PASSE?")),autocompAlmoco[[#This Row],[CORRESP. CARRO]])</f>
        <v>19019</v>
      </c>
      <c r="V102" s="126">
        <f>IF(OR(ISERR(autocompAlmoco[[#This Row],[CORRESP HORARIO]]), autocompAlmoco[[#This Row],[CORRESP HORARIO]]&lt;&gt;"NÃO"),autocompAlmoco[[#This Row],[CORRESP HORARIO]],"")</f>
        <v>0.79513888888888884</v>
      </c>
      <c r="W102" s="4" t="s">
        <v>299</v>
      </c>
      <c r="X102" s="1" t="s">
        <v>143</v>
      </c>
      <c r="Y102" s="1">
        <f>IF(tabAlmoco[[#This Row],[MOTORISTA]]="","",COUNTIF(autocompAlmoco[COMP ESCALA ATUAL],autocompAlmoco[[#This Row],[COMP ESCALA ATUAL]]))</f>
        <v>1</v>
      </c>
      <c r="Z102" s="105">
        <f>IF(tabAlmoco[[#This Row],[MOTORISTA]]&lt;&gt;0,15,"")</f>
        <v>15</v>
      </c>
      <c r="AA102" s="131" t="str">
        <f>autocompAlmoco[[#This Row],[CORRESP LINHA]]</f>
        <v>IMPERATRIZ (MA) X SÃO LUIS (MA)</v>
      </c>
    </row>
    <row r="103" spans="3:27" ht="15" hidden="1" customHeight="1" x14ac:dyDescent="0.25">
      <c r="C103" s="140" t="s">
        <v>226</v>
      </c>
      <c r="D103" s="56" t="str">
        <f>IF(tabAlmoco[[#This Row],[MOTORISTA]]="","",_xlfn.CONCAT(tabAlmoco[[#This Row],[DATA]],"+",tabAlmoco[[#This Row],[MOTORISTA]]))</f>
        <v>45900+RAIMUNDO NONATO MAGALHAES DO NASCIMENTO - 5662</v>
      </c>
      <c r="E103" s="56" t="str">
        <f>_xlfn.XLOOKUP(autocompAlmoco[[#This Row],[COMP ESCALA ATUAL]],tabE.Flux[COMP.AT. MOT A],tabE.Flux[LINHA],"NÃO",0,1)</f>
        <v>NÃO</v>
      </c>
      <c r="F103" s="56" t="str">
        <f>_xlfn.XLOOKUP(autocompAlmoco[[#This Row],[COMP ESCALA ATUAL]],tabE.Flux[COMP.AT. MOT B],tabE.Flux[LINHA],"NÃO",0,1)</f>
        <v>NÃO</v>
      </c>
      <c r="G103" s="61" t="str">
        <f>IF(AND(autocompAlmoco[[#This Row],[EXISTE MOT A AT]]="NÃO", autocompAlmoco[[#This Row],[EXISTE MOT B AT]]="NÃO"),"NÃO","SIM")</f>
        <v>NÃO</v>
      </c>
      <c r="H103" s="57" t="str">
        <f>IF(autocompAlmoco[[#This Row],[EXISTE ESCALA ATUAL]]="NÃO",_xlfn.CONCAT(tabAlmoco[[#This Row],[DATA]]-1,"+",tabAlmoco[[#This Row],[MOTORISTA]]),"NÃO")</f>
        <v>45899+RAIMUNDO NONATO MAGALHAES DO NASCIMENTO - 5662</v>
      </c>
      <c r="I103" s="57" t="str">
        <f>IF(autocompAlmoco[[#This Row],[COMP ESCALA ANTERIOR]]="NÃO","NÃO",_xlfn.XLOOKUP(autocompAlmoco[[#This Row],[COMP ESCALA ANTERIOR]],tabE.Flux[COMP.AT. MOT A],tabE.Flux[LINHA],"NÃO",0,1))</f>
        <v>NÃO</v>
      </c>
      <c r="J103" s="58" t="str">
        <f>IF(autocompAlmoco[[#This Row],[COMP ESCALA ANTERIOR]]="NÃO","NÃO",_xlfn.XLOOKUP(autocompAlmoco[[#This Row],[COMP ESCALA ANTERIOR]],tabE.Flux[COMP.AT. MOT B],tabE.Flux[LINHA],"NÃO",0,1))</f>
        <v>NÃO</v>
      </c>
      <c r="K103" s="62" t="str">
        <f>IF(AND(autocompAlmoco[[#This Row],[EXISTE MOT A ANT]]="NÃO",autocompAlmoco[[#This Row],[EXISTE MOT B ANT]]="NÃO"),"NÃO","SIM")</f>
        <v>NÃO</v>
      </c>
      <c r="L103" s="59" t="str">
        <f t="shared" si="3"/>
        <v>45901+RAIMUNDO NONATO MAGALHAES DO NASCIMENTO - 5662</v>
      </c>
      <c r="M103" s="59" t="str">
        <f>IF(autocompAlmoco[[#This Row],[COMP ESCALA POSTERIOR]]="NÃO","NÃO",_xlfn.XLOOKUP(autocompAlmoco[[#This Row],[COMP ESCALA POSTERIOR]],tabE.Flux[COMP.AT. MOT A],tabE.Flux[LINHA],"NÃO",0,1))</f>
        <v>NÃO</v>
      </c>
      <c r="N103" s="59" t="str">
        <f>IF(autocompAlmoco[[#This Row],[COMP ESCALA POSTERIOR]]="NÃO","NÃO",_xlfn.XLOOKUP(autocompAlmoco[[#This Row],[COMP ESCALA POSTERIOR]],tabE.Flux[COMP.AT. MOT B],tabE.Flux[LINHA],"NÃO",0,1))</f>
        <v>GOIANIA (GO) X TERESINA (PI) VIA STI</v>
      </c>
      <c r="O103" s="65" t="str">
        <f>IF(AND(autocompAlmoco[[#This Row],[EXISTE MOT A POS]]="NÃO",autocompAlmoco[[#This Row],[EXISTE MOT B POS]]="NÃO"),"NÃO","SIM")</f>
        <v>SIM</v>
      </c>
      <c r="P103" s="66" t="str" cm="1">
        <f t="array" ref="P10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03" s="103" t="str" cm="1">
        <f t="array" ref="Q10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45901+RAIMUNDO NONATO MAGALHAES DO NASCIMENTO - 5662+GOIANIA (GO) X TERESINA (PI) VIA STI</v>
      </c>
      <c r="R103" s="67">
        <f>_xlfn.XLOOKUP(autocompAlmoco[[#This Row],[COMP ESCALA]],tabE.Flux[COMP. ESCALA MOT B],tabE.Flux[CARRO],
(_xlfn.XLOOKUP(autocompAlmoco[[#This Row],[COMP ESCALA]],tabE.Flux[COMP. ESCALA MOT A],tabE.Flux[CARRO],"N/E",0,1)),0,1)</f>
        <v>19024</v>
      </c>
      <c r="S103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03" s="125">
        <v>45900</v>
      </c>
      <c r="U103" s="131">
        <f>IF(IFERROR(autocompAlmoco[[#This Row],[CORRESP. CARRO]],"")="NÃO",(IF(tabAlmoco[[#This Row],[MOTORISTA]]=0,"","PASSE?")),autocompAlmoco[[#This Row],[CORRESP. CARRO]])</f>
        <v>19024</v>
      </c>
      <c r="V103" s="126">
        <f>IF(OR(ISERR(autocompAlmoco[[#This Row],[CORRESP HORARIO]]), autocompAlmoco[[#This Row],[CORRESP HORARIO]]&lt;&gt;"NÃO"),autocompAlmoco[[#This Row],[CORRESP HORARIO]],"")</f>
        <v>0.79861111111111116</v>
      </c>
      <c r="W103" s="4" t="s">
        <v>299</v>
      </c>
      <c r="X103" s="1" t="s">
        <v>101</v>
      </c>
      <c r="Y103" s="1">
        <f>IF(tabAlmoco[[#This Row],[MOTORISTA]]="","",COUNTIF(autocompAlmoco[COMP ESCALA ATUAL],autocompAlmoco[[#This Row],[COMP ESCALA ATUAL]]))</f>
        <v>1</v>
      </c>
      <c r="Z103" s="105">
        <f>IF(tabAlmoco[[#This Row],[MOTORISTA]]&lt;&gt;0,15,"")</f>
        <v>15</v>
      </c>
      <c r="AA103" s="131" t="str">
        <f>autocompAlmoco[[#This Row],[CORRESP LINHA]]</f>
        <v>GOIANIA (GO) X TERESINA (PI) VIA STI</v>
      </c>
    </row>
    <row r="104" spans="3:27" ht="15" hidden="1" customHeight="1" x14ac:dyDescent="0.25">
      <c r="C104" s="140" t="s">
        <v>226</v>
      </c>
      <c r="D104" s="56" t="str">
        <f>IF(tabAlmoco[[#This Row],[MOTORISTA]]="","",_xlfn.CONCAT(tabAlmoco[[#This Row],[DATA]],"+",tabAlmoco[[#This Row],[MOTORISTA]]))</f>
        <v>45900+AELSON PEREIRA DO NASCIMENTO - 5682</v>
      </c>
      <c r="E104" s="56" t="str">
        <f>_xlfn.XLOOKUP(autocompAlmoco[[#This Row],[COMP ESCALA ATUAL]],tabE.Flux[COMP.AT. MOT A],tabE.Flux[LINHA],"NÃO",0,1)</f>
        <v>NÃO</v>
      </c>
      <c r="F104" s="56" t="str">
        <f>_xlfn.XLOOKUP(autocompAlmoco[[#This Row],[COMP ESCALA ATUAL]],tabE.Flux[COMP.AT. MOT B],tabE.Flux[LINHA],"NÃO",0,1)</f>
        <v>NÃO</v>
      </c>
      <c r="G104" s="61" t="str">
        <f>IF(AND(autocompAlmoco[[#This Row],[EXISTE MOT A AT]]="NÃO", autocompAlmoco[[#This Row],[EXISTE MOT B AT]]="NÃO"),"NÃO","SIM")</f>
        <v>NÃO</v>
      </c>
      <c r="H104" s="57" t="str">
        <f>IF(autocompAlmoco[[#This Row],[EXISTE ESCALA ATUAL]]="NÃO",_xlfn.CONCAT(tabAlmoco[[#This Row],[DATA]]-1,"+",tabAlmoco[[#This Row],[MOTORISTA]]),"NÃO")</f>
        <v>45899+AELSON PEREIRA DO NASCIMENTO - 5682</v>
      </c>
      <c r="I104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04" s="58" t="str">
        <f>IF(autocompAlmoco[[#This Row],[COMP ESCALA ANTERIOR]]="NÃO","NÃO",_xlfn.XLOOKUP(autocompAlmoco[[#This Row],[COMP ESCALA ANTERIOR]],tabE.Flux[COMP.AT. MOT B],tabE.Flux[LINHA],"NÃO",0,1))</f>
        <v>NÃO</v>
      </c>
      <c r="K104" s="62" t="str">
        <f>IF(AND(autocompAlmoco[[#This Row],[EXISTE MOT A ANT]]="NÃO",autocompAlmoco[[#This Row],[EXISTE MOT B ANT]]="NÃO"),"NÃO","SIM")</f>
        <v>SIM</v>
      </c>
      <c r="L104" s="59" t="str">
        <f t="shared" si="3"/>
        <v>45901+AELSON PEREIRA DO NASCIMENTO - 5682</v>
      </c>
      <c r="M104" s="59" t="str">
        <f>IF(autocompAlmoco[[#This Row],[COMP ESCALA POSTERIOR]]="NÃO","NÃO",_xlfn.XLOOKUP(autocompAlmoco[[#This Row],[COMP ESCALA POSTERIOR]],tabE.Flux[COMP.AT. MOT A],tabE.Flux[LINHA],"NÃO",0,1))</f>
        <v>NÃO</v>
      </c>
      <c r="N104" s="59" t="str">
        <f>IF(autocompAlmoco[[#This Row],[COMP ESCALA POSTERIOR]]="NÃO","NÃO",_xlfn.XLOOKUP(autocompAlmoco[[#This Row],[COMP ESCALA POSTERIOR]],tabE.Flux[COMP.AT. MOT B],tabE.Flux[LINHA],"NÃO",0,1))</f>
        <v>NÃO</v>
      </c>
      <c r="O104" s="65" t="str">
        <f>IF(AND(autocompAlmoco[[#This Row],[EXISTE MOT A POS]]="NÃO",autocompAlmoco[[#This Row],[EXISTE MOT B POS]]="NÃO"),"NÃO","SIM")</f>
        <v>NÃO</v>
      </c>
      <c r="P104" s="66" t="str" cm="1">
        <f t="array" ref="P10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04" s="103" t="str" cm="1">
        <f t="array" ref="Q10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45899+AELSON PEREIRA DO NASCIMENTO - 5682+GOIANIA (GO) X TERESINA (PI) VIA STI</v>
      </c>
      <c r="R104" s="67">
        <f>_xlfn.XLOOKUP(autocompAlmoco[[#This Row],[COMP ESCALA]],tabE.Flux[COMP. ESCALA MOT B],tabE.Flux[CARRO],
(_xlfn.XLOOKUP(autocompAlmoco[[#This Row],[COMP ESCALA]],tabE.Flux[COMP. ESCALA MOT A],tabE.Flux[CARRO],"N/E",0,1)),0,1)</f>
        <v>17300</v>
      </c>
      <c r="S104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04" s="125">
        <v>45900</v>
      </c>
      <c r="U104" s="131">
        <f>IF(IFERROR(autocompAlmoco[[#This Row],[CORRESP. CARRO]],"")="NÃO",(IF(tabAlmoco[[#This Row],[MOTORISTA]]=0,"","PASSE?")),autocompAlmoco[[#This Row],[CORRESP. CARRO]])</f>
        <v>17300</v>
      </c>
      <c r="V104" s="126">
        <f>IF(OR(ISERR(autocompAlmoco[[#This Row],[CORRESP HORARIO]]), autocompAlmoco[[#This Row],[CORRESP HORARIO]]&lt;&gt;"NÃO"),autocompAlmoco[[#This Row],[CORRESP HORARIO]],"")</f>
        <v>0.79861111111111116</v>
      </c>
      <c r="W104" s="4" t="s">
        <v>299</v>
      </c>
      <c r="X104" s="1" t="s">
        <v>88</v>
      </c>
      <c r="Y104" s="1">
        <f>IF(tabAlmoco[[#This Row],[MOTORISTA]]="","",COUNTIF(autocompAlmoco[COMP ESCALA ATUAL],autocompAlmoco[[#This Row],[COMP ESCALA ATUAL]]))</f>
        <v>1</v>
      </c>
      <c r="Z104" s="105">
        <f>IF(tabAlmoco[[#This Row],[MOTORISTA]]&lt;&gt;0,15,"")</f>
        <v>15</v>
      </c>
      <c r="AA104" s="131" t="str">
        <f>autocompAlmoco[[#This Row],[CORRESP LINHA]]</f>
        <v>GOIANIA (GO) X TERESINA (PI) VIA STI</v>
      </c>
    </row>
    <row r="105" spans="3:27" ht="15" hidden="1" customHeight="1" x14ac:dyDescent="0.25">
      <c r="C105" s="140" t="s">
        <v>226</v>
      </c>
      <c r="D105" s="56" t="str">
        <f>IF(tabAlmoco[[#This Row],[MOTORISTA]]="","",_xlfn.CONCAT(tabAlmoco[[#This Row],[DATA]],"+",tabAlmoco[[#This Row],[MOTORISTA]]))</f>
        <v>45901+PAULO ENEAS FARIAS ARAUJO - 6218</v>
      </c>
      <c r="E105" s="56" t="str">
        <f>_xlfn.XLOOKUP(autocompAlmoco[[#This Row],[COMP ESCALA ATUAL]],tabE.Flux[COMP.AT. MOT A],tabE.Flux[LINHA],"NÃO",0,1)</f>
        <v>NÃO</v>
      </c>
      <c r="F105" s="56" t="str">
        <f>_xlfn.XLOOKUP(autocompAlmoco[[#This Row],[COMP ESCALA ATUAL]],tabE.Flux[COMP.AT. MOT B],tabE.Flux[LINHA],"NÃO",0,1)</f>
        <v>GOIANIA (GO) X SAO LUIS (MA)</v>
      </c>
      <c r="G105" s="61" t="str">
        <f>IF(AND(autocompAlmoco[[#This Row],[EXISTE MOT A AT]]="NÃO", autocompAlmoco[[#This Row],[EXISTE MOT B AT]]="NÃO"),"NÃO","SIM")</f>
        <v>SIM</v>
      </c>
      <c r="H105" s="57" t="str">
        <f>IF(autocompAlmoco[[#This Row],[EXISTE ESCALA ATUAL]]="NÃO",_xlfn.CONCAT(tabAlmoco[[#This Row],[DATA]]-1,"+",tabAlmoco[[#This Row],[MOTORISTA]]),"NÃO")</f>
        <v>NÃO</v>
      </c>
      <c r="I105" s="57" t="str">
        <f>IF(autocompAlmoco[[#This Row],[COMP ESCALA ANTERIOR]]="NÃO","NÃO",_xlfn.XLOOKUP(autocompAlmoco[[#This Row],[COMP ESCALA ANTERIOR]],tabE.Flux[COMP.AT. MOT A],tabE.Flux[LINHA],"NÃO",0,1))</f>
        <v>NÃO</v>
      </c>
      <c r="J105" s="58" t="str">
        <f>IF(autocompAlmoco[[#This Row],[COMP ESCALA ANTERIOR]]="NÃO","NÃO",_xlfn.XLOOKUP(autocompAlmoco[[#This Row],[COMP ESCALA ANTERIOR]],tabE.Flux[COMP.AT. MOT B],tabE.Flux[LINHA],"NÃO",0,1))</f>
        <v>NÃO</v>
      </c>
      <c r="K105" s="62" t="str">
        <f>IF(AND(autocompAlmoco[[#This Row],[EXISTE MOT A ANT]]="NÃO",autocompAlmoco[[#This Row],[EXISTE MOT B ANT]]="NÃO"),"NÃO","SIM")</f>
        <v>NÃO</v>
      </c>
      <c r="L105" s="59" t="str">
        <f t="shared" si="3"/>
        <v>45902+PAULO ENEAS FARIAS ARAUJO - 6218</v>
      </c>
      <c r="M105" s="59" t="str">
        <f>IF(autocompAlmoco[[#This Row],[COMP ESCALA POSTERIOR]]="NÃO","NÃO",_xlfn.XLOOKUP(autocompAlmoco[[#This Row],[COMP ESCALA POSTERIOR]],tabE.Flux[COMP.AT. MOT A],tabE.Flux[LINHA],"NÃO",0,1))</f>
        <v>NÃO</v>
      </c>
      <c r="N105" s="59" t="str">
        <f>IF(autocompAlmoco[[#This Row],[COMP ESCALA POSTERIOR]]="NÃO","NÃO",_xlfn.XLOOKUP(autocompAlmoco[[#This Row],[COMP ESCALA POSTERIOR]],tabE.Flux[COMP.AT. MOT B],tabE.Flux[LINHA],"NÃO",0,1))</f>
        <v>NÃO</v>
      </c>
      <c r="O105" s="65" t="str">
        <f>IF(AND(autocompAlmoco[[#This Row],[EXISTE MOT A POS]]="NÃO",autocompAlmoco[[#This Row],[EXISTE MOT B POS]]="NÃO"),"NÃO","SIM")</f>
        <v>NÃO</v>
      </c>
      <c r="P105" s="66" t="str" cm="1">
        <f t="array" ref="P10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05" s="103" t="str" cm="1">
        <f t="array" ref="Q10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45901+PAULO ENEAS FARIAS ARAUJO - 6218+GOIANIA (GO) X SAO LUIS (MA)</v>
      </c>
      <c r="R105" s="67">
        <f>_xlfn.XLOOKUP(autocompAlmoco[[#This Row],[COMP ESCALA]],tabE.Flux[COMP. ESCALA MOT B],tabE.Flux[CARRO],
(_xlfn.XLOOKUP(autocompAlmoco[[#This Row],[COMP ESCALA]],tabE.Flux[COMP. ESCALA MOT A],tabE.Flux[CARRO],"N/E",0,1)),0,1)</f>
        <v>20014</v>
      </c>
      <c r="S105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05" s="127">
        <v>45901</v>
      </c>
      <c r="U105" s="4">
        <f>IF(IFERROR(autocompAlmoco[[#This Row],[CORRESP. CARRO]],"")="NÃO",(IF(tabAlmoco[[#This Row],[MOTORISTA]]=0,"","PASSE?")),autocompAlmoco[[#This Row],[CORRESP. CARRO]])</f>
        <v>20014</v>
      </c>
      <c r="V105" s="128">
        <f>IF(OR(ISERR(autocompAlmoco[[#This Row],[CORRESP HORARIO]]), autocompAlmoco[[#This Row],[CORRESP HORARIO]]&lt;&gt;"NÃO"),autocompAlmoco[[#This Row],[CORRESP HORARIO]],"")</f>
        <v>0.47013888888888888</v>
      </c>
      <c r="W105" s="4" t="s">
        <v>299</v>
      </c>
      <c r="X105" s="4" t="s">
        <v>43</v>
      </c>
      <c r="Y105" s="4">
        <f>IF(tabAlmoco[[#This Row],[MOTORISTA]]="","",COUNTIF(autocompAlmoco[COMP ESCALA ATUAL],autocompAlmoco[[#This Row],[COMP ESCALA ATUAL]]))</f>
        <v>1</v>
      </c>
      <c r="Z105" s="45">
        <f>IF(tabAlmoco[[#This Row],[MOTORISTA]]&lt;&gt;0,15,"")</f>
        <v>15</v>
      </c>
      <c r="AA105" s="4" t="str">
        <f>autocompAlmoco[[#This Row],[CORRESP LINHA]]</f>
        <v>GOIANIA (GO) X SAO LUIS (MA)</v>
      </c>
    </row>
    <row r="106" spans="3:27" ht="15" hidden="1" customHeight="1" x14ac:dyDescent="0.25">
      <c r="C106" s="140" t="s">
        <v>226</v>
      </c>
      <c r="D106" s="56" t="str">
        <f>IF(tabAlmoco[[#This Row],[MOTORISTA]]="","",_xlfn.CONCAT(tabAlmoco[[#This Row],[DATA]],"+",tabAlmoco[[#This Row],[MOTORISTA]]))</f>
        <v>45901+JERZUALDO DA SILVA GOMES - 4077</v>
      </c>
      <c r="E106" s="56" t="str">
        <f>_xlfn.XLOOKUP(autocompAlmoco[[#This Row],[COMP ESCALA ATUAL]],tabE.Flux[COMP.AT. MOT A],tabE.Flux[LINHA],"NÃO",0,1)</f>
        <v>NÃO</v>
      </c>
      <c r="F106" s="56" t="str">
        <f>_xlfn.XLOOKUP(autocompAlmoco[[#This Row],[COMP ESCALA ATUAL]],tabE.Flux[COMP.AT. MOT B],tabE.Flux[LINHA],"NÃO",0,1)</f>
        <v>GOIANIA (GO) X SAO LUIS (MA)</v>
      </c>
      <c r="G106" s="61" t="str">
        <f>IF(AND(autocompAlmoco[[#This Row],[EXISTE MOT A AT]]="NÃO", autocompAlmoco[[#This Row],[EXISTE MOT B AT]]="NÃO"),"NÃO","SIM")</f>
        <v>SIM</v>
      </c>
      <c r="H106" s="57" t="str">
        <f>IF(autocompAlmoco[[#This Row],[EXISTE ESCALA ATUAL]]="NÃO",_xlfn.CONCAT(tabAlmoco[[#This Row],[DATA]]-1,"+",tabAlmoco[[#This Row],[MOTORISTA]]),"NÃO")</f>
        <v>NÃO</v>
      </c>
      <c r="I106" s="57" t="str">
        <f>IF(autocompAlmoco[[#This Row],[COMP ESCALA ANTERIOR]]="NÃO","NÃO",_xlfn.XLOOKUP(autocompAlmoco[[#This Row],[COMP ESCALA ANTERIOR]],tabE.Flux[COMP.AT. MOT A],tabE.Flux[LINHA],"NÃO",0,1))</f>
        <v>NÃO</v>
      </c>
      <c r="J106" s="58" t="str">
        <f>IF(autocompAlmoco[[#This Row],[COMP ESCALA ANTERIOR]]="NÃO","NÃO",_xlfn.XLOOKUP(autocompAlmoco[[#This Row],[COMP ESCALA ANTERIOR]],tabE.Flux[COMP.AT. MOT B],tabE.Flux[LINHA],"NÃO",0,1))</f>
        <v>NÃO</v>
      </c>
      <c r="K106" s="62" t="str">
        <f>IF(AND(autocompAlmoco[[#This Row],[EXISTE MOT A ANT]]="NÃO",autocompAlmoco[[#This Row],[EXISTE MOT B ANT]]="NÃO"),"NÃO","SIM")</f>
        <v>NÃO</v>
      </c>
      <c r="L106" s="59" t="str">
        <f t="shared" si="3"/>
        <v>45902+JERZUALDO DA SILVA GOMES - 4077</v>
      </c>
      <c r="M106" s="59" t="str">
        <f>IF(autocompAlmoco[[#This Row],[COMP ESCALA POSTERIOR]]="NÃO","NÃO",_xlfn.XLOOKUP(autocompAlmoco[[#This Row],[COMP ESCALA POSTERIOR]],tabE.Flux[COMP.AT. MOT A],tabE.Flux[LINHA],"NÃO",0,1))</f>
        <v>NÃO</v>
      </c>
      <c r="N106" s="59" t="str">
        <f>IF(autocompAlmoco[[#This Row],[COMP ESCALA POSTERIOR]]="NÃO","NÃO",_xlfn.XLOOKUP(autocompAlmoco[[#This Row],[COMP ESCALA POSTERIOR]],tabE.Flux[COMP.AT. MOT B],tabE.Flux[LINHA],"NÃO",0,1))</f>
        <v>NÃO</v>
      </c>
      <c r="O106" s="65" t="str">
        <f>IF(AND(autocompAlmoco[[#This Row],[EXISTE MOT A POS]]="NÃO",autocompAlmoco[[#This Row],[EXISTE MOT B POS]]="NÃO"),"NÃO","SIM")</f>
        <v>NÃO</v>
      </c>
      <c r="P106" s="66" t="str" cm="1">
        <f t="array" ref="P10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06" s="103" t="str" cm="1">
        <f t="array" ref="Q10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45901+JERZUALDO DA SILVA GOMES - 4077+GOIANIA (GO) X SAO LUIS (MA)</v>
      </c>
      <c r="R106" s="67">
        <f>_xlfn.XLOOKUP(autocompAlmoco[[#This Row],[COMP ESCALA]],tabE.Flux[COMP. ESCALA MOT B],tabE.Flux[CARRO],
(_xlfn.XLOOKUP(autocompAlmoco[[#This Row],[COMP ESCALA]],tabE.Flux[COMP. ESCALA MOT A],tabE.Flux[CARRO],"N/E",0,1)),0,1)</f>
        <v>19013</v>
      </c>
      <c r="S106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06" s="127">
        <v>45901</v>
      </c>
      <c r="U106" s="4">
        <f>IF(IFERROR(autocompAlmoco[[#This Row],[CORRESP. CARRO]],"")="NÃO",(IF(tabAlmoco[[#This Row],[MOTORISTA]]=0,"","PASSE?")),autocompAlmoco[[#This Row],[CORRESP. CARRO]])</f>
        <v>19013</v>
      </c>
      <c r="V106" s="126">
        <f>IF(OR(ISERR(autocompAlmoco[[#This Row],[CORRESP HORARIO]]), autocompAlmoco[[#This Row],[CORRESP HORARIO]]&lt;&gt;"NÃO"),autocompAlmoco[[#This Row],[CORRESP HORARIO]],"")</f>
        <v>0.29166666666666669</v>
      </c>
      <c r="W106" s="4" t="s">
        <v>299</v>
      </c>
      <c r="X106" s="1" t="s">
        <v>130</v>
      </c>
      <c r="Y106" s="1">
        <f>IF(tabAlmoco[[#This Row],[MOTORISTA]]="","",COUNTIF(autocompAlmoco[COMP ESCALA ATUAL],autocompAlmoco[[#This Row],[COMP ESCALA ATUAL]]))</f>
        <v>1</v>
      </c>
      <c r="Z106" s="105">
        <f>IF(tabAlmoco[[#This Row],[MOTORISTA]]&lt;&gt;0,15,"")</f>
        <v>15</v>
      </c>
      <c r="AA106" s="4" t="str">
        <f>autocompAlmoco[[#This Row],[CORRESP LINHA]]</f>
        <v>GOIANIA (GO) X SAO LUIS (MA)</v>
      </c>
    </row>
    <row r="107" spans="3:27" ht="15" hidden="1" customHeight="1" x14ac:dyDescent="0.25">
      <c r="C107" s="140" t="s">
        <v>226</v>
      </c>
      <c r="D107" s="56" t="str">
        <f>IF(tabAlmoco[[#This Row],[MOTORISTA]]="","",_xlfn.CONCAT(tabAlmoco[[#This Row],[DATA]],"+",tabAlmoco[[#This Row],[MOTORISTA]]))</f>
        <v>45901+KLEBSON ALVES FREIRES - 3060</v>
      </c>
      <c r="E107" s="56" t="str">
        <f>_xlfn.XLOOKUP(autocompAlmoco[[#This Row],[COMP ESCALA ATUAL]],tabE.Flux[COMP.AT. MOT A],tabE.Flux[LINHA],"NÃO",0,1)</f>
        <v>NÃO</v>
      </c>
      <c r="F107" s="56" t="str">
        <f>_xlfn.XLOOKUP(autocompAlmoco[[#This Row],[COMP ESCALA ATUAL]],tabE.Flux[COMP.AT. MOT B],tabE.Flux[LINHA],"NÃO",0,1)</f>
        <v>NÃO</v>
      </c>
      <c r="G107" s="61" t="str">
        <f>IF(AND(autocompAlmoco[[#This Row],[EXISTE MOT A AT]]="NÃO", autocompAlmoco[[#This Row],[EXISTE MOT B AT]]="NÃO"),"NÃO","SIM")</f>
        <v>NÃO</v>
      </c>
      <c r="H107" s="57" t="str">
        <f>IF(autocompAlmoco[[#This Row],[EXISTE ESCALA ATUAL]]="NÃO",_xlfn.CONCAT(tabAlmoco[[#This Row],[DATA]]-1,"+",tabAlmoco[[#This Row],[MOTORISTA]]),"NÃO")</f>
        <v>45900+KLEBSON ALVES FREIRES - 3060</v>
      </c>
      <c r="I107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07" s="58" t="str">
        <f>IF(autocompAlmoco[[#This Row],[COMP ESCALA ANTERIOR]]="NÃO","NÃO",_xlfn.XLOOKUP(autocompAlmoco[[#This Row],[COMP ESCALA ANTERIOR]],tabE.Flux[COMP.AT. MOT B],tabE.Flux[LINHA],"NÃO",0,1))</f>
        <v>NÃO</v>
      </c>
      <c r="K107" s="62" t="str">
        <f>IF(AND(autocompAlmoco[[#This Row],[EXISTE MOT A ANT]]="NÃO",autocompAlmoco[[#This Row],[EXISTE MOT B ANT]]="NÃO"),"NÃO","SIM")</f>
        <v>SIM</v>
      </c>
      <c r="L107" s="59" t="str">
        <f t="shared" si="3"/>
        <v>45902+KLEBSON ALVES FREIRES - 3060</v>
      </c>
      <c r="M107" s="59" t="str">
        <f>IF(autocompAlmoco[[#This Row],[COMP ESCALA POSTERIOR]]="NÃO","NÃO",_xlfn.XLOOKUP(autocompAlmoco[[#This Row],[COMP ESCALA POSTERIOR]],tabE.Flux[COMP.AT. MOT A],tabE.Flux[LINHA],"NÃO",0,1))</f>
        <v>GOIANIA (GO) X SAO LUIS (MA)</v>
      </c>
      <c r="N107" s="59" t="str">
        <f>IF(autocompAlmoco[[#This Row],[COMP ESCALA POSTERIOR]]="NÃO","NÃO",_xlfn.XLOOKUP(autocompAlmoco[[#This Row],[COMP ESCALA POSTERIOR]],tabE.Flux[COMP.AT. MOT B],tabE.Flux[LINHA],"NÃO",0,1))</f>
        <v>NÃO</v>
      </c>
      <c r="O107" s="65" t="str">
        <f>IF(AND(autocompAlmoco[[#This Row],[EXISTE MOT A POS]]="NÃO",autocompAlmoco[[#This Row],[EXISTE MOT B POS]]="NÃO"),"NÃO","SIM")</f>
        <v>SIM</v>
      </c>
      <c r="P107" s="66" t="str" cm="1">
        <f t="array" ref="P10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07" s="103" t="str" cm="1">
        <f t="array" ref="Q10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45900+KLEBSON ALVES FREIRES - 3060+FORTALEZA (CE) X SINOP (MT)</v>
      </c>
      <c r="R107" s="67">
        <f>_xlfn.XLOOKUP(autocompAlmoco[[#This Row],[COMP ESCALA]],tabE.Flux[COMP. ESCALA MOT B],tabE.Flux[CARRO],
(_xlfn.XLOOKUP(autocompAlmoco[[#This Row],[COMP ESCALA]],tabE.Flux[COMP. ESCALA MOT A],tabE.Flux[CARRO],"N/E",0,1)),0,1)</f>
        <v>19001</v>
      </c>
      <c r="S107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07" s="127">
        <v>45901</v>
      </c>
      <c r="U107" s="131">
        <f>IF(IFERROR(autocompAlmoco[[#This Row],[CORRESP. CARRO]],"")="NÃO",(IF(tabAlmoco[[#This Row],[MOTORISTA]]=0,"","PASSE?")),autocompAlmoco[[#This Row],[CORRESP. CARRO]])</f>
        <v>19001</v>
      </c>
      <c r="V107" s="126">
        <f>IF(OR(ISERR(autocompAlmoco[[#This Row],[CORRESP HORARIO]]), autocompAlmoco[[#This Row],[CORRESP HORARIO]]&lt;&gt;"NÃO"),autocompAlmoco[[#This Row],[CORRESP HORARIO]],"")</f>
        <v>0.37708333333333333</v>
      </c>
      <c r="W107" s="4" t="s">
        <v>299</v>
      </c>
      <c r="X107" s="1" t="s">
        <v>161</v>
      </c>
      <c r="Y107" s="1">
        <f>IF(tabAlmoco[[#This Row],[MOTORISTA]]="","",COUNTIF(autocompAlmoco[COMP ESCALA ATUAL],autocompAlmoco[[#This Row],[COMP ESCALA ATUAL]]))</f>
        <v>1</v>
      </c>
      <c r="Z107" s="105">
        <f>IF(tabAlmoco[[#This Row],[MOTORISTA]]&lt;&gt;0,15,"")</f>
        <v>15</v>
      </c>
      <c r="AA107" s="131" t="str">
        <f>autocompAlmoco[[#This Row],[CORRESP LINHA]]</f>
        <v>FORTALEZA (CE) X SINOP (MT)</v>
      </c>
    </row>
    <row r="108" spans="3:27" ht="15" hidden="1" customHeight="1" x14ac:dyDescent="0.25">
      <c r="C108" s="140" t="s">
        <v>226</v>
      </c>
      <c r="D108" s="56" t="str">
        <f>IF(tabAlmoco[[#This Row],[MOTORISTA]]="","",_xlfn.CONCAT(tabAlmoco[[#This Row],[DATA]],"+",tabAlmoco[[#This Row],[MOTORISTA]]))</f>
        <v>45901+JACINTO BATISTA DE SOUSA - 5271</v>
      </c>
      <c r="E108" s="56" t="str">
        <f>_xlfn.XLOOKUP(autocompAlmoco[[#This Row],[COMP ESCALA ATUAL]],tabE.Flux[COMP.AT. MOT A],tabE.Flux[LINHA],"NÃO",0,1)</f>
        <v>NÃO</v>
      </c>
      <c r="F108" s="56" t="str">
        <f>_xlfn.XLOOKUP(autocompAlmoco[[#This Row],[COMP ESCALA ATUAL]],tabE.Flux[COMP.AT. MOT B],tabE.Flux[LINHA],"NÃO",0,1)</f>
        <v>FORTALEZA (CE) X SINOP (MT)</v>
      </c>
      <c r="G108" s="61" t="str">
        <f>IF(AND(autocompAlmoco[[#This Row],[EXISTE MOT A AT]]="NÃO", autocompAlmoco[[#This Row],[EXISTE MOT B AT]]="NÃO"),"NÃO","SIM")</f>
        <v>SIM</v>
      </c>
      <c r="H108" s="57" t="str">
        <f>IF(autocompAlmoco[[#This Row],[EXISTE ESCALA ATUAL]]="NÃO",_xlfn.CONCAT(tabAlmoco[[#This Row],[DATA]]-1,"+",tabAlmoco[[#This Row],[MOTORISTA]]),"NÃO")</f>
        <v>NÃO</v>
      </c>
      <c r="I108" s="57" t="str">
        <f>IF(autocompAlmoco[[#This Row],[COMP ESCALA ANTERIOR]]="NÃO","NÃO",_xlfn.XLOOKUP(autocompAlmoco[[#This Row],[COMP ESCALA ANTERIOR]],tabE.Flux[COMP.AT. MOT A],tabE.Flux[LINHA],"NÃO",0,1))</f>
        <v>NÃO</v>
      </c>
      <c r="J108" s="58" t="str">
        <f>IF(autocompAlmoco[[#This Row],[COMP ESCALA ANTERIOR]]="NÃO","NÃO",_xlfn.XLOOKUP(autocompAlmoco[[#This Row],[COMP ESCALA ANTERIOR]],tabE.Flux[COMP.AT. MOT B],tabE.Flux[LINHA],"NÃO",0,1))</f>
        <v>NÃO</v>
      </c>
      <c r="K108" s="62" t="str">
        <f>IF(AND(autocompAlmoco[[#This Row],[EXISTE MOT A ANT]]="NÃO",autocompAlmoco[[#This Row],[EXISTE MOT B ANT]]="NÃO"),"NÃO","SIM")</f>
        <v>NÃO</v>
      </c>
      <c r="L108" s="59" t="str">
        <f t="shared" si="3"/>
        <v>45902+JACINTO BATISTA DE SOUSA - 5271</v>
      </c>
      <c r="M108" s="59" t="str">
        <f>IF(autocompAlmoco[[#This Row],[COMP ESCALA POSTERIOR]]="NÃO","NÃO",_xlfn.XLOOKUP(autocompAlmoco[[#This Row],[COMP ESCALA POSTERIOR]],tabE.Flux[COMP.AT. MOT A],tabE.Flux[LINHA],"NÃO",0,1))</f>
        <v>NÃO</v>
      </c>
      <c r="N108" s="59" t="str">
        <f>IF(autocompAlmoco[[#This Row],[COMP ESCALA POSTERIOR]]="NÃO","NÃO",_xlfn.XLOOKUP(autocompAlmoco[[#This Row],[COMP ESCALA POSTERIOR]],tabE.Flux[COMP.AT. MOT B],tabE.Flux[LINHA],"NÃO",0,1))</f>
        <v>NÃO</v>
      </c>
      <c r="O108" s="65" t="str">
        <f>IF(AND(autocompAlmoco[[#This Row],[EXISTE MOT A POS]]="NÃO",autocompAlmoco[[#This Row],[EXISTE MOT B POS]]="NÃO"),"NÃO","SIM")</f>
        <v>NÃO</v>
      </c>
      <c r="P108" s="66" t="str" cm="1">
        <f t="array" ref="P10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08" s="103" t="str" cm="1">
        <f t="array" ref="Q10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45901+JACINTO BATISTA DE SOUSA - 5271+FORTALEZA (CE) X SINOP (MT)</v>
      </c>
      <c r="R108" s="67">
        <f>_xlfn.XLOOKUP(autocompAlmoco[[#This Row],[COMP ESCALA]],tabE.Flux[COMP. ESCALA MOT B],tabE.Flux[CARRO],
(_xlfn.XLOOKUP(autocompAlmoco[[#This Row],[COMP ESCALA]],tabE.Flux[COMP. ESCALA MOT A],tabE.Flux[CARRO],"N/E",0,1)),0,1)</f>
        <v>19008</v>
      </c>
      <c r="S108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08" s="127">
        <v>45901</v>
      </c>
      <c r="U108" s="131">
        <f>IF(IFERROR(autocompAlmoco[[#This Row],[CORRESP. CARRO]],"")="NÃO",(IF(tabAlmoco[[#This Row],[MOTORISTA]]=0,"","PASSE?")),autocompAlmoco[[#This Row],[CORRESP. CARRO]])</f>
        <v>19008</v>
      </c>
      <c r="V108" s="126">
        <f>IF(OR(ISERR(autocompAlmoco[[#This Row],[CORRESP HORARIO]]), autocompAlmoco[[#This Row],[CORRESP HORARIO]]&lt;&gt;"NÃO"),autocompAlmoco[[#This Row],[CORRESP HORARIO]],"")</f>
        <v>0.37708333333333333</v>
      </c>
      <c r="W108" s="4" t="s">
        <v>299</v>
      </c>
      <c r="X108" s="1" t="s">
        <v>104</v>
      </c>
      <c r="Y108" s="1">
        <f>IF(tabAlmoco[[#This Row],[MOTORISTA]]="","",COUNTIF(autocompAlmoco[COMP ESCALA ATUAL],autocompAlmoco[[#This Row],[COMP ESCALA ATUAL]]))</f>
        <v>1</v>
      </c>
      <c r="Z108" s="105">
        <f>IF(tabAlmoco[[#This Row],[MOTORISTA]]&lt;&gt;0,15,"")</f>
        <v>15</v>
      </c>
      <c r="AA108" s="131" t="str">
        <f>autocompAlmoco[[#This Row],[CORRESP LINHA]]</f>
        <v>FORTALEZA (CE) X SINOP (MT)</v>
      </c>
    </row>
    <row r="109" spans="3:27" ht="15" hidden="1" customHeight="1" x14ac:dyDescent="0.25">
      <c r="C109" s="140" t="s">
        <v>226</v>
      </c>
      <c r="D109" s="56" t="str">
        <f>IF(tabAlmoco[[#This Row],[MOTORISTA]]="","",_xlfn.CONCAT(tabAlmoco[[#This Row],[DATA]],"+",tabAlmoco[[#This Row],[MOTORISTA]]))</f>
        <v>45901+KAYLSON KLEYTON DA SILVA COSTA - 6224</v>
      </c>
      <c r="E109" s="56" t="str">
        <f>_xlfn.XLOOKUP(autocompAlmoco[[#This Row],[COMP ESCALA ATUAL]],tabE.Flux[COMP.AT. MOT A],tabE.Flux[LINHA],"NÃO",0,1)</f>
        <v>GOIANIA (GO) X SAO LUIS (MA)</v>
      </c>
      <c r="F109" s="56" t="str">
        <f>_xlfn.XLOOKUP(autocompAlmoco[[#This Row],[COMP ESCALA ATUAL]],tabE.Flux[COMP.AT. MOT B],tabE.Flux[LINHA],"NÃO",0,1)</f>
        <v>GOIANIA (GO) X SAO LUIS (MA)</v>
      </c>
      <c r="G109" s="61" t="str">
        <f>IF(AND(autocompAlmoco[[#This Row],[EXISTE MOT A AT]]="NÃO", autocompAlmoco[[#This Row],[EXISTE MOT B AT]]="NÃO"),"NÃO","SIM")</f>
        <v>SIM</v>
      </c>
      <c r="H109" s="57" t="str">
        <f>IF(autocompAlmoco[[#This Row],[EXISTE ESCALA ATUAL]]="NÃO",_xlfn.CONCAT(tabAlmoco[[#This Row],[DATA]]-1,"+",tabAlmoco[[#This Row],[MOTORISTA]]),"NÃO")</f>
        <v>NÃO</v>
      </c>
      <c r="I109" s="57" t="str">
        <f>IF(autocompAlmoco[[#This Row],[COMP ESCALA ANTERIOR]]="NÃO","NÃO",_xlfn.XLOOKUP(autocompAlmoco[[#This Row],[COMP ESCALA ANTERIOR]],tabE.Flux[COMP.AT. MOT A],tabE.Flux[LINHA],"NÃO",0,1))</f>
        <v>NÃO</v>
      </c>
      <c r="J109" s="58" t="str">
        <f>IF(autocompAlmoco[[#This Row],[COMP ESCALA ANTERIOR]]="NÃO","NÃO",_xlfn.XLOOKUP(autocompAlmoco[[#This Row],[COMP ESCALA ANTERIOR]],tabE.Flux[COMP.AT. MOT B],tabE.Flux[LINHA],"NÃO",0,1))</f>
        <v>NÃO</v>
      </c>
      <c r="K109" s="62" t="str">
        <f>IF(AND(autocompAlmoco[[#This Row],[EXISTE MOT A ANT]]="NÃO",autocompAlmoco[[#This Row],[EXISTE MOT B ANT]]="NÃO"),"NÃO","SIM")</f>
        <v>NÃO</v>
      </c>
      <c r="L109" s="59" t="str">
        <f t="shared" si="3"/>
        <v>45902+KAYLSON KLEYTON DA SILVA COSTA - 6224</v>
      </c>
      <c r="M109" s="59" t="str">
        <f>IF(autocompAlmoco[[#This Row],[COMP ESCALA POSTERIOR]]="NÃO","NÃO",_xlfn.XLOOKUP(autocompAlmoco[[#This Row],[COMP ESCALA POSTERIOR]],tabE.Flux[COMP.AT. MOT A],tabE.Flux[LINHA],"NÃO",0,1))</f>
        <v>NÃO</v>
      </c>
      <c r="N109" s="59" t="str">
        <f>IF(autocompAlmoco[[#This Row],[COMP ESCALA POSTERIOR]]="NÃO","NÃO",_xlfn.XLOOKUP(autocompAlmoco[[#This Row],[COMP ESCALA POSTERIOR]],tabE.Flux[COMP.AT. MOT B],tabE.Flux[LINHA],"NÃO",0,1))</f>
        <v>NÃO</v>
      </c>
      <c r="O109" s="65" t="str">
        <f>IF(AND(autocompAlmoco[[#This Row],[EXISTE MOT A POS]]="NÃO",autocompAlmoco[[#This Row],[EXISTE MOT B POS]]="NÃO"),"NÃO","SIM")</f>
        <v>NÃO</v>
      </c>
      <c r="P109" s="66" t="str" cm="1">
        <f t="array" ref="P10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09" s="103" t="str" cm="1">
        <f t="array" ref="Q10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45901+KAYLSON KLEYTON DA SILVA COSTA - 6224+GOIANIA (GO) X SAO LUIS (MA)</v>
      </c>
      <c r="R109" s="67">
        <f>_xlfn.XLOOKUP(autocompAlmoco[[#This Row],[COMP ESCALA]],tabE.Flux[COMP. ESCALA MOT B],tabE.Flux[CARRO],
(_xlfn.XLOOKUP(autocompAlmoco[[#This Row],[COMP ESCALA]],tabE.Flux[COMP. ESCALA MOT A],tabE.Flux[CARRO],"N/E",0,1)),0,1)</f>
        <v>24005</v>
      </c>
      <c r="S109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09" s="127">
        <v>45901</v>
      </c>
      <c r="U109" s="131">
        <f>IF(IFERROR(autocompAlmoco[[#This Row],[CORRESP. CARRO]],"")="NÃO",(IF(tabAlmoco[[#This Row],[MOTORISTA]]=0,"","PASSE?")),autocompAlmoco[[#This Row],[CORRESP. CARRO]])</f>
        <v>24005</v>
      </c>
      <c r="V109" s="126">
        <f>IF(OR(ISERR(autocompAlmoco[[#This Row],[CORRESP HORARIO]]), autocompAlmoco[[#This Row],[CORRESP HORARIO]]&lt;&gt;"NÃO"),autocompAlmoco[[#This Row],[CORRESP HORARIO]],"")</f>
        <v>0.29166666666666669</v>
      </c>
      <c r="W109" s="4" t="s">
        <v>299</v>
      </c>
      <c r="X109" s="1" t="s">
        <v>80</v>
      </c>
      <c r="Y109" s="1">
        <f>IF(tabAlmoco[[#This Row],[MOTORISTA]]="","",COUNTIF(autocompAlmoco[COMP ESCALA ATUAL],autocompAlmoco[[#This Row],[COMP ESCALA ATUAL]]))</f>
        <v>1</v>
      </c>
      <c r="Z109" s="105">
        <f>IF(tabAlmoco[[#This Row],[MOTORISTA]]&lt;&gt;0,15,"")</f>
        <v>15</v>
      </c>
      <c r="AA109" s="131" t="str">
        <f>autocompAlmoco[[#This Row],[CORRESP LINHA]]</f>
        <v>GOIANIA (GO) X SAO LUIS (MA)</v>
      </c>
    </row>
    <row r="110" spans="3:27" ht="15" hidden="1" customHeight="1" x14ac:dyDescent="0.25">
      <c r="C110" s="140" t="s">
        <v>226</v>
      </c>
      <c r="D110" s="56" t="str">
        <f>IF(tabAlmoco[[#This Row],[MOTORISTA]]="","",_xlfn.CONCAT(tabAlmoco[[#This Row],[DATA]],"+",tabAlmoco[[#This Row],[MOTORISTA]]))</f>
        <v>45902+JOSE POLICARPO DE SOUSA NETO - 1472</v>
      </c>
      <c r="E110" s="56" t="str">
        <f>_xlfn.XLOOKUP(autocompAlmoco[[#This Row],[COMP ESCALA ATUAL]],tabE.Flux[COMP.AT. MOT A],tabE.Flux[LINHA],"NÃO",0,1)</f>
        <v>NÃO</v>
      </c>
      <c r="F110" s="56" t="str">
        <f>_xlfn.XLOOKUP(autocompAlmoco[[#This Row],[COMP ESCALA ATUAL]],tabE.Flux[COMP.AT. MOT B],tabE.Flux[LINHA],"NÃO",0,1)</f>
        <v>GOIANIA (GO) X SAO LUIS (MA)</v>
      </c>
      <c r="G110" s="61" t="str">
        <f>IF(AND(autocompAlmoco[[#This Row],[EXISTE MOT A AT]]="NÃO", autocompAlmoco[[#This Row],[EXISTE MOT B AT]]="NÃO"),"NÃO","SIM")</f>
        <v>SIM</v>
      </c>
      <c r="H110" s="57" t="str">
        <f>IF(autocompAlmoco[[#This Row],[EXISTE ESCALA ATUAL]]="NÃO",_xlfn.CONCAT(tabAlmoco[[#This Row],[DATA]]-1,"+",tabAlmoco[[#This Row],[MOTORISTA]]),"NÃO")</f>
        <v>NÃO</v>
      </c>
      <c r="I110" s="57" t="str">
        <f>IF(autocompAlmoco[[#This Row],[COMP ESCALA ANTERIOR]]="NÃO","NÃO",_xlfn.XLOOKUP(autocompAlmoco[[#This Row],[COMP ESCALA ANTERIOR]],tabE.Flux[COMP.AT. MOT A],tabE.Flux[LINHA],"NÃO",0,1))</f>
        <v>NÃO</v>
      </c>
      <c r="J110" s="58" t="str">
        <f>IF(autocompAlmoco[[#This Row],[COMP ESCALA ANTERIOR]]="NÃO","NÃO",_xlfn.XLOOKUP(autocompAlmoco[[#This Row],[COMP ESCALA ANTERIOR]],tabE.Flux[COMP.AT. MOT B],tabE.Flux[LINHA],"NÃO",0,1))</f>
        <v>NÃO</v>
      </c>
      <c r="K110" s="62" t="str">
        <f>IF(AND(autocompAlmoco[[#This Row],[EXISTE MOT A ANT]]="NÃO",autocompAlmoco[[#This Row],[EXISTE MOT B ANT]]="NÃO"),"NÃO","SIM")</f>
        <v>NÃO</v>
      </c>
      <c r="L110" s="59" t="str">
        <f t="shared" si="3"/>
        <v>45903+JOSE POLICARPO DE SOUSA NETO - 1472</v>
      </c>
      <c r="M110" s="59" t="str">
        <f>IF(autocompAlmoco[[#This Row],[COMP ESCALA POSTERIOR]]="NÃO","NÃO",_xlfn.XLOOKUP(autocompAlmoco[[#This Row],[COMP ESCALA POSTERIOR]],tabE.Flux[COMP.AT. MOT A],tabE.Flux[LINHA],"NÃO",0,1))</f>
        <v>NÃO</v>
      </c>
      <c r="N110" s="59" t="str">
        <f>IF(autocompAlmoco[[#This Row],[COMP ESCALA POSTERIOR]]="NÃO","NÃO",_xlfn.XLOOKUP(autocompAlmoco[[#This Row],[COMP ESCALA POSTERIOR]],tabE.Flux[COMP.AT. MOT B],tabE.Flux[LINHA],"NÃO",0,1))</f>
        <v>NÃO</v>
      </c>
      <c r="O110" s="65" t="str">
        <f>IF(AND(autocompAlmoco[[#This Row],[EXISTE MOT A POS]]="NÃO",autocompAlmoco[[#This Row],[EXISTE MOT B POS]]="NÃO"),"NÃO","SIM")</f>
        <v>NÃO</v>
      </c>
      <c r="P110" s="66" t="str" cm="1">
        <f t="array" ref="P11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10" s="103" t="str" cm="1">
        <f t="array" ref="Q11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45902+JOSE POLICARPO DE SOUSA NETO - 1472+GOIANIA (GO) X SAO LUIS (MA)</v>
      </c>
      <c r="R110" s="67">
        <f>_xlfn.XLOOKUP(autocompAlmoco[[#This Row],[COMP ESCALA]],tabE.Flux[COMP. ESCALA MOT B],tabE.Flux[CARRO],
(_xlfn.XLOOKUP(autocompAlmoco[[#This Row],[COMP ESCALA]],tabE.Flux[COMP. ESCALA MOT A],tabE.Flux[CARRO],"N/E",0,1)),0,1)</f>
        <v>24005</v>
      </c>
      <c r="S110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10" s="127">
        <v>45902</v>
      </c>
      <c r="U110" s="4">
        <f>IF(IFERROR(autocompAlmoco[[#This Row],[CORRESP. CARRO]],"")="NÃO",(IF(tabAlmoco[[#This Row],[MOTORISTA]]=0,"","PASSE?")),autocompAlmoco[[#This Row],[CORRESP. CARRO]])</f>
        <v>24005</v>
      </c>
      <c r="V110" s="128">
        <f>IF(OR(ISERR(autocompAlmoco[[#This Row],[CORRESP HORARIO]]), autocompAlmoco[[#This Row],[CORRESP HORARIO]]&lt;&gt;"NÃO"),autocompAlmoco[[#This Row],[CORRESP HORARIO]],"")</f>
        <v>0.79166666666666663</v>
      </c>
      <c r="W110" s="4" t="s">
        <v>299</v>
      </c>
      <c r="X110" s="4" t="s">
        <v>54</v>
      </c>
      <c r="Y110" s="4">
        <f>IF(tabAlmoco[[#This Row],[MOTORISTA]]="","",COUNTIF(autocompAlmoco[COMP ESCALA ATUAL],autocompAlmoco[[#This Row],[COMP ESCALA ATUAL]]))</f>
        <v>1</v>
      </c>
      <c r="Z110" s="45">
        <f>IF(tabAlmoco[[#This Row],[MOTORISTA]]&lt;&gt;0,15,"")</f>
        <v>15</v>
      </c>
      <c r="AA110" s="4" t="str">
        <f>autocompAlmoco[[#This Row],[CORRESP LINHA]]</f>
        <v>GOIANIA (GO) X SAO LUIS (MA)</v>
      </c>
    </row>
    <row r="111" spans="3:27" ht="15" hidden="1" customHeight="1" x14ac:dyDescent="0.25">
      <c r="C111" s="140" t="s">
        <v>226</v>
      </c>
      <c r="D111" s="56" t="str">
        <f>IF(tabAlmoco[[#This Row],[MOTORISTA]]="","",_xlfn.CONCAT(tabAlmoco[[#This Row],[DATA]],"+",tabAlmoco[[#This Row],[MOTORISTA]]))</f>
        <v>45902+CLODOALDO PEREIRA DE LIMA - 4067</v>
      </c>
      <c r="E111" s="56" t="str">
        <f>_xlfn.XLOOKUP(autocompAlmoco[[#This Row],[COMP ESCALA ATUAL]],tabE.Flux[COMP.AT. MOT A],tabE.Flux[LINHA],"NÃO",0,1)</f>
        <v>NÃO</v>
      </c>
      <c r="F111" s="56" t="str">
        <f>_xlfn.XLOOKUP(autocompAlmoco[[#This Row],[COMP ESCALA ATUAL]],tabE.Flux[COMP.AT. MOT B],tabE.Flux[LINHA],"NÃO",0,1)</f>
        <v>GOIANIA (GO) X SAO LUIS (MA)</v>
      </c>
      <c r="G111" s="61" t="str">
        <f>IF(AND(autocompAlmoco[[#This Row],[EXISTE MOT A AT]]="NÃO", autocompAlmoco[[#This Row],[EXISTE MOT B AT]]="NÃO"),"NÃO","SIM")</f>
        <v>SIM</v>
      </c>
      <c r="H111" s="57" t="str">
        <f>IF(autocompAlmoco[[#This Row],[EXISTE ESCALA ATUAL]]="NÃO",_xlfn.CONCAT(tabAlmoco[[#This Row],[DATA]]-1,"+",tabAlmoco[[#This Row],[MOTORISTA]]),"NÃO")</f>
        <v>NÃO</v>
      </c>
      <c r="I111" s="57" t="str">
        <f>IF(autocompAlmoco[[#This Row],[COMP ESCALA ANTERIOR]]="NÃO","NÃO",_xlfn.XLOOKUP(autocompAlmoco[[#This Row],[COMP ESCALA ANTERIOR]],tabE.Flux[COMP.AT. MOT A],tabE.Flux[LINHA],"NÃO",0,1))</f>
        <v>NÃO</v>
      </c>
      <c r="J111" s="58" t="str">
        <f>IF(autocompAlmoco[[#This Row],[COMP ESCALA ANTERIOR]]="NÃO","NÃO",_xlfn.XLOOKUP(autocompAlmoco[[#This Row],[COMP ESCALA ANTERIOR]],tabE.Flux[COMP.AT. MOT B],tabE.Flux[LINHA],"NÃO",0,1))</f>
        <v>NÃO</v>
      </c>
      <c r="K111" s="62" t="str">
        <f>IF(AND(autocompAlmoco[[#This Row],[EXISTE MOT A ANT]]="NÃO",autocompAlmoco[[#This Row],[EXISTE MOT B ANT]]="NÃO"),"NÃO","SIM")</f>
        <v>NÃO</v>
      </c>
      <c r="L111" s="59" t="str">
        <f t="shared" si="3"/>
        <v>45903+CLODOALDO PEREIRA DE LIMA - 4067</v>
      </c>
      <c r="M111" s="59" t="str">
        <f>IF(autocompAlmoco[[#This Row],[COMP ESCALA POSTERIOR]]="NÃO","NÃO",_xlfn.XLOOKUP(autocompAlmoco[[#This Row],[COMP ESCALA POSTERIOR]],tabE.Flux[COMP.AT. MOT A],tabE.Flux[LINHA],"NÃO",0,1))</f>
        <v>NÃO</v>
      </c>
      <c r="N111" s="59" t="str">
        <f>IF(autocompAlmoco[[#This Row],[COMP ESCALA POSTERIOR]]="NÃO","NÃO",_xlfn.XLOOKUP(autocompAlmoco[[#This Row],[COMP ESCALA POSTERIOR]],tabE.Flux[COMP.AT. MOT B],tabE.Flux[LINHA],"NÃO",0,1))</f>
        <v>GOIANIA (GO) X BELEM (PA)</v>
      </c>
      <c r="O111" s="65" t="str">
        <f>IF(AND(autocompAlmoco[[#This Row],[EXISTE MOT A POS]]="NÃO",autocompAlmoco[[#This Row],[EXISTE MOT B POS]]="NÃO"),"NÃO","SIM")</f>
        <v>SIM</v>
      </c>
      <c r="P111" s="66" t="str" cm="1">
        <f t="array" ref="P11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11" s="103" t="str" cm="1">
        <f t="array" ref="Q11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45902+CLODOALDO PEREIRA DE LIMA - 4067+GOIANIA (GO) X SAO LUIS (MA)</v>
      </c>
      <c r="R111" s="67">
        <f>_xlfn.XLOOKUP(autocompAlmoco[[#This Row],[COMP ESCALA]],tabE.Flux[COMP. ESCALA MOT B],tabE.Flux[CARRO],
(_xlfn.XLOOKUP(autocompAlmoco[[#This Row],[COMP ESCALA]],tabE.Flux[COMP. ESCALA MOT A],tabE.Flux[CARRO],"N/E",0,1)),0,1)</f>
        <v>20013</v>
      </c>
      <c r="S111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11" s="127">
        <v>45902</v>
      </c>
      <c r="U111" s="4">
        <f>IF(IFERROR(autocompAlmoco[[#This Row],[CORRESP. CARRO]],"")="NÃO",(IF(tabAlmoco[[#This Row],[MOTORISTA]]=0,"","PASSE?")),autocompAlmoco[[#This Row],[CORRESP. CARRO]])</f>
        <v>20013</v>
      </c>
      <c r="V111" s="126">
        <f>IF(OR(ISERR(autocompAlmoco[[#This Row],[CORRESP HORARIO]]), autocompAlmoco[[#This Row],[CORRESP HORARIO]]&lt;&gt;"NÃO"),autocompAlmoco[[#This Row],[CORRESP HORARIO]],"")</f>
        <v>0.29166666666666669</v>
      </c>
      <c r="W111" s="4" t="s">
        <v>299</v>
      </c>
      <c r="X111" s="1" t="s">
        <v>109</v>
      </c>
      <c r="Y111" s="1">
        <f>IF(tabAlmoco[[#This Row],[MOTORISTA]]="","",COUNTIF(autocompAlmoco[COMP ESCALA ATUAL],autocompAlmoco[[#This Row],[COMP ESCALA ATUAL]]))</f>
        <v>1</v>
      </c>
      <c r="Z111" s="105">
        <f>IF(tabAlmoco[[#This Row],[MOTORISTA]]&lt;&gt;0,15,"")</f>
        <v>15</v>
      </c>
      <c r="AA111" s="4" t="str">
        <f>autocompAlmoco[[#This Row],[CORRESP LINHA]]</f>
        <v>GOIANIA (GO) X SAO LUIS (MA)</v>
      </c>
    </row>
    <row r="112" spans="3:27" ht="15" hidden="1" customHeight="1" x14ac:dyDescent="0.25">
      <c r="C112" s="140" t="s">
        <v>226</v>
      </c>
      <c r="D112" s="56" t="str">
        <f>IF(tabAlmoco[[#This Row],[MOTORISTA]]="","",_xlfn.CONCAT(tabAlmoco[[#This Row],[DATA]],"+",tabAlmoco[[#This Row],[MOTORISTA]]))</f>
        <v>45902+LEANDRO DE OLIVEIRA MELO - 2151</v>
      </c>
      <c r="E112" s="56" t="str">
        <f>_xlfn.XLOOKUP(autocompAlmoco[[#This Row],[COMP ESCALA ATUAL]],tabE.Flux[COMP.AT. MOT A],tabE.Flux[LINHA],"NÃO",0,1)</f>
        <v>NÃO</v>
      </c>
      <c r="F112" s="56" t="str">
        <f>_xlfn.XLOOKUP(autocompAlmoco[[#This Row],[COMP ESCALA ATUAL]],tabE.Flux[COMP.AT. MOT B],tabE.Flux[LINHA],"NÃO",0,1)</f>
        <v>NÃO</v>
      </c>
      <c r="G112" s="61" t="str">
        <f>IF(AND(autocompAlmoco[[#This Row],[EXISTE MOT A AT]]="NÃO", autocompAlmoco[[#This Row],[EXISTE MOT B AT]]="NÃO"),"NÃO","SIM")</f>
        <v>NÃO</v>
      </c>
      <c r="H112" s="57" t="str">
        <f>IF(autocompAlmoco[[#This Row],[EXISTE ESCALA ATUAL]]="NÃO",_xlfn.CONCAT(tabAlmoco[[#This Row],[DATA]]-1,"+",tabAlmoco[[#This Row],[MOTORISTA]]),"NÃO")</f>
        <v>45901+LEANDRO DE OLIVEIRA MELO - 2151</v>
      </c>
      <c r="I112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12" s="58" t="str">
        <f>IF(autocompAlmoco[[#This Row],[COMP ESCALA ANTERIOR]]="NÃO","NÃO",_xlfn.XLOOKUP(autocompAlmoco[[#This Row],[COMP ESCALA ANTERIOR]],tabE.Flux[COMP.AT. MOT B],tabE.Flux[LINHA],"NÃO",0,1))</f>
        <v>NÃO</v>
      </c>
      <c r="K112" s="62" t="str">
        <f>IF(AND(autocompAlmoco[[#This Row],[EXISTE MOT A ANT]]="NÃO",autocompAlmoco[[#This Row],[EXISTE MOT B ANT]]="NÃO"),"NÃO","SIM")</f>
        <v>SIM</v>
      </c>
      <c r="L112" s="59" t="str">
        <f t="shared" si="3"/>
        <v>45903+LEANDRO DE OLIVEIRA MELO - 2151</v>
      </c>
      <c r="M112" s="59" t="str">
        <f>IF(autocompAlmoco[[#This Row],[COMP ESCALA POSTERIOR]]="NÃO","NÃO",_xlfn.XLOOKUP(autocompAlmoco[[#This Row],[COMP ESCALA POSTERIOR]],tabE.Flux[COMP.AT. MOT A],tabE.Flux[LINHA],"NÃO",0,1))</f>
        <v>GOIANIA (GO) X BELEM (PA)</v>
      </c>
      <c r="N112" s="59" t="str">
        <f>IF(autocompAlmoco[[#This Row],[COMP ESCALA POSTERIOR]]="NÃO","NÃO",_xlfn.XLOOKUP(autocompAlmoco[[#This Row],[COMP ESCALA POSTERIOR]],tabE.Flux[COMP.AT. MOT B],tabE.Flux[LINHA],"NÃO",0,1))</f>
        <v>NÃO</v>
      </c>
      <c r="O112" s="65" t="str">
        <f>IF(AND(autocompAlmoco[[#This Row],[EXISTE MOT A POS]]="NÃO",autocompAlmoco[[#This Row],[EXISTE MOT B POS]]="NÃO"),"NÃO","SIM")</f>
        <v>SIM</v>
      </c>
      <c r="P112" s="66" t="str" cm="1">
        <f t="array" ref="P11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12" s="103" t="str" cm="1">
        <f t="array" ref="Q11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45901+LEANDRO DE OLIVEIRA MELO - 2151+FORTALEZA (CE) X SINOP (MT)</v>
      </c>
      <c r="R112" s="67">
        <f>_xlfn.XLOOKUP(autocompAlmoco[[#This Row],[COMP ESCALA]],tabE.Flux[COMP. ESCALA MOT B],tabE.Flux[CARRO],
(_xlfn.XLOOKUP(autocompAlmoco[[#This Row],[COMP ESCALA]],tabE.Flux[COMP. ESCALA MOT A],tabE.Flux[CARRO],"N/E",0,1)),0,1)</f>
        <v>19008</v>
      </c>
      <c r="S112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12" s="127">
        <v>45902</v>
      </c>
      <c r="U112" s="131">
        <f>IF(IFERROR(autocompAlmoco[[#This Row],[CORRESP. CARRO]],"")="NÃO",(IF(tabAlmoco[[#This Row],[MOTORISTA]]=0,"","PASSE?")),autocompAlmoco[[#This Row],[CORRESP. CARRO]])</f>
        <v>19008</v>
      </c>
      <c r="V112" s="126">
        <f>IF(OR(ISERR(autocompAlmoco[[#This Row],[CORRESP HORARIO]]), autocompAlmoco[[#This Row],[CORRESP HORARIO]]&lt;&gt;"NÃO"),autocompAlmoco[[#This Row],[CORRESP HORARIO]],"")</f>
        <v>0.37708333333333333</v>
      </c>
      <c r="W112" s="4" t="s">
        <v>299</v>
      </c>
      <c r="X112" s="1" t="s">
        <v>64</v>
      </c>
      <c r="Y112" s="1">
        <f>IF(tabAlmoco[[#This Row],[MOTORISTA]]="","",COUNTIF(autocompAlmoco[COMP ESCALA ATUAL],autocompAlmoco[[#This Row],[COMP ESCALA ATUAL]]))</f>
        <v>1</v>
      </c>
      <c r="Z112" s="105">
        <f>IF(tabAlmoco[[#This Row],[MOTORISTA]]&lt;&gt;0,15,"")</f>
        <v>15</v>
      </c>
      <c r="AA112" s="131" t="str">
        <f>autocompAlmoco[[#This Row],[CORRESP LINHA]]</f>
        <v>FORTALEZA (CE) X SINOP (MT)</v>
      </c>
    </row>
    <row r="113" spans="3:27" ht="15" hidden="1" customHeight="1" x14ac:dyDescent="0.25">
      <c r="C113" s="140" t="s">
        <v>226</v>
      </c>
      <c r="D113" s="56" t="str">
        <f>IF(tabAlmoco[[#This Row],[MOTORISTA]]="","",_xlfn.CONCAT(tabAlmoco[[#This Row],[DATA]],"+",tabAlmoco[[#This Row],[MOTORISTA]]))</f>
        <v>45902+FRANCISCO RAIMUNDO VIANA DE SOUSA - 5314</v>
      </c>
      <c r="E113" s="56" t="str">
        <f>_xlfn.XLOOKUP(autocompAlmoco[[#This Row],[COMP ESCALA ATUAL]],tabE.Flux[COMP.AT. MOT A],tabE.Flux[LINHA],"NÃO",0,1)</f>
        <v>NÃO</v>
      </c>
      <c r="F113" s="56" t="str">
        <f>_xlfn.XLOOKUP(autocompAlmoco[[#This Row],[COMP ESCALA ATUAL]],tabE.Flux[COMP.AT. MOT B],tabE.Flux[LINHA],"NÃO",0,1)</f>
        <v>NÃO</v>
      </c>
      <c r="G113" s="61" t="str">
        <f>IF(AND(autocompAlmoco[[#This Row],[EXISTE MOT A AT]]="NÃO", autocompAlmoco[[#This Row],[EXISTE MOT B AT]]="NÃO"),"NÃO","SIM")</f>
        <v>NÃO</v>
      </c>
      <c r="H113" s="57" t="str">
        <f>IF(autocompAlmoco[[#This Row],[EXISTE ESCALA ATUAL]]="NÃO",_xlfn.CONCAT(tabAlmoco[[#This Row],[DATA]]-1,"+",tabAlmoco[[#This Row],[MOTORISTA]]),"NÃO")</f>
        <v>45901+FRANCISCO RAIMUNDO VIANA DE SOUSA - 5314</v>
      </c>
      <c r="I113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13" s="58" t="str">
        <f>IF(autocompAlmoco[[#This Row],[COMP ESCALA ANTERIOR]]="NÃO","NÃO",_xlfn.XLOOKUP(autocompAlmoco[[#This Row],[COMP ESCALA ANTERIOR]],tabE.Flux[COMP.AT. MOT B],tabE.Flux[LINHA],"NÃO",0,1))</f>
        <v>NÃO</v>
      </c>
      <c r="K113" s="62" t="str">
        <f>IF(AND(autocompAlmoco[[#This Row],[EXISTE MOT A ANT]]="NÃO",autocompAlmoco[[#This Row],[EXISTE MOT B ANT]]="NÃO"),"NÃO","SIM")</f>
        <v>SIM</v>
      </c>
      <c r="L113" s="59" t="str">
        <f t="shared" si="3"/>
        <v>45903+FRANCISCO RAIMUNDO VIANA DE SOUSA - 5314</v>
      </c>
      <c r="M113" s="59" t="str">
        <f>IF(autocompAlmoco[[#This Row],[COMP ESCALA POSTERIOR]]="NÃO","NÃO",_xlfn.XLOOKUP(autocompAlmoco[[#This Row],[COMP ESCALA POSTERIOR]],tabE.Flux[COMP.AT. MOT A],tabE.Flux[LINHA],"NÃO",0,1))</f>
        <v>NÃO</v>
      </c>
      <c r="N113" s="59" t="str">
        <f>IF(autocompAlmoco[[#This Row],[COMP ESCALA POSTERIOR]]="NÃO","NÃO",_xlfn.XLOOKUP(autocompAlmoco[[#This Row],[COMP ESCALA POSTERIOR]],tabE.Flux[COMP.AT. MOT B],tabE.Flux[LINHA],"NÃO",0,1))</f>
        <v>NÃO</v>
      </c>
      <c r="O113" s="65" t="str">
        <f>IF(AND(autocompAlmoco[[#This Row],[EXISTE MOT A POS]]="NÃO",autocompAlmoco[[#This Row],[EXISTE MOT B POS]]="NÃO"),"NÃO","SIM")</f>
        <v>NÃO</v>
      </c>
      <c r="P113" s="66" t="str" cm="1">
        <f t="array" ref="P11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13" s="103" t="str" cm="1">
        <f t="array" ref="Q11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45901+FRANCISCO RAIMUNDO VIANA DE SOUSA - 5314+GOIANIA (GO) X TERESINA (PI) VIA STI</v>
      </c>
      <c r="R113" s="67">
        <f>_xlfn.XLOOKUP(autocompAlmoco[[#This Row],[COMP ESCALA]],tabE.Flux[COMP. ESCALA MOT B],tabE.Flux[CARRO],
(_xlfn.XLOOKUP(autocompAlmoco[[#This Row],[COMP ESCALA]],tabE.Flux[COMP. ESCALA MOT A],tabE.Flux[CARRO],"N/E",0,1)),0,1)</f>
        <v>19024</v>
      </c>
      <c r="S113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13" s="127">
        <v>45902</v>
      </c>
      <c r="U113" s="131">
        <f>IF(IFERROR(autocompAlmoco[[#This Row],[CORRESP. CARRO]],"")="NÃO",(IF(tabAlmoco[[#This Row],[MOTORISTA]]=0,"","PASSE?")),autocompAlmoco[[#This Row],[CORRESP. CARRO]])</f>
        <v>19024</v>
      </c>
      <c r="V113" s="126">
        <f>IF(OR(ISERR(autocompAlmoco[[#This Row],[CORRESP HORARIO]]), autocompAlmoco[[#This Row],[CORRESP HORARIO]]&lt;&gt;"NÃO"),autocompAlmoco[[#This Row],[CORRESP HORARIO]],"")</f>
        <v>0.79861111111111116</v>
      </c>
      <c r="W113" s="4" t="s">
        <v>299</v>
      </c>
      <c r="X113" s="1" t="s">
        <v>87</v>
      </c>
      <c r="Y113" s="1">
        <f>IF(tabAlmoco[[#This Row],[MOTORISTA]]="","",COUNTIF(autocompAlmoco[COMP ESCALA ATUAL],autocompAlmoco[[#This Row],[COMP ESCALA ATUAL]]))</f>
        <v>1</v>
      </c>
      <c r="Z113" s="105">
        <f>IF(tabAlmoco[[#This Row],[MOTORISTA]]&lt;&gt;0,15,"")</f>
        <v>15</v>
      </c>
      <c r="AA113" s="131" t="str">
        <f>autocompAlmoco[[#This Row],[CORRESP LINHA]]</f>
        <v>GOIANIA (GO) X TERESINA (PI) VIA STI</v>
      </c>
    </row>
    <row r="114" spans="3:27" ht="15" hidden="1" customHeight="1" x14ac:dyDescent="0.25">
      <c r="C114" s="140" t="s">
        <v>226</v>
      </c>
      <c r="D114" s="56" t="str">
        <f>IF(tabAlmoco[[#This Row],[MOTORISTA]]="","",_xlfn.CONCAT(tabAlmoco[[#This Row],[DATA]],"+",tabAlmoco[[#This Row],[MOTORISTA]]))</f>
        <v>45902+DANYLSON BATISTA SANTANA - 5829</v>
      </c>
      <c r="E114" s="56" t="str">
        <f>_xlfn.XLOOKUP(autocompAlmoco[[#This Row],[COMP ESCALA ATUAL]],tabE.Flux[COMP.AT. MOT A],tabE.Flux[LINHA],"NÃO",0,1)</f>
        <v>NÃO</v>
      </c>
      <c r="F114" s="56" t="str">
        <f>_xlfn.XLOOKUP(autocompAlmoco[[#This Row],[COMP ESCALA ATUAL]],tabE.Flux[COMP.AT. MOT B],tabE.Flux[LINHA],"NÃO",0,1)</f>
        <v>FORTALEZA (CE) X SINOP (MT)</v>
      </c>
      <c r="G114" s="61" t="str">
        <f>IF(AND(autocompAlmoco[[#This Row],[EXISTE MOT A AT]]="NÃO", autocompAlmoco[[#This Row],[EXISTE MOT B AT]]="NÃO"),"NÃO","SIM")</f>
        <v>SIM</v>
      </c>
      <c r="H114" s="57" t="str">
        <f>IF(autocompAlmoco[[#This Row],[EXISTE ESCALA ATUAL]]="NÃO",_xlfn.CONCAT(tabAlmoco[[#This Row],[DATA]]-1,"+",tabAlmoco[[#This Row],[MOTORISTA]]),"NÃO")</f>
        <v>NÃO</v>
      </c>
      <c r="I114" s="57" t="str">
        <f>IF(autocompAlmoco[[#This Row],[COMP ESCALA ANTERIOR]]="NÃO","NÃO",_xlfn.XLOOKUP(autocompAlmoco[[#This Row],[COMP ESCALA ANTERIOR]],tabE.Flux[COMP.AT. MOT A],tabE.Flux[LINHA],"NÃO",0,1))</f>
        <v>NÃO</v>
      </c>
      <c r="J114" s="58" t="str">
        <f>IF(autocompAlmoco[[#This Row],[COMP ESCALA ANTERIOR]]="NÃO","NÃO",_xlfn.XLOOKUP(autocompAlmoco[[#This Row],[COMP ESCALA ANTERIOR]],tabE.Flux[COMP.AT. MOT B],tabE.Flux[LINHA],"NÃO",0,1))</f>
        <v>NÃO</v>
      </c>
      <c r="K114" s="62" t="str">
        <f>IF(AND(autocompAlmoco[[#This Row],[EXISTE MOT A ANT]]="NÃO",autocompAlmoco[[#This Row],[EXISTE MOT B ANT]]="NÃO"),"NÃO","SIM")</f>
        <v>NÃO</v>
      </c>
      <c r="L114" s="59" t="str">
        <f t="shared" si="3"/>
        <v>45903+DANYLSON BATISTA SANTANA - 5829</v>
      </c>
      <c r="M114" s="59" t="str">
        <f>IF(autocompAlmoco[[#This Row],[COMP ESCALA POSTERIOR]]="NÃO","NÃO",_xlfn.XLOOKUP(autocompAlmoco[[#This Row],[COMP ESCALA POSTERIOR]],tabE.Flux[COMP.AT. MOT A],tabE.Flux[LINHA],"NÃO",0,1))</f>
        <v>NÃO</v>
      </c>
      <c r="N114" s="59" t="str">
        <f>IF(autocompAlmoco[[#This Row],[COMP ESCALA POSTERIOR]]="NÃO","NÃO",_xlfn.XLOOKUP(autocompAlmoco[[#This Row],[COMP ESCALA POSTERIOR]],tabE.Flux[COMP.AT. MOT B],tabE.Flux[LINHA],"NÃO",0,1))</f>
        <v>NÃO</v>
      </c>
      <c r="O114" s="65" t="str">
        <f>IF(AND(autocompAlmoco[[#This Row],[EXISTE MOT A POS]]="NÃO",autocompAlmoco[[#This Row],[EXISTE MOT B POS]]="NÃO"),"NÃO","SIM")</f>
        <v>NÃO</v>
      </c>
      <c r="P114" s="66" t="str" cm="1">
        <f t="array" ref="P11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14" s="103" t="str" cm="1">
        <f t="array" ref="Q11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45902+DANYLSON BATISTA SANTANA - 5829+FORTALEZA (CE) X SINOP (MT)</v>
      </c>
      <c r="R114" s="67">
        <f>_xlfn.XLOOKUP(autocompAlmoco[[#This Row],[COMP ESCALA]],tabE.Flux[COMP. ESCALA MOT B],tabE.Flux[CARRO],
(_xlfn.XLOOKUP(autocompAlmoco[[#This Row],[COMP ESCALA]],tabE.Flux[COMP. ESCALA MOT A],tabE.Flux[CARRO],"N/E",0,1)),0,1)</f>
        <v>19011</v>
      </c>
      <c r="S114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14" s="127">
        <v>45902</v>
      </c>
      <c r="U114" s="131">
        <f>IF(IFERROR(autocompAlmoco[[#This Row],[CORRESP. CARRO]],"")="NÃO",(IF(tabAlmoco[[#This Row],[MOTORISTA]]=0,"","PASSE?")),autocompAlmoco[[#This Row],[CORRESP. CARRO]])</f>
        <v>19011</v>
      </c>
      <c r="V114" s="126">
        <f>IF(OR(ISERR(autocompAlmoco[[#This Row],[CORRESP HORARIO]]), autocompAlmoco[[#This Row],[CORRESP HORARIO]]&lt;&gt;"NÃO"),autocompAlmoco[[#This Row],[CORRESP HORARIO]],"")</f>
        <v>0.37708333333333333</v>
      </c>
      <c r="W114" s="4" t="s">
        <v>299</v>
      </c>
      <c r="X114" s="1" t="s">
        <v>60</v>
      </c>
      <c r="Y114" s="1">
        <f>IF(tabAlmoco[[#This Row],[MOTORISTA]]="","",COUNTIF(autocompAlmoco[COMP ESCALA ATUAL],autocompAlmoco[[#This Row],[COMP ESCALA ATUAL]]))</f>
        <v>1</v>
      </c>
      <c r="Z114" s="105">
        <f>IF(tabAlmoco[[#This Row],[MOTORISTA]]&lt;&gt;0,15,"")</f>
        <v>15</v>
      </c>
      <c r="AA114" s="131" t="str">
        <f>autocompAlmoco[[#This Row],[CORRESP LINHA]]</f>
        <v>FORTALEZA (CE) X SINOP (MT)</v>
      </c>
    </row>
    <row r="115" spans="3:27" ht="15" hidden="1" customHeight="1" x14ac:dyDescent="0.25">
      <c r="C115" s="140" t="s">
        <v>226</v>
      </c>
      <c r="D115" s="56" t="str">
        <f>IF(tabAlmoco[[#This Row],[MOTORISTA]]="","",_xlfn.CONCAT(tabAlmoco[[#This Row],[DATA]],"+",tabAlmoco[[#This Row],[MOTORISTA]]))</f>
        <v>45903+ANTONIO JOSE PEREIRA SOARES - 1774</v>
      </c>
      <c r="E115" s="56" t="str">
        <f>_xlfn.XLOOKUP(autocompAlmoco[[#This Row],[COMP ESCALA ATUAL]],tabE.Flux[COMP.AT. MOT A],tabE.Flux[LINHA],"NÃO",0,1)</f>
        <v>NÃO</v>
      </c>
      <c r="F115" s="56" t="str">
        <f>_xlfn.XLOOKUP(autocompAlmoco[[#This Row],[COMP ESCALA ATUAL]],tabE.Flux[COMP.AT. MOT B],tabE.Flux[LINHA],"NÃO",0,1)</f>
        <v>GOIANIA (GO) X SAO LUIS (MA)</v>
      </c>
      <c r="G115" s="61" t="str">
        <f>IF(AND(autocompAlmoco[[#This Row],[EXISTE MOT A AT]]="NÃO", autocompAlmoco[[#This Row],[EXISTE MOT B AT]]="NÃO"),"NÃO","SIM")</f>
        <v>SIM</v>
      </c>
      <c r="H115" s="57" t="str">
        <f>IF(autocompAlmoco[[#This Row],[EXISTE ESCALA ATUAL]]="NÃO",_xlfn.CONCAT(tabAlmoco[[#This Row],[DATA]]-1,"+",tabAlmoco[[#This Row],[MOTORISTA]]),"NÃO")</f>
        <v>NÃO</v>
      </c>
      <c r="I115" s="57" t="str">
        <f>IF(autocompAlmoco[[#This Row],[COMP ESCALA ANTERIOR]]="NÃO","NÃO",_xlfn.XLOOKUP(autocompAlmoco[[#This Row],[COMP ESCALA ANTERIOR]],tabE.Flux[COMP.AT. MOT A],tabE.Flux[LINHA],"NÃO",0,1))</f>
        <v>NÃO</v>
      </c>
      <c r="J115" s="58" t="str">
        <f>IF(autocompAlmoco[[#This Row],[COMP ESCALA ANTERIOR]]="NÃO","NÃO",_xlfn.XLOOKUP(autocompAlmoco[[#This Row],[COMP ESCALA ANTERIOR]],tabE.Flux[COMP.AT. MOT B],tabE.Flux[LINHA],"NÃO",0,1))</f>
        <v>NÃO</v>
      </c>
      <c r="K115" s="62" t="str">
        <f>IF(AND(autocompAlmoco[[#This Row],[EXISTE MOT A ANT]]="NÃO",autocompAlmoco[[#This Row],[EXISTE MOT B ANT]]="NÃO"),"NÃO","SIM")</f>
        <v>NÃO</v>
      </c>
      <c r="L115" s="59" t="str">
        <f t="shared" si="3"/>
        <v>45904+ANTONIO JOSE PEREIRA SOARES - 1774</v>
      </c>
      <c r="M115" s="59" t="str">
        <f>IF(autocompAlmoco[[#This Row],[COMP ESCALA POSTERIOR]]="NÃO","NÃO",_xlfn.XLOOKUP(autocompAlmoco[[#This Row],[COMP ESCALA POSTERIOR]],tabE.Flux[COMP.AT. MOT A],tabE.Flux[LINHA],"NÃO",0,1))</f>
        <v>NÃO</v>
      </c>
      <c r="N115" s="59" t="str">
        <f>IF(autocompAlmoco[[#This Row],[COMP ESCALA POSTERIOR]]="NÃO","NÃO",_xlfn.XLOOKUP(autocompAlmoco[[#This Row],[COMP ESCALA POSTERIOR]],tabE.Flux[COMP.AT. MOT B],tabE.Flux[LINHA],"NÃO",0,1))</f>
        <v>NÃO</v>
      </c>
      <c r="O115" s="65" t="str">
        <f>IF(AND(autocompAlmoco[[#This Row],[EXISTE MOT A POS]]="NÃO",autocompAlmoco[[#This Row],[EXISTE MOT B POS]]="NÃO"),"NÃO","SIM")</f>
        <v>NÃO</v>
      </c>
      <c r="P115" s="66" t="str" cm="1">
        <f t="array" ref="P11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15" s="103" t="str" cm="1">
        <f t="array" ref="Q11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45903+ANTONIO JOSE PEREIRA SOARES - 1774+GOIANIA (GO) X SAO LUIS (MA)</v>
      </c>
      <c r="R115" s="67">
        <f>_xlfn.XLOOKUP(autocompAlmoco[[#This Row],[COMP ESCALA]],tabE.Flux[COMP. ESCALA MOT B],tabE.Flux[CARRO],
(_xlfn.XLOOKUP(autocompAlmoco[[#This Row],[COMP ESCALA]],tabE.Flux[COMP. ESCALA MOT A],tabE.Flux[CARRO],"N/E",0,1)),0,1)</f>
        <v>19007</v>
      </c>
      <c r="S115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15" s="127">
        <v>45903</v>
      </c>
      <c r="U115" s="4">
        <f>IF(IFERROR(autocompAlmoco[[#This Row],[CORRESP. CARRO]],"")="NÃO",(IF(tabAlmoco[[#This Row],[MOTORISTA]]=0,"","PASSE?")),autocompAlmoco[[#This Row],[CORRESP. CARRO]])</f>
        <v>19007</v>
      </c>
      <c r="V115" s="128">
        <f>IF(OR(ISERR(autocompAlmoco[[#This Row],[CORRESP HORARIO]]), autocompAlmoco[[#This Row],[CORRESP HORARIO]]&lt;&gt;"NÃO"),autocompAlmoco[[#This Row],[CORRESP HORARIO]],"")</f>
        <v>0.29166666666666669</v>
      </c>
      <c r="W115" s="4" t="s">
        <v>299</v>
      </c>
      <c r="X115" s="4" t="s">
        <v>52</v>
      </c>
      <c r="Y115" s="4">
        <f>IF(tabAlmoco[[#This Row],[MOTORISTA]]="","",COUNTIF(autocompAlmoco[COMP ESCALA ATUAL],autocompAlmoco[[#This Row],[COMP ESCALA ATUAL]]))</f>
        <v>1</v>
      </c>
      <c r="Z115" s="45">
        <f>IF(tabAlmoco[[#This Row],[MOTORISTA]]&lt;&gt;0,15,"")</f>
        <v>15</v>
      </c>
      <c r="AA115" s="4" t="str">
        <f>autocompAlmoco[[#This Row],[CORRESP LINHA]]</f>
        <v>GOIANIA (GO) X SAO LUIS (MA)</v>
      </c>
    </row>
    <row r="116" spans="3:27" ht="15" hidden="1" customHeight="1" x14ac:dyDescent="0.25">
      <c r="C116" s="140" t="s">
        <v>226</v>
      </c>
      <c r="D116" s="56" t="str">
        <f>IF(tabAlmoco[[#This Row],[MOTORISTA]]="","",_xlfn.CONCAT(tabAlmoco[[#This Row],[DATA]],"+",tabAlmoco[[#This Row],[MOTORISTA]]))</f>
        <v>45903+WASHINGTON ALVES BRITO - 1553</v>
      </c>
      <c r="E116" s="56" t="str">
        <f>_xlfn.XLOOKUP(autocompAlmoco[[#This Row],[COMP ESCALA ATUAL]],tabE.Flux[COMP.AT. MOT A],tabE.Flux[LINHA],"NÃO",0,1)</f>
        <v>NÃO</v>
      </c>
      <c r="F116" s="56" t="str">
        <f>_xlfn.XLOOKUP(autocompAlmoco[[#This Row],[COMP ESCALA ATUAL]],tabE.Flux[COMP.AT. MOT B],tabE.Flux[LINHA],"NÃO",0,1)</f>
        <v>FORTALEZA (CE) X SINOP (MT)</v>
      </c>
      <c r="G116" s="61" t="str">
        <f>IF(AND(autocompAlmoco[[#This Row],[EXISTE MOT A AT]]="NÃO", autocompAlmoco[[#This Row],[EXISTE MOT B AT]]="NÃO"),"NÃO","SIM")</f>
        <v>SIM</v>
      </c>
      <c r="H116" s="57" t="str">
        <f>IF(autocompAlmoco[[#This Row],[EXISTE ESCALA ATUAL]]="NÃO",_xlfn.CONCAT(tabAlmoco[[#This Row],[DATA]]-1,"+",tabAlmoco[[#This Row],[MOTORISTA]]),"NÃO")</f>
        <v>NÃO</v>
      </c>
      <c r="I116" s="57" t="str">
        <f>IF(autocompAlmoco[[#This Row],[COMP ESCALA ANTERIOR]]="NÃO","NÃO",_xlfn.XLOOKUP(autocompAlmoco[[#This Row],[COMP ESCALA ANTERIOR]],tabE.Flux[COMP.AT. MOT A],tabE.Flux[LINHA],"NÃO",0,1))</f>
        <v>NÃO</v>
      </c>
      <c r="J116" s="58" t="str">
        <f>IF(autocompAlmoco[[#This Row],[COMP ESCALA ANTERIOR]]="NÃO","NÃO",_xlfn.XLOOKUP(autocompAlmoco[[#This Row],[COMP ESCALA ANTERIOR]],tabE.Flux[COMP.AT. MOT B],tabE.Flux[LINHA],"NÃO",0,1))</f>
        <v>NÃO</v>
      </c>
      <c r="K116" s="62" t="str">
        <f>IF(AND(autocompAlmoco[[#This Row],[EXISTE MOT A ANT]]="NÃO",autocompAlmoco[[#This Row],[EXISTE MOT B ANT]]="NÃO"),"NÃO","SIM")</f>
        <v>NÃO</v>
      </c>
      <c r="L116" s="59" t="str">
        <f t="shared" si="3"/>
        <v>45904+WASHINGTON ALVES BRITO - 1553</v>
      </c>
      <c r="M116" s="59" t="str">
        <f>IF(autocompAlmoco[[#This Row],[COMP ESCALA POSTERIOR]]="NÃO","NÃO",_xlfn.XLOOKUP(autocompAlmoco[[#This Row],[COMP ESCALA POSTERIOR]],tabE.Flux[COMP.AT. MOT A],tabE.Flux[LINHA],"NÃO",0,1))</f>
        <v>NÃO</v>
      </c>
      <c r="N116" s="59" t="str">
        <f>IF(autocompAlmoco[[#This Row],[COMP ESCALA POSTERIOR]]="NÃO","NÃO",_xlfn.XLOOKUP(autocompAlmoco[[#This Row],[COMP ESCALA POSTERIOR]],tabE.Flux[COMP.AT. MOT B],tabE.Flux[LINHA],"NÃO",0,1))</f>
        <v>NÃO</v>
      </c>
      <c r="O116" s="65" t="str">
        <f>IF(AND(autocompAlmoco[[#This Row],[EXISTE MOT A POS]]="NÃO",autocompAlmoco[[#This Row],[EXISTE MOT B POS]]="NÃO"),"NÃO","SIM")</f>
        <v>NÃO</v>
      </c>
      <c r="P116" s="66" t="str" cm="1">
        <f t="array" ref="P11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16" s="103" t="str" cm="1">
        <f t="array" ref="Q11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45903+WASHINGTON ALVES BRITO - 1553+FORTALEZA (CE) X SINOP (MT)</v>
      </c>
      <c r="R116" s="67">
        <f>_xlfn.XLOOKUP(autocompAlmoco[[#This Row],[COMP ESCALA]],tabE.Flux[COMP. ESCALA MOT B],tabE.Flux[CARRO],
(_xlfn.XLOOKUP(autocompAlmoco[[#This Row],[COMP ESCALA]],tabE.Flux[COMP. ESCALA MOT A],tabE.Flux[CARRO],"N/E",0,1)),0,1)</f>
        <v>19020</v>
      </c>
      <c r="S116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16" s="127">
        <v>45903</v>
      </c>
      <c r="U116" s="4">
        <f>IF(IFERROR(autocompAlmoco[[#This Row],[CORRESP. CARRO]],"")="NÃO",(IF(tabAlmoco[[#This Row],[MOTORISTA]]=0,"","PASSE?")),autocompAlmoco[[#This Row],[CORRESP. CARRO]])</f>
        <v>19020</v>
      </c>
      <c r="V116" s="126">
        <f>IF(OR(ISERR(autocompAlmoco[[#This Row],[CORRESP HORARIO]]), autocompAlmoco[[#This Row],[CORRESP HORARIO]]&lt;&gt;"NÃO"),autocompAlmoco[[#This Row],[CORRESP HORARIO]],"")</f>
        <v>0.37708333333333333</v>
      </c>
      <c r="W116" s="4" t="s">
        <v>299</v>
      </c>
      <c r="X116" s="1" t="s">
        <v>201</v>
      </c>
      <c r="Y116" s="1">
        <f>IF(tabAlmoco[[#This Row],[MOTORISTA]]="","",COUNTIF(autocompAlmoco[COMP ESCALA ATUAL],autocompAlmoco[[#This Row],[COMP ESCALA ATUAL]]))</f>
        <v>1</v>
      </c>
      <c r="Z116" s="105">
        <f>IF(tabAlmoco[[#This Row],[MOTORISTA]]&lt;&gt;0,15,"")</f>
        <v>15</v>
      </c>
      <c r="AA116" s="4" t="str">
        <f>autocompAlmoco[[#This Row],[CORRESP LINHA]]</f>
        <v>FORTALEZA (CE) X SINOP (MT)</v>
      </c>
    </row>
    <row r="117" spans="3:27" ht="15" hidden="1" customHeight="1" x14ac:dyDescent="0.25">
      <c r="C117" s="140" t="s">
        <v>226</v>
      </c>
      <c r="D117" s="56" t="str">
        <f>IF(tabAlmoco[[#This Row],[MOTORISTA]]="","",_xlfn.CONCAT(tabAlmoco[[#This Row],[DATA]],"+",tabAlmoco[[#This Row],[MOTORISTA]]))</f>
        <v>45903+CARLOS ADRIANO DE SOUZA DO NASCIMENTO - 6222</v>
      </c>
      <c r="E117" s="56" t="str">
        <f>_xlfn.XLOOKUP(autocompAlmoco[[#This Row],[COMP ESCALA ATUAL]],tabE.Flux[COMP.AT. MOT A],tabE.Flux[LINHA],"NÃO",0,1)</f>
        <v>GOIANIA (GO) X SAO LUIS (MA)</v>
      </c>
      <c r="F117" s="56" t="str">
        <f>_xlfn.XLOOKUP(autocompAlmoco[[#This Row],[COMP ESCALA ATUAL]],tabE.Flux[COMP.AT. MOT B],tabE.Flux[LINHA],"NÃO",0,1)</f>
        <v>GOIANIA (GO) X SAO LUIS (MA)</v>
      </c>
      <c r="G117" s="61" t="str">
        <f>IF(AND(autocompAlmoco[[#This Row],[EXISTE MOT A AT]]="NÃO", autocompAlmoco[[#This Row],[EXISTE MOT B AT]]="NÃO"),"NÃO","SIM")</f>
        <v>SIM</v>
      </c>
      <c r="H117" s="57" t="str">
        <f>IF(autocompAlmoco[[#This Row],[EXISTE ESCALA ATUAL]]="NÃO",_xlfn.CONCAT(tabAlmoco[[#This Row],[DATA]]-1,"+",tabAlmoco[[#This Row],[MOTORISTA]]),"NÃO")</f>
        <v>NÃO</v>
      </c>
      <c r="I117" s="57" t="str">
        <f>IF(autocompAlmoco[[#This Row],[COMP ESCALA ANTERIOR]]="NÃO","NÃO",_xlfn.XLOOKUP(autocompAlmoco[[#This Row],[COMP ESCALA ANTERIOR]],tabE.Flux[COMP.AT. MOT A],tabE.Flux[LINHA],"NÃO",0,1))</f>
        <v>NÃO</v>
      </c>
      <c r="J117" s="58" t="str">
        <f>IF(autocompAlmoco[[#This Row],[COMP ESCALA ANTERIOR]]="NÃO","NÃO",_xlfn.XLOOKUP(autocompAlmoco[[#This Row],[COMP ESCALA ANTERIOR]],tabE.Flux[COMP.AT. MOT B],tabE.Flux[LINHA],"NÃO",0,1))</f>
        <v>NÃO</v>
      </c>
      <c r="K117" s="62" t="str">
        <f>IF(AND(autocompAlmoco[[#This Row],[EXISTE MOT A ANT]]="NÃO",autocompAlmoco[[#This Row],[EXISTE MOT B ANT]]="NÃO"),"NÃO","SIM")</f>
        <v>NÃO</v>
      </c>
      <c r="L117" s="59" t="str">
        <f t="shared" si="3"/>
        <v>45904+CARLOS ADRIANO DE SOUZA DO NASCIMENTO - 6222</v>
      </c>
      <c r="M117" s="59" t="str">
        <f>IF(autocompAlmoco[[#This Row],[COMP ESCALA POSTERIOR]]="NÃO","NÃO",_xlfn.XLOOKUP(autocompAlmoco[[#This Row],[COMP ESCALA POSTERIOR]],tabE.Flux[COMP.AT. MOT A],tabE.Flux[LINHA],"NÃO",0,1))</f>
        <v>NÃO</v>
      </c>
      <c r="N117" s="59" t="str">
        <f>IF(autocompAlmoco[[#This Row],[COMP ESCALA POSTERIOR]]="NÃO","NÃO",_xlfn.XLOOKUP(autocompAlmoco[[#This Row],[COMP ESCALA POSTERIOR]],tabE.Flux[COMP.AT. MOT B],tabE.Flux[LINHA],"NÃO",0,1))</f>
        <v>NÃO</v>
      </c>
      <c r="O117" s="65" t="str">
        <f>IF(AND(autocompAlmoco[[#This Row],[EXISTE MOT A POS]]="NÃO",autocompAlmoco[[#This Row],[EXISTE MOT B POS]]="NÃO"),"NÃO","SIM")</f>
        <v>NÃO</v>
      </c>
      <c r="P117" s="66" t="str" cm="1">
        <f t="array" ref="P11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17" s="103" t="str" cm="1">
        <f t="array" ref="Q11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45903+CARLOS ADRIANO DE SOUZA DO NASCIMENTO - 6222+GOIANIA (GO) X SAO LUIS (MA)</v>
      </c>
      <c r="R117" s="67">
        <f>_xlfn.XLOOKUP(autocompAlmoco[[#This Row],[COMP ESCALA]],tabE.Flux[COMP. ESCALA MOT B],tabE.Flux[CARRO],
(_xlfn.XLOOKUP(autocompAlmoco[[#This Row],[COMP ESCALA]],tabE.Flux[COMP. ESCALA MOT A],tabE.Flux[CARRO],"N/E",0,1)),0,1)</f>
        <v>24006</v>
      </c>
      <c r="S117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17" s="127">
        <v>45903</v>
      </c>
      <c r="U117" s="131">
        <f>IF(IFERROR(autocompAlmoco[[#This Row],[CORRESP. CARRO]],"")="NÃO",(IF(tabAlmoco[[#This Row],[MOTORISTA]]=0,"","PASSE?")),autocompAlmoco[[#This Row],[CORRESP. CARRO]])</f>
        <v>24006</v>
      </c>
      <c r="V117" s="126">
        <f>IF(OR(ISERR(autocompAlmoco[[#This Row],[CORRESP HORARIO]]), autocompAlmoco[[#This Row],[CORRESP HORARIO]]&lt;&gt;"NÃO"),autocompAlmoco[[#This Row],[CORRESP HORARIO]],"")</f>
        <v>0.29166666666666669</v>
      </c>
      <c r="W117" s="4" t="s">
        <v>299</v>
      </c>
      <c r="X117" s="1" t="s">
        <v>110</v>
      </c>
      <c r="Y117" s="1">
        <f>IF(tabAlmoco[[#This Row],[MOTORISTA]]="","",COUNTIF(autocompAlmoco[COMP ESCALA ATUAL],autocompAlmoco[[#This Row],[COMP ESCALA ATUAL]]))</f>
        <v>1</v>
      </c>
      <c r="Z117" s="105">
        <f>IF(tabAlmoco[[#This Row],[MOTORISTA]]&lt;&gt;0,15,"")</f>
        <v>15</v>
      </c>
      <c r="AA117" s="131" t="str">
        <f>autocompAlmoco[[#This Row],[CORRESP LINHA]]</f>
        <v>GOIANIA (GO) X SAO LUIS (MA)</v>
      </c>
    </row>
    <row r="118" spans="3:27" ht="15" hidden="1" customHeight="1" x14ac:dyDescent="0.25">
      <c r="C118" s="140" t="s">
        <v>226</v>
      </c>
      <c r="D118" s="56" t="str">
        <f>IF(tabAlmoco[[#This Row],[MOTORISTA]]="","",_xlfn.CONCAT(tabAlmoco[[#This Row],[DATA]],"+",tabAlmoco[[#This Row],[MOTORISTA]]))</f>
        <v>45903+EDUARDO SANTOS BEZERRA - 4066</v>
      </c>
      <c r="E118" s="56" t="str">
        <f>_xlfn.XLOOKUP(autocompAlmoco[[#This Row],[COMP ESCALA ATUAL]],tabE.Flux[COMP.AT. MOT A],tabE.Flux[LINHA],"NÃO",0,1)</f>
        <v>NÃO</v>
      </c>
      <c r="F118" s="56" t="str">
        <f>_xlfn.XLOOKUP(autocompAlmoco[[#This Row],[COMP ESCALA ATUAL]],tabE.Flux[COMP.AT. MOT B],tabE.Flux[LINHA],"NÃO",0,1)</f>
        <v>NÃO</v>
      </c>
      <c r="G118" s="61" t="str">
        <f>IF(AND(autocompAlmoco[[#This Row],[EXISTE MOT A AT]]="NÃO", autocompAlmoco[[#This Row],[EXISTE MOT B AT]]="NÃO"),"NÃO","SIM")</f>
        <v>NÃO</v>
      </c>
      <c r="H118" s="57" t="str">
        <f>IF(autocompAlmoco[[#This Row],[EXISTE ESCALA ATUAL]]="NÃO",_xlfn.CONCAT(tabAlmoco[[#This Row],[DATA]]-1,"+",tabAlmoco[[#This Row],[MOTORISTA]]),"NÃO")</f>
        <v>45902+EDUARDO SANTOS BEZERRA - 4066</v>
      </c>
      <c r="I118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18" s="58" t="str">
        <f>IF(autocompAlmoco[[#This Row],[COMP ESCALA ANTERIOR]]="NÃO","NÃO",_xlfn.XLOOKUP(autocompAlmoco[[#This Row],[COMP ESCALA ANTERIOR]],tabE.Flux[COMP.AT. MOT B],tabE.Flux[LINHA],"NÃO",0,1))</f>
        <v>NÃO</v>
      </c>
      <c r="K118" s="62" t="str">
        <f>IF(AND(autocompAlmoco[[#This Row],[EXISTE MOT A ANT]]="NÃO",autocompAlmoco[[#This Row],[EXISTE MOT B ANT]]="NÃO"),"NÃO","SIM")</f>
        <v>SIM</v>
      </c>
      <c r="L118" s="59" t="str">
        <f t="shared" si="3"/>
        <v>45904+EDUARDO SANTOS BEZERRA - 4066</v>
      </c>
      <c r="M118" s="59" t="str">
        <f>IF(autocompAlmoco[[#This Row],[COMP ESCALA POSTERIOR]]="NÃO","NÃO",_xlfn.XLOOKUP(autocompAlmoco[[#This Row],[COMP ESCALA POSTERIOR]],tabE.Flux[COMP.AT. MOT A],tabE.Flux[LINHA],"NÃO",0,1))</f>
        <v>NÃO</v>
      </c>
      <c r="N118" s="59" t="str">
        <f>IF(autocompAlmoco[[#This Row],[COMP ESCALA POSTERIOR]]="NÃO","NÃO",_xlfn.XLOOKUP(autocompAlmoco[[#This Row],[COMP ESCALA POSTERIOR]],tabE.Flux[COMP.AT. MOT B],tabE.Flux[LINHA],"NÃO",0,1))</f>
        <v>NÃO</v>
      </c>
      <c r="O118" s="65" t="str">
        <f>IF(AND(autocompAlmoco[[#This Row],[EXISTE MOT A POS]]="NÃO",autocompAlmoco[[#This Row],[EXISTE MOT B POS]]="NÃO"),"NÃO","SIM")</f>
        <v>NÃO</v>
      </c>
      <c r="P118" s="66" t="str" cm="1">
        <f t="array" ref="P11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18" s="103" t="str" cm="1">
        <f t="array" ref="Q11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45902+EDUARDO SANTOS BEZERRA - 4066+FORTALEZA (CE) X SINOP (MT)</v>
      </c>
      <c r="R118" s="67">
        <f>_xlfn.XLOOKUP(autocompAlmoco[[#This Row],[COMP ESCALA]],tabE.Flux[COMP. ESCALA MOT B],tabE.Flux[CARRO],
(_xlfn.XLOOKUP(autocompAlmoco[[#This Row],[COMP ESCALA]],tabE.Flux[COMP. ESCALA MOT A],tabE.Flux[CARRO],"N/E",0,1)),0,1)</f>
        <v>19011</v>
      </c>
      <c r="S118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18" s="127">
        <v>45903</v>
      </c>
      <c r="U118" s="131">
        <f>IF(IFERROR(autocompAlmoco[[#This Row],[CORRESP. CARRO]],"")="NÃO",(IF(tabAlmoco[[#This Row],[MOTORISTA]]=0,"","PASSE?")),autocompAlmoco[[#This Row],[CORRESP. CARRO]])</f>
        <v>19011</v>
      </c>
      <c r="V118" s="126">
        <f>IF(OR(ISERR(autocompAlmoco[[#This Row],[CORRESP HORARIO]]), autocompAlmoco[[#This Row],[CORRESP HORARIO]]&lt;&gt;"NÃO"),autocompAlmoco[[#This Row],[CORRESP HORARIO]],"")</f>
        <v>0.37708333333333333</v>
      </c>
      <c r="W118" s="4" t="s">
        <v>299</v>
      </c>
      <c r="X118" s="1" t="s">
        <v>148</v>
      </c>
      <c r="Y118" s="1">
        <f>IF(tabAlmoco[[#This Row],[MOTORISTA]]="","",COUNTIF(autocompAlmoco[COMP ESCALA ATUAL],autocompAlmoco[[#This Row],[COMP ESCALA ATUAL]]))</f>
        <v>1</v>
      </c>
      <c r="Z118" s="105">
        <f>IF(tabAlmoco[[#This Row],[MOTORISTA]]&lt;&gt;0,15,"")</f>
        <v>15</v>
      </c>
      <c r="AA118" s="131" t="str">
        <f>autocompAlmoco[[#This Row],[CORRESP LINHA]]</f>
        <v>FORTALEZA (CE) X SINOP (MT)</v>
      </c>
    </row>
    <row r="119" spans="3:27" ht="15" hidden="1" customHeight="1" x14ac:dyDescent="0.25">
      <c r="C119" s="140" t="s">
        <v>226</v>
      </c>
      <c r="D119" s="56" t="str">
        <f>IF(tabAlmoco[[#This Row],[MOTORISTA]]="","",_xlfn.CONCAT(tabAlmoco[[#This Row],[DATA]],"+",tabAlmoco[[#This Row],[MOTORISTA]]))</f>
        <v>45903+EDIVALDO DE ARAUJO - 6217</v>
      </c>
      <c r="E119" s="56" t="str">
        <f>_xlfn.XLOOKUP(autocompAlmoco[[#This Row],[COMP ESCALA ATUAL]],tabE.Flux[COMP.AT. MOT A],tabE.Flux[LINHA],"NÃO",0,1)</f>
        <v>NÃO</v>
      </c>
      <c r="F119" s="56" t="str">
        <f>_xlfn.XLOOKUP(autocompAlmoco[[#This Row],[COMP ESCALA ATUAL]],tabE.Flux[COMP.AT. MOT B],tabE.Flux[LINHA],"NÃO",0,1)</f>
        <v>GOIANIA (GO) X SAO LUIS (MA)</v>
      </c>
      <c r="G119" s="61" t="str">
        <f>IF(AND(autocompAlmoco[[#This Row],[EXISTE MOT A AT]]="NÃO", autocompAlmoco[[#This Row],[EXISTE MOT B AT]]="NÃO"),"NÃO","SIM")</f>
        <v>SIM</v>
      </c>
      <c r="H119" s="57" t="str">
        <f>IF(autocompAlmoco[[#This Row],[EXISTE ESCALA ATUAL]]="NÃO",_xlfn.CONCAT(tabAlmoco[[#This Row],[DATA]]-1,"+",tabAlmoco[[#This Row],[MOTORISTA]]),"NÃO")</f>
        <v>NÃO</v>
      </c>
      <c r="I119" s="57" t="str">
        <f>IF(autocompAlmoco[[#This Row],[COMP ESCALA ANTERIOR]]="NÃO","NÃO",_xlfn.XLOOKUP(autocompAlmoco[[#This Row],[COMP ESCALA ANTERIOR]],tabE.Flux[COMP.AT. MOT A],tabE.Flux[LINHA],"NÃO",0,1))</f>
        <v>NÃO</v>
      </c>
      <c r="J119" s="58" t="str">
        <f>IF(autocompAlmoco[[#This Row],[COMP ESCALA ANTERIOR]]="NÃO","NÃO",_xlfn.XLOOKUP(autocompAlmoco[[#This Row],[COMP ESCALA ANTERIOR]],tabE.Flux[COMP.AT. MOT B],tabE.Flux[LINHA],"NÃO",0,1))</f>
        <v>NÃO</v>
      </c>
      <c r="K119" s="62" t="str">
        <f>IF(AND(autocompAlmoco[[#This Row],[EXISTE MOT A ANT]]="NÃO",autocompAlmoco[[#This Row],[EXISTE MOT B ANT]]="NÃO"),"NÃO","SIM")</f>
        <v>NÃO</v>
      </c>
      <c r="L119" s="59" t="str">
        <f t="shared" si="3"/>
        <v>45904+EDIVALDO DE ARAUJO - 6217</v>
      </c>
      <c r="M119" s="59" t="str">
        <f>IF(autocompAlmoco[[#This Row],[COMP ESCALA POSTERIOR]]="NÃO","NÃO",_xlfn.XLOOKUP(autocompAlmoco[[#This Row],[COMP ESCALA POSTERIOR]],tabE.Flux[COMP.AT. MOT A],tabE.Flux[LINHA],"NÃO",0,1))</f>
        <v>NÃO</v>
      </c>
      <c r="N119" s="59" t="str">
        <f>IF(autocompAlmoco[[#This Row],[COMP ESCALA POSTERIOR]]="NÃO","NÃO",_xlfn.XLOOKUP(autocompAlmoco[[#This Row],[COMP ESCALA POSTERIOR]],tabE.Flux[COMP.AT. MOT B],tabE.Flux[LINHA],"NÃO",0,1))</f>
        <v>NÃO</v>
      </c>
      <c r="O119" s="65" t="str">
        <f>IF(AND(autocompAlmoco[[#This Row],[EXISTE MOT A POS]]="NÃO",autocompAlmoco[[#This Row],[EXISTE MOT B POS]]="NÃO"),"NÃO","SIM")</f>
        <v>NÃO</v>
      </c>
      <c r="P119" s="66" t="str" cm="1">
        <f t="array" ref="P11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19" s="103" t="str" cm="1">
        <f t="array" ref="Q11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45903+EDIVALDO DE ARAUJO - 6217+GOIANIA (GO) X SAO LUIS (MA)</v>
      </c>
      <c r="R119" s="67">
        <f>_xlfn.XLOOKUP(autocompAlmoco[[#This Row],[COMP ESCALA]],tabE.Flux[COMP. ESCALA MOT B],tabE.Flux[CARRO],
(_xlfn.XLOOKUP(autocompAlmoco[[#This Row],[COMP ESCALA]],tabE.Flux[COMP. ESCALA MOT A],tabE.Flux[CARRO],"N/E",0,1)),0,1)</f>
        <v>19015</v>
      </c>
      <c r="S119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19" s="127">
        <v>45903</v>
      </c>
      <c r="U119" s="131">
        <f>IF(IFERROR(autocompAlmoco[[#This Row],[CORRESP. CARRO]],"")="NÃO",(IF(tabAlmoco[[#This Row],[MOTORISTA]]=0,"","PASSE?")),autocompAlmoco[[#This Row],[CORRESP. CARRO]])</f>
        <v>19015</v>
      </c>
      <c r="V119" s="126">
        <f>IF(OR(ISERR(autocompAlmoco[[#This Row],[CORRESP HORARIO]]), autocompAlmoco[[#This Row],[CORRESP HORARIO]]&lt;&gt;"NÃO"),autocompAlmoco[[#This Row],[CORRESP HORARIO]],"")</f>
        <v>0.47013888888888888</v>
      </c>
      <c r="W119" s="4" t="s">
        <v>299</v>
      </c>
      <c r="X119" s="1" t="s">
        <v>55</v>
      </c>
      <c r="Y119" s="1">
        <f>IF(tabAlmoco[[#This Row],[MOTORISTA]]="","",COUNTIF(autocompAlmoco[COMP ESCALA ATUAL],autocompAlmoco[[#This Row],[COMP ESCALA ATUAL]]))</f>
        <v>1</v>
      </c>
      <c r="Z119" s="105">
        <f>IF(tabAlmoco[[#This Row],[MOTORISTA]]&lt;&gt;0,15,"")</f>
        <v>15</v>
      </c>
      <c r="AA119" s="131" t="str">
        <f>autocompAlmoco[[#This Row],[CORRESP LINHA]]</f>
        <v>GOIANIA (GO) X SAO LUIS (MA)</v>
      </c>
    </row>
    <row r="120" spans="3:27" ht="15" hidden="1" customHeight="1" x14ac:dyDescent="0.25">
      <c r="C120" s="140" t="s">
        <v>226</v>
      </c>
      <c r="D120" s="56" t="str">
        <f>IF(tabAlmoco[[#This Row],[MOTORISTA]]="","",_xlfn.CONCAT(tabAlmoco[[#This Row],[DATA]],"+",tabAlmoco[[#This Row],[MOTORISTA]]))</f>
        <v>45903+KLEBSON ALVES FREIRES - 3060</v>
      </c>
      <c r="E120" s="56" t="str">
        <f>_xlfn.XLOOKUP(autocompAlmoco[[#This Row],[COMP ESCALA ATUAL]],tabE.Flux[COMP.AT. MOT A],tabE.Flux[LINHA],"NÃO",0,1)</f>
        <v>NÃO</v>
      </c>
      <c r="F120" s="56" t="str">
        <f>_xlfn.XLOOKUP(autocompAlmoco[[#This Row],[COMP ESCALA ATUAL]],tabE.Flux[COMP.AT. MOT B],tabE.Flux[LINHA],"NÃO",0,1)</f>
        <v>GOIANIA (GO) X SAO LUIS (MA)</v>
      </c>
      <c r="G120" s="61" t="str">
        <f>IF(AND(autocompAlmoco[[#This Row],[EXISTE MOT A AT]]="NÃO", autocompAlmoco[[#This Row],[EXISTE MOT B AT]]="NÃO"),"NÃO","SIM")</f>
        <v>SIM</v>
      </c>
      <c r="H120" s="57" t="str">
        <f>IF(autocompAlmoco[[#This Row],[EXISTE ESCALA ATUAL]]="NÃO",_xlfn.CONCAT(tabAlmoco[[#This Row],[DATA]]-1,"+",tabAlmoco[[#This Row],[MOTORISTA]]),"NÃO")</f>
        <v>NÃO</v>
      </c>
      <c r="I120" s="57" t="str">
        <f>IF(autocompAlmoco[[#This Row],[COMP ESCALA ANTERIOR]]="NÃO","NÃO",_xlfn.XLOOKUP(autocompAlmoco[[#This Row],[COMP ESCALA ANTERIOR]],tabE.Flux[COMP.AT. MOT A],tabE.Flux[LINHA],"NÃO",0,1))</f>
        <v>NÃO</v>
      </c>
      <c r="J120" s="58" t="str">
        <f>IF(autocompAlmoco[[#This Row],[COMP ESCALA ANTERIOR]]="NÃO","NÃO",_xlfn.XLOOKUP(autocompAlmoco[[#This Row],[COMP ESCALA ANTERIOR]],tabE.Flux[COMP.AT. MOT B],tabE.Flux[LINHA],"NÃO",0,1))</f>
        <v>NÃO</v>
      </c>
      <c r="K120" s="62" t="str">
        <f>IF(AND(autocompAlmoco[[#This Row],[EXISTE MOT A ANT]]="NÃO",autocompAlmoco[[#This Row],[EXISTE MOT B ANT]]="NÃO"),"NÃO","SIM")</f>
        <v>NÃO</v>
      </c>
      <c r="L120" s="59" t="str">
        <f t="shared" si="3"/>
        <v>45904+KLEBSON ALVES FREIRES - 3060</v>
      </c>
      <c r="M120" s="59" t="str">
        <f>IF(autocompAlmoco[[#This Row],[COMP ESCALA POSTERIOR]]="NÃO","NÃO",_xlfn.XLOOKUP(autocompAlmoco[[#This Row],[COMP ESCALA POSTERIOR]],tabE.Flux[COMP.AT. MOT A],tabE.Flux[LINHA],"NÃO",0,1))</f>
        <v>NÃO</v>
      </c>
      <c r="N120" s="59" t="str">
        <f>IF(autocompAlmoco[[#This Row],[COMP ESCALA POSTERIOR]]="NÃO","NÃO",_xlfn.XLOOKUP(autocompAlmoco[[#This Row],[COMP ESCALA POSTERIOR]],tabE.Flux[COMP.AT. MOT B],tabE.Flux[LINHA],"NÃO",0,1))</f>
        <v>NÃO</v>
      </c>
      <c r="O120" s="65" t="str">
        <f>IF(AND(autocompAlmoco[[#This Row],[EXISTE MOT A POS]]="NÃO",autocompAlmoco[[#This Row],[EXISTE MOT B POS]]="NÃO"),"NÃO","SIM")</f>
        <v>NÃO</v>
      </c>
      <c r="P120" s="66" t="str" cm="1">
        <f t="array" ref="P12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20" s="103" t="str" cm="1">
        <f t="array" ref="Q12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45903+KLEBSON ALVES FREIRES - 3060+GOIANIA (GO) X SAO LUIS (MA)</v>
      </c>
      <c r="R120" s="67">
        <f>_xlfn.XLOOKUP(autocompAlmoco[[#This Row],[COMP ESCALA]],tabE.Flux[COMP. ESCALA MOT B],tabE.Flux[CARRO],
(_xlfn.XLOOKUP(autocompAlmoco[[#This Row],[COMP ESCALA]],tabE.Flux[COMP. ESCALA MOT A],tabE.Flux[CARRO],"N/E",0,1)),0,1)</f>
        <v>24014</v>
      </c>
      <c r="S120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20" s="127">
        <v>45903</v>
      </c>
      <c r="U120" s="131">
        <f>IF(IFERROR(autocompAlmoco[[#This Row],[CORRESP. CARRO]],"")="NÃO",(IF(tabAlmoco[[#This Row],[MOTORISTA]]=0,"","PASSE?")),autocompAlmoco[[#This Row],[CORRESP. CARRO]])</f>
        <v>24014</v>
      </c>
      <c r="V120" s="126">
        <f>IF(OR(ISERR(autocompAlmoco[[#This Row],[CORRESP HORARIO]]), autocompAlmoco[[#This Row],[CORRESP HORARIO]]&lt;&gt;"NÃO"),autocompAlmoco[[#This Row],[CORRESP HORARIO]],"")</f>
        <v>0.79166666666666663</v>
      </c>
      <c r="W120" s="4" t="s">
        <v>299</v>
      </c>
      <c r="X120" s="1" t="s">
        <v>161</v>
      </c>
      <c r="Y120" s="1">
        <f>IF(tabAlmoco[[#This Row],[MOTORISTA]]="","",COUNTIF(autocompAlmoco[COMP ESCALA ATUAL],autocompAlmoco[[#This Row],[COMP ESCALA ATUAL]]))</f>
        <v>1</v>
      </c>
      <c r="Z120" s="105">
        <f>IF(tabAlmoco[[#This Row],[MOTORISTA]]&lt;&gt;0,15,"")</f>
        <v>15</v>
      </c>
      <c r="AA120" s="131" t="str">
        <f>autocompAlmoco[[#This Row],[CORRESP LINHA]]</f>
        <v>GOIANIA (GO) X SAO LUIS (MA)</v>
      </c>
    </row>
    <row r="121" spans="3:27" ht="15" hidden="1" customHeight="1" x14ac:dyDescent="0.25">
      <c r="C121" s="140" t="s">
        <v>226</v>
      </c>
      <c r="D121" s="56" t="str">
        <f>IF(tabAlmoco[[#This Row],[MOTORISTA]]="","",_xlfn.CONCAT(tabAlmoco[[#This Row],[DATA]],"+",tabAlmoco[[#This Row],[MOTORISTA]]))</f>
        <v>45903+RICHARD SOUSA DA SILVA - 1271</v>
      </c>
      <c r="E121" s="56" t="str">
        <f>_xlfn.XLOOKUP(autocompAlmoco[[#This Row],[COMP ESCALA ATUAL]],tabE.Flux[COMP.AT. MOT A],tabE.Flux[LINHA],"NÃO",0,1)</f>
        <v>NÃO</v>
      </c>
      <c r="F121" s="56" t="str">
        <f>_xlfn.XLOOKUP(autocompAlmoco[[#This Row],[COMP ESCALA ATUAL]],tabE.Flux[COMP.AT. MOT B],tabE.Flux[LINHA],"NÃO",0,1)</f>
        <v>NÃO</v>
      </c>
      <c r="G121" s="61" t="str">
        <f>IF(AND(autocompAlmoco[[#This Row],[EXISTE MOT A AT]]="NÃO", autocompAlmoco[[#This Row],[EXISTE MOT B AT]]="NÃO"),"NÃO","SIM")</f>
        <v>NÃO</v>
      </c>
      <c r="H121" s="57" t="str">
        <f>IF(autocompAlmoco[[#This Row],[EXISTE ESCALA ATUAL]]="NÃO",_xlfn.CONCAT(tabAlmoco[[#This Row],[DATA]]-1,"+",tabAlmoco[[#This Row],[MOTORISTA]]),"NÃO")</f>
        <v>45902+RICHARD SOUSA DA SILVA - 1271</v>
      </c>
      <c r="I121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21" s="58" t="str">
        <f>IF(autocompAlmoco[[#This Row],[COMP ESCALA ANTERIOR]]="NÃO","NÃO",_xlfn.XLOOKUP(autocompAlmoco[[#This Row],[COMP ESCALA ANTERIOR]],tabE.Flux[COMP.AT. MOT B],tabE.Flux[LINHA],"NÃO",0,1))</f>
        <v>NÃO</v>
      </c>
      <c r="K121" s="62" t="str">
        <f>IF(AND(autocompAlmoco[[#This Row],[EXISTE MOT A ANT]]="NÃO",autocompAlmoco[[#This Row],[EXISTE MOT B ANT]]="NÃO"),"NÃO","SIM")</f>
        <v>SIM</v>
      </c>
      <c r="L121" s="59" t="str">
        <f t="shared" si="3"/>
        <v>45904+RICHARD SOUSA DA SILVA - 1271</v>
      </c>
      <c r="M121" s="59" t="str">
        <f>IF(autocompAlmoco[[#This Row],[COMP ESCALA POSTERIOR]]="NÃO","NÃO",_xlfn.XLOOKUP(autocompAlmoco[[#This Row],[COMP ESCALA POSTERIOR]],tabE.Flux[COMP.AT. MOT A],tabE.Flux[LINHA],"NÃO",0,1))</f>
        <v>NÃO</v>
      </c>
      <c r="N121" s="59" t="str">
        <f>IF(autocompAlmoco[[#This Row],[COMP ESCALA POSTERIOR]]="NÃO","NÃO",_xlfn.XLOOKUP(autocompAlmoco[[#This Row],[COMP ESCALA POSTERIOR]],tabE.Flux[COMP.AT. MOT B],tabE.Flux[LINHA],"NÃO",0,1))</f>
        <v>NÃO</v>
      </c>
      <c r="O121" s="65" t="str">
        <f>IF(AND(autocompAlmoco[[#This Row],[EXISTE MOT A POS]]="NÃO",autocompAlmoco[[#This Row],[EXISTE MOT B POS]]="NÃO"),"NÃO","SIM")</f>
        <v>NÃO</v>
      </c>
      <c r="P121" s="66" t="str" cm="1">
        <f t="array" ref="P12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21" s="103" t="str" cm="1">
        <f t="array" ref="Q12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45902+RICHARD SOUSA DA SILVA - 1271+GOIANIA (GO) X TERESINA (PI) VIA STI</v>
      </c>
      <c r="R121" s="67">
        <f>_xlfn.XLOOKUP(autocompAlmoco[[#This Row],[COMP ESCALA]],tabE.Flux[COMP. ESCALA MOT B],tabE.Flux[CARRO],
(_xlfn.XLOOKUP(autocompAlmoco[[#This Row],[COMP ESCALA]],tabE.Flux[COMP. ESCALA MOT A],tabE.Flux[CARRO],"N/E",0,1)),0,1)</f>
        <v>20016</v>
      </c>
      <c r="S121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21" s="127">
        <v>45903</v>
      </c>
      <c r="U121" s="131">
        <f>IF(IFERROR(autocompAlmoco[[#This Row],[CORRESP. CARRO]],"")="NÃO",(IF(tabAlmoco[[#This Row],[MOTORISTA]]=0,"","PASSE?")),autocompAlmoco[[#This Row],[CORRESP. CARRO]])</f>
        <v>20016</v>
      </c>
      <c r="V121" s="126">
        <f>IF(OR(ISERR(autocompAlmoco[[#This Row],[CORRESP HORARIO]]), autocompAlmoco[[#This Row],[CORRESP HORARIO]]&lt;&gt;"NÃO"),autocompAlmoco[[#This Row],[CORRESP HORARIO]],"")</f>
        <v>0.79861111111111116</v>
      </c>
      <c r="W121" s="4" t="s">
        <v>299</v>
      </c>
      <c r="X121" s="1" t="s">
        <v>56</v>
      </c>
      <c r="Y121" s="1">
        <f>IF(tabAlmoco[[#This Row],[MOTORISTA]]="","",COUNTIF(autocompAlmoco[COMP ESCALA ATUAL],autocompAlmoco[[#This Row],[COMP ESCALA ATUAL]]))</f>
        <v>1</v>
      </c>
      <c r="Z121" s="105">
        <f>IF(tabAlmoco[[#This Row],[MOTORISTA]]&lt;&gt;0,15,"")</f>
        <v>15</v>
      </c>
      <c r="AA121" s="131" t="str">
        <f>autocompAlmoco[[#This Row],[CORRESP LINHA]]</f>
        <v>GOIANIA (GO) X TERESINA (PI) VIA STI</v>
      </c>
    </row>
    <row r="122" spans="3:27" ht="15" hidden="1" customHeight="1" x14ac:dyDescent="0.25">
      <c r="C122" s="140" t="s">
        <v>226</v>
      </c>
      <c r="D122" s="56" t="str">
        <f>IF(tabAlmoco[[#This Row],[MOTORISTA]]="","",_xlfn.CONCAT(tabAlmoco[[#This Row],[DATA]],"+",tabAlmoco[[#This Row],[MOTORISTA]]))</f>
        <v>45904+WESLEY SILVA PAIVA - 5638</v>
      </c>
      <c r="E122" s="56" t="str">
        <f>_xlfn.XLOOKUP(autocompAlmoco[[#This Row],[COMP ESCALA ATUAL]],tabE.Flux[COMP.AT. MOT A],tabE.Flux[LINHA],"NÃO",0,1)</f>
        <v>NÃO</v>
      </c>
      <c r="F122" s="56" t="str">
        <f>_xlfn.XLOOKUP(autocompAlmoco[[#This Row],[COMP ESCALA ATUAL]],tabE.Flux[COMP.AT. MOT B],tabE.Flux[LINHA],"NÃO",0,1)</f>
        <v>NÃO</v>
      </c>
      <c r="G122" s="61" t="str">
        <f>IF(AND(autocompAlmoco[[#This Row],[EXISTE MOT A AT]]="NÃO", autocompAlmoco[[#This Row],[EXISTE MOT B AT]]="NÃO"),"NÃO","SIM")</f>
        <v>NÃO</v>
      </c>
      <c r="H122" s="57" t="str">
        <f>IF(autocompAlmoco[[#This Row],[EXISTE ESCALA ATUAL]]="NÃO",_xlfn.CONCAT(tabAlmoco[[#This Row],[DATA]]-1,"+",tabAlmoco[[#This Row],[MOTORISTA]]),"NÃO")</f>
        <v>45903+WESLEY SILVA PAIVA - 5638</v>
      </c>
      <c r="I122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22" s="58" t="str">
        <f>IF(autocompAlmoco[[#This Row],[COMP ESCALA ANTERIOR]]="NÃO","NÃO",_xlfn.XLOOKUP(autocompAlmoco[[#This Row],[COMP ESCALA ANTERIOR]],tabE.Flux[COMP.AT. MOT B],tabE.Flux[LINHA],"NÃO",0,1))</f>
        <v>NÃO</v>
      </c>
      <c r="K122" s="62" t="str">
        <f>IF(AND(autocompAlmoco[[#This Row],[EXISTE MOT A ANT]]="NÃO",autocompAlmoco[[#This Row],[EXISTE MOT B ANT]]="NÃO"),"NÃO","SIM")</f>
        <v>SIM</v>
      </c>
      <c r="L122" s="59" t="str">
        <f t="shared" si="3"/>
        <v>45905+WESLEY SILVA PAIVA - 5638</v>
      </c>
      <c r="M122" s="59" t="str">
        <f>IF(autocompAlmoco[[#This Row],[COMP ESCALA POSTERIOR]]="NÃO","NÃO",_xlfn.XLOOKUP(autocompAlmoco[[#This Row],[COMP ESCALA POSTERIOR]],tabE.Flux[COMP.AT. MOT A],tabE.Flux[LINHA],"NÃO",0,1))</f>
        <v>NÃO</v>
      </c>
      <c r="N122" s="59" t="str">
        <f>IF(autocompAlmoco[[#This Row],[COMP ESCALA POSTERIOR]]="NÃO","NÃO",_xlfn.XLOOKUP(autocompAlmoco[[#This Row],[COMP ESCALA POSTERIOR]],tabE.Flux[COMP.AT. MOT B],tabE.Flux[LINHA],"NÃO",0,1))</f>
        <v>NÃO</v>
      </c>
      <c r="O122" s="65" t="str">
        <f>IF(AND(autocompAlmoco[[#This Row],[EXISTE MOT A POS]]="NÃO",autocompAlmoco[[#This Row],[EXISTE MOT B POS]]="NÃO"),"NÃO","SIM")</f>
        <v>NÃO</v>
      </c>
      <c r="P122" s="66" t="str" cm="1">
        <f t="array" ref="P12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22" s="103" t="str" cm="1">
        <f t="array" ref="Q12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45903+WESLEY SILVA PAIVA - 5638+FORTALEZA (CE) X SINOP (MT)</v>
      </c>
      <c r="R122" s="67">
        <f>_xlfn.XLOOKUP(autocompAlmoco[[#This Row],[COMP ESCALA]],tabE.Flux[COMP. ESCALA MOT B],tabE.Flux[CARRO],
(_xlfn.XLOOKUP(autocompAlmoco[[#This Row],[COMP ESCALA]],tabE.Flux[COMP. ESCALA MOT A],tabE.Flux[CARRO],"N/E",0,1)),0,1)</f>
        <v>19020</v>
      </c>
      <c r="S122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22" s="127">
        <v>45904</v>
      </c>
      <c r="U122" s="4">
        <f>IF(IFERROR(autocompAlmoco[[#This Row],[CORRESP. CARRO]],"")="NÃO",(IF(tabAlmoco[[#This Row],[MOTORISTA]]=0,"","PASSE?")),autocompAlmoco[[#This Row],[CORRESP. CARRO]])</f>
        <v>19020</v>
      </c>
      <c r="V122" s="128">
        <f>IF(OR(ISERR(autocompAlmoco[[#This Row],[CORRESP HORARIO]]), autocompAlmoco[[#This Row],[CORRESP HORARIO]]&lt;&gt;"NÃO"),autocompAlmoco[[#This Row],[CORRESP HORARIO]],"")</f>
        <v>0.37708333333333333</v>
      </c>
      <c r="W122" s="4" t="s">
        <v>299</v>
      </c>
      <c r="X122" s="4" t="s">
        <v>112</v>
      </c>
      <c r="Y122" s="4">
        <f>IF(tabAlmoco[[#This Row],[MOTORISTA]]="","",COUNTIF(autocompAlmoco[COMP ESCALA ATUAL],autocompAlmoco[[#This Row],[COMP ESCALA ATUAL]]))</f>
        <v>1</v>
      </c>
      <c r="Z122" s="45">
        <f>IF(tabAlmoco[[#This Row],[MOTORISTA]]&lt;&gt;0,15,"")</f>
        <v>15</v>
      </c>
      <c r="AA122" s="4" t="str">
        <f>autocompAlmoco[[#This Row],[CORRESP LINHA]]</f>
        <v>FORTALEZA (CE) X SINOP (MT)</v>
      </c>
    </row>
    <row r="123" spans="3:27" ht="15" hidden="1" customHeight="1" x14ac:dyDescent="0.25">
      <c r="C123" s="140" t="s">
        <v>226</v>
      </c>
      <c r="D123" s="56" t="str">
        <f>IF(tabAlmoco[[#This Row],[MOTORISTA]]="","",_xlfn.CONCAT(tabAlmoco[[#This Row],[DATA]],"+",tabAlmoco[[#This Row],[MOTORISTA]]))</f>
        <v>45904+JEFFERSON CARDOSO DOS SANTOS - 5837</v>
      </c>
      <c r="E123" s="56" t="str">
        <f>_xlfn.XLOOKUP(autocompAlmoco[[#This Row],[COMP ESCALA ATUAL]],tabE.Flux[COMP.AT. MOT A],tabE.Flux[LINHA],"NÃO",0,1)</f>
        <v>NÃO</v>
      </c>
      <c r="F123" s="56" t="str">
        <f>_xlfn.XLOOKUP(autocompAlmoco[[#This Row],[COMP ESCALA ATUAL]],tabE.Flux[COMP.AT. MOT B],tabE.Flux[LINHA],"NÃO",0,1)</f>
        <v>NÃO</v>
      </c>
      <c r="G123" s="61" t="str">
        <f>IF(AND(autocompAlmoco[[#This Row],[EXISTE MOT A AT]]="NÃO", autocompAlmoco[[#This Row],[EXISTE MOT B AT]]="NÃO"),"NÃO","SIM")</f>
        <v>NÃO</v>
      </c>
      <c r="H123" s="57" t="str">
        <f>IF(autocompAlmoco[[#This Row],[EXISTE ESCALA ATUAL]]="NÃO",_xlfn.CONCAT(tabAlmoco[[#This Row],[DATA]]-1,"+",tabAlmoco[[#This Row],[MOTORISTA]]),"NÃO")</f>
        <v>45903+JEFFERSON CARDOSO DOS SANTOS - 5837</v>
      </c>
      <c r="I123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23" s="58" t="str">
        <f>IF(autocompAlmoco[[#This Row],[COMP ESCALA ANTERIOR]]="NÃO","NÃO",_xlfn.XLOOKUP(autocompAlmoco[[#This Row],[COMP ESCALA ANTERIOR]],tabE.Flux[COMP.AT. MOT B],tabE.Flux[LINHA],"NÃO",0,1))</f>
        <v>NÃO</v>
      </c>
      <c r="K123" s="62" t="str">
        <f>IF(AND(autocompAlmoco[[#This Row],[EXISTE MOT A ANT]]="NÃO",autocompAlmoco[[#This Row],[EXISTE MOT B ANT]]="NÃO"),"NÃO","SIM")</f>
        <v>SIM</v>
      </c>
      <c r="L123" s="59" t="str">
        <f t="shared" si="3"/>
        <v>45905+JEFFERSON CARDOSO DOS SANTOS - 5837</v>
      </c>
      <c r="M123" s="59" t="str">
        <f>IF(autocompAlmoco[[#This Row],[COMP ESCALA POSTERIOR]]="NÃO","NÃO",_xlfn.XLOOKUP(autocompAlmoco[[#This Row],[COMP ESCALA POSTERIOR]],tabE.Flux[COMP.AT. MOT A],tabE.Flux[LINHA],"NÃO",0,1))</f>
        <v>NÃO</v>
      </c>
      <c r="N123" s="59" t="str">
        <f>IF(autocompAlmoco[[#This Row],[COMP ESCALA POSTERIOR]]="NÃO","NÃO",_xlfn.XLOOKUP(autocompAlmoco[[#This Row],[COMP ESCALA POSTERIOR]],tabE.Flux[COMP.AT. MOT B],tabE.Flux[LINHA],"NÃO",0,1))</f>
        <v>NÃO</v>
      </c>
      <c r="O123" s="65" t="str">
        <f>IF(AND(autocompAlmoco[[#This Row],[EXISTE MOT A POS]]="NÃO",autocompAlmoco[[#This Row],[EXISTE MOT B POS]]="NÃO"),"NÃO","SIM")</f>
        <v>NÃO</v>
      </c>
      <c r="P123" s="66" t="str" cm="1">
        <f t="array" ref="P12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23" s="103" t="str" cm="1">
        <f t="array" ref="Q12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45903+JEFFERSON CARDOSO DOS SANTOS - 5837+GOIANIA (GO) X TERESINA (PI) VIA STI</v>
      </c>
      <c r="R123" s="67">
        <f>_xlfn.XLOOKUP(autocompAlmoco[[#This Row],[COMP ESCALA]],tabE.Flux[COMP. ESCALA MOT B],tabE.Flux[CARRO],
(_xlfn.XLOOKUP(autocompAlmoco[[#This Row],[COMP ESCALA]],tabE.Flux[COMP. ESCALA MOT A],tabE.Flux[CARRO],"N/E",0,1)),0,1)</f>
        <v>17700</v>
      </c>
      <c r="S123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23" s="127">
        <v>45904</v>
      </c>
      <c r="U123" s="4">
        <f>IF(IFERROR(autocompAlmoco[[#This Row],[CORRESP. CARRO]],"")="NÃO",(IF(tabAlmoco[[#This Row],[MOTORISTA]]=0,"","PASSE?")),autocompAlmoco[[#This Row],[CORRESP. CARRO]])</f>
        <v>17700</v>
      </c>
      <c r="V123" s="126">
        <f>IF(OR(ISERR(autocompAlmoco[[#This Row],[CORRESP HORARIO]]), autocompAlmoco[[#This Row],[CORRESP HORARIO]]&lt;&gt;"NÃO"),autocompAlmoco[[#This Row],[CORRESP HORARIO]],"")</f>
        <v>0.79861111111111116</v>
      </c>
      <c r="W123" s="4" t="s">
        <v>299</v>
      </c>
      <c r="X123" s="1" t="s">
        <v>30</v>
      </c>
      <c r="Y123" s="1">
        <f>IF(tabAlmoco[[#This Row],[MOTORISTA]]="","",COUNTIF(autocompAlmoco[COMP ESCALA ATUAL],autocompAlmoco[[#This Row],[COMP ESCALA ATUAL]]))</f>
        <v>1</v>
      </c>
      <c r="Z123" s="105">
        <f>IF(tabAlmoco[[#This Row],[MOTORISTA]]&lt;&gt;0,15,"")</f>
        <v>15</v>
      </c>
      <c r="AA123" s="4" t="str">
        <f>autocompAlmoco[[#This Row],[CORRESP LINHA]]</f>
        <v>GOIANIA (GO) X TERESINA (PI) VIA STI</v>
      </c>
    </row>
    <row r="124" spans="3:27" ht="15" hidden="1" customHeight="1" x14ac:dyDescent="0.25">
      <c r="C124" s="140" t="s">
        <v>226</v>
      </c>
      <c r="D124" s="56" t="str">
        <f>IF(tabAlmoco[[#This Row],[MOTORISTA]]="","",_xlfn.CONCAT(tabAlmoco[[#This Row],[DATA]],"+",tabAlmoco[[#This Row],[MOTORISTA]]))</f>
        <v>45904+WASHINGTON ALVES BRITO - 1553</v>
      </c>
      <c r="E124" s="56" t="str">
        <f>_xlfn.XLOOKUP(autocompAlmoco[[#This Row],[COMP ESCALA ATUAL]],tabE.Flux[COMP.AT. MOT A],tabE.Flux[LINHA],"NÃO",0,1)</f>
        <v>NÃO</v>
      </c>
      <c r="F124" s="56" t="str">
        <f>_xlfn.XLOOKUP(autocompAlmoco[[#This Row],[COMP ESCALA ATUAL]],tabE.Flux[COMP.AT. MOT B],tabE.Flux[LINHA],"NÃO",0,1)</f>
        <v>NÃO</v>
      </c>
      <c r="G124" s="61" t="str">
        <f>IF(AND(autocompAlmoco[[#This Row],[EXISTE MOT A AT]]="NÃO", autocompAlmoco[[#This Row],[EXISTE MOT B AT]]="NÃO"),"NÃO","SIM")</f>
        <v>NÃO</v>
      </c>
      <c r="H124" s="57" t="str">
        <f>IF(autocompAlmoco[[#This Row],[EXISTE ESCALA ATUAL]]="NÃO",_xlfn.CONCAT(tabAlmoco[[#This Row],[DATA]]-1,"+",tabAlmoco[[#This Row],[MOTORISTA]]),"NÃO")</f>
        <v>45903+WASHINGTON ALVES BRITO - 1553</v>
      </c>
      <c r="I124" s="57" t="str">
        <f>IF(autocompAlmoco[[#This Row],[COMP ESCALA ANTERIOR]]="NÃO","NÃO",_xlfn.XLOOKUP(autocompAlmoco[[#This Row],[COMP ESCALA ANTERIOR]],tabE.Flux[COMP.AT. MOT A],tabE.Flux[LINHA],"NÃO",0,1))</f>
        <v>NÃO</v>
      </c>
      <c r="J124" s="58" t="str">
        <f>IF(autocompAlmoco[[#This Row],[COMP ESCALA ANTERIOR]]="NÃO","NÃO",_xlfn.XLOOKUP(autocompAlmoco[[#This Row],[COMP ESCALA ANTERIOR]],tabE.Flux[COMP.AT. MOT B],tabE.Flux[LINHA],"NÃO",0,1))</f>
        <v>FORTALEZA (CE) X SINOP (MT)</v>
      </c>
      <c r="K124" s="62" t="str">
        <f>IF(AND(autocompAlmoco[[#This Row],[EXISTE MOT A ANT]]="NÃO",autocompAlmoco[[#This Row],[EXISTE MOT B ANT]]="NÃO"),"NÃO","SIM")</f>
        <v>SIM</v>
      </c>
      <c r="L124" s="59" t="str">
        <f t="shared" si="3"/>
        <v>45905+WASHINGTON ALVES BRITO - 1553</v>
      </c>
      <c r="M124" s="59" t="str">
        <f>IF(autocompAlmoco[[#This Row],[COMP ESCALA POSTERIOR]]="NÃO","NÃO",_xlfn.XLOOKUP(autocompAlmoco[[#This Row],[COMP ESCALA POSTERIOR]],tabE.Flux[COMP.AT. MOT A],tabE.Flux[LINHA],"NÃO",0,1))</f>
        <v>NÃO</v>
      </c>
      <c r="N124" s="59" t="str">
        <f>IF(autocompAlmoco[[#This Row],[COMP ESCALA POSTERIOR]]="NÃO","NÃO",_xlfn.XLOOKUP(autocompAlmoco[[#This Row],[COMP ESCALA POSTERIOR]],tabE.Flux[COMP.AT. MOT B],tabE.Flux[LINHA],"NÃO",0,1))</f>
        <v>NÃO</v>
      </c>
      <c r="O124" s="65" t="str">
        <f>IF(AND(autocompAlmoco[[#This Row],[EXISTE MOT A POS]]="NÃO",autocompAlmoco[[#This Row],[EXISTE MOT B POS]]="NÃO"),"NÃO","SIM")</f>
        <v>NÃO</v>
      </c>
      <c r="P124" s="66" t="str" cm="1">
        <f t="array" ref="P12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24" s="103" t="str" cm="1">
        <f t="array" ref="Q12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45903+WASHINGTON ALVES BRITO - 1553+FORTALEZA (CE) X SINOP (MT)</v>
      </c>
      <c r="R124" s="67">
        <f>_xlfn.XLOOKUP(autocompAlmoco[[#This Row],[COMP ESCALA]],tabE.Flux[COMP. ESCALA MOT B],tabE.Flux[CARRO],
(_xlfn.XLOOKUP(autocompAlmoco[[#This Row],[COMP ESCALA]],tabE.Flux[COMP. ESCALA MOT A],tabE.Flux[CARRO],"N/E",0,1)),0,1)</f>
        <v>19020</v>
      </c>
      <c r="S124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24" s="127">
        <v>45904</v>
      </c>
      <c r="U124" s="131">
        <f>IF(IFERROR(autocompAlmoco[[#This Row],[CORRESP. CARRO]],"")="NÃO",(IF(tabAlmoco[[#This Row],[MOTORISTA]]=0,"","PASSE?")),autocompAlmoco[[#This Row],[CORRESP. CARRO]])</f>
        <v>19020</v>
      </c>
      <c r="V124" s="126">
        <f>IF(OR(ISERR(autocompAlmoco[[#This Row],[CORRESP HORARIO]]), autocompAlmoco[[#This Row],[CORRESP HORARIO]]&lt;&gt;"NÃO"),autocompAlmoco[[#This Row],[CORRESP HORARIO]],"")</f>
        <v>0.37708333333333333</v>
      </c>
      <c r="W124" s="4" t="s">
        <v>299</v>
      </c>
      <c r="X124" s="1" t="s">
        <v>201</v>
      </c>
      <c r="Y124" s="1">
        <f>IF(tabAlmoco[[#This Row],[MOTORISTA]]="","",COUNTIF(autocompAlmoco[COMP ESCALA ATUAL],autocompAlmoco[[#This Row],[COMP ESCALA ATUAL]]))</f>
        <v>1</v>
      </c>
      <c r="Z124" s="105">
        <f>IF(tabAlmoco[[#This Row],[MOTORISTA]]&lt;&gt;0,15,"")</f>
        <v>15</v>
      </c>
      <c r="AA124" s="131" t="str">
        <f>autocompAlmoco[[#This Row],[CORRESP LINHA]]</f>
        <v>FORTALEZA (CE) X SINOP (MT)</v>
      </c>
    </row>
    <row r="125" spans="3:27" ht="15" hidden="1" customHeight="1" x14ac:dyDescent="0.25">
      <c r="C125" s="140" t="s">
        <v>226</v>
      </c>
      <c r="D125" s="56" t="str">
        <f>IF(tabAlmoco[[#This Row],[MOTORISTA]]="","",_xlfn.CONCAT(tabAlmoco[[#This Row],[DATA]],"+",tabAlmoco[[#This Row],[MOTORISTA]]))</f>
        <v>45904+JOSE ALVES DA ROCHA - 5035</v>
      </c>
      <c r="E125" s="56" t="str">
        <f>_xlfn.XLOOKUP(autocompAlmoco[[#This Row],[COMP ESCALA ATUAL]],tabE.Flux[COMP.AT. MOT A],tabE.Flux[LINHA],"NÃO",0,1)</f>
        <v>NÃO</v>
      </c>
      <c r="F125" s="56" t="str">
        <f>_xlfn.XLOOKUP(autocompAlmoco[[#This Row],[COMP ESCALA ATUAL]],tabE.Flux[COMP.AT. MOT B],tabE.Flux[LINHA],"NÃO",0,1)</f>
        <v>GOIANIA (GO) X SAO LUIS (MA)</v>
      </c>
      <c r="G125" s="61" t="str">
        <f>IF(AND(autocompAlmoco[[#This Row],[EXISTE MOT A AT]]="NÃO", autocompAlmoco[[#This Row],[EXISTE MOT B AT]]="NÃO"),"NÃO","SIM")</f>
        <v>SIM</v>
      </c>
      <c r="H125" s="57" t="str">
        <f>IF(autocompAlmoco[[#This Row],[EXISTE ESCALA ATUAL]]="NÃO",_xlfn.CONCAT(tabAlmoco[[#This Row],[DATA]]-1,"+",tabAlmoco[[#This Row],[MOTORISTA]]),"NÃO")</f>
        <v>NÃO</v>
      </c>
      <c r="I125" s="57" t="str">
        <f>IF(autocompAlmoco[[#This Row],[COMP ESCALA ANTERIOR]]="NÃO","NÃO",_xlfn.XLOOKUP(autocompAlmoco[[#This Row],[COMP ESCALA ANTERIOR]],tabE.Flux[COMP.AT. MOT A],tabE.Flux[LINHA],"NÃO",0,1))</f>
        <v>NÃO</v>
      </c>
      <c r="J125" s="58" t="str">
        <f>IF(autocompAlmoco[[#This Row],[COMP ESCALA ANTERIOR]]="NÃO","NÃO",_xlfn.XLOOKUP(autocompAlmoco[[#This Row],[COMP ESCALA ANTERIOR]],tabE.Flux[COMP.AT. MOT B],tabE.Flux[LINHA],"NÃO",0,1))</f>
        <v>NÃO</v>
      </c>
      <c r="K125" s="62" t="str">
        <f>IF(AND(autocompAlmoco[[#This Row],[EXISTE MOT A ANT]]="NÃO",autocompAlmoco[[#This Row],[EXISTE MOT B ANT]]="NÃO"),"NÃO","SIM")</f>
        <v>NÃO</v>
      </c>
      <c r="L125" s="59" t="str">
        <f t="shared" si="3"/>
        <v>45905+JOSE ALVES DA ROCHA - 5035</v>
      </c>
      <c r="M125" s="59" t="str">
        <f>IF(autocompAlmoco[[#This Row],[COMP ESCALA POSTERIOR]]="NÃO","NÃO",_xlfn.XLOOKUP(autocompAlmoco[[#This Row],[COMP ESCALA POSTERIOR]],tabE.Flux[COMP.AT. MOT A],tabE.Flux[LINHA],"NÃO",0,1))</f>
        <v>NÃO</v>
      </c>
      <c r="N125" s="59" t="str">
        <f>IF(autocompAlmoco[[#This Row],[COMP ESCALA POSTERIOR]]="NÃO","NÃO",_xlfn.XLOOKUP(autocompAlmoco[[#This Row],[COMP ESCALA POSTERIOR]],tabE.Flux[COMP.AT. MOT B],tabE.Flux[LINHA],"NÃO",0,1))</f>
        <v>NÃO</v>
      </c>
      <c r="O125" s="65" t="str">
        <f>IF(AND(autocompAlmoco[[#This Row],[EXISTE MOT A POS]]="NÃO",autocompAlmoco[[#This Row],[EXISTE MOT B POS]]="NÃO"),"NÃO","SIM")</f>
        <v>NÃO</v>
      </c>
      <c r="P125" s="66" t="str" cm="1">
        <f t="array" ref="P12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25" s="103" t="str" cm="1">
        <f t="array" ref="Q12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45904+JOSE ALVES DA ROCHA - 5035+GOIANIA (GO) X SAO LUIS (MA)</v>
      </c>
      <c r="R125" s="67">
        <f>_xlfn.XLOOKUP(autocompAlmoco[[#This Row],[COMP ESCALA]],tabE.Flux[COMP. ESCALA MOT B],tabE.Flux[CARRO],
(_xlfn.XLOOKUP(autocompAlmoco[[#This Row],[COMP ESCALA]],tabE.Flux[COMP. ESCALA MOT A],tabE.Flux[CARRO],"N/E",0,1)),0,1)</f>
        <v>24006</v>
      </c>
      <c r="S125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25" s="127">
        <v>45904</v>
      </c>
      <c r="U125" s="131">
        <f>IF(IFERROR(autocompAlmoco[[#This Row],[CORRESP. CARRO]],"")="NÃO",(IF(tabAlmoco[[#This Row],[MOTORISTA]]=0,"","PASSE?")),autocompAlmoco[[#This Row],[CORRESP. CARRO]])</f>
        <v>24006</v>
      </c>
      <c r="V125" s="126">
        <f>IF(OR(ISERR(autocompAlmoco[[#This Row],[CORRESP HORARIO]]), autocompAlmoco[[#This Row],[CORRESP HORARIO]]&lt;&gt;"NÃO"),autocompAlmoco[[#This Row],[CORRESP HORARIO]],"")</f>
        <v>0.79166666666666663</v>
      </c>
      <c r="W125" s="4" t="s">
        <v>299</v>
      </c>
      <c r="X125" s="1" t="s">
        <v>91</v>
      </c>
      <c r="Y125" s="1">
        <f>IF(tabAlmoco[[#This Row],[MOTORISTA]]="","",COUNTIF(autocompAlmoco[COMP ESCALA ATUAL],autocompAlmoco[[#This Row],[COMP ESCALA ATUAL]]))</f>
        <v>1</v>
      </c>
      <c r="Z125" s="105">
        <f>IF(tabAlmoco[[#This Row],[MOTORISTA]]&lt;&gt;0,15,"")</f>
        <v>15</v>
      </c>
      <c r="AA125" s="131" t="str">
        <f>autocompAlmoco[[#This Row],[CORRESP LINHA]]</f>
        <v>GOIANIA (GO) X SAO LUIS (MA)</v>
      </c>
    </row>
    <row r="126" spans="3:27" ht="15" hidden="1" customHeight="1" x14ac:dyDescent="0.25">
      <c r="C126" s="140" t="s">
        <v>226</v>
      </c>
      <c r="D126" s="56" t="str">
        <f>IF(tabAlmoco[[#This Row],[MOTORISTA]]="","",_xlfn.CONCAT(tabAlmoco[[#This Row],[DATA]],"+",tabAlmoco[[#This Row],[MOTORISTA]]))</f>
        <v>45904+RAIMUNDO COSTA SILVA - 6226</v>
      </c>
      <c r="E126" s="56" t="str">
        <f>_xlfn.XLOOKUP(autocompAlmoco[[#This Row],[COMP ESCALA ATUAL]],tabE.Flux[COMP.AT. MOT A],tabE.Flux[LINHA],"NÃO",0,1)</f>
        <v>NÃO</v>
      </c>
      <c r="F126" s="56" t="str">
        <f>_xlfn.XLOOKUP(autocompAlmoco[[#This Row],[COMP ESCALA ATUAL]],tabE.Flux[COMP.AT. MOT B],tabE.Flux[LINHA],"NÃO",0,1)</f>
        <v>GOIANIA (GO) X SAO LUIS (MA)</v>
      </c>
      <c r="G126" s="61" t="str">
        <f>IF(AND(autocompAlmoco[[#This Row],[EXISTE MOT A AT]]="NÃO", autocompAlmoco[[#This Row],[EXISTE MOT B AT]]="NÃO"),"NÃO","SIM")</f>
        <v>SIM</v>
      </c>
      <c r="H126" s="57" t="str">
        <f>IF(autocompAlmoco[[#This Row],[EXISTE ESCALA ATUAL]]="NÃO",_xlfn.CONCAT(tabAlmoco[[#This Row],[DATA]]-1,"+",tabAlmoco[[#This Row],[MOTORISTA]]),"NÃO")</f>
        <v>NÃO</v>
      </c>
      <c r="I126" s="57" t="str">
        <f>IF(autocompAlmoco[[#This Row],[COMP ESCALA ANTERIOR]]="NÃO","NÃO",_xlfn.XLOOKUP(autocompAlmoco[[#This Row],[COMP ESCALA ANTERIOR]],tabE.Flux[COMP.AT. MOT A],tabE.Flux[LINHA],"NÃO",0,1))</f>
        <v>NÃO</v>
      </c>
      <c r="J126" s="58" t="str">
        <f>IF(autocompAlmoco[[#This Row],[COMP ESCALA ANTERIOR]]="NÃO","NÃO",_xlfn.XLOOKUP(autocompAlmoco[[#This Row],[COMP ESCALA ANTERIOR]],tabE.Flux[COMP.AT. MOT B],tabE.Flux[LINHA],"NÃO",0,1))</f>
        <v>NÃO</v>
      </c>
      <c r="K126" s="62" t="str">
        <f>IF(AND(autocompAlmoco[[#This Row],[EXISTE MOT A ANT]]="NÃO",autocompAlmoco[[#This Row],[EXISTE MOT B ANT]]="NÃO"),"NÃO","SIM")</f>
        <v>NÃO</v>
      </c>
      <c r="L126" s="59" t="str">
        <f t="shared" si="3"/>
        <v>45905+RAIMUNDO COSTA SILVA - 6226</v>
      </c>
      <c r="M126" s="59" t="str">
        <f>IF(autocompAlmoco[[#This Row],[COMP ESCALA POSTERIOR]]="NÃO","NÃO",_xlfn.XLOOKUP(autocompAlmoco[[#This Row],[COMP ESCALA POSTERIOR]],tabE.Flux[COMP.AT. MOT A],tabE.Flux[LINHA],"NÃO",0,1))</f>
        <v>NÃO</v>
      </c>
      <c r="N126" s="59" t="str">
        <f>IF(autocompAlmoco[[#This Row],[COMP ESCALA POSTERIOR]]="NÃO","NÃO",_xlfn.XLOOKUP(autocompAlmoco[[#This Row],[COMP ESCALA POSTERIOR]],tabE.Flux[COMP.AT. MOT B],tabE.Flux[LINHA],"NÃO",0,1))</f>
        <v>NÃO</v>
      </c>
      <c r="O126" s="65" t="str">
        <f>IF(AND(autocompAlmoco[[#This Row],[EXISTE MOT A POS]]="NÃO",autocompAlmoco[[#This Row],[EXISTE MOT B POS]]="NÃO"),"NÃO","SIM")</f>
        <v>NÃO</v>
      </c>
      <c r="P126" s="66" t="str" cm="1">
        <f t="array" ref="P12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26" s="103" t="str" cm="1">
        <f t="array" ref="Q12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45904+RAIMUNDO COSTA SILVA - 6226+GOIANIA (GO) X SAO LUIS (MA)</v>
      </c>
      <c r="R126" s="67">
        <f>_xlfn.XLOOKUP(autocompAlmoco[[#This Row],[COMP ESCALA]],tabE.Flux[COMP. ESCALA MOT B],tabE.Flux[CARRO],
(_xlfn.XLOOKUP(autocompAlmoco[[#This Row],[COMP ESCALA]],tabE.Flux[COMP. ESCALA MOT A],tabE.Flux[CARRO],"N/E",0,1)),0,1)</f>
        <v>15600</v>
      </c>
      <c r="S126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26" s="127">
        <v>45904</v>
      </c>
      <c r="U126" s="131">
        <f>IF(IFERROR(autocompAlmoco[[#This Row],[CORRESP. CARRO]],"")="NÃO",(IF(tabAlmoco[[#This Row],[MOTORISTA]]=0,"","PASSE?")),autocompAlmoco[[#This Row],[CORRESP. CARRO]])</f>
        <v>15600</v>
      </c>
      <c r="V126" s="126">
        <f>IF(OR(ISERR(autocompAlmoco[[#This Row],[CORRESP HORARIO]]), autocompAlmoco[[#This Row],[CORRESP HORARIO]]&lt;&gt;"NÃO"),autocompAlmoco[[#This Row],[CORRESP HORARIO]],"")</f>
        <v>0.47013888888888888</v>
      </c>
      <c r="W126" s="4" t="s">
        <v>299</v>
      </c>
      <c r="X126" s="1" t="s">
        <v>45</v>
      </c>
      <c r="Y126" s="1">
        <f>IF(tabAlmoco[[#This Row],[MOTORISTA]]="","",COUNTIF(autocompAlmoco[COMP ESCALA ATUAL],autocompAlmoco[[#This Row],[COMP ESCALA ATUAL]]))</f>
        <v>1</v>
      </c>
      <c r="Z126" s="105">
        <f>IF(tabAlmoco[[#This Row],[MOTORISTA]]&lt;&gt;0,15,"")</f>
        <v>15</v>
      </c>
      <c r="AA126" s="131" t="str">
        <f>autocompAlmoco[[#This Row],[CORRESP LINHA]]</f>
        <v>GOIANIA (GO) X SAO LUIS (MA)</v>
      </c>
    </row>
    <row r="127" spans="3:27" ht="15" hidden="1" customHeight="1" x14ac:dyDescent="0.25">
      <c r="C127" s="140" t="s">
        <v>226</v>
      </c>
      <c r="D127" s="56" t="str">
        <f>IF(tabAlmoco[[#This Row],[MOTORISTA]]="","",_xlfn.CONCAT(tabAlmoco[[#This Row],[DATA]],"+",tabAlmoco[[#This Row],[MOTORISTA]]))</f>
        <v>45904+KAYLSON KLEYTON DA SILVA COSTA - 6224</v>
      </c>
      <c r="E127" s="56" t="str">
        <f>_xlfn.XLOOKUP(autocompAlmoco[[#This Row],[COMP ESCALA ATUAL]],tabE.Flux[COMP.AT. MOT A],tabE.Flux[LINHA],"NÃO",0,1)</f>
        <v>GOIANIA (GO) X SAO LUIS (MA)</v>
      </c>
      <c r="F127" s="56" t="str">
        <f>_xlfn.XLOOKUP(autocompAlmoco[[#This Row],[COMP ESCALA ATUAL]],tabE.Flux[COMP.AT. MOT B],tabE.Flux[LINHA],"NÃO",0,1)</f>
        <v>GOIANIA (GO) X SAO LUIS (MA)</v>
      </c>
      <c r="G127" s="61" t="str">
        <f>IF(AND(autocompAlmoco[[#This Row],[EXISTE MOT A AT]]="NÃO", autocompAlmoco[[#This Row],[EXISTE MOT B AT]]="NÃO"),"NÃO","SIM")</f>
        <v>SIM</v>
      </c>
      <c r="H127" s="57" t="str">
        <f>IF(autocompAlmoco[[#This Row],[EXISTE ESCALA ATUAL]]="NÃO",_xlfn.CONCAT(tabAlmoco[[#This Row],[DATA]]-1,"+",tabAlmoco[[#This Row],[MOTORISTA]]),"NÃO")</f>
        <v>NÃO</v>
      </c>
      <c r="I127" s="57" t="str">
        <f>IF(autocompAlmoco[[#This Row],[COMP ESCALA ANTERIOR]]="NÃO","NÃO",_xlfn.XLOOKUP(autocompAlmoco[[#This Row],[COMP ESCALA ANTERIOR]],tabE.Flux[COMP.AT. MOT A],tabE.Flux[LINHA],"NÃO",0,1))</f>
        <v>NÃO</v>
      </c>
      <c r="J127" s="58" t="str">
        <f>IF(autocompAlmoco[[#This Row],[COMP ESCALA ANTERIOR]]="NÃO","NÃO",_xlfn.XLOOKUP(autocompAlmoco[[#This Row],[COMP ESCALA ANTERIOR]],tabE.Flux[COMP.AT. MOT B],tabE.Flux[LINHA],"NÃO",0,1))</f>
        <v>NÃO</v>
      </c>
      <c r="K127" s="62" t="str">
        <f>IF(AND(autocompAlmoco[[#This Row],[EXISTE MOT A ANT]]="NÃO",autocompAlmoco[[#This Row],[EXISTE MOT B ANT]]="NÃO"),"NÃO","SIM")</f>
        <v>NÃO</v>
      </c>
      <c r="L127" s="59" t="str">
        <f t="shared" si="3"/>
        <v>45905+KAYLSON KLEYTON DA SILVA COSTA - 6224</v>
      </c>
      <c r="M127" s="59" t="str">
        <f>IF(autocompAlmoco[[#This Row],[COMP ESCALA POSTERIOR]]="NÃO","NÃO",_xlfn.XLOOKUP(autocompAlmoco[[#This Row],[COMP ESCALA POSTERIOR]],tabE.Flux[COMP.AT. MOT A],tabE.Flux[LINHA],"NÃO",0,1))</f>
        <v>NÃO</v>
      </c>
      <c r="N127" s="59" t="str">
        <f>IF(autocompAlmoco[[#This Row],[COMP ESCALA POSTERIOR]]="NÃO","NÃO",_xlfn.XLOOKUP(autocompAlmoco[[#This Row],[COMP ESCALA POSTERIOR]],tabE.Flux[COMP.AT. MOT B],tabE.Flux[LINHA],"NÃO",0,1))</f>
        <v>NÃO</v>
      </c>
      <c r="O127" s="65" t="str">
        <f>IF(AND(autocompAlmoco[[#This Row],[EXISTE MOT A POS]]="NÃO",autocompAlmoco[[#This Row],[EXISTE MOT B POS]]="NÃO"),"NÃO","SIM")</f>
        <v>NÃO</v>
      </c>
      <c r="P127" s="66" t="str" cm="1">
        <f t="array" ref="P12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27" s="103" t="str" cm="1">
        <f t="array" ref="Q12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45904+KAYLSON KLEYTON DA SILVA COSTA - 6224+GOIANIA (GO) X SAO LUIS (MA)</v>
      </c>
      <c r="R127" s="67">
        <f>_xlfn.XLOOKUP(autocompAlmoco[[#This Row],[COMP ESCALA]],tabE.Flux[COMP. ESCALA MOT B],tabE.Flux[CARRO],
(_xlfn.XLOOKUP(autocompAlmoco[[#This Row],[COMP ESCALA]],tabE.Flux[COMP. ESCALA MOT A],tabE.Flux[CARRO],"N/E",0,1)),0,1)</f>
        <v>24003</v>
      </c>
      <c r="S127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27" s="127">
        <v>45904</v>
      </c>
      <c r="U127" s="131">
        <f>IF(IFERROR(autocompAlmoco[[#This Row],[CORRESP. CARRO]],"")="NÃO",(IF(tabAlmoco[[#This Row],[MOTORISTA]]=0,"","PASSE?")),autocompAlmoco[[#This Row],[CORRESP. CARRO]])</f>
        <v>24003</v>
      </c>
      <c r="V127" s="126">
        <f>IF(OR(ISERR(autocompAlmoco[[#This Row],[CORRESP HORARIO]]), autocompAlmoco[[#This Row],[CORRESP HORARIO]]&lt;&gt;"NÃO"),autocompAlmoco[[#This Row],[CORRESP HORARIO]],"")</f>
        <v>0.29166666666666669</v>
      </c>
      <c r="W127" s="4" t="s">
        <v>299</v>
      </c>
      <c r="X127" s="1" t="s">
        <v>80</v>
      </c>
      <c r="Y127" s="1">
        <f>IF(tabAlmoco[[#This Row],[MOTORISTA]]="","",COUNTIF(autocompAlmoco[COMP ESCALA ATUAL],autocompAlmoco[[#This Row],[COMP ESCALA ATUAL]]))</f>
        <v>1</v>
      </c>
      <c r="Z127" s="105">
        <f>IF(tabAlmoco[[#This Row],[MOTORISTA]]&lt;&gt;0,15,"")</f>
        <v>15</v>
      </c>
      <c r="AA127" s="131" t="str">
        <f>autocompAlmoco[[#This Row],[CORRESP LINHA]]</f>
        <v>GOIANIA (GO) X SAO LUIS (MA)</v>
      </c>
    </row>
    <row r="128" spans="3:27" ht="15" hidden="1" customHeight="1" x14ac:dyDescent="0.25">
      <c r="C128" s="140" t="s">
        <v>226</v>
      </c>
      <c r="D128" s="56" t="str">
        <f>IF(tabAlmoco[[#This Row],[MOTORISTA]]="","",_xlfn.CONCAT(tabAlmoco[[#This Row],[DATA]],"+",tabAlmoco[[#This Row],[MOTORISTA]]))</f>
        <v>45905+ANTONIO FRANCINALDO DE OLIVEIRA MARQUES - 5018</v>
      </c>
      <c r="E128" s="56" t="str">
        <f>_xlfn.XLOOKUP(autocompAlmoco[[#This Row],[COMP ESCALA ATUAL]],tabE.Flux[COMP.AT. MOT A],tabE.Flux[LINHA],"NÃO",0,1)</f>
        <v>NÃO</v>
      </c>
      <c r="F128" s="56" t="str">
        <f>_xlfn.XLOOKUP(autocompAlmoco[[#This Row],[COMP ESCALA ATUAL]],tabE.Flux[COMP.AT. MOT B],tabE.Flux[LINHA],"NÃO",0,1)</f>
        <v>GOIANIA (GO) X SAO LUIS (MA)</v>
      </c>
      <c r="G128" s="61" t="str">
        <f>IF(AND(autocompAlmoco[[#This Row],[EXISTE MOT A AT]]="NÃO", autocompAlmoco[[#This Row],[EXISTE MOT B AT]]="NÃO"),"NÃO","SIM")</f>
        <v>SIM</v>
      </c>
      <c r="H128" s="57" t="str">
        <f>IF(autocompAlmoco[[#This Row],[EXISTE ESCALA ATUAL]]="NÃO",_xlfn.CONCAT(tabAlmoco[[#This Row],[DATA]]-1,"+",tabAlmoco[[#This Row],[MOTORISTA]]),"NÃO")</f>
        <v>NÃO</v>
      </c>
      <c r="I128" s="57" t="str">
        <f>IF(autocompAlmoco[[#This Row],[COMP ESCALA ANTERIOR]]="NÃO","NÃO",_xlfn.XLOOKUP(autocompAlmoco[[#This Row],[COMP ESCALA ANTERIOR]],tabE.Flux[COMP.AT. MOT A],tabE.Flux[LINHA],"NÃO",0,1))</f>
        <v>NÃO</v>
      </c>
      <c r="J128" s="58" t="str">
        <f>IF(autocompAlmoco[[#This Row],[COMP ESCALA ANTERIOR]]="NÃO","NÃO",_xlfn.XLOOKUP(autocompAlmoco[[#This Row],[COMP ESCALA ANTERIOR]],tabE.Flux[COMP.AT. MOT B],tabE.Flux[LINHA],"NÃO",0,1))</f>
        <v>NÃO</v>
      </c>
      <c r="K128" s="62" t="str">
        <f>IF(AND(autocompAlmoco[[#This Row],[EXISTE MOT A ANT]]="NÃO",autocompAlmoco[[#This Row],[EXISTE MOT B ANT]]="NÃO"),"NÃO","SIM")</f>
        <v>NÃO</v>
      </c>
      <c r="L128" s="59" t="str">
        <f t="shared" si="3"/>
        <v>45906+ANTONIO FRANCINALDO DE OLIVEIRA MARQUES - 5018</v>
      </c>
      <c r="M128" s="59" t="str">
        <f>IF(autocompAlmoco[[#This Row],[COMP ESCALA POSTERIOR]]="NÃO","NÃO",_xlfn.XLOOKUP(autocompAlmoco[[#This Row],[COMP ESCALA POSTERIOR]],tabE.Flux[COMP.AT. MOT A],tabE.Flux[LINHA],"NÃO",0,1))</f>
        <v>NÃO</v>
      </c>
      <c r="N128" s="59" t="str">
        <f>IF(autocompAlmoco[[#This Row],[COMP ESCALA POSTERIOR]]="NÃO","NÃO",_xlfn.XLOOKUP(autocompAlmoco[[#This Row],[COMP ESCALA POSTERIOR]],tabE.Flux[COMP.AT. MOT B],tabE.Flux[LINHA],"NÃO",0,1))</f>
        <v>NÃO</v>
      </c>
      <c r="O128" s="65" t="str">
        <f>IF(AND(autocompAlmoco[[#This Row],[EXISTE MOT A POS]]="NÃO",autocompAlmoco[[#This Row],[EXISTE MOT B POS]]="NÃO"),"NÃO","SIM")</f>
        <v>NÃO</v>
      </c>
      <c r="P128" s="66" t="str" cm="1">
        <f t="array" ref="P12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28" s="103" t="str" cm="1">
        <f t="array" ref="Q12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45905+ANTONIO FRANCINALDO DE OLIVEIRA MARQUES - 5018+GOIANIA (GO) X SAO LUIS (MA)</v>
      </c>
      <c r="R128" s="67">
        <f>_xlfn.XLOOKUP(autocompAlmoco[[#This Row],[COMP ESCALA]],tabE.Flux[COMP. ESCALA MOT B],tabE.Flux[CARRO],
(_xlfn.XLOOKUP(autocompAlmoco[[#This Row],[COMP ESCALA]],tabE.Flux[COMP. ESCALA MOT A],tabE.Flux[CARRO],"N/E",0,1)),0,1)</f>
        <v>19015</v>
      </c>
      <c r="S128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28" s="127">
        <v>45905</v>
      </c>
      <c r="U128" s="4">
        <f>IF(IFERROR(autocompAlmoco[[#This Row],[CORRESP. CARRO]],"")="NÃO",(IF(tabAlmoco[[#This Row],[MOTORISTA]]=0,"","PASSE?")),autocompAlmoco[[#This Row],[CORRESP. CARRO]])</f>
        <v>19015</v>
      </c>
      <c r="V128" s="128">
        <f>IF(OR(ISERR(autocompAlmoco[[#This Row],[CORRESP HORARIO]]), autocompAlmoco[[#This Row],[CORRESP HORARIO]]&lt;&gt;"NÃO"),autocompAlmoco[[#This Row],[CORRESP HORARIO]],"")</f>
        <v>0.29166666666666669</v>
      </c>
      <c r="W128" s="4" t="s">
        <v>299</v>
      </c>
      <c r="X128" s="4" t="s">
        <v>233</v>
      </c>
      <c r="Y128" s="4">
        <f>IF(tabAlmoco[[#This Row],[MOTORISTA]]="","",COUNTIF(autocompAlmoco[COMP ESCALA ATUAL],autocompAlmoco[[#This Row],[COMP ESCALA ATUAL]]))</f>
        <v>1</v>
      </c>
      <c r="Z128" s="45">
        <f>IF(tabAlmoco[[#This Row],[MOTORISTA]]&lt;&gt;0,15,"")</f>
        <v>15</v>
      </c>
      <c r="AA128" s="4" t="str">
        <f>autocompAlmoco[[#This Row],[CORRESP LINHA]]</f>
        <v>GOIANIA (GO) X SAO LUIS (MA)</v>
      </c>
    </row>
    <row r="129" spans="3:27" ht="15" hidden="1" customHeight="1" x14ac:dyDescent="0.25">
      <c r="C129" s="140" t="s">
        <v>226</v>
      </c>
      <c r="D129" s="56" t="str">
        <f>IF(tabAlmoco[[#This Row],[MOTORISTA]]="","",_xlfn.CONCAT(tabAlmoco[[#This Row],[DATA]],"+",tabAlmoco[[#This Row],[MOTORISTA]]))</f>
        <v>45905+ANTONIO MARQUES NETO DOS SANTOS - 1738</v>
      </c>
      <c r="E129" s="56" t="str">
        <f>_xlfn.XLOOKUP(autocompAlmoco[[#This Row],[COMP ESCALA ATUAL]],tabE.Flux[COMP.AT. MOT A],tabE.Flux[LINHA],"NÃO",0,1)</f>
        <v>NÃO</v>
      </c>
      <c r="F129" s="56" t="str">
        <f>_xlfn.XLOOKUP(autocompAlmoco[[#This Row],[COMP ESCALA ATUAL]],tabE.Flux[COMP.AT. MOT B],tabE.Flux[LINHA],"NÃO",0,1)</f>
        <v>NÃO</v>
      </c>
      <c r="G129" s="61" t="str">
        <f>IF(AND(autocompAlmoco[[#This Row],[EXISTE MOT A AT]]="NÃO", autocompAlmoco[[#This Row],[EXISTE MOT B AT]]="NÃO"),"NÃO","SIM")</f>
        <v>NÃO</v>
      </c>
      <c r="H129" s="57" t="str">
        <f>IF(autocompAlmoco[[#This Row],[EXISTE ESCALA ATUAL]]="NÃO",_xlfn.CONCAT(tabAlmoco[[#This Row],[DATA]]-1,"+",tabAlmoco[[#This Row],[MOTORISTA]]),"NÃO")</f>
        <v>45904+ANTONIO MARQUES NETO DOS SANTOS - 1738</v>
      </c>
      <c r="I129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29" s="58" t="str">
        <f>IF(autocompAlmoco[[#This Row],[COMP ESCALA ANTERIOR]]="NÃO","NÃO",_xlfn.XLOOKUP(autocompAlmoco[[#This Row],[COMP ESCALA ANTERIOR]],tabE.Flux[COMP.AT. MOT B],tabE.Flux[LINHA],"NÃO",0,1))</f>
        <v>NÃO</v>
      </c>
      <c r="K129" s="62" t="str">
        <f>IF(AND(autocompAlmoco[[#This Row],[EXISTE MOT A ANT]]="NÃO",autocompAlmoco[[#This Row],[EXISTE MOT B ANT]]="NÃO"),"NÃO","SIM")</f>
        <v>SIM</v>
      </c>
      <c r="L129" s="59" t="str">
        <f t="shared" si="3"/>
        <v>45906+ANTONIO MARQUES NETO DOS SANTOS - 1738</v>
      </c>
      <c r="M129" s="59" t="str">
        <f>IF(autocompAlmoco[[#This Row],[COMP ESCALA POSTERIOR]]="NÃO","NÃO",_xlfn.XLOOKUP(autocompAlmoco[[#This Row],[COMP ESCALA POSTERIOR]],tabE.Flux[COMP.AT. MOT A],tabE.Flux[LINHA],"NÃO",0,1))</f>
        <v>NÃO</v>
      </c>
      <c r="N129" s="59" t="str">
        <f>IF(autocompAlmoco[[#This Row],[COMP ESCALA POSTERIOR]]="NÃO","NÃO",_xlfn.XLOOKUP(autocompAlmoco[[#This Row],[COMP ESCALA POSTERIOR]],tabE.Flux[COMP.AT. MOT B],tabE.Flux[LINHA],"NÃO",0,1))</f>
        <v>NÃO</v>
      </c>
      <c r="O129" s="65" t="str">
        <f>IF(AND(autocompAlmoco[[#This Row],[EXISTE MOT A POS]]="NÃO",autocompAlmoco[[#This Row],[EXISTE MOT B POS]]="NÃO"),"NÃO","SIM")</f>
        <v>NÃO</v>
      </c>
      <c r="P129" s="66" t="str" cm="1">
        <f t="array" ref="P12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29" s="103" t="str" cm="1">
        <f t="array" ref="Q12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45904+ANTONIO MARQUES NETO DOS SANTOS - 1738+FORTALEZA (CE) X SINOP (MT)</v>
      </c>
      <c r="R129" s="67">
        <f>_xlfn.XLOOKUP(autocompAlmoco[[#This Row],[COMP ESCALA]],tabE.Flux[COMP. ESCALA MOT B],tabE.Flux[CARRO],
(_xlfn.XLOOKUP(autocompAlmoco[[#This Row],[COMP ESCALA]],tabE.Flux[COMP. ESCALA MOT A],tabE.Flux[CARRO],"N/E",0,1)),0,1)</f>
        <v>19002</v>
      </c>
      <c r="S129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29" s="127">
        <v>45905</v>
      </c>
      <c r="U129" s="4">
        <f>IF(IFERROR(autocompAlmoco[[#This Row],[CORRESP. CARRO]],"")="NÃO",(IF(tabAlmoco[[#This Row],[MOTORISTA]]=0,"","PASSE?")),autocompAlmoco[[#This Row],[CORRESP. CARRO]])</f>
        <v>19002</v>
      </c>
      <c r="V129" s="126">
        <f>IF(OR(ISERR(autocompAlmoco[[#This Row],[CORRESP HORARIO]]), autocompAlmoco[[#This Row],[CORRESP HORARIO]]&lt;&gt;"NÃO"),autocompAlmoco[[#This Row],[CORRESP HORARIO]],"")</f>
        <v>0.37708333333333333</v>
      </c>
      <c r="W129" s="4" t="s">
        <v>299</v>
      </c>
      <c r="X129" s="1" t="s">
        <v>73</v>
      </c>
      <c r="Y129" s="1">
        <f>IF(tabAlmoco[[#This Row],[MOTORISTA]]="","",COUNTIF(autocompAlmoco[COMP ESCALA ATUAL],autocompAlmoco[[#This Row],[COMP ESCALA ATUAL]]))</f>
        <v>1</v>
      </c>
      <c r="Z129" s="105">
        <f>IF(tabAlmoco[[#This Row],[MOTORISTA]]&lt;&gt;0,15,"")</f>
        <v>15</v>
      </c>
      <c r="AA129" s="4" t="str">
        <f>autocompAlmoco[[#This Row],[CORRESP LINHA]]</f>
        <v>FORTALEZA (CE) X SINOP (MT)</v>
      </c>
    </row>
    <row r="130" spans="3:27" ht="15" hidden="1" customHeight="1" x14ac:dyDescent="0.25">
      <c r="C130" s="140" t="s">
        <v>226</v>
      </c>
      <c r="D130" s="56" t="str">
        <f>IF(tabAlmoco[[#This Row],[MOTORISTA]]="","",_xlfn.CONCAT(tabAlmoco[[#This Row],[DATA]],"+",tabAlmoco[[#This Row],[MOTORISTA]]))</f>
        <v>45905+EDIVALDO DE ARAUJO - 6217</v>
      </c>
      <c r="E130" s="56" t="str">
        <f>_xlfn.XLOOKUP(autocompAlmoco[[#This Row],[COMP ESCALA ATUAL]],tabE.Flux[COMP.AT. MOT A],tabE.Flux[LINHA],"NÃO",0,1)</f>
        <v>NÃO</v>
      </c>
      <c r="F130" s="56" t="str">
        <f>_xlfn.XLOOKUP(autocompAlmoco[[#This Row],[COMP ESCALA ATUAL]],tabE.Flux[COMP.AT. MOT B],tabE.Flux[LINHA],"NÃO",0,1)</f>
        <v>IMPERATRIZ (MA) X SÃO LUIS (MA)</v>
      </c>
      <c r="G130" s="61" t="str">
        <f>IF(AND(autocompAlmoco[[#This Row],[EXISTE MOT A AT]]="NÃO", autocompAlmoco[[#This Row],[EXISTE MOT B AT]]="NÃO"),"NÃO","SIM")</f>
        <v>SIM</v>
      </c>
      <c r="H130" s="57" t="str">
        <f>IF(autocompAlmoco[[#This Row],[EXISTE ESCALA ATUAL]]="NÃO",_xlfn.CONCAT(tabAlmoco[[#This Row],[DATA]]-1,"+",tabAlmoco[[#This Row],[MOTORISTA]]),"NÃO")</f>
        <v>NÃO</v>
      </c>
      <c r="I130" s="57" t="str">
        <f>IF(autocompAlmoco[[#This Row],[COMP ESCALA ANTERIOR]]="NÃO","NÃO",_xlfn.XLOOKUP(autocompAlmoco[[#This Row],[COMP ESCALA ANTERIOR]],tabE.Flux[COMP.AT. MOT A],tabE.Flux[LINHA],"NÃO",0,1))</f>
        <v>NÃO</v>
      </c>
      <c r="J130" s="58" t="str">
        <f>IF(autocompAlmoco[[#This Row],[COMP ESCALA ANTERIOR]]="NÃO","NÃO",_xlfn.XLOOKUP(autocompAlmoco[[#This Row],[COMP ESCALA ANTERIOR]],tabE.Flux[COMP.AT. MOT B],tabE.Flux[LINHA],"NÃO",0,1))</f>
        <v>NÃO</v>
      </c>
      <c r="K130" s="62" t="str">
        <f>IF(AND(autocompAlmoco[[#This Row],[EXISTE MOT A ANT]]="NÃO",autocompAlmoco[[#This Row],[EXISTE MOT B ANT]]="NÃO"),"NÃO","SIM")</f>
        <v>NÃO</v>
      </c>
      <c r="L130" s="59" t="str">
        <f t="shared" si="3"/>
        <v>45906+EDIVALDO DE ARAUJO - 6217</v>
      </c>
      <c r="M130" s="59" t="str">
        <f>IF(autocompAlmoco[[#This Row],[COMP ESCALA POSTERIOR]]="NÃO","NÃO",_xlfn.XLOOKUP(autocompAlmoco[[#This Row],[COMP ESCALA POSTERIOR]],tabE.Flux[COMP.AT. MOT A],tabE.Flux[LINHA],"NÃO",0,1))</f>
        <v>NÃO</v>
      </c>
      <c r="N130" s="59" t="str">
        <f>IF(autocompAlmoco[[#This Row],[COMP ESCALA POSTERIOR]]="NÃO","NÃO",_xlfn.XLOOKUP(autocompAlmoco[[#This Row],[COMP ESCALA POSTERIOR]],tabE.Flux[COMP.AT. MOT B],tabE.Flux[LINHA],"NÃO",0,1))</f>
        <v>NÃO</v>
      </c>
      <c r="O130" s="65" t="str">
        <f>IF(AND(autocompAlmoco[[#This Row],[EXISTE MOT A POS]]="NÃO",autocompAlmoco[[#This Row],[EXISTE MOT B POS]]="NÃO"),"NÃO","SIM")</f>
        <v>NÃO</v>
      </c>
      <c r="P130" s="66" t="str" cm="1">
        <f t="array" ref="P13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IMPERATRIZ (MA) X SÃO LUIS (MA)</v>
      </c>
      <c r="Q130" s="103" t="str" cm="1">
        <f t="array" ref="Q13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45905+EDIVALDO DE ARAUJO - 6217+IMPERATRIZ (MA) X SÃO LUIS (MA)</v>
      </c>
      <c r="R130" s="67">
        <f>_xlfn.XLOOKUP(autocompAlmoco[[#This Row],[COMP ESCALA]],tabE.Flux[COMP. ESCALA MOT B],tabE.Flux[CARRO],
(_xlfn.XLOOKUP(autocompAlmoco[[#This Row],[COMP ESCALA]],tabE.Flux[COMP. ESCALA MOT A],tabE.Flux[CARRO],"N/E",0,1)),0,1)</f>
        <v>18008</v>
      </c>
      <c r="S130" s="130">
        <f>_xlfn.XLOOKUP(autocompAlmoco[[#This Row],[COMP ESCALA]],tabE.Flux[COMP. ESCALA MOT A],tabE.Flux[HORARIO],(_xlfn.XLOOKUP(autocompAlmoco[[#This Row],[COMP ESCALA]],tabE.Flux[COMP. ESCALA MOT B],tabE.Flux[HORARIO],"N/E",0,1)),0,1)</f>
        <v>0.8125</v>
      </c>
      <c r="T130" s="127">
        <v>45905</v>
      </c>
      <c r="U130" s="131">
        <f>IF(IFERROR(autocompAlmoco[[#This Row],[CORRESP. CARRO]],"")="NÃO",(IF(tabAlmoco[[#This Row],[MOTORISTA]]=0,"","PASSE?")),autocompAlmoco[[#This Row],[CORRESP. CARRO]])</f>
        <v>18008</v>
      </c>
      <c r="V130" s="126">
        <f>IF(OR(ISERR(autocompAlmoco[[#This Row],[CORRESP HORARIO]]), autocompAlmoco[[#This Row],[CORRESP HORARIO]]&lt;&gt;"NÃO"),autocompAlmoco[[#This Row],[CORRESP HORARIO]],"")</f>
        <v>0.8125</v>
      </c>
      <c r="W130" s="4" t="s">
        <v>299</v>
      </c>
      <c r="X130" s="1" t="s">
        <v>55</v>
      </c>
      <c r="Y130" s="1">
        <f>IF(tabAlmoco[[#This Row],[MOTORISTA]]="","",COUNTIF(autocompAlmoco[COMP ESCALA ATUAL],autocompAlmoco[[#This Row],[COMP ESCALA ATUAL]]))</f>
        <v>1</v>
      </c>
      <c r="Z130" s="105">
        <f>IF(tabAlmoco[[#This Row],[MOTORISTA]]&lt;&gt;0,15,"")</f>
        <v>15</v>
      </c>
      <c r="AA130" s="131" t="str">
        <f>autocompAlmoco[[#This Row],[CORRESP LINHA]]</f>
        <v>IMPERATRIZ (MA) X SÃO LUIS (MA)</v>
      </c>
    </row>
    <row r="131" spans="3:27" ht="15" hidden="1" customHeight="1" x14ac:dyDescent="0.25">
      <c r="C131" s="140" t="s">
        <v>226</v>
      </c>
      <c r="D131" s="56" t="str">
        <f>IF(tabAlmoco[[#This Row],[MOTORISTA]]="","",_xlfn.CONCAT(tabAlmoco[[#This Row],[DATA]],"+",tabAlmoco[[#This Row],[MOTORISTA]]))</f>
        <v>45905+FRANCISCO ALVES DA PAZ JUNIOR - 1247</v>
      </c>
      <c r="E131" s="56" t="str">
        <f>_xlfn.XLOOKUP(autocompAlmoco[[#This Row],[COMP ESCALA ATUAL]],tabE.Flux[COMP.AT. MOT A],tabE.Flux[LINHA],"NÃO",0,1)</f>
        <v>NÃO</v>
      </c>
      <c r="F131" s="56" t="str">
        <f>_xlfn.XLOOKUP(autocompAlmoco[[#This Row],[COMP ESCALA ATUAL]],tabE.Flux[COMP.AT. MOT B],tabE.Flux[LINHA],"NÃO",0,1)</f>
        <v>NÃO</v>
      </c>
      <c r="G131" s="61" t="str">
        <f>IF(AND(autocompAlmoco[[#This Row],[EXISTE MOT A AT]]="NÃO", autocompAlmoco[[#This Row],[EXISTE MOT B AT]]="NÃO"),"NÃO","SIM")</f>
        <v>NÃO</v>
      </c>
      <c r="H131" s="57" t="str">
        <f>IF(autocompAlmoco[[#This Row],[EXISTE ESCALA ATUAL]]="NÃO",_xlfn.CONCAT(tabAlmoco[[#This Row],[DATA]]-1,"+",tabAlmoco[[#This Row],[MOTORISTA]]),"NÃO")</f>
        <v>45904+FRANCISCO ALVES DA PAZ JUNIOR - 1247</v>
      </c>
      <c r="I131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31" s="58" t="str">
        <f>IF(autocompAlmoco[[#This Row],[COMP ESCALA ANTERIOR]]="NÃO","NÃO",_xlfn.XLOOKUP(autocompAlmoco[[#This Row],[COMP ESCALA ANTERIOR]],tabE.Flux[COMP.AT. MOT B],tabE.Flux[LINHA],"NÃO",0,1))</f>
        <v>NÃO</v>
      </c>
      <c r="K131" s="62" t="str">
        <f>IF(AND(autocompAlmoco[[#This Row],[EXISTE MOT A ANT]]="NÃO",autocompAlmoco[[#This Row],[EXISTE MOT B ANT]]="NÃO"),"NÃO","SIM")</f>
        <v>SIM</v>
      </c>
      <c r="L131" s="59" t="str">
        <f t="shared" si="3"/>
        <v>45906+FRANCISCO ALVES DA PAZ JUNIOR - 1247</v>
      </c>
      <c r="M131" s="59" t="str">
        <f>IF(autocompAlmoco[[#This Row],[COMP ESCALA POSTERIOR]]="NÃO","NÃO",_xlfn.XLOOKUP(autocompAlmoco[[#This Row],[COMP ESCALA POSTERIOR]],tabE.Flux[COMP.AT. MOT A],tabE.Flux[LINHA],"NÃO",0,1))</f>
        <v>NÃO</v>
      </c>
      <c r="N131" s="59" t="str">
        <f>IF(autocompAlmoco[[#This Row],[COMP ESCALA POSTERIOR]]="NÃO","NÃO",_xlfn.XLOOKUP(autocompAlmoco[[#This Row],[COMP ESCALA POSTERIOR]],tabE.Flux[COMP.AT. MOT B],tabE.Flux[LINHA],"NÃO",0,1))</f>
        <v>NÃO</v>
      </c>
      <c r="O131" s="65" t="str">
        <f>IF(AND(autocompAlmoco[[#This Row],[EXISTE MOT A POS]]="NÃO",autocompAlmoco[[#This Row],[EXISTE MOT B POS]]="NÃO"),"NÃO","SIM")</f>
        <v>NÃO</v>
      </c>
      <c r="P131" s="66" t="str" cm="1">
        <f t="array" ref="P13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31" s="103" t="str" cm="1">
        <f t="array" ref="Q13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45904+FRANCISCO ALVES DA PAZ JUNIOR - 1247+GOIANIA (GO) X TERESINA (PI) VIA STI</v>
      </c>
      <c r="R131" s="67">
        <f>_xlfn.XLOOKUP(autocompAlmoco[[#This Row],[COMP ESCALA]],tabE.Flux[COMP. ESCALA MOT B],tabE.Flux[CARRO],
(_xlfn.XLOOKUP(autocompAlmoco[[#This Row],[COMP ESCALA]],tabE.Flux[COMP. ESCALA MOT A],tabE.Flux[CARRO],"N/E",0,1)),0,1)</f>
        <v>19012</v>
      </c>
      <c r="S131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31" s="127">
        <v>45905</v>
      </c>
      <c r="U131" s="131">
        <f>IF(IFERROR(autocompAlmoco[[#This Row],[CORRESP. CARRO]],"")="NÃO",(IF(tabAlmoco[[#This Row],[MOTORISTA]]=0,"","PASSE?")),autocompAlmoco[[#This Row],[CORRESP. CARRO]])</f>
        <v>19012</v>
      </c>
      <c r="V131" s="126">
        <f>IF(OR(ISERR(autocompAlmoco[[#This Row],[CORRESP HORARIO]]), autocompAlmoco[[#This Row],[CORRESP HORARIO]]&lt;&gt;"NÃO"),autocompAlmoco[[#This Row],[CORRESP HORARIO]],"")</f>
        <v>0.79861111111111116</v>
      </c>
      <c r="W131" s="4" t="s">
        <v>299</v>
      </c>
      <c r="X131" s="1" t="s">
        <v>144</v>
      </c>
      <c r="Y131" s="1">
        <f>IF(tabAlmoco[[#This Row],[MOTORISTA]]="","",COUNTIF(autocompAlmoco[COMP ESCALA ATUAL],autocompAlmoco[[#This Row],[COMP ESCALA ATUAL]]))</f>
        <v>1</v>
      </c>
      <c r="Z131" s="105">
        <f>IF(tabAlmoco[[#This Row],[MOTORISTA]]&lt;&gt;0,15,"")</f>
        <v>15</v>
      </c>
      <c r="AA131" s="131" t="str">
        <f>autocompAlmoco[[#This Row],[CORRESP LINHA]]</f>
        <v>GOIANIA (GO) X TERESINA (PI) VIA STI</v>
      </c>
    </row>
    <row r="132" spans="3:27" ht="15" hidden="1" customHeight="1" x14ac:dyDescent="0.25">
      <c r="C132" s="140" t="s">
        <v>226</v>
      </c>
      <c r="D132" s="56" t="str">
        <f>IF(tabAlmoco[[#This Row],[MOTORISTA]]="","",_xlfn.CONCAT(tabAlmoco[[#This Row],[DATA]],"+",tabAlmoco[[#This Row],[MOTORISTA]]))</f>
        <v>45905+MARCOS ANTONIO ALVES DE SOUSA - 5278</v>
      </c>
      <c r="E132" s="56" t="str">
        <f>_xlfn.XLOOKUP(autocompAlmoco[[#This Row],[COMP ESCALA ATUAL]],tabE.Flux[COMP.AT. MOT A],tabE.Flux[LINHA],"NÃO",0,1)</f>
        <v>NÃO</v>
      </c>
      <c r="F132" s="56" t="str">
        <f>_xlfn.XLOOKUP(autocompAlmoco[[#This Row],[COMP ESCALA ATUAL]],tabE.Flux[COMP.AT. MOT B],tabE.Flux[LINHA],"NÃO",0,1)</f>
        <v>FORTALEZA (CE) X SINOP (MT)</v>
      </c>
      <c r="G132" s="61" t="str">
        <f>IF(AND(autocompAlmoco[[#This Row],[EXISTE MOT A AT]]="NÃO", autocompAlmoco[[#This Row],[EXISTE MOT B AT]]="NÃO"),"NÃO","SIM")</f>
        <v>SIM</v>
      </c>
      <c r="H132" s="57" t="str">
        <f>IF(autocompAlmoco[[#This Row],[EXISTE ESCALA ATUAL]]="NÃO",_xlfn.CONCAT(tabAlmoco[[#This Row],[DATA]]-1,"+",tabAlmoco[[#This Row],[MOTORISTA]]),"NÃO")</f>
        <v>NÃO</v>
      </c>
      <c r="I132" s="57" t="str">
        <f>IF(autocompAlmoco[[#This Row],[COMP ESCALA ANTERIOR]]="NÃO","NÃO",_xlfn.XLOOKUP(autocompAlmoco[[#This Row],[COMP ESCALA ANTERIOR]],tabE.Flux[COMP.AT. MOT A],tabE.Flux[LINHA],"NÃO",0,1))</f>
        <v>NÃO</v>
      </c>
      <c r="J132" s="58" t="str">
        <f>IF(autocompAlmoco[[#This Row],[COMP ESCALA ANTERIOR]]="NÃO","NÃO",_xlfn.XLOOKUP(autocompAlmoco[[#This Row],[COMP ESCALA ANTERIOR]],tabE.Flux[COMP.AT. MOT B],tabE.Flux[LINHA],"NÃO",0,1))</f>
        <v>NÃO</v>
      </c>
      <c r="K132" s="62" t="str">
        <f>IF(AND(autocompAlmoco[[#This Row],[EXISTE MOT A ANT]]="NÃO",autocompAlmoco[[#This Row],[EXISTE MOT B ANT]]="NÃO"),"NÃO","SIM")</f>
        <v>NÃO</v>
      </c>
      <c r="L132" s="59" t="str">
        <f t="shared" si="3"/>
        <v>45906+MARCOS ANTONIO ALVES DE SOUSA - 5278</v>
      </c>
      <c r="M132" s="59" t="str">
        <f>IF(autocompAlmoco[[#This Row],[COMP ESCALA POSTERIOR]]="NÃO","NÃO",_xlfn.XLOOKUP(autocompAlmoco[[#This Row],[COMP ESCALA POSTERIOR]],tabE.Flux[COMP.AT. MOT A],tabE.Flux[LINHA],"NÃO",0,1))</f>
        <v>NÃO</v>
      </c>
      <c r="N132" s="59" t="str">
        <f>IF(autocompAlmoco[[#This Row],[COMP ESCALA POSTERIOR]]="NÃO","NÃO",_xlfn.XLOOKUP(autocompAlmoco[[#This Row],[COMP ESCALA POSTERIOR]],tabE.Flux[COMP.AT. MOT B],tabE.Flux[LINHA],"NÃO",0,1))</f>
        <v>NÃO</v>
      </c>
      <c r="O132" s="65" t="str">
        <f>IF(AND(autocompAlmoco[[#This Row],[EXISTE MOT A POS]]="NÃO",autocompAlmoco[[#This Row],[EXISTE MOT B POS]]="NÃO"),"NÃO","SIM")</f>
        <v>NÃO</v>
      </c>
      <c r="P132" s="66" t="str" cm="1">
        <f t="array" ref="P13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32" s="103" t="str" cm="1">
        <f t="array" ref="Q13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45905+MARCOS ANTONIO ALVES DE SOUSA - 5278+FORTALEZA (CE) X SINOP (MT)</v>
      </c>
      <c r="R132" s="67">
        <f>_xlfn.XLOOKUP(autocompAlmoco[[#This Row],[COMP ESCALA]],tabE.Flux[COMP. ESCALA MOT B],tabE.Flux[CARRO],
(_xlfn.XLOOKUP(autocompAlmoco[[#This Row],[COMP ESCALA]],tabE.Flux[COMP. ESCALA MOT A],tabE.Flux[CARRO],"N/E",0,1)),0,1)</f>
        <v>19003</v>
      </c>
      <c r="S132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32" s="127">
        <v>45905</v>
      </c>
      <c r="U132" s="131">
        <f>IF(IFERROR(autocompAlmoco[[#This Row],[CORRESP. CARRO]],"")="NÃO",(IF(tabAlmoco[[#This Row],[MOTORISTA]]=0,"","PASSE?")),autocompAlmoco[[#This Row],[CORRESP. CARRO]])</f>
        <v>19003</v>
      </c>
      <c r="V132" s="126">
        <f>IF(OR(ISERR(autocompAlmoco[[#This Row],[CORRESP HORARIO]]), autocompAlmoco[[#This Row],[CORRESP HORARIO]]&lt;&gt;"NÃO"),autocompAlmoco[[#This Row],[CORRESP HORARIO]],"")</f>
        <v>0.37708333333333333</v>
      </c>
      <c r="W132" s="4" t="s">
        <v>299</v>
      </c>
      <c r="X132" s="1" t="s">
        <v>210</v>
      </c>
      <c r="Y132" s="1">
        <f>IF(tabAlmoco[[#This Row],[MOTORISTA]]="","",COUNTIF(autocompAlmoco[COMP ESCALA ATUAL],autocompAlmoco[[#This Row],[COMP ESCALA ATUAL]]))</f>
        <v>1</v>
      </c>
      <c r="Z132" s="105">
        <f>IF(tabAlmoco[[#This Row],[MOTORISTA]]&lt;&gt;0,15,"")</f>
        <v>15</v>
      </c>
      <c r="AA132" s="131" t="str">
        <f>autocompAlmoco[[#This Row],[CORRESP LINHA]]</f>
        <v>FORTALEZA (CE) X SINOP (MT)</v>
      </c>
    </row>
    <row r="133" spans="3:27" ht="15" hidden="1" customHeight="1" x14ac:dyDescent="0.25">
      <c r="C133" s="140" t="s">
        <v>226</v>
      </c>
      <c r="D133" s="56" t="str">
        <f>IF(tabAlmoco[[#This Row],[MOTORISTA]]="","",_xlfn.CONCAT(tabAlmoco[[#This Row],[DATA]],"+",tabAlmoco[[#This Row],[MOTORISTA]]))</f>
        <v>45905+PEDRO PAULO DO NASCIMENTO DO CARMO - 2559</v>
      </c>
      <c r="E133" s="56" t="str">
        <f>_xlfn.XLOOKUP(autocompAlmoco[[#This Row],[COMP ESCALA ATUAL]],tabE.Flux[COMP.AT. MOT A],tabE.Flux[LINHA],"NÃO",0,1)</f>
        <v>NÃO</v>
      </c>
      <c r="F133" s="56" t="str">
        <f>_xlfn.XLOOKUP(autocompAlmoco[[#This Row],[COMP ESCALA ATUAL]],tabE.Flux[COMP.AT. MOT B],tabE.Flux[LINHA],"NÃO",0,1)</f>
        <v>NÃO</v>
      </c>
      <c r="G133" s="61" t="str">
        <f>IF(AND(autocompAlmoco[[#This Row],[EXISTE MOT A AT]]="NÃO", autocompAlmoco[[#This Row],[EXISTE MOT B AT]]="NÃO"),"NÃO","SIM")</f>
        <v>NÃO</v>
      </c>
      <c r="H133" s="57" t="str">
        <f>IF(autocompAlmoco[[#This Row],[EXISTE ESCALA ATUAL]]="NÃO",_xlfn.CONCAT(tabAlmoco[[#This Row],[DATA]]-1,"+",tabAlmoco[[#This Row],[MOTORISTA]]),"NÃO")</f>
        <v>45904+PEDRO PAULO DO NASCIMENTO DO CARMO - 2559</v>
      </c>
      <c r="I133" s="57" t="str">
        <f>IF(autocompAlmoco[[#This Row],[COMP ESCALA ANTERIOR]]="NÃO","NÃO",_xlfn.XLOOKUP(autocompAlmoco[[#This Row],[COMP ESCALA ANTERIOR]],tabE.Flux[COMP.AT. MOT A],tabE.Flux[LINHA],"NÃO",0,1))</f>
        <v>NÃO</v>
      </c>
      <c r="J133" s="58" t="str">
        <f>IF(autocompAlmoco[[#This Row],[COMP ESCALA ANTERIOR]]="NÃO","NÃO",_xlfn.XLOOKUP(autocompAlmoco[[#This Row],[COMP ESCALA ANTERIOR]],tabE.Flux[COMP.AT. MOT B],tabE.Flux[LINHA],"NÃO",0,1))</f>
        <v>NÃO</v>
      </c>
      <c r="K133" s="62" t="str">
        <f>IF(AND(autocompAlmoco[[#This Row],[EXISTE MOT A ANT]]="NÃO",autocompAlmoco[[#This Row],[EXISTE MOT B ANT]]="NÃO"),"NÃO","SIM")</f>
        <v>NÃO</v>
      </c>
      <c r="L133" s="59" t="str">
        <f t="shared" si="3"/>
        <v>45906+PEDRO PAULO DO NASCIMENTO DO CARMO - 2559</v>
      </c>
      <c r="M133" s="59" t="str">
        <f>IF(autocompAlmoco[[#This Row],[COMP ESCALA POSTERIOR]]="NÃO","NÃO",_xlfn.XLOOKUP(autocompAlmoco[[#This Row],[COMP ESCALA POSTERIOR]],tabE.Flux[COMP.AT. MOT A],tabE.Flux[LINHA],"NÃO",0,1))</f>
        <v>NÃO</v>
      </c>
      <c r="N133" s="59" t="str">
        <f>IF(autocompAlmoco[[#This Row],[COMP ESCALA POSTERIOR]]="NÃO","NÃO",_xlfn.XLOOKUP(autocompAlmoco[[#This Row],[COMP ESCALA POSTERIOR]],tabE.Flux[COMP.AT. MOT B],tabE.Flux[LINHA],"NÃO",0,1))</f>
        <v>GOIANIA (GO) X TERESINA (PI) VIA STI</v>
      </c>
      <c r="O133" s="65" t="str">
        <f>IF(AND(autocompAlmoco[[#This Row],[EXISTE MOT A POS]]="NÃO",autocompAlmoco[[#This Row],[EXISTE MOT B POS]]="NÃO"),"NÃO","SIM")</f>
        <v>SIM</v>
      </c>
      <c r="P133" s="66" t="str" cm="1">
        <f t="array" ref="P13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33" s="103" t="str" cm="1">
        <f t="array" ref="Q13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45906+PEDRO PAULO DO NASCIMENTO DO CARMO - 2559+GOIANIA (GO) X TERESINA (PI) VIA STI</v>
      </c>
      <c r="R133" s="67">
        <f>_xlfn.XLOOKUP(autocompAlmoco[[#This Row],[COMP ESCALA]],tabE.Flux[COMP. ESCALA MOT B],tabE.Flux[CARRO],
(_xlfn.XLOOKUP(autocompAlmoco[[#This Row],[COMP ESCALA]],tabE.Flux[COMP. ESCALA MOT A],tabE.Flux[CARRO],"N/E",0,1)),0,1)</f>
        <v>19017</v>
      </c>
      <c r="S133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33" s="127">
        <v>45905</v>
      </c>
      <c r="U133" s="131">
        <f>IF(IFERROR(autocompAlmoco[[#This Row],[CORRESP. CARRO]],"")="NÃO",(IF(tabAlmoco[[#This Row],[MOTORISTA]]=0,"","PASSE?")),autocompAlmoco[[#This Row],[CORRESP. CARRO]])</f>
        <v>19017</v>
      </c>
      <c r="V133" s="126">
        <f>IF(OR(ISERR(autocompAlmoco[[#This Row],[CORRESP HORARIO]]), autocompAlmoco[[#This Row],[CORRESP HORARIO]]&lt;&gt;"NÃO"),autocompAlmoco[[#This Row],[CORRESP HORARIO]],"")</f>
        <v>0.79861111111111116</v>
      </c>
      <c r="W133" s="4" t="s">
        <v>299</v>
      </c>
      <c r="X133" s="1" t="s">
        <v>175</v>
      </c>
      <c r="Y133" s="1">
        <f>IF(tabAlmoco[[#This Row],[MOTORISTA]]="","",COUNTIF(autocompAlmoco[COMP ESCALA ATUAL],autocompAlmoco[[#This Row],[COMP ESCALA ATUAL]]))</f>
        <v>1</v>
      </c>
      <c r="Z133" s="105">
        <f>IF(tabAlmoco[[#This Row],[MOTORISTA]]&lt;&gt;0,15,"")</f>
        <v>15</v>
      </c>
      <c r="AA133" s="131" t="str">
        <f>autocompAlmoco[[#This Row],[CORRESP LINHA]]</f>
        <v>GOIANIA (GO) X TERESINA (PI) VIA STI</v>
      </c>
    </row>
    <row r="134" spans="3:27" ht="15" hidden="1" customHeight="1" x14ac:dyDescent="0.25">
      <c r="C134" s="140" t="s">
        <v>226</v>
      </c>
      <c r="D134" s="56" t="str">
        <f>IF(tabAlmoco[[#This Row],[MOTORISTA]]="","",_xlfn.CONCAT(tabAlmoco[[#This Row],[DATA]],"+",tabAlmoco[[#This Row],[MOTORISTA]]))</f>
        <v>45905+FRANCISCO RAIMUNDO VIANA DE SOUSA - 5314</v>
      </c>
      <c r="E134" s="56" t="str">
        <f>_xlfn.XLOOKUP(autocompAlmoco[[#This Row],[COMP ESCALA ATUAL]],tabE.Flux[COMP.AT. MOT A],tabE.Flux[LINHA],"NÃO",0,1)</f>
        <v>NÃO</v>
      </c>
      <c r="F134" s="56" t="str">
        <f>_xlfn.XLOOKUP(autocompAlmoco[[#This Row],[COMP ESCALA ATUAL]],tabE.Flux[COMP.AT. MOT B],tabE.Flux[LINHA],"NÃO",0,1)</f>
        <v>GOIANIA (GO) X SAO LUIS (MA)</v>
      </c>
      <c r="G134" s="61" t="str">
        <f>IF(AND(autocompAlmoco[[#This Row],[EXISTE MOT A AT]]="NÃO", autocompAlmoco[[#This Row],[EXISTE MOT B AT]]="NÃO"),"NÃO","SIM")</f>
        <v>SIM</v>
      </c>
      <c r="H134" s="57" t="str">
        <f>IF(autocompAlmoco[[#This Row],[EXISTE ESCALA ATUAL]]="NÃO",_xlfn.CONCAT(tabAlmoco[[#This Row],[DATA]]-1,"+",tabAlmoco[[#This Row],[MOTORISTA]]),"NÃO")</f>
        <v>NÃO</v>
      </c>
      <c r="I134" s="57" t="str">
        <f>IF(autocompAlmoco[[#This Row],[COMP ESCALA ANTERIOR]]="NÃO","NÃO",_xlfn.XLOOKUP(autocompAlmoco[[#This Row],[COMP ESCALA ANTERIOR]],tabE.Flux[COMP.AT. MOT A],tabE.Flux[LINHA],"NÃO",0,1))</f>
        <v>NÃO</v>
      </c>
      <c r="J134" s="58" t="str">
        <f>IF(autocompAlmoco[[#This Row],[COMP ESCALA ANTERIOR]]="NÃO","NÃO",_xlfn.XLOOKUP(autocompAlmoco[[#This Row],[COMP ESCALA ANTERIOR]],tabE.Flux[COMP.AT. MOT B],tabE.Flux[LINHA],"NÃO",0,1))</f>
        <v>NÃO</v>
      </c>
      <c r="K134" s="62" t="str">
        <f>IF(AND(autocompAlmoco[[#This Row],[EXISTE MOT A ANT]]="NÃO",autocompAlmoco[[#This Row],[EXISTE MOT B ANT]]="NÃO"),"NÃO","SIM")</f>
        <v>NÃO</v>
      </c>
      <c r="L134" s="59" t="str">
        <f t="shared" ref="L134:L169" si="4">_xlfn.CONCAT(T134+1,"+",X134)</f>
        <v>45906+FRANCISCO RAIMUNDO VIANA DE SOUSA - 5314</v>
      </c>
      <c r="M134" s="59" t="str">
        <f>IF(autocompAlmoco[[#This Row],[COMP ESCALA POSTERIOR]]="NÃO","NÃO",_xlfn.XLOOKUP(autocompAlmoco[[#This Row],[COMP ESCALA POSTERIOR]],tabE.Flux[COMP.AT. MOT A],tabE.Flux[LINHA],"NÃO",0,1))</f>
        <v>NÃO</v>
      </c>
      <c r="N134" s="59" t="str">
        <f>IF(autocompAlmoco[[#This Row],[COMP ESCALA POSTERIOR]]="NÃO","NÃO",_xlfn.XLOOKUP(autocompAlmoco[[#This Row],[COMP ESCALA POSTERIOR]],tabE.Flux[COMP.AT. MOT B],tabE.Flux[LINHA],"NÃO",0,1))</f>
        <v>NÃO</v>
      </c>
      <c r="O134" s="65" t="str">
        <f>IF(AND(autocompAlmoco[[#This Row],[EXISTE MOT A POS]]="NÃO",autocompAlmoco[[#This Row],[EXISTE MOT B POS]]="NÃO"),"NÃO","SIM")</f>
        <v>NÃO</v>
      </c>
      <c r="P134" s="66" t="str" cm="1">
        <f t="array" ref="P13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34" s="103" t="str" cm="1">
        <f t="array" ref="Q13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45905+FRANCISCO RAIMUNDO VIANA DE SOUSA - 5314+GOIANIA (GO) X SAO LUIS (MA)</v>
      </c>
      <c r="R134" s="67">
        <f>_xlfn.XLOOKUP(autocompAlmoco[[#This Row],[COMP ESCALA]],tabE.Flux[COMP. ESCALA MOT B],tabE.Flux[CARRO],
(_xlfn.XLOOKUP(autocompAlmoco[[#This Row],[COMP ESCALA]],tabE.Flux[COMP. ESCALA MOT A],tabE.Flux[CARRO],"N/E",0,1)),0,1)</f>
        <v>24003</v>
      </c>
      <c r="S134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34" s="127">
        <v>45905</v>
      </c>
      <c r="U134" s="131">
        <f>IF(IFERROR(autocompAlmoco[[#This Row],[CORRESP. CARRO]],"")="NÃO",(IF(tabAlmoco[[#This Row],[MOTORISTA]]=0,"","PASSE?")),autocompAlmoco[[#This Row],[CORRESP. CARRO]])</f>
        <v>24003</v>
      </c>
      <c r="V134" s="126">
        <f>IF(OR(ISERR(autocompAlmoco[[#This Row],[CORRESP HORARIO]]), autocompAlmoco[[#This Row],[CORRESP HORARIO]]&lt;&gt;"NÃO"),autocompAlmoco[[#This Row],[CORRESP HORARIO]],"")</f>
        <v>0.79166666666666663</v>
      </c>
      <c r="W134" s="4" t="s">
        <v>299</v>
      </c>
      <c r="X134" s="1" t="s">
        <v>87</v>
      </c>
      <c r="Y134" s="1">
        <f>IF(tabAlmoco[[#This Row],[MOTORISTA]]="","",COUNTIF(autocompAlmoco[COMP ESCALA ATUAL],autocompAlmoco[[#This Row],[COMP ESCALA ATUAL]]))</f>
        <v>1</v>
      </c>
      <c r="Z134" s="105">
        <f>IF(tabAlmoco[[#This Row],[MOTORISTA]]&lt;&gt;0,15,"")</f>
        <v>15</v>
      </c>
      <c r="AA134" s="131" t="str">
        <f>autocompAlmoco[[#This Row],[CORRESP LINHA]]</f>
        <v>GOIANIA (GO) X SAO LUIS (MA)</v>
      </c>
    </row>
    <row r="135" spans="3:27" ht="15" hidden="1" customHeight="1" x14ac:dyDescent="0.25">
      <c r="C135" s="140" t="s">
        <v>226</v>
      </c>
      <c r="D135" s="56" t="str">
        <f>IF(tabAlmoco[[#This Row],[MOTORISTA]]="","",_xlfn.CONCAT(tabAlmoco[[#This Row],[DATA]],"+",tabAlmoco[[#This Row],[MOTORISTA]]))</f>
        <v>45906+ESIEL COSTA RODRIGUES - 1749</v>
      </c>
      <c r="E135" s="56" t="str">
        <f>_xlfn.XLOOKUP(autocompAlmoco[[#This Row],[COMP ESCALA ATUAL]],tabE.Flux[COMP.AT. MOT A],tabE.Flux[LINHA],"NÃO",0,1)</f>
        <v>NÃO</v>
      </c>
      <c r="F135" s="56" t="str">
        <f>_xlfn.XLOOKUP(autocompAlmoco[[#This Row],[COMP ESCALA ATUAL]],tabE.Flux[COMP.AT. MOT B],tabE.Flux[LINHA],"NÃO",0,1)</f>
        <v>NÃO</v>
      </c>
      <c r="G135" s="61" t="str">
        <f>IF(AND(autocompAlmoco[[#This Row],[EXISTE MOT A AT]]="NÃO", autocompAlmoco[[#This Row],[EXISTE MOT B AT]]="NÃO"),"NÃO","SIM")</f>
        <v>NÃO</v>
      </c>
      <c r="H135" s="57" t="str">
        <f>IF(autocompAlmoco[[#This Row],[EXISTE ESCALA ATUAL]]="NÃO",_xlfn.CONCAT(tabAlmoco[[#This Row],[DATA]]-1,"+",tabAlmoco[[#This Row],[MOTORISTA]]),"NÃO")</f>
        <v>45905+ESIEL COSTA RODRIGUES - 1749</v>
      </c>
      <c r="I135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35" s="58" t="str">
        <f>IF(autocompAlmoco[[#This Row],[COMP ESCALA ANTERIOR]]="NÃO","NÃO",_xlfn.XLOOKUP(autocompAlmoco[[#This Row],[COMP ESCALA ANTERIOR]],tabE.Flux[COMP.AT. MOT B],tabE.Flux[LINHA],"NÃO",0,1))</f>
        <v>NÃO</v>
      </c>
      <c r="K135" s="62" t="str">
        <f>IF(AND(autocompAlmoco[[#This Row],[EXISTE MOT A ANT]]="NÃO",autocompAlmoco[[#This Row],[EXISTE MOT B ANT]]="NÃO"),"NÃO","SIM")</f>
        <v>SIM</v>
      </c>
      <c r="L135" s="59" t="str">
        <f t="shared" si="4"/>
        <v>45907+ESIEL COSTA RODRIGUES - 1749</v>
      </c>
      <c r="M135" s="59" t="str">
        <f>IF(autocompAlmoco[[#This Row],[COMP ESCALA POSTERIOR]]="NÃO","NÃO",_xlfn.XLOOKUP(autocompAlmoco[[#This Row],[COMP ESCALA POSTERIOR]],tabE.Flux[COMP.AT. MOT A],tabE.Flux[LINHA],"NÃO",0,1))</f>
        <v>NÃO</v>
      </c>
      <c r="N135" s="59" t="str">
        <f>IF(autocompAlmoco[[#This Row],[COMP ESCALA POSTERIOR]]="NÃO","NÃO",_xlfn.XLOOKUP(autocompAlmoco[[#This Row],[COMP ESCALA POSTERIOR]],tabE.Flux[COMP.AT. MOT B],tabE.Flux[LINHA],"NÃO",0,1))</f>
        <v>NÃO</v>
      </c>
      <c r="O135" s="65" t="str">
        <f>IF(AND(autocompAlmoco[[#This Row],[EXISTE MOT A POS]]="NÃO",autocompAlmoco[[#This Row],[EXISTE MOT B POS]]="NÃO"),"NÃO","SIM")</f>
        <v>NÃO</v>
      </c>
      <c r="P135" s="66" t="str" cm="1">
        <f t="array" ref="P13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35" s="103" t="str" cm="1">
        <f t="array" ref="Q13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45905+ESIEL COSTA RODRIGUES - 1749+FORTALEZA (CE) X SINOP (MT)</v>
      </c>
      <c r="R135" s="67">
        <f>_xlfn.XLOOKUP(autocompAlmoco[[#This Row],[COMP ESCALA]],tabE.Flux[COMP. ESCALA MOT B],tabE.Flux[CARRO],
(_xlfn.XLOOKUP(autocompAlmoco[[#This Row],[COMP ESCALA]],tabE.Flux[COMP. ESCALA MOT A],tabE.Flux[CARRO],"N/E",0,1)),0,1)</f>
        <v>19003</v>
      </c>
      <c r="S135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35" s="127">
        <v>45906</v>
      </c>
      <c r="U135" s="4">
        <f>IF(IFERROR(autocompAlmoco[[#This Row],[CORRESP. CARRO]],"")="NÃO",(IF(tabAlmoco[[#This Row],[MOTORISTA]]=0,"","PASSE?")),autocompAlmoco[[#This Row],[CORRESP. CARRO]])</f>
        <v>19003</v>
      </c>
      <c r="V135" s="128">
        <f>IF(OR(ISERR(autocompAlmoco[[#This Row],[CORRESP HORARIO]]), autocompAlmoco[[#This Row],[CORRESP HORARIO]]&lt;&gt;"NÃO"),autocompAlmoco[[#This Row],[CORRESP HORARIO]],"")</f>
        <v>0.37708333333333333</v>
      </c>
      <c r="W135" s="4" t="s">
        <v>299</v>
      </c>
      <c r="X135" s="4" t="s">
        <v>46</v>
      </c>
      <c r="Y135" s="4">
        <f>IF(tabAlmoco[[#This Row],[MOTORISTA]]="","",COUNTIF(autocompAlmoco[COMP ESCALA ATUAL],autocompAlmoco[[#This Row],[COMP ESCALA ATUAL]]))</f>
        <v>1</v>
      </c>
      <c r="Z135" s="45">
        <f>IF(tabAlmoco[[#This Row],[MOTORISTA]]&lt;&gt;0,15,"")</f>
        <v>15</v>
      </c>
      <c r="AA135" s="4" t="str">
        <f>autocompAlmoco[[#This Row],[CORRESP LINHA]]</f>
        <v>FORTALEZA (CE) X SINOP (MT)</v>
      </c>
    </row>
    <row r="136" spans="3:27" ht="15" hidden="1" customHeight="1" x14ac:dyDescent="0.25">
      <c r="C136" s="140" t="s">
        <v>226</v>
      </c>
      <c r="D136" s="56" t="str">
        <f>IF(tabAlmoco[[#This Row],[MOTORISTA]]="","",_xlfn.CONCAT(tabAlmoco[[#This Row],[DATA]],"+",tabAlmoco[[#This Row],[MOTORISTA]]))</f>
        <v>45906+BERNARDO SOUZA LIMA - 1720</v>
      </c>
      <c r="E136" s="56" t="str">
        <f>_xlfn.XLOOKUP(autocompAlmoco[[#This Row],[COMP ESCALA ATUAL]],tabE.Flux[COMP.AT. MOT A],tabE.Flux[LINHA],"NÃO",0,1)</f>
        <v>NÃO</v>
      </c>
      <c r="F136" s="56" t="str">
        <f>_xlfn.XLOOKUP(autocompAlmoco[[#This Row],[COMP ESCALA ATUAL]],tabE.Flux[COMP.AT. MOT B],tabE.Flux[LINHA],"NÃO",0,1)</f>
        <v>NÃO</v>
      </c>
      <c r="G136" s="61" t="str">
        <f>IF(AND(autocompAlmoco[[#This Row],[EXISTE MOT A AT]]="NÃO", autocompAlmoco[[#This Row],[EXISTE MOT B AT]]="NÃO"),"NÃO","SIM")</f>
        <v>NÃO</v>
      </c>
      <c r="H136" s="57" t="str">
        <f>IF(autocompAlmoco[[#This Row],[EXISTE ESCALA ATUAL]]="NÃO",_xlfn.CONCAT(tabAlmoco[[#This Row],[DATA]]-1,"+",tabAlmoco[[#This Row],[MOTORISTA]]),"NÃO")</f>
        <v>45905+BERNARDO SOUZA LIMA - 1720</v>
      </c>
      <c r="I136" s="57" t="str">
        <f>IF(autocompAlmoco[[#This Row],[COMP ESCALA ANTERIOR]]="NÃO","NÃO",_xlfn.XLOOKUP(autocompAlmoco[[#This Row],[COMP ESCALA ANTERIOR]],tabE.Flux[COMP.AT. MOT A],tabE.Flux[LINHA],"NÃO",0,1))</f>
        <v>IMPERATRIZ (MA) X SÃO LUIS (MA)</v>
      </c>
      <c r="J136" s="58" t="str">
        <f>IF(autocompAlmoco[[#This Row],[COMP ESCALA ANTERIOR]]="NÃO","NÃO",_xlfn.XLOOKUP(autocompAlmoco[[#This Row],[COMP ESCALA ANTERIOR]],tabE.Flux[COMP.AT. MOT B],tabE.Flux[LINHA],"NÃO",0,1))</f>
        <v>NÃO</v>
      </c>
      <c r="K136" s="62" t="str">
        <f>IF(AND(autocompAlmoco[[#This Row],[EXISTE MOT A ANT]]="NÃO",autocompAlmoco[[#This Row],[EXISTE MOT B ANT]]="NÃO"),"NÃO","SIM")</f>
        <v>SIM</v>
      </c>
      <c r="L136" s="59" t="str">
        <f t="shared" si="4"/>
        <v>45907+BERNARDO SOUZA LIMA - 1720</v>
      </c>
      <c r="M136" s="59" t="str">
        <f>IF(autocompAlmoco[[#This Row],[COMP ESCALA POSTERIOR]]="NÃO","NÃO",_xlfn.XLOOKUP(autocompAlmoco[[#This Row],[COMP ESCALA POSTERIOR]],tabE.Flux[COMP.AT. MOT A],tabE.Flux[LINHA],"NÃO",0,1))</f>
        <v>NÃO</v>
      </c>
      <c r="N136" s="59" t="str">
        <f>IF(autocompAlmoco[[#This Row],[COMP ESCALA POSTERIOR]]="NÃO","NÃO",_xlfn.XLOOKUP(autocompAlmoco[[#This Row],[COMP ESCALA POSTERIOR]],tabE.Flux[COMP.AT. MOT B],tabE.Flux[LINHA],"NÃO",0,1))</f>
        <v>GOIANIA (GO) X BELEM (PA)</v>
      </c>
      <c r="O136" s="65" t="str">
        <f>IF(AND(autocompAlmoco[[#This Row],[EXISTE MOT A POS]]="NÃO",autocompAlmoco[[#This Row],[EXISTE MOT B POS]]="NÃO"),"NÃO","SIM")</f>
        <v>SIM</v>
      </c>
      <c r="P136" s="66" t="str" cm="1">
        <f t="array" ref="P13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IMPERATRIZ (MA) X SÃO LUIS (MA)</v>
      </c>
      <c r="Q136" s="103" t="str" cm="1">
        <f t="array" ref="Q13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45905+BERNARDO SOUZA LIMA - 1720+IMPERATRIZ (MA) X SÃO LUIS (MA)</v>
      </c>
      <c r="R136" s="67">
        <f>_xlfn.XLOOKUP(autocompAlmoco[[#This Row],[COMP ESCALA]],tabE.Flux[COMP. ESCALA MOT B],tabE.Flux[CARRO],
(_xlfn.XLOOKUP(autocompAlmoco[[#This Row],[COMP ESCALA]],tabE.Flux[COMP. ESCALA MOT A],tabE.Flux[CARRO],"N/E",0,1)),0,1)</f>
        <v>18008</v>
      </c>
      <c r="S136" s="130">
        <f>_xlfn.XLOOKUP(autocompAlmoco[[#This Row],[COMP ESCALA]],tabE.Flux[COMP. ESCALA MOT A],tabE.Flux[HORARIO],(_xlfn.XLOOKUP(autocompAlmoco[[#This Row],[COMP ESCALA]],tabE.Flux[COMP. ESCALA MOT B],tabE.Flux[HORARIO],"N/E",0,1)),0,1)</f>
        <v>0.8125</v>
      </c>
      <c r="T136" s="127">
        <v>45906</v>
      </c>
      <c r="U136" s="4">
        <f>IF(IFERROR(autocompAlmoco[[#This Row],[CORRESP. CARRO]],"")="NÃO",(IF(tabAlmoco[[#This Row],[MOTORISTA]]=0,"","PASSE?")),autocompAlmoco[[#This Row],[CORRESP. CARRO]])</f>
        <v>18008</v>
      </c>
      <c r="V136" s="126">
        <f>IF(OR(ISERR(autocompAlmoco[[#This Row],[CORRESP HORARIO]]), autocompAlmoco[[#This Row],[CORRESP HORARIO]]&lt;&gt;"NÃO"),autocompAlmoco[[#This Row],[CORRESP HORARIO]],"")</f>
        <v>0.8125</v>
      </c>
      <c r="W136" s="4" t="s">
        <v>299</v>
      </c>
      <c r="X136" s="1" t="s">
        <v>123</v>
      </c>
      <c r="Y136" s="1">
        <f>IF(tabAlmoco[[#This Row],[MOTORISTA]]="","",COUNTIF(autocompAlmoco[COMP ESCALA ATUAL],autocompAlmoco[[#This Row],[COMP ESCALA ATUAL]]))</f>
        <v>1</v>
      </c>
      <c r="Z136" s="105">
        <f>IF(tabAlmoco[[#This Row],[MOTORISTA]]&lt;&gt;0,15,"")</f>
        <v>15</v>
      </c>
      <c r="AA136" s="4" t="str">
        <f>autocompAlmoco[[#This Row],[CORRESP LINHA]]</f>
        <v>IMPERATRIZ (MA) X SÃO LUIS (MA)</v>
      </c>
    </row>
    <row r="137" spans="3:27" ht="15" hidden="1" customHeight="1" x14ac:dyDescent="0.25">
      <c r="C137" s="140" t="s">
        <v>226</v>
      </c>
      <c r="D137" s="56" t="str">
        <f>IF(tabAlmoco[[#This Row],[MOTORISTA]]="","",_xlfn.CONCAT(tabAlmoco[[#This Row],[DATA]],"+",tabAlmoco[[#This Row],[MOTORISTA]]))</f>
        <v>45906+MARCIO RODRIGUES DA COSTA - 5993</v>
      </c>
      <c r="E137" s="56" t="str">
        <f>_xlfn.XLOOKUP(autocompAlmoco[[#This Row],[COMP ESCALA ATUAL]],tabE.Flux[COMP.AT. MOT A],tabE.Flux[LINHA],"NÃO",0,1)</f>
        <v>NÃO</v>
      </c>
      <c r="F137" s="56" t="str">
        <f>_xlfn.XLOOKUP(autocompAlmoco[[#This Row],[COMP ESCALA ATUAL]],tabE.Flux[COMP.AT. MOT B],tabE.Flux[LINHA],"NÃO",0,1)</f>
        <v>GOIANIA (GO) X SAO LUIS (MA)</v>
      </c>
      <c r="G137" s="61" t="str">
        <f>IF(AND(autocompAlmoco[[#This Row],[EXISTE MOT A AT]]="NÃO", autocompAlmoco[[#This Row],[EXISTE MOT B AT]]="NÃO"),"NÃO","SIM")</f>
        <v>SIM</v>
      </c>
      <c r="H137" s="57" t="str">
        <f>IF(autocompAlmoco[[#This Row],[EXISTE ESCALA ATUAL]]="NÃO",_xlfn.CONCAT(tabAlmoco[[#This Row],[DATA]]-1,"+",tabAlmoco[[#This Row],[MOTORISTA]]),"NÃO")</f>
        <v>NÃO</v>
      </c>
      <c r="I137" s="57" t="str">
        <f>IF(autocompAlmoco[[#This Row],[COMP ESCALA ANTERIOR]]="NÃO","NÃO",_xlfn.XLOOKUP(autocompAlmoco[[#This Row],[COMP ESCALA ANTERIOR]],tabE.Flux[COMP.AT. MOT A],tabE.Flux[LINHA],"NÃO",0,1))</f>
        <v>NÃO</v>
      </c>
      <c r="J137" s="58" t="str">
        <f>IF(autocompAlmoco[[#This Row],[COMP ESCALA ANTERIOR]]="NÃO","NÃO",_xlfn.XLOOKUP(autocompAlmoco[[#This Row],[COMP ESCALA ANTERIOR]],tabE.Flux[COMP.AT. MOT B],tabE.Flux[LINHA],"NÃO",0,1))</f>
        <v>NÃO</v>
      </c>
      <c r="K137" s="62" t="str">
        <f>IF(AND(autocompAlmoco[[#This Row],[EXISTE MOT A ANT]]="NÃO",autocompAlmoco[[#This Row],[EXISTE MOT B ANT]]="NÃO"),"NÃO","SIM")</f>
        <v>NÃO</v>
      </c>
      <c r="L137" s="59" t="str">
        <f t="shared" si="4"/>
        <v>45907+MARCIO RODRIGUES DA COSTA - 5993</v>
      </c>
      <c r="M137" s="59" t="str">
        <f>IF(autocompAlmoco[[#This Row],[COMP ESCALA POSTERIOR]]="NÃO","NÃO",_xlfn.XLOOKUP(autocompAlmoco[[#This Row],[COMP ESCALA POSTERIOR]],tabE.Flux[COMP.AT. MOT A],tabE.Flux[LINHA],"NÃO",0,1))</f>
        <v>NÃO</v>
      </c>
      <c r="N137" s="59" t="str">
        <f>IF(autocompAlmoco[[#This Row],[COMP ESCALA POSTERIOR]]="NÃO","NÃO",_xlfn.XLOOKUP(autocompAlmoco[[#This Row],[COMP ESCALA POSTERIOR]],tabE.Flux[COMP.AT. MOT B],tabE.Flux[LINHA],"NÃO",0,1))</f>
        <v>NÃO</v>
      </c>
      <c r="O137" s="65" t="str">
        <f>IF(AND(autocompAlmoco[[#This Row],[EXISTE MOT A POS]]="NÃO",autocompAlmoco[[#This Row],[EXISTE MOT B POS]]="NÃO"),"NÃO","SIM")</f>
        <v>NÃO</v>
      </c>
      <c r="P137" s="66" t="str" cm="1">
        <f t="array" ref="P13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37" s="103" t="str" cm="1">
        <f t="array" ref="Q13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45906+MARCIO RODRIGUES DA COSTA - 5993+GOIANIA (GO) X SAO LUIS (MA)</v>
      </c>
      <c r="R137" s="67">
        <f>_xlfn.XLOOKUP(autocompAlmoco[[#This Row],[COMP ESCALA]],tabE.Flux[COMP. ESCALA MOT B],tabE.Flux[CARRO],
(_xlfn.XLOOKUP(autocompAlmoco[[#This Row],[COMP ESCALA]],tabE.Flux[COMP. ESCALA MOT A],tabE.Flux[CARRO],"N/E",0,1)),0,1)</f>
        <v>15600</v>
      </c>
      <c r="S137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37" s="127">
        <v>45906</v>
      </c>
      <c r="U137" s="131">
        <f>IF(IFERROR(autocompAlmoco[[#This Row],[CORRESP. CARRO]],"")="NÃO",(IF(tabAlmoco[[#This Row],[MOTORISTA]]=0,"","PASSE?")),autocompAlmoco[[#This Row],[CORRESP. CARRO]])</f>
        <v>15600</v>
      </c>
      <c r="V137" s="126">
        <f>IF(OR(ISERR(autocompAlmoco[[#This Row],[CORRESP HORARIO]]), autocompAlmoco[[#This Row],[CORRESP HORARIO]]&lt;&gt;"NÃO"),autocompAlmoco[[#This Row],[CORRESP HORARIO]],"")</f>
        <v>0.29166666666666669</v>
      </c>
      <c r="W137" s="4" t="s">
        <v>299</v>
      </c>
      <c r="X137" s="1" t="s">
        <v>107</v>
      </c>
      <c r="Y137" s="1">
        <f>IF(tabAlmoco[[#This Row],[MOTORISTA]]="","",COUNTIF(autocompAlmoco[COMP ESCALA ATUAL],autocompAlmoco[[#This Row],[COMP ESCALA ATUAL]]))</f>
        <v>1</v>
      </c>
      <c r="Z137" s="105">
        <f>IF(tabAlmoco[[#This Row],[MOTORISTA]]&lt;&gt;0,15,"")</f>
        <v>15</v>
      </c>
      <c r="AA137" s="131" t="str">
        <f>autocompAlmoco[[#This Row],[CORRESP LINHA]]</f>
        <v>GOIANIA (GO) X SAO LUIS (MA)</v>
      </c>
    </row>
    <row r="138" spans="3:27" ht="15" hidden="1" customHeight="1" x14ac:dyDescent="0.25">
      <c r="C138" s="140" t="s">
        <v>226</v>
      </c>
      <c r="D138" s="56" t="str">
        <f>IF(tabAlmoco[[#This Row],[MOTORISTA]]="","",_xlfn.CONCAT(tabAlmoco[[#This Row],[DATA]],"+",tabAlmoco[[#This Row],[MOTORISTA]]))</f>
        <v>45906+MERVAL DE SOUSA - 2880</v>
      </c>
      <c r="E138" s="56" t="str">
        <f>_xlfn.XLOOKUP(autocompAlmoco[[#This Row],[COMP ESCALA ATUAL]],tabE.Flux[COMP.AT. MOT A],tabE.Flux[LINHA],"NÃO",0,1)</f>
        <v>NÃO</v>
      </c>
      <c r="F138" s="56" t="str">
        <f>_xlfn.XLOOKUP(autocompAlmoco[[#This Row],[COMP ESCALA ATUAL]],tabE.Flux[COMP.AT. MOT B],tabE.Flux[LINHA],"NÃO",0,1)</f>
        <v>GOIANIA (GO) X SAO LUIS (MA)</v>
      </c>
      <c r="G138" s="61" t="str">
        <f>IF(AND(autocompAlmoco[[#This Row],[EXISTE MOT A AT]]="NÃO", autocompAlmoco[[#This Row],[EXISTE MOT B AT]]="NÃO"),"NÃO","SIM")</f>
        <v>SIM</v>
      </c>
      <c r="H138" s="57" t="str">
        <f>IF(autocompAlmoco[[#This Row],[EXISTE ESCALA ATUAL]]="NÃO",_xlfn.CONCAT(tabAlmoco[[#This Row],[DATA]]-1,"+",tabAlmoco[[#This Row],[MOTORISTA]]),"NÃO")</f>
        <v>NÃO</v>
      </c>
      <c r="I138" s="57" t="str">
        <f>IF(autocompAlmoco[[#This Row],[COMP ESCALA ANTERIOR]]="NÃO","NÃO",_xlfn.XLOOKUP(autocompAlmoco[[#This Row],[COMP ESCALA ANTERIOR]],tabE.Flux[COMP.AT. MOT A],tabE.Flux[LINHA],"NÃO",0,1))</f>
        <v>NÃO</v>
      </c>
      <c r="J138" s="58" t="str">
        <f>IF(autocompAlmoco[[#This Row],[COMP ESCALA ANTERIOR]]="NÃO","NÃO",_xlfn.XLOOKUP(autocompAlmoco[[#This Row],[COMP ESCALA ANTERIOR]],tabE.Flux[COMP.AT. MOT B],tabE.Flux[LINHA],"NÃO",0,1))</f>
        <v>NÃO</v>
      </c>
      <c r="K138" s="62" t="str">
        <f>IF(AND(autocompAlmoco[[#This Row],[EXISTE MOT A ANT]]="NÃO",autocompAlmoco[[#This Row],[EXISTE MOT B ANT]]="NÃO"),"NÃO","SIM")</f>
        <v>NÃO</v>
      </c>
      <c r="L138" s="59" t="str">
        <f t="shared" si="4"/>
        <v>45907+MERVAL DE SOUSA - 2880</v>
      </c>
      <c r="M138" s="59" t="str">
        <f>IF(autocompAlmoco[[#This Row],[COMP ESCALA POSTERIOR]]="NÃO","NÃO",_xlfn.XLOOKUP(autocompAlmoco[[#This Row],[COMP ESCALA POSTERIOR]],tabE.Flux[COMP.AT. MOT A],tabE.Flux[LINHA],"NÃO",0,1))</f>
        <v>NÃO</v>
      </c>
      <c r="N138" s="59" t="str">
        <f>IF(autocompAlmoco[[#This Row],[COMP ESCALA POSTERIOR]]="NÃO","NÃO",_xlfn.XLOOKUP(autocompAlmoco[[#This Row],[COMP ESCALA POSTERIOR]],tabE.Flux[COMP.AT. MOT B],tabE.Flux[LINHA],"NÃO",0,1))</f>
        <v>NÃO</v>
      </c>
      <c r="O138" s="65" t="str">
        <f>IF(AND(autocompAlmoco[[#This Row],[EXISTE MOT A POS]]="NÃO",autocompAlmoco[[#This Row],[EXISTE MOT B POS]]="NÃO"),"NÃO","SIM")</f>
        <v>NÃO</v>
      </c>
      <c r="P138" s="66" t="str" cm="1">
        <f t="array" ref="P13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38" s="103" t="str" cm="1">
        <f t="array" ref="Q13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45906+MERVAL DE SOUSA - 2880+GOIANIA (GO) X SAO LUIS (MA)</v>
      </c>
      <c r="R138" s="67">
        <f>_xlfn.XLOOKUP(autocompAlmoco[[#This Row],[COMP ESCALA]],tabE.Flux[COMP. ESCALA MOT B],tabE.Flux[CARRO],
(_xlfn.XLOOKUP(autocompAlmoco[[#This Row],[COMP ESCALA]],tabE.Flux[COMP. ESCALA MOT A],tabE.Flux[CARRO],"N/E",0,1)),0,1)</f>
        <v>24005</v>
      </c>
      <c r="S138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38" s="127">
        <v>45906</v>
      </c>
      <c r="U138" s="131">
        <f>IF(IFERROR(autocompAlmoco[[#This Row],[CORRESP. CARRO]],"")="NÃO",(IF(tabAlmoco[[#This Row],[MOTORISTA]]=0,"","PASSE?")),autocompAlmoco[[#This Row],[CORRESP. CARRO]])</f>
        <v>24005</v>
      </c>
      <c r="V138" s="126">
        <f>IF(OR(ISERR(autocompAlmoco[[#This Row],[CORRESP HORARIO]]), autocompAlmoco[[#This Row],[CORRESP HORARIO]]&lt;&gt;"NÃO"),autocompAlmoco[[#This Row],[CORRESP HORARIO]],"")</f>
        <v>0.79166666666666663</v>
      </c>
      <c r="W138" s="4" t="s">
        <v>299</v>
      </c>
      <c r="X138" s="1" t="s">
        <v>44</v>
      </c>
      <c r="Y138" s="1">
        <f>IF(tabAlmoco[[#This Row],[MOTORISTA]]="","",COUNTIF(autocompAlmoco[COMP ESCALA ATUAL],autocompAlmoco[[#This Row],[COMP ESCALA ATUAL]]))</f>
        <v>1</v>
      </c>
      <c r="Z138" s="105">
        <f>IF(tabAlmoco[[#This Row],[MOTORISTA]]&lt;&gt;0,15,"")</f>
        <v>15</v>
      </c>
      <c r="AA138" s="131" t="str">
        <f>autocompAlmoco[[#This Row],[CORRESP LINHA]]</f>
        <v>GOIANIA (GO) X SAO LUIS (MA)</v>
      </c>
    </row>
    <row r="139" spans="3:27" ht="15" hidden="1" customHeight="1" x14ac:dyDescent="0.25">
      <c r="C139" s="140" t="s">
        <v>226</v>
      </c>
      <c r="D139" s="56" t="str">
        <f>IF(tabAlmoco[[#This Row],[MOTORISTA]]="","",_xlfn.CONCAT(tabAlmoco[[#This Row],[DATA]],"+",tabAlmoco[[#This Row],[MOTORISTA]]))</f>
        <v>45906+PAULO ENEAS FARIAS ARAUJO - 6218</v>
      </c>
      <c r="E139" s="56" t="str">
        <f>_xlfn.XLOOKUP(autocompAlmoco[[#This Row],[COMP ESCALA ATUAL]],tabE.Flux[COMP.AT. MOT A],tabE.Flux[LINHA],"NÃO",0,1)</f>
        <v>NÃO</v>
      </c>
      <c r="F139" s="56" t="str">
        <f>_xlfn.XLOOKUP(autocompAlmoco[[#This Row],[COMP ESCALA ATUAL]],tabE.Flux[COMP.AT. MOT B],tabE.Flux[LINHA],"NÃO",0,1)</f>
        <v>GOIANIA (GO) X SAO LUIS (MA)</v>
      </c>
      <c r="G139" s="61" t="str">
        <f>IF(AND(autocompAlmoco[[#This Row],[EXISTE MOT A AT]]="NÃO", autocompAlmoco[[#This Row],[EXISTE MOT B AT]]="NÃO"),"NÃO","SIM")</f>
        <v>SIM</v>
      </c>
      <c r="H139" s="57" t="str">
        <f>IF(autocompAlmoco[[#This Row],[EXISTE ESCALA ATUAL]]="NÃO",_xlfn.CONCAT(tabAlmoco[[#This Row],[DATA]]-1,"+",tabAlmoco[[#This Row],[MOTORISTA]]),"NÃO")</f>
        <v>NÃO</v>
      </c>
      <c r="I139" s="57" t="str">
        <f>IF(autocompAlmoco[[#This Row],[COMP ESCALA ANTERIOR]]="NÃO","NÃO",_xlfn.XLOOKUP(autocompAlmoco[[#This Row],[COMP ESCALA ANTERIOR]],tabE.Flux[COMP.AT. MOT A],tabE.Flux[LINHA],"NÃO",0,1))</f>
        <v>NÃO</v>
      </c>
      <c r="J139" s="58" t="str">
        <f>IF(autocompAlmoco[[#This Row],[COMP ESCALA ANTERIOR]]="NÃO","NÃO",_xlfn.XLOOKUP(autocompAlmoco[[#This Row],[COMP ESCALA ANTERIOR]],tabE.Flux[COMP.AT. MOT B],tabE.Flux[LINHA],"NÃO",0,1))</f>
        <v>NÃO</v>
      </c>
      <c r="K139" s="62" t="str">
        <f>IF(AND(autocompAlmoco[[#This Row],[EXISTE MOT A ANT]]="NÃO",autocompAlmoco[[#This Row],[EXISTE MOT B ANT]]="NÃO"),"NÃO","SIM")</f>
        <v>NÃO</v>
      </c>
      <c r="L139" s="59" t="str">
        <f t="shared" si="4"/>
        <v>45907+PAULO ENEAS FARIAS ARAUJO - 6218</v>
      </c>
      <c r="M139" s="59" t="str">
        <f>IF(autocompAlmoco[[#This Row],[COMP ESCALA POSTERIOR]]="NÃO","NÃO",_xlfn.XLOOKUP(autocompAlmoco[[#This Row],[COMP ESCALA POSTERIOR]],tabE.Flux[COMP.AT. MOT A],tabE.Flux[LINHA],"NÃO",0,1))</f>
        <v>IMPERATRIZ (MA) X SÃO LUIS (MA)</v>
      </c>
      <c r="N139" s="59" t="str">
        <f>IF(autocompAlmoco[[#This Row],[COMP ESCALA POSTERIOR]]="NÃO","NÃO",_xlfn.XLOOKUP(autocompAlmoco[[#This Row],[COMP ESCALA POSTERIOR]],tabE.Flux[COMP.AT. MOT B],tabE.Flux[LINHA],"NÃO",0,1))</f>
        <v>NÃO</v>
      </c>
      <c r="O139" s="65" t="str">
        <f>IF(AND(autocompAlmoco[[#This Row],[EXISTE MOT A POS]]="NÃO",autocompAlmoco[[#This Row],[EXISTE MOT B POS]]="NÃO"),"NÃO","SIM")</f>
        <v>SIM</v>
      </c>
      <c r="P139" s="66" t="str" cm="1">
        <f t="array" ref="P13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39" s="103" t="str" cm="1">
        <f t="array" ref="Q13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45906+PAULO ENEAS FARIAS ARAUJO - 6218+GOIANIA (GO) X SAO LUIS (MA)</v>
      </c>
      <c r="R139" s="67">
        <f>_xlfn.XLOOKUP(autocompAlmoco[[#This Row],[COMP ESCALA]],tabE.Flux[COMP. ESCALA MOT B],tabE.Flux[CARRO],
(_xlfn.XLOOKUP(autocompAlmoco[[#This Row],[COMP ESCALA]],tabE.Flux[COMP. ESCALA MOT A],tabE.Flux[CARRO],"N/E",0,1)),0,1)</f>
        <v>19007</v>
      </c>
      <c r="S139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39" s="127">
        <v>45906</v>
      </c>
      <c r="U139" s="131">
        <f>IF(IFERROR(autocompAlmoco[[#This Row],[CORRESP. CARRO]],"")="NÃO",(IF(tabAlmoco[[#This Row],[MOTORISTA]]=0,"","PASSE?")),autocompAlmoco[[#This Row],[CORRESP. CARRO]])</f>
        <v>19007</v>
      </c>
      <c r="V139" s="126">
        <f>IF(OR(ISERR(autocompAlmoco[[#This Row],[CORRESP HORARIO]]), autocompAlmoco[[#This Row],[CORRESP HORARIO]]&lt;&gt;"NÃO"),autocompAlmoco[[#This Row],[CORRESP HORARIO]],"")</f>
        <v>0.47013888888888888</v>
      </c>
      <c r="W139" s="4" t="s">
        <v>299</v>
      </c>
      <c r="X139" s="1" t="s">
        <v>43</v>
      </c>
      <c r="Y139" s="1">
        <f>IF(tabAlmoco[[#This Row],[MOTORISTA]]="","",COUNTIF(autocompAlmoco[COMP ESCALA ATUAL],autocompAlmoco[[#This Row],[COMP ESCALA ATUAL]]))</f>
        <v>1</v>
      </c>
      <c r="Z139" s="105">
        <f>IF(tabAlmoco[[#This Row],[MOTORISTA]]&lt;&gt;0,15,"")</f>
        <v>15</v>
      </c>
      <c r="AA139" s="131" t="str">
        <f>autocompAlmoco[[#This Row],[CORRESP LINHA]]</f>
        <v>GOIANIA (GO) X SAO LUIS (MA)</v>
      </c>
    </row>
    <row r="140" spans="3:27" ht="15" hidden="1" customHeight="1" x14ac:dyDescent="0.25">
      <c r="C140" s="140" t="s">
        <v>226</v>
      </c>
      <c r="D140" s="56" t="str">
        <f>IF(tabAlmoco[[#This Row],[MOTORISTA]]="","",_xlfn.CONCAT(tabAlmoco[[#This Row],[DATA]],"+",tabAlmoco[[#This Row],[MOTORISTA]]))</f>
        <v>45906+CARLOS ADRIANO DE SOUZA DO NASCIMENTO - 6222</v>
      </c>
      <c r="E140" s="56" t="str">
        <f>_xlfn.XLOOKUP(autocompAlmoco[[#This Row],[COMP ESCALA ATUAL]],tabE.Flux[COMP.AT. MOT A],tabE.Flux[LINHA],"NÃO",0,1)</f>
        <v>GOIANIA (GO) X SAO LUIS (MA)</v>
      </c>
      <c r="F140" s="56" t="str">
        <f>_xlfn.XLOOKUP(autocompAlmoco[[#This Row],[COMP ESCALA ATUAL]],tabE.Flux[COMP.AT. MOT B],tabE.Flux[LINHA],"NÃO",0,1)</f>
        <v>GOIANIA (GO) X SAO LUIS (MA)</v>
      </c>
      <c r="G140" s="61" t="str">
        <f>IF(AND(autocompAlmoco[[#This Row],[EXISTE MOT A AT]]="NÃO", autocompAlmoco[[#This Row],[EXISTE MOT B AT]]="NÃO"),"NÃO","SIM")</f>
        <v>SIM</v>
      </c>
      <c r="H140" s="57" t="str">
        <f>IF(autocompAlmoco[[#This Row],[EXISTE ESCALA ATUAL]]="NÃO",_xlfn.CONCAT(tabAlmoco[[#This Row],[DATA]]-1,"+",tabAlmoco[[#This Row],[MOTORISTA]]),"NÃO")</f>
        <v>NÃO</v>
      </c>
      <c r="I140" s="57" t="str">
        <f>IF(autocompAlmoco[[#This Row],[COMP ESCALA ANTERIOR]]="NÃO","NÃO",_xlfn.XLOOKUP(autocompAlmoco[[#This Row],[COMP ESCALA ANTERIOR]],tabE.Flux[COMP.AT. MOT A],tabE.Flux[LINHA],"NÃO",0,1))</f>
        <v>NÃO</v>
      </c>
      <c r="J140" s="58" t="str">
        <f>IF(autocompAlmoco[[#This Row],[COMP ESCALA ANTERIOR]]="NÃO","NÃO",_xlfn.XLOOKUP(autocompAlmoco[[#This Row],[COMP ESCALA ANTERIOR]],tabE.Flux[COMP.AT. MOT B],tabE.Flux[LINHA],"NÃO",0,1))</f>
        <v>NÃO</v>
      </c>
      <c r="K140" s="62" t="str">
        <f>IF(AND(autocompAlmoco[[#This Row],[EXISTE MOT A ANT]]="NÃO",autocompAlmoco[[#This Row],[EXISTE MOT B ANT]]="NÃO"),"NÃO","SIM")</f>
        <v>NÃO</v>
      </c>
      <c r="L140" s="59" t="str">
        <f t="shared" si="4"/>
        <v>45907+CARLOS ADRIANO DE SOUZA DO NASCIMENTO - 6222</v>
      </c>
      <c r="M140" s="59" t="str">
        <f>IF(autocompAlmoco[[#This Row],[COMP ESCALA POSTERIOR]]="NÃO","NÃO",_xlfn.XLOOKUP(autocompAlmoco[[#This Row],[COMP ESCALA POSTERIOR]],tabE.Flux[COMP.AT. MOT A],tabE.Flux[LINHA],"NÃO",0,1))</f>
        <v>NÃO</v>
      </c>
      <c r="N140" s="59" t="str">
        <f>IF(autocompAlmoco[[#This Row],[COMP ESCALA POSTERIOR]]="NÃO","NÃO",_xlfn.XLOOKUP(autocompAlmoco[[#This Row],[COMP ESCALA POSTERIOR]],tabE.Flux[COMP.AT. MOT B],tabE.Flux[LINHA],"NÃO",0,1))</f>
        <v>NÃO</v>
      </c>
      <c r="O140" s="65" t="str">
        <f>IF(AND(autocompAlmoco[[#This Row],[EXISTE MOT A POS]]="NÃO",autocompAlmoco[[#This Row],[EXISTE MOT B POS]]="NÃO"),"NÃO","SIM")</f>
        <v>NÃO</v>
      </c>
      <c r="P140" s="66" t="str" cm="1">
        <f t="array" ref="P14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40" s="103" t="str" cm="1">
        <f t="array" ref="Q14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45906+CARLOS ADRIANO DE SOUZA DO NASCIMENTO - 6222+GOIANIA (GO) X SAO LUIS (MA)</v>
      </c>
      <c r="R140" s="67">
        <f>_xlfn.XLOOKUP(autocompAlmoco[[#This Row],[COMP ESCALA]],tabE.Flux[COMP. ESCALA MOT B],tabE.Flux[CARRO],
(_xlfn.XLOOKUP(autocompAlmoco[[#This Row],[COMP ESCALA]],tabE.Flux[COMP. ESCALA MOT A],tabE.Flux[CARRO],"N/E",0,1)),0,1)</f>
        <v>24014</v>
      </c>
      <c r="S140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40" s="127">
        <v>45906</v>
      </c>
      <c r="U140" s="131">
        <f>IF(IFERROR(autocompAlmoco[[#This Row],[CORRESP. CARRO]],"")="NÃO",(IF(tabAlmoco[[#This Row],[MOTORISTA]]=0,"","PASSE?")),autocompAlmoco[[#This Row],[CORRESP. CARRO]])</f>
        <v>24014</v>
      </c>
      <c r="V140" s="126">
        <f>IF(OR(ISERR(autocompAlmoco[[#This Row],[CORRESP HORARIO]]), autocompAlmoco[[#This Row],[CORRESP HORARIO]]&lt;&gt;"NÃO"),autocompAlmoco[[#This Row],[CORRESP HORARIO]],"")</f>
        <v>0.29166666666666669</v>
      </c>
      <c r="W140" s="4" t="s">
        <v>299</v>
      </c>
      <c r="X140" s="1" t="s">
        <v>110</v>
      </c>
      <c r="Y140" s="1">
        <f>IF(tabAlmoco[[#This Row],[MOTORISTA]]="","",COUNTIF(autocompAlmoco[COMP ESCALA ATUAL],autocompAlmoco[[#This Row],[COMP ESCALA ATUAL]]))</f>
        <v>1</v>
      </c>
      <c r="Z140" s="105">
        <f>IF(tabAlmoco[[#This Row],[MOTORISTA]]&lt;&gt;0,15,"")</f>
        <v>15</v>
      </c>
      <c r="AA140" s="131" t="str">
        <f>autocompAlmoco[[#This Row],[CORRESP LINHA]]</f>
        <v>GOIANIA (GO) X SAO LUIS (MA)</v>
      </c>
    </row>
    <row r="141" spans="3:27" ht="15" hidden="1" customHeight="1" x14ac:dyDescent="0.25">
      <c r="C141" s="140" t="s">
        <v>226</v>
      </c>
      <c r="D141" s="56" t="str">
        <f>IF(tabAlmoco[[#This Row],[MOTORISTA]]="","",_xlfn.CONCAT(tabAlmoco[[#This Row],[DATA]],"+",tabAlmoco[[#This Row],[MOTORISTA]]))</f>
        <v>45906+ANTONIO LEONESIO CAMPELO DA SILVA - 5303</v>
      </c>
      <c r="E141" s="56" t="str">
        <f>_xlfn.XLOOKUP(autocompAlmoco[[#This Row],[COMP ESCALA ATUAL]],tabE.Flux[COMP.AT. MOT A],tabE.Flux[LINHA],"NÃO",0,1)</f>
        <v>NÃO</v>
      </c>
      <c r="F141" s="56" t="str">
        <f>_xlfn.XLOOKUP(autocompAlmoco[[#This Row],[COMP ESCALA ATUAL]],tabE.Flux[COMP.AT. MOT B],tabE.Flux[LINHA],"NÃO",0,1)</f>
        <v>FORTALEZA (CE) X SINOP (MT)</v>
      </c>
      <c r="G141" s="61" t="str">
        <f>IF(AND(autocompAlmoco[[#This Row],[EXISTE MOT A AT]]="NÃO", autocompAlmoco[[#This Row],[EXISTE MOT B AT]]="NÃO"),"NÃO","SIM")</f>
        <v>SIM</v>
      </c>
      <c r="H141" s="57" t="str">
        <f>IF(autocompAlmoco[[#This Row],[EXISTE ESCALA ATUAL]]="NÃO",_xlfn.CONCAT(tabAlmoco[[#This Row],[DATA]]-1,"+",tabAlmoco[[#This Row],[MOTORISTA]]),"NÃO")</f>
        <v>NÃO</v>
      </c>
      <c r="I141" s="57" t="str">
        <f>IF(autocompAlmoco[[#This Row],[COMP ESCALA ANTERIOR]]="NÃO","NÃO",_xlfn.XLOOKUP(autocompAlmoco[[#This Row],[COMP ESCALA ANTERIOR]],tabE.Flux[COMP.AT. MOT A],tabE.Flux[LINHA],"NÃO",0,1))</f>
        <v>NÃO</v>
      </c>
      <c r="J141" s="58" t="str">
        <f>IF(autocompAlmoco[[#This Row],[COMP ESCALA ANTERIOR]]="NÃO","NÃO",_xlfn.XLOOKUP(autocompAlmoco[[#This Row],[COMP ESCALA ANTERIOR]],tabE.Flux[COMP.AT. MOT B],tabE.Flux[LINHA],"NÃO",0,1))</f>
        <v>NÃO</v>
      </c>
      <c r="K141" s="62" t="str">
        <f>IF(AND(autocompAlmoco[[#This Row],[EXISTE MOT A ANT]]="NÃO",autocompAlmoco[[#This Row],[EXISTE MOT B ANT]]="NÃO"),"NÃO","SIM")</f>
        <v>NÃO</v>
      </c>
      <c r="L141" s="59" t="str">
        <f t="shared" si="4"/>
        <v>45907+ANTONIO LEONESIO CAMPELO DA SILVA - 5303</v>
      </c>
      <c r="M141" s="59" t="str">
        <f>IF(autocompAlmoco[[#This Row],[COMP ESCALA POSTERIOR]]="NÃO","NÃO",_xlfn.XLOOKUP(autocompAlmoco[[#This Row],[COMP ESCALA POSTERIOR]],tabE.Flux[COMP.AT. MOT A],tabE.Flux[LINHA],"NÃO",0,1))</f>
        <v>NÃO</v>
      </c>
      <c r="N141" s="59" t="str">
        <f>IF(autocompAlmoco[[#This Row],[COMP ESCALA POSTERIOR]]="NÃO","NÃO",_xlfn.XLOOKUP(autocompAlmoco[[#This Row],[COMP ESCALA POSTERIOR]],tabE.Flux[COMP.AT. MOT B],tabE.Flux[LINHA],"NÃO",0,1))</f>
        <v>NÃO</v>
      </c>
      <c r="O141" s="65" t="str">
        <f>IF(AND(autocompAlmoco[[#This Row],[EXISTE MOT A POS]]="NÃO",autocompAlmoco[[#This Row],[EXISTE MOT B POS]]="NÃO"),"NÃO","SIM")</f>
        <v>NÃO</v>
      </c>
      <c r="P141" s="66" t="str" cm="1">
        <f t="array" ref="P14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41" s="103" t="str" cm="1">
        <f t="array" ref="Q14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45906+ANTONIO LEONESIO CAMPELO DA SILVA - 5303+FORTALEZA (CE) X SINOP (MT)</v>
      </c>
      <c r="R141" s="67">
        <f>_xlfn.XLOOKUP(autocompAlmoco[[#This Row],[COMP ESCALA]],tabE.Flux[COMP. ESCALA MOT B],tabE.Flux[CARRO],
(_xlfn.XLOOKUP(autocompAlmoco[[#This Row],[COMP ESCALA]],tabE.Flux[COMP. ESCALA MOT A],tabE.Flux[CARRO],"N/E",0,1)),0,1)</f>
        <v>19009</v>
      </c>
      <c r="S141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41" s="127">
        <v>45906</v>
      </c>
      <c r="U141" s="131">
        <f>IF(IFERROR(autocompAlmoco[[#This Row],[CORRESP. CARRO]],"")="NÃO",(IF(tabAlmoco[[#This Row],[MOTORISTA]]=0,"","PASSE?")),autocompAlmoco[[#This Row],[CORRESP. CARRO]])</f>
        <v>19009</v>
      </c>
      <c r="V141" s="126">
        <f>IF(OR(ISERR(autocompAlmoco[[#This Row],[CORRESP HORARIO]]), autocompAlmoco[[#This Row],[CORRESP HORARIO]]&lt;&gt;"NÃO"),autocompAlmoco[[#This Row],[CORRESP HORARIO]],"")</f>
        <v>0.37708333333333333</v>
      </c>
      <c r="W141" s="4" t="s">
        <v>299</v>
      </c>
      <c r="X141" s="1" t="s">
        <v>111</v>
      </c>
      <c r="Y141" s="1">
        <f>IF(tabAlmoco[[#This Row],[MOTORISTA]]="","",COUNTIF(autocompAlmoco[COMP ESCALA ATUAL],autocompAlmoco[[#This Row],[COMP ESCALA ATUAL]]))</f>
        <v>1</v>
      </c>
      <c r="Z141" s="105">
        <f>IF(tabAlmoco[[#This Row],[MOTORISTA]]&lt;&gt;0,15,"")</f>
        <v>15</v>
      </c>
      <c r="AA141" s="131" t="str">
        <f>autocompAlmoco[[#This Row],[CORRESP LINHA]]</f>
        <v>FORTALEZA (CE) X SINOP (MT)</v>
      </c>
    </row>
    <row r="142" spans="3:27" ht="15" hidden="1" customHeight="1" x14ac:dyDescent="0.25">
      <c r="C142" s="140" t="s">
        <v>226</v>
      </c>
      <c r="D142" s="56" t="str">
        <f>IF(tabAlmoco[[#This Row],[MOTORISTA]]="","",_xlfn.CONCAT(tabAlmoco[[#This Row],[DATA]],"+",tabAlmoco[[#This Row],[MOTORISTA]]))</f>
        <v>45906+RAIMUNDO FERNANDES RIBEIRO - 907</v>
      </c>
      <c r="E142" s="56" t="str">
        <f>_xlfn.XLOOKUP(autocompAlmoco[[#This Row],[COMP ESCALA ATUAL]],tabE.Flux[COMP.AT. MOT A],tabE.Flux[LINHA],"NÃO",0,1)</f>
        <v>NÃO</v>
      </c>
      <c r="F142" s="56" t="str">
        <f>_xlfn.XLOOKUP(autocompAlmoco[[#This Row],[COMP ESCALA ATUAL]],tabE.Flux[COMP.AT. MOT B],tabE.Flux[LINHA],"NÃO",0,1)</f>
        <v>NÃO</v>
      </c>
      <c r="G142" s="61" t="str">
        <f>IF(AND(autocompAlmoco[[#This Row],[EXISTE MOT A AT]]="NÃO", autocompAlmoco[[#This Row],[EXISTE MOT B AT]]="NÃO"),"NÃO","SIM")</f>
        <v>NÃO</v>
      </c>
      <c r="H142" s="57" t="str">
        <f>IF(autocompAlmoco[[#This Row],[EXISTE ESCALA ATUAL]]="NÃO",_xlfn.CONCAT(tabAlmoco[[#This Row],[DATA]]-1,"+",tabAlmoco[[#This Row],[MOTORISTA]]),"NÃO")</f>
        <v>45905+RAIMUNDO FERNANDES RIBEIRO - 907</v>
      </c>
      <c r="I142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42" s="58" t="str">
        <f>IF(autocompAlmoco[[#This Row],[COMP ESCALA ANTERIOR]]="NÃO","NÃO",_xlfn.XLOOKUP(autocompAlmoco[[#This Row],[COMP ESCALA ANTERIOR]],tabE.Flux[COMP.AT. MOT B],tabE.Flux[LINHA],"NÃO",0,1))</f>
        <v>NÃO</v>
      </c>
      <c r="K142" s="62" t="str">
        <f>IF(AND(autocompAlmoco[[#This Row],[EXISTE MOT A ANT]]="NÃO",autocompAlmoco[[#This Row],[EXISTE MOT B ANT]]="NÃO"),"NÃO","SIM")</f>
        <v>SIM</v>
      </c>
      <c r="L142" s="59" t="str">
        <f t="shared" si="4"/>
        <v>45907+RAIMUNDO FERNANDES RIBEIRO - 907</v>
      </c>
      <c r="M142" s="59" t="str">
        <f>IF(autocompAlmoco[[#This Row],[COMP ESCALA POSTERIOR]]="NÃO","NÃO",_xlfn.XLOOKUP(autocompAlmoco[[#This Row],[COMP ESCALA POSTERIOR]],tabE.Flux[COMP.AT. MOT A],tabE.Flux[LINHA],"NÃO",0,1))</f>
        <v>NÃO</v>
      </c>
      <c r="N142" s="59" t="str">
        <f>IF(autocompAlmoco[[#This Row],[COMP ESCALA POSTERIOR]]="NÃO","NÃO",_xlfn.XLOOKUP(autocompAlmoco[[#This Row],[COMP ESCALA POSTERIOR]],tabE.Flux[COMP.AT. MOT B],tabE.Flux[LINHA],"NÃO",0,1))</f>
        <v>NÃO</v>
      </c>
      <c r="O142" s="65" t="str">
        <f>IF(AND(autocompAlmoco[[#This Row],[EXISTE MOT A POS]]="NÃO",autocompAlmoco[[#This Row],[EXISTE MOT B POS]]="NÃO"),"NÃO","SIM")</f>
        <v>NÃO</v>
      </c>
      <c r="P142" s="66" t="str" cm="1">
        <f t="array" ref="P14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42" s="103" t="str" cm="1">
        <f t="array" ref="Q14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45905+RAIMUNDO FERNANDES RIBEIRO - 907+GOIANIA (GO) X TERESINA (PI) VIA STI</v>
      </c>
      <c r="R142" s="67">
        <f>_xlfn.XLOOKUP(autocompAlmoco[[#This Row],[COMP ESCALA]],tabE.Flux[COMP. ESCALA MOT B],tabE.Flux[CARRO],
(_xlfn.XLOOKUP(autocompAlmoco[[#This Row],[COMP ESCALA]],tabE.Flux[COMP. ESCALA MOT A],tabE.Flux[CARRO],"N/E",0,1)),0,1)</f>
        <v>17100</v>
      </c>
      <c r="S142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42" s="127">
        <v>45906</v>
      </c>
      <c r="U142" s="131">
        <f>IF(IFERROR(autocompAlmoco[[#This Row],[CORRESP. CARRO]],"")="NÃO",(IF(tabAlmoco[[#This Row],[MOTORISTA]]=0,"","PASSE?")),autocompAlmoco[[#This Row],[CORRESP. CARRO]])</f>
        <v>17100</v>
      </c>
      <c r="V142" s="126">
        <f>IF(OR(ISERR(autocompAlmoco[[#This Row],[CORRESP HORARIO]]), autocompAlmoco[[#This Row],[CORRESP HORARIO]]&lt;&gt;"NÃO"),autocompAlmoco[[#This Row],[CORRESP HORARIO]],"")</f>
        <v>0.79861111111111116</v>
      </c>
      <c r="W142" s="4" t="s">
        <v>299</v>
      </c>
      <c r="X142" s="1" t="s">
        <v>143</v>
      </c>
      <c r="Y142" s="1">
        <f>IF(tabAlmoco[[#This Row],[MOTORISTA]]="","",COUNTIF(autocompAlmoco[COMP ESCALA ATUAL],autocompAlmoco[[#This Row],[COMP ESCALA ATUAL]]))</f>
        <v>1</v>
      </c>
      <c r="Z142" s="105">
        <f>IF(tabAlmoco[[#This Row],[MOTORISTA]]&lt;&gt;0,15,"")</f>
        <v>15</v>
      </c>
      <c r="AA142" s="131" t="str">
        <f>autocompAlmoco[[#This Row],[CORRESP LINHA]]</f>
        <v>GOIANIA (GO) X TERESINA (PI) VIA STI</v>
      </c>
    </row>
    <row r="143" spans="3:27" ht="15" hidden="1" customHeight="1" x14ac:dyDescent="0.25">
      <c r="C143" s="140" t="s">
        <v>226</v>
      </c>
      <c r="D143" s="56" t="str">
        <f>IF(tabAlmoco[[#This Row],[MOTORISTA]]="","",_xlfn.CONCAT(tabAlmoco[[#This Row],[DATA]],"+",tabAlmoco[[#This Row],[MOTORISTA]]))</f>
        <v>45907+RAIMUNDO NONATO MAGALHAES DO NASCIMENTO - 5662</v>
      </c>
      <c r="E143" s="56" t="str">
        <f>_xlfn.XLOOKUP(autocompAlmoco[[#This Row],[COMP ESCALA ATUAL]],tabE.Flux[COMP.AT. MOT A],tabE.Flux[LINHA],"NÃO",0,1)</f>
        <v>NÃO</v>
      </c>
      <c r="F143" s="56" t="str">
        <f>_xlfn.XLOOKUP(autocompAlmoco[[#This Row],[COMP ESCALA ATUAL]],tabE.Flux[COMP.AT. MOT B],tabE.Flux[LINHA],"NÃO",0,1)</f>
        <v>FORTALEZA (CE) X SINOP (MT)</v>
      </c>
      <c r="G143" s="61" t="str">
        <f>IF(AND(autocompAlmoco[[#This Row],[EXISTE MOT A AT]]="NÃO", autocompAlmoco[[#This Row],[EXISTE MOT B AT]]="NÃO"),"NÃO","SIM")</f>
        <v>SIM</v>
      </c>
      <c r="H143" s="57" t="str">
        <f>IF(autocompAlmoco[[#This Row],[EXISTE ESCALA ATUAL]]="NÃO",_xlfn.CONCAT(tabAlmoco[[#This Row],[DATA]]-1,"+",tabAlmoco[[#This Row],[MOTORISTA]]),"NÃO")</f>
        <v>NÃO</v>
      </c>
      <c r="I143" s="57" t="str">
        <f>IF(autocompAlmoco[[#This Row],[COMP ESCALA ANTERIOR]]="NÃO","NÃO",_xlfn.XLOOKUP(autocompAlmoco[[#This Row],[COMP ESCALA ANTERIOR]],tabE.Flux[COMP.AT. MOT A],tabE.Flux[LINHA],"NÃO",0,1))</f>
        <v>NÃO</v>
      </c>
      <c r="J143" s="58" t="str">
        <f>IF(autocompAlmoco[[#This Row],[COMP ESCALA ANTERIOR]]="NÃO","NÃO",_xlfn.XLOOKUP(autocompAlmoco[[#This Row],[COMP ESCALA ANTERIOR]],tabE.Flux[COMP.AT. MOT B],tabE.Flux[LINHA],"NÃO",0,1))</f>
        <v>NÃO</v>
      </c>
      <c r="K143" s="62" t="str">
        <f>IF(AND(autocompAlmoco[[#This Row],[EXISTE MOT A ANT]]="NÃO",autocompAlmoco[[#This Row],[EXISTE MOT B ANT]]="NÃO"),"NÃO","SIM")</f>
        <v>NÃO</v>
      </c>
      <c r="L143" s="59" t="str">
        <f t="shared" si="4"/>
        <v>45908+RAIMUNDO NONATO MAGALHAES DO NASCIMENTO - 5662</v>
      </c>
      <c r="M143" s="59" t="str">
        <f>IF(autocompAlmoco[[#This Row],[COMP ESCALA POSTERIOR]]="NÃO","NÃO",_xlfn.XLOOKUP(autocompAlmoco[[#This Row],[COMP ESCALA POSTERIOR]],tabE.Flux[COMP.AT. MOT A],tabE.Flux[LINHA],"NÃO",0,1))</f>
        <v>NÃO</v>
      </c>
      <c r="N143" s="59" t="str">
        <f>IF(autocompAlmoco[[#This Row],[COMP ESCALA POSTERIOR]]="NÃO","NÃO",_xlfn.XLOOKUP(autocompAlmoco[[#This Row],[COMP ESCALA POSTERIOR]],tabE.Flux[COMP.AT. MOT B],tabE.Flux[LINHA],"NÃO",0,1))</f>
        <v>NÃO</v>
      </c>
      <c r="O143" s="65" t="str">
        <f>IF(AND(autocompAlmoco[[#This Row],[EXISTE MOT A POS]]="NÃO",autocompAlmoco[[#This Row],[EXISTE MOT B POS]]="NÃO"),"NÃO","SIM")</f>
        <v>NÃO</v>
      </c>
      <c r="P143" s="66" t="str" cm="1">
        <f t="array" ref="P14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43" s="103" t="str" cm="1">
        <f t="array" ref="Q14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45907+RAIMUNDO NONATO MAGALHAES DO NASCIMENTO - 5662+FORTALEZA (CE) X SINOP (MT)</v>
      </c>
      <c r="R143" s="67">
        <f>_xlfn.XLOOKUP(autocompAlmoco[[#This Row],[COMP ESCALA]],tabE.Flux[COMP. ESCALA MOT B],tabE.Flux[CARRO],
(_xlfn.XLOOKUP(autocompAlmoco[[#This Row],[COMP ESCALA]],tabE.Flux[COMP. ESCALA MOT A],tabE.Flux[CARRO],"N/E",0,1)),0,1)</f>
        <v>19010</v>
      </c>
      <c r="S143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43" s="127">
        <v>45907</v>
      </c>
      <c r="U143" s="4">
        <f>IF(IFERROR(autocompAlmoco[[#This Row],[CORRESP. CARRO]],"")="NÃO",(IF(tabAlmoco[[#This Row],[MOTORISTA]]=0,"","PASSE?")),autocompAlmoco[[#This Row],[CORRESP. CARRO]])</f>
        <v>19010</v>
      </c>
      <c r="V143" s="128">
        <f>IF(OR(ISERR(autocompAlmoco[[#This Row],[CORRESP HORARIO]]), autocompAlmoco[[#This Row],[CORRESP HORARIO]]&lt;&gt;"NÃO"),autocompAlmoco[[#This Row],[CORRESP HORARIO]],"")</f>
        <v>0.37708333333333333</v>
      </c>
      <c r="W143" s="4" t="s">
        <v>299</v>
      </c>
      <c r="X143" s="4" t="s">
        <v>101</v>
      </c>
      <c r="Y143" s="4">
        <f>IF(tabAlmoco[[#This Row],[MOTORISTA]]="","",COUNTIF(autocompAlmoco[COMP ESCALA ATUAL],autocompAlmoco[[#This Row],[COMP ESCALA ATUAL]]))</f>
        <v>1</v>
      </c>
      <c r="Z143" s="45">
        <f>IF(tabAlmoco[[#This Row],[MOTORISTA]]&lt;&gt;0,15,"")</f>
        <v>15</v>
      </c>
      <c r="AA143" s="4" t="str">
        <f>autocompAlmoco[[#This Row],[CORRESP LINHA]]</f>
        <v>FORTALEZA (CE) X SINOP (MT)</v>
      </c>
    </row>
    <row r="144" spans="3:27" ht="15" hidden="1" customHeight="1" x14ac:dyDescent="0.25">
      <c r="C144" s="140" t="s">
        <v>226</v>
      </c>
      <c r="D144" s="56" t="str">
        <f>IF(tabAlmoco[[#This Row],[MOTORISTA]]="","",_xlfn.CONCAT(tabAlmoco[[#This Row],[DATA]],"+",tabAlmoco[[#This Row],[MOTORISTA]]))</f>
        <v>45907+RAIMUNDO COSTA SILVA - 6226</v>
      </c>
      <c r="E144" s="56" t="str">
        <f>_xlfn.XLOOKUP(autocompAlmoco[[#This Row],[COMP ESCALA ATUAL]],tabE.Flux[COMP.AT. MOT A],tabE.Flux[LINHA],"NÃO",0,1)</f>
        <v>NÃO</v>
      </c>
      <c r="F144" s="56" t="str">
        <f>_xlfn.XLOOKUP(autocompAlmoco[[#This Row],[COMP ESCALA ATUAL]],tabE.Flux[COMP.AT. MOT B],tabE.Flux[LINHA],"NÃO",0,1)</f>
        <v>GOIANIA (GO) X SAO LUIS (MA)</v>
      </c>
      <c r="G144" s="61" t="str">
        <f>IF(AND(autocompAlmoco[[#This Row],[EXISTE MOT A AT]]="NÃO", autocompAlmoco[[#This Row],[EXISTE MOT B AT]]="NÃO"),"NÃO","SIM")</f>
        <v>SIM</v>
      </c>
      <c r="H144" s="57" t="str">
        <f>IF(autocompAlmoco[[#This Row],[EXISTE ESCALA ATUAL]]="NÃO",_xlfn.CONCAT(tabAlmoco[[#This Row],[DATA]]-1,"+",tabAlmoco[[#This Row],[MOTORISTA]]),"NÃO")</f>
        <v>NÃO</v>
      </c>
      <c r="I144" s="57" t="str">
        <f>IF(autocompAlmoco[[#This Row],[COMP ESCALA ANTERIOR]]="NÃO","NÃO",_xlfn.XLOOKUP(autocompAlmoco[[#This Row],[COMP ESCALA ANTERIOR]],tabE.Flux[COMP.AT. MOT A],tabE.Flux[LINHA],"NÃO",0,1))</f>
        <v>NÃO</v>
      </c>
      <c r="J144" s="58" t="str">
        <f>IF(autocompAlmoco[[#This Row],[COMP ESCALA ANTERIOR]]="NÃO","NÃO",_xlfn.XLOOKUP(autocompAlmoco[[#This Row],[COMP ESCALA ANTERIOR]],tabE.Flux[COMP.AT. MOT B],tabE.Flux[LINHA],"NÃO",0,1))</f>
        <v>NÃO</v>
      </c>
      <c r="K144" s="62" t="str">
        <f>IF(AND(autocompAlmoco[[#This Row],[EXISTE MOT A ANT]]="NÃO",autocompAlmoco[[#This Row],[EXISTE MOT B ANT]]="NÃO"),"NÃO","SIM")</f>
        <v>NÃO</v>
      </c>
      <c r="L144" s="59" t="str">
        <f t="shared" si="4"/>
        <v>45908+RAIMUNDO COSTA SILVA - 6226</v>
      </c>
      <c r="M144" s="59" t="str">
        <f>IF(autocompAlmoco[[#This Row],[COMP ESCALA POSTERIOR]]="NÃO","NÃO",_xlfn.XLOOKUP(autocompAlmoco[[#This Row],[COMP ESCALA POSTERIOR]],tabE.Flux[COMP.AT. MOT A],tabE.Flux[LINHA],"NÃO",0,1))</f>
        <v>NÃO</v>
      </c>
      <c r="N144" s="59" t="str">
        <f>IF(autocompAlmoco[[#This Row],[COMP ESCALA POSTERIOR]]="NÃO","NÃO",_xlfn.XLOOKUP(autocompAlmoco[[#This Row],[COMP ESCALA POSTERIOR]],tabE.Flux[COMP.AT. MOT B],tabE.Flux[LINHA],"NÃO",0,1))</f>
        <v>NÃO</v>
      </c>
      <c r="O144" s="65" t="str">
        <f>IF(AND(autocompAlmoco[[#This Row],[EXISTE MOT A POS]]="NÃO",autocompAlmoco[[#This Row],[EXISTE MOT B POS]]="NÃO"),"NÃO","SIM")</f>
        <v>NÃO</v>
      </c>
      <c r="P144" s="66" t="str" cm="1">
        <f t="array" ref="P14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44" s="103" t="str" cm="1">
        <f t="array" ref="Q14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45907+RAIMUNDO COSTA SILVA - 6226+GOIANIA (GO) X SAO LUIS (MA)</v>
      </c>
      <c r="R144" s="67">
        <f>_xlfn.XLOOKUP(autocompAlmoco[[#This Row],[COMP ESCALA]],tabE.Flux[COMP. ESCALA MOT B],tabE.Flux[CARRO],
(_xlfn.XLOOKUP(autocompAlmoco[[#This Row],[COMP ESCALA]],tabE.Flux[COMP. ESCALA MOT A],tabE.Flux[CARRO],"N/E",0,1)),0,1)</f>
        <v>24016</v>
      </c>
      <c r="S144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144" s="127">
        <v>45907</v>
      </c>
      <c r="U144" s="4">
        <f>IF(IFERROR(autocompAlmoco[[#This Row],[CORRESP. CARRO]],"")="NÃO",(IF(tabAlmoco[[#This Row],[MOTORISTA]]=0,"","PASSE?")),autocompAlmoco[[#This Row],[CORRESP. CARRO]])</f>
        <v>24016</v>
      </c>
      <c r="V144" s="126">
        <f>IF(OR(ISERR(autocompAlmoco[[#This Row],[CORRESP HORARIO]]), autocompAlmoco[[#This Row],[CORRESP HORARIO]]&lt;&gt;"NÃO"),autocompAlmoco[[#This Row],[CORRESP HORARIO]],"")</f>
        <v>0.84375</v>
      </c>
      <c r="W144" s="4" t="s">
        <v>299</v>
      </c>
      <c r="X144" s="1" t="s">
        <v>45</v>
      </c>
      <c r="Y144" s="1">
        <f>IF(tabAlmoco[[#This Row],[MOTORISTA]]="","",COUNTIF(autocompAlmoco[COMP ESCALA ATUAL],autocompAlmoco[[#This Row],[COMP ESCALA ATUAL]]))</f>
        <v>1</v>
      </c>
      <c r="Z144" s="105">
        <f>IF(tabAlmoco[[#This Row],[MOTORISTA]]&lt;&gt;0,15,"")</f>
        <v>15</v>
      </c>
      <c r="AA144" s="4" t="str">
        <f>autocompAlmoco[[#This Row],[CORRESP LINHA]]</f>
        <v>GOIANIA (GO) X SAO LUIS (MA)</v>
      </c>
    </row>
    <row r="145" spans="3:27" ht="15" hidden="1" customHeight="1" x14ac:dyDescent="0.25">
      <c r="C145" s="140" t="s">
        <v>226</v>
      </c>
      <c r="D145" s="56" t="str">
        <f>IF(tabAlmoco[[#This Row],[MOTORISTA]]="","",_xlfn.CONCAT(tabAlmoco[[#This Row],[DATA]],"+",tabAlmoco[[#This Row],[MOTORISTA]]))</f>
        <v>45907+NILSON CORTEZ MIRANDA - 5636</v>
      </c>
      <c r="E145" s="56" t="str">
        <f>_xlfn.XLOOKUP(autocompAlmoco[[#This Row],[COMP ESCALA ATUAL]],tabE.Flux[COMP.AT. MOT A],tabE.Flux[LINHA],"NÃO",0,1)</f>
        <v>NÃO</v>
      </c>
      <c r="F145" s="56" t="str">
        <f>_xlfn.XLOOKUP(autocompAlmoco[[#This Row],[COMP ESCALA ATUAL]],tabE.Flux[COMP.AT. MOT B],tabE.Flux[LINHA],"NÃO",0,1)</f>
        <v>NÃO</v>
      </c>
      <c r="G145" s="61" t="str">
        <f>IF(AND(autocompAlmoco[[#This Row],[EXISTE MOT A AT]]="NÃO", autocompAlmoco[[#This Row],[EXISTE MOT B AT]]="NÃO"),"NÃO","SIM")</f>
        <v>NÃO</v>
      </c>
      <c r="H145" s="57" t="str">
        <f>IF(autocompAlmoco[[#This Row],[EXISTE ESCALA ATUAL]]="NÃO",_xlfn.CONCAT(tabAlmoco[[#This Row],[DATA]]-1,"+",tabAlmoco[[#This Row],[MOTORISTA]]),"NÃO")</f>
        <v>45906+NILSON CORTEZ MIRANDA - 5636</v>
      </c>
      <c r="I145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45" s="58" t="str">
        <f>IF(autocompAlmoco[[#This Row],[COMP ESCALA ANTERIOR]]="NÃO","NÃO",_xlfn.XLOOKUP(autocompAlmoco[[#This Row],[COMP ESCALA ANTERIOR]],tabE.Flux[COMP.AT. MOT B],tabE.Flux[LINHA],"NÃO",0,1))</f>
        <v>NÃO</v>
      </c>
      <c r="K145" s="62" t="str">
        <f>IF(AND(autocompAlmoco[[#This Row],[EXISTE MOT A ANT]]="NÃO",autocompAlmoco[[#This Row],[EXISTE MOT B ANT]]="NÃO"),"NÃO","SIM")</f>
        <v>SIM</v>
      </c>
      <c r="L145" s="59" t="str">
        <f t="shared" si="4"/>
        <v>45908+NILSON CORTEZ MIRANDA - 5636</v>
      </c>
      <c r="M145" s="59" t="str">
        <f>IF(autocompAlmoco[[#This Row],[COMP ESCALA POSTERIOR]]="NÃO","NÃO",_xlfn.XLOOKUP(autocompAlmoco[[#This Row],[COMP ESCALA POSTERIOR]],tabE.Flux[COMP.AT. MOT A],tabE.Flux[LINHA],"NÃO",0,1))</f>
        <v>NÃO</v>
      </c>
      <c r="N145" s="59" t="str">
        <f>IF(autocompAlmoco[[#This Row],[COMP ESCALA POSTERIOR]]="NÃO","NÃO",_xlfn.XLOOKUP(autocompAlmoco[[#This Row],[COMP ESCALA POSTERIOR]],tabE.Flux[COMP.AT. MOT B],tabE.Flux[LINHA],"NÃO",0,1))</f>
        <v>NÃO</v>
      </c>
      <c r="O145" s="65" t="str">
        <f>IF(AND(autocompAlmoco[[#This Row],[EXISTE MOT A POS]]="NÃO",autocompAlmoco[[#This Row],[EXISTE MOT B POS]]="NÃO"),"NÃO","SIM")</f>
        <v>NÃO</v>
      </c>
      <c r="P145" s="66" t="str" cm="1">
        <f t="array" ref="P14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45" s="103" t="str" cm="1">
        <f t="array" ref="Q14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45906+NILSON CORTEZ MIRANDA - 5636+GOIANIA (GO) X TERESINA (PI) VIA STI</v>
      </c>
      <c r="R145" s="67">
        <f>_xlfn.XLOOKUP(autocompAlmoco[[#This Row],[COMP ESCALA]],tabE.Flux[COMP. ESCALA MOT B],tabE.Flux[CARRO],
(_xlfn.XLOOKUP(autocompAlmoco[[#This Row],[COMP ESCALA]],tabE.Flux[COMP. ESCALA MOT A],tabE.Flux[CARRO],"N/E",0,1)),0,1)</f>
        <v>19017</v>
      </c>
      <c r="S145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45" s="127">
        <v>45907</v>
      </c>
      <c r="U145" s="131">
        <f>IF(IFERROR(autocompAlmoco[[#This Row],[CORRESP. CARRO]],"")="NÃO",(IF(tabAlmoco[[#This Row],[MOTORISTA]]=0,"","PASSE?")),autocompAlmoco[[#This Row],[CORRESP. CARRO]])</f>
        <v>19017</v>
      </c>
      <c r="V145" s="126">
        <f>IF(OR(ISERR(autocompAlmoco[[#This Row],[CORRESP HORARIO]]), autocompAlmoco[[#This Row],[CORRESP HORARIO]]&lt;&gt;"NÃO"),autocompAlmoco[[#This Row],[CORRESP HORARIO]],"")</f>
        <v>0.79861111111111116</v>
      </c>
      <c r="W145" s="4" t="s">
        <v>299</v>
      </c>
      <c r="X145" s="1" t="s">
        <v>75</v>
      </c>
      <c r="Y145" s="1">
        <f>IF(tabAlmoco[[#This Row],[MOTORISTA]]="","",COUNTIF(autocompAlmoco[COMP ESCALA ATUAL],autocompAlmoco[[#This Row],[COMP ESCALA ATUAL]]))</f>
        <v>1</v>
      </c>
      <c r="Z145" s="105">
        <f>IF(tabAlmoco[[#This Row],[MOTORISTA]]&lt;&gt;0,15,"")</f>
        <v>15</v>
      </c>
      <c r="AA145" s="131" t="str">
        <f>autocompAlmoco[[#This Row],[CORRESP LINHA]]</f>
        <v>GOIANIA (GO) X TERESINA (PI) VIA STI</v>
      </c>
    </row>
    <row r="146" spans="3:27" ht="15" hidden="1" customHeight="1" x14ac:dyDescent="0.25">
      <c r="C146" s="140" t="s">
        <v>226</v>
      </c>
      <c r="D146" s="56" t="str">
        <f>IF(tabAlmoco[[#This Row],[MOTORISTA]]="","",_xlfn.CONCAT(tabAlmoco[[#This Row],[DATA]],"+",tabAlmoco[[#This Row],[MOTORISTA]]))</f>
        <v>45907+KAYLSON KLEYTON DA SILVA COSTA - 6224</v>
      </c>
      <c r="E146" s="56" t="str">
        <f>_xlfn.XLOOKUP(autocompAlmoco[[#This Row],[COMP ESCALA ATUAL]],tabE.Flux[COMP.AT. MOT A],tabE.Flux[LINHA],"NÃO",0,1)</f>
        <v>NÃO</v>
      </c>
      <c r="F146" s="56" t="str">
        <f>_xlfn.XLOOKUP(autocompAlmoco[[#This Row],[COMP ESCALA ATUAL]],tabE.Flux[COMP.AT. MOT B],tabE.Flux[LINHA],"NÃO",0,1)</f>
        <v>GOIANIA (GO) X SAO LUIS (MA)</v>
      </c>
      <c r="G146" s="61" t="str">
        <f>IF(AND(autocompAlmoco[[#This Row],[EXISTE MOT A AT]]="NÃO", autocompAlmoco[[#This Row],[EXISTE MOT B AT]]="NÃO"),"NÃO","SIM")</f>
        <v>SIM</v>
      </c>
      <c r="H146" s="57" t="str">
        <f>IF(autocompAlmoco[[#This Row],[EXISTE ESCALA ATUAL]]="NÃO",_xlfn.CONCAT(tabAlmoco[[#This Row],[DATA]]-1,"+",tabAlmoco[[#This Row],[MOTORISTA]]),"NÃO")</f>
        <v>NÃO</v>
      </c>
      <c r="I146" s="57" t="str">
        <f>IF(autocompAlmoco[[#This Row],[COMP ESCALA ANTERIOR]]="NÃO","NÃO",_xlfn.XLOOKUP(autocompAlmoco[[#This Row],[COMP ESCALA ANTERIOR]],tabE.Flux[COMP.AT. MOT A],tabE.Flux[LINHA],"NÃO",0,1))</f>
        <v>NÃO</v>
      </c>
      <c r="J146" s="58" t="str">
        <f>IF(autocompAlmoco[[#This Row],[COMP ESCALA ANTERIOR]]="NÃO","NÃO",_xlfn.XLOOKUP(autocompAlmoco[[#This Row],[COMP ESCALA ANTERIOR]],tabE.Flux[COMP.AT. MOT B],tabE.Flux[LINHA],"NÃO",0,1))</f>
        <v>NÃO</v>
      </c>
      <c r="K146" s="62" t="str">
        <f>IF(AND(autocompAlmoco[[#This Row],[EXISTE MOT A ANT]]="NÃO",autocompAlmoco[[#This Row],[EXISTE MOT B ANT]]="NÃO"),"NÃO","SIM")</f>
        <v>NÃO</v>
      </c>
      <c r="L146" s="59" t="str">
        <f t="shared" si="4"/>
        <v>45908+KAYLSON KLEYTON DA SILVA COSTA - 6224</v>
      </c>
      <c r="M146" s="59" t="str">
        <f>IF(autocompAlmoco[[#This Row],[COMP ESCALA POSTERIOR]]="NÃO","NÃO",_xlfn.XLOOKUP(autocompAlmoco[[#This Row],[COMP ESCALA POSTERIOR]],tabE.Flux[COMP.AT. MOT A],tabE.Flux[LINHA],"NÃO",0,1))</f>
        <v>NÃO</v>
      </c>
      <c r="N146" s="59" t="str">
        <f>IF(autocompAlmoco[[#This Row],[COMP ESCALA POSTERIOR]]="NÃO","NÃO",_xlfn.XLOOKUP(autocompAlmoco[[#This Row],[COMP ESCALA POSTERIOR]],tabE.Flux[COMP.AT. MOT B],tabE.Flux[LINHA],"NÃO",0,1))</f>
        <v>NÃO</v>
      </c>
      <c r="O146" s="65" t="str">
        <f>IF(AND(autocompAlmoco[[#This Row],[EXISTE MOT A POS]]="NÃO",autocompAlmoco[[#This Row],[EXISTE MOT B POS]]="NÃO"),"NÃO","SIM")</f>
        <v>NÃO</v>
      </c>
      <c r="P146" s="66" t="str" cm="1">
        <f t="array" ref="P14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46" s="103" t="str" cm="1">
        <f t="array" ref="Q14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45907+KAYLSON KLEYTON DA SILVA COSTA - 6224+GOIANIA (GO) X SAO LUIS (MA)</v>
      </c>
      <c r="R146" s="67">
        <f>_xlfn.XLOOKUP(autocompAlmoco[[#This Row],[COMP ESCALA]],tabE.Flux[COMP. ESCALA MOT B],tabE.Flux[CARRO],
(_xlfn.XLOOKUP(autocompAlmoco[[#This Row],[COMP ESCALA]],tabE.Flux[COMP. ESCALA MOT A],tabE.Flux[CARRO],"N/E",0,1)),0,1)</f>
        <v>20019</v>
      </c>
      <c r="S146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46" s="127">
        <v>45907</v>
      </c>
      <c r="U146" s="131">
        <f>IF(IFERROR(autocompAlmoco[[#This Row],[CORRESP. CARRO]],"")="NÃO",(IF(tabAlmoco[[#This Row],[MOTORISTA]]=0,"","PASSE?")),autocompAlmoco[[#This Row],[CORRESP. CARRO]])</f>
        <v>20019</v>
      </c>
      <c r="V146" s="126">
        <f>IF(OR(ISERR(autocompAlmoco[[#This Row],[CORRESP HORARIO]]), autocompAlmoco[[#This Row],[CORRESP HORARIO]]&lt;&gt;"NÃO"),autocompAlmoco[[#This Row],[CORRESP HORARIO]],"")</f>
        <v>0.47013888888888888</v>
      </c>
      <c r="W146" s="4" t="s">
        <v>299</v>
      </c>
      <c r="X146" s="1" t="s">
        <v>80</v>
      </c>
      <c r="Y146" s="1">
        <f>IF(tabAlmoco[[#This Row],[MOTORISTA]]="","",COUNTIF(autocompAlmoco[COMP ESCALA ATUAL],autocompAlmoco[[#This Row],[COMP ESCALA ATUAL]]))</f>
        <v>1</v>
      </c>
      <c r="Z146" s="105">
        <f>IF(tabAlmoco[[#This Row],[MOTORISTA]]&lt;&gt;0,15,"")</f>
        <v>15</v>
      </c>
      <c r="AA146" s="131" t="str">
        <f>autocompAlmoco[[#This Row],[CORRESP LINHA]]</f>
        <v>GOIANIA (GO) X SAO LUIS (MA)</v>
      </c>
    </row>
    <row r="147" spans="3:27" ht="15" hidden="1" customHeight="1" x14ac:dyDescent="0.25">
      <c r="C147" s="140" t="s">
        <v>226</v>
      </c>
      <c r="D147" s="56" t="str">
        <f>IF(tabAlmoco[[#This Row],[MOTORISTA]]="","",_xlfn.CONCAT(tabAlmoco[[#This Row],[DATA]],"+",tabAlmoco[[#This Row],[MOTORISTA]]))</f>
        <v>45908+LUIZ CARLOS MARIANO SIQUEIRA - 5634</v>
      </c>
      <c r="E147" s="56" t="str">
        <f>_xlfn.XLOOKUP(autocompAlmoco[[#This Row],[COMP ESCALA ATUAL]],tabE.Flux[COMP.AT. MOT A],tabE.Flux[LINHA],"NÃO",0,1)</f>
        <v>NÃO</v>
      </c>
      <c r="F147" s="56" t="str">
        <f>_xlfn.XLOOKUP(autocompAlmoco[[#This Row],[COMP ESCALA ATUAL]],tabE.Flux[COMP.AT. MOT B],tabE.Flux[LINHA],"NÃO",0,1)</f>
        <v>GOIANIA (GO) X SAO LUIS (MA)</v>
      </c>
      <c r="G147" s="61" t="str">
        <f>IF(AND(autocompAlmoco[[#This Row],[EXISTE MOT A AT]]="NÃO", autocompAlmoco[[#This Row],[EXISTE MOT B AT]]="NÃO"),"NÃO","SIM")</f>
        <v>SIM</v>
      </c>
      <c r="H147" s="57" t="str">
        <f>IF(autocompAlmoco[[#This Row],[EXISTE ESCALA ATUAL]]="NÃO",_xlfn.CONCAT(tabAlmoco[[#This Row],[DATA]]-1,"+",tabAlmoco[[#This Row],[MOTORISTA]]),"NÃO")</f>
        <v>NÃO</v>
      </c>
      <c r="I147" s="57" t="str">
        <f>IF(autocompAlmoco[[#This Row],[COMP ESCALA ANTERIOR]]="NÃO","NÃO",_xlfn.XLOOKUP(autocompAlmoco[[#This Row],[COMP ESCALA ANTERIOR]],tabE.Flux[COMP.AT. MOT A],tabE.Flux[LINHA],"NÃO",0,1))</f>
        <v>NÃO</v>
      </c>
      <c r="J147" s="58" t="str">
        <f>IF(autocompAlmoco[[#This Row],[COMP ESCALA ANTERIOR]]="NÃO","NÃO",_xlfn.XLOOKUP(autocompAlmoco[[#This Row],[COMP ESCALA ANTERIOR]],tabE.Flux[COMP.AT. MOT B],tabE.Flux[LINHA],"NÃO",0,1))</f>
        <v>NÃO</v>
      </c>
      <c r="K147" s="62" t="str">
        <f>IF(AND(autocompAlmoco[[#This Row],[EXISTE MOT A ANT]]="NÃO",autocompAlmoco[[#This Row],[EXISTE MOT B ANT]]="NÃO"),"NÃO","SIM")</f>
        <v>NÃO</v>
      </c>
      <c r="L147" s="59" t="str">
        <f t="shared" si="4"/>
        <v>45909+LUIZ CARLOS MARIANO SIQUEIRA - 5634</v>
      </c>
      <c r="M147" s="59" t="str">
        <f>IF(autocompAlmoco[[#This Row],[COMP ESCALA POSTERIOR]]="NÃO","NÃO",_xlfn.XLOOKUP(autocompAlmoco[[#This Row],[COMP ESCALA POSTERIOR]],tabE.Flux[COMP.AT. MOT A],tabE.Flux[LINHA],"NÃO",0,1))</f>
        <v>NÃO</v>
      </c>
      <c r="N147" s="59" t="str">
        <f>IF(autocompAlmoco[[#This Row],[COMP ESCALA POSTERIOR]]="NÃO","NÃO",_xlfn.XLOOKUP(autocompAlmoco[[#This Row],[COMP ESCALA POSTERIOR]],tabE.Flux[COMP.AT. MOT B],tabE.Flux[LINHA],"NÃO",0,1))</f>
        <v>NÃO</v>
      </c>
      <c r="O147" s="65" t="str">
        <f>IF(AND(autocompAlmoco[[#This Row],[EXISTE MOT A POS]]="NÃO",autocompAlmoco[[#This Row],[EXISTE MOT B POS]]="NÃO"),"NÃO","SIM")</f>
        <v>NÃO</v>
      </c>
      <c r="P147" s="66" t="str" cm="1">
        <f t="array" ref="P14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47" s="103" t="str" cm="1">
        <f t="array" ref="Q14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45908+LUIZ CARLOS MARIANO SIQUEIRA - 5634+GOIANIA (GO) X SAO LUIS (MA)</v>
      </c>
      <c r="R147" s="67">
        <f>_xlfn.XLOOKUP(autocompAlmoco[[#This Row],[COMP ESCALA]],tabE.Flux[COMP. ESCALA MOT B],tabE.Flux[CARRO],
(_xlfn.XLOOKUP(autocompAlmoco[[#This Row],[COMP ESCALA]],tabE.Flux[COMP. ESCALA MOT A],tabE.Flux[CARRO],"N/E",0,1)),0,1)</f>
        <v>20018</v>
      </c>
      <c r="S147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47" s="127">
        <v>45908</v>
      </c>
      <c r="U147" s="4">
        <f>IF(IFERROR(autocompAlmoco[[#This Row],[CORRESP. CARRO]],"")="NÃO",(IF(tabAlmoco[[#This Row],[MOTORISTA]]=0,"","PASSE?")),autocompAlmoco[[#This Row],[CORRESP. CARRO]])</f>
        <v>20018</v>
      </c>
      <c r="V147" s="128">
        <f>IF(OR(ISERR(autocompAlmoco[[#This Row],[CORRESP HORARIO]]), autocompAlmoco[[#This Row],[CORRESP HORARIO]]&lt;&gt;"NÃO"),autocompAlmoco[[#This Row],[CORRESP HORARIO]],"")</f>
        <v>0.29166666666666669</v>
      </c>
      <c r="W147" s="4" t="s">
        <v>299</v>
      </c>
      <c r="X147" s="4" t="s">
        <v>51</v>
      </c>
      <c r="Y147" s="4">
        <f>IF(tabAlmoco[[#This Row],[MOTORISTA]]="","",COUNTIF(autocompAlmoco[COMP ESCALA ATUAL],autocompAlmoco[[#This Row],[COMP ESCALA ATUAL]]))</f>
        <v>1</v>
      </c>
      <c r="Z147" s="45">
        <f>IF(tabAlmoco[[#This Row],[MOTORISTA]]&lt;&gt;0,15,"")</f>
        <v>15</v>
      </c>
      <c r="AA147" s="4" t="str">
        <f>autocompAlmoco[[#This Row],[CORRESP LINHA]]</f>
        <v>GOIANIA (GO) X SAO LUIS (MA)</v>
      </c>
    </row>
    <row r="148" spans="3:27" ht="15" hidden="1" customHeight="1" x14ac:dyDescent="0.25">
      <c r="C148" s="140" t="s">
        <v>226</v>
      </c>
      <c r="D148" s="56" t="str">
        <f>IF(tabAlmoco[[#This Row],[MOTORISTA]]="","",_xlfn.CONCAT(tabAlmoco[[#This Row],[DATA]],"+",tabAlmoco[[#This Row],[MOTORISTA]]))</f>
        <v>45908+DAVID ALVES PEREIRA - 5300</v>
      </c>
      <c r="E148" s="56" t="str">
        <f>_xlfn.XLOOKUP(autocompAlmoco[[#This Row],[COMP ESCALA ATUAL]],tabE.Flux[COMP.AT. MOT A],tabE.Flux[LINHA],"NÃO",0,1)</f>
        <v>NÃO</v>
      </c>
      <c r="F148" s="56" t="str">
        <f>_xlfn.XLOOKUP(autocompAlmoco[[#This Row],[COMP ESCALA ATUAL]],tabE.Flux[COMP.AT. MOT B],tabE.Flux[LINHA],"NÃO",0,1)</f>
        <v>FORTALEZA (CE) X SINOP (MT)</v>
      </c>
      <c r="G148" s="61" t="str">
        <f>IF(AND(autocompAlmoco[[#This Row],[EXISTE MOT A AT]]="NÃO", autocompAlmoco[[#This Row],[EXISTE MOT B AT]]="NÃO"),"NÃO","SIM")</f>
        <v>SIM</v>
      </c>
      <c r="H148" s="57" t="str">
        <f>IF(autocompAlmoco[[#This Row],[EXISTE ESCALA ATUAL]]="NÃO",_xlfn.CONCAT(tabAlmoco[[#This Row],[DATA]]-1,"+",tabAlmoco[[#This Row],[MOTORISTA]]),"NÃO")</f>
        <v>NÃO</v>
      </c>
      <c r="I148" s="57" t="str">
        <f>IF(autocompAlmoco[[#This Row],[COMP ESCALA ANTERIOR]]="NÃO","NÃO",_xlfn.XLOOKUP(autocompAlmoco[[#This Row],[COMP ESCALA ANTERIOR]],tabE.Flux[COMP.AT. MOT A],tabE.Flux[LINHA],"NÃO",0,1))</f>
        <v>NÃO</v>
      </c>
      <c r="J148" s="58" t="str">
        <f>IF(autocompAlmoco[[#This Row],[COMP ESCALA ANTERIOR]]="NÃO","NÃO",_xlfn.XLOOKUP(autocompAlmoco[[#This Row],[COMP ESCALA ANTERIOR]],tabE.Flux[COMP.AT. MOT B],tabE.Flux[LINHA],"NÃO",0,1))</f>
        <v>NÃO</v>
      </c>
      <c r="K148" s="62" t="str">
        <f>IF(AND(autocompAlmoco[[#This Row],[EXISTE MOT A ANT]]="NÃO",autocompAlmoco[[#This Row],[EXISTE MOT B ANT]]="NÃO"),"NÃO","SIM")</f>
        <v>NÃO</v>
      </c>
      <c r="L148" s="59" t="str">
        <f t="shared" si="4"/>
        <v>45909+DAVID ALVES PEREIRA - 5300</v>
      </c>
      <c r="M148" s="59" t="str">
        <f>IF(autocompAlmoco[[#This Row],[COMP ESCALA POSTERIOR]]="NÃO","NÃO",_xlfn.XLOOKUP(autocompAlmoco[[#This Row],[COMP ESCALA POSTERIOR]],tabE.Flux[COMP.AT. MOT A],tabE.Flux[LINHA],"NÃO",0,1))</f>
        <v>NÃO</v>
      </c>
      <c r="N148" s="59" t="str">
        <f>IF(autocompAlmoco[[#This Row],[COMP ESCALA POSTERIOR]]="NÃO","NÃO",_xlfn.XLOOKUP(autocompAlmoco[[#This Row],[COMP ESCALA POSTERIOR]],tabE.Flux[COMP.AT. MOT B],tabE.Flux[LINHA],"NÃO",0,1))</f>
        <v>NÃO</v>
      </c>
      <c r="O148" s="65" t="str">
        <f>IF(AND(autocompAlmoco[[#This Row],[EXISTE MOT A POS]]="NÃO",autocompAlmoco[[#This Row],[EXISTE MOT B POS]]="NÃO"),"NÃO","SIM")</f>
        <v>NÃO</v>
      </c>
      <c r="P148" s="66" t="str" cm="1">
        <f t="array" ref="P14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48" s="103" t="str" cm="1">
        <f t="array" ref="Q14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45908+DAVID ALVES PEREIRA - 5300+FORTALEZA (CE) X SINOP (MT)</v>
      </c>
      <c r="R148" s="67">
        <f>_xlfn.XLOOKUP(autocompAlmoco[[#This Row],[COMP ESCALA]],tabE.Flux[COMP. ESCALA MOT B],tabE.Flux[CARRO],
(_xlfn.XLOOKUP(autocompAlmoco[[#This Row],[COMP ESCALA]],tabE.Flux[COMP. ESCALA MOT A],tabE.Flux[CARRO],"N/E",0,1)),0,1)</f>
        <v>20014</v>
      </c>
      <c r="S148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48" s="127">
        <v>45908</v>
      </c>
      <c r="U148" s="4">
        <f>IF(IFERROR(autocompAlmoco[[#This Row],[CORRESP. CARRO]],"")="NÃO",(IF(tabAlmoco[[#This Row],[MOTORISTA]]=0,"","PASSE?")),autocompAlmoco[[#This Row],[CORRESP. CARRO]])</f>
        <v>20014</v>
      </c>
      <c r="V148" s="126">
        <f>IF(OR(ISERR(autocompAlmoco[[#This Row],[CORRESP HORARIO]]), autocompAlmoco[[#This Row],[CORRESP HORARIO]]&lt;&gt;"NÃO"),autocompAlmoco[[#This Row],[CORRESP HORARIO]],"")</f>
        <v>0.37708333333333333</v>
      </c>
      <c r="W148" s="4" t="s">
        <v>299</v>
      </c>
      <c r="X148" s="1" t="s">
        <v>197</v>
      </c>
      <c r="Y148" s="1">
        <f>IF(tabAlmoco[[#This Row],[MOTORISTA]]="","",COUNTIF(autocompAlmoco[COMP ESCALA ATUAL],autocompAlmoco[[#This Row],[COMP ESCALA ATUAL]]))</f>
        <v>1</v>
      </c>
      <c r="Z148" s="105">
        <f>IF(tabAlmoco[[#This Row],[MOTORISTA]]&lt;&gt;0,15,"")</f>
        <v>15</v>
      </c>
      <c r="AA148" s="4" t="str">
        <f>autocompAlmoco[[#This Row],[CORRESP LINHA]]</f>
        <v>FORTALEZA (CE) X SINOP (MT)</v>
      </c>
    </row>
    <row r="149" spans="3:27" ht="15" hidden="1" customHeight="1" x14ac:dyDescent="0.25">
      <c r="C149" s="140" t="s">
        <v>226</v>
      </c>
      <c r="D149" s="56" t="str">
        <f>IF(tabAlmoco[[#This Row],[MOTORISTA]]="","",_xlfn.CONCAT(tabAlmoco[[#This Row],[DATA]],"+",tabAlmoco[[#This Row],[MOTORISTA]]))</f>
        <v>45908+JAME DOS SANTOS MOURA - 5332</v>
      </c>
      <c r="E149" s="56" t="str">
        <f>_xlfn.XLOOKUP(autocompAlmoco[[#This Row],[COMP ESCALA ATUAL]],tabE.Flux[COMP.AT. MOT A],tabE.Flux[LINHA],"NÃO",0,1)</f>
        <v>NÃO</v>
      </c>
      <c r="F149" s="56" t="str">
        <f>_xlfn.XLOOKUP(autocompAlmoco[[#This Row],[COMP ESCALA ATUAL]],tabE.Flux[COMP.AT. MOT B],tabE.Flux[LINHA],"NÃO",0,1)</f>
        <v>NÃO</v>
      </c>
      <c r="G149" s="61" t="str">
        <f>IF(AND(autocompAlmoco[[#This Row],[EXISTE MOT A AT]]="NÃO", autocompAlmoco[[#This Row],[EXISTE MOT B AT]]="NÃO"),"NÃO","SIM")</f>
        <v>NÃO</v>
      </c>
      <c r="H149" s="57" t="str">
        <f>IF(autocompAlmoco[[#This Row],[EXISTE ESCALA ATUAL]]="NÃO",_xlfn.CONCAT(tabAlmoco[[#This Row],[DATA]]-1,"+",tabAlmoco[[#This Row],[MOTORISTA]]),"NÃO")</f>
        <v>45907+JAME DOS SANTOS MOURA - 5332</v>
      </c>
      <c r="I149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49" s="58" t="str">
        <f>IF(autocompAlmoco[[#This Row],[COMP ESCALA ANTERIOR]]="NÃO","NÃO",_xlfn.XLOOKUP(autocompAlmoco[[#This Row],[COMP ESCALA ANTERIOR]],tabE.Flux[COMP.AT. MOT B],tabE.Flux[LINHA],"NÃO",0,1))</f>
        <v>NÃO</v>
      </c>
      <c r="K149" s="62" t="str">
        <f>IF(AND(autocompAlmoco[[#This Row],[EXISTE MOT A ANT]]="NÃO",autocompAlmoco[[#This Row],[EXISTE MOT B ANT]]="NÃO"),"NÃO","SIM")</f>
        <v>SIM</v>
      </c>
      <c r="L149" s="59" t="str">
        <f t="shared" si="4"/>
        <v>45909+JAME DOS SANTOS MOURA - 5332</v>
      </c>
      <c r="M149" s="59" t="str">
        <f>IF(autocompAlmoco[[#This Row],[COMP ESCALA POSTERIOR]]="NÃO","NÃO",_xlfn.XLOOKUP(autocompAlmoco[[#This Row],[COMP ESCALA POSTERIOR]],tabE.Flux[COMP.AT. MOT A],tabE.Flux[LINHA],"NÃO",0,1))</f>
        <v>NÃO</v>
      </c>
      <c r="N149" s="59" t="str">
        <f>IF(autocompAlmoco[[#This Row],[COMP ESCALA POSTERIOR]]="NÃO","NÃO",_xlfn.XLOOKUP(autocompAlmoco[[#This Row],[COMP ESCALA POSTERIOR]],tabE.Flux[COMP.AT. MOT B],tabE.Flux[LINHA],"NÃO",0,1))</f>
        <v>NÃO</v>
      </c>
      <c r="O149" s="65" t="str">
        <f>IF(AND(autocompAlmoco[[#This Row],[EXISTE MOT A POS]]="NÃO",autocompAlmoco[[#This Row],[EXISTE MOT B POS]]="NÃO"),"NÃO","SIM")</f>
        <v>NÃO</v>
      </c>
      <c r="P149" s="66" t="str" cm="1">
        <f t="array" ref="P14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49" s="103" t="str" cm="1">
        <f t="array" ref="Q14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45907+JAME DOS SANTOS MOURA - 5332+FORTALEZA (CE) X SINOP (MT)</v>
      </c>
      <c r="R149" s="67">
        <f>_xlfn.XLOOKUP(autocompAlmoco[[#This Row],[COMP ESCALA]],tabE.Flux[COMP. ESCALA MOT B],tabE.Flux[CARRO],
(_xlfn.XLOOKUP(autocompAlmoco[[#This Row],[COMP ESCALA]],tabE.Flux[COMP. ESCALA MOT A],tabE.Flux[CARRO],"N/E",0,1)),0,1)</f>
        <v>19010</v>
      </c>
      <c r="S149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49" s="127">
        <v>45908</v>
      </c>
      <c r="U149" s="131">
        <f>IF(IFERROR(autocompAlmoco[[#This Row],[CORRESP. CARRO]],"")="NÃO",(IF(tabAlmoco[[#This Row],[MOTORISTA]]=0,"","PASSE?")),autocompAlmoco[[#This Row],[CORRESP. CARRO]])</f>
        <v>19010</v>
      </c>
      <c r="V149" s="126">
        <f>IF(OR(ISERR(autocompAlmoco[[#This Row],[CORRESP HORARIO]]), autocompAlmoco[[#This Row],[CORRESP HORARIO]]&lt;&gt;"NÃO"),autocompAlmoco[[#This Row],[CORRESP HORARIO]],"")</f>
        <v>0.37708333333333333</v>
      </c>
      <c r="W149" s="4" t="s">
        <v>299</v>
      </c>
      <c r="X149" s="1" t="s">
        <v>103</v>
      </c>
      <c r="Y149" s="1">
        <f>IF(tabAlmoco[[#This Row],[MOTORISTA]]="","",COUNTIF(autocompAlmoco[COMP ESCALA ATUAL],autocompAlmoco[[#This Row],[COMP ESCALA ATUAL]]))</f>
        <v>1</v>
      </c>
      <c r="Z149" s="105">
        <f>IF(tabAlmoco[[#This Row],[MOTORISTA]]&lt;&gt;0,15,"")</f>
        <v>15</v>
      </c>
      <c r="AA149" s="131" t="str">
        <f>autocompAlmoco[[#This Row],[CORRESP LINHA]]</f>
        <v>FORTALEZA (CE) X SINOP (MT)</v>
      </c>
    </row>
    <row r="150" spans="3:27" ht="15" hidden="1" customHeight="1" x14ac:dyDescent="0.25">
      <c r="C150" s="140" t="s">
        <v>226</v>
      </c>
      <c r="D150" s="56" t="str">
        <f>IF(tabAlmoco[[#This Row],[MOTORISTA]]="","",_xlfn.CONCAT(tabAlmoco[[#This Row],[DATA]],"+",tabAlmoco[[#This Row],[MOTORISTA]]))</f>
        <v>45908+ALTEMAR DO NASCIMENTO LIMA - 6225</v>
      </c>
      <c r="E150" s="56" t="str">
        <f>_xlfn.XLOOKUP(autocompAlmoco[[#This Row],[COMP ESCALA ATUAL]],tabE.Flux[COMP.AT. MOT A],tabE.Flux[LINHA],"NÃO",0,1)</f>
        <v>NÃO</v>
      </c>
      <c r="F150" s="56" t="str">
        <f>_xlfn.XLOOKUP(autocompAlmoco[[#This Row],[COMP ESCALA ATUAL]],tabE.Flux[COMP.AT. MOT B],tabE.Flux[LINHA],"NÃO",0,1)</f>
        <v>GOIANIA (GO) X SAO LUIS (MA)</v>
      </c>
      <c r="G150" s="61" t="str">
        <f>IF(AND(autocompAlmoco[[#This Row],[EXISTE MOT A AT]]="NÃO", autocompAlmoco[[#This Row],[EXISTE MOT B AT]]="NÃO"),"NÃO","SIM")</f>
        <v>SIM</v>
      </c>
      <c r="H150" s="57" t="str">
        <f>IF(autocompAlmoco[[#This Row],[EXISTE ESCALA ATUAL]]="NÃO",_xlfn.CONCAT(tabAlmoco[[#This Row],[DATA]]-1,"+",tabAlmoco[[#This Row],[MOTORISTA]]),"NÃO")</f>
        <v>NÃO</v>
      </c>
      <c r="I150" s="57" t="str">
        <f>IF(autocompAlmoco[[#This Row],[COMP ESCALA ANTERIOR]]="NÃO","NÃO",_xlfn.XLOOKUP(autocompAlmoco[[#This Row],[COMP ESCALA ANTERIOR]],tabE.Flux[COMP.AT. MOT A],tabE.Flux[LINHA],"NÃO",0,1))</f>
        <v>NÃO</v>
      </c>
      <c r="J150" s="58" t="str">
        <f>IF(autocompAlmoco[[#This Row],[COMP ESCALA ANTERIOR]]="NÃO","NÃO",_xlfn.XLOOKUP(autocompAlmoco[[#This Row],[COMP ESCALA ANTERIOR]],tabE.Flux[COMP.AT. MOT B],tabE.Flux[LINHA],"NÃO",0,1))</f>
        <v>NÃO</v>
      </c>
      <c r="K150" s="62" t="str">
        <f>IF(AND(autocompAlmoco[[#This Row],[EXISTE MOT A ANT]]="NÃO",autocompAlmoco[[#This Row],[EXISTE MOT B ANT]]="NÃO"),"NÃO","SIM")</f>
        <v>NÃO</v>
      </c>
      <c r="L150" s="59" t="str">
        <f t="shared" si="4"/>
        <v>45909+ALTEMAR DO NASCIMENTO LIMA - 6225</v>
      </c>
      <c r="M150" s="59" t="str">
        <f>IF(autocompAlmoco[[#This Row],[COMP ESCALA POSTERIOR]]="NÃO","NÃO",_xlfn.XLOOKUP(autocompAlmoco[[#This Row],[COMP ESCALA POSTERIOR]],tabE.Flux[COMP.AT. MOT A],tabE.Flux[LINHA],"NÃO",0,1))</f>
        <v>NÃO</v>
      </c>
      <c r="N150" s="59" t="str">
        <f>IF(autocompAlmoco[[#This Row],[COMP ESCALA POSTERIOR]]="NÃO","NÃO",_xlfn.XLOOKUP(autocompAlmoco[[#This Row],[COMP ESCALA POSTERIOR]],tabE.Flux[COMP.AT. MOT B],tabE.Flux[LINHA],"NÃO",0,1))</f>
        <v>NÃO</v>
      </c>
      <c r="O150" s="65" t="str">
        <f>IF(AND(autocompAlmoco[[#This Row],[EXISTE MOT A POS]]="NÃO",autocompAlmoco[[#This Row],[EXISTE MOT B POS]]="NÃO"),"NÃO","SIM")</f>
        <v>NÃO</v>
      </c>
      <c r="P150" s="66" t="str" cm="1">
        <f t="array" ref="P15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50" s="103" t="str" cm="1">
        <f t="array" ref="Q15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45908+ALTEMAR DO NASCIMENTO LIMA - 6225+GOIANIA (GO) X SAO LUIS (MA)</v>
      </c>
      <c r="R150" s="67">
        <f>_xlfn.XLOOKUP(autocompAlmoco[[#This Row],[COMP ESCALA]],tabE.Flux[COMP. ESCALA MOT B],tabE.Flux[CARRO],
(_xlfn.XLOOKUP(autocompAlmoco[[#This Row],[COMP ESCALA]],tabE.Flux[COMP. ESCALA MOT A],tabE.Flux[CARRO],"N/E",0,1)),0,1)</f>
        <v>19019</v>
      </c>
      <c r="S150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50" s="127">
        <v>45908</v>
      </c>
      <c r="U150" s="131">
        <f>IF(IFERROR(autocompAlmoco[[#This Row],[CORRESP. CARRO]],"")="NÃO",(IF(tabAlmoco[[#This Row],[MOTORISTA]]=0,"","PASSE?")),autocompAlmoco[[#This Row],[CORRESP. CARRO]])</f>
        <v>19019</v>
      </c>
      <c r="V150" s="126">
        <f>IF(OR(ISERR(autocompAlmoco[[#This Row],[CORRESP HORARIO]]), autocompAlmoco[[#This Row],[CORRESP HORARIO]]&lt;&gt;"NÃO"),autocompAlmoco[[#This Row],[CORRESP HORARIO]],"")</f>
        <v>0.47013888888888888</v>
      </c>
      <c r="W150" s="4" t="s">
        <v>299</v>
      </c>
      <c r="X150" s="1" t="s">
        <v>57</v>
      </c>
      <c r="Y150" s="1">
        <f>IF(tabAlmoco[[#This Row],[MOTORISTA]]="","",COUNTIF(autocompAlmoco[COMP ESCALA ATUAL],autocompAlmoco[[#This Row],[COMP ESCALA ATUAL]]))</f>
        <v>1</v>
      </c>
      <c r="Z150" s="105">
        <f>IF(tabAlmoco[[#This Row],[MOTORISTA]]&lt;&gt;0,15,"")</f>
        <v>15</v>
      </c>
      <c r="AA150" s="131" t="str">
        <f>autocompAlmoco[[#This Row],[CORRESP LINHA]]</f>
        <v>GOIANIA (GO) X SAO LUIS (MA)</v>
      </c>
    </row>
    <row r="151" spans="3:27" ht="15" hidden="1" customHeight="1" x14ac:dyDescent="0.25">
      <c r="C151" s="140" t="s">
        <v>226</v>
      </c>
      <c r="D151" s="56" t="str">
        <f>IF(tabAlmoco[[#This Row],[MOTORISTA]]="","",_xlfn.CONCAT(tabAlmoco[[#This Row],[DATA]],"+",tabAlmoco[[#This Row],[MOTORISTA]]))</f>
        <v>45908+FELIPE MORAIS MELO - 3077</v>
      </c>
      <c r="E151" s="56" t="str">
        <f>_xlfn.XLOOKUP(autocompAlmoco[[#This Row],[COMP ESCALA ATUAL]],tabE.Flux[COMP.AT. MOT A],tabE.Flux[LINHA],"NÃO",0,1)</f>
        <v>NÃO</v>
      </c>
      <c r="F151" s="56" t="str">
        <f>_xlfn.XLOOKUP(autocompAlmoco[[#This Row],[COMP ESCALA ATUAL]],tabE.Flux[COMP.AT. MOT B],tabE.Flux[LINHA],"NÃO",0,1)</f>
        <v>NÃO</v>
      </c>
      <c r="G151" s="61" t="str">
        <f>IF(AND(autocompAlmoco[[#This Row],[EXISTE MOT A AT]]="NÃO", autocompAlmoco[[#This Row],[EXISTE MOT B AT]]="NÃO"),"NÃO","SIM")</f>
        <v>NÃO</v>
      </c>
      <c r="H151" s="57" t="str">
        <f>IF(autocompAlmoco[[#This Row],[EXISTE ESCALA ATUAL]]="NÃO",_xlfn.CONCAT(tabAlmoco[[#This Row],[DATA]]-1,"+",tabAlmoco[[#This Row],[MOTORISTA]]),"NÃO")</f>
        <v>45907+FELIPE MORAIS MELO - 3077</v>
      </c>
      <c r="I151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51" s="58" t="str">
        <f>IF(autocompAlmoco[[#This Row],[COMP ESCALA ANTERIOR]]="NÃO","NÃO",_xlfn.XLOOKUP(autocompAlmoco[[#This Row],[COMP ESCALA ANTERIOR]],tabE.Flux[COMP.AT. MOT B],tabE.Flux[LINHA],"NÃO",0,1))</f>
        <v>NÃO</v>
      </c>
      <c r="K151" s="62" t="str">
        <f>IF(AND(autocompAlmoco[[#This Row],[EXISTE MOT A ANT]]="NÃO",autocompAlmoco[[#This Row],[EXISTE MOT B ANT]]="NÃO"),"NÃO","SIM")</f>
        <v>SIM</v>
      </c>
      <c r="L151" s="59" t="str">
        <f t="shared" si="4"/>
        <v>45909+FELIPE MORAIS MELO - 3077</v>
      </c>
      <c r="M151" s="59" t="str">
        <f>IF(autocompAlmoco[[#This Row],[COMP ESCALA POSTERIOR]]="NÃO","NÃO",_xlfn.XLOOKUP(autocompAlmoco[[#This Row],[COMP ESCALA POSTERIOR]],tabE.Flux[COMP.AT. MOT A],tabE.Flux[LINHA],"NÃO",0,1))</f>
        <v>NÃO</v>
      </c>
      <c r="N151" s="59" t="str">
        <f>IF(autocompAlmoco[[#This Row],[COMP ESCALA POSTERIOR]]="NÃO","NÃO",_xlfn.XLOOKUP(autocompAlmoco[[#This Row],[COMP ESCALA POSTERIOR]],tabE.Flux[COMP.AT. MOT B],tabE.Flux[LINHA],"NÃO",0,1))</f>
        <v>NÃO</v>
      </c>
      <c r="O151" s="65" t="str">
        <f>IF(AND(autocompAlmoco[[#This Row],[EXISTE MOT A POS]]="NÃO",autocompAlmoco[[#This Row],[EXISTE MOT B POS]]="NÃO"),"NÃO","SIM")</f>
        <v>NÃO</v>
      </c>
      <c r="P151" s="66" t="str" cm="1">
        <f t="array" ref="P15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51" s="103" t="str" cm="1">
        <f t="array" ref="Q15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45907+FELIPE MORAIS MELO - 3077+GOIANIA (GO) X TERESINA (PI) VIA STI</v>
      </c>
      <c r="R151" s="67">
        <f>_xlfn.XLOOKUP(autocompAlmoco[[#This Row],[COMP ESCALA]],tabE.Flux[COMP. ESCALA MOT B],tabE.Flux[CARRO],
(_xlfn.XLOOKUP(autocompAlmoco[[#This Row],[COMP ESCALA]],tabE.Flux[COMP. ESCALA MOT A],tabE.Flux[CARRO],"N/E",0,1)),0,1)</f>
        <v>19001</v>
      </c>
      <c r="S151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51" s="127">
        <v>45908</v>
      </c>
      <c r="U151" s="131">
        <f>IF(IFERROR(autocompAlmoco[[#This Row],[CORRESP. CARRO]],"")="NÃO",(IF(tabAlmoco[[#This Row],[MOTORISTA]]=0,"","PASSE?")),autocompAlmoco[[#This Row],[CORRESP. CARRO]])</f>
        <v>19001</v>
      </c>
      <c r="V151" s="126">
        <f>IF(OR(ISERR(autocompAlmoco[[#This Row],[CORRESP HORARIO]]), autocompAlmoco[[#This Row],[CORRESP HORARIO]]&lt;&gt;"NÃO"),autocompAlmoco[[#This Row],[CORRESP HORARIO]],"")</f>
        <v>0.79861111111111116</v>
      </c>
      <c r="W151" s="4" t="s">
        <v>299</v>
      </c>
      <c r="X151" s="1" t="s">
        <v>78</v>
      </c>
      <c r="Y151" s="1">
        <f>IF(tabAlmoco[[#This Row],[MOTORISTA]]="","",COUNTIF(autocompAlmoco[COMP ESCALA ATUAL],autocompAlmoco[[#This Row],[COMP ESCALA ATUAL]]))</f>
        <v>1</v>
      </c>
      <c r="Z151" s="105">
        <f>IF(tabAlmoco[[#This Row],[MOTORISTA]]&lt;&gt;0,15,"")</f>
        <v>15</v>
      </c>
      <c r="AA151" s="131" t="str">
        <f>autocompAlmoco[[#This Row],[CORRESP LINHA]]</f>
        <v>GOIANIA (GO) X TERESINA (PI) VIA STI</v>
      </c>
    </row>
    <row r="152" spans="3:27" ht="15" hidden="1" customHeight="1" x14ac:dyDescent="0.25">
      <c r="C152" s="140" t="s">
        <v>226</v>
      </c>
      <c r="D152" s="56" t="str">
        <f>IF(tabAlmoco[[#This Row],[MOTORISTA]]="","",_xlfn.CONCAT(tabAlmoco[[#This Row],[DATA]],"+",tabAlmoco[[#This Row],[MOTORISTA]]))</f>
        <v>45908+CLODOALDO PEREIRA DE LIMA - 4067</v>
      </c>
      <c r="E152" s="56" t="str">
        <f>_xlfn.XLOOKUP(autocompAlmoco[[#This Row],[COMP ESCALA ATUAL]],tabE.Flux[COMP.AT. MOT A],tabE.Flux[LINHA],"NÃO",0,1)</f>
        <v>NÃO</v>
      </c>
      <c r="F152" s="56" t="str">
        <f>_xlfn.XLOOKUP(autocompAlmoco[[#This Row],[COMP ESCALA ATUAL]],tabE.Flux[COMP.AT. MOT B],tabE.Flux[LINHA],"NÃO",0,1)</f>
        <v>GOIANIA (GO) X SAO LUIS (MA)</v>
      </c>
      <c r="G152" s="61" t="str">
        <f>IF(AND(autocompAlmoco[[#This Row],[EXISTE MOT A AT]]="NÃO", autocompAlmoco[[#This Row],[EXISTE MOT B AT]]="NÃO"),"NÃO","SIM")</f>
        <v>SIM</v>
      </c>
      <c r="H152" s="57" t="str">
        <f>IF(autocompAlmoco[[#This Row],[EXISTE ESCALA ATUAL]]="NÃO",_xlfn.CONCAT(tabAlmoco[[#This Row],[DATA]]-1,"+",tabAlmoco[[#This Row],[MOTORISTA]]),"NÃO")</f>
        <v>NÃO</v>
      </c>
      <c r="I152" s="57" t="str">
        <f>IF(autocompAlmoco[[#This Row],[COMP ESCALA ANTERIOR]]="NÃO","NÃO",_xlfn.XLOOKUP(autocompAlmoco[[#This Row],[COMP ESCALA ANTERIOR]],tabE.Flux[COMP.AT. MOT A],tabE.Flux[LINHA],"NÃO",0,1))</f>
        <v>NÃO</v>
      </c>
      <c r="J152" s="58" t="str">
        <f>IF(autocompAlmoco[[#This Row],[COMP ESCALA ANTERIOR]]="NÃO","NÃO",_xlfn.XLOOKUP(autocompAlmoco[[#This Row],[COMP ESCALA ANTERIOR]],tabE.Flux[COMP.AT. MOT B],tabE.Flux[LINHA],"NÃO",0,1))</f>
        <v>NÃO</v>
      </c>
      <c r="K152" s="62" t="str">
        <f>IF(AND(autocompAlmoco[[#This Row],[EXISTE MOT A ANT]]="NÃO",autocompAlmoco[[#This Row],[EXISTE MOT B ANT]]="NÃO"),"NÃO","SIM")</f>
        <v>NÃO</v>
      </c>
      <c r="L152" s="59" t="str">
        <f t="shared" si="4"/>
        <v>45909+CLODOALDO PEREIRA DE LIMA - 4067</v>
      </c>
      <c r="M152" s="59" t="str">
        <f>IF(autocompAlmoco[[#This Row],[COMP ESCALA POSTERIOR]]="NÃO","NÃO",_xlfn.XLOOKUP(autocompAlmoco[[#This Row],[COMP ESCALA POSTERIOR]],tabE.Flux[COMP.AT. MOT A],tabE.Flux[LINHA],"NÃO",0,1))</f>
        <v>NÃO</v>
      </c>
      <c r="N152" s="59" t="str">
        <f>IF(autocompAlmoco[[#This Row],[COMP ESCALA POSTERIOR]]="NÃO","NÃO",_xlfn.XLOOKUP(autocompAlmoco[[#This Row],[COMP ESCALA POSTERIOR]],tabE.Flux[COMP.AT. MOT B],tabE.Flux[LINHA],"NÃO",0,1))</f>
        <v>NÃO</v>
      </c>
      <c r="O152" s="65" t="str">
        <f>IF(AND(autocompAlmoco[[#This Row],[EXISTE MOT A POS]]="NÃO",autocompAlmoco[[#This Row],[EXISTE MOT B POS]]="NÃO"),"NÃO","SIM")</f>
        <v>NÃO</v>
      </c>
      <c r="P152" s="66" t="str" cm="1">
        <f t="array" ref="P15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52" s="103" t="str" cm="1">
        <f t="array" ref="Q15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45908+CLODOALDO PEREIRA DE LIMA - 4067+GOIANIA (GO) X SAO LUIS (MA)</v>
      </c>
      <c r="R152" s="67">
        <f>_xlfn.XLOOKUP(autocompAlmoco[[#This Row],[COMP ESCALA]],tabE.Flux[COMP. ESCALA MOT B],tabE.Flux[CARRO],
(_xlfn.XLOOKUP(autocompAlmoco[[#This Row],[COMP ESCALA]],tabE.Flux[COMP. ESCALA MOT A],tabE.Flux[CARRO],"N/E",0,1)),0,1)</f>
        <v>24016</v>
      </c>
      <c r="S152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52" s="127">
        <v>45908</v>
      </c>
      <c r="U152" s="131">
        <f>IF(IFERROR(autocompAlmoco[[#This Row],[CORRESP. CARRO]],"")="NÃO",(IF(tabAlmoco[[#This Row],[MOTORISTA]]=0,"","PASSE?")),autocompAlmoco[[#This Row],[CORRESP. CARRO]])</f>
        <v>24016</v>
      </c>
      <c r="V152" s="126">
        <f>IF(OR(ISERR(autocompAlmoco[[#This Row],[CORRESP HORARIO]]), autocompAlmoco[[#This Row],[CORRESP HORARIO]]&lt;&gt;"NÃO"),autocompAlmoco[[#This Row],[CORRESP HORARIO]],"")</f>
        <v>0.79166666666666663</v>
      </c>
      <c r="W152" s="4" t="s">
        <v>299</v>
      </c>
      <c r="X152" s="1" t="s">
        <v>109</v>
      </c>
      <c r="Y152" s="1">
        <f>IF(tabAlmoco[[#This Row],[MOTORISTA]]="","",COUNTIF(autocompAlmoco[COMP ESCALA ATUAL],autocompAlmoco[[#This Row],[COMP ESCALA ATUAL]]))</f>
        <v>1</v>
      </c>
      <c r="Z152" s="105">
        <f>IF(tabAlmoco[[#This Row],[MOTORISTA]]&lt;&gt;0,15,"")</f>
        <v>15</v>
      </c>
      <c r="AA152" s="131" t="str">
        <f>autocompAlmoco[[#This Row],[CORRESP LINHA]]</f>
        <v>GOIANIA (GO) X SAO LUIS (MA)</v>
      </c>
    </row>
    <row r="153" spans="3:27" ht="15" hidden="1" customHeight="1" x14ac:dyDescent="0.25">
      <c r="C153" s="140" t="s">
        <v>226</v>
      </c>
      <c r="D153" s="56" t="str">
        <f>IF(tabAlmoco[[#This Row],[MOTORISTA]]="","",_xlfn.CONCAT(tabAlmoco[[#This Row],[DATA]],"+",tabAlmoco[[#This Row],[MOTORISTA]]))</f>
        <v>45909+JOSE HAILTON PEREIRA DOS SANTOS - 6018</v>
      </c>
      <c r="E153" s="56" t="str">
        <f>_xlfn.XLOOKUP(autocompAlmoco[[#This Row],[COMP ESCALA ATUAL]],tabE.Flux[COMP.AT. MOT A],tabE.Flux[LINHA],"NÃO",0,1)</f>
        <v>NÃO</v>
      </c>
      <c r="F153" s="56" t="str">
        <f>_xlfn.XLOOKUP(autocompAlmoco[[#This Row],[COMP ESCALA ATUAL]],tabE.Flux[COMP.AT. MOT B],tabE.Flux[LINHA],"NÃO",0,1)</f>
        <v>NÃO</v>
      </c>
      <c r="G153" s="61" t="str">
        <f>IF(AND(autocompAlmoco[[#This Row],[EXISTE MOT A AT]]="NÃO", autocompAlmoco[[#This Row],[EXISTE MOT B AT]]="NÃO"),"NÃO","SIM")</f>
        <v>NÃO</v>
      </c>
      <c r="H153" s="57" t="str">
        <f>IF(autocompAlmoco[[#This Row],[EXISTE ESCALA ATUAL]]="NÃO",_xlfn.CONCAT(tabAlmoco[[#This Row],[DATA]]-1,"+",tabAlmoco[[#This Row],[MOTORISTA]]),"NÃO")</f>
        <v>45908+JOSE HAILTON PEREIRA DOS SANTOS - 6018</v>
      </c>
      <c r="I153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53" s="58" t="str">
        <f>IF(autocompAlmoco[[#This Row],[COMP ESCALA ANTERIOR]]="NÃO","NÃO",_xlfn.XLOOKUP(autocompAlmoco[[#This Row],[COMP ESCALA ANTERIOR]],tabE.Flux[COMP.AT. MOT B],tabE.Flux[LINHA],"NÃO",0,1))</f>
        <v>NÃO</v>
      </c>
      <c r="K153" s="62" t="str">
        <f>IF(AND(autocompAlmoco[[#This Row],[EXISTE MOT A ANT]]="NÃO",autocompAlmoco[[#This Row],[EXISTE MOT B ANT]]="NÃO"),"NÃO","SIM")</f>
        <v>SIM</v>
      </c>
      <c r="L153" s="59" t="str">
        <f t="shared" si="4"/>
        <v>45910+JOSE HAILTON PEREIRA DOS SANTOS - 6018</v>
      </c>
      <c r="M153" s="59" t="str">
        <f>IF(autocompAlmoco[[#This Row],[COMP ESCALA POSTERIOR]]="NÃO","NÃO",_xlfn.XLOOKUP(autocompAlmoco[[#This Row],[COMP ESCALA POSTERIOR]],tabE.Flux[COMP.AT. MOT A],tabE.Flux[LINHA],"NÃO",0,1))</f>
        <v>NÃO</v>
      </c>
      <c r="N153" s="59" t="str">
        <f>IF(autocompAlmoco[[#This Row],[COMP ESCALA POSTERIOR]]="NÃO","NÃO",_xlfn.XLOOKUP(autocompAlmoco[[#This Row],[COMP ESCALA POSTERIOR]],tabE.Flux[COMP.AT. MOT B],tabE.Flux[LINHA],"NÃO",0,1))</f>
        <v>NÃO</v>
      </c>
      <c r="O153" s="65" t="str">
        <f>IF(AND(autocompAlmoco[[#This Row],[EXISTE MOT A POS]]="NÃO",autocompAlmoco[[#This Row],[EXISTE MOT B POS]]="NÃO"),"NÃO","SIM")</f>
        <v>NÃO</v>
      </c>
      <c r="P153" s="66" t="str" cm="1">
        <f t="array" ref="P15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53" s="103" t="str" cm="1">
        <f t="array" ref="Q15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45908+JOSE HAILTON PEREIRA DOS SANTOS - 6018+GOIANIA (GO) X TERESINA (PI) VIA STI</v>
      </c>
      <c r="R153" s="67">
        <f>_xlfn.XLOOKUP(autocompAlmoco[[#This Row],[COMP ESCALA]],tabE.Flux[COMP. ESCALA MOT B],tabE.Flux[CARRO],
(_xlfn.XLOOKUP(autocompAlmoco[[#This Row],[COMP ESCALA]],tabE.Flux[COMP. ESCALA MOT A],tabE.Flux[CARRO],"N/E",0,1)),0,1)</f>
        <v>19015</v>
      </c>
      <c r="S153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53" s="127">
        <v>45909</v>
      </c>
      <c r="U153" s="4">
        <f>IF(IFERROR(autocompAlmoco[[#This Row],[CORRESP. CARRO]],"")="NÃO",(IF(tabAlmoco[[#This Row],[MOTORISTA]]=0,"","PASSE?")),autocompAlmoco[[#This Row],[CORRESP. CARRO]])</f>
        <v>19015</v>
      </c>
      <c r="V153" s="128">
        <f>IF(OR(ISERR(autocompAlmoco[[#This Row],[CORRESP HORARIO]]), autocompAlmoco[[#This Row],[CORRESP HORARIO]]&lt;&gt;"NÃO"),autocompAlmoco[[#This Row],[CORRESP HORARIO]],"")</f>
        <v>0.79861111111111116</v>
      </c>
      <c r="W153" s="4" t="s">
        <v>299</v>
      </c>
      <c r="X153" s="4" t="s">
        <v>141</v>
      </c>
      <c r="Y153" s="4">
        <f>IF(tabAlmoco[[#This Row],[MOTORISTA]]="","",COUNTIF(autocompAlmoco[COMP ESCALA ATUAL],autocompAlmoco[[#This Row],[COMP ESCALA ATUAL]]))</f>
        <v>1</v>
      </c>
      <c r="Z153" s="45">
        <f>IF(tabAlmoco[[#This Row],[MOTORISTA]]&lt;&gt;0,15,"")</f>
        <v>15</v>
      </c>
      <c r="AA153" s="4" t="str">
        <f>autocompAlmoco[[#This Row],[CORRESP LINHA]]</f>
        <v>GOIANIA (GO) X TERESINA (PI) VIA STI</v>
      </c>
    </row>
    <row r="154" spans="3:27" ht="15" hidden="1" customHeight="1" x14ac:dyDescent="0.25">
      <c r="C154" s="140" t="s">
        <v>226</v>
      </c>
      <c r="D154" s="56" t="str">
        <f>IF(tabAlmoco[[#This Row],[MOTORISTA]]="","",_xlfn.CONCAT(tabAlmoco[[#This Row],[DATA]],"+",tabAlmoco[[#This Row],[MOTORISTA]]))</f>
        <v>45909+KLEBER OLIVEIRA LIMA - 5849</v>
      </c>
      <c r="E154" s="56" t="str">
        <f>_xlfn.XLOOKUP(autocompAlmoco[[#This Row],[COMP ESCALA ATUAL]],tabE.Flux[COMP.AT. MOT A],tabE.Flux[LINHA],"NÃO",0,1)</f>
        <v>NÃO</v>
      </c>
      <c r="F154" s="56" t="str">
        <f>_xlfn.XLOOKUP(autocompAlmoco[[#This Row],[COMP ESCALA ATUAL]],tabE.Flux[COMP.AT. MOT B],tabE.Flux[LINHA],"NÃO",0,1)</f>
        <v>NÃO</v>
      </c>
      <c r="G154" s="61" t="str">
        <f>IF(AND(autocompAlmoco[[#This Row],[EXISTE MOT A AT]]="NÃO", autocompAlmoco[[#This Row],[EXISTE MOT B AT]]="NÃO"),"NÃO","SIM")</f>
        <v>NÃO</v>
      </c>
      <c r="H154" s="57" t="str">
        <f>IF(autocompAlmoco[[#This Row],[EXISTE ESCALA ATUAL]]="NÃO",_xlfn.CONCAT(tabAlmoco[[#This Row],[DATA]]-1,"+",tabAlmoco[[#This Row],[MOTORISTA]]),"NÃO")</f>
        <v>45908+KLEBER OLIVEIRA LIMA - 5849</v>
      </c>
      <c r="I154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54" s="58" t="str">
        <f>IF(autocompAlmoco[[#This Row],[COMP ESCALA ANTERIOR]]="NÃO","NÃO",_xlfn.XLOOKUP(autocompAlmoco[[#This Row],[COMP ESCALA ANTERIOR]],tabE.Flux[COMP.AT. MOT B],tabE.Flux[LINHA],"NÃO",0,1))</f>
        <v>NÃO</v>
      </c>
      <c r="K154" s="62" t="str">
        <f>IF(AND(autocompAlmoco[[#This Row],[EXISTE MOT A ANT]]="NÃO",autocompAlmoco[[#This Row],[EXISTE MOT B ANT]]="NÃO"),"NÃO","SIM")</f>
        <v>SIM</v>
      </c>
      <c r="L154" s="59" t="str">
        <f t="shared" si="4"/>
        <v>45910+KLEBER OLIVEIRA LIMA - 5849</v>
      </c>
      <c r="M154" s="59" t="str">
        <f>IF(autocompAlmoco[[#This Row],[COMP ESCALA POSTERIOR]]="NÃO","NÃO",_xlfn.XLOOKUP(autocompAlmoco[[#This Row],[COMP ESCALA POSTERIOR]],tabE.Flux[COMP.AT. MOT A],tabE.Flux[LINHA],"NÃO",0,1))</f>
        <v>NÃO</v>
      </c>
      <c r="N154" s="59" t="str">
        <f>IF(autocompAlmoco[[#This Row],[COMP ESCALA POSTERIOR]]="NÃO","NÃO",_xlfn.XLOOKUP(autocompAlmoco[[#This Row],[COMP ESCALA POSTERIOR]],tabE.Flux[COMP.AT. MOT B],tabE.Flux[LINHA],"NÃO",0,1))</f>
        <v>NÃO</v>
      </c>
      <c r="O154" s="65" t="str">
        <f>IF(AND(autocompAlmoco[[#This Row],[EXISTE MOT A POS]]="NÃO",autocompAlmoco[[#This Row],[EXISTE MOT B POS]]="NÃO"),"NÃO","SIM")</f>
        <v>NÃO</v>
      </c>
      <c r="P154" s="66" t="str" cm="1">
        <f t="array" ref="P15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54" s="103" t="str" cm="1">
        <f t="array" ref="Q15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45908+KLEBER OLIVEIRA LIMA - 5849+FORTALEZA (CE) X SINOP (MT)</v>
      </c>
      <c r="R154" s="67">
        <f>_xlfn.XLOOKUP(autocompAlmoco[[#This Row],[COMP ESCALA]],tabE.Flux[COMP. ESCALA MOT B],tabE.Flux[CARRO],
(_xlfn.XLOOKUP(autocompAlmoco[[#This Row],[COMP ESCALA]],tabE.Flux[COMP. ESCALA MOT A],tabE.Flux[CARRO],"N/E",0,1)),0,1)</f>
        <v>20014</v>
      </c>
      <c r="S154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54" s="127">
        <v>45909</v>
      </c>
      <c r="U154" s="4">
        <f>IF(IFERROR(autocompAlmoco[[#This Row],[CORRESP. CARRO]],"")="NÃO",(IF(tabAlmoco[[#This Row],[MOTORISTA]]=0,"","PASSE?")),autocompAlmoco[[#This Row],[CORRESP. CARRO]])</f>
        <v>20014</v>
      </c>
      <c r="V154" s="126">
        <f>IF(OR(ISERR(autocompAlmoco[[#This Row],[CORRESP HORARIO]]), autocompAlmoco[[#This Row],[CORRESP HORARIO]]&lt;&gt;"NÃO"),autocompAlmoco[[#This Row],[CORRESP HORARIO]],"")</f>
        <v>0.37708333333333333</v>
      </c>
      <c r="W154" s="4" t="s">
        <v>299</v>
      </c>
      <c r="X154" s="1" t="s">
        <v>102</v>
      </c>
      <c r="Y154" s="1">
        <f>IF(tabAlmoco[[#This Row],[MOTORISTA]]="","",COUNTIF(autocompAlmoco[COMP ESCALA ATUAL],autocompAlmoco[[#This Row],[COMP ESCALA ATUAL]]))</f>
        <v>1</v>
      </c>
      <c r="Z154" s="105">
        <f>IF(tabAlmoco[[#This Row],[MOTORISTA]]&lt;&gt;0,15,"")</f>
        <v>15</v>
      </c>
      <c r="AA154" s="4" t="str">
        <f>autocompAlmoco[[#This Row],[CORRESP LINHA]]</f>
        <v>FORTALEZA (CE) X SINOP (MT)</v>
      </c>
    </row>
    <row r="155" spans="3:27" ht="15" hidden="1" customHeight="1" x14ac:dyDescent="0.25">
      <c r="C155" s="140" t="s">
        <v>226</v>
      </c>
      <c r="D155" s="56" t="str">
        <f>IF(tabAlmoco[[#This Row],[MOTORISTA]]="","",_xlfn.CONCAT(tabAlmoco[[#This Row],[DATA]],"+",tabAlmoco[[#This Row],[MOTORISTA]]))</f>
        <v>45909+MARCIO RODRIGUES DA COSTA - 5993</v>
      </c>
      <c r="E155" s="56" t="str">
        <f>_xlfn.XLOOKUP(autocompAlmoco[[#This Row],[COMP ESCALA ATUAL]],tabE.Flux[COMP.AT. MOT A],tabE.Flux[LINHA],"NÃO",0,1)</f>
        <v>NÃO</v>
      </c>
      <c r="F155" s="56" t="str">
        <f>_xlfn.XLOOKUP(autocompAlmoco[[#This Row],[COMP ESCALA ATUAL]],tabE.Flux[COMP.AT. MOT B],tabE.Flux[LINHA],"NÃO",0,1)</f>
        <v>GOIANIA (GO) X SAO LUIS (MA)</v>
      </c>
      <c r="G155" s="61" t="str">
        <f>IF(AND(autocompAlmoco[[#This Row],[EXISTE MOT A AT]]="NÃO", autocompAlmoco[[#This Row],[EXISTE MOT B AT]]="NÃO"),"NÃO","SIM")</f>
        <v>SIM</v>
      </c>
      <c r="H155" s="57" t="str">
        <f>IF(autocompAlmoco[[#This Row],[EXISTE ESCALA ATUAL]]="NÃO",_xlfn.CONCAT(tabAlmoco[[#This Row],[DATA]]-1,"+",tabAlmoco[[#This Row],[MOTORISTA]]),"NÃO")</f>
        <v>NÃO</v>
      </c>
      <c r="I155" s="57" t="str">
        <f>IF(autocompAlmoco[[#This Row],[COMP ESCALA ANTERIOR]]="NÃO","NÃO",_xlfn.XLOOKUP(autocompAlmoco[[#This Row],[COMP ESCALA ANTERIOR]],tabE.Flux[COMP.AT. MOT A],tabE.Flux[LINHA],"NÃO",0,1))</f>
        <v>NÃO</v>
      </c>
      <c r="J155" s="58" t="str">
        <f>IF(autocompAlmoco[[#This Row],[COMP ESCALA ANTERIOR]]="NÃO","NÃO",_xlfn.XLOOKUP(autocompAlmoco[[#This Row],[COMP ESCALA ANTERIOR]],tabE.Flux[COMP.AT. MOT B],tabE.Flux[LINHA],"NÃO",0,1))</f>
        <v>NÃO</v>
      </c>
      <c r="K155" s="62" t="str">
        <f>IF(AND(autocompAlmoco[[#This Row],[EXISTE MOT A ANT]]="NÃO",autocompAlmoco[[#This Row],[EXISTE MOT B ANT]]="NÃO"),"NÃO","SIM")</f>
        <v>NÃO</v>
      </c>
      <c r="L155" s="59" t="str">
        <f t="shared" si="4"/>
        <v>45910+MARCIO RODRIGUES DA COSTA - 5993</v>
      </c>
      <c r="M155" s="59" t="str">
        <f>IF(autocompAlmoco[[#This Row],[COMP ESCALA POSTERIOR]]="NÃO","NÃO",_xlfn.XLOOKUP(autocompAlmoco[[#This Row],[COMP ESCALA POSTERIOR]],tabE.Flux[COMP.AT. MOT A],tabE.Flux[LINHA],"NÃO",0,1))</f>
        <v>NÃO</v>
      </c>
      <c r="N155" s="59" t="str">
        <f>IF(autocompAlmoco[[#This Row],[COMP ESCALA POSTERIOR]]="NÃO","NÃO",_xlfn.XLOOKUP(autocompAlmoco[[#This Row],[COMP ESCALA POSTERIOR]],tabE.Flux[COMP.AT. MOT B],tabE.Flux[LINHA],"NÃO",0,1))</f>
        <v>NÃO</v>
      </c>
      <c r="O155" s="65" t="str">
        <f>IF(AND(autocompAlmoco[[#This Row],[EXISTE MOT A POS]]="NÃO",autocompAlmoco[[#This Row],[EXISTE MOT B POS]]="NÃO"),"NÃO","SIM")</f>
        <v>NÃO</v>
      </c>
      <c r="P155" s="66" t="str" cm="1">
        <f t="array" ref="P15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55" s="103" t="str" cm="1">
        <f t="array" ref="Q15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45909+MARCIO RODRIGUES DA COSTA - 5993+GOIANIA (GO) X SAO LUIS (MA)</v>
      </c>
      <c r="R155" s="67">
        <f>_xlfn.XLOOKUP(autocompAlmoco[[#This Row],[COMP ESCALA]],tabE.Flux[COMP. ESCALA MOT B],tabE.Flux[CARRO],
(_xlfn.XLOOKUP(autocompAlmoco[[#This Row],[COMP ESCALA]],tabE.Flux[COMP. ESCALA MOT A],tabE.Flux[CARRO],"N/E",0,1)),0,1)</f>
        <v>24015</v>
      </c>
      <c r="S155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55" s="127">
        <v>45909</v>
      </c>
      <c r="U155" s="131">
        <f>IF(IFERROR(autocompAlmoco[[#This Row],[CORRESP. CARRO]],"")="NÃO",(IF(tabAlmoco[[#This Row],[MOTORISTA]]=0,"","PASSE?")),autocompAlmoco[[#This Row],[CORRESP. CARRO]])</f>
        <v>24015</v>
      </c>
      <c r="V155" s="126">
        <f>IF(OR(ISERR(autocompAlmoco[[#This Row],[CORRESP HORARIO]]), autocompAlmoco[[#This Row],[CORRESP HORARIO]]&lt;&gt;"NÃO"),autocompAlmoco[[#This Row],[CORRESP HORARIO]],"")</f>
        <v>0.79166666666666663</v>
      </c>
      <c r="W155" s="4" t="s">
        <v>299</v>
      </c>
      <c r="X155" s="1" t="s">
        <v>107</v>
      </c>
      <c r="Y155" s="1">
        <f>IF(tabAlmoco[[#This Row],[MOTORISTA]]="","",COUNTIF(autocompAlmoco[COMP ESCALA ATUAL],autocompAlmoco[[#This Row],[COMP ESCALA ATUAL]]))</f>
        <v>1</v>
      </c>
      <c r="Z155" s="105">
        <f>IF(tabAlmoco[[#This Row],[MOTORISTA]]&lt;&gt;0,15,"")</f>
        <v>15</v>
      </c>
      <c r="AA155" s="131" t="str">
        <f>autocompAlmoco[[#This Row],[CORRESP LINHA]]</f>
        <v>GOIANIA (GO) X SAO LUIS (MA)</v>
      </c>
    </row>
    <row r="156" spans="3:27" ht="15" hidden="1" customHeight="1" x14ac:dyDescent="0.25">
      <c r="C156" s="140" t="s">
        <v>226</v>
      </c>
      <c r="D156" s="56" t="str">
        <f>IF(tabAlmoco[[#This Row],[MOTORISTA]]="","",_xlfn.CONCAT(tabAlmoco[[#This Row],[DATA]],"+",tabAlmoco[[#This Row],[MOTORISTA]]))</f>
        <v>45909+DANIEL PEREIRA DA ROCHA - 5298</v>
      </c>
      <c r="E156" s="56" t="str">
        <f>_xlfn.XLOOKUP(autocompAlmoco[[#This Row],[COMP ESCALA ATUAL]],tabE.Flux[COMP.AT. MOT A],tabE.Flux[LINHA],"NÃO",0,1)</f>
        <v>NÃO</v>
      </c>
      <c r="F156" s="56" t="str">
        <f>_xlfn.XLOOKUP(autocompAlmoco[[#This Row],[COMP ESCALA ATUAL]],tabE.Flux[COMP.AT. MOT B],tabE.Flux[LINHA],"NÃO",0,1)</f>
        <v>FORTALEZA (CE) X SINOP (MT)</v>
      </c>
      <c r="G156" s="61" t="str">
        <f>IF(AND(autocompAlmoco[[#This Row],[EXISTE MOT A AT]]="NÃO", autocompAlmoco[[#This Row],[EXISTE MOT B AT]]="NÃO"),"NÃO","SIM")</f>
        <v>SIM</v>
      </c>
      <c r="H156" s="57" t="str">
        <f>IF(autocompAlmoco[[#This Row],[EXISTE ESCALA ATUAL]]="NÃO",_xlfn.CONCAT(tabAlmoco[[#This Row],[DATA]]-1,"+",tabAlmoco[[#This Row],[MOTORISTA]]),"NÃO")</f>
        <v>NÃO</v>
      </c>
      <c r="I156" s="57" t="str">
        <f>IF(autocompAlmoco[[#This Row],[COMP ESCALA ANTERIOR]]="NÃO","NÃO",_xlfn.XLOOKUP(autocompAlmoco[[#This Row],[COMP ESCALA ANTERIOR]],tabE.Flux[COMP.AT. MOT A],tabE.Flux[LINHA],"NÃO",0,1))</f>
        <v>NÃO</v>
      </c>
      <c r="J156" s="58" t="str">
        <f>IF(autocompAlmoco[[#This Row],[COMP ESCALA ANTERIOR]]="NÃO","NÃO",_xlfn.XLOOKUP(autocompAlmoco[[#This Row],[COMP ESCALA ANTERIOR]],tabE.Flux[COMP.AT. MOT B],tabE.Flux[LINHA],"NÃO",0,1))</f>
        <v>NÃO</v>
      </c>
      <c r="K156" s="62" t="str">
        <f>IF(AND(autocompAlmoco[[#This Row],[EXISTE MOT A ANT]]="NÃO",autocompAlmoco[[#This Row],[EXISTE MOT B ANT]]="NÃO"),"NÃO","SIM")</f>
        <v>NÃO</v>
      </c>
      <c r="L156" s="59" t="str">
        <f t="shared" si="4"/>
        <v>45910+DANIEL PEREIRA DA ROCHA - 5298</v>
      </c>
      <c r="M156" s="59" t="str">
        <f>IF(autocompAlmoco[[#This Row],[COMP ESCALA POSTERIOR]]="NÃO","NÃO",_xlfn.XLOOKUP(autocompAlmoco[[#This Row],[COMP ESCALA POSTERIOR]],tabE.Flux[COMP.AT. MOT A],tabE.Flux[LINHA],"NÃO",0,1))</f>
        <v>NÃO</v>
      </c>
      <c r="N156" s="59" t="str">
        <f>IF(autocompAlmoco[[#This Row],[COMP ESCALA POSTERIOR]]="NÃO","NÃO",_xlfn.XLOOKUP(autocompAlmoco[[#This Row],[COMP ESCALA POSTERIOR]],tabE.Flux[COMP.AT. MOT B],tabE.Flux[LINHA],"NÃO",0,1))</f>
        <v>NÃO</v>
      </c>
      <c r="O156" s="65" t="str">
        <f>IF(AND(autocompAlmoco[[#This Row],[EXISTE MOT A POS]]="NÃO",autocompAlmoco[[#This Row],[EXISTE MOT B POS]]="NÃO"),"NÃO","SIM")</f>
        <v>NÃO</v>
      </c>
      <c r="P156" s="66" t="str" cm="1">
        <f t="array" ref="P15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56" s="103" t="str" cm="1">
        <f t="array" ref="Q15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45909+DANIEL PEREIRA DA ROCHA - 5298+FORTALEZA (CE) X SINOP (MT)</v>
      </c>
      <c r="R156" s="67">
        <f>_xlfn.XLOOKUP(autocompAlmoco[[#This Row],[COMP ESCALA]],tabE.Flux[COMP. ESCALA MOT B],tabE.Flux[CARRO],
(_xlfn.XLOOKUP(autocompAlmoco[[#This Row],[COMP ESCALA]],tabE.Flux[COMP. ESCALA MOT A],tabE.Flux[CARRO],"N/E",0,1)),0,1)</f>
        <v>19006</v>
      </c>
      <c r="S156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56" s="127">
        <v>45909</v>
      </c>
      <c r="U156" s="131">
        <f>IF(IFERROR(autocompAlmoco[[#This Row],[CORRESP. CARRO]],"")="NÃO",(IF(tabAlmoco[[#This Row],[MOTORISTA]]=0,"","PASSE?")),autocompAlmoco[[#This Row],[CORRESP. CARRO]])</f>
        <v>19006</v>
      </c>
      <c r="V156" s="126">
        <f>IF(OR(ISERR(autocompAlmoco[[#This Row],[CORRESP HORARIO]]), autocompAlmoco[[#This Row],[CORRESP HORARIO]]&lt;&gt;"NÃO"),autocompAlmoco[[#This Row],[CORRESP HORARIO]],"")</f>
        <v>0.37708333333333333</v>
      </c>
      <c r="W156" s="4" t="s">
        <v>299</v>
      </c>
      <c r="X156" s="1" t="s">
        <v>184</v>
      </c>
      <c r="Y156" s="1">
        <f>IF(tabAlmoco[[#This Row],[MOTORISTA]]="","",COUNTIF(autocompAlmoco[COMP ESCALA ATUAL],autocompAlmoco[[#This Row],[COMP ESCALA ATUAL]]))</f>
        <v>1</v>
      </c>
      <c r="Z156" s="105">
        <f>IF(tabAlmoco[[#This Row],[MOTORISTA]]&lt;&gt;0,15,"")</f>
        <v>15</v>
      </c>
      <c r="AA156" s="131" t="str">
        <f>autocompAlmoco[[#This Row],[CORRESP LINHA]]</f>
        <v>FORTALEZA (CE) X SINOP (MT)</v>
      </c>
    </row>
    <row r="157" spans="3:27" ht="15" hidden="1" customHeight="1" x14ac:dyDescent="0.25">
      <c r="C157" s="140" t="s">
        <v>226</v>
      </c>
      <c r="D157" s="56" t="str">
        <f>IF(tabAlmoco[[#This Row],[MOTORISTA]]="","",_xlfn.CONCAT(tabAlmoco[[#This Row],[DATA]],"+",tabAlmoco[[#This Row],[MOTORISTA]]))</f>
        <v>45909+CARLOS ADRIANO DE SOUZA DO NASCIMENTO - 6222</v>
      </c>
      <c r="E157" s="56" t="str">
        <f>_xlfn.XLOOKUP(autocompAlmoco[[#This Row],[COMP ESCALA ATUAL]],tabE.Flux[COMP.AT. MOT A],tabE.Flux[LINHA],"NÃO",0,1)</f>
        <v>GOIANIA (GO) X SAO LUIS (MA)</v>
      </c>
      <c r="F157" s="56" t="str">
        <f>_xlfn.XLOOKUP(autocompAlmoco[[#This Row],[COMP ESCALA ATUAL]],tabE.Flux[COMP.AT. MOT B],tabE.Flux[LINHA],"NÃO",0,1)</f>
        <v>GOIANIA (GO) X SAO LUIS (MA)</v>
      </c>
      <c r="G157" s="61" t="str">
        <f>IF(AND(autocompAlmoco[[#This Row],[EXISTE MOT A AT]]="NÃO", autocompAlmoco[[#This Row],[EXISTE MOT B AT]]="NÃO"),"NÃO","SIM")</f>
        <v>SIM</v>
      </c>
      <c r="H157" s="57" t="str">
        <f>IF(autocompAlmoco[[#This Row],[EXISTE ESCALA ATUAL]]="NÃO",_xlfn.CONCAT(tabAlmoco[[#This Row],[DATA]]-1,"+",tabAlmoco[[#This Row],[MOTORISTA]]),"NÃO")</f>
        <v>NÃO</v>
      </c>
      <c r="I157" s="57" t="str">
        <f>IF(autocompAlmoco[[#This Row],[COMP ESCALA ANTERIOR]]="NÃO","NÃO",_xlfn.XLOOKUP(autocompAlmoco[[#This Row],[COMP ESCALA ANTERIOR]],tabE.Flux[COMP.AT. MOT A],tabE.Flux[LINHA],"NÃO",0,1))</f>
        <v>NÃO</v>
      </c>
      <c r="J157" s="58" t="str">
        <f>IF(autocompAlmoco[[#This Row],[COMP ESCALA ANTERIOR]]="NÃO","NÃO",_xlfn.XLOOKUP(autocompAlmoco[[#This Row],[COMP ESCALA ANTERIOR]],tabE.Flux[COMP.AT. MOT B],tabE.Flux[LINHA],"NÃO",0,1))</f>
        <v>NÃO</v>
      </c>
      <c r="K157" s="62" t="str">
        <f>IF(AND(autocompAlmoco[[#This Row],[EXISTE MOT A ANT]]="NÃO",autocompAlmoco[[#This Row],[EXISTE MOT B ANT]]="NÃO"),"NÃO","SIM")</f>
        <v>NÃO</v>
      </c>
      <c r="L157" s="59" t="str">
        <f t="shared" si="4"/>
        <v>45910+CARLOS ADRIANO DE SOUZA DO NASCIMENTO - 6222</v>
      </c>
      <c r="M157" s="59" t="str">
        <f>IF(autocompAlmoco[[#This Row],[COMP ESCALA POSTERIOR]]="NÃO","NÃO",_xlfn.XLOOKUP(autocompAlmoco[[#This Row],[COMP ESCALA POSTERIOR]],tabE.Flux[COMP.AT. MOT A],tabE.Flux[LINHA],"NÃO",0,1))</f>
        <v>NÃO</v>
      </c>
      <c r="N157" s="59" t="str">
        <f>IF(autocompAlmoco[[#This Row],[COMP ESCALA POSTERIOR]]="NÃO","NÃO",_xlfn.XLOOKUP(autocompAlmoco[[#This Row],[COMP ESCALA POSTERIOR]],tabE.Flux[COMP.AT. MOT B],tabE.Flux[LINHA],"NÃO",0,1))</f>
        <v>NÃO</v>
      </c>
      <c r="O157" s="65" t="str">
        <f>IF(AND(autocompAlmoco[[#This Row],[EXISTE MOT A POS]]="NÃO",autocompAlmoco[[#This Row],[EXISTE MOT B POS]]="NÃO"),"NÃO","SIM")</f>
        <v>NÃO</v>
      </c>
      <c r="P157" s="66" t="str" cm="1">
        <f t="array" ref="P15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57" s="103" t="str" cm="1">
        <f t="array" ref="Q15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45909+CARLOS ADRIANO DE SOUZA DO NASCIMENTO - 6222+GOIANIA (GO) X SAO LUIS (MA)</v>
      </c>
      <c r="R157" s="67">
        <f>_xlfn.XLOOKUP(autocompAlmoco[[#This Row],[COMP ESCALA]],tabE.Flux[COMP. ESCALA MOT B],tabE.Flux[CARRO],
(_xlfn.XLOOKUP(autocompAlmoco[[#This Row],[COMP ESCALA]],tabE.Flux[COMP. ESCALA MOT A],tabE.Flux[CARRO],"N/E",0,1)),0,1)</f>
        <v>24001</v>
      </c>
      <c r="S157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57" s="127">
        <v>45909</v>
      </c>
      <c r="U157" s="131">
        <f>IF(IFERROR(autocompAlmoco[[#This Row],[CORRESP. CARRO]],"")="NÃO",(IF(tabAlmoco[[#This Row],[MOTORISTA]]=0,"","PASSE?")),autocompAlmoco[[#This Row],[CORRESP. CARRO]])</f>
        <v>24001</v>
      </c>
      <c r="V157" s="126">
        <f>IF(OR(ISERR(autocompAlmoco[[#This Row],[CORRESP HORARIO]]), autocompAlmoco[[#This Row],[CORRESP HORARIO]]&lt;&gt;"NÃO"),autocompAlmoco[[#This Row],[CORRESP HORARIO]],"")</f>
        <v>0.29166666666666669</v>
      </c>
      <c r="W157" s="4" t="s">
        <v>299</v>
      </c>
      <c r="X157" s="1" t="s">
        <v>110</v>
      </c>
      <c r="Y157" s="1">
        <f>IF(tabAlmoco[[#This Row],[MOTORISTA]]="","",COUNTIF(autocompAlmoco[COMP ESCALA ATUAL],autocompAlmoco[[#This Row],[COMP ESCALA ATUAL]]))</f>
        <v>1</v>
      </c>
      <c r="Z157" s="105">
        <f>IF(tabAlmoco[[#This Row],[MOTORISTA]]&lt;&gt;0,15,"")</f>
        <v>15</v>
      </c>
      <c r="AA157" s="131" t="str">
        <f>autocompAlmoco[[#This Row],[CORRESP LINHA]]</f>
        <v>GOIANIA (GO) X SAO LUIS (MA)</v>
      </c>
    </row>
    <row r="158" spans="3:27" ht="15" hidden="1" customHeight="1" x14ac:dyDescent="0.25">
      <c r="C158" s="140" t="s">
        <v>226</v>
      </c>
      <c r="D158" s="56" t="str">
        <f>IF(tabAlmoco[[#This Row],[MOTORISTA]]="","",_xlfn.CONCAT(tabAlmoco[[#This Row],[DATA]],"+",tabAlmoco[[#This Row],[MOTORISTA]]))</f>
        <v>45910+ANTONIO MARCIO DE SENA RIBEIRO CHAVES - 5061</v>
      </c>
      <c r="E158" s="56" t="str">
        <f>_xlfn.XLOOKUP(autocompAlmoco[[#This Row],[COMP ESCALA ATUAL]],tabE.Flux[COMP.AT. MOT A],tabE.Flux[LINHA],"NÃO",0,1)</f>
        <v>NÃO</v>
      </c>
      <c r="F158" s="56" t="str">
        <f>_xlfn.XLOOKUP(autocompAlmoco[[#This Row],[COMP ESCALA ATUAL]],tabE.Flux[COMP.AT. MOT B],tabE.Flux[LINHA],"NÃO",0,1)</f>
        <v>NÃO</v>
      </c>
      <c r="G158" s="61" t="str">
        <f>IF(AND(autocompAlmoco[[#This Row],[EXISTE MOT A AT]]="NÃO", autocompAlmoco[[#This Row],[EXISTE MOT B AT]]="NÃO"),"NÃO","SIM")</f>
        <v>NÃO</v>
      </c>
      <c r="H158" s="57" t="str">
        <f>IF(autocompAlmoco[[#This Row],[EXISTE ESCALA ATUAL]]="NÃO",_xlfn.CONCAT(tabAlmoco[[#This Row],[DATA]]-1,"+",tabAlmoco[[#This Row],[MOTORISTA]]),"NÃO")</f>
        <v>45909+ANTONIO MARCIO DE SENA RIBEIRO CHAVES - 5061</v>
      </c>
      <c r="I158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58" s="58" t="str">
        <f>IF(autocompAlmoco[[#This Row],[COMP ESCALA ANTERIOR]]="NÃO","NÃO",_xlfn.XLOOKUP(autocompAlmoco[[#This Row],[COMP ESCALA ANTERIOR]],tabE.Flux[COMP.AT. MOT B],tabE.Flux[LINHA],"NÃO",0,1))</f>
        <v>NÃO</v>
      </c>
      <c r="K158" s="62" t="str">
        <f>IF(AND(autocompAlmoco[[#This Row],[EXISTE MOT A ANT]]="NÃO",autocompAlmoco[[#This Row],[EXISTE MOT B ANT]]="NÃO"),"NÃO","SIM")</f>
        <v>SIM</v>
      </c>
      <c r="L158" s="59" t="str">
        <f t="shared" si="4"/>
        <v>45911+ANTONIO MARCIO DE SENA RIBEIRO CHAVES - 5061</v>
      </c>
      <c r="M158" s="59" t="str">
        <f>IF(autocompAlmoco[[#This Row],[COMP ESCALA POSTERIOR]]="NÃO","NÃO",_xlfn.XLOOKUP(autocompAlmoco[[#This Row],[COMP ESCALA POSTERIOR]],tabE.Flux[COMP.AT. MOT A],tabE.Flux[LINHA],"NÃO",0,1))</f>
        <v>NÃO</v>
      </c>
      <c r="N158" s="59" t="str">
        <f>IF(autocompAlmoco[[#This Row],[COMP ESCALA POSTERIOR]]="NÃO","NÃO",_xlfn.XLOOKUP(autocompAlmoco[[#This Row],[COMP ESCALA POSTERIOR]],tabE.Flux[COMP.AT. MOT B],tabE.Flux[LINHA],"NÃO",0,1))</f>
        <v>GOIANIA (GO) X BELEM (PA)</v>
      </c>
      <c r="O158" s="65" t="str">
        <f>IF(AND(autocompAlmoco[[#This Row],[EXISTE MOT A POS]]="NÃO",autocompAlmoco[[#This Row],[EXISTE MOT B POS]]="NÃO"),"NÃO","SIM")</f>
        <v>SIM</v>
      </c>
      <c r="P158" s="66" t="str" cm="1">
        <f t="array" ref="P15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58" s="103" t="str" cm="1">
        <f t="array" ref="Q15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45909+ANTONIO MARCIO DE SENA RIBEIRO CHAVES - 5061+FORTALEZA (CE) X SINOP (MT)</v>
      </c>
      <c r="R158" s="67">
        <f>_xlfn.XLOOKUP(autocompAlmoco[[#This Row],[COMP ESCALA]],tabE.Flux[COMP. ESCALA MOT B],tabE.Flux[CARRO],
(_xlfn.XLOOKUP(autocompAlmoco[[#This Row],[COMP ESCALA]],tabE.Flux[COMP. ESCALA MOT A],tabE.Flux[CARRO],"N/E",0,1)),0,1)</f>
        <v>19006</v>
      </c>
      <c r="S158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58" s="127">
        <v>45910</v>
      </c>
      <c r="U158" s="4">
        <f>IF(IFERROR(autocompAlmoco[[#This Row],[CORRESP. CARRO]],"")="NÃO",(IF(tabAlmoco[[#This Row],[MOTORISTA]]=0,"","PASSE?")),autocompAlmoco[[#This Row],[CORRESP. CARRO]])</f>
        <v>19006</v>
      </c>
      <c r="V158" s="128">
        <f>IF(OR(ISERR(autocompAlmoco[[#This Row],[CORRESP HORARIO]]), autocompAlmoco[[#This Row],[CORRESP HORARIO]]&lt;&gt;"NÃO"),autocompAlmoco[[#This Row],[CORRESP HORARIO]],"")</f>
        <v>0.37708333333333333</v>
      </c>
      <c r="W158" s="4" t="s">
        <v>299</v>
      </c>
      <c r="X158" s="4" t="s">
        <v>235</v>
      </c>
      <c r="Y158" s="4">
        <f>IF(tabAlmoco[[#This Row],[MOTORISTA]]="","",COUNTIF(autocompAlmoco[COMP ESCALA ATUAL],autocompAlmoco[[#This Row],[COMP ESCALA ATUAL]]))</f>
        <v>1</v>
      </c>
      <c r="Z158" s="45">
        <f>IF(tabAlmoco[[#This Row],[MOTORISTA]]&lt;&gt;0,15,"")</f>
        <v>15</v>
      </c>
      <c r="AA158" s="4" t="str">
        <f>autocompAlmoco[[#This Row],[CORRESP LINHA]]</f>
        <v>FORTALEZA (CE) X SINOP (MT)</v>
      </c>
    </row>
    <row r="159" spans="3:27" ht="15" hidden="1" customHeight="1" x14ac:dyDescent="0.25">
      <c r="C159" s="140" t="s">
        <v>226</v>
      </c>
      <c r="D159" s="56" t="str">
        <f>IF(tabAlmoco[[#This Row],[MOTORISTA]]="","",_xlfn.CONCAT(tabAlmoco[[#This Row],[DATA]],"+",tabAlmoco[[#This Row],[MOTORISTA]]))</f>
        <v>45910+EDUARDO SANTOS BEZERRA - 4066</v>
      </c>
      <c r="E159" s="56" t="str">
        <f>_xlfn.XLOOKUP(autocompAlmoco[[#This Row],[COMP ESCALA ATUAL]],tabE.Flux[COMP.AT. MOT A],tabE.Flux[LINHA],"NÃO",0,1)</f>
        <v>NÃO</v>
      </c>
      <c r="F159" s="56" t="str">
        <f>_xlfn.XLOOKUP(autocompAlmoco[[#This Row],[COMP ESCALA ATUAL]],tabE.Flux[COMP.AT. MOT B],tabE.Flux[LINHA],"NÃO",0,1)</f>
        <v>GOIANIA (GO) X SAO LUIS (MA)</v>
      </c>
      <c r="G159" s="61" t="str">
        <f>IF(AND(autocompAlmoco[[#This Row],[EXISTE MOT A AT]]="NÃO", autocompAlmoco[[#This Row],[EXISTE MOT B AT]]="NÃO"),"NÃO","SIM")</f>
        <v>SIM</v>
      </c>
      <c r="H159" s="57" t="str">
        <f>IF(autocompAlmoco[[#This Row],[EXISTE ESCALA ATUAL]]="NÃO",_xlfn.CONCAT(tabAlmoco[[#This Row],[DATA]]-1,"+",tabAlmoco[[#This Row],[MOTORISTA]]),"NÃO")</f>
        <v>NÃO</v>
      </c>
      <c r="I159" s="57" t="str">
        <f>IF(autocompAlmoco[[#This Row],[COMP ESCALA ANTERIOR]]="NÃO","NÃO",_xlfn.XLOOKUP(autocompAlmoco[[#This Row],[COMP ESCALA ANTERIOR]],tabE.Flux[COMP.AT. MOT A],tabE.Flux[LINHA],"NÃO",0,1))</f>
        <v>NÃO</v>
      </c>
      <c r="J159" s="58" t="str">
        <f>IF(autocompAlmoco[[#This Row],[COMP ESCALA ANTERIOR]]="NÃO","NÃO",_xlfn.XLOOKUP(autocompAlmoco[[#This Row],[COMP ESCALA ANTERIOR]],tabE.Flux[COMP.AT. MOT B],tabE.Flux[LINHA],"NÃO",0,1))</f>
        <v>NÃO</v>
      </c>
      <c r="K159" s="62" t="str">
        <f>IF(AND(autocompAlmoco[[#This Row],[EXISTE MOT A ANT]]="NÃO",autocompAlmoco[[#This Row],[EXISTE MOT B ANT]]="NÃO"),"NÃO","SIM")</f>
        <v>NÃO</v>
      </c>
      <c r="L159" s="59" t="str">
        <f t="shared" si="4"/>
        <v>45911+EDUARDO SANTOS BEZERRA - 4066</v>
      </c>
      <c r="M159" s="59" t="str">
        <f>IF(autocompAlmoco[[#This Row],[COMP ESCALA POSTERIOR]]="NÃO","NÃO",_xlfn.XLOOKUP(autocompAlmoco[[#This Row],[COMP ESCALA POSTERIOR]],tabE.Flux[COMP.AT. MOT A],tabE.Flux[LINHA],"NÃO",0,1))</f>
        <v>NÃO</v>
      </c>
      <c r="N159" s="59" t="str">
        <f>IF(autocompAlmoco[[#This Row],[COMP ESCALA POSTERIOR]]="NÃO","NÃO",_xlfn.XLOOKUP(autocompAlmoco[[#This Row],[COMP ESCALA POSTERIOR]],tabE.Flux[COMP.AT. MOT B],tabE.Flux[LINHA],"NÃO",0,1))</f>
        <v>NÃO</v>
      </c>
      <c r="O159" s="65" t="str">
        <f>IF(AND(autocompAlmoco[[#This Row],[EXISTE MOT A POS]]="NÃO",autocompAlmoco[[#This Row],[EXISTE MOT B POS]]="NÃO"),"NÃO","SIM")</f>
        <v>NÃO</v>
      </c>
      <c r="P159" s="66" t="str" cm="1">
        <f t="array" ref="P15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59" s="103" t="str" cm="1">
        <f t="array" ref="Q15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45910+EDUARDO SANTOS BEZERRA - 4066+GOIANIA (GO) X SAO LUIS (MA)</v>
      </c>
      <c r="R159" s="67">
        <f>_xlfn.XLOOKUP(autocompAlmoco[[#This Row],[COMP ESCALA]],tabE.Flux[COMP. ESCALA MOT B],tabE.Flux[CARRO],
(_xlfn.XLOOKUP(autocompAlmoco[[#This Row],[COMP ESCALA]],tabE.Flux[COMP. ESCALA MOT A],tabE.Flux[CARRO],"N/E",0,1)),0,1)</f>
        <v>20019</v>
      </c>
      <c r="S159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59" s="127">
        <v>45910</v>
      </c>
      <c r="U159" s="4">
        <f>IF(IFERROR(autocompAlmoco[[#This Row],[CORRESP. CARRO]],"")="NÃO",(IF(tabAlmoco[[#This Row],[MOTORISTA]]=0,"","PASSE?")),autocompAlmoco[[#This Row],[CORRESP. CARRO]])</f>
        <v>20019</v>
      </c>
      <c r="V159" s="126">
        <f>IF(OR(ISERR(autocompAlmoco[[#This Row],[CORRESP HORARIO]]), autocompAlmoco[[#This Row],[CORRESP HORARIO]]&lt;&gt;"NÃO"),autocompAlmoco[[#This Row],[CORRESP HORARIO]],"")</f>
        <v>0.29166666666666669</v>
      </c>
      <c r="W159" s="4" t="s">
        <v>299</v>
      </c>
      <c r="X159" s="1" t="s">
        <v>148</v>
      </c>
      <c r="Y159" s="1">
        <f>IF(tabAlmoco[[#This Row],[MOTORISTA]]="","",COUNTIF(autocompAlmoco[COMP ESCALA ATUAL],autocompAlmoco[[#This Row],[COMP ESCALA ATUAL]]))</f>
        <v>1</v>
      </c>
      <c r="Z159" s="105">
        <f>IF(tabAlmoco[[#This Row],[MOTORISTA]]&lt;&gt;0,15,"")</f>
        <v>15</v>
      </c>
      <c r="AA159" s="4" t="str">
        <f>autocompAlmoco[[#This Row],[CORRESP LINHA]]</f>
        <v>GOIANIA (GO) X SAO LUIS (MA)</v>
      </c>
    </row>
    <row r="160" spans="3:27" ht="15" hidden="1" customHeight="1" x14ac:dyDescent="0.25">
      <c r="C160" s="140" t="s">
        <v>226</v>
      </c>
      <c r="D160" s="56" t="str">
        <f>IF(tabAlmoco[[#This Row],[MOTORISTA]]="","",_xlfn.CONCAT(tabAlmoco[[#This Row],[DATA]],"+",tabAlmoco[[#This Row],[MOTORISTA]]))</f>
        <v>45910+KAYLSON KLEYTON DA SILVA COSTA - 6224</v>
      </c>
      <c r="E160" s="56" t="str">
        <f>_xlfn.XLOOKUP(autocompAlmoco[[#This Row],[COMP ESCALA ATUAL]],tabE.Flux[COMP.AT. MOT A],tabE.Flux[LINHA],"NÃO",0,1)</f>
        <v>NÃO</v>
      </c>
      <c r="F160" s="56" t="str">
        <f>_xlfn.XLOOKUP(autocompAlmoco[[#This Row],[COMP ESCALA ATUAL]],tabE.Flux[COMP.AT. MOT B],tabE.Flux[LINHA],"NÃO",0,1)</f>
        <v>GOIANIA (GO) X SAO LUIS (MA)</v>
      </c>
      <c r="G160" s="61" t="str">
        <f>IF(AND(autocompAlmoco[[#This Row],[EXISTE MOT A AT]]="NÃO", autocompAlmoco[[#This Row],[EXISTE MOT B AT]]="NÃO"),"NÃO","SIM")</f>
        <v>SIM</v>
      </c>
      <c r="H160" s="57" t="str">
        <f>IF(autocompAlmoco[[#This Row],[EXISTE ESCALA ATUAL]]="NÃO",_xlfn.CONCAT(tabAlmoco[[#This Row],[DATA]]-1,"+",tabAlmoco[[#This Row],[MOTORISTA]]),"NÃO")</f>
        <v>NÃO</v>
      </c>
      <c r="I160" s="57" t="str">
        <f>IF(autocompAlmoco[[#This Row],[COMP ESCALA ANTERIOR]]="NÃO","NÃO",_xlfn.XLOOKUP(autocompAlmoco[[#This Row],[COMP ESCALA ANTERIOR]],tabE.Flux[COMP.AT. MOT A],tabE.Flux[LINHA],"NÃO",0,1))</f>
        <v>NÃO</v>
      </c>
      <c r="J160" s="58" t="str">
        <f>IF(autocompAlmoco[[#This Row],[COMP ESCALA ANTERIOR]]="NÃO","NÃO",_xlfn.XLOOKUP(autocompAlmoco[[#This Row],[COMP ESCALA ANTERIOR]],tabE.Flux[COMP.AT. MOT B],tabE.Flux[LINHA],"NÃO",0,1))</f>
        <v>NÃO</v>
      </c>
      <c r="K160" s="62" t="str">
        <f>IF(AND(autocompAlmoco[[#This Row],[EXISTE MOT A ANT]]="NÃO",autocompAlmoco[[#This Row],[EXISTE MOT B ANT]]="NÃO"),"NÃO","SIM")</f>
        <v>NÃO</v>
      </c>
      <c r="L160" s="59" t="str">
        <f t="shared" si="4"/>
        <v>45911+KAYLSON KLEYTON DA SILVA COSTA - 6224</v>
      </c>
      <c r="M160" s="59" t="str">
        <f>IF(autocompAlmoco[[#This Row],[COMP ESCALA POSTERIOR]]="NÃO","NÃO",_xlfn.XLOOKUP(autocompAlmoco[[#This Row],[COMP ESCALA POSTERIOR]],tabE.Flux[COMP.AT. MOT A],tabE.Flux[LINHA],"NÃO",0,1))</f>
        <v>NÃO</v>
      </c>
      <c r="N160" s="59" t="str">
        <f>IF(autocompAlmoco[[#This Row],[COMP ESCALA POSTERIOR]]="NÃO","NÃO",_xlfn.XLOOKUP(autocompAlmoco[[#This Row],[COMP ESCALA POSTERIOR]],tabE.Flux[COMP.AT. MOT B],tabE.Flux[LINHA],"NÃO",0,1))</f>
        <v>NÃO</v>
      </c>
      <c r="O160" s="65" t="str">
        <f>IF(AND(autocompAlmoco[[#This Row],[EXISTE MOT A POS]]="NÃO",autocompAlmoco[[#This Row],[EXISTE MOT B POS]]="NÃO"),"NÃO","SIM")</f>
        <v>NÃO</v>
      </c>
      <c r="P160" s="66" t="str" cm="1">
        <f t="array" ref="P16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60" s="103" t="str" cm="1">
        <f t="array" ref="Q16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45910+KAYLSON KLEYTON DA SILVA COSTA - 6224+GOIANIA (GO) X SAO LUIS (MA)</v>
      </c>
      <c r="R160" s="67">
        <f>_xlfn.XLOOKUP(autocompAlmoco[[#This Row],[COMP ESCALA]],tabE.Flux[COMP. ESCALA MOT B],tabE.Flux[CARRO],
(_xlfn.XLOOKUP(autocompAlmoco[[#This Row],[COMP ESCALA]],tabE.Flux[COMP. ESCALA MOT A],tabE.Flux[CARRO],"N/E",0,1)),0,1)</f>
        <v>19011</v>
      </c>
      <c r="S160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60" s="127">
        <v>45910</v>
      </c>
      <c r="U160" s="131">
        <f>IF(IFERROR(autocompAlmoco[[#This Row],[CORRESP. CARRO]],"")="NÃO",(IF(tabAlmoco[[#This Row],[MOTORISTA]]=0,"","PASSE?")),autocompAlmoco[[#This Row],[CORRESP. CARRO]])</f>
        <v>19011</v>
      </c>
      <c r="V160" s="126">
        <f>IF(OR(ISERR(autocompAlmoco[[#This Row],[CORRESP HORARIO]]), autocompAlmoco[[#This Row],[CORRESP HORARIO]]&lt;&gt;"NÃO"),autocompAlmoco[[#This Row],[CORRESP HORARIO]],"")</f>
        <v>0.47013888888888888</v>
      </c>
      <c r="W160" s="4" t="s">
        <v>299</v>
      </c>
      <c r="X160" s="1" t="s">
        <v>80</v>
      </c>
      <c r="Y160" s="1">
        <f>IF(tabAlmoco[[#This Row],[MOTORISTA]]="","",COUNTIF(autocompAlmoco[COMP ESCALA ATUAL],autocompAlmoco[[#This Row],[COMP ESCALA ATUAL]]))</f>
        <v>1</v>
      </c>
      <c r="Z160" s="105">
        <f>IF(tabAlmoco[[#This Row],[MOTORISTA]]&lt;&gt;0,15,"")</f>
        <v>15</v>
      </c>
      <c r="AA160" s="131" t="str">
        <f>autocompAlmoco[[#This Row],[CORRESP LINHA]]</f>
        <v>GOIANIA (GO) X SAO LUIS (MA)</v>
      </c>
    </row>
    <row r="161" spans="3:27" ht="15" hidden="1" customHeight="1" x14ac:dyDescent="0.25">
      <c r="C161" s="140" t="s">
        <v>226</v>
      </c>
      <c r="D161" s="56" t="str">
        <f>IF(tabAlmoco[[#This Row],[MOTORISTA]]="","",_xlfn.CONCAT(tabAlmoco[[#This Row],[DATA]],"+",tabAlmoco[[#This Row],[MOTORISTA]]))</f>
        <v>45910+MARCOS ATAIDE SILVA - 1352</v>
      </c>
      <c r="E161" s="56" t="str">
        <f>_xlfn.XLOOKUP(autocompAlmoco[[#This Row],[COMP ESCALA ATUAL]],tabE.Flux[COMP.AT. MOT A],tabE.Flux[LINHA],"NÃO",0,1)</f>
        <v>NÃO</v>
      </c>
      <c r="F161" s="56" t="str">
        <f>_xlfn.XLOOKUP(autocompAlmoco[[#This Row],[COMP ESCALA ATUAL]],tabE.Flux[COMP.AT. MOT B],tabE.Flux[LINHA],"NÃO",0,1)</f>
        <v>GOIANIA (GO) X SAO LUIS (MA)</v>
      </c>
      <c r="G161" s="61" t="str">
        <f>IF(AND(autocompAlmoco[[#This Row],[EXISTE MOT A AT]]="NÃO", autocompAlmoco[[#This Row],[EXISTE MOT B AT]]="NÃO"),"NÃO","SIM")</f>
        <v>SIM</v>
      </c>
      <c r="H161" s="57" t="str">
        <f>IF(autocompAlmoco[[#This Row],[EXISTE ESCALA ATUAL]]="NÃO",_xlfn.CONCAT(tabAlmoco[[#This Row],[DATA]]-1,"+",tabAlmoco[[#This Row],[MOTORISTA]]),"NÃO")</f>
        <v>NÃO</v>
      </c>
      <c r="I161" s="57" t="str">
        <f>IF(autocompAlmoco[[#This Row],[COMP ESCALA ANTERIOR]]="NÃO","NÃO",_xlfn.XLOOKUP(autocompAlmoco[[#This Row],[COMP ESCALA ANTERIOR]],tabE.Flux[COMP.AT. MOT A],tabE.Flux[LINHA],"NÃO",0,1))</f>
        <v>NÃO</v>
      </c>
      <c r="J161" s="58" t="str">
        <f>IF(autocompAlmoco[[#This Row],[COMP ESCALA ANTERIOR]]="NÃO","NÃO",_xlfn.XLOOKUP(autocompAlmoco[[#This Row],[COMP ESCALA ANTERIOR]],tabE.Flux[COMP.AT. MOT B],tabE.Flux[LINHA],"NÃO",0,1))</f>
        <v>NÃO</v>
      </c>
      <c r="K161" s="62" t="str">
        <f>IF(AND(autocompAlmoco[[#This Row],[EXISTE MOT A ANT]]="NÃO",autocompAlmoco[[#This Row],[EXISTE MOT B ANT]]="NÃO"),"NÃO","SIM")</f>
        <v>NÃO</v>
      </c>
      <c r="L161" s="59" t="str">
        <f t="shared" si="4"/>
        <v>45911+MARCOS ATAIDE SILVA - 1352</v>
      </c>
      <c r="M161" s="59" t="str">
        <f>IF(autocompAlmoco[[#This Row],[COMP ESCALA POSTERIOR]]="NÃO","NÃO",_xlfn.XLOOKUP(autocompAlmoco[[#This Row],[COMP ESCALA POSTERIOR]],tabE.Flux[COMP.AT. MOT A],tabE.Flux[LINHA],"NÃO",0,1))</f>
        <v>NÃO</v>
      </c>
      <c r="N161" s="59" t="str">
        <f>IF(autocompAlmoco[[#This Row],[COMP ESCALA POSTERIOR]]="NÃO","NÃO",_xlfn.XLOOKUP(autocompAlmoco[[#This Row],[COMP ESCALA POSTERIOR]],tabE.Flux[COMP.AT. MOT B],tabE.Flux[LINHA],"NÃO",0,1))</f>
        <v>NÃO</v>
      </c>
      <c r="O161" s="65" t="str">
        <f>IF(AND(autocompAlmoco[[#This Row],[EXISTE MOT A POS]]="NÃO",autocompAlmoco[[#This Row],[EXISTE MOT B POS]]="NÃO"),"NÃO","SIM")</f>
        <v>NÃO</v>
      </c>
      <c r="P161" s="66" t="str" cm="1">
        <f t="array" ref="P16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61" s="103" t="str" cm="1">
        <f t="array" ref="Q16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45910+MARCOS ATAIDE SILVA - 1352+GOIANIA (GO) X SAO LUIS (MA)</v>
      </c>
      <c r="R161" s="67">
        <f>_xlfn.XLOOKUP(autocompAlmoco[[#This Row],[COMP ESCALA]],tabE.Flux[COMP. ESCALA MOT B],tabE.Flux[CARRO],
(_xlfn.XLOOKUP(autocompAlmoco[[#This Row],[COMP ESCALA]],tabE.Flux[COMP. ESCALA MOT A],tabE.Flux[CARRO],"N/E",0,1)),0,1)</f>
        <v>24001</v>
      </c>
      <c r="S161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61" s="127">
        <v>45910</v>
      </c>
      <c r="U161" s="131">
        <f>IF(IFERROR(autocompAlmoco[[#This Row],[CORRESP. CARRO]],"")="NÃO",(IF(tabAlmoco[[#This Row],[MOTORISTA]]=0,"","PASSE?")),autocompAlmoco[[#This Row],[CORRESP. CARRO]])</f>
        <v>24001</v>
      </c>
      <c r="V161" s="126">
        <f>IF(OR(ISERR(autocompAlmoco[[#This Row],[CORRESP HORARIO]]), autocompAlmoco[[#This Row],[CORRESP HORARIO]]&lt;&gt;"NÃO"),autocompAlmoco[[#This Row],[CORRESP HORARIO]],"")</f>
        <v>0.79166666666666663</v>
      </c>
      <c r="W161" s="4" t="s">
        <v>299</v>
      </c>
      <c r="X161" s="1" t="s">
        <v>113</v>
      </c>
      <c r="Y161" s="1">
        <f>IF(tabAlmoco[[#This Row],[MOTORISTA]]="","",COUNTIF(autocompAlmoco[COMP ESCALA ATUAL],autocompAlmoco[[#This Row],[COMP ESCALA ATUAL]]))</f>
        <v>1</v>
      </c>
      <c r="Z161" s="105">
        <f>IF(tabAlmoco[[#This Row],[MOTORISTA]]&lt;&gt;0,15,"")</f>
        <v>15</v>
      </c>
      <c r="AA161" s="131" t="str">
        <f>autocompAlmoco[[#This Row],[CORRESP LINHA]]</f>
        <v>GOIANIA (GO) X SAO LUIS (MA)</v>
      </c>
    </row>
    <row r="162" spans="3:27" ht="15" hidden="1" customHeight="1" x14ac:dyDescent="0.25">
      <c r="C162" s="140" t="s">
        <v>226</v>
      </c>
      <c r="D162" s="56" t="str">
        <f>IF(tabAlmoco[[#This Row],[MOTORISTA]]="","",_xlfn.CONCAT(tabAlmoco[[#This Row],[DATA]],"+",tabAlmoco[[#This Row],[MOTORISTA]]))</f>
        <v>45910+JOSE POLICARPO DE SOUSA NETO - 1472</v>
      </c>
      <c r="E162" s="56" t="str">
        <f>_xlfn.XLOOKUP(autocompAlmoco[[#This Row],[COMP ESCALA ATUAL]],tabE.Flux[COMP.AT. MOT A],tabE.Flux[LINHA],"NÃO",0,1)</f>
        <v>NÃO</v>
      </c>
      <c r="F162" s="56" t="str">
        <f>_xlfn.XLOOKUP(autocompAlmoco[[#This Row],[COMP ESCALA ATUAL]],tabE.Flux[COMP.AT. MOT B],tabE.Flux[LINHA],"NÃO",0,1)</f>
        <v>NÃO</v>
      </c>
      <c r="G162" s="61" t="str">
        <f>IF(AND(autocompAlmoco[[#This Row],[EXISTE MOT A AT]]="NÃO", autocompAlmoco[[#This Row],[EXISTE MOT B AT]]="NÃO"),"NÃO","SIM")</f>
        <v>NÃO</v>
      </c>
      <c r="H162" s="57" t="str">
        <f>IF(autocompAlmoco[[#This Row],[EXISTE ESCALA ATUAL]]="NÃO",_xlfn.CONCAT(tabAlmoco[[#This Row],[DATA]]-1,"+",tabAlmoco[[#This Row],[MOTORISTA]]),"NÃO")</f>
        <v>45909+JOSE POLICARPO DE SOUSA NETO - 1472</v>
      </c>
      <c r="I162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62" s="58" t="str">
        <f>IF(autocompAlmoco[[#This Row],[COMP ESCALA ANTERIOR]]="NÃO","NÃO",_xlfn.XLOOKUP(autocompAlmoco[[#This Row],[COMP ESCALA ANTERIOR]],tabE.Flux[COMP.AT. MOT B],tabE.Flux[LINHA],"NÃO",0,1))</f>
        <v>NÃO</v>
      </c>
      <c r="K162" s="62" t="str">
        <f>IF(AND(autocompAlmoco[[#This Row],[EXISTE MOT A ANT]]="NÃO",autocompAlmoco[[#This Row],[EXISTE MOT B ANT]]="NÃO"),"NÃO","SIM")</f>
        <v>SIM</v>
      </c>
      <c r="L162" s="59" t="str">
        <f t="shared" si="4"/>
        <v>45911+JOSE POLICARPO DE SOUSA NETO - 1472</v>
      </c>
      <c r="M162" s="59" t="str">
        <f>IF(autocompAlmoco[[#This Row],[COMP ESCALA POSTERIOR]]="NÃO","NÃO",_xlfn.XLOOKUP(autocompAlmoco[[#This Row],[COMP ESCALA POSTERIOR]],tabE.Flux[COMP.AT. MOT A],tabE.Flux[LINHA],"NÃO",0,1))</f>
        <v>NÃO</v>
      </c>
      <c r="N162" s="59" t="str">
        <f>IF(autocompAlmoco[[#This Row],[COMP ESCALA POSTERIOR]]="NÃO","NÃO",_xlfn.XLOOKUP(autocompAlmoco[[#This Row],[COMP ESCALA POSTERIOR]],tabE.Flux[COMP.AT. MOT B],tabE.Flux[LINHA],"NÃO",0,1))</f>
        <v>NÃO</v>
      </c>
      <c r="O162" s="65" t="str">
        <f>IF(AND(autocompAlmoco[[#This Row],[EXISTE MOT A POS]]="NÃO",autocompAlmoco[[#This Row],[EXISTE MOT B POS]]="NÃO"),"NÃO","SIM")</f>
        <v>NÃO</v>
      </c>
      <c r="P162" s="66" t="str" cm="1">
        <f t="array" ref="P16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62" s="103" t="str" cm="1">
        <f t="array" ref="Q16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45909+JOSE POLICARPO DE SOUSA NETO - 1472+GOIANIA (GO) X TERESINA (PI) VIA STI</v>
      </c>
      <c r="R162" s="67">
        <f>_xlfn.XLOOKUP(autocompAlmoco[[#This Row],[COMP ESCALA]],tabE.Flux[COMP. ESCALA MOT B],tabE.Flux[CARRO],
(_xlfn.XLOOKUP(autocompAlmoco[[#This Row],[COMP ESCALA]],tabE.Flux[COMP. ESCALA MOT A],tabE.Flux[CARRO],"N/E",0,1)),0,1)</f>
        <v>19016</v>
      </c>
      <c r="S162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62" s="127">
        <v>45910</v>
      </c>
      <c r="U162" s="131">
        <f>IF(IFERROR(autocompAlmoco[[#This Row],[CORRESP. CARRO]],"")="NÃO",(IF(tabAlmoco[[#This Row],[MOTORISTA]]=0,"","PASSE?")),autocompAlmoco[[#This Row],[CORRESP. CARRO]])</f>
        <v>19016</v>
      </c>
      <c r="V162" s="126">
        <f>IF(OR(ISERR(autocompAlmoco[[#This Row],[CORRESP HORARIO]]), autocompAlmoco[[#This Row],[CORRESP HORARIO]]&lt;&gt;"NÃO"),autocompAlmoco[[#This Row],[CORRESP HORARIO]],"")</f>
        <v>0.79861111111111116</v>
      </c>
      <c r="W162" s="4" t="s">
        <v>299</v>
      </c>
      <c r="X162" s="1" t="s">
        <v>54</v>
      </c>
      <c r="Y162" s="1">
        <f>IF(tabAlmoco[[#This Row],[MOTORISTA]]="","",COUNTIF(autocompAlmoco[COMP ESCALA ATUAL],autocompAlmoco[[#This Row],[COMP ESCALA ATUAL]]))</f>
        <v>1</v>
      </c>
      <c r="Z162" s="105">
        <f>IF(tabAlmoco[[#This Row],[MOTORISTA]]&lt;&gt;0,15,"")</f>
        <v>15</v>
      </c>
      <c r="AA162" s="131" t="str">
        <f>autocompAlmoco[[#This Row],[CORRESP LINHA]]</f>
        <v>GOIANIA (GO) X TERESINA (PI) VIA STI</v>
      </c>
    </row>
    <row r="163" spans="3:27" ht="15" hidden="1" customHeight="1" x14ac:dyDescent="0.25">
      <c r="C163" s="140" t="s">
        <v>226</v>
      </c>
      <c r="D163" s="56" t="str">
        <f>IF(tabAlmoco[[#This Row],[MOTORISTA]]="","",_xlfn.CONCAT(tabAlmoco[[#This Row],[DATA]],"+",tabAlmoco[[#This Row],[MOTORISTA]]))</f>
        <v>45910+PAULO ENEAS FARIAS ARAUJO - 6218</v>
      </c>
      <c r="E163" s="56" t="str">
        <f>_xlfn.XLOOKUP(autocompAlmoco[[#This Row],[COMP ESCALA ATUAL]],tabE.Flux[COMP.AT. MOT A],tabE.Flux[LINHA],"NÃO",0,1)</f>
        <v>GOIANIA (GO) X SAO LUIS (MA)</v>
      </c>
      <c r="F163" s="56" t="str">
        <f>_xlfn.XLOOKUP(autocompAlmoco[[#This Row],[COMP ESCALA ATUAL]],tabE.Flux[COMP.AT. MOT B],tabE.Flux[LINHA],"NÃO",0,1)</f>
        <v>GOIANIA (GO) X SAO LUIS (MA)</v>
      </c>
      <c r="G163" s="61" t="str">
        <f>IF(AND(autocompAlmoco[[#This Row],[EXISTE MOT A AT]]="NÃO", autocompAlmoco[[#This Row],[EXISTE MOT B AT]]="NÃO"),"NÃO","SIM")</f>
        <v>SIM</v>
      </c>
      <c r="H163" s="57" t="str">
        <f>IF(autocompAlmoco[[#This Row],[EXISTE ESCALA ATUAL]]="NÃO",_xlfn.CONCAT(tabAlmoco[[#This Row],[DATA]]-1,"+",tabAlmoco[[#This Row],[MOTORISTA]]),"NÃO")</f>
        <v>NÃO</v>
      </c>
      <c r="I163" s="57" t="str">
        <f>IF(autocompAlmoco[[#This Row],[COMP ESCALA ANTERIOR]]="NÃO","NÃO",_xlfn.XLOOKUP(autocompAlmoco[[#This Row],[COMP ESCALA ANTERIOR]],tabE.Flux[COMP.AT. MOT A],tabE.Flux[LINHA],"NÃO",0,1))</f>
        <v>NÃO</v>
      </c>
      <c r="J163" s="58" t="str">
        <f>IF(autocompAlmoco[[#This Row],[COMP ESCALA ANTERIOR]]="NÃO","NÃO",_xlfn.XLOOKUP(autocompAlmoco[[#This Row],[COMP ESCALA ANTERIOR]],tabE.Flux[COMP.AT. MOT B],tabE.Flux[LINHA],"NÃO",0,1))</f>
        <v>NÃO</v>
      </c>
      <c r="K163" s="62" t="str">
        <f>IF(AND(autocompAlmoco[[#This Row],[EXISTE MOT A ANT]]="NÃO",autocompAlmoco[[#This Row],[EXISTE MOT B ANT]]="NÃO"),"NÃO","SIM")</f>
        <v>NÃO</v>
      </c>
      <c r="L163" s="59" t="str">
        <f t="shared" si="4"/>
        <v>45911+PAULO ENEAS FARIAS ARAUJO - 6218</v>
      </c>
      <c r="M163" s="59" t="str">
        <f>IF(autocompAlmoco[[#This Row],[COMP ESCALA POSTERIOR]]="NÃO","NÃO",_xlfn.XLOOKUP(autocompAlmoco[[#This Row],[COMP ESCALA POSTERIOR]],tabE.Flux[COMP.AT. MOT A],tabE.Flux[LINHA],"NÃO",0,1))</f>
        <v>NÃO</v>
      </c>
      <c r="N163" s="59" t="str">
        <f>IF(autocompAlmoco[[#This Row],[COMP ESCALA POSTERIOR]]="NÃO","NÃO",_xlfn.XLOOKUP(autocompAlmoco[[#This Row],[COMP ESCALA POSTERIOR]],tabE.Flux[COMP.AT. MOT B],tabE.Flux[LINHA],"NÃO",0,1))</f>
        <v>NÃO</v>
      </c>
      <c r="O163" s="65" t="str">
        <f>IF(AND(autocompAlmoco[[#This Row],[EXISTE MOT A POS]]="NÃO",autocompAlmoco[[#This Row],[EXISTE MOT B POS]]="NÃO"),"NÃO","SIM")</f>
        <v>NÃO</v>
      </c>
      <c r="P163" s="66" t="str" cm="1">
        <f t="array" ref="P16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63" s="103" t="str" cm="1">
        <f t="array" ref="Q16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45910+PAULO ENEAS FARIAS ARAUJO - 6218+GOIANIA (GO) X SAO LUIS (MA)</v>
      </c>
      <c r="R163" s="67">
        <f>_xlfn.XLOOKUP(autocompAlmoco[[#This Row],[COMP ESCALA]],tabE.Flux[COMP. ESCALA MOT B],tabE.Flux[CARRO],
(_xlfn.XLOOKUP(autocompAlmoco[[#This Row],[COMP ESCALA]],tabE.Flux[COMP. ESCALA MOT A],tabE.Flux[CARRO],"N/E",0,1)),0,1)</f>
        <v>24013</v>
      </c>
      <c r="S163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63" s="127">
        <v>45910</v>
      </c>
      <c r="U163" s="131">
        <f>IF(IFERROR(autocompAlmoco[[#This Row],[CORRESP. CARRO]],"")="NÃO",(IF(tabAlmoco[[#This Row],[MOTORISTA]]=0,"","PASSE?")),autocompAlmoco[[#This Row],[CORRESP. CARRO]])</f>
        <v>24013</v>
      </c>
      <c r="V163" s="126">
        <f>IF(OR(ISERR(autocompAlmoco[[#This Row],[CORRESP HORARIO]]), autocompAlmoco[[#This Row],[CORRESP HORARIO]]&lt;&gt;"NÃO"),autocompAlmoco[[#This Row],[CORRESP HORARIO]],"")</f>
        <v>0.29166666666666669</v>
      </c>
      <c r="W163" s="4" t="s">
        <v>299</v>
      </c>
      <c r="X163" s="1" t="s">
        <v>43</v>
      </c>
      <c r="Y163" s="1">
        <f>IF(tabAlmoco[[#This Row],[MOTORISTA]]="","",COUNTIF(autocompAlmoco[COMP ESCALA ATUAL],autocompAlmoco[[#This Row],[COMP ESCALA ATUAL]]))</f>
        <v>1</v>
      </c>
      <c r="Z163" s="105">
        <f>IF(tabAlmoco[[#This Row],[MOTORISTA]]&lt;&gt;0,15,"")</f>
        <v>15</v>
      </c>
      <c r="AA163" s="131" t="str">
        <f>autocompAlmoco[[#This Row],[CORRESP LINHA]]</f>
        <v>GOIANIA (GO) X SAO LUIS (MA)</v>
      </c>
    </row>
    <row r="164" spans="3:27" ht="15" hidden="1" customHeight="1" x14ac:dyDescent="0.25">
      <c r="C164" s="140" t="s">
        <v>226</v>
      </c>
      <c r="D164" s="56" t="str">
        <f>IF(tabAlmoco[[#This Row],[MOTORISTA]]="","",_xlfn.CONCAT(tabAlmoco[[#This Row],[DATA]],"+",tabAlmoco[[#This Row],[MOTORISTA]]))</f>
        <v>45911+ANTONIO JOSE PEREIRA SOARES - 1774</v>
      </c>
      <c r="E164" s="56" t="str">
        <f>_xlfn.XLOOKUP(autocompAlmoco[[#This Row],[COMP ESCALA ATUAL]],tabE.Flux[COMP.AT. MOT A],tabE.Flux[LINHA],"NÃO",0,1)</f>
        <v>NÃO</v>
      </c>
      <c r="F164" s="56" t="str">
        <f>_xlfn.XLOOKUP(autocompAlmoco[[#This Row],[COMP ESCALA ATUAL]],tabE.Flux[COMP.AT. MOT B],tabE.Flux[LINHA],"NÃO",0,1)</f>
        <v>NÃO</v>
      </c>
      <c r="G164" s="61" t="str">
        <f>IF(AND(autocompAlmoco[[#This Row],[EXISTE MOT A AT]]="NÃO", autocompAlmoco[[#This Row],[EXISTE MOT B AT]]="NÃO"),"NÃO","SIM")</f>
        <v>NÃO</v>
      </c>
      <c r="H164" s="57" t="str">
        <f>IF(autocompAlmoco[[#This Row],[EXISTE ESCALA ATUAL]]="NÃO",_xlfn.CONCAT(tabAlmoco[[#This Row],[DATA]]-1,"+",tabAlmoco[[#This Row],[MOTORISTA]]),"NÃO")</f>
        <v>45910+ANTONIO JOSE PEREIRA SOARES - 1774</v>
      </c>
      <c r="I164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64" s="58" t="str">
        <f>IF(autocompAlmoco[[#This Row],[COMP ESCALA ANTERIOR]]="NÃO","NÃO",_xlfn.XLOOKUP(autocompAlmoco[[#This Row],[COMP ESCALA ANTERIOR]],tabE.Flux[COMP.AT. MOT B],tabE.Flux[LINHA],"NÃO",0,1))</f>
        <v>NÃO</v>
      </c>
      <c r="K164" s="62" t="str">
        <f>IF(AND(autocompAlmoco[[#This Row],[EXISTE MOT A ANT]]="NÃO",autocompAlmoco[[#This Row],[EXISTE MOT B ANT]]="NÃO"),"NÃO","SIM")</f>
        <v>SIM</v>
      </c>
      <c r="L164" s="59" t="str">
        <f t="shared" si="4"/>
        <v>45912+ANTONIO JOSE PEREIRA SOARES - 1774</v>
      </c>
      <c r="M164" s="59" t="str">
        <f>IF(autocompAlmoco[[#This Row],[COMP ESCALA POSTERIOR]]="NÃO","NÃO",_xlfn.XLOOKUP(autocompAlmoco[[#This Row],[COMP ESCALA POSTERIOR]],tabE.Flux[COMP.AT. MOT A],tabE.Flux[LINHA],"NÃO",0,1))</f>
        <v>GOIANIA (GO) X BELEM (PA)</v>
      </c>
      <c r="N164" s="59" t="str">
        <f>IF(autocompAlmoco[[#This Row],[COMP ESCALA POSTERIOR]]="NÃO","NÃO",_xlfn.XLOOKUP(autocompAlmoco[[#This Row],[COMP ESCALA POSTERIOR]],tabE.Flux[COMP.AT. MOT B],tabE.Flux[LINHA],"NÃO",0,1))</f>
        <v>NÃO</v>
      </c>
      <c r="O164" s="65" t="str">
        <f>IF(AND(autocompAlmoco[[#This Row],[EXISTE MOT A POS]]="NÃO",autocompAlmoco[[#This Row],[EXISTE MOT B POS]]="NÃO"),"NÃO","SIM")</f>
        <v>SIM</v>
      </c>
      <c r="P164" s="66" t="str" cm="1">
        <f t="array" ref="P16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64" s="103" t="str" cm="1">
        <f t="array" ref="Q16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45910+ANTONIO JOSE PEREIRA SOARES - 1774+FORTALEZA (CE) X SINOP (MT)</v>
      </c>
      <c r="R164" s="67">
        <f>_xlfn.XLOOKUP(autocompAlmoco[[#This Row],[COMP ESCALA]],tabE.Flux[COMP. ESCALA MOT B],tabE.Flux[CARRO],
(_xlfn.XLOOKUP(autocompAlmoco[[#This Row],[COMP ESCALA]],tabE.Flux[COMP. ESCALA MOT A],tabE.Flux[CARRO],"N/E",0,1)),0,1)</f>
        <v>19012</v>
      </c>
      <c r="S164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64" s="127">
        <v>45911</v>
      </c>
      <c r="U164" s="4">
        <f>IF(IFERROR(autocompAlmoco[[#This Row],[CORRESP. CARRO]],"")="NÃO",(IF(tabAlmoco[[#This Row],[MOTORISTA]]=0,"","PASSE?")),autocompAlmoco[[#This Row],[CORRESP. CARRO]])</f>
        <v>19012</v>
      </c>
      <c r="V164" s="128">
        <f>IF(OR(ISERR(autocompAlmoco[[#This Row],[CORRESP HORARIO]]), autocompAlmoco[[#This Row],[CORRESP HORARIO]]&lt;&gt;"NÃO"),autocompAlmoco[[#This Row],[CORRESP HORARIO]],"")</f>
        <v>0.37708333333333333</v>
      </c>
      <c r="W164" s="4" t="s">
        <v>299</v>
      </c>
      <c r="X164" s="4" t="s">
        <v>52</v>
      </c>
      <c r="Y164" s="4">
        <f>IF(tabAlmoco[[#This Row],[MOTORISTA]]="","",COUNTIF(autocompAlmoco[COMP ESCALA ATUAL],autocompAlmoco[[#This Row],[COMP ESCALA ATUAL]]))</f>
        <v>1</v>
      </c>
      <c r="Z164" s="45">
        <f>IF(tabAlmoco[[#This Row],[MOTORISTA]]&lt;&gt;0,15,"")</f>
        <v>15</v>
      </c>
      <c r="AA164" s="4" t="str">
        <f>autocompAlmoco[[#This Row],[CORRESP LINHA]]</f>
        <v>FORTALEZA (CE) X SINOP (MT)</v>
      </c>
    </row>
    <row r="165" spans="3:27" ht="15" hidden="1" customHeight="1" x14ac:dyDescent="0.25">
      <c r="C165" s="140" t="s">
        <v>226</v>
      </c>
      <c r="D165" s="56" t="str">
        <f>IF(tabAlmoco[[#This Row],[MOTORISTA]]="","",_xlfn.CONCAT(tabAlmoco[[#This Row],[DATA]],"+",tabAlmoco[[#This Row],[MOTORISTA]]))</f>
        <v>45911+PAULO MORAES DOS SANTOS - 1534</v>
      </c>
      <c r="E165" s="56" t="str">
        <f>_xlfn.XLOOKUP(autocompAlmoco[[#This Row],[COMP ESCALA ATUAL]],tabE.Flux[COMP.AT. MOT A],tabE.Flux[LINHA],"NÃO",0,1)</f>
        <v>NÃO</v>
      </c>
      <c r="F165" s="56" t="str">
        <f>_xlfn.XLOOKUP(autocompAlmoco[[#This Row],[COMP ESCALA ATUAL]],tabE.Flux[COMP.AT. MOT B],tabE.Flux[LINHA],"NÃO",0,1)</f>
        <v>FORTALEZA (CE) X SINOP (MT)</v>
      </c>
      <c r="G165" s="61" t="str">
        <f>IF(AND(autocompAlmoco[[#This Row],[EXISTE MOT A AT]]="NÃO", autocompAlmoco[[#This Row],[EXISTE MOT B AT]]="NÃO"),"NÃO","SIM")</f>
        <v>SIM</v>
      </c>
      <c r="H165" s="57" t="str">
        <f>IF(autocompAlmoco[[#This Row],[EXISTE ESCALA ATUAL]]="NÃO",_xlfn.CONCAT(tabAlmoco[[#This Row],[DATA]]-1,"+",tabAlmoco[[#This Row],[MOTORISTA]]),"NÃO")</f>
        <v>NÃO</v>
      </c>
      <c r="I165" s="57" t="str">
        <f>IF(autocompAlmoco[[#This Row],[COMP ESCALA ANTERIOR]]="NÃO","NÃO",_xlfn.XLOOKUP(autocompAlmoco[[#This Row],[COMP ESCALA ANTERIOR]],tabE.Flux[COMP.AT. MOT A],tabE.Flux[LINHA],"NÃO",0,1))</f>
        <v>NÃO</v>
      </c>
      <c r="J165" s="58" t="str">
        <f>IF(autocompAlmoco[[#This Row],[COMP ESCALA ANTERIOR]]="NÃO","NÃO",_xlfn.XLOOKUP(autocompAlmoco[[#This Row],[COMP ESCALA ANTERIOR]],tabE.Flux[COMP.AT. MOT B],tabE.Flux[LINHA],"NÃO",0,1))</f>
        <v>NÃO</v>
      </c>
      <c r="K165" s="62" t="str">
        <f>IF(AND(autocompAlmoco[[#This Row],[EXISTE MOT A ANT]]="NÃO",autocompAlmoco[[#This Row],[EXISTE MOT B ANT]]="NÃO"),"NÃO","SIM")</f>
        <v>NÃO</v>
      </c>
      <c r="L165" s="59" t="str">
        <f t="shared" si="4"/>
        <v>45912+PAULO MORAES DOS SANTOS - 1534</v>
      </c>
      <c r="M165" s="59" t="str">
        <f>IF(autocompAlmoco[[#This Row],[COMP ESCALA POSTERIOR]]="NÃO","NÃO",_xlfn.XLOOKUP(autocompAlmoco[[#This Row],[COMP ESCALA POSTERIOR]],tabE.Flux[COMP.AT. MOT A],tabE.Flux[LINHA],"NÃO",0,1))</f>
        <v>NÃO</v>
      </c>
      <c r="N165" s="59" t="str">
        <f>IF(autocompAlmoco[[#This Row],[COMP ESCALA POSTERIOR]]="NÃO","NÃO",_xlfn.XLOOKUP(autocompAlmoco[[#This Row],[COMP ESCALA POSTERIOR]],tabE.Flux[COMP.AT. MOT B],tabE.Flux[LINHA],"NÃO",0,1))</f>
        <v>NÃO</v>
      </c>
      <c r="O165" s="65" t="str">
        <f>IF(AND(autocompAlmoco[[#This Row],[EXISTE MOT A POS]]="NÃO",autocompAlmoco[[#This Row],[EXISTE MOT B POS]]="NÃO"),"NÃO","SIM")</f>
        <v>NÃO</v>
      </c>
      <c r="P165" s="66" t="str" cm="1">
        <f t="array" ref="P16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65" s="103" t="str" cm="1">
        <f t="array" ref="Q16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45911+PAULO MORAES DOS SANTOS - 1534+FORTALEZA (CE) X SINOP (MT)</v>
      </c>
      <c r="R165" s="67">
        <f>_xlfn.XLOOKUP(autocompAlmoco[[#This Row],[COMP ESCALA]],tabE.Flux[COMP. ESCALA MOT B],tabE.Flux[CARRO],
(_xlfn.XLOOKUP(autocompAlmoco[[#This Row],[COMP ESCALA]],tabE.Flux[COMP. ESCALA MOT A],tabE.Flux[CARRO],"N/E",0,1)),0,1)</f>
        <v>19022</v>
      </c>
      <c r="S165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65" s="127">
        <v>45911</v>
      </c>
      <c r="U165" s="4">
        <f>IF(IFERROR(autocompAlmoco[[#This Row],[CORRESP. CARRO]],"")="NÃO",(IF(tabAlmoco[[#This Row],[MOTORISTA]]=0,"","PASSE?")),autocompAlmoco[[#This Row],[CORRESP. CARRO]])</f>
        <v>19022</v>
      </c>
      <c r="V165" s="128">
        <f>IF(OR(ISERR(autocompAlmoco[[#This Row],[CORRESP HORARIO]]), autocompAlmoco[[#This Row],[CORRESP HORARIO]]&lt;&gt;"NÃO"),autocompAlmoco[[#This Row],[CORRESP HORARIO]],"")</f>
        <v>0.37708333333333333</v>
      </c>
      <c r="W165" s="4" t="s">
        <v>299</v>
      </c>
      <c r="X165" s="4" t="s">
        <v>225</v>
      </c>
      <c r="Y165" s="4">
        <f>IF(tabAlmoco[[#This Row],[MOTORISTA]]="","",COUNTIF(autocompAlmoco[COMP ESCALA ATUAL],autocompAlmoco[[#This Row],[COMP ESCALA ATUAL]]))</f>
        <v>1</v>
      </c>
      <c r="Z165" s="45">
        <f>IF(tabAlmoco[[#This Row],[MOTORISTA]]&lt;&gt;0,15,"")</f>
        <v>15</v>
      </c>
      <c r="AA165" s="4" t="str">
        <f>autocompAlmoco[[#This Row],[CORRESP LINHA]]</f>
        <v>FORTALEZA (CE) X SINOP (MT)</v>
      </c>
    </row>
    <row r="166" spans="3:27" ht="15" hidden="1" customHeight="1" x14ac:dyDescent="0.25">
      <c r="C166" s="140" t="s">
        <v>226</v>
      </c>
      <c r="D166" s="56" t="str">
        <f>IF(tabAlmoco[[#This Row],[MOTORISTA]]="","",_xlfn.CONCAT(tabAlmoco[[#This Row],[DATA]],"+",tabAlmoco[[#This Row],[MOTORISTA]]))</f>
        <v>45911+ANDRE SOUSA REIS - 2644</v>
      </c>
      <c r="E166" s="56" t="str">
        <f>_xlfn.XLOOKUP(autocompAlmoco[[#This Row],[COMP ESCALA ATUAL]],tabE.Flux[COMP.AT. MOT A],tabE.Flux[LINHA],"NÃO",0,1)</f>
        <v>NÃO</v>
      </c>
      <c r="F166" s="56" t="str">
        <f>_xlfn.XLOOKUP(autocompAlmoco[[#This Row],[COMP ESCALA ATUAL]],tabE.Flux[COMP.AT. MOT B],tabE.Flux[LINHA],"NÃO",0,1)</f>
        <v>GOIANIA (GO) X SAO LUIS (MA)</v>
      </c>
      <c r="G166" s="61" t="str">
        <f>IF(AND(autocompAlmoco[[#This Row],[EXISTE MOT A AT]]="NÃO", autocompAlmoco[[#This Row],[EXISTE MOT B AT]]="NÃO"),"NÃO","SIM")</f>
        <v>SIM</v>
      </c>
      <c r="H166" s="57" t="str">
        <f>IF(autocompAlmoco[[#This Row],[EXISTE ESCALA ATUAL]]="NÃO",_xlfn.CONCAT(tabAlmoco[[#This Row],[DATA]]-1,"+",tabAlmoco[[#This Row],[MOTORISTA]]),"NÃO")</f>
        <v>NÃO</v>
      </c>
      <c r="I166" s="57" t="str">
        <f>IF(autocompAlmoco[[#This Row],[COMP ESCALA ANTERIOR]]="NÃO","NÃO",_xlfn.XLOOKUP(autocompAlmoco[[#This Row],[COMP ESCALA ANTERIOR]],tabE.Flux[COMP.AT. MOT A],tabE.Flux[LINHA],"NÃO",0,1))</f>
        <v>NÃO</v>
      </c>
      <c r="J166" s="58" t="str">
        <f>IF(autocompAlmoco[[#This Row],[COMP ESCALA ANTERIOR]]="NÃO","NÃO",_xlfn.XLOOKUP(autocompAlmoco[[#This Row],[COMP ESCALA ANTERIOR]],tabE.Flux[COMP.AT. MOT B],tabE.Flux[LINHA],"NÃO",0,1))</f>
        <v>NÃO</v>
      </c>
      <c r="K166" s="62" t="str">
        <f>IF(AND(autocompAlmoco[[#This Row],[EXISTE MOT A ANT]]="NÃO",autocompAlmoco[[#This Row],[EXISTE MOT B ANT]]="NÃO"),"NÃO","SIM")</f>
        <v>NÃO</v>
      </c>
      <c r="L166" s="59" t="str">
        <f t="shared" si="4"/>
        <v>45912+ANDRE SOUSA REIS - 2644</v>
      </c>
      <c r="M166" s="59" t="str">
        <f>IF(autocompAlmoco[[#This Row],[COMP ESCALA POSTERIOR]]="NÃO","NÃO",_xlfn.XLOOKUP(autocompAlmoco[[#This Row],[COMP ESCALA POSTERIOR]],tabE.Flux[COMP.AT. MOT A],tabE.Flux[LINHA],"NÃO",0,1))</f>
        <v>NÃO</v>
      </c>
      <c r="N166" s="59" t="str">
        <f>IF(autocompAlmoco[[#This Row],[COMP ESCALA POSTERIOR]]="NÃO","NÃO",_xlfn.XLOOKUP(autocompAlmoco[[#This Row],[COMP ESCALA POSTERIOR]],tabE.Flux[COMP.AT. MOT B],tabE.Flux[LINHA],"NÃO",0,1))</f>
        <v>NÃO</v>
      </c>
      <c r="O166" s="65" t="str">
        <f>IF(AND(autocompAlmoco[[#This Row],[EXISTE MOT A POS]]="NÃO",autocompAlmoco[[#This Row],[EXISTE MOT B POS]]="NÃO"),"NÃO","SIM")</f>
        <v>NÃO</v>
      </c>
      <c r="P166" s="66" t="str" cm="1">
        <f t="array" ref="P16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66" s="103" t="str" cm="1">
        <f t="array" ref="Q16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45911+ANDRE SOUSA REIS - 2644+GOIANIA (GO) X SAO LUIS (MA)</v>
      </c>
      <c r="R166" s="67">
        <f>_xlfn.XLOOKUP(autocompAlmoco[[#This Row],[COMP ESCALA]],tabE.Flux[COMP. ESCALA MOT B],tabE.Flux[CARRO],
(_xlfn.XLOOKUP(autocompAlmoco[[#This Row],[COMP ESCALA]],tabE.Flux[COMP. ESCALA MOT A],tabE.Flux[CARRO],"N/E",0,1)),0,1)</f>
        <v>19019</v>
      </c>
      <c r="S166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66" s="127">
        <v>45911</v>
      </c>
      <c r="U166" s="4">
        <f>IF(IFERROR(autocompAlmoco[[#This Row],[CORRESP. CARRO]],"")="NÃO",(IF(tabAlmoco[[#This Row],[MOTORISTA]]=0,"","PASSE?")),autocompAlmoco[[#This Row],[CORRESP. CARRO]])</f>
        <v>19019</v>
      </c>
      <c r="V166" s="126">
        <f>IF(OR(ISERR(autocompAlmoco[[#This Row],[CORRESP HORARIO]]), autocompAlmoco[[#This Row],[CORRESP HORARIO]]&lt;&gt;"NÃO"),autocompAlmoco[[#This Row],[CORRESP HORARIO]],"")</f>
        <v>0.29166666666666669</v>
      </c>
      <c r="W166" s="4" t="s">
        <v>299</v>
      </c>
      <c r="X166" s="1" t="s">
        <v>63</v>
      </c>
      <c r="Y166" s="1">
        <f>IF(tabAlmoco[[#This Row],[MOTORISTA]]="","",COUNTIF(autocompAlmoco[COMP ESCALA ATUAL],autocompAlmoco[[#This Row],[COMP ESCALA ATUAL]]))</f>
        <v>1</v>
      </c>
      <c r="Z166" s="105">
        <f>IF(tabAlmoco[[#This Row],[MOTORISTA]]&lt;&gt;0,15,"")</f>
        <v>15</v>
      </c>
      <c r="AA166" s="4" t="str">
        <f>autocompAlmoco[[#This Row],[CORRESP LINHA]]</f>
        <v>GOIANIA (GO) X SAO LUIS (MA)</v>
      </c>
    </row>
    <row r="167" spans="3:27" ht="15" hidden="1" customHeight="1" x14ac:dyDescent="0.25">
      <c r="C167" s="140" t="s">
        <v>226</v>
      </c>
      <c r="D167" s="56" t="str">
        <f>IF(tabAlmoco[[#This Row],[MOTORISTA]]="","",_xlfn.CONCAT(tabAlmoco[[#This Row],[DATA]],"+",tabAlmoco[[#This Row],[MOTORISTA]]))</f>
        <v>45911+RAIMUNDO COSTA SILVA - 6226</v>
      </c>
      <c r="E167" s="56" t="str">
        <f>_xlfn.XLOOKUP(autocompAlmoco[[#This Row],[COMP ESCALA ATUAL]],tabE.Flux[COMP.AT. MOT A],tabE.Flux[LINHA],"NÃO",0,1)</f>
        <v>NÃO</v>
      </c>
      <c r="F167" s="56" t="str">
        <f>_xlfn.XLOOKUP(autocompAlmoco[[#This Row],[COMP ESCALA ATUAL]],tabE.Flux[COMP.AT. MOT B],tabE.Flux[LINHA],"NÃO",0,1)</f>
        <v>GOIANIA (GO) X SAO LUIS (MA)</v>
      </c>
      <c r="G167" s="61" t="str">
        <f>IF(AND(autocompAlmoco[[#This Row],[EXISTE MOT A AT]]="NÃO", autocompAlmoco[[#This Row],[EXISTE MOT B AT]]="NÃO"),"NÃO","SIM")</f>
        <v>SIM</v>
      </c>
      <c r="H167" s="57" t="str">
        <f>IF(autocompAlmoco[[#This Row],[EXISTE ESCALA ATUAL]]="NÃO",_xlfn.CONCAT(tabAlmoco[[#This Row],[DATA]]-1,"+",tabAlmoco[[#This Row],[MOTORISTA]]),"NÃO")</f>
        <v>NÃO</v>
      </c>
      <c r="I167" s="57" t="str">
        <f>IF(autocompAlmoco[[#This Row],[COMP ESCALA ANTERIOR]]="NÃO","NÃO",_xlfn.XLOOKUP(autocompAlmoco[[#This Row],[COMP ESCALA ANTERIOR]],tabE.Flux[COMP.AT. MOT A],tabE.Flux[LINHA],"NÃO",0,1))</f>
        <v>NÃO</v>
      </c>
      <c r="J167" s="58" t="str">
        <f>IF(autocompAlmoco[[#This Row],[COMP ESCALA ANTERIOR]]="NÃO","NÃO",_xlfn.XLOOKUP(autocompAlmoco[[#This Row],[COMP ESCALA ANTERIOR]],tabE.Flux[COMP.AT. MOT B],tabE.Flux[LINHA],"NÃO",0,1))</f>
        <v>NÃO</v>
      </c>
      <c r="K167" s="62" t="str">
        <f>IF(AND(autocompAlmoco[[#This Row],[EXISTE MOT A ANT]]="NÃO",autocompAlmoco[[#This Row],[EXISTE MOT B ANT]]="NÃO"),"NÃO","SIM")</f>
        <v>NÃO</v>
      </c>
      <c r="L167" s="59" t="str">
        <f t="shared" si="4"/>
        <v>45912+RAIMUNDO COSTA SILVA - 6226</v>
      </c>
      <c r="M167" s="59" t="str">
        <f>IF(autocompAlmoco[[#This Row],[COMP ESCALA POSTERIOR]]="NÃO","NÃO",_xlfn.XLOOKUP(autocompAlmoco[[#This Row],[COMP ESCALA POSTERIOR]],tabE.Flux[COMP.AT. MOT A],tabE.Flux[LINHA],"NÃO",0,1))</f>
        <v>NÃO</v>
      </c>
      <c r="N167" s="59" t="str">
        <f>IF(autocompAlmoco[[#This Row],[COMP ESCALA POSTERIOR]]="NÃO","NÃO",_xlfn.XLOOKUP(autocompAlmoco[[#This Row],[COMP ESCALA POSTERIOR]],tabE.Flux[COMP.AT. MOT B],tabE.Flux[LINHA],"NÃO",0,1))</f>
        <v>NÃO</v>
      </c>
      <c r="O167" s="65" t="str">
        <f>IF(AND(autocompAlmoco[[#This Row],[EXISTE MOT A POS]]="NÃO",autocompAlmoco[[#This Row],[EXISTE MOT B POS]]="NÃO"),"NÃO","SIM")</f>
        <v>NÃO</v>
      </c>
      <c r="P167" s="66" t="str" cm="1">
        <f t="array" ref="P16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67" s="103" t="str" cm="1">
        <f t="array" ref="Q16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45911+RAIMUNDO COSTA SILVA - 6226+GOIANIA (GO) X SAO LUIS (MA)</v>
      </c>
      <c r="R167" s="67">
        <f>_xlfn.XLOOKUP(autocompAlmoco[[#This Row],[COMP ESCALA]],tabE.Flux[COMP. ESCALA MOT B],tabE.Flux[CARRO],
(_xlfn.XLOOKUP(autocompAlmoco[[#This Row],[COMP ESCALA]],tabE.Flux[COMP. ESCALA MOT A],tabE.Flux[CARRO],"N/E",0,1)),0,1)</f>
        <v>20017</v>
      </c>
      <c r="S167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67" s="127">
        <v>45911</v>
      </c>
      <c r="U167" s="131">
        <f>IF(IFERROR(autocompAlmoco[[#This Row],[CORRESP. CARRO]],"")="NÃO",(IF(tabAlmoco[[#This Row],[MOTORISTA]]=0,"","PASSE?")),autocompAlmoco[[#This Row],[CORRESP. CARRO]])</f>
        <v>20017</v>
      </c>
      <c r="V167" s="126">
        <f>IF(OR(ISERR(autocompAlmoco[[#This Row],[CORRESP HORARIO]]), autocompAlmoco[[#This Row],[CORRESP HORARIO]]&lt;&gt;"NÃO"),autocompAlmoco[[#This Row],[CORRESP HORARIO]],"")</f>
        <v>0.47013888888888888</v>
      </c>
      <c r="W167" s="4" t="s">
        <v>299</v>
      </c>
      <c r="X167" s="1" t="s">
        <v>45</v>
      </c>
      <c r="Y167" s="1">
        <f>IF(tabAlmoco[[#This Row],[MOTORISTA]]="","",COUNTIF(autocompAlmoco[COMP ESCALA ATUAL],autocompAlmoco[[#This Row],[COMP ESCALA ATUAL]]))</f>
        <v>1</v>
      </c>
      <c r="Z167" s="105">
        <f>IF(tabAlmoco[[#This Row],[MOTORISTA]]&lt;&gt;0,15,"")</f>
        <v>15</v>
      </c>
      <c r="AA167" s="131" t="str">
        <f>autocompAlmoco[[#This Row],[CORRESP LINHA]]</f>
        <v>GOIANIA (GO) X SAO LUIS (MA)</v>
      </c>
    </row>
    <row r="168" spans="3:27" ht="15" hidden="1" customHeight="1" x14ac:dyDescent="0.25">
      <c r="C168" s="140" t="s">
        <v>226</v>
      </c>
      <c r="D168" s="56" t="str">
        <f>IF(tabAlmoco[[#This Row],[MOTORISTA]]="","",_xlfn.CONCAT(tabAlmoco[[#This Row],[DATA]],"+",tabAlmoco[[#This Row],[MOTORISTA]]))</f>
        <v>45911+WESLEY SILVA PAIVA - 5638</v>
      </c>
      <c r="E168" s="56" t="str">
        <f>_xlfn.XLOOKUP(autocompAlmoco[[#This Row],[COMP ESCALA ATUAL]],tabE.Flux[COMP.AT. MOT A],tabE.Flux[LINHA],"NÃO",0,1)</f>
        <v>NÃO</v>
      </c>
      <c r="F168" s="56" t="str">
        <f>_xlfn.XLOOKUP(autocompAlmoco[[#This Row],[COMP ESCALA ATUAL]],tabE.Flux[COMP.AT. MOT B],tabE.Flux[LINHA],"NÃO",0,1)</f>
        <v>GOIANIA (GO) X SAO LUIS (MA)</v>
      </c>
      <c r="G168" s="61" t="str">
        <f>IF(AND(autocompAlmoco[[#This Row],[EXISTE MOT A AT]]="NÃO", autocompAlmoco[[#This Row],[EXISTE MOT B AT]]="NÃO"),"NÃO","SIM")</f>
        <v>SIM</v>
      </c>
      <c r="H168" s="57" t="str">
        <f>IF(autocompAlmoco[[#This Row],[EXISTE ESCALA ATUAL]]="NÃO",_xlfn.CONCAT(tabAlmoco[[#This Row],[DATA]]-1,"+",tabAlmoco[[#This Row],[MOTORISTA]]),"NÃO")</f>
        <v>NÃO</v>
      </c>
      <c r="I168" s="57" t="str">
        <f>IF(autocompAlmoco[[#This Row],[COMP ESCALA ANTERIOR]]="NÃO","NÃO",_xlfn.XLOOKUP(autocompAlmoco[[#This Row],[COMP ESCALA ANTERIOR]],tabE.Flux[COMP.AT. MOT A],tabE.Flux[LINHA],"NÃO",0,1))</f>
        <v>NÃO</v>
      </c>
      <c r="J168" s="58" t="str">
        <f>IF(autocompAlmoco[[#This Row],[COMP ESCALA ANTERIOR]]="NÃO","NÃO",_xlfn.XLOOKUP(autocompAlmoco[[#This Row],[COMP ESCALA ANTERIOR]],tabE.Flux[COMP.AT. MOT B],tabE.Flux[LINHA],"NÃO",0,1))</f>
        <v>NÃO</v>
      </c>
      <c r="K168" s="62" t="str">
        <f>IF(AND(autocompAlmoco[[#This Row],[EXISTE MOT A ANT]]="NÃO",autocompAlmoco[[#This Row],[EXISTE MOT B ANT]]="NÃO"),"NÃO","SIM")</f>
        <v>NÃO</v>
      </c>
      <c r="L168" s="59" t="str">
        <f t="shared" si="4"/>
        <v>45912+WESLEY SILVA PAIVA - 5638</v>
      </c>
      <c r="M168" s="59" t="str">
        <f>IF(autocompAlmoco[[#This Row],[COMP ESCALA POSTERIOR]]="NÃO","NÃO",_xlfn.XLOOKUP(autocompAlmoco[[#This Row],[COMP ESCALA POSTERIOR]],tabE.Flux[COMP.AT. MOT A],tabE.Flux[LINHA],"NÃO",0,1))</f>
        <v>NÃO</v>
      </c>
      <c r="N168" s="59" t="str">
        <f>IF(autocompAlmoco[[#This Row],[COMP ESCALA POSTERIOR]]="NÃO","NÃO",_xlfn.XLOOKUP(autocompAlmoco[[#This Row],[COMP ESCALA POSTERIOR]],tabE.Flux[COMP.AT. MOT B],tabE.Flux[LINHA],"NÃO",0,1))</f>
        <v>NÃO</v>
      </c>
      <c r="O168" s="65" t="str">
        <f>IF(AND(autocompAlmoco[[#This Row],[EXISTE MOT A POS]]="NÃO",autocompAlmoco[[#This Row],[EXISTE MOT B POS]]="NÃO"),"NÃO","SIM")</f>
        <v>NÃO</v>
      </c>
      <c r="P168" s="66" t="str" cm="1">
        <f t="array" ref="P16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68" s="103" t="str" cm="1">
        <f t="array" ref="Q16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45911+WESLEY SILVA PAIVA - 5638+GOIANIA (GO) X SAO LUIS (MA)</v>
      </c>
      <c r="R168" s="67">
        <f>_xlfn.XLOOKUP(autocompAlmoco[[#This Row],[COMP ESCALA]],tabE.Flux[COMP. ESCALA MOT B],tabE.Flux[CARRO],
(_xlfn.XLOOKUP(autocompAlmoco[[#This Row],[COMP ESCALA]],tabE.Flux[COMP. ESCALA MOT A],tabE.Flux[CARRO],"N/E",0,1)),0,1)</f>
        <v>24013</v>
      </c>
      <c r="S168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68" s="127">
        <v>45911</v>
      </c>
      <c r="U168" s="131">
        <f>IF(IFERROR(autocompAlmoco[[#This Row],[CORRESP. CARRO]],"")="NÃO",(IF(tabAlmoco[[#This Row],[MOTORISTA]]=0,"","PASSE?")),autocompAlmoco[[#This Row],[CORRESP. CARRO]])</f>
        <v>24013</v>
      </c>
      <c r="V168" s="126">
        <f>IF(OR(ISERR(autocompAlmoco[[#This Row],[CORRESP HORARIO]]), autocompAlmoco[[#This Row],[CORRESP HORARIO]]&lt;&gt;"NÃO"),autocompAlmoco[[#This Row],[CORRESP HORARIO]],"")</f>
        <v>0.79166666666666663</v>
      </c>
      <c r="W168" s="4" t="s">
        <v>299</v>
      </c>
      <c r="X168" s="1" t="s">
        <v>112</v>
      </c>
      <c r="Y168" s="1">
        <f>IF(tabAlmoco[[#This Row],[MOTORISTA]]="","",COUNTIF(autocompAlmoco[COMP ESCALA ATUAL],autocompAlmoco[[#This Row],[COMP ESCALA ATUAL]]))</f>
        <v>1</v>
      </c>
      <c r="Z168" s="105">
        <f>IF(tabAlmoco[[#This Row],[MOTORISTA]]&lt;&gt;0,15,"")</f>
        <v>15</v>
      </c>
      <c r="AA168" s="131" t="str">
        <f>autocompAlmoco[[#This Row],[CORRESP LINHA]]</f>
        <v>GOIANIA (GO) X SAO LUIS (MA)</v>
      </c>
    </row>
    <row r="169" spans="3:27" ht="15" hidden="1" customHeight="1" x14ac:dyDescent="0.25">
      <c r="C169" s="140" t="s">
        <v>226</v>
      </c>
      <c r="D169" s="56" t="str">
        <f>IF(tabAlmoco[[#This Row],[MOTORISTA]]="","",_xlfn.CONCAT(tabAlmoco[[#This Row],[DATA]],"+",tabAlmoco[[#This Row],[MOTORISTA]]))</f>
        <v>45911+ANTONIO RAMIRO WEBER - 5452</v>
      </c>
      <c r="E169" s="56" t="str">
        <f>_xlfn.XLOOKUP(autocompAlmoco[[#This Row],[COMP ESCALA ATUAL]],tabE.Flux[COMP.AT. MOT A],tabE.Flux[LINHA],"NÃO",0,1)</f>
        <v>NÃO</v>
      </c>
      <c r="F169" s="56" t="str">
        <f>_xlfn.XLOOKUP(autocompAlmoco[[#This Row],[COMP ESCALA ATUAL]],tabE.Flux[COMP.AT. MOT B],tabE.Flux[LINHA],"NÃO",0,1)</f>
        <v>NÃO</v>
      </c>
      <c r="G169" s="61" t="str">
        <f>IF(AND(autocompAlmoco[[#This Row],[EXISTE MOT A AT]]="NÃO", autocompAlmoco[[#This Row],[EXISTE MOT B AT]]="NÃO"),"NÃO","SIM")</f>
        <v>NÃO</v>
      </c>
      <c r="H169" s="57" t="str">
        <f>IF(autocompAlmoco[[#This Row],[EXISTE ESCALA ATUAL]]="NÃO",_xlfn.CONCAT(tabAlmoco[[#This Row],[DATA]]-1,"+",tabAlmoco[[#This Row],[MOTORISTA]]),"NÃO")</f>
        <v>45910+ANTONIO RAMIRO WEBER - 5452</v>
      </c>
      <c r="I169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69" s="58" t="str">
        <f>IF(autocompAlmoco[[#This Row],[COMP ESCALA ANTERIOR]]="NÃO","NÃO",_xlfn.XLOOKUP(autocompAlmoco[[#This Row],[COMP ESCALA ANTERIOR]],tabE.Flux[COMP.AT. MOT B],tabE.Flux[LINHA],"NÃO",0,1))</f>
        <v>NÃO</v>
      </c>
      <c r="K169" s="62" t="str">
        <f>IF(AND(autocompAlmoco[[#This Row],[EXISTE MOT A ANT]]="NÃO",autocompAlmoco[[#This Row],[EXISTE MOT B ANT]]="NÃO"),"NÃO","SIM")</f>
        <v>SIM</v>
      </c>
      <c r="L169" s="59" t="str">
        <f t="shared" si="4"/>
        <v>45912+ANTONIO RAMIRO WEBER - 5452</v>
      </c>
      <c r="M169" s="59" t="str">
        <f>IF(autocompAlmoco[[#This Row],[COMP ESCALA POSTERIOR]]="NÃO","NÃO",_xlfn.XLOOKUP(autocompAlmoco[[#This Row],[COMP ESCALA POSTERIOR]],tabE.Flux[COMP.AT. MOT A],tabE.Flux[LINHA],"NÃO",0,1))</f>
        <v>NÃO</v>
      </c>
      <c r="N169" s="59" t="str">
        <f>IF(autocompAlmoco[[#This Row],[COMP ESCALA POSTERIOR]]="NÃO","NÃO",_xlfn.XLOOKUP(autocompAlmoco[[#This Row],[COMP ESCALA POSTERIOR]],tabE.Flux[COMP.AT. MOT B],tabE.Flux[LINHA],"NÃO",0,1))</f>
        <v>NÃO</v>
      </c>
      <c r="O169" s="65" t="str">
        <f>IF(AND(autocompAlmoco[[#This Row],[EXISTE MOT A POS]]="NÃO",autocompAlmoco[[#This Row],[EXISTE MOT B POS]]="NÃO"),"NÃO","SIM")</f>
        <v>NÃO</v>
      </c>
      <c r="P169" s="66" t="str" cm="1">
        <f t="array" ref="P16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69" s="103" t="str" cm="1">
        <f t="array" ref="Q16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45910+ANTONIO RAMIRO WEBER - 5452+GOIANIA (GO) X TERESINA (PI) VIA STI</v>
      </c>
      <c r="R169" s="67">
        <f>_xlfn.XLOOKUP(autocompAlmoco[[#This Row],[COMP ESCALA]],tabE.Flux[COMP. ESCALA MOT B],tabE.Flux[CARRO],
(_xlfn.XLOOKUP(autocompAlmoco[[#This Row],[COMP ESCALA]],tabE.Flux[COMP. ESCALA MOT A],tabE.Flux[CARRO],"N/E",0,1)),0,1)</f>
        <v>19026</v>
      </c>
      <c r="S169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69" s="127">
        <v>45911</v>
      </c>
      <c r="U169" s="131">
        <f>IF(IFERROR(autocompAlmoco[[#This Row],[CORRESP. CARRO]],"")="NÃO",(IF(tabAlmoco[[#This Row],[MOTORISTA]]=0,"","PASSE?")),autocompAlmoco[[#This Row],[CORRESP. CARRO]])</f>
        <v>19026</v>
      </c>
      <c r="V169" s="126">
        <f>IF(OR(ISERR(autocompAlmoco[[#This Row],[CORRESP HORARIO]]), autocompAlmoco[[#This Row],[CORRESP HORARIO]]&lt;&gt;"NÃO"),autocompAlmoco[[#This Row],[CORRESP HORARIO]],"")</f>
        <v>0.79861111111111116</v>
      </c>
      <c r="W169" s="4" t="s">
        <v>299</v>
      </c>
      <c r="X169" s="1" t="s">
        <v>79</v>
      </c>
      <c r="Y169" s="1">
        <f>IF(tabAlmoco[[#This Row],[MOTORISTA]]="","",COUNTIF(autocompAlmoco[COMP ESCALA ATUAL],autocompAlmoco[[#This Row],[COMP ESCALA ATUAL]]))</f>
        <v>1</v>
      </c>
      <c r="Z169" s="105">
        <f>IF(tabAlmoco[[#This Row],[MOTORISTA]]&lt;&gt;0,15,"")</f>
        <v>15</v>
      </c>
      <c r="AA169" s="131" t="str">
        <f>autocompAlmoco[[#This Row],[CORRESP LINHA]]</f>
        <v>GOIANIA (GO) X TERESINA (PI) VIA STI</v>
      </c>
    </row>
    <row r="170" spans="3:27" ht="15" hidden="1" customHeight="1" x14ac:dyDescent="0.25">
      <c r="C170" s="140" t="s">
        <v>226</v>
      </c>
      <c r="D170" s="56" t="str">
        <f>IF(tabAlmoco[[#This Row],[MOTORISTA]]="","",_xlfn.CONCAT(tabAlmoco[[#This Row],[DATA]],"+",tabAlmoco[[#This Row],[MOTORISTA]]))</f>
        <v>45912+FRANCISCO PESSOA DE CARVALHO - 5276</v>
      </c>
      <c r="E170" s="56" t="str">
        <f>_xlfn.XLOOKUP(autocompAlmoco[[#This Row],[COMP ESCALA ATUAL]],tabE.Flux[COMP.AT. MOT A],tabE.Flux[LINHA],"NÃO",0,1)</f>
        <v>NÃO</v>
      </c>
      <c r="F170" s="56" t="str">
        <f>_xlfn.XLOOKUP(autocompAlmoco[[#This Row],[COMP ESCALA ATUAL]],tabE.Flux[COMP.AT. MOT B],tabE.Flux[LINHA],"NÃO",0,1)</f>
        <v>FORTALEZA (CE) X SINOP (MT)</v>
      </c>
      <c r="G170" s="61" t="str">
        <f>IF(AND(autocompAlmoco[[#This Row],[EXISTE MOT A AT]]="NÃO", autocompAlmoco[[#This Row],[EXISTE MOT B AT]]="NÃO"),"NÃO","SIM")</f>
        <v>SIM</v>
      </c>
      <c r="H170" s="57" t="str">
        <f>IF(autocompAlmoco[[#This Row],[EXISTE ESCALA ATUAL]]="NÃO",_xlfn.CONCAT(tabAlmoco[[#This Row],[DATA]]-1,"+",tabAlmoco[[#This Row],[MOTORISTA]]),"NÃO")</f>
        <v>NÃO</v>
      </c>
      <c r="I170" s="57" t="str">
        <f>IF(autocompAlmoco[[#This Row],[COMP ESCALA ANTERIOR]]="NÃO","NÃO",_xlfn.XLOOKUP(autocompAlmoco[[#This Row],[COMP ESCALA ANTERIOR]],tabE.Flux[COMP.AT. MOT A],tabE.Flux[LINHA],"NÃO",0,1))</f>
        <v>NÃO</v>
      </c>
      <c r="J170" s="58" t="str">
        <f>IF(autocompAlmoco[[#This Row],[COMP ESCALA ANTERIOR]]="NÃO","NÃO",_xlfn.XLOOKUP(autocompAlmoco[[#This Row],[COMP ESCALA ANTERIOR]],tabE.Flux[COMP.AT. MOT B],tabE.Flux[LINHA],"NÃO",0,1))</f>
        <v>NÃO</v>
      </c>
      <c r="K170" s="62" t="str">
        <f>IF(AND(autocompAlmoco[[#This Row],[EXISTE MOT A ANT]]="NÃO",autocompAlmoco[[#This Row],[EXISTE MOT B ANT]]="NÃO"),"NÃO","SIM")</f>
        <v>NÃO</v>
      </c>
      <c r="L170" s="59" t="e">
        <f>_xlfn.CONCAT(#REF!+1,"+",#REF!)</f>
        <v>#REF!</v>
      </c>
      <c r="M170" s="59" t="e">
        <f>IF(autocompAlmoco[[#This Row],[COMP ESCALA POSTERIOR]]="NÃO","NÃO",_xlfn.XLOOKUP(autocompAlmoco[[#This Row],[COMP ESCALA POSTERIOR]],tabE.Flux[COMP.AT. MOT A],tabE.Flux[LINHA],"NÃO",0,1))</f>
        <v>#REF!</v>
      </c>
      <c r="N170" s="59" t="e">
        <f>IF(autocompAlmoco[[#This Row],[COMP ESCALA POSTERIOR]]="NÃO","NÃO",_xlfn.XLOOKUP(autocompAlmoco[[#This Row],[COMP ESCALA POSTERIOR]],tabE.Flux[COMP.AT. MOT B],tabE.Flux[LINHA],"NÃO",0,1))</f>
        <v>#REF!</v>
      </c>
      <c r="O170" s="65" t="e">
        <f>IF(AND(autocompAlmoco[[#This Row],[EXISTE MOT A POS]]="NÃO",autocompAlmoco[[#This Row],[EXISTE MOT B POS]]="NÃO"),"NÃO","SIM")</f>
        <v>#REF!</v>
      </c>
      <c r="P170" s="66" t="str" cm="1">
        <f t="array" ref="P17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70" s="103" t="str" cm="1">
        <f t="array" ref="Q17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45912+FRANCISCO PESSOA DE CARVALHO - 5276+FORTALEZA (CE) X SINOP (MT)</v>
      </c>
      <c r="R170" s="67">
        <f>_xlfn.XLOOKUP(autocompAlmoco[[#This Row],[COMP ESCALA]],tabE.Flux[COMP. ESCALA MOT B],tabE.Flux[CARRO],
(_xlfn.XLOOKUP(autocompAlmoco[[#This Row],[COMP ESCALA]],tabE.Flux[COMP. ESCALA MOT A],tabE.Flux[CARRO],"N/E",0,1)),0,1)</f>
        <v>19014</v>
      </c>
      <c r="S170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70" s="127">
        <v>45912</v>
      </c>
      <c r="U170" s="4">
        <f>IF(IFERROR(autocompAlmoco[[#This Row],[CORRESP. CARRO]],"")="NÃO",(IF(tabAlmoco[[#This Row],[MOTORISTA]]=0,"","PASSE?")),autocompAlmoco[[#This Row],[CORRESP. CARRO]])</f>
        <v>19014</v>
      </c>
      <c r="V170" s="128">
        <f>IF(OR(ISERR(autocompAlmoco[[#This Row],[CORRESP HORARIO]]), autocompAlmoco[[#This Row],[CORRESP HORARIO]]&lt;&gt;"NÃO"),autocompAlmoco[[#This Row],[CORRESP HORARIO]],"")</f>
        <v>0.37708333333333333</v>
      </c>
      <c r="W170" s="4" t="s">
        <v>299</v>
      </c>
      <c r="X170" s="4" t="s">
        <v>188</v>
      </c>
      <c r="Y170" s="4">
        <f>IF(tabAlmoco[[#This Row],[MOTORISTA]]="","",COUNTIF(autocompAlmoco[COMP ESCALA ATUAL],autocompAlmoco[[#This Row],[COMP ESCALA ATUAL]]))</f>
        <v>1</v>
      </c>
      <c r="Z170" s="45">
        <f>IF(tabAlmoco[[#This Row],[MOTORISTA]]&lt;&gt;0,15,"")</f>
        <v>15</v>
      </c>
      <c r="AA170" s="4" t="str">
        <f>autocompAlmoco[[#This Row],[CORRESP LINHA]]</f>
        <v>FORTALEZA (CE) X SINOP (MT)</v>
      </c>
    </row>
    <row r="171" spans="3:27" ht="15" hidden="1" customHeight="1" x14ac:dyDescent="0.25">
      <c r="C171" s="140" t="s">
        <v>226</v>
      </c>
      <c r="D171" s="56" t="str">
        <f>IF(tabAlmoco[[#This Row],[MOTORISTA]]="","",_xlfn.CONCAT(tabAlmoco[[#This Row],[DATA]],"+",tabAlmoco[[#This Row],[MOTORISTA]]))</f>
        <v>45912+CARLOS ADRIANO DE SOUZA DO NASCIMENTO - 6222</v>
      </c>
      <c r="E171" s="56" t="str">
        <f>_xlfn.XLOOKUP(autocompAlmoco[[#This Row],[COMP ESCALA ATUAL]],tabE.Flux[COMP.AT. MOT A],tabE.Flux[LINHA],"NÃO",0,1)</f>
        <v>NÃO</v>
      </c>
      <c r="F171" s="56" t="str">
        <f>_xlfn.XLOOKUP(autocompAlmoco[[#This Row],[COMP ESCALA ATUAL]],tabE.Flux[COMP.AT. MOT B],tabE.Flux[LINHA],"NÃO",0,1)</f>
        <v>GOIANIA (GO) X SAO LUIS (MA)</v>
      </c>
      <c r="G171" s="61" t="str">
        <f>IF(AND(autocompAlmoco[[#This Row],[EXISTE MOT A AT]]="NÃO", autocompAlmoco[[#This Row],[EXISTE MOT B AT]]="NÃO"),"NÃO","SIM")</f>
        <v>SIM</v>
      </c>
      <c r="H171" s="57" t="str">
        <f>IF(autocompAlmoco[[#This Row],[EXISTE ESCALA ATUAL]]="NÃO",_xlfn.CONCAT(tabAlmoco[[#This Row],[DATA]]-1,"+",tabAlmoco[[#This Row],[MOTORISTA]]),"NÃO")</f>
        <v>NÃO</v>
      </c>
      <c r="I171" s="57" t="str">
        <f>IF(autocompAlmoco[[#This Row],[COMP ESCALA ANTERIOR]]="NÃO","NÃO",_xlfn.XLOOKUP(autocompAlmoco[[#This Row],[COMP ESCALA ANTERIOR]],tabE.Flux[COMP.AT. MOT A],tabE.Flux[LINHA],"NÃO",0,1))</f>
        <v>NÃO</v>
      </c>
      <c r="J171" s="58" t="str">
        <f>IF(autocompAlmoco[[#This Row],[COMP ESCALA ANTERIOR]]="NÃO","NÃO",_xlfn.XLOOKUP(autocompAlmoco[[#This Row],[COMP ESCALA ANTERIOR]],tabE.Flux[COMP.AT. MOT B],tabE.Flux[LINHA],"NÃO",0,1))</f>
        <v>NÃO</v>
      </c>
      <c r="K171" s="62" t="str">
        <f>IF(AND(autocompAlmoco[[#This Row],[EXISTE MOT A ANT]]="NÃO",autocompAlmoco[[#This Row],[EXISTE MOT B ANT]]="NÃO"),"NÃO","SIM")</f>
        <v>NÃO</v>
      </c>
      <c r="L171" s="59" t="str">
        <f t="shared" ref="L171:L186" si="5">_xlfn.CONCAT(T170+1,"+",X170)</f>
        <v>45913+FRANCISCO PESSOA DE CARVALHO - 5276</v>
      </c>
      <c r="M171" s="59" t="str">
        <f>IF(autocompAlmoco[[#This Row],[COMP ESCALA POSTERIOR]]="NÃO","NÃO",_xlfn.XLOOKUP(autocompAlmoco[[#This Row],[COMP ESCALA POSTERIOR]],tabE.Flux[COMP.AT. MOT A],tabE.Flux[LINHA],"NÃO",0,1))</f>
        <v>NÃO</v>
      </c>
      <c r="N171" s="59" t="str">
        <f>IF(autocompAlmoco[[#This Row],[COMP ESCALA POSTERIOR]]="NÃO","NÃO",_xlfn.XLOOKUP(autocompAlmoco[[#This Row],[COMP ESCALA POSTERIOR]],tabE.Flux[COMP.AT. MOT B],tabE.Flux[LINHA],"NÃO",0,1))</f>
        <v>NÃO</v>
      </c>
      <c r="O171" s="65" t="str">
        <f>IF(AND(autocompAlmoco[[#This Row],[EXISTE MOT A POS]]="NÃO",autocompAlmoco[[#This Row],[EXISTE MOT B POS]]="NÃO"),"NÃO","SIM")</f>
        <v>NÃO</v>
      </c>
      <c r="P171" s="66" t="str" cm="1">
        <f t="array" ref="P17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71" s="103" t="str" cm="1">
        <f t="array" ref="Q17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45912+CARLOS ADRIANO DE SOUZA DO NASCIMENTO - 6222+GOIANIA (GO) X SAO LUIS (MA)</v>
      </c>
      <c r="R171" s="67">
        <f>_xlfn.XLOOKUP(autocompAlmoco[[#This Row],[COMP ESCALA]],tabE.Flux[COMP. ESCALA MOT B],tabE.Flux[CARRO],
(_xlfn.XLOOKUP(autocompAlmoco[[#This Row],[COMP ESCALA]],tabE.Flux[COMP. ESCALA MOT A],tabE.Flux[CARRO],"N/E",0,1)),0,1)</f>
        <v>20018</v>
      </c>
      <c r="S171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71" s="127">
        <v>45912</v>
      </c>
      <c r="U171" s="4">
        <f>IF(IFERROR(autocompAlmoco[[#This Row],[CORRESP. CARRO]],"")="NÃO",(IF(tabAlmoco[[#This Row],[MOTORISTA]]=0,"","PASSE?")),autocompAlmoco[[#This Row],[CORRESP. CARRO]])</f>
        <v>20018</v>
      </c>
      <c r="V171" s="126">
        <f>IF(OR(ISERR(autocompAlmoco[[#This Row],[CORRESP HORARIO]]), autocompAlmoco[[#This Row],[CORRESP HORARIO]]&lt;&gt;"NÃO"),autocompAlmoco[[#This Row],[CORRESP HORARIO]],"")</f>
        <v>0.47013888888888888</v>
      </c>
      <c r="W171" s="4" t="s">
        <v>299</v>
      </c>
      <c r="X171" s="1" t="s">
        <v>110</v>
      </c>
      <c r="Y171" s="1">
        <f>IF(tabAlmoco[[#This Row],[MOTORISTA]]="","",COUNTIF(autocompAlmoco[COMP ESCALA ATUAL],autocompAlmoco[[#This Row],[COMP ESCALA ATUAL]]))</f>
        <v>1</v>
      </c>
      <c r="Z171" s="105">
        <f>IF(tabAlmoco[[#This Row],[MOTORISTA]]&lt;&gt;0,15,"")</f>
        <v>15</v>
      </c>
      <c r="AA171" s="4" t="str">
        <f>autocompAlmoco[[#This Row],[CORRESP LINHA]]</f>
        <v>GOIANIA (GO) X SAO LUIS (MA)</v>
      </c>
    </row>
    <row r="172" spans="3:27" ht="15" hidden="1" customHeight="1" x14ac:dyDescent="0.25">
      <c r="C172" s="140" t="s">
        <v>226</v>
      </c>
      <c r="D172" s="56" t="str">
        <f>IF(tabAlmoco[[#This Row],[MOTORISTA]]="","",_xlfn.CONCAT(tabAlmoco[[#This Row],[DATA]],"+",tabAlmoco[[#This Row],[MOTORISTA]]))</f>
        <v>45912+JERZUALDO DA SILVA GOMES - 4077</v>
      </c>
      <c r="E172" s="56" t="str">
        <f>_xlfn.XLOOKUP(autocompAlmoco[[#This Row],[COMP ESCALA ATUAL]],tabE.Flux[COMP.AT. MOT A],tabE.Flux[LINHA],"NÃO",0,1)</f>
        <v>NÃO</v>
      </c>
      <c r="F172" s="56" t="str">
        <f>_xlfn.XLOOKUP(autocompAlmoco[[#This Row],[COMP ESCALA ATUAL]],tabE.Flux[COMP.AT. MOT B],tabE.Flux[LINHA],"NÃO",0,1)</f>
        <v>NÃO</v>
      </c>
      <c r="G172" s="61" t="str">
        <f>IF(AND(autocompAlmoco[[#This Row],[EXISTE MOT A AT]]="NÃO", autocompAlmoco[[#This Row],[EXISTE MOT B AT]]="NÃO"),"NÃO","SIM")</f>
        <v>NÃO</v>
      </c>
      <c r="H172" s="57" t="str">
        <f>IF(autocompAlmoco[[#This Row],[EXISTE ESCALA ATUAL]]="NÃO",_xlfn.CONCAT(tabAlmoco[[#This Row],[DATA]]-1,"+",tabAlmoco[[#This Row],[MOTORISTA]]),"NÃO")</f>
        <v>45911+JERZUALDO DA SILVA GOMES - 4077</v>
      </c>
      <c r="I172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72" s="58" t="str">
        <f>IF(autocompAlmoco[[#This Row],[COMP ESCALA ANTERIOR]]="NÃO","NÃO",_xlfn.XLOOKUP(autocompAlmoco[[#This Row],[COMP ESCALA ANTERIOR]],tabE.Flux[COMP.AT. MOT B],tabE.Flux[LINHA],"NÃO",0,1))</f>
        <v>NÃO</v>
      </c>
      <c r="K172" s="62" t="str">
        <f>IF(AND(autocompAlmoco[[#This Row],[EXISTE MOT A ANT]]="NÃO",autocompAlmoco[[#This Row],[EXISTE MOT B ANT]]="NÃO"),"NÃO","SIM")</f>
        <v>SIM</v>
      </c>
      <c r="L172" s="59" t="str">
        <f t="shared" si="5"/>
        <v>45913+CARLOS ADRIANO DE SOUZA DO NASCIMENTO - 6222</v>
      </c>
      <c r="M172" s="59" t="str">
        <f>IF(autocompAlmoco[[#This Row],[COMP ESCALA POSTERIOR]]="NÃO","NÃO",_xlfn.XLOOKUP(autocompAlmoco[[#This Row],[COMP ESCALA POSTERIOR]],tabE.Flux[COMP.AT. MOT A],tabE.Flux[LINHA],"NÃO",0,1))</f>
        <v>NÃO</v>
      </c>
      <c r="N172" s="59" t="str">
        <f>IF(autocompAlmoco[[#This Row],[COMP ESCALA POSTERIOR]]="NÃO","NÃO",_xlfn.XLOOKUP(autocompAlmoco[[#This Row],[COMP ESCALA POSTERIOR]],tabE.Flux[COMP.AT. MOT B],tabE.Flux[LINHA],"NÃO",0,1))</f>
        <v>NÃO</v>
      </c>
      <c r="O172" s="65" t="str">
        <f>IF(AND(autocompAlmoco[[#This Row],[EXISTE MOT A POS]]="NÃO",autocompAlmoco[[#This Row],[EXISTE MOT B POS]]="NÃO"),"NÃO","SIM")</f>
        <v>NÃO</v>
      </c>
      <c r="P172" s="66" t="str" cm="1">
        <f t="array" ref="P17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72" s="103" t="str" cm="1">
        <f t="array" ref="Q17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45911+JERZUALDO DA SILVA GOMES - 4077+FORTALEZA (CE) X SINOP (MT)</v>
      </c>
      <c r="R172" s="67">
        <f>_xlfn.XLOOKUP(autocompAlmoco[[#This Row],[COMP ESCALA]],tabE.Flux[COMP. ESCALA MOT B],tabE.Flux[CARRO],
(_xlfn.XLOOKUP(autocompAlmoco[[#This Row],[COMP ESCALA]],tabE.Flux[COMP. ESCALA MOT A],tabE.Flux[CARRO],"N/E",0,1)),0,1)</f>
        <v>19022</v>
      </c>
      <c r="S172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72" s="127">
        <v>45912</v>
      </c>
      <c r="U172" s="131">
        <f>IF(IFERROR(autocompAlmoco[[#This Row],[CORRESP. CARRO]],"")="NÃO",(IF(tabAlmoco[[#This Row],[MOTORISTA]]=0,"","PASSE?")),autocompAlmoco[[#This Row],[CORRESP. CARRO]])</f>
        <v>19022</v>
      </c>
      <c r="V172" s="126">
        <f>IF(OR(ISERR(autocompAlmoco[[#This Row],[CORRESP HORARIO]]), autocompAlmoco[[#This Row],[CORRESP HORARIO]]&lt;&gt;"NÃO"),autocompAlmoco[[#This Row],[CORRESP HORARIO]],"")</f>
        <v>0.37708333333333333</v>
      </c>
      <c r="W172" s="4" t="s">
        <v>299</v>
      </c>
      <c r="X172" s="1" t="s">
        <v>130</v>
      </c>
      <c r="Y172" s="1">
        <f>IF(tabAlmoco[[#This Row],[MOTORISTA]]="","",COUNTIF(autocompAlmoco[COMP ESCALA ATUAL],autocompAlmoco[[#This Row],[COMP ESCALA ATUAL]]))</f>
        <v>1</v>
      </c>
      <c r="Z172" s="105">
        <f>IF(tabAlmoco[[#This Row],[MOTORISTA]]&lt;&gt;0,15,"")</f>
        <v>15</v>
      </c>
      <c r="AA172" s="131" t="str">
        <f>autocompAlmoco[[#This Row],[CORRESP LINHA]]</f>
        <v>FORTALEZA (CE) X SINOP (MT)</v>
      </c>
    </row>
    <row r="173" spans="3:27" ht="15" hidden="1" customHeight="1" x14ac:dyDescent="0.25">
      <c r="C173" s="140" t="s">
        <v>226</v>
      </c>
      <c r="D173" s="56" t="str">
        <f>IF(tabAlmoco[[#This Row],[MOTORISTA]]="","",_xlfn.CONCAT(tabAlmoco[[#This Row],[DATA]],"+",tabAlmoco[[#This Row],[MOTORISTA]]))</f>
        <v>45912+PAULO ENEAS FARIAS ARAUJO - 6218</v>
      </c>
      <c r="E173" s="56" t="str">
        <f>_xlfn.XLOOKUP(autocompAlmoco[[#This Row],[COMP ESCALA ATUAL]],tabE.Flux[COMP.AT. MOT A],tabE.Flux[LINHA],"NÃO",0,1)</f>
        <v>NÃO</v>
      </c>
      <c r="F173" s="56" t="str">
        <f>_xlfn.XLOOKUP(autocompAlmoco[[#This Row],[COMP ESCALA ATUAL]],tabE.Flux[COMP.AT. MOT B],tabE.Flux[LINHA],"NÃO",0,1)</f>
        <v>IMPERATRIZ (MA) X SÃO LUIS (MA)</v>
      </c>
      <c r="G173" s="61" t="str">
        <f>IF(AND(autocompAlmoco[[#This Row],[EXISTE MOT A AT]]="NÃO", autocompAlmoco[[#This Row],[EXISTE MOT B AT]]="NÃO"),"NÃO","SIM")</f>
        <v>SIM</v>
      </c>
      <c r="H173" s="57" t="str">
        <f>IF(autocompAlmoco[[#This Row],[EXISTE ESCALA ATUAL]]="NÃO",_xlfn.CONCAT(tabAlmoco[[#This Row],[DATA]]-1,"+",tabAlmoco[[#This Row],[MOTORISTA]]),"NÃO")</f>
        <v>NÃO</v>
      </c>
      <c r="I173" s="57" t="str">
        <f>IF(autocompAlmoco[[#This Row],[COMP ESCALA ANTERIOR]]="NÃO","NÃO",_xlfn.XLOOKUP(autocompAlmoco[[#This Row],[COMP ESCALA ANTERIOR]],tabE.Flux[COMP.AT. MOT A],tabE.Flux[LINHA],"NÃO",0,1))</f>
        <v>NÃO</v>
      </c>
      <c r="J173" s="58" t="str">
        <f>IF(autocompAlmoco[[#This Row],[COMP ESCALA ANTERIOR]]="NÃO","NÃO",_xlfn.XLOOKUP(autocompAlmoco[[#This Row],[COMP ESCALA ANTERIOR]],tabE.Flux[COMP.AT. MOT B],tabE.Flux[LINHA],"NÃO",0,1))</f>
        <v>NÃO</v>
      </c>
      <c r="K173" s="62" t="str">
        <f>IF(AND(autocompAlmoco[[#This Row],[EXISTE MOT A ANT]]="NÃO",autocompAlmoco[[#This Row],[EXISTE MOT B ANT]]="NÃO"),"NÃO","SIM")</f>
        <v>NÃO</v>
      </c>
      <c r="L173" s="59" t="str">
        <f t="shared" si="5"/>
        <v>45913+JERZUALDO DA SILVA GOMES - 4077</v>
      </c>
      <c r="M173" s="59" t="str">
        <f>IF(autocompAlmoco[[#This Row],[COMP ESCALA POSTERIOR]]="NÃO","NÃO",_xlfn.XLOOKUP(autocompAlmoco[[#This Row],[COMP ESCALA POSTERIOR]],tabE.Flux[COMP.AT. MOT A],tabE.Flux[LINHA],"NÃO",0,1))</f>
        <v>NÃO</v>
      </c>
      <c r="N173" s="59" t="str">
        <f>IF(autocompAlmoco[[#This Row],[COMP ESCALA POSTERIOR]]="NÃO","NÃO",_xlfn.XLOOKUP(autocompAlmoco[[#This Row],[COMP ESCALA POSTERIOR]],tabE.Flux[COMP.AT. MOT B],tabE.Flux[LINHA],"NÃO",0,1))</f>
        <v>NÃO</v>
      </c>
      <c r="O173" s="65" t="str">
        <f>IF(AND(autocompAlmoco[[#This Row],[EXISTE MOT A POS]]="NÃO",autocompAlmoco[[#This Row],[EXISTE MOT B POS]]="NÃO"),"NÃO","SIM")</f>
        <v>NÃO</v>
      </c>
      <c r="P173" s="66" t="str" cm="1">
        <f t="array" ref="P17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IMPERATRIZ (MA) X SÃO LUIS (MA)</v>
      </c>
      <c r="Q173" s="103" t="str" cm="1">
        <f t="array" ref="Q17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45912+PAULO ENEAS FARIAS ARAUJO - 6218+IMPERATRIZ (MA) X SÃO LUIS (MA)</v>
      </c>
      <c r="R173" s="67">
        <f>_xlfn.XLOOKUP(autocompAlmoco[[#This Row],[COMP ESCALA]],tabE.Flux[COMP. ESCALA MOT B],tabE.Flux[CARRO],
(_xlfn.XLOOKUP(autocompAlmoco[[#This Row],[COMP ESCALA]],tabE.Flux[COMP. ESCALA MOT A],tabE.Flux[CARRO],"N/E",0,1)),0,1)</f>
        <v>18016</v>
      </c>
      <c r="S173" s="130">
        <f>_xlfn.XLOOKUP(autocompAlmoco[[#This Row],[COMP ESCALA]],tabE.Flux[COMP. ESCALA MOT A],tabE.Flux[HORARIO],(_xlfn.XLOOKUP(autocompAlmoco[[#This Row],[COMP ESCALA]],tabE.Flux[COMP. ESCALA MOT B],tabE.Flux[HORARIO],"N/E",0,1)),0,1)</f>
        <v>0.8125</v>
      </c>
      <c r="T173" s="127">
        <v>45912</v>
      </c>
      <c r="U173" s="131">
        <f>IF(IFERROR(autocompAlmoco[[#This Row],[CORRESP. CARRO]],"")="NÃO",(IF(tabAlmoco[[#This Row],[MOTORISTA]]=0,"","PASSE?")),autocompAlmoco[[#This Row],[CORRESP. CARRO]])</f>
        <v>18016</v>
      </c>
      <c r="V173" s="126">
        <f>IF(OR(ISERR(autocompAlmoco[[#This Row],[CORRESP HORARIO]]), autocompAlmoco[[#This Row],[CORRESP HORARIO]]&lt;&gt;"NÃO"),autocompAlmoco[[#This Row],[CORRESP HORARIO]],"")</f>
        <v>0.8125</v>
      </c>
      <c r="W173" s="4" t="s">
        <v>299</v>
      </c>
      <c r="X173" s="1" t="s">
        <v>43</v>
      </c>
      <c r="Y173" s="1">
        <f>IF(tabAlmoco[[#This Row],[MOTORISTA]]="","",COUNTIF(autocompAlmoco[COMP ESCALA ATUAL],autocompAlmoco[[#This Row],[COMP ESCALA ATUAL]]))</f>
        <v>1</v>
      </c>
      <c r="Z173" s="105">
        <f>IF(tabAlmoco[[#This Row],[MOTORISTA]]&lt;&gt;0,15,"")</f>
        <v>15</v>
      </c>
      <c r="AA173" s="131" t="str">
        <f>autocompAlmoco[[#This Row],[CORRESP LINHA]]</f>
        <v>IMPERATRIZ (MA) X SÃO LUIS (MA)</v>
      </c>
    </row>
    <row r="174" spans="3:27" ht="15" hidden="1" customHeight="1" x14ac:dyDescent="0.25">
      <c r="C174" s="140" t="s">
        <v>226</v>
      </c>
      <c r="D174" s="56" t="str">
        <f>IF(tabAlmoco[[#This Row],[MOTORISTA]]="","",_xlfn.CONCAT(tabAlmoco[[#This Row],[DATA]],"+",tabAlmoco[[#This Row],[MOTORISTA]]))</f>
        <v>45912+JARDEL DE SOUSA OLIVEIRA - 5992</v>
      </c>
      <c r="E174" s="56" t="str">
        <f>_xlfn.XLOOKUP(autocompAlmoco[[#This Row],[COMP ESCALA ATUAL]],tabE.Flux[COMP.AT. MOT A],tabE.Flux[LINHA],"NÃO",0,1)</f>
        <v>NÃO</v>
      </c>
      <c r="F174" s="56" t="str">
        <f>_xlfn.XLOOKUP(autocompAlmoco[[#This Row],[COMP ESCALA ATUAL]],tabE.Flux[COMP.AT. MOT B],tabE.Flux[LINHA],"NÃO",0,1)</f>
        <v>NÃO</v>
      </c>
      <c r="G174" s="61" t="str">
        <f>IF(AND(autocompAlmoco[[#This Row],[EXISTE MOT A AT]]="NÃO", autocompAlmoco[[#This Row],[EXISTE MOT B AT]]="NÃO"),"NÃO","SIM")</f>
        <v>NÃO</v>
      </c>
      <c r="H174" s="57" t="str">
        <f>IF(autocompAlmoco[[#This Row],[EXISTE ESCALA ATUAL]]="NÃO",_xlfn.CONCAT(tabAlmoco[[#This Row],[DATA]]-1,"+",tabAlmoco[[#This Row],[MOTORISTA]]),"NÃO")</f>
        <v>45911+JARDEL DE SOUSA OLIVEIRA - 5992</v>
      </c>
      <c r="I174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74" s="58" t="str">
        <f>IF(autocompAlmoco[[#This Row],[COMP ESCALA ANTERIOR]]="NÃO","NÃO",_xlfn.XLOOKUP(autocompAlmoco[[#This Row],[COMP ESCALA ANTERIOR]],tabE.Flux[COMP.AT. MOT B],tabE.Flux[LINHA],"NÃO",0,1))</f>
        <v>NÃO</v>
      </c>
      <c r="K174" s="62" t="str">
        <f>IF(AND(autocompAlmoco[[#This Row],[EXISTE MOT A ANT]]="NÃO",autocompAlmoco[[#This Row],[EXISTE MOT B ANT]]="NÃO"),"NÃO","SIM")</f>
        <v>SIM</v>
      </c>
      <c r="L174" s="59" t="str">
        <f t="shared" si="5"/>
        <v>45913+PAULO ENEAS FARIAS ARAUJO - 6218</v>
      </c>
      <c r="M174" s="59" t="str">
        <f>IF(autocompAlmoco[[#This Row],[COMP ESCALA POSTERIOR]]="NÃO","NÃO",_xlfn.XLOOKUP(autocompAlmoco[[#This Row],[COMP ESCALA POSTERIOR]],tabE.Flux[COMP.AT. MOT A],tabE.Flux[LINHA],"NÃO",0,1))</f>
        <v>NÃO</v>
      </c>
      <c r="N174" s="59" t="str">
        <f>IF(autocompAlmoco[[#This Row],[COMP ESCALA POSTERIOR]]="NÃO","NÃO",_xlfn.XLOOKUP(autocompAlmoco[[#This Row],[COMP ESCALA POSTERIOR]],tabE.Flux[COMP.AT. MOT B],tabE.Flux[LINHA],"NÃO",0,1))</f>
        <v>NÃO</v>
      </c>
      <c r="O174" s="65" t="str">
        <f>IF(AND(autocompAlmoco[[#This Row],[EXISTE MOT A POS]]="NÃO",autocompAlmoco[[#This Row],[EXISTE MOT B POS]]="NÃO"),"NÃO","SIM")</f>
        <v>NÃO</v>
      </c>
      <c r="P174" s="66" t="str" cm="1">
        <f t="array" ref="P17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74" s="103" t="str" cm="1">
        <f t="array" ref="Q17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45911+JARDEL DE SOUSA OLIVEIRA - 5992+GOIANIA (GO) X TERESINA (PI) VIA STI</v>
      </c>
      <c r="R174" s="67">
        <f>_xlfn.XLOOKUP(autocompAlmoco[[#This Row],[COMP ESCALA]],tabE.Flux[COMP. ESCALA MOT B],tabE.Flux[CARRO],
(_xlfn.XLOOKUP(autocompAlmoco[[#This Row],[COMP ESCALA]],tabE.Flux[COMP. ESCALA MOT A],tabE.Flux[CARRO],"N/E",0,1)),0,1)</f>
        <v>17600</v>
      </c>
      <c r="S174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74" s="127">
        <v>45912</v>
      </c>
      <c r="U174" s="131">
        <f>IF(IFERROR(autocompAlmoco[[#This Row],[CORRESP. CARRO]],"")="NÃO",(IF(tabAlmoco[[#This Row],[MOTORISTA]]=0,"","PASSE?")),autocompAlmoco[[#This Row],[CORRESP. CARRO]])</f>
        <v>17600</v>
      </c>
      <c r="V174" s="126">
        <f>IF(OR(ISERR(autocompAlmoco[[#This Row],[CORRESP HORARIO]]), autocompAlmoco[[#This Row],[CORRESP HORARIO]]&lt;&gt;"NÃO"),autocompAlmoco[[#This Row],[CORRESP HORARIO]],"")</f>
        <v>0.79861111111111116</v>
      </c>
      <c r="W174" s="4" t="s">
        <v>299</v>
      </c>
      <c r="X174" s="1" t="s">
        <v>150</v>
      </c>
      <c r="Y174" s="1">
        <f>IF(tabAlmoco[[#This Row],[MOTORISTA]]="","",COUNTIF(autocompAlmoco[COMP ESCALA ATUAL],autocompAlmoco[[#This Row],[COMP ESCALA ATUAL]]))</f>
        <v>1</v>
      </c>
      <c r="Z174" s="105">
        <f>IF(tabAlmoco[[#This Row],[MOTORISTA]]&lt;&gt;0,15,"")</f>
        <v>15</v>
      </c>
      <c r="AA174" s="131" t="str">
        <f>autocompAlmoco[[#This Row],[CORRESP LINHA]]</f>
        <v>GOIANIA (GO) X TERESINA (PI) VIA STI</v>
      </c>
    </row>
    <row r="175" spans="3:27" ht="15" hidden="1" customHeight="1" x14ac:dyDescent="0.25">
      <c r="C175" s="140" t="s">
        <v>226</v>
      </c>
      <c r="D175" s="56" t="str">
        <f>IF(tabAlmoco[[#This Row],[MOTORISTA]]="","",_xlfn.CONCAT(tabAlmoco[[#This Row],[DATA]],"+",tabAlmoco[[#This Row],[MOTORISTA]]))</f>
        <v>45912+RICHARD SOUSA DA SILVA - 1271</v>
      </c>
      <c r="E175" s="56" t="str">
        <f>_xlfn.XLOOKUP(autocompAlmoco[[#This Row],[COMP ESCALA ATUAL]],tabE.Flux[COMP.AT. MOT A],tabE.Flux[LINHA],"NÃO",0,1)</f>
        <v>NÃO</v>
      </c>
      <c r="F175" s="56" t="str">
        <f>_xlfn.XLOOKUP(autocompAlmoco[[#This Row],[COMP ESCALA ATUAL]],tabE.Flux[COMP.AT. MOT B],tabE.Flux[LINHA],"NÃO",0,1)</f>
        <v>GOIANIA (GO) X SAO LUIS (MA)</v>
      </c>
      <c r="G175" s="61" t="str">
        <f>IF(AND(autocompAlmoco[[#This Row],[EXISTE MOT A AT]]="NÃO", autocompAlmoco[[#This Row],[EXISTE MOT B AT]]="NÃO"),"NÃO","SIM")</f>
        <v>SIM</v>
      </c>
      <c r="H175" s="57" t="str">
        <f>IF(autocompAlmoco[[#This Row],[EXISTE ESCALA ATUAL]]="NÃO",_xlfn.CONCAT(tabAlmoco[[#This Row],[DATA]]-1,"+",tabAlmoco[[#This Row],[MOTORISTA]]),"NÃO")</f>
        <v>NÃO</v>
      </c>
      <c r="I175" s="57" t="str">
        <f>IF(autocompAlmoco[[#This Row],[COMP ESCALA ANTERIOR]]="NÃO","NÃO",_xlfn.XLOOKUP(autocompAlmoco[[#This Row],[COMP ESCALA ANTERIOR]],tabE.Flux[COMP.AT. MOT A],tabE.Flux[LINHA],"NÃO",0,1))</f>
        <v>NÃO</v>
      </c>
      <c r="J175" s="58" t="str">
        <f>IF(autocompAlmoco[[#This Row],[COMP ESCALA ANTERIOR]]="NÃO","NÃO",_xlfn.XLOOKUP(autocompAlmoco[[#This Row],[COMP ESCALA ANTERIOR]],tabE.Flux[COMP.AT. MOT B],tabE.Flux[LINHA],"NÃO",0,1))</f>
        <v>NÃO</v>
      </c>
      <c r="K175" s="62" t="str">
        <f>IF(AND(autocompAlmoco[[#This Row],[EXISTE MOT A ANT]]="NÃO",autocompAlmoco[[#This Row],[EXISTE MOT B ANT]]="NÃO"),"NÃO","SIM")</f>
        <v>NÃO</v>
      </c>
      <c r="L175" s="59" t="str">
        <f t="shared" si="5"/>
        <v>45913+JARDEL DE SOUSA OLIVEIRA - 5992</v>
      </c>
      <c r="M175" s="59" t="str">
        <f>IF(autocompAlmoco[[#This Row],[COMP ESCALA POSTERIOR]]="NÃO","NÃO",_xlfn.XLOOKUP(autocompAlmoco[[#This Row],[COMP ESCALA POSTERIOR]],tabE.Flux[COMP.AT. MOT A],tabE.Flux[LINHA],"NÃO",0,1))</f>
        <v>NÃO</v>
      </c>
      <c r="N175" s="59" t="str">
        <f>IF(autocompAlmoco[[#This Row],[COMP ESCALA POSTERIOR]]="NÃO","NÃO",_xlfn.XLOOKUP(autocompAlmoco[[#This Row],[COMP ESCALA POSTERIOR]],tabE.Flux[COMP.AT. MOT B],tabE.Flux[LINHA],"NÃO",0,1))</f>
        <v>NÃO</v>
      </c>
      <c r="O175" s="65" t="str">
        <f>IF(AND(autocompAlmoco[[#This Row],[EXISTE MOT A POS]]="NÃO",autocompAlmoco[[#This Row],[EXISTE MOT B POS]]="NÃO"),"NÃO","SIM")</f>
        <v>NÃO</v>
      </c>
      <c r="P175" s="66" t="str" cm="1">
        <f t="array" ref="P17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75" s="103" t="str" cm="1">
        <f t="array" ref="Q17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45912+RICHARD SOUSA DA SILVA - 1271+GOIANIA (GO) X SAO LUIS (MA)</v>
      </c>
      <c r="R175" s="67">
        <f>_xlfn.XLOOKUP(autocompAlmoco[[#This Row],[COMP ESCALA]],tabE.Flux[COMP. ESCALA MOT B],tabE.Flux[CARRO],
(_xlfn.XLOOKUP(autocompAlmoco[[#This Row],[COMP ESCALA]],tabE.Flux[COMP. ESCALA MOT A],tabE.Flux[CARRO],"N/E",0,1)),0,1)</f>
        <v>24012</v>
      </c>
      <c r="S175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75" s="127">
        <v>45912</v>
      </c>
      <c r="U175" s="131">
        <f>IF(IFERROR(autocompAlmoco[[#This Row],[CORRESP. CARRO]],"")="NÃO",(IF(tabAlmoco[[#This Row],[MOTORISTA]]=0,"","PASSE?")),autocompAlmoco[[#This Row],[CORRESP. CARRO]])</f>
        <v>24012</v>
      </c>
      <c r="V175" s="126">
        <f>IF(OR(ISERR(autocompAlmoco[[#This Row],[CORRESP HORARIO]]), autocompAlmoco[[#This Row],[CORRESP HORARIO]]&lt;&gt;"NÃO"),autocompAlmoco[[#This Row],[CORRESP HORARIO]],"")</f>
        <v>0.79166666666666663</v>
      </c>
      <c r="W175" s="4" t="s">
        <v>299</v>
      </c>
      <c r="X175" s="1" t="s">
        <v>56</v>
      </c>
      <c r="Y175" s="1">
        <f>IF(tabAlmoco[[#This Row],[MOTORISTA]]="","",COUNTIF(autocompAlmoco[COMP ESCALA ATUAL],autocompAlmoco[[#This Row],[COMP ESCALA ATUAL]]))</f>
        <v>1</v>
      </c>
      <c r="Z175" s="105">
        <f>IF(tabAlmoco[[#This Row],[MOTORISTA]]&lt;&gt;0,15,"")</f>
        <v>15</v>
      </c>
      <c r="AA175" s="131" t="str">
        <f>autocompAlmoco[[#This Row],[CORRESP LINHA]]</f>
        <v>GOIANIA (GO) X SAO LUIS (MA)</v>
      </c>
    </row>
    <row r="176" spans="3:27" ht="15" hidden="1" customHeight="1" x14ac:dyDescent="0.25">
      <c r="C176" s="140" t="s">
        <v>226</v>
      </c>
      <c r="D176" s="56" t="str">
        <f>IF(tabAlmoco[[#This Row],[MOTORISTA]]="","",_xlfn.CONCAT(tabAlmoco[[#This Row],[DATA]],"+",tabAlmoco[[#This Row],[MOTORISTA]]))</f>
        <v>45913+PEDRO PAULO DO NASCIMENTO DO CARMO - 2559</v>
      </c>
      <c r="E176" s="56" t="str">
        <f>_xlfn.XLOOKUP(autocompAlmoco[[#This Row],[COMP ESCALA ATUAL]],tabE.Flux[COMP.AT. MOT A],tabE.Flux[LINHA],"NÃO",0,1)</f>
        <v>NÃO</v>
      </c>
      <c r="F176" s="56" t="str">
        <f>_xlfn.XLOOKUP(autocompAlmoco[[#This Row],[COMP ESCALA ATUAL]],tabE.Flux[COMP.AT. MOT B],tabE.Flux[LINHA],"NÃO",0,1)</f>
        <v>FORTALEZA (CE) X SINOP (MT)</v>
      </c>
      <c r="G176" s="61" t="str">
        <f>IF(AND(autocompAlmoco[[#This Row],[EXISTE MOT A AT]]="NÃO", autocompAlmoco[[#This Row],[EXISTE MOT B AT]]="NÃO"),"NÃO","SIM")</f>
        <v>SIM</v>
      </c>
      <c r="H176" s="57" t="str">
        <f>IF(autocompAlmoco[[#This Row],[EXISTE ESCALA ATUAL]]="NÃO",_xlfn.CONCAT(tabAlmoco[[#This Row],[DATA]]-1,"+",tabAlmoco[[#This Row],[MOTORISTA]]),"NÃO")</f>
        <v>NÃO</v>
      </c>
      <c r="I176" s="57" t="str">
        <f>IF(autocompAlmoco[[#This Row],[COMP ESCALA ANTERIOR]]="NÃO","NÃO",_xlfn.XLOOKUP(autocompAlmoco[[#This Row],[COMP ESCALA ANTERIOR]],tabE.Flux[COMP.AT. MOT A],tabE.Flux[LINHA],"NÃO",0,1))</f>
        <v>NÃO</v>
      </c>
      <c r="J176" s="58" t="str">
        <f>IF(autocompAlmoco[[#This Row],[COMP ESCALA ANTERIOR]]="NÃO","NÃO",_xlfn.XLOOKUP(autocompAlmoco[[#This Row],[COMP ESCALA ANTERIOR]],tabE.Flux[COMP.AT. MOT B],tabE.Flux[LINHA],"NÃO",0,1))</f>
        <v>NÃO</v>
      </c>
      <c r="K176" s="62" t="str">
        <f>IF(AND(autocompAlmoco[[#This Row],[EXISTE MOT A ANT]]="NÃO",autocompAlmoco[[#This Row],[EXISTE MOT B ANT]]="NÃO"),"NÃO","SIM")</f>
        <v>NÃO</v>
      </c>
      <c r="L176" s="59" t="str">
        <f t="shared" si="5"/>
        <v>45913+RICHARD SOUSA DA SILVA - 1271</v>
      </c>
      <c r="M176" s="59" t="str">
        <f>IF(autocompAlmoco[[#This Row],[COMP ESCALA POSTERIOR]]="NÃO","NÃO",_xlfn.XLOOKUP(autocompAlmoco[[#This Row],[COMP ESCALA POSTERIOR]],tabE.Flux[COMP.AT. MOT A],tabE.Flux[LINHA],"NÃO",0,1))</f>
        <v>NÃO</v>
      </c>
      <c r="N176" s="59" t="str">
        <f>IF(autocompAlmoco[[#This Row],[COMP ESCALA POSTERIOR]]="NÃO","NÃO",_xlfn.XLOOKUP(autocompAlmoco[[#This Row],[COMP ESCALA POSTERIOR]],tabE.Flux[COMP.AT. MOT B],tabE.Flux[LINHA],"NÃO",0,1))</f>
        <v>NÃO</v>
      </c>
      <c r="O176" s="65" t="str">
        <f>IF(AND(autocompAlmoco[[#This Row],[EXISTE MOT A POS]]="NÃO",autocompAlmoco[[#This Row],[EXISTE MOT B POS]]="NÃO"),"NÃO","SIM")</f>
        <v>NÃO</v>
      </c>
      <c r="P176" s="66" t="str" cm="1">
        <f t="array" ref="P17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76" s="103" t="str" cm="1">
        <f t="array" ref="Q17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45913+PEDRO PAULO DO NASCIMENTO DO CARMO - 2559+FORTALEZA (CE) X SINOP (MT)</v>
      </c>
      <c r="R176" s="67">
        <f>_xlfn.XLOOKUP(autocompAlmoco[[#This Row],[COMP ESCALA]],tabE.Flux[COMP. ESCALA MOT B],tabE.Flux[CARRO],
(_xlfn.XLOOKUP(autocompAlmoco[[#This Row],[COMP ESCALA]],tabE.Flux[COMP. ESCALA MOT A],tabE.Flux[CARRO],"N/E",0,1)),0,1)</f>
        <v>20016</v>
      </c>
      <c r="S176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76" s="127">
        <v>45913</v>
      </c>
      <c r="U176" s="4">
        <f>IF(IFERROR(autocompAlmoco[[#This Row],[CORRESP. CARRO]],"")="NÃO",(IF(tabAlmoco[[#This Row],[MOTORISTA]]=0,"","PASSE?")),autocompAlmoco[[#This Row],[CORRESP. CARRO]])</f>
        <v>20016</v>
      </c>
      <c r="V176" s="128">
        <f>IF(OR(ISERR(autocompAlmoco[[#This Row],[CORRESP HORARIO]]), autocompAlmoco[[#This Row],[CORRESP HORARIO]]&lt;&gt;"NÃO"),autocompAlmoco[[#This Row],[CORRESP HORARIO]],"")</f>
        <v>0.37708333333333333</v>
      </c>
      <c r="W176" s="4" t="s">
        <v>299</v>
      </c>
      <c r="X176" s="4" t="s">
        <v>175</v>
      </c>
      <c r="Y176" s="4">
        <f>IF(tabAlmoco[[#This Row],[MOTORISTA]]="","",COUNTIF(autocompAlmoco[COMP ESCALA ATUAL],autocompAlmoco[[#This Row],[COMP ESCALA ATUAL]]))</f>
        <v>1</v>
      </c>
      <c r="Z176" s="45">
        <f>IF(tabAlmoco[[#This Row],[MOTORISTA]]&lt;&gt;0,15,"")</f>
        <v>15</v>
      </c>
      <c r="AA176" s="4" t="str">
        <f>autocompAlmoco[[#This Row],[CORRESP LINHA]]</f>
        <v>FORTALEZA (CE) X SINOP (MT)</v>
      </c>
    </row>
    <row r="177" spans="3:27" ht="15" hidden="1" customHeight="1" x14ac:dyDescent="0.25">
      <c r="C177" s="140" t="s">
        <v>226</v>
      </c>
      <c r="D177" s="56" t="str">
        <f>IF(tabAlmoco[[#This Row],[MOTORISTA]]="","",_xlfn.CONCAT(tabAlmoco[[#This Row],[DATA]],"+",tabAlmoco[[#This Row],[MOTORISTA]]))</f>
        <v>45913+RONNE RODRIGUES DE SOUSA - 5025</v>
      </c>
      <c r="E177" s="56" t="str">
        <f>_xlfn.XLOOKUP(autocompAlmoco[[#This Row],[COMP ESCALA ATUAL]],tabE.Flux[COMP.AT. MOT A],tabE.Flux[LINHA],"NÃO",0,1)</f>
        <v>NÃO</v>
      </c>
      <c r="F177" s="56" t="str">
        <f>_xlfn.XLOOKUP(autocompAlmoco[[#This Row],[COMP ESCALA ATUAL]],tabE.Flux[COMP.AT. MOT B],tabE.Flux[LINHA],"NÃO",0,1)</f>
        <v>GOIANIA (GO) X SAO LUIS (MA)</v>
      </c>
      <c r="G177" s="61" t="str">
        <f>IF(AND(autocompAlmoco[[#This Row],[EXISTE MOT A AT]]="NÃO", autocompAlmoco[[#This Row],[EXISTE MOT B AT]]="NÃO"),"NÃO","SIM")</f>
        <v>SIM</v>
      </c>
      <c r="H177" s="57" t="str">
        <f>IF(autocompAlmoco[[#This Row],[EXISTE ESCALA ATUAL]]="NÃO",_xlfn.CONCAT(tabAlmoco[[#This Row],[DATA]]-1,"+",tabAlmoco[[#This Row],[MOTORISTA]]),"NÃO")</f>
        <v>NÃO</v>
      </c>
      <c r="I177" s="57" t="str">
        <f>IF(autocompAlmoco[[#This Row],[COMP ESCALA ANTERIOR]]="NÃO","NÃO",_xlfn.XLOOKUP(autocompAlmoco[[#This Row],[COMP ESCALA ANTERIOR]],tabE.Flux[COMP.AT. MOT A],tabE.Flux[LINHA],"NÃO",0,1))</f>
        <v>NÃO</v>
      </c>
      <c r="J177" s="58" t="str">
        <f>IF(autocompAlmoco[[#This Row],[COMP ESCALA ANTERIOR]]="NÃO","NÃO",_xlfn.XLOOKUP(autocompAlmoco[[#This Row],[COMP ESCALA ANTERIOR]],tabE.Flux[COMP.AT. MOT B],tabE.Flux[LINHA],"NÃO",0,1))</f>
        <v>NÃO</v>
      </c>
      <c r="K177" s="62" t="str">
        <f>IF(AND(autocompAlmoco[[#This Row],[EXISTE MOT A ANT]]="NÃO",autocompAlmoco[[#This Row],[EXISTE MOT B ANT]]="NÃO"),"NÃO","SIM")</f>
        <v>NÃO</v>
      </c>
      <c r="L177" s="59" t="str">
        <f t="shared" si="5"/>
        <v>45914+PEDRO PAULO DO NASCIMENTO DO CARMO - 2559</v>
      </c>
      <c r="M177" s="59" t="str">
        <f>IF(autocompAlmoco[[#This Row],[COMP ESCALA POSTERIOR]]="NÃO","NÃO",_xlfn.XLOOKUP(autocompAlmoco[[#This Row],[COMP ESCALA POSTERIOR]],tabE.Flux[COMP.AT. MOT A],tabE.Flux[LINHA],"NÃO",0,1))</f>
        <v>NÃO</v>
      </c>
      <c r="N177" s="59" t="str">
        <f>IF(autocompAlmoco[[#This Row],[COMP ESCALA POSTERIOR]]="NÃO","NÃO",_xlfn.XLOOKUP(autocompAlmoco[[#This Row],[COMP ESCALA POSTERIOR]],tabE.Flux[COMP.AT. MOT B],tabE.Flux[LINHA],"NÃO",0,1))</f>
        <v>NÃO</v>
      </c>
      <c r="O177" s="65" t="str">
        <f>IF(AND(autocompAlmoco[[#This Row],[EXISTE MOT A POS]]="NÃO",autocompAlmoco[[#This Row],[EXISTE MOT B POS]]="NÃO"),"NÃO","SIM")</f>
        <v>NÃO</v>
      </c>
      <c r="P177" s="66" t="str" cm="1">
        <f t="array" ref="P17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77" s="103" t="str" cm="1">
        <f t="array" ref="Q17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45913+RONNE RODRIGUES DE SOUSA - 5025+GOIANIA (GO) X SAO LUIS (MA)</v>
      </c>
      <c r="R177" s="67">
        <f>_xlfn.XLOOKUP(autocompAlmoco[[#This Row],[COMP ESCALA]],tabE.Flux[COMP. ESCALA MOT B],tabE.Flux[CARRO],
(_xlfn.XLOOKUP(autocompAlmoco[[#This Row],[COMP ESCALA]],tabE.Flux[COMP. ESCALA MOT A],tabE.Flux[CARRO],"N/E",0,1)),0,1)</f>
        <v>24015</v>
      </c>
      <c r="S177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77" s="127">
        <v>45913</v>
      </c>
      <c r="U177" s="4">
        <f>IF(IFERROR(autocompAlmoco[[#This Row],[CORRESP. CARRO]],"")="NÃO",(IF(tabAlmoco[[#This Row],[MOTORISTA]]=0,"","PASSE?")),autocompAlmoco[[#This Row],[CORRESP. CARRO]])</f>
        <v>24015</v>
      </c>
      <c r="V177" s="126">
        <f>IF(OR(ISERR(autocompAlmoco[[#This Row],[CORRESP HORARIO]]), autocompAlmoco[[#This Row],[CORRESP HORARIO]]&lt;&gt;"NÃO"),autocompAlmoco[[#This Row],[CORRESP HORARIO]],"")</f>
        <v>0.79166666666666663</v>
      </c>
      <c r="W177" s="4" t="s">
        <v>299</v>
      </c>
      <c r="X177" s="1" t="s">
        <v>85</v>
      </c>
      <c r="Y177" s="1">
        <f>IF(tabAlmoco[[#This Row],[MOTORISTA]]="","",COUNTIF(autocompAlmoco[COMP ESCALA ATUAL],autocompAlmoco[[#This Row],[COMP ESCALA ATUAL]]))</f>
        <v>1</v>
      </c>
      <c r="Z177" s="105">
        <f>IF(tabAlmoco[[#This Row],[MOTORISTA]]&lt;&gt;0,15,"")</f>
        <v>15</v>
      </c>
      <c r="AA177" s="4" t="str">
        <f>autocompAlmoco[[#This Row],[CORRESP LINHA]]</f>
        <v>GOIANIA (GO) X SAO LUIS (MA)</v>
      </c>
    </row>
    <row r="178" spans="3:27" ht="15" hidden="1" customHeight="1" x14ac:dyDescent="0.25">
      <c r="C178" s="140" t="s">
        <v>226</v>
      </c>
      <c r="D178" s="56" t="str">
        <f>IF(tabAlmoco[[#This Row],[MOTORISTA]]="","",_xlfn.CONCAT(tabAlmoco[[#This Row],[DATA]],"+",tabAlmoco[[#This Row],[MOTORISTA]]))</f>
        <v>45913+KAYLSON KLEYTON DA SILVA COSTA - 6224</v>
      </c>
      <c r="E178" s="56" t="str">
        <f>_xlfn.XLOOKUP(autocompAlmoco[[#This Row],[COMP ESCALA ATUAL]],tabE.Flux[COMP.AT. MOT A],tabE.Flux[LINHA],"NÃO",0,1)</f>
        <v>NÃO</v>
      </c>
      <c r="F178" s="56" t="str">
        <f>_xlfn.XLOOKUP(autocompAlmoco[[#This Row],[COMP ESCALA ATUAL]],tabE.Flux[COMP.AT. MOT B],tabE.Flux[LINHA],"NÃO",0,1)</f>
        <v>GOIANIA (GO) X SAO LUIS (MA)</v>
      </c>
      <c r="G178" s="61" t="str">
        <f>IF(AND(autocompAlmoco[[#This Row],[EXISTE MOT A AT]]="NÃO", autocompAlmoco[[#This Row],[EXISTE MOT B AT]]="NÃO"),"NÃO","SIM")</f>
        <v>SIM</v>
      </c>
      <c r="H178" s="57" t="str">
        <f>IF(autocompAlmoco[[#This Row],[EXISTE ESCALA ATUAL]]="NÃO",_xlfn.CONCAT(tabAlmoco[[#This Row],[DATA]]-1,"+",tabAlmoco[[#This Row],[MOTORISTA]]),"NÃO")</f>
        <v>NÃO</v>
      </c>
      <c r="I178" s="57" t="str">
        <f>IF(autocompAlmoco[[#This Row],[COMP ESCALA ANTERIOR]]="NÃO","NÃO",_xlfn.XLOOKUP(autocompAlmoco[[#This Row],[COMP ESCALA ANTERIOR]],tabE.Flux[COMP.AT. MOT A],tabE.Flux[LINHA],"NÃO",0,1))</f>
        <v>NÃO</v>
      </c>
      <c r="J178" s="58" t="str">
        <f>IF(autocompAlmoco[[#This Row],[COMP ESCALA ANTERIOR]]="NÃO","NÃO",_xlfn.XLOOKUP(autocompAlmoco[[#This Row],[COMP ESCALA ANTERIOR]],tabE.Flux[COMP.AT. MOT B],tabE.Flux[LINHA],"NÃO",0,1))</f>
        <v>NÃO</v>
      </c>
      <c r="K178" s="62" t="str">
        <f>IF(AND(autocompAlmoco[[#This Row],[EXISTE MOT A ANT]]="NÃO",autocompAlmoco[[#This Row],[EXISTE MOT B ANT]]="NÃO"),"NÃO","SIM")</f>
        <v>NÃO</v>
      </c>
      <c r="L178" s="59" t="str">
        <f t="shared" si="5"/>
        <v>45914+RONNE RODRIGUES DE SOUSA - 5025</v>
      </c>
      <c r="M178" s="59" t="str">
        <f>IF(autocompAlmoco[[#This Row],[COMP ESCALA POSTERIOR]]="NÃO","NÃO",_xlfn.XLOOKUP(autocompAlmoco[[#This Row],[COMP ESCALA POSTERIOR]],tabE.Flux[COMP.AT. MOT A],tabE.Flux[LINHA],"NÃO",0,1))</f>
        <v>NÃO</v>
      </c>
      <c r="N178" s="59" t="str">
        <f>IF(autocompAlmoco[[#This Row],[COMP ESCALA POSTERIOR]]="NÃO","NÃO",_xlfn.XLOOKUP(autocompAlmoco[[#This Row],[COMP ESCALA POSTERIOR]],tabE.Flux[COMP.AT. MOT B],tabE.Flux[LINHA],"NÃO",0,1))</f>
        <v>NÃO</v>
      </c>
      <c r="O178" s="65" t="str">
        <f>IF(AND(autocompAlmoco[[#This Row],[EXISTE MOT A POS]]="NÃO",autocompAlmoco[[#This Row],[EXISTE MOT B POS]]="NÃO"),"NÃO","SIM")</f>
        <v>NÃO</v>
      </c>
      <c r="P178" s="66" t="str" cm="1">
        <f t="array" ref="P17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78" s="103" t="str" cm="1">
        <f t="array" ref="Q17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45913+KAYLSON KLEYTON DA SILVA COSTA - 6224+GOIANIA (GO) X SAO LUIS (MA)</v>
      </c>
      <c r="R178" s="67">
        <f>_xlfn.XLOOKUP(autocompAlmoco[[#This Row],[COMP ESCALA]],tabE.Flux[COMP. ESCALA MOT B],tabE.Flux[CARRO],
(_xlfn.XLOOKUP(autocompAlmoco[[#This Row],[COMP ESCALA]],tabE.Flux[COMP. ESCALA MOT A],tabE.Flux[CARRO],"N/E",0,1)),0,1)</f>
        <v>19007</v>
      </c>
      <c r="S178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78" s="127">
        <v>45913</v>
      </c>
      <c r="U178" s="131">
        <f>IF(IFERROR(autocompAlmoco[[#This Row],[CORRESP. CARRO]],"")="NÃO",(IF(tabAlmoco[[#This Row],[MOTORISTA]]=0,"","PASSE?")),autocompAlmoco[[#This Row],[CORRESP. CARRO]])</f>
        <v>19007</v>
      </c>
      <c r="V178" s="126">
        <f>IF(OR(ISERR(autocompAlmoco[[#This Row],[CORRESP HORARIO]]), autocompAlmoco[[#This Row],[CORRESP HORARIO]]&lt;&gt;"NÃO"),autocompAlmoco[[#This Row],[CORRESP HORARIO]],"")</f>
        <v>0.47013888888888888</v>
      </c>
      <c r="W178" s="4" t="s">
        <v>299</v>
      </c>
      <c r="X178" s="1" t="s">
        <v>80</v>
      </c>
      <c r="Y178" s="1">
        <f>IF(tabAlmoco[[#This Row],[MOTORISTA]]="","",COUNTIF(autocompAlmoco[COMP ESCALA ATUAL],autocompAlmoco[[#This Row],[COMP ESCALA ATUAL]]))</f>
        <v>1</v>
      </c>
      <c r="Z178" s="105">
        <f>IF(tabAlmoco[[#This Row],[MOTORISTA]]&lt;&gt;0,15,"")</f>
        <v>15</v>
      </c>
      <c r="AA178" s="131" t="str">
        <f>autocompAlmoco[[#This Row],[CORRESP LINHA]]</f>
        <v>GOIANIA (GO) X SAO LUIS (MA)</v>
      </c>
    </row>
    <row r="179" spans="3:27" ht="15" hidden="1" customHeight="1" x14ac:dyDescent="0.25">
      <c r="C179" s="140" t="s">
        <v>226</v>
      </c>
      <c r="D179" s="56" t="str">
        <f>IF(tabAlmoco[[#This Row],[MOTORISTA]]="","",_xlfn.CONCAT(tabAlmoco[[#This Row],[DATA]],"+",tabAlmoco[[#This Row],[MOTORISTA]]))</f>
        <v>45913+GILDEVAN DE ALMEIDA AGOSTINHO - 1924</v>
      </c>
      <c r="E179" s="56" t="str">
        <f>_xlfn.XLOOKUP(autocompAlmoco[[#This Row],[COMP ESCALA ATUAL]],tabE.Flux[COMP.AT. MOT A],tabE.Flux[LINHA],"NÃO",0,1)</f>
        <v>NÃO</v>
      </c>
      <c r="F179" s="56" t="str">
        <f>_xlfn.XLOOKUP(autocompAlmoco[[#This Row],[COMP ESCALA ATUAL]],tabE.Flux[COMP.AT. MOT B],tabE.Flux[LINHA],"NÃO",0,1)</f>
        <v>NÃO</v>
      </c>
      <c r="G179" s="61" t="str">
        <f>IF(AND(autocompAlmoco[[#This Row],[EXISTE MOT A AT]]="NÃO", autocompAlmoco[[#This Row],[EXISTE MOT B AT]]="NÃO"),"NÃO","SIM")</f>
        <v>NÃO</v>
      </c>
      <c r="H179" s="57" t="str">
        <f>IF(autocompAlmoco[[#This Row],[EXISTE ESCALA ATUAL]]="NÃO",_xlfn.CONCAT(tabAlmoco[[#This Row],[DATA]]-1,"+",tabAlmoco[[#This Row],[MOTORISTA]]),"NÃO")</f>
        <v>45912+GILDEVAN DE ALMEIDA AGOSTINHO - 1924</v>
      </c>
      <c r="I179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79" s="58" t="str">
        <f>IF(autocompAlmoco[[#This Row],[COMP ESCALA ANTERIOR]]="NÃO","NÃO",_xlfn.XLOOKUP(autocompAlmoco[[#This Row],[COMP ESCALA ANTERIOR]],tabE.Flux[COMP.AT. MOT B],tabE.Flux[LINHA],"NÃO",0,1))</f>
        <v>NÃO</v>
      </c>
      <c r="K179" s="62" t="str">
        <f>IF(AND(autocompAlmoco[[#This Row],[EXISTE MOT A ANT]]="NÃO",autocompAlmoco[[#This Row],[EXISTE MOT B ANT]]="NÃO"),"NÃO","SIM")</f>
        <v>SIM</v>
      </c>
      <c r="L179" s="59" t="str">
        <f t="shared" si="5"/>
        <v>45914+KAYLSON KLEYTON DA SILVA COSTA - 6224</v>
      </c>
      <c r="M179" s="59" t="str">
        <f>IF(autocompAlmoco[[#This Row],[COMP ESCALA POSTERIOR]]="NÃO","NÃO",_xlfn.XLOOKUP(autocompAlmoco[[#This Row],[COMP ESCALA POSTERIOR]],tabE.Flux[COMP.AT. MOT A],tabE.Flux[LINHA],"NÃO",0,1))</f>
        <v>NÃO</v>
      </c>
      <c r="N179" s="59" t="str">
        <f>IF(autocompAlmoco[[#This Row],[COMP ESCALA POSTERIOR]]="NÃO","NÃO",_xlfn.XLOOKUP(autocompAlmoco[[#This Row],[COMP ESCALA POSTERIOR]],tabE.Flux[COMP.AT. MOT B],tabE.Flux[LINHA],"NÃO",0,1))</f>
        <v>NÃO</v>
      </c>
      <c r="O179" s="65" t="str">
        <f>IF(AND(autocompAlmoco[[#This Row],[EXISTE MOT A POS]]="NÃO",autocompAlmoco[[#This Row],[EXISTE MOT B POS]]="NÃO"),"NÃO","SIM")</f>
        <v>NÃO</v>
      </c>
      <c r="P179" s="66" t="str" cm="1">
        <f t="array" ref="P17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79" s="103" t="str" cm="1">
        <f t="array" ref="Q17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45912+GILDEVAN DE ALMEIDA AGOSTINHO - 1924+GOIANIA (GO) X TERESINA (PI) VIA STI</v>
      </c>
      <c r="R179" s="67">
        <f>_xlfn.XLOOKUP(autocompAlmoco[[#This Row],[COMP ESCALA]],tabE.Flux[COMP. ESCALA MOT B],tabE.Flux[CARRO],
(_xlfn.XLOOKUP(autocompAlmoco[[#This Row],[COMP ESCALA]],tabE.Flux[COMP. ESCALA MOT A],tabE.Flux[CARRO],"N/E",0,1)),0,1)</f>
        <v>19002</v>
      </c>
      <c r="S179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79" s="127">
        <v>45913</v>
      </c>
      <c r="U179" s="131">
        <f>IF(IFERROR(autocompAlmoco[[#This Row],[CORRESP. CARRO]],"")="NÃO",(IF(tabAlmoco[[#This Row],[MOTORISTA]]=0,"","PASSE?")),autocompAlmoco[[#This Row],[CORRESP. CARRO]])</f>
        <v>19002</v>
      </c>
      <c r="V179" s="126">
        <f>IF(OR(ISERR(autocompAlmoco[[#This Row],[CORRESP HORARIO]]), autocompAlmoco[[#This Row],[CORRESP HORARIO]]&lt;&gt;"NÃO"),autocompAlmoco[[#This Row],[CORRESP HORARIO]],"")</f>
        <v>0.79861111111111116</v>
      </c>
      <c r="W179" s="4" t="s">
        <v>299</v>
      </c>
      <c r="X179" s="1" t="s">
        <v>236</v>
      </c>
      <c r="Y179" s="1">
        <f>IF(tabAlmoco[[#This Row],[MOTORISTA]]="","",COUNTIF(autocompAlmoco[COMP ESCALA ATUAL],autocompAlmoco[[#This Row],[COMP ESCALA ATUAL]]))</f>
        <v>1</v>
      </c>
      <c r="Z179" s="105">
        <f>IF(tabAlmoco[[#This Row],[MOTORISTA]]&lt;&gt;0,15,"")</f>
        <v>15</v>
      </c>
      <c r="AA179" s="131" t="str">
        <f>autocompAlmoco[[#This Row],[CORRESP LINHA]]</f>
        <v>GOIANIA (GO) X TERESINA (PI) VIA STI</v>
      </c>
    </row>
    <row r="180" spans="3:27" ht="15" hidden="1" customHeight="1" x14ac:dyDescent="0.25">
      <c r="C180" s="140" t="s">
        <v>226</v>
      </c>
      <c r="D180" s="56" t="str">
        <f>IF(tabAlmoco[[#This Row],[MOTORISTA]]="","",_xlfn.CONCAT(tabAlmoco[[#This Row],[DATA]],"+",tabAlmoco[[#This Row],[MOTORISTA]]))</f>
        <v>45913+  VALDEY OLIVEIRA ARAUJO- 2790</v>
      </c>
      <c r="E180" s="56" t="str">
        <f>_xlfn.XLOOKUP(autocompAlmoco[[#This Row],[COMP ESCALA ATUAL]],tabE.Flux[COMP.AT. MOT A],tabE.Flux[LINHA],"NÃO",0,1)</f>
        <v>NÃO</v>
      </c>
      <c r="F180" s="56" t="str">
        <f>_xlfn.XLOOKUP(autocompAlmoco[[#This Row],[COMP ESCALA ATUAL]],tabE.Flux[COMP.AT. MOT B],tabE.Flux[LINHA],"NÃO",0,1)</f>
        <v>NÃO</v>
      </c>
      <c r="G180" s="61" t="str">
        <f>IF(AND(autocompAlmoco[[#This Row],[EXISTE MOT A AT]]="NÃO", autocompAlmoco[[#This Row],[EXISTE MOT B AT]]="NÃO"),"NÃO","SIM")</f>
        <v>NÃO</v>
      </c>
      <c r="H180" s="57" t="str">
        <f>IF(autocompAlmoco[[#This Row],[EXISTE ESCALA ATUAL]]="NÃO",_xlfn.CONCAT(tabAlmoco[[#This Row],[DATA]]-1,"+",tabAlmoco[[#This Row],[MOTORISTA]]),"NÃO")</f>
        <v>45912+  VALDEY OLIVEIRA ARAUJO- 2790</v>
      </c>
      <c r="I180" s="57" t="str">
        <f>IF(autocompAlmoco[[#This Row],[COMP ESCALA ANTERIOR]]="NÃO","NÃO",_xlfn.XLOOKUP(autocompAlmoco[[#This Row],[COMP ESCALA ANTERIOR]],tabE.Flux[COMP.AT. MOT A],tabE.Flux[LINHA],"NÃO",0,1))</f>
        <v>GOIANIA (GO) X SAO LUIS (MA)</v>
      </c>
      <c r="J180" s="58" t="str">
        <f>IF(autocompAlmoco[[#This Row],[COMP ESCALA ANTERIOR]]="NÃO","NÃO",_xlfn.XLOOKUP(autocompAlmoco[[#This Row],[COMP ESCALA ANTERIOR]],tabE.Flux[COMP.AT. MOT B],tabE.Flux[LINHA],"NÃO",0,1))</f>
        <v>NÃO</v>
      </c>
      <c r="K180" s="62" t="str">
        <f>IF(AND(autocompAlmoco[[#This Row],[EXISTE MOT A ANT]]="NÃO",autocompAlmoco[[#This Row],[EXISTE MOT B ANT]]="NÃO"),"NÃO","SIM")</f>
        <v>SIM</v>
      </c>
      <c r="L180" s="59" t="str">
        <f t="shared" si="5"/>
        <v>45914+GILDEVAN DE ALMEIDA AGOSTINHO - 1924</v>
      </c>
      <c r="M180" s="59" t="str">
        <f>IF(autocompAlmoco[[#This Row],[COMP ESCALA POSTERIOR]]="NÃO","NÃO",_xlfn.XLOOKUP(autocompAlmoco[[#This Row],[COMP ESCALA POSTERIOR]],tabE.Flux[COMP.AT. MOT A],tabE.Flux[LINHA],"NÃO",0,1))</f>
        <v>NÃO</v>
      </c>
      <c r="N180" s="59" t="str">
        <f>IF(autocompAlmoco[[#This Row],[COMP ESCALA POSTERIOR]]="NÃO","NÃO",_xlfn.XLOOKUP(autocompAlmoco[[#This Row],[COMP ESCALA POSTERIOR]],tabE.Flux[COMP.AT. MOT B],tabE.Flux[LINHA],"NÃO",0,1))</f>
        <v>NÃO</v>
      </c>
      <c r="O180" s="65" t="str">
        <f>IF(AND(autocompAlmoco[[#This Row],[EXISTE MOT A POS]]="NÃO",autocompAlmoco[[#This Row],[EXISTE MOT B POS]]="NÃO"),"NÃO","SIM")</f>
        <v>NÃO</v>
      </c>
      <c r="P180" s="66" t="str" cm="1">
        <f t="array" ref="P18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80" s="103" t="str" cm="1">
        <f t="array" ref="Q18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45912+  VALDEY OLIVEIRA ARAUJO- 2790+GOIANIA (GO) X SAO LUIS (MA)</v>
      </c>
      <c r="R180" s="67">
        <f>_xlfn.XLOOKUP(autocompAlmoco[[#This Row],[COMP ESCALA]],tabE.Flux[COMP. ESCALA MOT B],tabE.Flux[CARRO],
(_xlfn.XLOOKUP(autocompAlmoco[[#This Row],[COMP ESCALA]],tabE.Flux[COMP. ESCALA MOT A],tabE.Flux[CARRO],"N/E",0,1)),0,1)</f>
        <v>20018</v>
      </c>
      <c r="S180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80" s="127">
        <v>45913</v>
      </c>
      <c r="U180" s="131">
        <f>IF(IFERROR(autocompAlmoco[[#This Row],[CORRESP. CARRO]],"")="NÃO",(IF(tabAlmoco[[#This Row],[MOTORISTA]]=0,"","PASSE?")),autocompAlmoco[[#This Row],[CORRESP. CARRO]])</f>
        <v>20018</v>
      </c>
      <c r="V180" s="126">
        <f>IF(OR(ISERR(autocompAlmoco[[#This Row],[CORRESP HORARIO]]), autocompAlmoco[[#This Row],[CORRESP HORARIO]]&lt;&gt;"NÃO"),autocompAlmoco[[#This Row],[CORRESP HORARIO]],"")</f>
        <v>0.47013888888888888</v>
      </c>
      <c r="W180" s="4" t="s">
        <v>299</v>
      </c>
      <c r="X180" s="1" t="s">
        <v>251</v>
      </c>
      <c r="Y180" s="1">
        <f>IF(tabAlmoco[[#This Row],[MOTORISTA]]="","",COUNTIF(autocompAlmoco[COMP ESCALA ATUAL],autocompAlmoco[[#This Row],[COMP ESCALA ATUAL]]))</f>
        <v>1</v>
      </c>
      <c r="Z180" s="105">
        <f>IF(tabAlmoco[[#This Row],[MOTORISTA]]&lt;&gt;0,15,"")</f>
        <v>15</v>
      </c>
      <c r="AA180" s="131" t="str">
        <f>autocompAlmoco[[#This Row],[CORRESP LINHA]]</f>
        <v>GOIANIA (GO) X SAO LUIS (MA)</v>
      </c>
    </row>
    <row r="181" spans="3:27" ht="15" hidden="1" customHeight="1" x14ac:dyDescent="0.25">
      <c r="C181" s="140" t="s">
        <v>226</v>
      </c>
      <c r="D181" s="56" t="str">
        <f>IF(tabAlmoco[[#This Row],[MOTORISTA]]="","",_xlfn.CONCAT(tabAlmoco[[#This Row],[DATA]],"+",tabAlmoco[[#This Row],[MOTORISTA]]))</f>
        <v>45914+MANOEL MESSIAS SILVA DOS SANTOS - 1833</v>
      </c>
      <c r="E181" s="56" t="str">
        <f>_xlfn.XLOOKUP(autocompAlmoco[[#This Row],[COMP ESCALA ATUAL]],tabE.Flux[COMP.AT. MOT A],tabE.Flux[LINHA],"NÃO",0,1)</f>
        <v>NÃO</v>
      </c>
      <c r="F181" s="56" t="str">
        <f>_xlfn.XLOOKUP(autocompAlmoco[[#This Row],[COMP ESCALA ATUAL]],tabE.Flux[COMP.AT. MOT B],tabE.Flux[LINHA],"NÃO",0,1)</f>
        <v>NÃO</v>
      </c>
      <c r="G181" s="61" t="str">
        <f>IF(AND(autocompAlmoco[[#This Row],[EXISTE MOT A AT]]="NÃO", autocompAlmoco[[#This Row],[EXISTE MOT B AT]]="NÃO"),"NÃO","SIM")</f>
        <v>NÃO</v>
      </c>
      <c r="H181" s="57" t="str">
        <f>IF(autocompAlmoco[[#This Row],[EXISTE ESCALA ATUAL]]="NÃO",_xlfn.CONCAT(tabAlmoco[[#This Row],[DATA]]-1,"+",tabAlmoco[[#This Row],[MOTORISTA]]),"NÃO")</f>
        <v>45913+MANOEL MESSIAS SILVA DOS SANTOS - 1833</v>
      </c>
      <c r="I181" s="57" t="str">
        <f>IF(autocompAlmoco[[#This Row],[COMP ESCALA ANTERIOR]]="NÃO","NÃO",_xlfn.XLOOKUP(autocompAlmoco[[#This Row],[COMP ESCALA ANTERIOR]],tabE.Flux[COMP.AT. MOT A],tabE.Flux[LINHA],"NÃO",0,1))</f>
        <v>GOIANIA (GO) X SAO LUIS (MA)</v>
      </c>
      <c r="J181" s="58" t="str">
        <f>IF(autocompAlmoco[[#This Row],[COMP ESCALA ANTERIOR]]="NÃO","NÃO",_xlfn.XLOOKUP(autocompAlmoco[[#This Row],[COMP ESCALA ANTERIOR]],tabE.Flux[COMP.AT. MOT B],tabE.Flux[LINHA],"NÃO",0,1))</f>
        <v>NÃO</v>
      </c>
      <c r="K181" s="62" t="str">
        <f>IF(AND(autocompAlmoco[[#This Row],[EXISTE MOT A ANT]]="NÃO",autocompAlmoco[[#This Row],[EXISTE MOT B ANT]]="NÃO"),"NÃO","SIM")</f>
        <v>SIM</v>
      </c>
      <c r="L181" s="59" t="str">
        <f t="shared" si="5"/>
        <v>45914+  VALDEY OLIVEIRA ARAUJO- 2790</v>
      </c>
      <c r="M181" s="59" t="str">
        <f>IF(autocompAlmoco[[#This Row],[COMP ESCALA POSTERIOR]]="NÃO","NÃO",_xlfn.XLOOKUP(autocompAlmoco[[#This Row],[COMP ESCALA POSTERIOR]],tabE.Flux[COMP.AT. MOT A],tabE.Flux[LINHA],"NÃO",0,1))</f>
        <v>NÃO</v>
      </c>
      <c r="N181" s="59" t="str">
        <f>IF(autocompAlmoco[[#This Row],[COMP ESCALA POSTERIOR]]="NÃO","NÃO",_xlfn.XLOOKUP(autocompAlmoco[[#This Row],[COMP ESCALA POSTERIOR]],tabE.Flux[COMP.AT. MOT B],tabE.Flux[LINHA],"NÃO",0,1))</f>
        <v>NÃO</v>
      </c>
      <c r="O181" s="65" t="str">
        <f>IF(AND(autocompAlmoco[[#This Row],[EXISTE MOT A POS]]="NÃO",autocompAlmoco[[#This Row],[EXISTE MOT B POS]]="NÃO"),"NÃO","SIM")</f>
        <v>NÃO</v>
      </c>
      <c r="P181" s="66" t="str" cm="1">
        <f t="array" ref="P18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81" s="103" t="str" cm="1">
        <f t="array" ref="Q18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45913+MANOEL MESSIAS SILVA DOS SANTOS - 1833+GOIANIA (GO) X SAO LUIS (MA)</v>
      </c>
      <c r="R181" s="67">
        <f>_xlfn.XLOOKUP(autocompAlmoco[[#This Row],[COMP ESCALA]],tabE.Flux[COMP. ESCALA MOT B],tabE.Flux[CARRO],
(_xlfn.XLOOKUP(autocompAlmoco[[#This Row],[COMP ESCALA]],tabE.Flux[COMP. ESCALA MOT A],tabE.Flux[CARRO],"N/E",0,1)),0,1)</f>
        <v>25008</v>
      </c>
      <c r="S181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181" s="127">
        <v>45914</v>
      </c>
      <c r="U181" s="4">
        <f>IF(IFERROR(autocompAlmoco[[#This Row],[CORRESP. CARRO]],"")="NÃO",(IF(tabAlmoco[[#This Row],[MOTORISTA]]=0,"","PASSE?")),autocompAlmoco[[#This Row],[CORRESP. CARRO]])</f>
        <v>25008</v>
      </c>
      <c r="V181" s="128">
        <f>IF(OR(ISERR(autocompAlmoco[[#This Row],[CORRESP HORARIO]]), autocompAlmoco[[#This Row],[CORRESP HORARIO]]&lt;&gt;"NÃO"),autocompAlmoco[[#This Row],[CORRESP HORARIO]],"")</f>
        <v>0.84375</v>
      </c>
      <c r="W181" s="4" t="s">
        <v>299</v>
      </c>
      <c r="X181" s="4" t="s">
        <v>173</v>
      </c>
      <c r="Y181" s="4">
        <f>IF(tabAlmoco[[#This Row],[MOTORISTA]]="","",COUNTIF(autocompAlmoco[COMP ESCALA ATUAL],autocompAlmoco[[#This Row],[COMP ESCALA ATUAL]]))</f>
        <v>1</v>
      </c>
      <c r="Z181" s="45">
        <f>IF(tabAlmoco[[#This Row],[MOTORISTA]]&lt;&gt;0,15,"")</f>
        <v>15</v>
      </c>
      <c r="AA181" s="4" t="str">
        <f>autocompAlmoco[[#This Row],[CORRESP LINHA]]</f>
        <v>GOIANIA (GO) X SAO LUIS (MA)</v>
      </c>
    </row>
    <row r="182" spans="3:27" ht="15" hidden="1" customHeight="1" x14ac:dyDescent="0.25">
      <c r="C182" s="140" t="s">
        <v>226</v>
      </c>
      <c r="D182" s="56" t="str">
        <f>IF(tabAlmoco[[#This Row],[MOTORISTA]]="","",_xlfn.CONCAT(tabAlmoco[[#This Row],[DATA]],"+",tabAlmoco[[#This Row],[MOTORISTA]]))</f>
        <v>45914+RAIMUNDO GUIMARAES ARAUJO - 1920</v>
      </c>
      <c r="E182" s="56" t="str">
        <f>_xlfn.XLOOKUP(autocompAlmoco[[#This Row],[COMP ESCALA ATUAL]],tabE.Flux[COMP.AT. MOT A],tabE.Flux[LINHA],"NÃO",0,1)</f>
        <v>NÃO</v>
      </c>
      <c r="F182" s="56" t="str">
        <f>_xlfn.XLOOKUP(autocompAlmoco[[#This Row],[COMP ESCALA ATUAL]],tabE.Flux[COMP.AT. MOT B],tabE.Flux[LINHA],"NÃO",0,1)</f>
        <v>GOIANIA (GO) X SAO LUIS (MA)</v>
      </c>
      <c r="G182" s="61" t="str">
        <f>IF(AND(autocompAlmoco[[#This Row],[EXISTE MOT A AT]]="NÃO", autocompAlmoco[[#This Row],[EXISTE MOT B AT]]="NÃO"),"NÃO","SIM")</f>
        <v>SIM</v>
      </c>
      <c r="H182" s="57" t="str">
        <f>IF(autocompAlmoco[[#This Row],[EXISTE ESCALA ATUAL]]="NÃO",_xlfn.CONCAT(tabAlmoco[[#This Row],[DATA]]-1,"+",tabAlmoco[[#This Row],[MOTORISTA]]),"NÃO")</f>
        <v>NÃO</v>
      </c>
      <c r="I182" s="57" t="str">
        <f>IF(autocompAlmoco[[#This Row],[COMP ESCALA ANTERIOR]]="NÃO","NÃO",_xlfn.XLOOKUP(autocompAlmoco[[#This Row],[COMP ESCALA ANTERIOR]],tabE.Flux[COMP.AT. MOT A],tabE.Flux[LINHA],"NÃO",0,1))</f>
        <v>NÃO</v>
      </c>
      <c r="J182" s="58" t="str">
        <f>IF(autocompAlmoco[[#This Row],[COMP ESCALA ANTERIOR]]="NÃO","NÃO",_xlfn.XLOOKUP(autocompAlmoco[[#This Row],[COMP ESCALA ANTERIOR]],tabE.Flux[COMP.AT. MOT B],tabE.Flux[LINHA],"NÃO",0,1))</f>
        <v>NÃO</v>
      </c>
      <c r="K182" s="62" t="str">
        <f>IF(AND(autocompAlmoco[[#This Row],[EXISTE MOT A ANT]]="NÃO",autocompAlmoco[[#This Row],[EXISTE MOT B ANT]]="NÃO"),"NÃO","SIM")</f>
        <v>NÃO</v>
      </c>
      <c r="L182" s="59" t="str">
        <f t="shared" si="5"/>
        <v>45915+MANOEL MESSIAS SILVA DOS SANTOS - 1833</v>
      </c>
      <c r="M182" s="59" t="str">
        <f>IF(autocompAlmoco[[#This Row],[COMP ESCALA POSTERIOR]]="NÃO","NÃO",_xlfn.XLOOKUP(autocompAlmoco[[#This Row],[COMP ESCALA POSTERIOR]],tabE.Flux[COMP.AT. MOT A],tabE.Flux[LINHA],"NÃO",0,1))</f>
        <v>NÃO</v>
      </c>
      <c r="N182" s="59" t="str">
        <f>IF(autocompAlmoco[[#This Row],[COMP ESCALA POSTERIOR]]="NÃO","NÃO",_xlfn.XLOOKUP(autocompAlmoco[[#This Row],[COMP ESCALA POSTERIOR]],tabE.Flux[COMP.AT. MOT B],tabE.Flux[LINHA],"NÃO",0,1))</f>
        <v>NÃO</v>
      </c>
      <c r="O182" s="65" t="str">
        <f>IF(AND(autocompAlmoco[[#This Row],[EXISTE MOT A POS]]="NÃO",autocompAlmoco[[#This Row],[EXISTE MOT B POS]]="NÃO"),"NÃO","SIM")</f>
        <v>NÃO</v>
      </c>
      <c r="P182" s="66" t="str" cm="1">
        <f t="array" ref="P18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82" s="103" t="str" cm="1">
        <f t="array" ref="Q18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45914+RAIMUNDO GUIMARAES ARAUJO - 1920+GOIANIA (GO) X SAO LUIS (MA)</v>
      </c>
      <c r="R182" s="67">
        <f>_xlfn.XLOOKUP(autocompAlmoco[[#This Row],[COMP ESCALA]],tabE.Flux[COMP. ESCALA MOT B],tabE.Flux[CARRO],
(_xlfn.XLOOKUP(autocompAlmoco[[#This Row],[COMP ESCALA]],tabE.Flux[COMP. ESCALA MOT A],tabE.Flux[CARRO],"N/E",0,1)),0,1)</f>
        <v>25008</v>
      </c>
      <c r="S182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82" s="127">
        <v>45914</v>
      </c>
      <c r="U182" s="4">
        <f>IF(IFERROR(autocompAlmoco[[#This Row],[CORRESP. CARRO]],"")="NÃO",(IF(tabAlmoco[[#This Row],[MOTORISTA]]=0,"","PASSE?")),autocompAlmoco[[#This Row],[CORRESP. CARRO]])</f>
        <v>25008</v>
      </c>
      <c r="V182" s="126">
        <f>IF(OR(ISERR(autocompAlmoco[[#This Row],[CORRESP HORARIO]]), autocompAlmoco[[#This Row],[CORRESP HORARIO]]&lt;&gt;"NÃO"),autocompAlmoco[[#This Row],[CORRESP HORARIO]],"")</f>
        <v>0.79166666666666663</v>
      </c>
      <c r="W182" s="4" t="s">
        <v>299</v>
      </c>
      <c r="X182" s="1" t="s">
        <v>231</v>
      </c>
      <c r="Y182" s="1">
        <f>IF(tabAlmoco[[#This Row],[MOTORISTA]]="","",COUNTIF(autocompAlmoco[COMP ESCALA ATUAL],autocompAlmoco[[#This Row],[COMP ESCALA ATUAL]]))</f>
        <v>1</v>
      </c>
      <c r="Z182" s="105">
        <f>IF(tabAlmoco[[#This Row],[MOTORISTA]]&lt;&gt;0,15,"")</f>
        <v>15</v>
      </c>
      <c r="AA182" s="4" t="str">
        <f>autocompAlmoco[[#This Row],[CORRESP LINHA]]</f>
        <v>GOIANIA (GO) X SAO LUIS (MA)</v>
      </c>
    </row>
    <row r="183" spans="3:27" ht="15" hidden="1" customHeight="1" x14ac:dyDescent="0.25">
      <c r="C183" s="140" t="s">
        <v>226</v>
      </c>
      <c r="D183" s="56" t="str">
        <f>IF(tabAlmoco[[#This Row],[MOTORISTA]]="","",_xlfn.CONCAT(tabAlmoco[[#This Row],[DATA]],"+",tabAlmoco[[#This Row],[MOTORISTA]]))</f>
        <v>45914+LUIS ANTONIO FARIAS RIBEIRO - 2789</v>
      </c>
      <c r="E183" s="56" t="str">
        <f>_xlfn.XLOOKUP(autocompAlmoco[[#This Row],[COMP ESCALA ATUAL]],tabE.Flux[COMP.AT. MOT A],tabE.Flux[LINHA],"NÃO",0,1)</f>
        <v>NÃO</v>
      </c>
      <c r="F183" s="56" t="str">
        <f>_xlfn.XLOOKUP(autocompAlmoco[[#This Row],[COMP ESCALA ATUAL]],tabE.Flux[COMP.AT. MOT B],tabE.Flux[LINHA],"NÃO",0,1)</f>
        <v>NÃO</v>
      </c>
      <c r="G183" s="61" t="str">
        <f>IF(AND(autocompAlmoco[[#This Row],[EXISTE MOT A AT]]="NÃO", autocompAlmoco[[#This Row],[EXISTE MOT B AT]]="NÃO"),"NÃO","SIM")</f>
        <v>NÃO</v>
      </c>
      <c r="H183" s="57" t="str">
        <f>IF(autocompAlmoco[[#This Row],[EXISTE ESCALA ATUAL]]="NÃO",_xlfn.CONCAT(tabAlmoco[[#This Row],[DATA]]-1,"+",tabAlmoco[[#This Row],[MOTORISTA]]),"NÃO")</f>
        <v>45913+LUIS ANTONIO FARIAS RIBEIRO - 2789</v>
      </c>
      <c r="I183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83" s="58" t="str">
        <f>IF(autocompAlmoco[[#This Row],[COMP ESCALA ANTERIOR]]="NÃO","NÃO",_xlfn.XLOOKUP(autocompAlmoco[[#This Row],[COMP ESCALA ANTERIOR]],tabE.Flux[COMP.AT. MOT B],tabE.Flux[LINHA],"NÃO",0,1))</f>
        <v>NÃO</v>
      </c>
      <c r="K183" s="62" t="str">
        <f>IF(AND(autocompAlmoco[[#This Row],[EXISTE MOT A ANT]]="NÃO",autocompAlmoco[[#This Row],[EXISTE MOT B ANT]]="NÃO"),"NÃO","SIM")</f>
        <v>SIM</v>
      </c>
      <c r="L183" s="59" t="str">
        <f t="shared" si="5"/>
        <v>45915+RAIMUNDO GUIMARAES ARAUJO - 1920</v>
      </c>
      <c r="M183" s="59" t="str">
        <f>IF(autocompAlmoco[[#This Row],[COMP ESCALA POSTERIOR]]="NÃO","NÃO",_xlfn.XLOOKUP(autocompAlmoco[[#This Row],[COMP ESCALA POSTERIOR]],tabE.Flux[COMP.AT. MOT A],tabE.Flux[LINHA],"NÃO",0,1))</f>
        <v>NÃO</v>
      </c>
      <c r="N183" s="59" t="str">
        <f>IF(autocompAlmoco[[#This Row],[COMP ESCALA POSTERIOR]]="NÃO","NÃO",_xlfn.XLOOKUP(autocompAlmoco[[#This Row],[COMP ESCALA POSTERIOR]],tabE.Flux[COMP.AT. MOT B],tabE.Flux[LINHA],"NÃO",0,1))</f>
        <v>NÃO</v>
      </c>
      <c r="O183" s="65" t="str">
        <f>IF(AND(autocompAlmoco[[#This Row],[EXISTE MOT A POS]]="NÃO",autocompAlmoco[[#This Row],[EXISTE MOT B POS]]="NÃO"),"NÃO","SIM")</f>
        <v>NÃO</v>
      </c>
      <c r="P183" s="66" t="str" cm="1">
        <f t="array" ref="P18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83" s="103" t="str" cm="1">
        <f t="array" ref="Q18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45913+LUIS ANTONIO FARIAS RIBEIRO - 2789+GOIANIA (GO) X TERESINA (PI) VIA STI</v>
      </c>
      <c r="R183" s="67">
        <f>_xlfn.XLOOKUP(autocompAlmoco[[#This Row],[COMP ESCALA]],tabE.Flux[COMP. ESCALA MOT B],tabE.Flux[CARRO],
(_xlfn.XLOOKUP(autocompAlmoco[[#This Row],[COMP ESCALA]],tabE.Flux[COMP. ESCALA MOT A],tabE.Flux[CARRO],"N/E",0,1)),0,1)</f>
        <v>19024</v>
      </c>
      <c r="S183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83" s="127">
        <v>45914</v>
      </c>
      <c r="U183" s="131">
        <f>IF(IFERROR(autocompAlmoco[[#This Row],[CORRESP. CARRO]],"")="NÃO",(IF(tabAlmoco[[#This Row],[MOTORISTA]]=0,"","PASSE?")),autocompAlmoco[[#This Row],[CORRESP. CARRO]])</f>
        <v>19024</v>
      </c>
      <c r="V183" s="126">
        <f>IF(OR(ISERR(autocompAlmoco[[#This Row],[CORRESP HORARIO]]), autocompAlmoco[[#This Row],[CORRESP HORARIO]]&lt;&gt;"NÃO"),autocompAlmoco[[#This Row],[CORRESP HORARIO]],"")</f>
        <v>0.79861111111111116</v>
      </c>
      <c r="W183" s="4" t="s">
        <v>299</v>
      </c>
      <c r="X183" s="1" t="s">
        <v>124</v>
      </c>
      <c r="Y183" s="1">
        <f>IF(tabAlmoco[[#This Row],[MOTORISTA]]="","",COUNTIF(autocompAlmoco[COMP ESCALA ATUAL],autocompAlmoco[[#This Row],[COMP ESCALA ATUAL]]))</f>
        <v>1</v>
      </c>
      <c r="Z183" s="105">
        <f>IF(tabAlmoco[[#This Row],[MOTORISTA]]&lt;&gt;0,15,"")</f>
        <v>15</v>
      </c>
      <c r="AA183" s="131" t="str">
        <f>autocompAlmoco[[#This Row],[CORRESP LINHA]]</f>
        <v>GOIANIA (GO) X TERESINA (PI) VIA STI</v>
      </c>
    </row>
    <row r="184" spans="3:27" ht="15" hidden="1" customHeight="1" x14ac:dyDescent="0.25">
      <c r="C184" s="140" t="s">
        <v>226</v>
      </c>
      <c r="D184" s="56" t="str">
        <f>IF(tabAlmoco[[#This Row],[MOTORISTA]]="","",_xlfn.CONCAT(tabAlmoco[[#This Row],[DATA]],"+",tabAlmoco[[#This Row],[MOTORISTA]]))</f>
        <v>45914+JOAO FLAVIO DE SOUSA SILVA - 5270</v>
      </c>
      <c r="E184" s="56" t="str">
        <f>_xlfn.XLOOKUP(autocompAlmoco[[#This Row],[COMP ESCALA ATUAL]],tabE.Flux[COMP.AT. MOT A],tabE.Flux[LINHA],"NÃO",0,1)</f>
        <v>NÃO</v>
      </c>
      <c r="F184" s="56" t="str">
        <f>_xlfn.XLOOKUP(autocompAlmoco[[#This Row],[COMP ESCALA ATUAL]],tabE.Flux[COMP.AT. MOT B],tabE.Flux[LINHA],"NÃO",0,1)</f>
        <v>FORTALEZA (CE) X SINOP (MT)</v>
      </c>
      <c r="G184" s="61" t="str">
        <f>IF(AND(autocompAlmoco[[#This Row],[EXISTE MOT A AT]]="NÃO", autocompAlmoco[[#This Row],[EXISTE MOT B AT]]="NÃO"),"NÃO","SIM")</f>
        <v>SIM</v>
      </c>
      <c r="H184" s="57" t="str">
        <f>IF(autocompAlmoco[[#This Row],[EXISTE ESCALA ATUAL]]="NÃO",_xlfn.CONCAT(tabAlmoco[[#This Row],[DATA]]-1,"+",tabAlmoco[[#This Row],[MOTORISTA]]),"NÃO")</f>
        <v>NÃO</v>
      </c>
      <c r="I184" s="57" t="str">
        <f>IF(autocompAlmoco[[#This Row],[COMP ESCALA ANTERIOR]]="NÃO","NÃO",_xlfn.XLOOKUP(autocompAlmoco[[#This Row],[COMP ESCALA ANTERIOR]],tabE.Flux[COMP.AT. MOT A],tabE.Flux[LINHA],"NÃO",0,1))</f>
        <v>NÃO</v>
      </c>
      <c r="J184" s="58" t="str">
        <f>IF(autocompAlmoco[[#This Row],[COMP ESCALA ANTERIOR]]="NÃO","NÃO",_xlfn.XLOOKUP(autocompAlmoco[[#This Row],[COMP ESCALA ANTERIOR]],tabE.Flux[COMP.AT. MOT B],tabE.Flux[LINHA],"NÃO",0,1))</f>
        <v>NÃO</v>
      </c>
      <c r="K184" s="62" t="str">
        <f>IF(AND(autocompAlmoco[[#This Row],[EXISTE MOT A ANT]]="NÃO",autocompAlmoco[[#This Row],[EXISTE MOT B ANT]]="NÃO"),"NÃO","SIM")</f>
        <v>NÃO</v>
      </c>
      <c r="L184" s="59" t="str">
        <f t="shared" si="5"/>
        <v>45915+LUIS ANTONIO FARIAS RIBEIRO - 2789</v>
      </c>
      <c r="M184" s="59" t="str">
        <f>IF(autocompAlmoco[[#This Row],[COMP ESCALA POSTERIOR]]="NÃO","NÃO",_xlfn.XLOOKUP(autocompAlmoco[[#This Row],[COMP ESCALA POSTERIOR]],tabE.Flux[COMP.AT. MOT A],tabE.Flux[LINHA],"NÃO",0,1))</f>
        <v>NÃO</v>
      </c>
      <c r="N184" s="59" t="str">
        <f>IF(autocompAlmoco[[#This Row],[COMP ESCALA POSTERIOR]]="NÃO","NÃO",_xlfn.XLOOKUP(autocompAlmoco[[#This Row],[COMP ESCALA POSTERIOR]],tabE.Flux[COMP.AT. MOT B],tabE.Flux[LINHA],"NÃO",0,1))</f>
        <v>NÃO</v>
      </c>
      <c r="O184" s="65" t="str">
        <f>IF(AND(autocompAlmoco[[#This Row],[EXISTE MOT A POS]]="NÃO",autocompAlmoco[[#This Row],[EXISTE MOT B POS]]="NÃO"),"NÃO","SIM")</f>
        <v>NÃO</v>
      </c>
      <c r="P184" s="66" t="str" cm="1">
        <f t="array" ref="P18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84" s="103" t="str" cm="1">
        <f t="array" ref="Q18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45914+JOAO FLAVIO DE SOUSA SILVA - 5270+FORTALEZA (CE) X SINOP (MT)</v>
      </c>
      <c r="R184" s="67">
        <f>_xlfn.XLOOKUP(autocompAlmoco[[#This Row],[COMP ESCALA]],tabE.Flux[COMP. ESCALA MOT B],tabE.Flux[CARRO],
(_xlfn.XLOOKUP(autocompAlmoco[[#This Row],[COMP ESCALA]],tabE.Flux[COMP. ESCALA MOT A],tabE.Flux[CARRO],"N/E",0,1)),0,1)</f>
        <v>19003</v>
      </c>
      <c r="S184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84" s="127">
        <v>45914</v>
      </c>
      <c r="U184" s="131">
        <f>IF(IFERROR(autocompAlmoco[[#This Row],[CORRESP. CARRO]],"")="NÃO",(IF(tabAlmoco[[#This Row],[MOTORISTA]]=0,"","PASSE?")),autocompAlmoco[[#This Row],[CORRESP. CARRO]])</f>
        <v>19003</v>
      </c>
      <c r="V184" s="126">
        <f>IF(OR(ISERR(autocompAlmoco[[#This Row],[CORRESP HORARIO]]), autocompAlmoco[[#This Row],[CORRESP HORARIO]]&lt;&gt;"NÃO"),autocompAlmoco[[#This Row],[CORRESP HORARIO]],"")</f>
        <v>0.37708333333333333</v>
      </c>
      <c r="W184" s="4" t="s">
        <v>299</v>
      </c>
      <c r="X184" s="1" t="s">
        <v>222</v>
      </c>
      <c r="Y184" s="1">
        <f>IF(tabAlmoco[[#This Row],[MOTORISTA]]="","",COUNTIF(autocompAlmoco[COMP ESCALA ATUAL],autocompAlmoco[[#This Row],[COMP ESCALA ATUAL]]))</f>
        <v>1</v>
      </c>
      <c r="Z184" s="105">
        <f>IF(tabAlmoco[[#This Row],[MOTORISTA]]&lt;&gt;0,15,"")</f>
        <v>15</v>
      </c>
      <c r="AA184" s="131" t="str">
        <f>autocompAlmoco[[#This Row],[CORRESP LINHA]]</f>
        <v>FORTALEZA (CE) X SINOP (MT)</v>
      </c>
    </row>
    <row r="185" spans="3:27" ht="15" hidden="1" customHeight="1" x14ac:dyDescent="0.25">
      <c r="C185" s="140" t="s">
        <v>226</v>
      </c>
      <c r="D185" s="56" t="str">
        <f>IF(tabAlmoco[[#This Row],[MOTORISTA]]="","",_xlfn.CONCAT(tabAlmoco[[#This Row],[DATA]],"+",tabAlmoco[[#This Row],[MOTORISTA]]))</f>
        <v>45914+RAIMUNDO COSTA SILVA - 6226</v>
      </c>
      <c r="E185" s="56" t="str">
        <f>_xlfn.XLOOKUP(autocompAlmoco[[#This Row],[COMP ESCALA ATUAL]],tabE.Flux[COMP.AT. MOT A],tabE.Flux[LINHA],"NÃO",0,1)</f>
        <v>NÃO</v>
      </c>
      <c r="F185" s="56" t="str">
        <f>_xlfn.XLOOKUP(autocompAlmoco[[#This Row],[COMP ESCALA ATUAL]],tabE.Flux[COMP.AT. MOT B],tabE.Flux[LINHA],"NÃO",0,1)</f>
        <v>GOIANIA (GO) X SAO LUIS (MA)</v>
      </c>
      <c r="G185" s="61" t="str">
        <f>IF(AND(autocompAlmoco[[#This Row],[EXISTE MOT A AT]]="NÃO", autocompAlmoco[[#This Row],[EXISTE MOT B AT]]="NÃO"),"NÃO","SIM")</f>
        <v>SIM</v>
      </c>
      <c r="H185" s="57" t="str">
        <f>IF(autocompAlmoco[[#This Row],[EXISTE ESCALA ATUAL]]="NÃO",_xlfn.CONCAT(tabAlmoco[[#This Row],[DATA]]-1,"+",tabAlmoco[[#This Row],[MOTORISTA]]),"NÃO")</f>
        <v>NÃO</v>
      </c>
      <c r="I185" s="57" t="str">
        <f>IF(autocompAlmoco[[#This Row],[COMP ESCALA ANTERIOR]]="NÃO","NÃO",_xlfn.XLOOKUP(autocompAlmoco[[#This Row],[COMP ESCALA ANTERIOR]],tabE.Flux[COMP.AT. MOT A],tabE.Flux[LINHA],"NÃO",0,1))</f>
        <v>NÃO</v>
      </c>
      <c r="J185" s="58" t="str">
        <f>IF(autocompAlmoco[[#This Row],[COMP ESCALA ANTERIOR]]="NÃO","NÃO",_xlfn.XLOOKUP(autocompAlmoco[[#This Row],[COMP ESCALA ANTERIOR]],tabE.Flux[COMP.AT. MOT B],tabE.Flux[LINHA],"NÃO",0,1))</f>
        <v>NÃO</v>
      </c>
      <c r="K185" s="62" t="str">
        <f>IF(AND(autocompAlmoco[[#This Row],[EXISTE MOT A ANT]]="NÃO",autocompAlmoco[[#This Row],[EXISTE MOT B ANT]]="NÃO"),"NÃO","SIM")</f>
        <v>NÃO</v>
      </c>
      <c r="L185" s="59" t="str">
        <f t="shared" si="5"/>
        <v>45915+JOAO FLAVIO DE SOUSA SILVA - 5270</v>
      </c>
      <c r="M185" s="59" t="str">
        <f>IF(autocompAlmoco[[#This Row],[COMP ESCALA POSTERIOR]]="NÃO","NÃO",_xlfn.XLOOKUP(autocompAlmoco[[#This Row],[COMP ESCALA POSTERIOR]],tabE.Flux[COMP.AT. MOT A],tabE.Flux[LINHA],"NÃO",0,1))</f>
        <v>NÃO</v>
      </c>
      <c r="N185" s="59" t="str">
        <f>IF(autocompAlmoco[[#This Row],[COMP ESCALA POSTERIOR]]="NÃO","NÃO",_xlfn.XLOOKUP(autocompAlmoco[[#This Row],[COMP ESCALA POSTERIOR]],tabE.Flux[COMP.AT. MOT B],tabE.Flux[LINHA],"NÃO",0,1))</f>
        <v>NÃO</v>
      </c>
      <c r="O185" s="65" t="str">
        <f>IF(AND(autocompAlmoco[[#This Row],[EXISTE MOT A POS]]="NÃO",autocompAlmoco[[#This Row],[EXISTE MOT B POS]]="NÃO"),"NÃO","SIM")</f>
        <v>NÃO</v>
      </c>
      <c r="P185" s="66" t="str" cm="1">
        <f t="array" ref="P18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85" s="103" t="str" cm="1">
        <f t="array" ref="Q18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45914+RAIMUNDO COSTA SILVA - 6226+GOIANIA (GO) X SAO LUIS (MA)</v>
      </c>
      <c r="R185" s="67">
        <f>_xlfn.XLOOKUP(autocompAlmoco[[#This Row],[COMP ESCALA]],tabE.Flux[COMP. ESCALA MOT B],tabE.Flux[CARRO],
(_xlfn.XLOOKUP(autocompAlmoco[[#This Row],[COMP ESCALA]],tabE.Flux[COMP. ESCALA MOT A],tabE.Flux[CARRO],"N/E",0,1)),0,1)</f>
        <v>17300</v>
      </c>
      <c r="S185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85" s="127">
        <v>45914</v>
      </c>
      <c r="U185" s="131">
        <f>IF(IFERROR(autocompAlmoco[[#This Row],[CORRESP. CARRO]],"")="NÃO",(IF(tabAlmoco[[#This Row],[MOTORISTA]]=0,"","PASSE?")),autocompAlmoco[[#This Row],[CORRESP. CARRO]])</f>
        <v>17300</v>
      </c>
      <c r="V185" s="126">
        <f>IF(OR(ISERR(autocompAlmoco[[#This Row],[CORRESP HORARIO]]), autocompAlmoco[[#This Row],[CORRESP HORARIO]]&lt;&gt;"NÃO"),autocompAlmoco[[#This Row],[CORRESP HORARIO]],"")</f>
        <v>0.47013888888888888</v>
      </c>
      <c r="W185" s="4" t="s">
        <v>299</v>
      </c>
      <c r="X185" s="1" t="s">
        <v>45</v>
      </c>
      <c r="Y185" s="1">
        <f>IF(tabAlmoco[[#This Row],[MOTORISTA]]="","",COUNTIF(autocompAlmoco[COMP ESCALA ATUAL],autocompAlmoco[[#This Row],[COMP ESCALA ATUAL]]))</f>
        <v>1</v>
      </c>
      <c r="Z185" s="105">
        <f>IF(tabAlmoco[[#This Row],[MOTORISTA]]&lt;&gt;0,15,"")</f>
        <v>15</v>
      </c>
      <c r="AA185" s="131" t="str">
        <f>autocompAlmoco[[#This Row],[CORRESP LINHA]]</f>
        <v>GOIANIA (GO) X SAO LUIS (MA)</v>
      </c>
    </row>
    <row r="186" spans="3:27" ht="15" hidden="1" customHeight="1" x14ac:dyDescent="0.25">
      <c r="C186" s="140" t="s">
        <v>226</v>
      </c>
      <c r="D186" s="56" t="str">
        <f>IF(tabAlmoco[[#This Row],[MOTORISTA]]="","",_xlfn.CONCAT(tabAlmoco[[#This Row],[DATA]],"+",tabAlmoco[[#This Row],[MOTORISTA]]))</f>
        <v>45914+EDIVALDO DE ARAUJO - 6217</v>
      </c>
      <c r="E186" s="56" t="str">
        <f>_xlfn.XLOOKUP(autocompAlmoco[[#This Row],[COMP ESCALA ATUAL]],tabE.Flux[COMP.AT. MOT A],tabE.Flux[LINHA],"NÃO",0,1)</f>
        <v>NÃO</v>
      </c>
      <c r="F186" s="56" t="str">
        <f>_xlfn.XLOOKUP(autocompAlmoco[[#This Row],[COMP ESCALA ATUAL]],tabE.Flux[COMP.AT. MOT B],tabE.Flux[LINHA],"NÃO",0,1)</f>
        <v>GOIANIA (GO) X SAO LUIS (MA)</v>
      </c>
      <c r="G186" s="61" t="str">
        <f>IF(AND(autocompAlmoco[[#This Row],[EXISTE MOT A AT]]="NÃO", autocompAlmoco[[#This Row],[EXISTE MOT B AT]]="NÃO"),"NÃO","SIM")</f>
        <v>SIM</v>
      </c>
      <c r="H186" s="57" t="str">
        <f>IF(autocompAlmoco[[#This Row],[EXISTE ESCALA ATUAL]]="NÃO",_xlfn.CONCAT(tabAlmoco[[#This Row],[DATA]]-1,"+",tabAlmoco[[#This Row],[MOTORISTA]]),"NÃO")</f>
        <v>NÃO</v>
      </c>
      <c r="I186" s="57" t="str">
        <f>IF(autocompAlmoco[[#This Row],[COMP ESCALA ANTERIOR]]="NÃO","NÃO",_xlfn.XLOOKUP(autocompAlmoco[[#This Row],[COMP ESCALA ANTERIOR]],tabE.Flux[COMP.AT. MOT A],tabE.Flux[LINHA],"NÃO",0,1))</f>
        <v>NÃO</v>
      </c>
      <c r="J186" s="58" t="str">
        <f>IF(autocompAlmoco[[#This Row],[COMP ESCALA ANTERIOR]]="NÃO","NÃO",_xlfn.XLOOKUP(autocompAlmoco[[#This Row],[COMP ESCALA ANTERIOR]],tabE.Flux[COMP.AT. MOT B],tabE.Flux[LINHA],"NÃO",0,1))</f>
        <v>NÃO</v>
      </c>
      <c r="K186" s="62" t="str">
        <f>IF(AND(autocompAlmoco[[#This Row],[EXISTE MOT A ANT]]="NÃO",autocompAlmoco[[#This Row],[EXISTE MOT B ANT]]="NÃO"),"NÃO","SIM")</f>
        <v>NÃO</v>
      </c>
      <c r="L186" s="59" t="str">
        <f t="shared" si="5"/>
        <v>45915+RAIMUNDO COSTA SILVA - 6226</v>
      </c>
      <c r="M186" s="59" t="str">
        <f>IF(autocompAlmoco[[#This Row],[COMP ESCALA POSTERIOR]]="NÃO","NÃO",_xlfn.XLOOKUP(autocompAlmoco[[#This Row],[COMP ESCALA POSTERIOR]],tabE.Flux[COMP.AT. MOT A],tabE.Flux[LINHA],"NÃO",0,1))</f>
        <v>NÃO</v>
      </c>
      <c r="N186" s="59" t="str">
        <f>IF(autocompAlmoco[[#This Row],[COMP ESCALA POSTERIOR]]="NÃO","NÃO",_xlfn.XLOOKUP(autocompAlmoco[[#This Row],[COMP ESCALA POSTERIOR]],tabE.Flux[COMP.AT. MOT B],tabE.Flux[LINHA],"NÃO",0,1))</f>
        <v>NÃO</v>
      </c>
      <c r="O186" s="65" t="str">
        <f>IF(AND(autocompAlmoco[[#This Row],[EXISTE MOT A POS]]="NÃO",autocompAlmoco[[#This Row],[EXISTE MOT B POS]]="NÃO"),"NÃO","SIM")</f>
        <v>NÃO</v>
      </c>
      <c r="P186" s="66" t="str" cm="1">
        <f t="array" ref="P18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86" s="103" t="str" cm="1">
        <f t="array" ref="Q18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45914+EDIVALDO DE ARAUJO - 6217+GOIANIA (GO) X SAO LUIS (MA)</v>
      </c>
      <c r="R186" s="67">
        <f>_xlfn.XLOOKUP(autocompAlmoco[[#This Row],[COMP ESCALA]],tabE.Flux[COMP. ESCALA MOT B],tabE.Flux[CARRO],
(_xlfn.XLOOKUP(autocompAlmoco[[#This Row],[COMP ESCALA]],tabE.Flux[COMP. ESCALA MOT A],tabE.Flux[CARRO],"N/E",0,1)),0,1)</f>
        <v>24011</v>
      </c>
      <c r="S186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186" s="127">
        <v>45914</v>
      </c>
      <c r="U186" s="131">
        <f>IF(IFERROR(autocompAlmoco[[#This Row],[CORRESP. CARRO]],"")="NÃO",(IF(tabAlmoco[[#This Row],[MOTORISTA]]=0,"","PASSE?")),autocompAlmoco[[#This Row],[CORRESP. CARRO]])</f>
        <v>24011</v>
      </c>
      <c r="V186" s="126">
        <f>IF(OR(ISERR(autocompAlmoco[[#This Row],[CORRESP HORARIO]]), autocompAlmoco[[#This Row],[CORRESP HORARIO]]&lt;&gt;"NÃO"),autocompAlmoco[[#This Row],[CORRESP HORARIO]],"")</f>
        <v>0.84375</v>
      </c>
      <c r="W186" s="4" t="s">
        <v>299</v>
      </c>
      <c r="X186" s="1" t="s">
        <v>55</v>
      </c>
      <c r="Y186" s="1">
        <f>IF(tabAlmoco[[#This Row],[MOTORISTA]]="","",COUNTIF(autocompAlmoco[COMP ESCALA ATUAL],autocompAlmoco[[#This Row],[COMP ESCALA ATUAL]]))</f>
        <v>1</v>
      </c>
      <c r="Z186" s="105">
        <f>IF(tabAlmoco[[#This Row],[MOTORISTA]]&lt;&gt;0,15,"")</f>
        <v>15</v>
      </c>
      <c r="AA186" s="131" t="str">
        <f>autocompAlmoco[[#This Row],[CORRESP LINHA]]</f>
        <v>GOIANIA (GO) X SAO LUIS (MA)</v>
      </c>
    </row>
    <row r="187" spans="3:27" ht="15" hidden="1" customHeight="1" x14ac:dyDescent="0.25">
      <c r="C187" s="140" t="s">
        <v>226</v>
      </c>
      <c r="D187" s="56" t="str">
        <f>IF(tabAlmoco[[#This Row],[MOTORISTA]]="","",_xlfn.CONCAT(tabAlmoco[[#This Row],[DATA]],"+",tabAlmoco[[#This Row],[MOTORISTA]]))</f>
        <v>45915+LUIZ CARLOS MARIANO SIQUEIRA - 5634</v>
      </c>
      <c r="E187" s="56" t="str">
        <f>_xlfn.XLOOKUP(autocompAlmoco[[#This Row],[COMP ESCALA ATUAL]],tabE.Flux[COMP.AT. MOT A],tabE.Flux[LINHA],"NÃO",0,1)</f>
        <v>NÃO</v>
      </c>
      <c r="F187" s="56" t="str">
        <f>_xlfn.XLOOKUP(autocompAlmoco[[#This Row],[COMP ESCALA ATUAL]],tabE.Flux[COMP.AT. MOT B],tabE.Flux[LINHA],"NÃO",0,1)</f>
        <v>GOIANIA (GO) X SAO LUIS (MA)</v>
      </c>
      <c r="G187" s="61" t="str">
        <f>IF(AND(autocompAlmoco[[#This Row],[EXISTE MOT A AT]]="NÃO", autocompAlmoco[[#This Row],[EXISTE MOT B AT]]="NÃO"),"NÃO","SIM")</f>
        <v>SIM</v>
      </c>
      <c r="H187" s="57" t="str">
        <f>IF(autocompAlmoco[[#This Row],[EXISTE ESCALA ATUAL]]="NÃO",_xlfn.CONCAT(tabAlmoco[[#This Row],[DATA]]-1,"+",tabAlmoco[[#This Row],[MOTORISTA]]),"NÃO")</f>
        <v>NÃO</v>
      </c>
      <c r="I187" s="57" t="str">
        <f>IF(autocompAlmoco[[#This Row],[COMP ESCALA ANTERIOR]]="NÃO","NÃO",_xlfn.XLOOKUP(autocompAlmoco[[#This Row],[COMP ESCALA ANTERIOR]],tabE.Flux[COMP.AT. MOT A],tabE.Flux[LINHA],"NÃO",0,1))</f>
        <v>NÃO</v>
      </c>
      <c r="J187" s="58" t="str">
        <f>IF(autocompAlmoco[[#This Row],[COMP ESCALA ANTERIOR]]="NÃO","NÃO",_xlfn.XLOOKUP(autocompAlmoco[[#This Row],[COMP ESCALA ANTERIOR]],tabE.Flux[COMP.AT. MOT B],tabE.Flux[LINHA],"NÃO",0,1))</f>
        <v>NÃO</v>
      </c>
      <c r="K187" s="62" t="str">
        <f>IF(AND(autocompAlmoco[[#This Row],[EXISTE MOT A ANT]]="NÃO",autocompAlmoco[[#This Row],[EXISTE MOT B ANT]]="NÃO"),"NÃO","SIM")</f>
        <v>NÃO</v>
      </c>
      <c r="L187" s="59" t="str">
        <f t="shared" ref="L187:L199" si="6">_xlfn.CONCAT(T187+1,"+",X187)</f>
        <v>45916+LUIZ CARLOS MARIANO SIQUEIRA - 5634</v>
      </c>
      <c r="M187" s="59" t="str">
        <f>IF(autocompAlmoco[[#This Row],[COMP ESCALA POSTERIOR]]="NÃO","NÃO",_xlfn.XLOOKUP(autocompAlmoco[[#This Row],[COMP ESCALA POSTERIOR]],tabE.Flux[COMP.AT. MOT A],tabE.Flux[LINHA],"NÃO",0,1))</f>
        <v>NÃO</v>
      </c>
      <c r="N187" s="59" t="str">
        <f>IF(autocompAlmoco[[#This Row],[COMP ESCALA POSTERIOR]]="NÃO","NÃO",_xlfn.XLOOKUP(autocompAlmoco[[#This Row],[COMP ESCALA POSTERIOR]],tabE.Flux[COMP.AT. MOT B],tabE.Flux[LINHA],"NÃO",0,1))</f>
        <v>NÃO</v>
      </c>
      <c r="O187" s="65" t="str">
        <f>IF(AND(autocompAlmoco[[#This Row],[EXISTE MOT A POS]]="NÃO",autocompAlmoco[[#This Row],[EXISTE MOT B POS]]="NÃO"),"NÃO","SIM")</f>
        <v>NÃO</v>
      </c>
      <c r="P187" s="66" t="str" cm="1">
        <f t="array" ref="P18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87" s="103" t="str" cm="1">
        <f t="array" ref="Q18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45915+LUIZ CARLOS MARIANO SIQUEIRA - 5634+GOIANIA (GO) X SAO LUIS (MA)</v>
      </c>
      <c r="R187" s="67">
        <f>_xlfn.XLOOKUP(autocompAlmoco[[#This Row],[COMP ESCALA]],tabE.Flux[COMP. ESCALA MOT B],tabE.Flux[CARRO],
(_xlfn.XLOOKUP(autocompAlmoco[[#This Row],[COMP ESCALA]],tabE.Flux[COMP. ESCALA MOT A],tabE.Flux[CARRO],"N/E",0,1)),0,1)</f>
        <v>19007</v>
      </c>
      <c r="S187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87" s="127">
        <v>45915</v>
      </c>
      <c r="U187" s="4">
        <f>IF(IFERROR(autocompAlmoco[[#This Row],[CORRESP. CARRO]],"")="NÃO",(IF(tabAlmoco[[#This Row],[MOTORISTA]]=0,"","PASSE?")),autocompAlmoco[[#This Row],[CORRESP. CARRO]])</f>
        <v>19007</v>
      </c>
      <c r="V187" s="128">
        <f>IF(OR(ISERR(autocompAlmoco[[#This Row],[CORRESP HORARIO]]), autocompAlmoco[[#This Row],[CORRESP HORARIO]]&lt;&gt;"NÃO"),autocompAlmoco[[#This Row],[CORRESP HORARIO]],"")</f>
        <v>0.29166666666666669</v>
      </c>
      <c r="W187" s="4" t="s">
        <v>299</v>
      </c>
      <c r="X187" s="4" t="s">
        <v>51</v>
      </c>
      <c r="Y187" s="4">
        <f>IF(tabAlmoco[[#This Row],[MOTORISTA]]="","",COUNTIF(autocompAlmoco[COMP ESCALA ATUAL],autocompAlmoco[[#This Row],[COMP ESCALA ATUAL]]))</f>
        <v>1</v>
      </c>
      <c r="Z187" s="45">
        <f>IF(tabAlmoco[[#This Row],[MOTORISTA]]&lt;&gt;0,15,"")</f>
        <v>15</v>
      </c>
      <c r="AA187" s="4" t="str">
        <f>autocompAlmoco[[#This Row],[CORRESP LINHA]]</f>
        <v>GOIANIA (GO) X SAO LUIS (MA)</v>
      </c>
    </row>
    <row r="188" spans="3:27" ht="15" hidden="1" customHeight="1" x14ac:dyDescent="0.25">
      <c r="C188" s="140" t="s">
        <v>226</v>
      </c>
      <c r="D188" s="56" t="str">
        <f>IF(tabAlmoco[[#This Row],[MOTORISTA]]="","",_xlfn.CONCAT(tabAlmoco[[#This Row],[DATA]],"+",tabAlmoco[[#This Row],[MOTORISTA]]))</f>
        <v>45915+ESIEL COSTA RODRIGUES - 1749</v>
      </c>
      <c r="E188" s="56" t="str">
        <f>_xlfn.XLOOKUP(autocompAlmoco[[#This Row],[COMP ESCALA ATUAL]],tabE.Flux[COMP.AT. MOT A],tabE.Flux[LINHA],"NÃO",0,1)</f>
        <v>NÃO</v>
      </c>
      <c r="F188" s="56" t="str">
        <f>_xlfn.XLOOKUP(autocompAlmoco[[#This Row],[COMP ESCALA ATUAL]],tabE.Flux[COMP.AT. MOT B],tabE.Flux[LINHA],"NÃO",0,1)</f>
        <v>NÃO</v>
      </c>
      <c r="G188" s="61" t="str">
        <f>IF(AND(autocompAlmoco[[#This Row],[EXISTE MOT A AT]]="NÃO", autocompAlmoco[[#This Row],[EXISTE MOT B AT]]="NÃO"),"NÃO","SIM")</f>
        <v>NÃO</v>
      </c>
      <c r="H188" s="57" t="str">
        <f>IF(autocompAlmoco[[#This Row],[EXISTE ESCALA ATUAL]]="NÃO",_xlfn.CONCAT(tabAlmoco[[#This Row],[DATA]]-1,"+",tabAlmoco[[#This Row],[MOTORISTA]]),"NÃO")</f>
        <v>45914+ESIEL COSTA RODRIGUES - 1749</v>
      </c>
      <c r="I188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188" s="58" t="str">
        <f>IF(autocompAlmoco[[#This Row],[COMP ESCALA ANTERIOR]]="NÃO","NÃO",_xlfn.XLOOKUP(autocompAlmoco[[#This Row],[COMP ESCALA ANTERIOR]],tabE.Flux[COMP.AT. MOT B],tabE.Flux[LINHA],"NÃO",0,1))</f>
        <v>NÃO</v>
      </c>
      <c r="K188" s="62" t="str">
        <f>IF(AND(autocompAlmoco[[#This Row],[EXISTE MOT A ANT]]="NÃO",autocompAlmoco[[#This Row],[EXISTE MOT B ANT]]="NÃO"),"NÃO","SIM")</f>
        <v>SIM</v>
      </c>
      <c r="L188" s="59" t="str">
        <f t="shared" si="6"/>
        <v>45916+ESIEL COSTA RODRIGUES - 1749</v>
      </c>
      <c r="M188" s="59" t="str">
        <f>IF(autocompAlmoco[[#This Row],[COMP ESCALA POSTERIOR]]="NÃO","NÃO",_xlfn.XLOOKUP(autocompAlmoco[[#This Row],[COMP ESCALA POSTERIOR]],tabE.Flux[COMP.AT. MOT A],tabE.Flux[LINHA],"NÃO",0,1))</f>
        <v>NÃO</v>
      </c>
      <c r="N188" s="59" t="str">
        <f>IF(autocompAlmoco[[#This Row],[COMP ESCALA POSTERIOR]]="NÃO","NÃO",_xlfn.XLOOKUP(autocompAlmoco[[#This Row],[COMP ESCALA POSTERIOR]],tabE.Flux[COMP.AT. MOT B],tabE.Flux[LINHA],"NÃO",0,1))</f>
        <v>NÃO</v>
      </c>
      <c r="O188" s="65" t="str">
        <f>IF(AND(autocompAlmoco[[#This Row],[EXISTE MOT A POS]]="NÃO",autocompAlmoco[[#This Row],[EXISTE MOT B POS]]="NÃO"),"NÃO","SIM")</f>
        <v>NÃO</v>
      </c>
      <c r="P188" s="66" t="str" cm="1">
        <f t="array" ref="P18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88" s="103" t="str" cm="1">
        <f t="array" ref="Q18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45914+ESIEL COSTA RODRIGUES - 1749+FORTALEZA (CE) X SINOP (MT)</v>
      </c>
      <c r="R188" s="67">
        <f>_xlfn.XLOOKUP(autocompAlmoco[[#This Row],[COMP ESCALA]],tabE.Flux[COMP. ESCALA MOT B],tabE.Flux[CARRO],
(_xlfn.XLOOKUP(autocompAlmoco[[#This Row],[COMP ESCALA]],tabE.Flux[COMP. ESCALA MOT A],tabE.Flux[CARRO],"N/E",0,1)),0,1)</f>
        <v>19003</v>
      </c>
      <c r="S188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88" s="127">
        <v>45915</v>
      </c>
      <c r="U188" s="4">
        <f>IF(IFERROR(autocompAlmoco[[#This Row],[CORRESP. CARRO]],"")="NÃO",(IF(tabAlmoco[[#This Row],[MOTORISTA]]=0,"","PASSE?")),autocompAlmoco[[#This Row],[CORRESP. CARRO]])</f>
        <v>19003</v>
      </c>
      <c r="V188" s="128">
        <f>IF(OR(ISERR(autocompAlmoco[[#This Row],[CORRESP HORARIO]]), autocompAlmoco[[#This Row],[CORRESP HORARIO]]&lt;&gt;"NÃO"),autocompAlmoco[[#This Row],[CORRESP HORARIO]],"")</f>
        <v>0.37708333333333333</v>
      </c>
      <c r="W188" s="4" t="s">
        <v>299</v>
      </c>
      <c r="X188" s="4" t="s">
        <v>46</v>
      </c>
      <c r="Y188" s="4">
        <f>IF(tabAlmoco[[#This Row],[MOTORISTA]]="","",COUNTIF(autocompAlmoco[COMP ESCALA ATUAL],autocompAlmoco[[#This Row],[COMP ESCALA ATUAL]]))</f>
        <v>1</v>
      </c>
      <c r="Z188" s="45">
        <f>IF(tabAlmoco[[#This Row],[MOTORISTA]]&lt;&gt;0,15,"")</f>
        <v>15</v>
      </c>
      <c r="AA188" s="4" t="str">
        <f>autocompAlmoco[[#This Row],[CORRESP LINHA]]</f>
        <v>FORTALEZA (CE) X SINOP (MT)</v>
      </c>
    </row>
    <row r="189" spans="3:27" ht="15" hidden="1" customHeight="1" x14ac:dyDescent="0.25">
      <c r="C189" s="140" t="s">
        <v>226</v>
      </c>
      <c r="D189" s="56" t="str">
        <f>IF(tabAlmoco[[#This Row],[MOTORISTA]]="","",_xlfn.CONCAT(tabAlmoco[[#This Row],[DATA]],"+",tabAlmoco[[#This Row],[MOTORISTA]]))</f>
        <v>45915+LAUCEANDO DA SILVA ROCHA - 6220</v>
      </c>
      <c r="E189" s="56" t="str">
        <f>_xlfn.XLOOKUP(autocompAlmoco[[#This Row],[COMP ESCALA ATUAL]],tabE.Flux[COMP.AT. MOT A],tabE.Flux[LINHA],"NÃO",0,1)</f>
        <v>NÃO</v>
      </c>
      <c r="F189" s="56" t="str">
        <f>_xlfn.XLOOKUP(autocompAlmoco[[#This Row],[COMP ESCALA ATUAL]],tabE.Flux[COMP.AT. MOT B],tabE.Flux[LINHA],"NÃO",0,1)</f>
        <v>GOIANIA (GO) X SAO LUIS (MA)</v>
      </c>
      <c r="G189" s="61" t="str">
        <f>IF(AND(autocompAlmoco[[#This Row],[EXISTE MOT A AT]]="NÃO", autocompAlmoco[[#This Row],[EXISTE MOT B AT]]="NÃO"),"NÃO","SIM")</f>
        <v>SIM</v>
      </c>
      <c r="H189" s="57" t="str">
        <f>IF(autocompAlmoco[[#This Row],[EXISTE ESCALA ATUAL]]="NÃO",_xlfn.CONCAT(tabAlmoco[[#This Row],[DATA]]-1,"+",tabAlmoco[[#This Row],[MOTORISTA]]),"NÃO")</f>
        <v>NÃO</v>
      </c>
      <c r="I189" s="57" t="str">
        <f>IF(autocompAlmoco[[#This Row],[COMP ESCALA ANTERIOR]]="NÃO","NÃO",_xlfn.XLOOKUP(autocompAlmoco[[#This Row],[COMP ESCALA ANTERIOR]],tabE.Flux[COMP.AT. MOT A],tabE.Flux[LINHA],"NÃO",0,1))</f>
        <v>NÃO</v>
      </c>
      <c r="J189" s="58" t="str">
        <f>IF(autocompAlmoco[[#This Row],[COMP ESCALA ANTERIOR]]="NÃO","NÃO",_xlfn.XLOOKUP(autocompAlmoco[[#This Row],[COMP ESCALA ANTERIOR]],tabE.Flux[COMP.AT. MOT B],tabE.Flux[LINHA],"NÃO",0,1))</f>
        <v>NÃO</v>
      </c>
      <c r="K189" s="62" t="str">
        <f>IF(AND(autocompAlmoco[[#This Row],[EXISTE MOT A ANT]]="NÃO",autocompAlmoco[[#This Row],[EXISTE MOT B ANT]]="NÃO"),"NÃO","SIM")</f>
        <v>NÃO</v>
      </c>
      <c r="L189" s="59" t="str">
        <f t="shared" si="6"/>
        <v>45916+LAUCEANDO DA SILVA ROCHA - 6220</v>
      </c>
      <c r="M189" s="59" t="str">
        <f>IF(autocompAlmoco[[#This Row],[COMP ESCALA POSTERIOR]]="NÃO","NÃO",_xlfn.XLOOKUP(autocompAlmoco[[#This Row],[COMP ESCALA POSTERIOR]],tabE.Flux[COMP.AT. MOT A],tabE.Flux[LINHA],"NÃO",0,1))</f>
        <v>NÃO</v>
      </c>
      <c r="N189" s="59" t="str">
        <f>IF(autocompAlmoco[[#This Row],[COMP ESCALA POSTERIOR]]="NÃO","NÃO",_xlfn.XLOOKUP(autocompAlmoco[[#This Row],[COMP ESCALA POSTERIOR]],tabE.Flux[COMP.AT. MOT B],tabE.Flux[LINHA],"NÃO",0,1))</f>
        <v>NÃO</v>
      </c>
      <c r="O189" s="65" t="str">
        <f>IF(AND(autocompAlmoco[[#This Row],[EXISTE MOT A POS]]="NÃO",autocompAlmoco[[#This Row],[EXISTE MOT B POS]]="NÃO"),"NÃO","SIM")</f>
        <v>NÃO</v>
      </c>
      <c r="P189" s="66" t="str" cm="1">
        <f t="array" ref="P18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89" s="103" t="str" cm="1">
        <f t="array" ref="Q18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45915+LAUCEANDO DA SILVA ROCHA - 6220+GOIANIA (GO) X SAO LUIS (MA)</v>
      </c>
      <c r="R189" s="67">
        <f>_xlfn.XLOOKUP(autocompAlmoco[[#This Row],[COMP ESCALA]],tabE.Flux[COMP. ESCALA MOT B],tabE.Flux[CARRO],
(_xlfn.XLOOKUP(autocompAlmoco[[#This Row],[COMP ESCALA]],tabE.Flux[COMP. ESCALA MOT A],tabE.Flux[CARRO],"N/E",0,1)),0,1)</f>
        <v>19017</v>
      </c>
      <c r="S189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89" s="127">
        <v>45915</v>
      </c>
      <c r="U189" s="4">
        <f>IF(IFERROR(autocompAlmoco[[#This Row],[CORRESP. CARRO]],"")="NÃO",(IF(tabAlmoco[[#This Row],[MOTORISTA]]=0,"","PASSE?")),autocompAlmoco[[#This Row],[CORRESP. CARRO]])</f>
        <v>19017</v>
      </c>
      <c r="V189" s="128">
        <f>IF(OR(ISERR(autocompAlmoco[[#This Row],[CORRESP HORARIO]]), autocompAlmoco[[#This Row],[CORRESP HORARIO]]&lt;&gt;"NÃO"),autocompAlmoco[[#This Row],[CORRESP HORARIO]],"")</f>
        <v>0.47013888888888888</v>
      </c>
      <c r="W189" s="4" t="s">
        <v>299</v>
      </c>
      <c r="X189" s="4" t="s">
        <v>86</v>
      </c>
      <c r="Y189" s="4">
        <f>IF(tabAlmoco[[#This Row],[MOTORISTA]]="","",COUNTIF(autocompAlmoco[COMP ESCALA ATUAL],autocompAlmoco[[#This Row],[COMP ESCALA ATUAL]]))</f>
        <v>1</v>
      </c>
      <c r="Z189" s="45">
        <f>IF(tabAlmoco[[#This Row],[MOTORISTA]]&lt;&gt;0,15,"")</f>
        <v>15</v>
      </c>
      <c r="AA189" s="4" t="str">
        <f>autocompAlmoco[[#This Row],[CORRESP LINHA]]</f>
        <v>GOIANIA (GO) X SAO LUIS (MA)</v>
      </c>
    </row>
    <row r="190" spans="3:27" ht="15" hidden="1" customHeight="1" x14ac:dyDescent="0.25">
      <c r="C190" s="140" t="s">
        <v>226</v>
      </c>
      <c r="D190" s="56" t="str">
        <f>IF(tabAlmoco[[#This Row],[MOTORISTA]]="","",_xlfn.CONCAT(tabAlmoco[[#This Row],[DATA]],"+",tabAlmoco[[#This Row],[MOTORISTA]]))</f>
        <v>45915+  KLEBSON ALVES FREIRES- 3060</v>
      </c>
      <c r="E190" s="56" t="str">
        <f>_xlfn.XLOOKUP(autocompAlmoco[[#This Row],[COMP ESCALA ATUAL]],tabE.Flux[COMP.AT. MOT A],tabE.Flux[LINHA],"NÃO",0,1)</f>
        <v>NÃO</v>
      </c>
      <c r="F190" s="56" t="str">
        <f>_xlfn.XLOOKUP(autocompAlmoco[[#This Row],[COMP ESCALA ATUAL]],tabE.Flux[COMP.AT. MOT B],tabE.Flux[LINHA],"NÃO",0,1)</f>
        <v>NÃO</v>
      </c>
      <c r="G190" s="61" t="str">
        <f>IF(AND(autocompAlmoco[[#This Row],[EXISTE MOT A AT]]="NÃO", autocompAlmoco[[#This Row],[EXISTE MOT B AT]]="NÃO"),"NÃO","SIM")</f>
        <v>NÃO</v>
      </c>
      <c r="H190" s="57" t="str">
        <f>IF(autocompAlmoco[[#This Row],[EXISTE ESCALA ATUAL]]="NÃO",_xlfn.CONCAT(tabAlmoco[[#This Row],[DATA]]-1,"+",tabAlmoco[[#This Row],[MOTORISTA]]),"NÃO")</f>
        <v>45914+  KLEBSON ALVES FREIRES- 3060</v>
      </c>
      <c r="I190" s="57" t="str">
        <f>IF(autocompAlmoco[[#This Row],[COMP ESCALA ANTERIOR]]="NÃO","NÃO",_xlfn.XLOOKUP(autocompAlmoco[[#This Row],[COMP ESCALA ANTERIOR]],tabE.Flux[COMP.AT. MOT A],tabE.Flux[LINHA],"NÃO",0,1))</f>
        <v>GOIANIA (GO) X SAO LUIS (MA)</v>
      </c>
      <c r="J190" s="58" t="str">
        <f>IF(autocompAlmoco[[#This Row],[COMP ESCALA ANTERIOR]]="NÃO","NÃO",_xlfn.XLOOKUP(autocompAlmoco[[#This Row],[COMP ESCALA ANTERIOR]],tabE.Flux[COMP.AT. MOT B],tabE.Flux[LINHA],"NÃO",0,1))</f>
        <v>NÃO</v>
      </c>
      <c r="K190" s="62" t="str">
        <f>IF(AND(autocompAlmoco[[#This Row],[EXISTE MOT A ANT]]="NÃO",autocompAlmoco[[#This Row],[EXISTE MOT B ANT]]="NÃO"),"NÃO","SIM")</f>
        <v>SIM</v>
      </c>
      <c r="L190" s="59" t="str">
        <f t="shared" si="6"/>
        <v>45916+  KLEBSON ALVES FREIRES- 3060</v>
      </c>
      <c r="M190" s="59" t="str">
        <f>IF(autocompAlmoco[[#This Row],[COMP ESCALA POSTERIOR]]="NÃO","NÃO",_xlfn.XLOOKUP(autocompAlmoco[[#This Row],[COMP ESCALA POSTERIOR]],tabE.Flux[COMP.AT. MOT A],tabE.Flux[LINHA],"NÃO",0,1))</f>
        <v>NÃO</v>
      </c>
      <c r="N190" s="59" t="str">
        <f>IF(autocompAlmoco[[#This Row],[COMP ESCALA POSTERIOR]]="NÃO","NÃO",_xlfn.XLOOKUP(autocompAlmoco[[#This Row],[COMP ESCALA POSTERIOR]],tabE.Flux[COMP.AT. MOT B],tabE.Flux[LINHA],"NÃO",0,1))</f>
        <v>NÃO</v>
      </c>
      <c r="O190" s="65" t="str">
        <f>IF(AND(autocompAlmoco[[#This Row],[EXISTE MOT A POS]]="NÃO",autocompAlmoco[[#This Row],[EXISTE MOT B POS]]="NÃO"),"NÃO","SIM")</f>
        <v>NÃO</v>
      </c>
      <c r="P190" s="66" t="str" cm="1">
        <f t="array" ref="P19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90" s="103" t="str" cm="1">
        <f t="array" ref="Q19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45914+  KLEBSON ALVES FREIRES- 3060+GOIANIA (GO) X SAO LUIS (MA)</v>
      </c>
      <c r="R190" s="67">
        <f>_xlfn.XLOOKUP(autocompAlmoco[[#This Row],[COMP ESCALA]],tabE.Flux[COMP. ESCALA MOT B],tabE.Flux[CARRO],
(_xlfn.XLOOKUP(autocompAlmoco[[#This Row],[COMP ESCALA]],tabE.Flux[COMP. ESCALA MOT A],tabE.Flux[CARRO],"N/E",0,1)),0,1)</f>
        <v>24011</v>
      </c>
      <c r="S190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190" s="127">
        <v>45915</v>
      </c>
      <c r="U190" s="4">
        <f>IF(IFERROR(autocompAlmoco[[#This Row],[CORRESP. CARRO]],"")="NÃO",(IF(tabAlmoco[[#This Row],[MOTORISTA]]=0,"","PASSE?")),autocompAlmoco[[#This Row],[CORRESP. CARRO]])</f>
        <v>24011</v>
      </c>
      <c r="V190" s="128">
        <f>IF(OR(ISERR(autocompAlmoco[[#This Row],[CORRESP HORARIO]]), autocompAlmoco[[#This Row],[CORRESP HORARIO]]&lt;&gt;"NÃO"),autocompAlmoco[[#This Row],[CORRESP HORARIO]],"")</f>
        <v>0.84375</v>
      </c>
      <c r="W190" s="4" t="s">
        <v>299</v>
      </c>
      <c r="X190" s="4" t="s">
        <v>217</v>
      </c>
      <c r="Y190" s="4">
        <f>IF(tabAlmoco[[#This Row],[MOTORISTA]]="","",COUNTIF(autocompAlmoco[COMP ESCALA ATUAL],autocompAlmoco[[#This Row],[COMP ESCALA ATUAL]]))</f>
        <v>1</v>
      </c>
      <c r="Z190" s="45">
        <f>IF(tabAlmoco[[#This Row],[MOTORISTA]]&lt;&gt;0,15,"")</f>
        <v>15</v>
      </c>
      <c r="AA190" s="4" t="str">
        <f>autocompAlmoco[[#This Row],[CORRESP LINHA]]</f>
        <v>GOIANIA (GO) X SAO LUIS (MA)</v>
      </c>
    </row>
    <row r="191" spans="3:27" ht="15" hidden="1" customHeight="1" x14ac:dyDescent="0.25">
      <c r="C191" s="140" t="s">
        <v>226</v>
      </c>
      <c r="D191" s="56" t="str">
        <f>IF(tabAlmoco[[#This Row],[MOTORISTA]]="","",_xlfn.CONCAT(tabAlmoco[[#This Row],[DATA]],"+",tabAlmoco[[#This Row],[MOTORISTA]]))</f>
        <v>45915+MARCIO DE SOUSA BRASILEIRO - 5828</v>
      </c>
      <c r="E191" s="56" t="str">
        <f>_xlfn.XLOOKUP(autocompAlmoco[[#This Row],[COMP ESCALA ATUAL]],tabE.Flux[COMP.AT. MOT A],tabE.Flux[LINHA],"NÃO",0,1)</f>
        <v>NÃO</v>
      </c>
      <c r="F191" s="56" t="str">
        <f>_xlfn.XLOOKUP(autocompAlmoco[[#This Row],[COMP ESCALA ATUAL]],tabE.Flux[COMP.AT. MOT B],tabE.Flux[LINHA],"NÃO",0,1)</f>
        <v>FORTALEZA (CE) X SINOP (MT)</v>
      </c>
      <c r="G191" s="61" t="str">
        <f>IF(AND(autocompAlmoco[[#This Row],[EXISTE MOT A AT]]="NÃO", autocompAlmoco[[#This Row],[EXISTE MOT B AT]]="NÃO"),"NÃO","SIM")</f>
        <v>SIM</v>
      </c>
      <c r="H191" s="57" t="str">
        <f>IF(autocompAlmoco[[#This Row],[EXISTE ESCALA ATUAL]]="NÃO",_xlfn.CONCAT(tabAlmoco[[#This Row],[DATA]]-1,"+",tabAlmoco[[#This Row],[MOTORISTA]]),"NÃO")</f>
        <v>NÃO</v>
      </c>
      <c r="I191" s="57" t="str">
        <f>IF(autocompAlmoco[[#This Row],[COMP ESCALA ANTERIOR]]="NÃO","NÃO",_xlfn.XLOOKUP(autocompAlmoco[[#This Row],[COMP ESCALA ANTERIOR]],tabE.Flux[COMP.AT. MOT A],tabE.Flux[LINHA],"NÃO",0,1))</f>
        <v>NÃO</v>
      </c>
      <c r="J191" s="58" t="str">
        <f>IF(autocompAlmoco[[#This Row],[COMP ESCALA ANTERIOR]]="NÃO","NÃO",_xlfn.XLOOKUP(autocompAlmoco[[#This Row],[COMP ESCALA ANTERIOR]],tabE.Flux[COMP.AT. MOT B],tabE.Flux[LINHA],"NÃO",0,1))</f>
        <v>NÃO</v>
      </c>
      <c r="K191" s="62" t="str">
        <f>IF(AND(autocompAlmoco[[#This Row],[EXISTE MOT A ANT]]="NÃO",autocompAlmoco[[#This Row],[EXISTE MOT B ANT]]="NÃO"),"NÃO","SIM")</f>
        <v>NÃO</v>
      </c>
      <c r="L191" s="59" t="str">
        <f t="shared" si="6"/>
        <v>45916+MARCIO DE SOUSA BRASILEIRO - 5828</v>
      </c>
      <c r="M191" s="59" t="str">
        <f>IF(autocompAlmoco[[#This Row],[COMP ESCALA POSTERIOR]]="NÃO","NÃO",_xlfn.XLOOKUP(autocompAlmoco[[#This Row],[COMP ESCALA POSTERIOR]],tabE.Flux[COMP.AT. MOT A],tabE.Flux[LINHA],"NÃO",0,1))</f>
        <v>NÃO</v>
      </c>
      <c r="N191" s="59" t="str">
        <f>IF(autocompAlmoco[[#This Row],[COMP ESCALA POSTERIOR]]="NÃO","NÃO",_xlfn.XLOOKUP(autocompAlmoco[[#This Row],[COMP ESCALA POSTERIOR]],tabE.Flux[COMP.AT. MOT B],tabE.Flux[LINHA],"NÃO",0,1))</f>
        <v>NÃO</v>
      </c>
      <c r="O191" s="65" t="str">
        <f>IF(AND(autocompAlmoco[[#This Row],[EXISTE MOT A POS]]="NÃO",autocompAlmoco[[#This Row],[EXISTE MOT B POS]]="NÃO"),"NÃO","SIM")</f>
        <v>NÃO</v>
      </c>
      <c r="P191" s="66" t="str" cm="1">
        <f t="array" ref="P19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191" s="103" t="str" cm="1">
        <f t="array" ref="Q19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45915+MARCIO DE SOUSA BRASILEIRO - 5828+FORTALEZA (CE) X SINOP (MT)</v>
      </c>
      <c r="R191" s="67">
        <f>_xlfn.XLOOKUP(autocompAlmoco[[#This Row],[COMP ESCALA]],tabE.Flux[COMP. ESCALA MOT B],tabE.Flux[CARRO],
(_xlfn.XLOOKUP(autocompAlmoco[[#This Row],[COMP ESCALA]],tabE.Flux[COMP. ESCALA MOT A],tabE.Flux[CARRO],"N/E",0,1)),0,1)</f>
        <v>19016</v>
      </c>
      <c r="S191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191" s="127">
        <v>45915</v>
      </c>
      <c r="U191" s="4">
        <f>IF(IFERROR(autocompAlmoco[[#This Row],[CORRESP. CARRO]],"")="NÃO",(IF(tabAlmoco[[#This Row],[MOTORISTA]]=0,"","PASSE?")),autocompAlmoco[[#This Row],[CORRESP. CARRO]])</f>
        <v>19016</v>
      </c>
      <c r="V191" s="128">
        <f>IF(OR(ISERR(autocompAlmoco[[#This Row],[CORRESP HORARIO]]), autocompAlmoco[[#This Row],[CORRESP HORARIO]]&lt;&gt;"NÃO"),autocompAlmoco[[#This Row],[CORRESP HORARIO]],"")</f>
        <v>0.37708333333333333</v>
      </c>
      <c r="W191" s="4" t="s">
        <v>299</v>
      </c>
      <c r="X191" s="4" t="s">
        <v>129</v>
      </c>
      <c r="Y191" s="4">
        <f>IF(tabAlmoco[[#This Row],[MOTORISTA]]="","",COUNTIF(autocompAlmoco[COMP ESCALA ATUAL],autocompAlmoco[[#This Row],[COMP ESCALA ATUAL]]))</f>
        <v>1</v>
      </c>
      <c r="Z191" s="45">
        <f>IF(tabAlmoco[[#This Row],[MOTORISTA]]&lt;&gt;0,15,"")</f>
        <v>15</v>
      </c>
      <c r="AA191" s="4" t="str">
        <f>autocompAlmoco[[#This Row],[CORRESP LINHA]]</f>
        <v>FORTALEZA (CE) X SINOP (MT)</v>
      </c>
    </row>
    <row r="192" spans="3:27" ht="15" hidden="1" customHeight="1" x14ac:dyDescent="0.25">
      <c r="C192" s="140" t="s">
        <v>226</v>
      </c>
      <c r="D192" s="56" t="str">
        <f>IF(tabAlmoco[[#This Row],[MOTORISTA]]="","",_xlfn.CONCAT(tabAlmoco[[#This Row],[DATA]],"+",tabAlmoco[[#This Row],[MOTORISTA]]))</f>
        <v>45915+REGINALDO DE SOUSA OLIVEIRA - 5412</v>
      </c>
      <c r="E192" s="56" t="str">
        <f>_xlfn.XLOOKUP(autocompAlmoco[[#This Row],[COMP ESCALA ATUAL]],tabE.Flux[COMP.AT. MOT A],tabE.Flux[LINHA],"NÃO",0,1)</f>
        <v>NÃO</v>
      </c>
      <c r="F192" s="56" t="str">
        <f>_xlfn.XLOOKUP(autocompAlmoco[[#This Row],[COMP ESCALA ATUAL]],tabE.Flux[COMP.AT. MOT B],tabE.Flux[LINHA],"NÃO",0,1)</f>
        <v>NÃO</v>
      </c>
      <c r="G192" s="61" t="str">
        <f>IF(AND(autocompAlmoco[[#This Row],[EXISTE MOT A AT]]="NÃO", autocompAlmoco[[#This Row],[EXISTE MOT B AT]]="NÃO"),"NÃO","SIM")</f>
        <v>NÃO</v>
      </c>
      <c r="H192" s="57" t="str">
        <f>IF(autocompAlmoco[[#This Row],[EXISTE ESCALA ATUAL]]="NÃO",_xlfn.CONCAT(tabAlmoco[[#This Row],[DATA]]-1,"+",tabAlmoco[[#This Row],[MOTORISTA]]),"NÃO")</f>
        <v>45914+REGINALDO DE SOUSA OLIVEIRA - 5412</v>
      </c>
      <c r="I192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92" s="58" t="str">
        <f>IF(autocompAlmoco[[#This Row],[COMP ESCALA ANTERIOR]]="NÃO","NÃO",_xlfn.XLOOKUP(autocompAlmoco[[#This Row],[COMP ESCALA ANTERIOR]],tabE.Flux[COMP.AT. MOT B],tabE.Flux[LINHA],"NÃO",0,1))</f>
        <v>NÃO</v>
      </c>
      <c r="K192" s="62" t="str">
        <f>IF(AND(autocompAlmoco[[#This Row],[EXISTE MOT A ANT]]="NÃO",autocompAlmoco[[#This Row],[EXISTE MOT B ANT]]="NÃO"),"NÃO","SIM")</f>
        <v>SIM</v>
      </c>
      <c r="L192" s="59" t="str">
        <f t="shared" si="6"/>
        <v>45916+REGINALDO DE SOUSA OLIVEIRA - 5412</v>
      </c>
      <c r="M192" s="59" t="str">
        <f>IF(autocompAlmoco[[#This Row],[COMP ESCALA POSTERIOR]]="NÃO","NÃO",_xlfn.XLOOKUP(autocompAlmoco[[#This Row],[COMP ESCALA POSTERIOR]],tabE.Flux[COMP.AT. MOT A],tabE.Flux[LINHA],"NÃO",0,1))</f>
        <v>NÃO</v>
      </c>
      <c r="N192" s="59" t="str">
        <f>IF(autocompAlmoco[[#This Row],[COMP ESCALA POSTERIOR]]="NÃO","NÃO",_xlfn.XLOOKUP(autocompAlmoco[[#This Row],[COMP ESCALA POSTERIOR]],tabE.Flux[COMP.AT. MOT B],tabE.Flux[LINHA],"NÃO",0,1))</f>
        <v>NÃO</v>
      </c>
      <c r="O192" s="65" t="str">
        <f>IF(AND(autocompAlmoco[[#This Row],[EXISTE MOT A POS]]="NÃO",autocompAlmoco[[#This Row],[EXISTE MOT B POS]]="NÃO"),"NÃO","SIM")</f>
        <v>NÃO</v>
      </c>
      <c r="P192" s="66" t="str" cm="1">
        <f t="array" ref="P19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92" s="103" t="str" cm="1">
        <f t="array" ref="Q19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45914+REGINALDO DE SOUSA OLIVEIRA - 5412+GOIANIA (GO) X TERESINA (PI) VIA STI</v>
      </c>
      <c r="R192" s="67">
        <f>_xlfn.XLOOKUP(autocompAlmoco[[#This Row],[COMP ESCALA]],tabE.Flux[COMP. ESCALA MOT B],tabE.Flux[CARRO],
(_xlfn.XLOOKUP(autocompAlmoco[[#This Row],[COMP ESCALA]],tabE.Flux[COMP. ESCALA MOT A],tabE.Flux[CARRO],"N/E",0,1)),0,1)</f>
        <v>19019</v>
      </c>
      <c r="S192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92" s="127">
        <v>45915</v>
      </c>
      <c r="U192" s="4">
        <f>IF(IFERROR(autocompAlmoco[[#This Row],[CORRESP. CARRO]],"")="NÃO",(IF(tabAlmoco[[#This Row],[MOTORISTA]]=0,"","PASSE?")),autocompAlmoco[[#This Row],[CORRESP. CARRO]])</f>
        <v>19019</v>
      </c>
      <c r="V192" s="128">
        <f>IF(OR(ISERR(autocompAlmoco[[#This Row],[CORRESP HORARIO]]), autocompAlmoco[[#This Row],[CORRESP HORARIO]]&lt;&gt;"NÃO"),autocompAlmoco[[#This Row],[CORRESP HORARIO]],"")</f>
        <v>0.79861111111111116</v>
      </c>
      <c r="W192" s="4" t="s">
        <v>299</v>
      </c>
      <c r="X192" s="4" t="s">
        <v>239</v>
      </c>
      <c r="Y192" s="4">
        <f>IF(tabAlmoco[[#This Row],[MOTORISTA]]="","",COUNTIF(autocompAlmoco[COMP ESCALA ATUAL],autocompAlmoco[[#This Row],[COMP ESCALA ATUAL]]))</f>
        <v>1</v>
      </c>
      <c r="Z192" s="45">
        <f>IF(tabAlmoco[[#This Row],[MOTORISTA]]&lt;&gt;0,15,"")</f>
        <v>15</v>
      </c>
      <c r="AA192" s="4" t="str">
        <f>autocompAlmoco[[#This Row],[CORRESP LINHA]]</f>
        <v>GOIANIA (GO) X TERESINA (PI) VIA STI</v>
      </c>
    </row>
    <row r="193" spans="2:28" ht="15" hidden="1" customHeight="1" x14ac:dyDescent="0.25">
      <c r="C193" s="140" t="s">
        <v>226</v>
      </c>
      <c r="D193" s="56" t="str">
        <f>IF(tabAlmoco[[#This Row],[MOTORISTA]]="","",_xlfn.CONCAT(tabAlmoco[[#This Row],[DATA]],"+",tabAlmoco[[#This Row],[MOTORISTA]]))</f>
        <v>45915+DANYLSON BATISTA SANTANA - 5829</v>
      </c>
      <c r="E193" s="56" t="str">
        <f>_xlfn.XLOOKUP(autocompAlmoco[[#This Row],[COMP ESCALA ATUAL]],tabE.Flux[COMP.AT. MOT A],tabE.Flux[LINHA],"NÃO",0,1)</f>
        <v>NÃO</v>
      </c>
      <c r="F193" s="56" t="str">
        <f>_xlfn.XLOOKUP(autocompAlmoco[[#This Row],[COMP ESCALA ATUAL]],tabE.Flux[COMP.AT. MOT B],tabE.Flux[LINHA],"NÃO",0,1)</f>
        <v>NÃO</v>
      </c>
      <c r="G193" s="61" t="str">
        <f>IF(AND(autocompAlmoco[[#This Row],[EXISTE MOT A AT]]="NÃO", autocompAlmoco[[#This Row],[EXISTE MOT B AT]]="NÃO"),"NÃO","SIM")</f>
        <v>NÃO</v>
      </c>
      <c r="H193" s="57" t="str">
        <f>IF(autocompAlmoco[[#This Row],[EXISTE ESCALA ATUAL]]="NÃO",_xlfn.CONCAT(tabAlmoco[[#This Row],[DATA]]-1,"+",tabAlmoco[[#This Row],[MOTORISTA]]),"NÃO")</f>
        <v>45914+DANYLSON BATISTA SANTANA - 5829</v>
      </c>
      <c r="I193" s="57" t="str">
        <f>IF(autocompAlmoco[[#This Row],[COMP ESCALA ANTERIOR]]="NÃO","NÃO",_xlfn.XLOOKUP(autocompAlmoco[[#This Row],[COMP ESCALA ANTERIOR]],tabE.Flux[COMP.AT. MOT A],tabE.Flux[LINHA],"NÃO",0,1))</f>
        <v>NÃO</v>
      </c>
      <c r="J193" s="58" t="str">
        <f>IF(autocompAlmoco[[#This Row],[COMP ESCALA ANTERIOR]]="NÃO","NÃO",_xlfn.XLOOKUP(autocompAlmoco[[#This Row],[COMP ESCALA ANTERIOR]],tabE.Flux[COMP.AT. MOT B],tabE.Flux[LINHA],"NÃO",0,1))</f>
        <v>NÃO</v>
      </c>
      <c r="K193" s="62" t="str">
        <f>IF(AND(autocompAlmoco[[#This Row],[EXISTE MOT A ANT]]="NÃO",autocompAlmoco[[#This Row],[EXISTE MOT B ANT]]="NÃO"),"NÃO","SIM")</f>
        <v>NÃO</v>
      </c>
      <c r="L193" s="59" t="str">
        <f t="shared" si="6"/>
        <v>45916+DANYLSON BATISTA SANTANA - 5829</v>
      </c>
      <c r="M193" s="59" t="str">
        <f>IF(autocompAlmoco[[#This Row],[COMP ESCALA POSTERIOR]]="NÃO","NÃO",_xlfn.XLOOKUP(autocompAlmoco[[#This Row],[COMP ESCALA POSTERIOR]],tabE.Flux[COMP.AT. MOT A],tabE.Flux[LINHA],"NÃO",0,1))</f>
        <v>NÃO</v>
      </c>
      <c r="N193" s="59" t="str">
        <f>IF(autocompAlmoco[[#This Row],[COMP ESCALA POSTERIOR]]="NÃO","NÃO",_xlfn.XLOOKUP(autocompAlmoco[[#This Row],[COMP ESCALA POSTERIOR]],tabE.Flux[COMP.AT. MOT B],tabE.Flux[LINHA],"NÃO",0,1))</f>
        <v>GOIANIA (GO) X TERESINA (PI) VIA STI</v>
      </c>
      <c r="O193" s="65" t="str">
        <f>IF(AND(autocompAlmoco[[#This Row],[EXISTE MOT A POS]]="NÃO",autocompAlmoco[[#This Row],[EXISTE MOT B POS]]="NÃO"),"NÃO","SIM")</f>
        <v>SIM</v>
      </c>
      <c r="P193" s="66" t="str" cm="1">
        <f t="array" ref="P19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93" s="103" t="str" cm="1">
        <f t="array" ref="Q19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45916+DANYLSON BATISTA SANTANA - 5829+GOIANIA (GO) X TERESINA (PI) VIA STI</v>
      </c>
      <c r="R193" s="67">
        <f>_xlfn.XLOOKUP(autocompAlmoco[[#This Row],[COMP ESCALA]],tabE.Flux[COMP. ESCALA MOT B],tabE.Flux[CARRO],
(_xlfn.XLOOKUP(autocompAlmoco[[#This Row],[COMP ESCALA]],tabE.Flux[COMP. ESCALA MOT A],tabE.Flux[CARRO],"N/E",0,1)),0,1)</f>
        <v>20014</v>
      </c>
      <c r="S193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93" s="127">
        <v>45915</v>
      </c>
      <c r="U193" s="4">
        <f>IF(IFERROR(autocompAlmoco[[#This Row],[CORRESP. CARRO]],"")="NÃO",(IF(tabAlmoco[[#This Row],[MOTORISTA]]=0,"","PASSE?")),autocompAlmoco[[#This Row],[CORRESP. CARRO]])</f>
        <v>20014</v>
      </c>
      <c r="V193" s="128">
        <f>IF(OR(ISERR(autocompAlmoco[[#This Row],[CORRESP HORARIO]]), autocompAlmoco[[#This Row],[CORRESP HORARIO]]&lt;&gt;"NÃO"),autocompAlmoco[[#This Row],[CORRESP HORARIO]],"")</f>
        <v>0.79861111111111116</v>
      </c>
      <c r="W193" s="4" t="s">
        <v>299</v>
      </c>
      <c r="X193" s="4" t="s">
        <v>60</v>
      </c>
      <c r="Y193" s="4">
        <f>IF(tabAlmoco[[#This Row],[MOTORISTA]]="","",COUNTIF(autocompAlmoco[COMP ESCALA ATUAL],autocompAlmoco[[#This Row],[COMP ESCALA ATUAL]]))</f>
        <v>1</v>
      </c>
      <c r="Z193" s="45">
        <f>IF(tabAlmoco[[#This Row],[MOTORISTA]]&lt;&gt;0,15,"")</f>
        <v>15</v>
      </c>
      <c r="AA193" s="4" t="str">
        <f>autocompAlmoco[[#This Row],[CORRESP LINHA]]</f>
        <v>GOIANIA (GO) X TERESINA (PI) VIA STI</v>
      </c>
    </row>
    <row r="194" spans="2:28" ht="15" customHeight="1" x14ac:dyDescent="0.25">
      <c r="C194" s="140" t="s">
        <v>226</v>
      </c>
      <c r="D194" s="56" t="str">
        <f>IF(tabAlmoco[[#This Row],[MOTORISTA]]="","",_xlfn.CONCAT(tabAlmoco[[#This Row],[DATA]],"+",tabAlmoco[[#This Row],[MOTORISTA]]))</f>
        <v>45931+ANDSON WAGNER NASCIMENTO SOUZA - 2902</v>
      </c>
      <c r="E194" s="56" t="str">
        <f>_xlfn.XLOOKUP(autocompAlmoco[[#This Row],[COMP ESCALA ATUAL]],tabE.Flux[COMP.AT. MOT A],tabE.Flux[LINHA],"NÃO",0,1)</f>
        <v>NÃO</v>
      </c>
      <c r="F194" s="56" t="str">
        <f>_xlfn.XLOOKUP(autocompAlmoco[[#This Row],[COMP ESCALA ATUAL]],tabE.Flux[COMP.AT. MOT B],tabE.Flux[LINHA],"NÃO",0,1)</f>
        <v>GOIANIA (GO) X SAO LUIS (MA)</v>
      </c>
      <c r="G194" s="61" t="str">
        <f>IF(AND(autocompAlmoco[[#This Row],[EXISTE MOT A AT]]="NÃO", autocompAlmoco[[#This Row],[EXISTE MOT B AT]]="NÃO"),"NÃO","SIM")</f>
        <v>SIM</v>
      </c>
      <c r="H194" s="57" t="str">
        <f>IF(autocompAlmoco[[#This Row],[EXISTE ESCALA ATUAL]]="NÃO",_xlfn.CONCAT(tabAlmoco[[#This Row],[DATA]]-1,"+",tabAlmoco[[#This Row],[MOTORISTA]]),"NÃO")</f>
        <v>NÃO</v>
      </c>
      <c r="I194" s="57" t="str">
        <f>IF(autocompAlmoco[[#This Row],[COMP ESCALA ANTERIOR]]="NÃO","NÃO",_xlfn.XLOOKUP(autocompAlmoco[[#This Row],[COMP ESCALA ANTERIOR]],tabE.Flux[COMP.AT. MOT A],tabE.Flux[LINHA],"NÃO",0,1))</f>
        <v>NÃO</v>
      </c>
      <c r="J194" s="58" t="str">
        <f>IF(autocompAlmoco[[#This Row],[COMP ESCALA ANTERIOR]]="NÃO","NÃO",_xlfn.XLOOKUP(autocompAlmoco[[#This Row],[COMP ESCALA ANTERIOR]],tabE.Flux[COMP.AT. MOT B],tabE.Flux[LINHA],"NÃO",0,1))</f>
        <v>NÃO</v>
      </c>
      <c r="K194" s="62" t="str">
        <f>IF(AND(autocompAlmoco[[#This Row],[EXISTE MOT A ANT]]="NÃO",autocompAlmoco[[#This Row],[EXISTE MOT B ANT]]="NÃO"),"NÃO","SIM")</f>
        <v>NÃO</v>
      </c>
      <c r="L194" s="59" t="str">
        <f t="shared" si="6"/>
        <v>45932+ANDSON WAGNER NASCIMENTO SOUZA - 2902</v>
      </c>
      <c r="M194" s="59" t="str">
        <f>IF(autocompAlmoco[[#This Row],[COMP ESCALA POSTERIOR]]="NÃO","NÃO",_xlfn.XLOOKUP(autocompAlmoco[[#This Row],[COMP ESCALA POSTERIOR]],tabE.Flux[COMP.AT. MOT A],tabE.Flux[LINHA],"NÃO",0,1))</f>
        <v>NÃO</v>
      </c>
      <c r="N194" s="59" t="str">
        <f>IF(autocompAlmoco[[#This Row],[COMP ESCALA POSTERIOR]]="NÃO","NÃO",_xlfn.XLOOKUP(autocompAlmoco[[#This Row],[COMP ESCALA POSTERIOR]],tabE.Flux[COMP.AT. MOT B],tabE.Flux[LINHA],"NÃO",0,1))</f>
        <v>NÃO</v>
      </c>
      <c r="O194" s="65" t="str">
        <f>IF(AND(autocompAlmoco[[#This Row],[EXISTE MOT A POS]]="NÃO",autocompAlmoco[[#This Row],[EXISTE MOT B POS]]="NÃO"),"NÃO","SIM")</f>
        <v>NÃO</v>
      </c>
      <c r="P194" s="66" t="str" cm="1">
        <f t="array" ref="P19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94" s="103" t="str" cm="1">
        <f t="array" ref="Q19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45931+ANDSON WAGNER NASCIMENTO SOUZA - 2902+GOIANIA (GO) X SAO LUIS (MA)</v>
      </c>
      <c r="R194" s="67">
        <f>_xlfn.XLOOKUP(autocompAlmoco[[#This Row],[COMP ESCALA]],tabE.Flux[COMP. ESCALA MOT B],tabE.Flux[CARRO],
(_xlfn.XLOOKUP(autocompAlmoco[[#This Row],[COMP ESCALA]],tabE.Flux[COMP. ESCALA MOT A],tabE.Flux[CARRO],"N/E",0,1)),0,1)</f>
        <v>19009</v>
      </c>
      <c r="S194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194" s="127">
        <v>45931</v>
      </c>
      <c r="U194" s="4">
        <f>IF(IFERROR(autocompAlmoco[[#This Row],[CORRESP. CARRO]],"")="NÃO",(IF(tabAlmoco[[#This Row],[MOTORISTA]]=0,"","PASSE?")),autocompAlmoco[[#This Row],[CORRESP. CARRO]])</f>
        <v>19009</v>
      </c>
      <c r="V194" s="128">
        <f>IF(OR(ISERR(autocompAlmoco[[#This Row],[CORRESP HORARIO]]), autocompAlmoco[[#This Row],[CORRESP HORARIO]]&lt;&gt;"NÃO"),autocompAlmoco[[#This Row],[CORRESP HORARIO]],"")</f>
        <v>0.29166666666666669</v>
      </c>
      <c r="W194" s="4" t="s">
        <v>299</v>
      </c>
      <c r="X194" s="4" t="s">
        <v>232</v>
      </c>
      <c r="Y194" s="4">
        <f>IF(tabAlmoco[[#This Row],[MOTORISTA]]="","",COUNTIF(autocompAlmoco[COMP ESCALA ATUAL],autocompAlmoco[[#This Row],[COMP ESCALA ATUAL]]))</f>
        <v>1</v>
      </c>
      <c r="Z194" s="45">
        <f>IF(tabAlmoco[[#This Row],[MOTORISTA]]&lt;&gt;0,15,"")</f>
        <v>15</v>
      </c>
      <c r="AA194" s="4" t="str">
        <f>autocompAlmoco[[#This Row],[CORRESP LINHA]]</f>
        <v>GOIANIA (GO) X SAO LUIS (MA)</v>
      </c>
    </row>
    <row r="195" spans="2:28" ht="15" customHeight="1" x14ac:dyDescent="0.25">
      <c r="C195" s="140" t="s">
        <v>226</v>
      </c>
      <c r="D195" s="56" t="str">
        <f>IF(tabAlmoco[[#This Row],[MOTORISTA]]="","",_xlfn.CONCAT(tabAlmoco[[#This Row],[DATA]],"+",tabAlmoco[[#This Row],[MOTORISTA]]))</f>
        <v>45931+GILDEVAN DE ALMEIDA AGOSTINHO - 1924</v>
      </c>
      <c r="E195" s="56" t="str">
        <f>_xlfn.XLOOKUP(autocompAlmoco[[#This Row],[COMP ESCALA ATUAL]],tabE.Flux[COMP.AT. MOT A],tabE.Flux[LINHA],"NÃO",0,1)</f>
        <v>NÃO</v>
      </c>
      <c r="F195" s="56" t="str">
        <f>_xlfn.XLOOKUP(autocompAlmoco[[#This Row],[COMP ESCALA ATUAL]],tabE.Flux[COMP.AT. MOT B],tabE.Flux[LINHA],"NÃO",0,1)</f>
        <v>GOIANIA (GO) X SAO LUIS (MA)</v>
      </c>
      <c r="G195" s="61" t="str">
        <f>IF(AND(autocompAlmoco[[#This Row],[EXISTE MOT A AT]]="NÃO", autocompAlmoco[[#This Row],[EXISTE MOT B AT]]="NÃO"),"NÃO","SIM")</f>
        <v>SIM</v>
      </c>
      <c r="H195" s="57" t="str">
        <f>IF(autocompAlmoco[[#This Row],[EXISTE ESCALA ATUAL]]="NÃO",_xlfn.CONCAT(tabAlmoco[[#This Row],[DATA]]-1,"+",tabAlmoco[[#This Row],[MOTORISTA]]),"NÃO")</f>
        <v>NÃO</v>
      </c>
      <c r="I195" s="57" t="str">
        <f>IF(autocompAlmoco[[#This Row],[COMP ESCALA ANTERIOR]]="NÃO","NÃO",_xlfn.XLOOKUP(autocompAlmoco[[#This Row],[COMP ESCALA ANTERIOR]],tabE.Flux[COMP.AT. MOT A],tabE.Flux[LINHA],"NÃO",0,1))</f>
        <v>NÃO</v>
      </c>
      <c r="J195" s="58" t="str">
        <f>IF(autocompAlmoco[[#This Row],[COMP ESCALA ANTERIOR]]="NÃO","NÃO",_xlfn.XLOOKUP(autocompAlmoco[[#This Row],[COMP ESCALA ANTERIOR]],tabE.Flux[COMP.AT. MOT B],tabE.Flux[LINHA],"NÃO",0,1))</f>
        <v>NÃO</v>
      </c>
      <c r="K195" s="62" t="str">
        <f>IF(AND(autocompAlmoco[[#This Row],[EXISTE MOT A ANT]]="NÃO",autocompAlmoco[[#This Row],[EXISTE MOT B ANT]]="NÃO"),"NÃO","SIM")</f>
        <v>NÃO</v>
      </c>
      <c r="L195" s="59" t="str">
        <f t="shared" si="6"/>
        <v>45932+GILDEVAN DE ALMEIDA AGOSTINHO - 1924</v>
      </c>
      <c r="M195" s="59" t="str">
        <f>IF(autocompAlmoco[[#This Row],[COMP ESCALA POSTERIOR]]="NÃO","NÃO",_xlfn.XLOOKUP(autocompAlmoco[[#This Row],[COMP ESCALA POSTERIOR]],tabE.Flux[COMP.AT. MOT A],tabE.Flux[LINHA],"NÃO",0,1))</f>
        <v>NÃO</v>
      </c>
      <c r="N195" s="59" t="str">
        <f>IF(autocompAlmoco[[#This Row],[COMP ESCALA POSTERIOR]]="NÃO","NÃO",_xlfn.XLOOKUP(autocompAlmoco[[#This Row],[COMP ESCALA POSTERIOR]],tabE.Flux[COMP.AT. MOT B],tabE.Flux[LINHA],"NÃO",0,1))</f>
        <v>NÃO</v>
      </c>
      <c r="O195" s="65" t="str">
        <f>IF(AND(autocompAlmoco[[#This Row],[EXISTE MOT A POS]]="NÃO",autocompAlmoco[[#This Row],[EXISTE MOT B POS]]="NÃO"),"NÃO","SIM")</f>
        <v>NÃO</v>
      </c>
      <c r="P195" s="66" t="str" cm="1">
        <f t="array" ref="P19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95" s="103" t="str" cm="1">
        <f t="array" ref="Q19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45931+GILDEVAN DE ALMEIDA AGOSTINHO - 1924+GOIANIA (GO) X SAO LUIS (MA)</v>
      </c>
      <c r="R195" s="67">
        <f>_xlfn.XLOOKUP(autocompAlmoco[[#This Row],[COMP ESCALA]],tabE.Flux[COMP. ESCALA MOT B],tabE.Flux[CARRO],
(_xlfn.XLOOKUP(autocompAlmoco[[#This Row],[COMP ESCALA]],tabE.Flux[COMP. ESCALA MOT A],tabE.Flux[CARRO],"N/E",0,1)),0,1)</f>
        <v>24009</v>
      </c>
      <c r="S195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195" s="127">
        <v>45931</v>
      </c>
      <c r="U195" s="4">
        <f>IF(IFERROR(autocompAlmoco[[#This Row],[CORRESP. CARRO]],"")="NÃO",(IF(tabAlmoco[[#This Row],[MOTORISTA]]=0,"","PASSE?")),autocompAlmoco[[#This Row],[CORRESP. CARRO]])</f>
        <v>24009</v>
      </c>
      <c r="V195" s="126">
        <f>IF(OR(ISERR(autocompAlmoco[[#This Row],[CORRESP HORARIO]]), autocompAlmoco[[#This Row],[CORRESP HORARIO]]&lt;&gt;"NÃO"),autocompAlmoco[[#This Row],[CORRESP HORARIO]],"")</f>
        <v>0.79166666666666663</v>
      </c>
      <c r="W195" s="1" t="s">
        <v>299</v>
      </c>
      <c r="X195" s="1" t="s">
        <v>236</v>
      </c>
      <c r="Y195" s="1">
        <f>IF(tabAlmoco[[#This Row],[MOTORISTA]]="","",COUNTIF(autocompAlmoco[COMP ESCALA ATUAL],autocompAlmoco[[#This Row],[COMP ESCALA ATUAL]]))</f>
        <v>1</v>
      </c>
      <c r="Z195" s="105">
        <f>IF(tabAlmoco[[#This Row],[MOTORISTA]]&lt;&gt;0,15,"")</f>
        <v>15</v>
      </c>
      <c r="AA195" s="4" t="str">
        <f>autocompAlmoco[[#This Row],[CORRESP LINHA]]</f>
        <v>GOIANIA (GO) X SAO LUIS (MA)</v>
      </c>
    </row>
    <row r="196" spans="2:28" ht="15" customHeight="1" x14ac:dyDescent="0.25">
      <c r="C196" s="140" t="s">
        <v>226</v>
      </c>
      <c r="D196" s="56" t="str">
        <f>IF(tabAlmoco[[#This Row],[MOTORISTA]]="","",_xlfn.CONCAT(tabAlmoco[[#This Row],[DATA]],"+",tabAlmoco[[#This Row],[MOTORISTA]]))</f>
        <v>45931+  FRANCISCO LINDONALDO DE SOUSA- 2971</v>
      </c>
      <c r="E196" s="56" t="str">
        <f>_xlfn.XLOOKUP(autocompAlmoco[[#This Row],[COMP ESCALA ATUAL]],tabE.Flux[COMP.AT. MOT A],tabE.Flux[LINHA],"NÃO",0,1)</f>
        <v>NÃO</v>
      </c>
      <c r="F196" s="56" t="str">
        <f>_xlfn.XLOOKUP(autocompAlmoco[[#This Row],[COMP ESCALA ATUAL]],tabE.Flux[COMP.AT. MOT B],tabE.Flux[LINHA],"NÃO",0,1)</f>
        <v>NÃO</v>
      </c>
      <c r="G196" s="61" t="str">
        <f>IF(AND(autocompAlmoco[[#This Row],[EXISTE MOT A AT]]="NÃO", autocompAlmoco[[#This Row],[EXISTE MOT B AT]]="NÃO"),"NÃO","SIM")</f>
        <v>NÃO</v>
      </c>
      <c r="H196" s="57" t="str">
        <f>IF(autocompAlmoco[[#This Row],[EXISTE ESCALA ATUAL]]="NÃO",_xlfn.CONCAT(tabAlmoco[[#This Row],[DATA]]-1,"+",tabAlmoco[[#This Row],[MOTORISTA]]),"NÃO")</f>
        <v>45930+  FRANCISCO LINDONALDO DE SOUSA- 2971</v>
      </c>
      <c r="I196" s="57" t="str">
        <f>IF(autocompAlmoco[[#This Row],[COMP ESCALA ANTERIOR]]="NÃO","NÃO",_xlfn.XLOOKUP(autocompAlmoco[[#This Row],[COMP ESCALA ANTERIOR]],tabE.Flux[COMP.AT. MOT A],tabE.Flux[LINHA],"NÃO",0,1))</f>
        <v>NÃO</v>
      </c>
      <c r="J196" s="58" t="str">
        <f>IF(autocompAlmoco[[#This Row],[COMP ESCALA ANTERIOR]]="NÃO","NÃO",_xlfn.XLOOKUP(autocompAlmoco[[#This Row],[COMP ESCALA ANTERIOR]],tabE.Flux[COMP.AT. MOT B],tabE.Flux[LINHA],"NÃO",0,1))</f>
        <v>NÃO</v>
      </c>
      <c r="K196" s="62" t="str">
        <f>IF(AND(autocompAlmoco[[#This Row],[EXISTE MOT A ANT]]="NÃO",autocompAlmoco[[#This Row],[EXISTE MOT B ANT]]="NÃO"),"NÃO","SIM")</f>
        <v>NÃO</v>
      </c>
      <c r="L196" s="59" t="str">
        <f t="shared" si="6"/>
        <v>45932+  FRANCISCO LINDONALDO DE SOUSA- 2971</v>
      </c>
      <c r="M196" s="59" t="str">
        <f>IF(autocompAlmoco[[#This Row],[COMP ESCALA POSTERIOR]]="NÃO","NÃO",_xlfn.XLOOKUP(autocompAlmoco[[#This Row],[COMP ESCALA POSTERIOR]],tabE.Flux[COMP.AT. MOT A],tabE.Flux[LINHA],"NÃO",0,1))</f>
        <v>NÃO</v>
      </c>
      <c r="N196" s="59" t="str">
        <f>IF(autocompAlmoco[[#This Row],[COMP ESCALA POSTERIOR]]="NÃO","NÃO",_xlfn.XLOOKUP(autocompAlmoco[[#This Row],[COMP ESCALA POSTERIOR]],tabE.Flux[COMP.AT. MOT B],tabE.Flux[LINHA],"NÃO",0,1))</f>
        <v>NÃO</v>
      </c>
      <c r="O196" s="65" t="str">
        <f>IF(AND(autocompAlmoco[[#This Row],[EXISTE MOT A POS]]="NÃO",autocompAlmoco[[#This Row],[EXISTE MOT B POS]]="NÃO"),"NÃO","SIM")</f>
        <v>NÃO</v>
      </c>
      <c r="P196" s="66" t="str" cm="1">
        <f t="array" ref="P19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196" s="103" t="str" cm="1">
        <f t="array" ref="Q19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196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196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196" s="127">
        <v>45931</v>
      </c>
      <c r="U196" s="131">
        <v>20010</v>
      </c>
      <c r="V196" s="126">
        <v>0.25</v>
      </c>
      <c r="W196" s="1" t="s">
        <v>299</v>
      </c>
      <c r="X196" s="1" t="s">
        <v>307</v>
      </c>
      <c r="Y196" s="1">
        <f>IF(tabAlmoco[[#This Row],[MOTORISTA]]="","",COUNTIF(autocompAlmoco[COMP ESCALA ATUAL],autocompAlmoco[[#This Row],[COMP ESCALA ATUAL]]))</f>
        <v>1</v>
      </c>
      <c r="Z196" s="105">
        <f>IF(tabAlmoco[[#This Row],[MOTORISTA]]&lt;&gt;0,15,"")</f>
        <v>15</v>
      </c>
      <c r="AA196" s="131" t="s">
        <v>32</v>
      </c>
    </row>
    <row r="197" spans="2:28" ht="15" customHeight="1" x14ac:dyDescent="0.25">
      <c r="B197" s="158"/>
      <c r="C197" s="157" t="s">
        <v>226</v>
      </c>
      <c r="D197" s="56" t="str">
        <f>IF(tabAlmoco[[#This Row],[MOTORISTA]]="","",_xlfn.CONCAT(tabAlmoco[[#This Row],[DATA]],"+",tabAlmoco[[#This Row],[MOTORISTA]]))</f>
        <v>45931+LAUCEANDO DA SILVA ROCHA - 6220</v>
      </c>
      <c r="E197" s="56" t="str">
        <f>_xlfn.XLOOKUP(autocompAlmoco[[#This Row],[COMP ESCALA ATUAL]],tabE.Flux[COMP.AT. MOT A],tabE.Flux[LINHA],"NÃO",0,1)</f>
        <v>NÃO</v>
      </c>
      <c r="F197" s="56" t="str">
        <f>_xlfn.XLOOKUP(autocompAlmoco[[#This Row],[COMP ESCALA ATUAL]],tabE.Flux[COMP.AT. MOT B],tabE.Flux[LINHA],"NÃO",0,1)</f>
        <v>GOIANIA (GO) X SAO LUIS (MA)</v>
      </c>
      <c r="G197" s="61" t="str">
        <f>IF(AND(autocompAlmoco[[#This Row],[EXISTE MOT A AT]]="NÃO", autocompAlmoco[[#This Row],[EXISTE MOT B AT]]="NÃO"),"NÃO","SIM")</f>
        <v>SIM</v>
      </c>
      <c r="H197" s="57" t="str">
        <f>IF(autocompAlmoco[[#This Row],[EXISTE ESCALA ATUAL]]="NÃO",_xlfn.CONCAT(tabAlmoco[[#This Row],[DATA]]-1,"+",tabAlmoco[[#This Row],[MOTORISTA]]),"NÃO")</f>
        <v>NÃO</v>
      </c>
      <c r="I197" s="57" t="str">
        <f>IF(autocompAlmoco[[#This Row],[COMP ESCALA ANTERIOR]]="NÃO","NÃO",_xlfn.XLOOKUP(autocompAlmoco[[#This Row],[COMP ESCALA ANTERIOR]],tabE.Flux[COMP.AT. MOT A],tabE.Flux[LINHA],"NÃO",0,1))</f>
        <v>NÃO</v>
      </c>
      <c r="J197" s="58" t="str">
        <f>IF(autocompAlmoco[[#This Row],[COMP ESCALA ANTERIOR]]="NÃO","NÃO",_xlfn.XLOOKUP(autocompAlmoco[[#This Row],[COMP ESCALA ANTERIOR]],tabE.Flux[COMP.AT. MOT B],tabE.Flux[LINHA],"NÃO",0,1))</f>
        <v>NÃO</v>
      </c>
      <c r="K197" s="62" t="str">
        <f>IF(AND(autocompAlmoco[[#This Row],[EXISTE MOT A ANT]]="NÃO",autocompAlmoco[[#This Row],[EXISTE MOT B ANT]]="NÃO"),"NÃO","SIM")</f>
        <v>NÃO</v>
      </c>
      <c r="L197" s="59" t="str">
        <f t="shared" si="6"/>
        <v>45932+LAUCEANDO DA SILVA ROCHA - 6220</v>
      </c>
      <c r="M197" s="59" t="str">
        <f>IF(autocompAlmoco[[#This Row],[COMP ESCALA POSTERIOR]]="NÃO","NÃO",_xlfn.XLOOKUP(autocompAlmoco[[#This Row],[COMP ESCALA POSTERIOR]],tabE.Flux[COMP.AT. MOT A],tabE.Flux[LINHA],"NÃO",0,1))</f>
        <v>NÃO</v>
      </c>
      <c r="N197" s="59" t="str">
        <f>IF(autocompAlmoco[[#This Row],[COMP ESCALA POSTERIOR]]="NÃO","NÃO",_xlfn.XLOOKUP(autocompAlmoco[[#This Row],[COMP ESCALA POSTERIOR]],tabE.Flux[COMP.AT. MOT B],tabE.Flux[LINHA],"NÃO",0,1))</f>
        <v>NÃO</v>
      </c>
      <c r="O197" s="65" t="str">
        <f>IF(AND(autocompAlmoco[[#This Row],[EXISTE MOT A POS]]="NÃO",autocompAlmoco[[#This Row],[EXISTE MOT B POS]]="NÃO"),"NÃO","SIM")</f>
        <v>NÃO</v>
      </c>
      <c r="P197" s="66" t="str" cm="1">
        <f t="array" ref="P19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197" s="103" t="str" cm="1">
        <f t="array" ref="Q19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45931+LAUCEANDO DA SILVA ROCHA - 6220+GOIANIA (GO) X SAO LUIS (MA)</v>
      </c>
      <c r="R197" s="67">
        <f>_xlfn.XLOOKUP(autocompAlmoco[[#This Row],[COMP ESCALA]],tabE.Flux[COMP. ESCALA MOT B],tabE.Flux[CARRO],
(_xlfn.XLOOKUP(autocompAlmoco[[#This Row],[COMP ESCALA]],tabE.Flux[COMP. ESCALA MOT A],tabE.Flux[CARRO],"N/E",0,1)),0,1)</f>
        <v>20014</v>
      </c>
      <c r="S197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197" s="127">
        <v>45931</v>
      </c>
      <c r="U197" s="131">
        <f>IF(IFERROR(autocompAlmoco[[#This Row],[CORRESP. CARRO]],"")="NÃO",(IF(tabAlmoco[[#This Row],[MOTORISTA]]=0,"","PASSE?")),autocompAlmoco[[#This Row],[CORRESP. CARRO]])</f>
        <v>20014</v>
      </c>
      <c r="V197" s="126">
        <f>IF(OR(ISERR(autocompAlmoco[[#This Row],[CORRESP HORARIO]]), autocompAlmoco[[#This Row],[CORRESP HORARIO]]&lt;&gt;"NÃO"),autocompAlmoco[[#This Row],[CORRESP HORARIO]],"")</f>
        <v>0.47013888888888888</v>
      </c>
      <c r="W197" s="1" t="s">
        <v>299</v>
      </c>
      <c r="X197" s="1" t="s">
        <v>86</v>
      </c>
      <c r="Y197" s="1">
        <f>IF(tabAlmoco[[#This Row],[MOTORISTA]]="","",COUNTIF(autocompAlmoco[COMP ESCALA ATUAL],autocompAlmoco[[#This Row],[COMP ESCALA ATUAL]]))</f>
        <v>1</v>
      </c>
      <c r="Z197" s="105">
        <f>IF(tabAlmoco[[#This Row],[MOTORISTA]]&lt;&gt;0,15,"")</f>
        <v>15</v>
      </c>
      <c r="AA197" s="131" t="str">
        <f>autocompAlmoco[[#This Row],[CORRESP LINHA]]</f>
        <v>GOIANIA (GO) X SAO LUIS (MA)</v>
      </c>
    </row>
    <row r="198" spans="2:28" ht="15" customHeight="1" x14ac:dyDescent="0.25">
      <c r="C198" s="157" t="s">
        <v>226</v>
      </c>
      <c r="D198" s="56" t="str">
        <f>IF(tabAlmoco[[#This Row],[MOTORISTA]]="","",_xlfn.CONCAT(tabAlmoco[[#This Row],[DATA]],"+",tabAlmoco[[#This Row],[MOTORISTA]]))</f>
        <v>45931+RONALDO ADRIANO COSTA SANTOS - 5637</v>
      </c>
      <c r="E198" s="56" t="str">
        <f>_xlfn.XLOOKUP(autocompAlmoco[[#This Row],[COMP ESCALA ATUAL]],tabE.Flux[COMP.AT. MOT A],tabE.Flux[LINHA],"NÃO",0,1)</f>
        <v>NÃO</v>
      </c>
      <c r="F198" s="56" t="str">
        <f>_xlfn.XLOOKUP(autocompAlmoco[[#This Row],[COMP ESCALA ATUAL]],tabE.Flux[COMP.AT. MOT B],tabE.Flux[LINHA],"NÃO",0,1)</f>
        <v>NÃO</v>
      </c>
      <c r="G198" s="61" t="str">
        <f>IF(AND(autocompAlmoco[[#This Row],[EXISTE MOT A AT]]="NÃO", autocompAlmoco[[#This Row],[EXISTE MOT B AT]]="NÃO"),"NÃO","SIM")</f>
        <v>NÃO</v>
      </c>
      <c r="H198" s="57" t="str">
        <f>IF(autocompAlmoco[[#This Row],[EXISTE ESCALA ATUAL]]="NÃO",_xlfn.CONCAT(tabAlmoco[[#This Row],[DATA]]-1,"+",tabAlmoco[[#This Row],[MOTORISTA]]),"NÃO")</f>
        <v>45930+RONALDO ADRIANO COSTA SANTOS - 5637</v>
      </c>
      <c r="I198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198" s="58" t="str">
        <f>IF(autocompAlmoco[[#This Row],[COMP ESCALA ANTERIOR]]="NÃO","NÃO",_xlfn.XLOOKUP(autocompAlmoco[[#This Row],[COMP ESCALA ANTERIOR]],tabE.Flux[COMP.AT. MOT B],tabE.Flux[LINHA],"NÃO",0,1))</f>
        <v>NÃO</v>
      </c>
      <c r="K198" s="62" t="str">
        <f>IF(AND(autocompAlmoco[[#This Row],[EXISTE MOT A ANT]]="NÃO",autocompAlmoco[[#This Row],[EXISTE MOT B ANT]]="NÃO"),"NÃO","SIM")</f>
        <v>SIM</v>
      </c>
      <c r="L198" s="59" t="str">
        <f t="shared" si="6"/>
        <v>45932+RONALDO ADRIANO COSTA SANTOS - 5637</v>
      </c>
      <c r="M198" s="73" t="str">
        <f>IF(autocompAlmoco[[#This Row],[COMP ESCALA POSTERIOR]]="NÃO","NÃO",_xlfn.XLOOKUP(autocompAlmoco[[#This Row],[COMP ESCALA POSTERIOR]],tabE.Flux[COMP.AT. MOT A],tabE.Flux[LINHA],"NÃO",0,1))</f>
        <v>NÃO</v>
      </c>
      <c r="N198" s="73" t="str">
        <f>IF(autocompAlmoco[[#This Row],[COMP ESCALA POSTERIOR]]="NÃO","NÃO",_xlfn.XLOOKUP(autocompAlmoco[[#This Row],[COMP ESCALA POSTERIOR]],tabE.Flux[COMP.AT. MOT B],tabE.Flux[LINHA],"NÃO",0,1))</f>
        <v>NÃO</v>
      </c>
      <c r="O198" s="65" t="str">
        <f>IF(AND(autocompAlmoco[[#This Row],[EXISTE MOT A POS]]="NÃO",autocompAlmoco[[#This Row],[EXISTE MOT B POS]]="NÃO"),"NÃO","SIM")</f>
        <v>NÃO</v>
      </c>
      <c r="P198" s="66" t="str" cm="1">
        <f t="array" ref="P19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198" s="103" t="str" cm="1">
        <f t="array" ref="Q19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45930+RONALDO ADRIANO COSTA SANTOS - 5637+GOIANIA (GO) X TERESINA (PI) VIA STI</v>
      </c>
      <c r="R198" s="67">
        <f>_xlfn.XLOOKUP(autocompAlmoco[[#This Row],[COMP ESCALA]],tabE.Flux[COMP. ESCALA MOT B],tabE.Flux[CARRO],
(_xlfn.XLOOKUP(autocompAlmoco[[#This Row],[COMP ESCALA]],tabE.Flux[COMP. ESCALA MOT A],tabE.Flux[CARRO],"N/E",0,1)),0,1)</f>
        <v>17600</v>
      </c>
      <c r="S198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198" s="127">
        <v>45931</v>
      </c>
      <c r="U198" s="131">
        <f>IF(IFERROR(autocompAlmoco[[#This Row],[CORRESP. CARRO]],"")="NÃO",(IF(tabAlmoco[[#This Row],[MOTORISTA]]=0,"","PASSE?")),autocompAlmoco[[#This Row],[CORRESP. CARRO]])</f>
        <v>17600</v>
      </c>
      <c r="V198" s="126">
        <f>IF(OR(ISERR(autocompAlmoco[[#This Row],[CORRESP HORARIO]]), autocompAlmoco[[#This Row],[CORRESP HORARIO]]&lt;&gt;"NÃO"),autocompAlmoco[[#This Row],[CORRESP HORARIO]],"")</f>
        <v>0.79861111111111116</v>
      </c>
      <c r="W198" s="1" t="s">
        <v>299</v>
      </c>
      <c r="X198" s="1" t="s">
        <v>41</v>
      </c>
      <c r="Y198" s="1">
        <f>IF(tabAlmoco[[#This Row],[MOTORISTA]]="","",COUNTIF(autocompAlmoco[COMP ESCALA ATUAL],autocompAlmoco[[#This Row],[COMP ESCALA ATUAL]]))</f>
        <v>1</v>
      </c>
      <c r="Z198" s="105">
        <f>IF(tabAlmoco[[#This Row],[MOTORISTA]]&lt;&gt;0,15,"")</f>
        <v>15</v>
      </c>
      <c r="AA198" s="131" t="str">
        <f>autocompAlmoco[[#This Row],[CORRESP LINHA]]</f>
        <v>GOIANIA (GO) X TERESINA (PI) VIA STI</v>
      </c>
    </row>
    <row r="199" spans="2:28" ht="15" customHeight="1" x14ac:dyDescent="0.25">
      <c r="C199" s="157" t="s">
        <v>226</v>
      </c>
      <c r="D199" s="56" t="str">
        <f>IF(tabAlmoco[[#This Row],[MOTORISTA]]="","",_xlfn.CONCAT(tabAlmoco[[#This Row],[DATA]],"+",tabAlmoco[[#This Row],[MOTORISTA]]))</f>
        <v>45931+WASHINGTON ALVES BRITO - 1553</v>
      </c>
      <c r="E199" s="56" t="str">
        <f>_xlfn.XLOOKUP(autocompAlmoco[[#This Row],[COMP ESCALA ATUAL]],tabE.Flux[COMP.AT. MOT A],tabE.Flux[LINHA],"NÃO",0,1)</f>
        <v>NÃO</v>
      </c>
      <c r="F199" s="56" t="str">
        <f>_xlfn.XLOOKUP(autocompAlmoco[[#This Row],[COMP ESCALA ATUAL]],tabE.Flux[COMP.AT. MOT B],tabE.Flux[LINHA],"NÃO",0,1)</f>
        <v>NÃO</v>
      </c>
      <c r="G199" s="61" t="str">
        <f>IF(AND(autocompAlmoco[[#This Row],[EXISTE MOT A AT]]="NÃO", autocompAlmoco[[#This Row],[EXISTE MOT B AT]]="NÃO"),"NÃO","SIM")</f>
        <v>NÃO</v>
      </c>
      <c r="H199" s="57" t="str">
        <f>IF(autocompAlmoco[[#This Row],[EXISTE ESCALA ATUAL]]="NÃO",_xlfn.CONCAT(tabAlmoco[[#This Row],[DATA]]-1,"+",tabAlmoco[[#This Row],[MOTORISTA]]),"NÃO")</f>
        <v>45930+WASHINGTON ALVES BRITO - 1553</v>
      </c>
      <c r="I199" s="57" t="str">
        <f>IF(autocompAlmoco[[#This Row],[COMP ESCALA ANTERIOR]]="NÃO","NÃO",_xlfn.XLOOKUP(autocompAlmoco[[#This Row],[COMP ESCALA ANTERIOR]],tabE.Flux[COMP.AT. MOT A],tabE.Flux[LINHA],"NÃO",0,1))</f>
        <v>NÃO</v>
      </c>
      <c r="J199" s="58" t="str">
        <f>IF(autocompAlmoco[[#This Row],[COMP ESCALA ANTERIOR]]="NÃO","NÃO",_xlfn.XLOOKUP(autocompAlmoco[[#This Row],[COMP ESCALA ANTERIOR]],tabE.Flux[COMP.AT. MOT B],tabE.Flux[LINHA],"NÃO",0,1))</f>
        <v>NÃO</v>
      </c>
      <c r="K199" s="62" t="str">
        <f>IF(AND(autocompAlmoco[[#This Row],[EXISTE MOT A ANT]]="NÃO",autocompAlmoco[[#This Row],[EXISTE MOT B ANT]]="NÃO"),"NÃO","SIM")</f>
        <v>NÃO</v>
      </c>
      <c r="L199" s="59" t="str">
        <f t="shared" si="6"/>
        <v>45932+WASHINGTON ALVES BRITO - 1553</v>
      </c>
      <c r="M199" s="73" t="str">
        <f>IF(autocompAlmoco[[#This Row],[COMP ESCALA POSTERIOR]]="NÃO","NÃO",_xlfn.XLOOKUP(autocompAlmoco[[#This Row],[COMP ESCALA POSTERIOR]],tabE.Flux[COMP.AT. MOT A],tabE.Flux[LINHA],"NÃO",0,1))</f>
        <v>NÃO</v>
      </c>
      <c r="N199" s="73" t="str">
        <f>IF(autocompAlmoco[[#This Row],[COMP ESCALA POSTERIOR]]="NÃO","NÃO",_xlfn.XLOOKUP(autocompAlmoco[[#This Row],[COMP ESCALA POSTERIOR]],tabE.Flux[COMP.AT. MOT B],tabE.Flux[LINHA],"NÃO",0,1))</f>
        <v>NÃO</v>
      </c>
      <c r="O199" s="65" t="str">
        <f>IF(AND(autocompAlmoco[[#This Row],[EXISTE MOT A POS]]="NÃO",autocompAlmoco[[#This Row],[EXISTE MOT B POS]]="NÃO"),"NÃO","SIM")</f>
        <v>NÃO</v>
      </c>
      <c r="P199" s="66" t="str" cm="1">
        <f t="array" ref="P19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199" s="103" t="str" cm="1">
        <f t="array" ref="Q19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199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199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199" s="127">
        <v>45931</v>
      </c>
      <c r="U199" s="4">
        <v>19018</v>
      </c>
      <c r="V199" s="128">
        <v>0.79861111111111116</v>
      </c>
      <c r="W199" s="4" t="s">
        <v>299</v>
      </c>
      <c r="X199" s="4" t="s">
        <v>201</v>
      </c>
      <c r="Y199" s="4">
        <f>IF(tabAlmoco[[#This Row],[MOTORISTA]]="","",COUNTIF(autocompAlmoco[COMP ESCALA ATUAL],autocompAlmoco[[#This Row],[COMP ESCALA ATUAL]]))</f>
        <v>1</v>
      </c>
      <c r="Z199" s="45">
        <f>IF(tabAlmoco[[#This Row],[MOTORISTA]]&lt;&gt;0,15,"")</f>
        <v>15</v>
      </c>
      <c r="AA199" s="4" t="s">
        <v>26</v>
      </c>
    </row>
    <row r="200" spans="2:28" ht="15" customHeight="1" x14ac:dyDescent="0.25">
      <c r="C200" s="157" t="s">
        <v>226</v>
      </c>
      <c r="D200" s="56" t="str">
        <f>IF(tabAlmoco[[#This Row],[MOTORISTA]]="","",_xlfn.CONCAT(tabAlmoco[[#This Row],[DATA]],"+",tabAlmoco[[#This Row],[MOTORISTA]]))</f>
        <v>45931+  JOAO FLAVIO DE SOUSA SILVA- 5270</v>
      </c>
      <c r="E200" s="56" t="str">
        <f>_xlfn.XLOOKUP(autocompAlmoco[[#This Row],[COMP ESCALA ATUAL]],tabE.Flux[COMP.AT. MOT A],tabE.Flux[LINHA],"NÃO",0,1)</f>
        <v>NÃO</v>
      </c>
      <c r="F200" s="56" t="str">
        <f>_xlfn.XLOOKUP(autocompAlmoco[[#This Row],[COMP ESCALA ATUAL]],tabE.Flux[COMP.AT. MOT B],tabE.Flux[LINHA],"NÃO",0,1)</f>
        <v>NÃO</v>
      </c>
      <c r="G200" s="61" t="str">
        <f>IF(AND(autocompAlmoco[[#This Row],[EXISTE MOT A AT]]="NÃO", autocompAlmoco[[#This Row],[EXISTE MOT B AT]]="NÃO"),"NÃO","SIM")</f>
        <v>NÃO</v>
      </c>
      <c r="H200" s="57" t="str">
        <f>IF(autocompAlmoco[[#This Row],[EXISTE ESCALA ATUAL]]="NÃO",_xlfn.CONCAT(tabAlmoco[[#This Row],[DATA]]-1,"+",tabAlmoco[[#This Row],[MOTORISTA]]),"NÃO")</f>
        <v>45930+  JOAO FLAVIO DE SOUSA SILVA- 5270</v>
      </c>
      <c r="I200" s="57" t="str">
        <f>IF(autocompAlmoco[[#This Row],[COMP ESCALA ANTERIOR]]="NÃO","NÃO",_xlfn.XLOOKUP(autocompAlmoco[[#This Row],[COMP ESCALA ANTERIOR]],tabE.Flux[COMP.AT. MOT A],tabE.Flux[LINHA],"NÃO",0,1))</f>
        <v>NÃO</v>
      </c>
      <c r="J200" s="58" t="str">
        <f>IF(autocompAlmoco[[#This Row],[COMP ESCALA ANTERIOR]]="NÃO","NÃO",_xlfn.XLOOKUP(autocompAlmoco[[#This Row],[COMP ESCALA ANTERIOR]],tabE.Flux[COMP.AT. MOT B],tabE.Flux[LINHA],"NÃO",0,1))</f>
        <v>NÃO</v>
      </c>
      <c r="K200" s="62" t="str">
        <f>IF(AND(autocompAlmoco[[#This Row],[EXISTE MOT A ANT]]="NÃO",autocompAlmoco[[#This Row],[EXISTE MOT B ANT]]="NÃO"),"NÃO","SIM")</f>
        <v>NÃO</v>
      </c>
      <c r="L200" s="59" t="str">
        <f>_xlfn.CONCAT(T211+1,"+",X211)</f>
        <v>45934+KAYLSON KLEYTON DA SILVA COSTA - 6224</v>
      </c>
      <c r="M200" s="73" t="str">
        <f>IF(autocompAlmoco[[#This Row],[COMP ESCALA POSTERIOR]]="NÃO","NÃO",_xlfn.XLOOKUP(autocompAlmoco[[#This Row],[COMP ESCALA POSTERIOR]],tabE.Flux[COMP.AT. MOT A],tabE.Flux[LINHA],"NÃO",0,1))</f>
        <v>NÃO</v>
      </c>
      <c r="N200" s="73" t="str">
        <f>IF(autocompAlmoco[[#This Row],[COMP ESCALA POSTERIOR]]="NÃO","NÃO",_xlfn.XLOOKUP(autocompAlmoco[[#This Row],[COMP ESCALA POSTERIOR]],tabE.Flux[COMP.AT. MOT B],tabE.Flux[LINHA],"NÃO",0,1))</f>
        <v>NÃO</v>
      </c>
      <c r="O200" s="65" t="str">
        <f>IF(AND(autocompAlmoco[[#This Row],[EXISTE MOT A POS]]="NÃO",autocompAlmoco[[#This Row],[EXISTE MOT B POS]]="NÃO"),"NÃO","SIM")</f>
        <v>NÃO</v>
      </c>
      <c r="P200" s="66" t="str" cm="1">
        <f t="array" ref="P20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00" s="103" t="str" cm="1">
        <f t="array" ref="Q20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00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00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00" s="127">
        <v>45931</v>
      </c>
      <c r="U200" s="4">
        <v>19003</v>
      </c>
      <c r="V200" s="126">
        <v>0.39583333333333331</v>
      </c>
      <c r="W200" s="1" t="s">
        <v>299</v>
      </c>
      <c r="X200" s="1" t="s">
        <v>308</v>
      </c>
      <c r="Y200" s="1">
        <f>IF(tabAlmoco[[#This Row],[MOTORISTA]]="","",COUNTIF(autocompAlmoco[COMP ESCALA ATUAL],autocompAlmoco[[#This Row],[COMP ESCALA ATUAL]]))</f>
        <v>1</v>
      </c>
      <c r="Z200" s="105">
        <f>IF(tabAlmoco[[#This Row],[MOTORISTA]]&lt;&gt;0,15,"")</f>
        <v>15</v>
      </c>
      <c r="AA200" s="4" t="s">
        <v>309</v>
      </c>
    </row>
    <row r="201" spans="2:28" ht="15" customHeight="1" x14ac:dyDescent="0.25">
      <c r="C201" s="157" t="s">
        <v>226</v>
      </c>
      <c r="D201" s="56" t="str">
        <f>IF(tabAlmoco[[#This Row],[MOTORISTA]]="","",_xlfn.CONCAT(tabAlmoco[[#This Row],[DATA]],"+",tabAlmoco[[#This Row],[MOTORISTA]]))</f>
        <v>45932+KEITH NOLAN CARNEIRO BARBOSA - 5653</v>
      </c>
      <c r="E201" s="56" t="str">
        <f>_xlfn.XLOOKUP(autocompAlmoco[[#This Row],[COMP ESCALA ATUAL]],tabE.Flux[COMP.AT. MOT A],tabE.Flux[LINHA],"NÃO",0,1)</f>
        <v>NÃO</v>
      </c>
      <c r="F201" s="56" t="str">
        <f>_xlfn.XLOOKUP(autocompAlmoco[[#This Row],[COMP ESCALA ATUAL]],tabE.Flux[COMP.AT. MOT B],tabE.Flux[LINHA],"NÃO",0,1)</f>
        <v>FORTALEZA (CE) X SINOP (MT)</v>
      </c>
      <c r="G201" s="61" t="str">
        <f>IF(AND(autocompAlmoco[[#This Row],[EXISTE MOT A AT]]="NÃO", autocompAlmoco[[#This Row],[EXISTE MOT B AT]]="NÃO"),"NÃO","SIM")</f>
        <v>SIM</v>
      </c>
      <c r="H201" s="57" t="str">
        <f>IF(autocompAlmoco[[#This Row],[EXISTE ESCALA ATUAL]]="NÃO",_xlfn.CONCAT(tabAlmoco[[#This Row],[DATA]]-1,"+",tabAlmoco[[#This Row],[MOTORISTA]]),"NÃO")</f>
        <v>NÃO</v>
      </c>
      <c r="I201" s="57" t="str">
        <f>IF(autocompAlmoco[[#This Row],[COMP ESCALA ANTERIOR]]="NÃO","NÃO",_xlfn.XLOOKUP(autocompAlmoco[[#This Row],[COMP ESCALA ANTERIOR]],tabE.Flux[COMP.AT. MOT A],tabE.Flux[LINHA],"NÃO",0,1))</f>
        <v>NÃO</v>
      </c>
      <c r="J201" s="58" t="str">
        <f>IF(autocompAlmoco[[#This Row],[COMP ESCALA ANTERIOR]]="NÃO","NÃO",_xlfn.XLOOKUP(autocompAlmoco[[#This Row],[COMP ESCALA ANTERIOR]],tabE.Flux[COMP.AT. MOT B],tabE.Flux[LINHA],"NÃO",0,1))</f>
        <v>NÃO</v>
      </c>
      <c r="K201" s="62" t="str">
        <f>IF(AND(autocompAlmoco[[#This Row],[EXISTE MOT A ANT]]="NÃO",autocompAlmoco[[#This Row],[EXISTE MOT B ANT]]="NÃO"),"NÃO","SIM")</f>
        <v>NÃO</v>
      </c>
      <c r="L201" s="59" t="str">
        <f>_xlfn.CONCAT(T217+1,"+",X217)</f>
        <v>45935+CARLOS ADRIANO DE SOUZA DO NASCIMENTO - 6222</v>
      </c>
      <c r="M201" s="73" t="str">
        <f>IF(autocompAlmoco[[#This Row],[COMP ESCALA POSTERIOR]]="NÃO","NÃO",_xlfn.XLOOKUP(autocompAlmoco[[#This Row],[COMP ESCALA POSTERIOR]],tabE.Flux[COMP.AT. MOT A],tabE.Flux[LINHA],"NÃO",0,1))</f>
        <v>NÃO</v>
      </c>
      <c r="N201" s="73" t="str">
        <f>IF(autocompAlmoco[[#This Row],[COMP ESCALA POSTERIOR]]="NÃO","NÃO",_xlfn.XLOOKUP(autocompAlmoco[[#This Row],[COMP ESCALA POSTERIOR]],tabE.Flux[COMP.AT. MOT B],tabE.Flux[LINHA],"NÃO",0,1))</f>
        <v>NÃO</v>
      </c>
      <c r="O201" s="65" t="str">
        <f>IF(AND(autocompAlmoco[[#This Row],[EXISTE MOT A POS]]="NÃO",autocompAlmoco[[#This Row],[EXISTE MOT B POS]]="NÃO"),"NÃO","SIM")</f>
        <v>NÃO</v>
      </c>
      <c r="P201" s="66" t="str" cm="1">
        <f t="array" ref="P20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201" s="103" t="str" cm="1">
        <f t="array" ref="Q20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45932+KEITH NOLAN CARNEIRO BARBOSA - 5653+FORTALEZA (CE) X SINOP (MT)</v>
      </c>
      <c r="R201" s="67">
        <f>_xlfn.XLOOKUP(autocompAlmoco[[#This Row],[COMP ESCALA]],tabE.Flux[COMP. ESCALA MOT B],tabE.Flux[CARRO],
(_xlfn.XLOOKUP(autocompAlmoco[[#This Row],[COMP ESCALA]],tabE.Flux[COMP. ESCALA MOT A],tabE.Flux[CARRO],"N/E",0,1)),0,1)</f>
        <v>20017</v>
      </c>
      <c r="S201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201" s="127">
        <v>45932</v>
      </c>
      <c r="U201" s="131">
        <f>IF(IFERROR(autocompAlmoco[[#This Row],[CORRESP. CARRO]],"")="NÃO",(IF(tabAlmoco[[#This Row],[MOTORISTA]]=0,"","PASSE?")),autocompAlmoco[[#This Row],[CORRESP. CARRO]])</f>
        <v>20017</v>
      </c>
      <c r="V201" s="126">
        <f>IF(OR(ISERR(autocompAlmoco[[#This Row],[CORRESP HORARIO]]), autocompAlmoco[[#This Row],[CORRESP HORARIO]]&lt;&gt;"NÃO"),autocompAlmoco[[#This Row],[CORRESP HORARIO]],"")</f>
        <v>0.37708333333333333</v>
      </c>
      <c r="W201" s="1" t="s">
        <v>299</v>
      </c>
      <c r="X201" s="1" t="s">
        <v>122</v>
      </c>
      <c r="Y201" s="1">
        <f>IF(tabAlmoco[[#This Row],[MOTORISTA]]="","",COUNTIF(autocompAlmoco[COMP ESCALA ATUAL],autocompAlmoco[[#This Row],[COMP ESCALA ATUAL]]))</f>
        <v>1</v>
      </c>
      <c r="Z201" s="105">
        <f>IF(tabAlmoco[[#This Row],[MOTORISTA]]&lt;&gt;0,15,"")</f>
        <v>15</v>
      </c>
      <c r="AA201" s="131" t="str">
        <f>autocompAlmoco[[#This Row],[CORRESP LINHA]]</f>
        <v>FORTALEZA (CE) X SINOP (MT)</v>
      </c>
      <c r="AB201" s="161"/>
    </row>
    <row r="202" spans="2:28" ht="15" customHeight="1" x14ac:dyDescent="0.25">
      <c r="C202" s="157" t="s">
        <v>226</v>
      </c>
      <c r="D202" s="56" t="str">
        <f>IF(tabAlmoco[[#This Row],[MOTORISTA]]="","",_xlfn.CONCAT(tabAlmoco[[#This Row],[DATA]],"+",tabAlmoco[[#This Row],[MOTORISTA]]))</f>
        <v>45932+MARCOS ATAIDE SILVA - 1352</v>
      </c>
      <c r="E202" s="56" t="str">
        <f>_xlfn.XLOOKUP(autocompAlmoco[[#This Row],[COMP ESCALA ATUAL]],tabE.Flux[COMP.AT. MOT A],tabE.Flux[LINHA],"NÃO",0,1)</f>
        <v>NÃO</v>
      </c>
      <c r="F202" s="56" t="str">
        <f>_xlfn.XLOOKUP(autocompAlmoco[[#This Row],[COMP ESCALA ATUAL]],tabE.Flux[COMP.AT. MOT B],tabE.Flux[LINHA],"NÃO",0,1)</f>
        <v>GOIANIA (GO) X SAO LUIS (MA)</v>
      </c>
      <c r="G202" s="61" t="str">
        <f>IF(AND(autocompAlmoco[[#This Row],[EXISTE MOT A AT]]="NÃO", autocompAlmoco[[#This Row],[EXISTE MOT B AT]]="NÃO"),"NÃO","SIM")</f>
        <v>SIM</v>
      </c>
      <c r="H202" s="57" t="str">
        <f>IF(autocompAlmoco[[#This Row],[EXISTE ESCALA ATUAL]]="NÃO",_xlfn.CONCAT(tabAlmoco[[#This Row],[DATA]]-1,"+",tabAlmoco[[#This Row],[MOTORISTA]]),"NÃO")</f>
        <v>NÃO</v>
      </c>
      <c r="I202" s="57" t="str">
        <f>IF(autocompAlmoco[[#This Row],[COMP ESCALA ANTERIOR]]="NÃO","NÃO",_xlfn.XLOOKUP(autocompAlmoco[[#This Row],[COMP ESCALA ANTERIOR]],tabE.Flux[COMP.AT. MOT A],tabE.Flux[LINHA],"NÃO",0,1))</f>
        <v>NÃO</v>
      </c>
      <c r="J202" s="58" t="str">
        <f>IF(autocompAlmoco[[#This Row],[COMP ESCALA ANTERIOR]]="NÃO","NÃO",_xlfn.XLOOKUP(autocompAlmoco[[#This Row],[COMP ESCALA ANTERIOR]],tabE.Flux[COMP.AT. MOT B],tabE.Flux[LINHA],"NÃO",0,1))</f>
        <v>NÃO</v>
      </c>
      <c r="K202" s="62" t="str">
        <f>IF(AND(autocompAlmoco[[#This Row],[EXISTE MOT A ANT]]="NÃO",autocompAlmoco[[#This Row],[EXISTE MOT B ANT]]="NÃO"),"NÃO","SIM")</f>
        <v>NÃO</v>
      </c>
      <c r="L202" s="59" t="str">
        <f>_xlfn.CONCAT(T218+1,"+",X218)</f>
        <v>45936+JAME DOS SANTOS MOURA - 5332</v>
      </c>
      <c r="M202" s="73" t="str">
        <f>IF(autocompAlmoco[[#This Row],[COMP ESCALA POSTERIOR]]="NÃO","NÃO",_xlfn.XLOOKUP(autocompAlmoco[[#This Row],[COMP ESCALA POSTERIOR]],tabE.Flux[COMP.AT. MOT A],tabE.Flux[LINHA],"NÃO",0,1))</f>
        <v>NÃO</v>
      </c>
      <c r="N202" s="73" t="str">
        <f>IF(autocompAlmoco[[#This Row],[COMP ESCALA POSTERIOR]]="NÃO","NÃO",_xlfn.XLOOKUP(autocompAlmoco[[#This Row],[COMP ESCALA POSTERIOR]],tabE.Flux[COMP.AT. MOT B],tabE.Flux[LINHA],"NÃO",0,1))</f>
        <v>NÃO</v>
      </c>
      <c r="O202" s="65" t="str">
        <f>IF(AND(autocompAlmoco[[#This Row],[EXISTE MOT A POS]]="NÃO",autocompAlmoco[[#This Row],[EXISTE MOT B POS]]="NÃO"),"NÃO","SIM")</f>
        <v>NÃO</v>
      </c>
      <c r="P202" s="66" t="str" cm="1">
        <f t="array" ref="P20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02" s="103" t="str" cm="1">
        <f t="array" ref="Q20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45932+MARCOS ATAIDE SILVA - 1352+GOIANIA (GO) X SAO LUIS (MA)</v>
      </c>
      <c r="R202" s="67">
        <f>_xlfn.XLOOKUP(autocompAlmoco[[#This Row],[COMP ESCALA]],tabE.Flux[COMP. ESCALA MOT B],tabE.Flux[CARRO],
(_xlfn.XLOOKUP(autocompAlmoco[[#This Row],[COMP ESCALA]],tabE.Flux[COMP. ESCALA MOT A],tabE.Flux[CARRO],"N/E",0,1)),0,1)</f>
        <v>19001</v>
      </c>
      <c r="S202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02" s="127">
        <v>45932</v>
      </c>
      <c r="U202" s="131">
        <f>IF(IFERROR(autocompAlmoco[[#This Row],[CORRESP. CARRO]],"")="NÃO",(IF(tabAlmoco[[#This Row],[MOTORISTA]]=0,"","PASSE?")),autocompAlmoco[[#This Row],[CORRESP. CARRO]])</f>
        <v>19001</v>
      </c>
      <c r="V202" s="126">
        <f>IF(OR(ISERR(autocompAlmoco[[#This Row],[CORRESP HORARIO]]), autocompAlmoco[[#This Row],[CORRESP HORARIO]]&lt;&gt;"NÃO"),autocompAlmoco[[#This Row],[CORRESP HORARIO]],"")</f>
        <v>0.29166666666666669</v>
      </c>
      <c r="W202" s="1" t="s">
        <v>299</v>
      </c>
      <c r="X202" s="1" t="s">
        <v>113</v>
      </c>
      <c r="Y202" s="1">
        <f>IF(tabAlmoco[[#This Row],[MOTORISTA]]="","",COUNTIF(autocompAlmoco[COMP ESCALA ATUAL],autocompAlmoco[[#This Row],[COMP ESCALA ATUAL]]))</f>
        <v>1</v>
      </c>
      <c r="Z202" s="105">
        <f>IF(tabAlmoco[[#This Row],[MOTORISTA]]&lt;&gt;0,15,"")</f>
        <v>15</v>
      </c>
      <c r="AA202" s="131" t="str">
        <f>autocompAlmoco[[#This Row],[CORRESP LINHA]]</f>
        <v>GOIANIA (GO) X SAO LUIS (MA)</v>
      </c>
      <c r="AB202" s="161"/>
    </row>
    <row r="203" spans="2:28" ht="15" customHeight="1" x14ac:dyDescent="0.25">
      <c r="C203" s="157" t="s">
        <v>226</v>
      </c>
      <c r="D203" s="56" t="str">
        <f>IF(tabAlmoco[[#This Row],[MOTORISTA]]="","",_xlfn.CONCAT(tabAlmoco[[#This Row],[DATA]],"+",tabAlmoco[[#This Row],[MOTORISTA]]))</f>
        <v>45932+JOSE POLICARPO DE SOUSA NETO - 1472</v>
      </c>
      <c r="E203" s="56" t="str">
        <f>_xlfn.XLOOKUP(autocompAlmoco[[#This Row],[COMP ESCALA ATUAL]],tabE.Flux[COMP.AT. MOT A],tabE.Flux[LINHA],"NÃO",0,1)</f>
        <v>NÃO</v>
      </c>
      <c r="F203" s="56" t="str">
        <f>_xlfn.XLOOKUP(autocompAlmoco[[#This Row],[COMP ESCALA ATUAL]],tabE.Flux[COMP.AT. MOT B],tabE.Flux[LINHA],"NÃO",0,1)</f>
        <v>GOIANIA (GO) X SAO LUIS (MA)</v>
      </c>
      <c r="G203" s="61" t="str">
        <f>IF(AND(autocompAlmoco[[#This Row],[EXISTE MOT A AT]]="NÃO", autocompAlmoco[[#This Row],[EXISTE MOT B AT]]="NÃO"),"NÃO","SIM")</f>
        <v>SIM</v>
      </c>
      <c r="H203" s="57" t="str">
        <f>IF(autocompAlmoco[[#This Row],[EXISTE ESCALA ATUAL]]="NÃO",_xlfn.CONCAT(tabAlmoco[[#This Row],[DATA]]-1,"+",tabAlmoco[[#This Row],[MOTORISTA]]),"NÃO")</f>
        <v>NÃO</v>
      </c>
      <c r="I203" s="57" t="str">
        <f>IF(autocompAlmoco[[#This Row],[COMP ESCALA ANTERIOR]]="NÃO","NÃO",_xlfn.XLOOKUP(autocompAlmoco[[#This Row],[COMP ESCALA ANTERIOR]],tabE.Flux[COMP.AT. MOT A],tabE.Flux[LINHA],"NÃO",0,1))</f>
        <v>NÃO</v>
      </c>
      <c r="J203" s="58" t="str">
        <f>IF(autocompAlmoco[[#This Row],[COMP ESCALA ANTERIOR]]="NÃO","NÃO",_xlfn.XLOOKUP(autocompAlmoco[[#This Row],[COMP ESCALA ANTERIOR]],tabE.Flux[COMP.AT. MOT B],tabE.Flux[LINHA],"NÃO",0,1))</f>
        <v>NÃO</v>
      </c>
      <c r="K203" s="62" t="str">
        <f>IF(AND(autocompAlmoco[[#This Row],[EXISTE MOT A ANT]]="NÃO",autocompAlmoco[[#This Row],[EXISTE MOT B ANT]]="NÃO"),"NÃO","SIM")</f>
        <v>NÃO</v>
      </c>
      <c r="L203" s="59" t="str">
        <f>_xlfn.CONCAT(T223+1,"+",X223)</f>
        <v>45937+KLEBER OLIVEIRA LIMA - 5849</v>
      </c>
      <c r="M203" s="73" t="str">
        <f>IF(autocompAlmoco[[#This Row],[COMP ESCALA POSTERIOR]]="NÃO","NÃO",_xlfn.XLOOKUP(autocompAlmoco[[#This Row],[COMP ESCALA POSTERIOR]],tabE.Flux[COMP.AT. MOT A],tabE.Flux[LINHA],"NÃO",0,1))</f>
        <v>NÃO</v>
      </c>
      <c r="N203" s="73" t="str">
        <f>IF(autocompAlmoco[[#This Row],[COMP ESCALA POSTERIOR]]="NÃO","NÃO",_xlfn.XLOOKUP(autocompAlmoco[[#This Row],[COMP ESCALA POSTERIOR]],tabE.Flux[COMP.AT. MOT B],tabE.Flux[LINHA],"NÃO",0,1))</f>
        <v>NÃO</v>
      </c>
      <c r="O203" s="65" t="str">
        <f>IF(AND(autocompAlmoco[[#This Row],[EXISTE MOT A POS]]="NÃO",autocompAlmoco[[#This Row],[EXISTE MOT B POS]]="NÃO"),"NÃO","SIM")</f>
        <v>NÃO</v>
      </c>
      <c r="P203" s="66" t="str" cm="1">
        <f t="array" ref="P20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03" s="103" t="str" cm="1">
        <f t="array" ref="Q20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45932+JOSE POLICARPO DE SOUSA NETO - 1472+GOIANIA (GO) X SAO LUIS (MA)</v>
      </c>
      <c r="R203" s="67">
        <f>_xlfn.XLOOKUP(autocompAlmoco[[#This Row],[COMP ESCALA]],tabE.Flux[COMP. ESCALA MOT B],tabE.Flux[CARRO],
(_xlfn.XLOOKUP(autocompAlmoco[[#This Row],[COMP ESCALA]],tabE.Flux[COMP. ESCALA MOT A],tabE.Flux[CARRO],"N/E",0,1)),0,1)</f>
        <v>24010</v>
      </c>
      <c r="S203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203" s="127">
        <v>45932</v>
      </c>
      <c r="U203" s="131">
        <f>IF(IFERROR(autocompAlmoco[[#This Row],[CORRESP. CARRO]],"")="NÃO",(IF(tabAlmoco[[#This Row],[MOTORISTA]]=0,"","PASSE?")),autocompAlmoco[[#This Row],[CORRESP. CARRO]])</f>
        <v>24010</v>
      </c>
      <c r="V203" s="126">
        <f>IF(OR(ISERR(autocompAlmoco[[#This Row],[CORRESP HORARIO]]), autocompAlmoco[[#This Row],[CORRESP HORARIO]]&lt;&gt;"NÃO"),autocompAlmoco[[#This Row],[CORRESP HORARIO]],"")</f>
        <v>0.79166666666666663</v>
      </c>
      <c r="W203" s="1" t="s">
        <v>299</v>
      </c>
      <c r="X203" s="1" t="s">
        <v>54</v>
      </c>
      <c r="Y203" s="1">
        <f>IF(tabAlmoco[[#This Row],[MOTORISTA]]="","",COUNTIF(autocompAlmoco[COMP ESCALA ATUAL],autocompAlmoco[[#This Row],[COMP ESCALA ATUAL]]))</f>
        <v>1</v>
      </c>
      <c r="Z203" s="105">
        <f>IF(tabAlmoco[[#This Row],[MOTORISTA]]&lt;&gt;0,15,"")</f>
        <v>15</v>
      </c>
      <c r="AA203" s="131" t="str">
        <f>autocompAlmoco[[#This Row],[CORRESP LINHA]]</f>
        <v>GOIANIA (GO) X SAO LUIS (MA)</v>
      </c>
      <c r="AB203" s="161"/>
    </row>
    <row r="204" spans="2:28" ht="15" customHeight="1" x14ac:dyDescent="0.25">
      <c r="C204" s="157" t="s">
        <v>226</v>
      </c>
      <c r="D204" s="56" t="str">
        <f>IF(tabAlmoco[[#This Row],[MOTORISTA]]="","",_xlfn.CONCAT(tabAlmoco[[#This Row],[DATA]],"+",tabAlmoco[[#This Row],[MOTORISTA]]))</f>
        <v>45932+GILVAN DE SOUSA FRANCA - 5834</v>
      </c>
      <c r="E204" s="56" t="str">
        <f>_xlfn.XLOOKUP(autocompAlmoco[[#This Row],[COMP ESCALA ATUAL]],tabE.Flux[COMP.AT. MOT A],tabE.Flux[LINHA],"NÃO",0,1)</f>
        <v>NÃO</v>
      </c>
      <c r="F204" s="56" t="str">
        <f>_xlfn.XLOOKUP(autocompAlmoco[[#This Row],[COMP ESCALA ATUAL]],tabE.Flux[COMP.AT. MOT B],tabE.Flux[LINHA],"NÃO",0,1)</f>
        <v>NÃO</v>
      </c>
      <c r="G204" s="61" t="str">
        <f>IF(AND(autocompAlmoco[[#This Row],[EXISTE MOT A AT]]="NÃO", autocompAlmoco[[#This Row],[EXISTE MOT B AT]]="NÃO"),"NÃO","SIM")</f>
        <v>NÃO</v>
      </c>
      <c r="H204" s="57" t="str">
        <f>IF(autocompAlmoco[[#This Row],[EXISTE ESCALA ATUAL]]="NÃO",_xlfn.CONCAT(tabAlmoco[[#This Row],[DATA]]-1,"+",tabAlmoco[[#This Row],[MOTORISTA]]),"NÃO")</f>
        <v>45931+GILVAN DE SOUSA FRANCA - 5834</v>
      </c>
      <c r="I204" s="57" t="str">
        <f>IF(autocompAlmoco[[#This Row],[COMP ESCALA ANTERIOR]]="NÃO","NÃO",_xlfn.XLOOKUP(autocompAlmoco[[#This Row],[COMP ESCALA ANTERIOR]],tabE.Flux[COMP.AT. MOT A],tabE.Flux[LINHA],"NÃO",0,1))</f>
        <v>NÃO</v>
      </c>
      <c r="J204" s="58" t="str">
        <f>IF(autocompAlmoco[[#This Row],[COMP ESCALA ANTERIOR]]="NÃO","NÃO",_xlfn.XLOOKUP(autocompAlmoco[[#This Row],[COMP ESCALA ANTERIOR]],tabE.Flux[COMP.AT. MOT B],tabE.Flux[LINHA],"NÃO",0,1))</f>
        <v>NÃO</v>
      </c>
      <c r="K204" s="62" t="str">
        <f>IF(AND(autocompAlmoco[[#This Row],[EXISTE MOT A ANT]]="NÃO",autocompAlmoco[[#This Row],[EXISTE MOT B ANT]]="NÃO"),"NÃO","SIM")</f>
        <v>NÃO</v>
      </c>
      <c r="L204" s="59" t="str">
        <f>_xlfn.CONCAT(T228+1,"+",X228)</f>
        <v>45937+JOSE CLAUDIMAR  CUNHA - 5652</v>
      </c>
      <c r="M204" s="73" t="str">
        <f>IF(autocompAlmoco[[#This Row],[COMP ESCALA POSTERIOR]]="NÃO","NÃO",_xlfn.XLOOKUP(autocompAlmoco[[#This Row],[COMP ESCALA POSTERIOR]],tabE.Flux[COMP.AT. MOT A],tabE.Flux[LINHA],"NÃO",0,1))</f>
        <v>NÃO</v>
      </c>
      <c r="N204" s="73" t="str">
        <f>IF(autocompAlmoco[[#This Row],[COMP ESCALA POSTERIOR]]="NÃO","NÃO",_xlfn.XLOOKUP(autocompAlmoco[[#This Row],[COMP ESCALA POSTERIOR]],tabE.Flux[COMP.AT. MOT B],tabE.Flux[LINHA],"NÃO",0,1))</f>
        <v>NÃO</v>
      </c>
      <c r="O204" s="65" t="str">
        <f>IF(AND(autocompAlmoco[[#This Row],[EXISTE MOT A POS]]="NÃO",autocompAlmoco[[#This Row],[EXISTE MOT B POS]]="NÃO"),"NÃO","SIM")</f>
        <v>NÃO</v>
      </c>
      <c r="P204" s="66" t="str" cm="1">
        <f t="array" ref="P20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04" s="103" t="str" cm="1">
        <f t="array" ref="Q20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04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04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04" s="127">
        <v>45932</v>
      </c>
      <c r="U204" s="131">
        <v>19018</v>
      </c>
      <c r="V204" s="126" t="s">
        <v>1234</v>
      </c>
      <c r="W204" s="1" t="s">
        <v>299</v>
      </c>
      <c r="X204" s="1" t="s">
        <v>35</v>
      </c>
      <c r="Y204" s="1">
        <f>IF(tabAlmoco[[#This Row],[MOTORISTA]]="","",COUNTIF(autocompAlmoco[COMP ESCALA ATUAL],autocompAlmoco[[#This Row],[COMP ESCALA ATUAL]]))</f>
        <v>1</v>
      </c>
      <c r="Z204" s="105">
        <f>IF(tabAlmoco[[#This Row],[MOTORISTA]]&lt;&gt;0,15,"")</f>
        <v>15</v>
      </c>
      <c r="AA204" s="131" t="s">
        <v>1234</v>
      </c>
      <c r="AB204" s="161"/>
    </row>
    <row r="205" spans="2:28" ht="15" customHeight="1" x14ac:dyDescent="0.25">
      <c r="C205" s="157" t="s">
        <v>226</v>
      </c>
      <c r="D205" s="56" t="str">
        <f>IF(tabAlmoco[[#This Row],[MOTORISTA]]="","",_xlfn.CONCAT(tabAlmoco[[#This Row],[DATA]],"+",tabAlmoco[[#This Row],[MOTORISTA]]))</f>
        <v>45932+RAINERIO COSTA MENDES - 5850</v>
      </c>
      <c r="E205" s="56" t="str">
        <f>_xlfn.XLOOKUP(autocompAlmoco[[#This Row],[COMP ESCALA ATUAL]],tabE.Flux[COMP.AT. MOT A],tabE.Flux[LINHA],"NÃO",0,1)</f>
        <v>NÃO</v>
      </c>
      <c r="F205" s="56" t="str">
        <f>_xlfn.XLOOKUP(autocompAlmoco[[#This Row],[COMP ESCALA ATUAL]],tabE.Flux[COMP.AT. MOT B],tabE.Flux[LINHA],"NÃO",0,1)</f>
        <v>NÃO</v>
      </c>
      <c r="G205" s="61" t="str">
        <f>IF(AND(autocompAlmoco[[#This Row],[EXISTE MOT A AT]]="NÃO", autocompAlmoco[[#This Row],[EXISTE MOT B AT]]="NÃO"),"NÃO","SIM")</f>
        <v>NÃO</v>
      </c>
      <c r="H205" s="57" t="str">
        <f>IF(autocompAlmoco[[#This Row],[EXISTE ESCALA ATUAL]]="NÃO",_xlfn.CONCAT(tabAlmoco[[#This Row],[DATA]]-1,"+",tabAlmoco[[#This Row],[MOTORISTA]]),"NÃO")</f>
        <v>45931+RAINERIO COSTA MENDES - 5850</v>
      </c>
      <c r="I205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05" s="58" t="str">
        <f>IF(autocompAlmoco[[#This Row],[COMP ESCALA ANTERIOR]]="NÃO","NÃO",_xlfn.XLOOKUP(autocompAlmoco[[#This Row],[COMP ESCALA ANTERIOR]],tabE.Flux[COMP.AT. MOT B],tabE.Flux[LINHA],"NÃO",0,1))</f>
        <v>NÃO</v>
      </c>
      <c r="K205" s="62" t="str">
        <f>IF(AND(autocompAlmoco[[#This Row],[EXISTE MOT A ANT]]="NÃO",autocompAlmoco[[#This Row],[EXISTE MOT B ANT]]="NÃO"),"NÃO","SIM")</f>
        <v>SIM</v>
      </c>
      <c r="L205" s="59" t="str">
        <f>_xlfn.CONCAT(T235+1,"+",X235)</f>
        <v>45938+EDIVALDO DE ARAUJO - 6217</v>
      </c>
      <c r="M205" s="73" t="str">
        <f>IF(autocompAlmoco[[#This Row],[COMP ESCALA POSTERIOR]]="NÃO","NÃO",_xlfn.XLOOKUP(autocompAlmoco[[#This Row],[COMP ESCALA POSTERIOR]],tabE.Flux[COMP.AT. MOT A],tabE.Flux[LINHA],"NÃO",0,1))</f>
        <v>NÃO</v>
      </c>
      <c r="N205" s="73" t="str">
        <f>IF(autocompAlmoco[[#This Row],[COMP ESCALA POSTERIOR]]="NÃO","NÃO",_xlfn.XLOOKUP(autocompAlmoco[[#This Row],[COMP ESCALA POSTERIOR]],tabE.Flux[COMP.AT. MOT B],tabE.Flux[LINHA],"NÃO",0,1))</f>
        <v>NÃO</v>
      </c>
      <c r="O205" s="65" t="str">
        <f>IF(AND(autocompAlmoco[[#This Row],[EXISTE MOT A POS]]="NÃO",autocompAlmoco[[#This Row],[EXISTE MOT B POS]]="NÃO"),"NÃO","SIM")</f>
        <v>NÃO</v>
      </c>
      <c r="P205" s="66" t="str" cm="1">
        <f t="array" ref="P20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05" s="103" t="str" cm="1">
        <f t="array" ref="Q20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45931+RAINERIO COSTA MENDES - 5850+GOIANIA (GO) X TERESINA (PI) VIA STI</v>
      </c>
      <c r="R205" s="67">
        <f>_xlfn.XLOOKUP(autocompAlmoco[[#This Row],[COMP ESCALA]],tabE.Flux[COMP. ESCALA MOT B],tabE.Flux[CARRO],
(_xlfn.XLOOKUP(autocompAlmoco[[#This Row],[COMP ESCALA]],tabE.Flux[COMP. ESCALA MOT A],tabE.Flux[CARRO],"N/E",0,1)),0,1)</f>
        <v>19018</v>
      </c>
      <c r="S205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05" s="127">
        <v>45932</v>
      </c>
      <c r="U205" s="131">
        <f>IF(IFERROR(autocompAlmoco[[#This Row],[CORRESP. CARRO]],"")="NÃO",(IF(tabAlmoco[[#This Row],[MOTORISTA]]=0,"","PASSE?")),autocompAlmoco[[#This Row],[CORRESP. CARRO]])</f>
        <v>19018</v>
      </c>
      <c r="V205" s="126">
        <f>IF(OR(ISERR(autocompAlmoco[[#This Row],[CORRESP HORARIO]]), autocompAlmoco[[#This Row],[CORRESP HORARIO]]&lt;&gt;"NÃO"),autocompAlmoco[[#This Row],[CORRESP HORARIO]],"")</f>
        <v>0.79861111111111116</v>
      </c>
      <c r="W205" s="1" t="s">
        <v>299</v>
      </c>
      <c r="X205" s="1" t="s">
        <v>108</v>
      </c>
      <c r="Y205" s="1">
        <f>IF(tabAlmoco[[#This Row],[MOTORISTA]]="","",COUNTIF(autocompAlmoco[COMP ESCALA ATUAL],autocompAlmoco[[#This Row],[COMP ESCALA ATUAL]]))</f>
        <v>1</v>
      </c>
      <c r="Z205" s="105">
        <f>IF(tabAlmoco[[#This Row],[MOTORISTA]]&lt;&gt;0,15,"")</f>
        <v>15</v>
      </c>
      <c r="AA205" s="131" t="str">
        <f>autocompAlmoco[[#This Row],[CORRESP LINHA]]</f>
        <v>GOIANIA (GO) X TERESINA (PI) VIA STI</v>
      </c>
      <c r="AB205" s="161"/>
    </row>
    <row r="206" spans="2:28" ht="15" customHeight="1" x14ac:dyDescent="0.25">
      <c r="B206" s="159"/>
      <c r="C206" s="157" t="s">
        <v>226</v>
      </c>
      <c r="D206" s="56" t="str">
        <f>IF(tabAlmoco[[#This Row],[MOTORISTA]]="","",_xlfn.CONCAT(tabAlmoco[[#This Row],[DATA]],"+",tabAlmoco[[#This Row],[MOTORISTA]]))</f>
        <v>45933+CLODOALDO PEREIRA DE LIMA - 4067</v>
      </c>
      <c r="E206" s="56" t="str">
        <f>_xlfn.XLOOKUP(autocompAlmoco[[#This Row],[COMP ESCALA ATUAL]],tabE.Flux[COMP.AT. MOT A],tabE.Flux[LINHA],"NÃO",0,1)</f>
        <v>NÃO</v>
      </c>
      <c r="F206" s="56" t="str">
        <f>_xlfn.XLOOKUP(autocompAlmoco[[#This Row],[COMP ESCALA ATUAL]],tabE.Flux[COMP.AT. MOT B],tabE.Flux[LINHA],"NÃO",0,1)</f>
        <v>NÃO</v>
      </c>
      <c r="G206" s="61" t="str">
        <f>IF(AND(autocompAlmoco[[#This Row],[EXISTE MOT A AT]]="NÃO", autocompAlmoco[[#This Row],[EXISTE MOT B AT]]="NÃO"),"NÃO","SIM")</f>
        <v>NÃO</v>
      </c>
      <c r="H206" s="57" t="str">
        <f>IF(autocompAlmoco[[#This Row],[EXISTE ESCALA ATUAL]]="NÃO",_xlfn.CONCAT(tabAlmoco[[#This Row],[DATA]]-1,"+",tabAlmoco[[#This Row],[MOTORISTA]]),"NÃO")</f>
        <v>45932+CLODOALDO PEREIRA DE LIMA - 4067</v>
      </c>
      <c r="I206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206" s="58" t="str">
        <f>IF(autocompAlmoco[[#This Row],[COMP ESCALA ANTERIOR]]="NÃO","NÃO",_xlfn.XLOOKUP(autocompAlmoco[[#This Row],[COMP ESCALA ANTERIOR]],tabE.Flux[COMP.AT. MOT B],tabE.Flux[LINHA],"NÃO",0,1))</f>
        <v>NÃO</v>
      </c>
      <c r="K206" s="62" t="str">
        <f>IF(AND(autocompAlmoco[[#This Row],[EXISTE MOT A ANT]]="NÃO",autocompAlmoco[[#This Row],[EXISTE MOT B ANT]]="NÃO"),"NÃO","SIM")</f>
        <v>SIM</v>
      </c>
      <c r="L206" s="59" t="str">
        <f>_xlfn.CONCAT(T241+1,"+",X241)</f>
        <v>45939+JOSE ALVES DA ROCHA - 5035</v>
      </c>
      <c r="M206" s="73" t="str">
        <f>IF(autocompAlmoco[[#This Row],[COMP ESCALA POSTERIOR]]="NÃO","NÃO",_xlfn.XLOOKUP(autocompAlmoco[[#This Row],[COMP ESCALA POSTERIOR]],tabE.Flux[COMP.AT. MOT A],tabE.Flux[LINHA],"NÃO",0,1))</f>
        <v>NÃO</v>
      </c>
      <c r="N206" s="73" t="str">
        <f>IF(autocompAlmoco[[#This Row],[COMP ESCALA POSTERIOR]]="NÃO","NÃO",_xlfn.XLOOKUP(autocompAlmoco[[#This Row],[COMP ESCALA POSTERIOR]],tabE.Flux[COMP.AT. MOT B],tabE.Flux[LINHA],"NÃO",0,1))</f>
        <v>NÃO</v>
      </c>
      <c r="O206" s="65" t="str">
        <f>IF(AND(autocompAlmoco[[#This Row],[EXISTE MOT A POS]]="NÃO",autocompAlmoco[[#This Row],[EXISTE MOT B POS]]="NÃO"),"NÃO","SIM")</f>
        <v>NÃO</v>
      </c>
      <c r="P206" s="66" t="str" cm="1">
        <f t="array" ref="P20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206" s="103" t="str" cm="1">
        <f t="array" ref="Q20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45932+CLODOALDO PEREIRA DE LIMA - 4067+FORTALEZA (CE) X SINOP (MT)</v>
      </c>
      <c r="R206" s="67">
        <f>_xlfn.XLOOKUP(autocompAlmoco[[#This Row],[COMP ESCALA]],tabE.Flux[COMP. ESCALA MOT B],tabE.Flux[CARRO],
(_xlfn.XLOOKUP(autocompAlmoco[[#This Row],[COMP ESCALA]],tabE.Flux[COMP. ESCALA MOT A],tabE.Flux[CARRO],"N/E",0,1)),0,1)</f>
        <v>20017</v>
      </c>
      <c r="S206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206" s="125">
        <v>45933</v>
      </c>
      <c r="U206" s="4">
        <f>IF(IFERROR(autocompAlmoco[[#This Row],[CORRESP. CARRO]],"")="NÃO",(IF(tabAlmoco[[#This Row],[MOTORISTA]]=0,"","PASSE?")),autocompAlmoco[[#This Row],[CORRESP. CARRO]])</f>
        <v>20017</v>
      </c>
      <c r="V206" s="126">
        <f>IF(OR(ISERR(autocompAlmoco[[#This Row],[CORRESP HORARIO]]), autocompAlmoco[[#This Row],[CORRESP HORARIO]]&lt;&gt;"NÃO"),autocompAlmoco[[#This Row],[CORRESP HORARIO]],"")</f>
        <v>0.37708333333333333</v>
      </c>
      <c r="W206" s="1" t="s">
        <v>299</v>
      </c>
      <c r="X206" s="1" t="s">
        <v>109</v>
      </c>
      <c r="Y206" s="1">
        <f>IF(tabAlmoco[[#This Row],[MOTORISTA]]="","",COUNTIF(autocompAlmoco[COMP ESCALA ATUAL],autocompAlmoco[[#This Row],[COMP ESCALA ATUAL]]))</f>
        <v>1</v>
      </c>
      <c r="Z206" s="105">
        <f>IF(tabAlmoco[[#This Row],[MOTORISTA]]&lt;&gt;0,15,"")</f>
        <v>15</v>
      </c>
      <c r="AA206" s="4" t="str">
        <f>autocompAlmoco[[#This Row],[CORRESP LINHA]]</f>
        <v>FORTALEZA (CE) X SINOP (MT)</v>
      </c>
      <c r="AB206" s="161"/>
    </row>
    <row r="207" spans="2:28" ht="15" customHeight="1" x14ac:dyDescent="0.25">
      <c r="B207" s="159"/>
      <c r="C207" s="157" t="s">
        <v>226</v>
      </c>
      <c r="D207" s="56" t="str">
        <f>IF(tabAlmoco[[#This Row],[MOTORISTA]]="","",_xlfn.CONCAT(tabAlmoco[[#This Row],[DATA]],"+",tabAlmoco[[#This Row],[MOTORISTA]]))</f>
        <v>45933+MARCIO DE SOUSA BRASILEIRO - 5828</v>
      </c>
      <c r="E207" s="56" t="str">
        <f>_xlfn.XLOOKUP(autocompAlmoco[[#This Row],[COMP ESCALA ATUAL]],tabE.Flux[COMP.AT. MOT A],tabE.Flux[LINHA],"NÃO",0,1)</f>
        <v>NÃO</v>
      </c>
      <c r="F207" s="56" t="str">
        <f>_xlfn.XLOOKUP(autocompAlmoco[[#This Row],[COMP ESCALA ATUAL]],tabE.Flux[COMP.AT. MOT B],tabE.Flux[LINHA],"NÃO",0,1)</f>
        <v>FORTALEZA (CE) X SINOP (MT)</v>
      </c>
      <c r="G207" s="61" t="str">
        <f>IF(AND(autocompAlmoco[[#This Row],[EXISTE MOT A AT]]="NÃO", autocompAlmoco[[#This Row],[EXISTE MOT B AT]]="NÃO"),"NÃO","SIM")</f>
        <v>SIM</v>
      </c>
      <c r="H207" s="57" t="str">
        <f>IF(autocompAlmoco[[#This Row],[EXISTE ESCALA ATUAL]]="NÃO",_xlfn.CONCAT(tabAlmoco[[#This Row],[DATA]]-1,"+",tabAlmoco[[#This Row],[MOTORISTA]]),"NÃO")</f>
        <v>NÃO</v>
      </c>
      <c r="I207" s="57" t="str">
        <f>IF(autocompAlmoco[[#This Row],[COMP ESCALA ANTERIOR]]="NÃO","NÃO",_xlfn.XLOOKUP(autocompAlmoco[[#This Row],[COMP ESCALA ANTERIOR]],tabE.Flux[COMP.AT. MOT A],tabE.Flux[LINHA],"NÃO",0,1))</f>
        <v>NÃO</v>
      </c>
      <c r="J207" s="58" t="str">
        <f>IF(autocompAlmoco[[#This Row],[COMP ESCALA ANTERIOR]]="NÃO","NÃO",_xlfn.XLOOKUP(autocompAlmoco[[#This Row],[COMP ESCALA ANTERIOR]],tabE.Flux[COMP.AT. MOT B],tabE.Flux[LINHA],"NÃO",0,1))</f>
        <v>NÃO</v>
      </c>
      <c r="K207" s="62" t="str">
        <f>IF(AND(autocompAlmoco[[#This Row],[EXISTE MOT A ANT]]="NÃO",autocompAlmoco[[#This Row],[EXISTE MOT B ANT]]="NÃO"),"NÃO","SIM")</f>
        <v>NÃO</v>
      </c>
      <c r="L207" s="59" t="str">
        <f>_xlfn.CONCAT(T211+1,"+",X211)</f>
        <v>45934+KAYLSON KLEYTON DA SILVA COSTA - 6224</v>
      </c>
      <c r="M207" s="59" t="str">
        <f>IF(autocompAlmoco[[#This Row],[COMP ESCALA POSTERIOR]]="NÃO","NÃO",_xlfn.XLOOKUP(autocompAlmoco[[#This Row],[COMP ESCALA POSTERIOR]],tabE.Flux[COMP.AT. MOT A],tabE.Flux[LINHA],"NÃO",0,1))</f>
        <v>NÃO</v>
      </c>
      <c r="N207" s="59" t="str">
        <f>IF(autocompAlmoco[[#This Row],[COMP ESCALA POSTERIOR]]="NÃO","NÃO",_xlfn.XLOOKUP(autocompAlmoco[[#This Row],[COMP ESCALA POSTERIOR]],tabE.Flux[COMP.AT. MOT B],tabE.Flux[LINHA],"NÃO",0,1))</f>
        <v>NÃO</v>
      </c>
      <c r="O207" s="65" t="str">
        <f>IF(AND(autocompAlmoco[[#This Row],[EXISTE MOT A POS]]="NÃO",autocompAlmoco[[#This Row],[EXISTE MOT B POS]]="NÃO"),"NÃO","SIM")</f>
        <v>NÃO</v>
      </c>
      <c r="P207" s="66" t="str" cm="1">
        <f t="array" ref="P20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207" s="103" t="str" cm="1">
        <f t="array" ref="Q20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45933+MARCIO DE SOUSA BRASILEIRO - 5828+FORTALEZA (CE) X SINOP (MT)</v>
      </c>
      <c r="R207" s="67">
        <f>_xlfn.XLOOKUP(autocompAlmoco[[#This Row],[COMP ESCALA]],tabE.Flux[COMP. ESCALA MOT B],tabE.Flux[CARRO],
(_xlfn.XLOOKUP(autocompAlmoco[[#This Row],[COMP ESCALA]],tabE.Flux[COMP. ESCALA MOT A],tabE.Flux[CARRO],"N/E",0,1)),0,1)</f>
        <v>19011</v>
      </c>
      <c r="S207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207" s="125">
        <v>45933</v>
      </c>
      <c r="U207" s="4">
        <f>IF(IFERROR(autocompAlmoco[[#This Row],[CORRESP. CARRO]],"")="NÃO",(IF(tabAlmoco[[#This Row],[MOTORISTA]]=0,"","PASSE?")),autocompAlmoco[[#This Row],[CORRESP. CARRO]])</f>
        <v>19011</v>
      </c>
      <c r="V207" s="126">
        <f>IF(OR(ISERR(autocompAlmoco[[#This Row],[CORRESP HORARIO]]), autocompAlmoco[[#This Row],[CORRESP HORARIO]]&lt;&gt;"NÃO"),autocompAlmoco[[#This Row],[CORRESP HORARIO]],"")</f>
        <v>0.37708333333333333</v>
      </c>
      <c r="W207" s="1" t="s">
        <v>299</v>
      </c>
      <c r="X207" s="1" t="s">
        <v>129</v>
      </c>
      <c r="Y207" s="1">
        <f>IF(tabAlmoco[[#This Row],[MOTORISTA]]="","",COUNTIF(autocompAlmoco[COMP ESCALA ATUAL],autocompAlmoco[[#This Row],[COMP ESCALA ATUAL]]))</f>
        <v>1</v>
      </c>
      <c r="Z207" s="105">
        <f>IF(tabAlmoco[[#This Row],[MOTORISTA]]&lt;&gt;0,15,"")</f>
        <v>15</v>
      </c>
      <c r="AA207" s="4" t="str">
        <f>autocompAlmoco[[#This Row],[CORRESP LINHA]]</f>
        <v>FORTALEZA (CE) X SINOP (MT)</v>
      </c>
    </row>
    <row r="208" spans="2:28" ht="15" customHeight="1" x14ac:dyDescent="0.25">
      <c r="B208" s="159"/>
      <c r="C208" s="157" t="s">
        <v>226</v>
      </c>
      <c r="D208" s="56" t="str">
        <f>IF(tabAlmoco[[#This Row],[MOTORISTA]]="","",_xlfn.CONCAT(tabAlmoco[[#This Row],[DATA]],"+",tabAlmoco[[#This Row],[MOTORISTA]]))</f>
        <v>45933+FRANCISCO ALVES DA PAZ JUNIOR - 1247</v>
      </c>
      <c r="E208" s="56" t="str">
        <f>_xlfn.XLOOKUP(autocompAlmoco[[#This Row],[COMP ESCALA ATUAL]],tabE.Flux[COMP.AT. MOT A],tabE.Flux[LINHA],"NÃO",0,1)</f>
        <v>NÃO</v>
      </c>
      <c r="F208" s="56" t="str">
        <f>_xlfn.XLOOKUP(autocompAlmoco[[#This Row],[COMP ESCALA ATUAL]],tabE.Flux[COMP.AT. MOT B],tabE.Flux[LINHA],"NÃO",0,1)</f>
        <v>NÃO</v>
      </c>
      <c r="G208" s="61" t="str">
        <f>IF(AND(autocompAlmoco[[#This Row],[EXISTE MOT A AT]]="NÃO", autocompAlmoco[[#This Row],[EXISTE MOT B AT]]="NÃO"),"NÃO","SIM")</f>
        <v>NÃO</v>
      </c>
      <c r="H208" s="57" t="str">
        <f>IF(autocompAlmoco[[#This Row],[EXISTE ESCALA ATUAL]]="NÃO",_xlfn.CONCAT(tabAlmoco[[#This Row],[DATA]]-1,"+",tabAlmoco[[#This Row],[MOTORISTA]]),"NÃO")</f>
        <v>45932+FRANCISCO ALVES DA PAZ JUNIOR - 1247</v>
      </c>
      <c r="I208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08" s="58" t="str">
        <f>IF(autocompAlmoco[[#This Row],[COMP ESCALA ANTERIOR]]="NÃO","NÃO",_xlfn.XLOOKUP(autocompAlmoco[[#This Row],[COMP ESCALA ANTERIOR]],tabE.Flux[COMP.AT. MOT B],tabE.Flux[LINHA],"NÃO",0,1))</f>
        <v>NÃO</v>
      </c>
      <c r="K208" s="62" t="str">
        <f>IF(AND(autocompAlmoco[[#This Row],[EXISTE MOT A ANT]]="NÃO",autocompAlmoco[[#This Row],[EXISTE MOT B ANT]]="NÃO"),"NÃO","SIM")</f>
        <v>SIM</v>
      </c>
      <c r="L208" s="59" t="str">
        <f>_xlfn.CONCAT(T217+1,"+",X217)</f>
        <v>45935+CARLOS ADRIANO DE SOUZA DO NASCIMENTO - 6222</v>
      </c>
      <c r="M208" s="59" t="str">
        <f>IF(autocompAlmoco[[#This Row],[COMP ESCALA POSTERIOR]]="NÃO","NÃO",_xlfn.XLOOKUP(autocompAlmoco[[#This Row],[COMP ESCALA POSTERIOR]],tabE.Flux[COMP.AT. MOT A],tabE.Flux[LINHA],"NÃO",0,1))</f>
        <v>NÃO</v>
      </c>
      <c r="N208" s="59" t="str">
        <f>IF(autocompAlmoco[[#This Row],[COMP ESCALA POSTERIOR]]="NÃO","NÃO",_xlfn.XLOOKUP(autocompAlmoco[[#This Row],[COMP ESCALA POSTERIOR]],tabE.Flux[COMP.AT. MOT B],tabE.Flux[LINHA],"NÃO",0,1))</f>
        <v>NÃO</v>
      </c>
      <c r="O208" s="65" t="str">
        <f>IF(AND(autocompAlmoco[[#This Row],[EXISTE MOT A POS]]="NÃO",autocompAlmoco[[#This Row],[EXISTE MOT B POS]]="NÃO"),"NÃO","SIM")</f>
        <v>NÃO</v>
      </c>
      <c r="P208" s="66" t="str" cm="1">
        <f t="array" ref="P20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08" s="103" t="str" cm="1">
        <f t="array" ref="Q20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45932+FRANCISCO ALVES DA PAZ JUNIOR - 1247+GOIANIA (GO) X TERESINA (PI) VIA STI</v>
      </c>
      <c r="R208" s="67">
        <f>_xlfn.XLOOKUP(autocompAlmoco[[#This Row],[COMP ESCALA]],tabE.Flux[COMP. ESCALA MOT B],tabE.Flux[CARRO],
(_xlfn.XLOOKUP(autocompAlmoco[[#This Row],[COMP ESCALA]],tabE.Flux[COMP. ESCALA MOT A],tabE.Flux[CARRO],"N/E",0,1)),0,1)</f>
        <v>19005</v>
      </c>
      <c r="S208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08" s="125">
        <v>45933</v>
      </c>
      <c r="U208" s="131">
        <f>IF(IFERROR(autocompAlmoco[[#This Row],[CORRESP. CARRO]],"")="NÃO",(IF(tabAlmoco[[#This Row],[MOTORISTA]]=0,"","PASSE?")),autocompAlmoco[[#This Row],[CORRESP. CARRO]])</f>
        <v>19005</v>
      </c>
      <c r="V208" s="126">
        <f>IF(OR(ISERR(autocompAlmoco[[#This Row],[CORRESP HORARIO]]), autocompAlmoco[[#This Row],[CORRESP HORARIO]]&lt;&gt;"NÃO"),autocompAlmoco[[#This Row],[CORRESP HORARIO]],"")</f>
        <v>0.79861111111111116</v>
      </c>
      <c r="W208" s="1" t="s">
        <v>299</v>
      </c>
      <c r="X208" s="1" t="s">
        <v>144</v>
      </c>
      <c r="Y208" s="1">
        <f>IF(tabAlmoco[[#This Row],[MOTORISTA]]="","",COUNTIF(autocompAlmoco[COMP ESCALA ATUAL],autocompAlmoco[[#This Row],[COMP ESCALA ATUAL]]))</f>
        <v>1</v>
      </c>
      <c r="Z208" s="105">
        <f>IF(tabAlmoco[[#This Row],[MOTORISTA]]&lt;&gt;0,15,"")</f>
        <v>15</v>
      </c>
      <c r="AA208" s="131" t="str">
        <f>autocompAlmoco[[#This Row],[CORRESP LINHA]]</f>
        <v>GOIANIA (GO) X TERESINA (PI) VIA STI</v>
      </c>
    </row>
    <row r="209" spans="2:27" ht="15" customHeight="1" x14ac:dyDescent="0.25">
      <c r="B209" s="159"/>
      <c r="C209" s="157" t="s">
        <v>226</v>
      </c>
      <c r="D209" s="56" t="str">
        <f>IF(tabAlmoco[[#This Row],[MOTORISTA]]="","",_xlfn.CONCAT(tabAlmoco[[#This Row],[DATA]],"+",tabAlmoco[[#This Row],[MOTORISTA]]))</f>
        <v>45933+ANTONIO JOSE PEREIRA SOARES - 1774</v>
      </c>
      <c r="E209" s="56" t="str">
        <f>_xlfn.XLOOKUP(autocompAlmoco[[#This Row],[COMP ESCALA ATUAL]],tabE.Flux[COMP.AT. MOT A],tabE.Flux[LINHA],"NÃO",0,1)</f>
        <v>NÃO</v>
      </c>
      <c r="F209" s="56" t="str">
        <f>_xlfn.XLOOKUP(autocompAlmoco[[#This Row],[COMP ESCALA ATUAL]],tabE.Flux[COMP.AT. MOT B],tabE.Flux[LINHA],"NÃO",0,1)</f>
        <v>GOIANIA (GO) X SAO LUIS (MA)</v>
      </c>
      <c r="G209" s="61" t="str">
        <f>IF(AND(autocompAlmoco[[#This Row],[EXISTE MOT A AT]]="NÃO", autocompAlmoco[[#This Row],[EXISTE MOT B AT]]="NÃO"),"NÃO","SIM")</f>
        <v>SIM</v>
      </c>
      <c r="H209" s="57" t="str">
        <f>IF(autocompAlmoco[[#This Row],[EXISTE ESCALA ATUAL]]="NÃO",_xlfn.CONCAT(tabAlmoco[[#This Row],[DATA]]-1,"+",tabAlmoco[[#This Row],[MOTORISTA]]),"NÃO")</f>
        <v>NÃO</v>
      </c>
      <c r="I209" s="57" t="str">
        <f>IF(autocompAlmoco[[#This Row],[COMP ESCALA ANTERIOR]]="NÃO","NÃO",_xlfn.XLOOKUP(autocompAlmoco[[#This Row],[COMP ESCALA ANTERIOR]],tabE.Flux[COMP.AT. MOT A],tabE.Flux[LINHA],"NÃO",0,1))</f>
        <v>NÃO</v>
      </c>
      <c r="J209" s="58" t="str">
        <f>IF(autocompAlmoco[[#This Row],[COMP ESCALA ANTERIOR]]="NÃO","NÃO",_xlfn.XLOOKUP(autocompAlmoco[[#This Row],[COMP ESCALA ANTERIOR]],tabE.Flux[COMP.AT. MOT B],tabE.Flux[LINHA],"NÃO",0,1))</f>
        <v>NÃO</v>
      </c>
      <c r="K209" s="62" t="str">
        <f>IF(AND(autocompAlmoco[[#This Row],[EXISTE MOT A ANT]]="NÃO",autocompAlmoco[[#This Row],[EXISTE MOT B ANT]]="NÃO"),"NÃO","SIM")</f>
        <v>NÃO</v>
      </c>
      <c r="L209" s="59" t="str">
        <f>_xlfn.CONCAT(T218+1,"+",X218)</f>
        <v>45936+JAME DOS SANTOS MOURA - 5332</v>
      </c>
      <c r="M209" s="59" t="str">
        <f>IF(autocompAlmoco[[#This Row],[COMP ESCALA POSTERIOR]]="NÃO","NÃO",_xlfn.XLOOKUP(autocompAlmoco[[#This Row],[COMP ESCALA POSTERIOR]],tabE.Flux[COMP.AT. MOT A],tabE.Flux[LINHA],"NÃO",0,1))</f>
        <v>NÃO</v>
      </c>
      <c r="N209" s="59" t="str">
        <f>IF(autocompAlmoco[[#This Row],[COMP ESCALA POSTERIOR]]="NÃO","NÃO",_xlfn.XLOOKUP(autocompAlmoco[[#This Row],[COMP ESCALA POSTERIOR]],tabE.Flux[COMP.AT. MOT B],tabE.Flux[LINHA],"NÃO",0,1))</f>
        <v>NÃO</v>
      </c>
      <c r="O209" s="65" t="str">
        <f>IF(AND(autocompAlmoco[[#This Row],[EXISTE MOT A POS]]="NÃO",autocompAlmoco[[#This Row],[EXISTE MOT B POS]]="NÃO"),"NÃO","SIM")</f>
        <v>NÃO</v>
      </c>
      <c r="P209" s="66" t="str" cm="1">
        <f t="array" ref="P20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09" s="103" t="str" cm="1">
        <f t="array" ref="Q20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45933+ANTONIO JOSE PEREIRA SOARES - 1774+GOIANIA (GO) X SAO LUIS (MA)</v>
      </c>
      <c r="R209" s="67">
        <f>_xlfn.XLOOKUP(autocompAlmoco[[#This Row],[COMP ESCALA]],tabE.Flux[COMP. ESCALA MOT B],tabE.Flux[CARRO],
(_xlfn.XLOOKUP(autocompAlmoco[[#This Row],[COMP ESCALA]],tabE.Flux[COMP. ESCALA MOT A],tabE.Flux[CARRO],"N/E",0,1)),0,1)</f>
        <v>19019</v>
      </c>
      <c r="S209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09" s="125">
        <v>45933</v>
      </c>
      <c r="U209" s="131">
        <f>IF(IFERROR(autocompAlmoco[[#This Row],[CORRESP. CARRO]],"")="NÃO",(IF(tabAlmoco[[#This Row],[MOTORISTA]]=0,"","PASSE?")),autocompAlmoco[[#This Row],[CORRESP. CARRO]])</f>
        <v>19019</v>
      </c>
      <c r="V209" s="126">
        <f>IF(OR(ISERR(autocompAlmoco[[#This Row],[CORRESP HORARIO]]), autocompAlmoco[[#This Row],[CORRESP HORARIO]]&lt;&gt;"NÃO"),autocompAlmoco[[#This Row],[CORRESP HORARIO]],"")</f>
        <v>0.47013888888888888</v>
      </c>
      <c r="W209" s="1" t="s">
        <v>299</v>
      </c>
      <c r="X209" s="1" t="s">
        <v>52</v>
      </c>
      <c r="Y209" s="1">
        <f>IF(tabAlmoco[[#This Row],[MOTORISTA]]="","",COUNTIF(autocompAlmoco[COMP ESCALA ATUAL],autocompAlmoco[[#This Row],[COMP ESCALA ATUAL]]))</f>
        <v>1</v>
      </c>
      <c r="Z209" s="105">
        <f>IF(tabAlmoco[[#This Row],[MOTORISTA]]&lt;&gt;0,15,"")</f>
        <v>15</v>
      </c>
      <c r="AA209" s="131" t="str">
        <f>autocompAlmoco[[#This Row],[CORRESP LINHA]]</f>
        <v>GOIANIA (GO) X SAO LUIS (MA)</v>
      </c>
    </row>
    <row r="210" spans="2:27" ht="15" customHeight="1" x14ac:dyDescent="0.25">
      <c r="B210" s="159"/>
      <c r="C210" s="157" t="s">
        <v>226</v>
      </c>
      <c r="D210" s="56" t="str">
        <f>IF(tabAlmoco[[#This Row],[MOTORISTA]]="","",_xlfn.CONCAT(tabAlmoco[[#This Row],[DATA]],"+",tabAlmoco[[#This Row],[MOTORISTA]]))</f>
        <v>45933+GILVAN DE SOUSA FRANCA - 5834</v>
      </c>
      <c r="E210" s="56" t="str">
        <f>_xlfn.XLOOKUP(autocompAlmoco[[#This Row],[COMP ESCALA ATUAL]],tabE.Flux[COMP.AT. MOT A],tabE.Flux[LINHA],"NÃO",0,1)</f>
        <v>NÃO</v>
      </c>
      <c r="F210" s="56" t="str">
        <f>_xlfn.XLOOKUP(autocompAlmoco[[#This Row],[COMP ESCALA ATUAL]],tabE.Flux[COMP.AT. MOT B],tabE.Flux[LINHA],"NÃO",0,1)</f>
        <v>NÃO</v>
      </c>
      <c r="G210" s="61" t="str">
        <f>IF(AND(autocompAlmoco[[#This Row],[EXISTE MOT A AT]]="NÃO", autocompAlmoco[[#This Row],[EXISTE MOT B AT]]="NÃO"),"NÃO","SIM")</f>
        <v>NÃO</v>
      </c>
      <c r="H210" s="57" t="str">
        <f>IF(autocompAlmoco[[#This Row],[EXISTE ESCALA ATUAL]]="NÃO",_xlfn.CONCAT(tabAlmoco[[#This Row],[DATA]]-1,"+",tabAlmoco[[#This Row],[MOTORISTA]]),"NÃO")</f>
        <v>45932+GILVAN DE SOUSA FRANCA - 5834</v>
      </c>
      <c r="I210" s="57" t="str">
        <f>IF(autocompAlmoco[[#This Row],[COMP ESCALA ANTERIOR]]="NÃO","NÃO",_xlfn.XLOOKUP(autocompAlmoco[[#This Row],[COMP ESCALA ANTERIOR]],tabE.Flux[COMP.AT. MOT A],tabE.Flux[LINHA],"NÃO",0,1))</f>
        <v>NÃO</v>
      </c>
      <c r="J210" s="58" t="str">
        <f>IF(autocompAlmoco[[#This Row],[COMP ESCALA ANTERIOR]]="NÃO","NÃO",_xlfn.XLOOKUP(autocompAlmoco[[#This Row],[COMP ESCALA ANTERIOR]],tabE.Flux[COMP.AT. MOT B],tabE.Flux[LINHA],"NÃO",0,1))</f>
        <v>NÃO</v>
      </c>
      <c r="K210" s="62" t="str">
        <f>IF(AND(autocompAlmoco[[#This Row],[EXISTE MOT A ANT]]="NÃO",autocompAlmoco[[#This Row],[EXISTE MOT B ANT]]="NÃO"),"NÃO","SIM")</f>
        <v>NÃO</v>
      </c>
      <c r="L210" s="59" t="str">
        <f>_xlfn.CONCAT(T223+1,"+",X223)</f>
        <v>45937+KLEBER OLIVEIRA LIMA - 5849</v>
      </c>
      <c r="M210" s="59" t="str">
        <f>IF(autocompAlmoco[[#This Row],[COMP ESCALA POSTERIOR]]="NÃO","NÃO",_xlfn.XLOOKUP(autocompAlmoco[[#This Row],[COMP ESCALA POSTERIOR]],tabE.Flux[COMP.AT. MOT A],tabE.Flux[LINHA],"NÃO",0,1))</f>
        <v>NÃO</v>
      </c>
      <c r="N210" s="59" t="str">
        <f>IF(autocompAlmoco[[#This Row],[COMP ESCALA POSTERIOR]]="NÃO","NÃO",_xlfn.XLOOKUP(autocompAlmoco[[#This Row],[COMP ESCALA POSTERIOR]],tabE.Flux[COMP.AT. MOT B],tabE.Flux[LINHA],"NÃO",0,1))</f>
        <v>NÃO</v>
      </c>
      <c r="O210" s="65" t="str">
        <f>IF(AND(autocompAlmoco[[#This Row],[EXISTE MOT A POS]]="NÃO",autocompAlmoco[[#This Row],[EXISTE MOT B POS]]="NÃO"),"NÃO","SIM")</f>
        <v>NÃO</v>
      </c>
      <c r="P210" s="66" t="str" cm="1">
        <f t="array" ref="P21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10" s="103" t="str" cm="1">
        <f t="array" ref="Q21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10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10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10" s="125">
        <v>45933</v>
      </c>
      <c r="U210" s="131">
        <v>19010</v>
      </c>
      <c r="V210" s="126" t="s">
        <v>1234</v>
      </c>
      <c r="W210" s="1" t="s">
        <v>299</v>
      </c>
      <c r="X210" s="1" t="s">
        <v>35</v>
      </c>
      <c r="Y210" s="1">
        <f>IF(tabAlmoco[[#This Row],[MOTORISTA]]="","",COUNTIF(autocompAlmoco[COMP ESCALA ATUAL],autocompAlmoco[[#This Row],[COMP ESCALA ATUAL]]))</f>
        <v>1</v>
      </c>
      <c r="Z210" s="105">
        <f>IF(tabAlmoco[[#This Row],[MOTORISTA]]&lt;&gt;0,15,"")</f>
        <v>15</v>
      </c>
      <c r="AA210" s="131" t="s">
        <v>1234</v>
      </c>
    </row>
    <row r="211" spans="2:27" ht="15" customHeight="1" x14ac:dyDescent="0.25">
      <c r="B211" s="159"/>
      <c r="C211" s="157" t="s">
        <v>226</v>
      </c>
      <c r="D211" s="56" t="str">
        <f>IF(tabAlmoco[[#This Row],[MOTORISTA]]="","",_xlfn.CONCAT(tabAlmoco[[#This Row],[DATA]],"+",tabAlmoco[[#This Row],[MOTORISTA]]))</f>
        <v>45933+KAYLSON KLEYTON DA SILVA COSTA - 6224</v>
      </c>
      <c r="E211" s="56" t="str">
        <f>_xlfn.XLOOKUP(autocompAlmoco[[#This Row],[COMP ESCALA ATUAL]],tabE.Flux[COMP.AT. MOT A],tabE.Flux[LINHA],"NÃO",0,1)</f>
        <v>NÃO</v>
      </c>
      <c r="F211" s="56" t="str">
        <f>_xlfn.XLOOKUP(autocompAlmoco[[#This Row],[COMP ESCALA ATUAL]],tabE.Flux[COMP.AT. MOT B],tabE.Flux[LINHA],"NÃO",0,1)</f>
        <v>IMPERATRIZ (MA) X SÃO LUIS (MA)</v>
      </c>
      <c r="G211" s="61" t="str">
        <f>IF(AND(autocompAlmoco[[#This Row],[EXISTE MOT A AT]]="NÃO", autocompAlmoco[[#This Row],[EXISTE MOT B AT]]="NÃO"),"NÃO","SIM")</f>
        <v>SIM</v>
      </c>
      <c r="H211" s="57" t="str">
        <f>IF(autocompAlmoco[[#This Row],[EXISTE ESCALA ATUAL]]="NÃO",_xlfn.CONCAT(tabAlmoco[[#This Row],[DATA]]-1,"+",tabAlmoco[[#This Row],[MOTORISTA]]),"NÃO")</f>
        <v>NÃO</v>
      </c>
      <c r="I211" s="57" t="str">
        <f>IF(autocompAlmoco[[#This Row],[COMP ESCALA ANTERIOR]]="NÃO","NÃO",_xlfn.XLOOKUP(autocompAlmoco[[#This Row],[COMP ESCALA ANTERIOR]],tabE.Flux[COMP.AT. MOT A],tabE.Flux[LINHA],"NÃO",0,1))</f>
        <v>NÃO</v>
      </c>
      <c r="J211" s="58" t="str">
        <f>IF(autocompAlmoco[[#This Row],[COMP ESCALA ANTERIOR]]="NÃO","NÃO",_xlfn.XLOOKUP(autocompAlmoco[[#This Row],[COMP ESCALA ANTERIOR]],tabE.Flux[COMP.AT. MOT B],tabE.Flux[LINHA],"NÃO",0,1))</f>
        <v>NÃO</v>
      </c>
      <c r="K211" s="62" t="str">
        <f>IF(AND(autocompAlmoco[[#This Row],[EXISTE MOT A ANT]]="NÃO",autocompAlmoco[[#This Row],[EXISTE MOT B ANT]]="NÃO"),"NÃO","SIM")</f>
        <v>NÃO</v>
      </c>
      <c r="L211" s="59" t="str">
        <f>_xlfn.CONCAT(T228+1,"+",X228)</f>
        <v>45937+JOSE CLAUDIMAR  CUNHA - 5652</v>
      </c>
      <c r="M211" s="59" t="str">
        <f>IF(autocompAlmoco[[#This Row],[COMP ESCALA POSTERIOR]]="NÃO","NÃO",_xlfn.XLOOKUP(autocompAlmoco[[#This Row],[COMP ESCALA POSTERIOR]],tabE.Flux[COMP.AT. MOT A],tabE.Flux[LINHA],"NÃO",0,1))</f>
        <v>NÃO</v>
      </c>
      <c r="N211" s="59" t="str">
        <f>IF(autocompAlmoco[[#This Row],[COMP ESCALA POSTERIOR]]="NÃO","NÃO",_xlfn.XLOOKUP(autocompAlmoco[[#This Row],[COMP ESCALA POSTERIOR]],tabE.Flux[COMP.AT. MOT B],tabE.Flux[LINHA],"NÃO",0,1))</f>
        <v>NÃO</v>
      </c>
      <c r="O211" s="65" t="str">
        <f>IF(AND(autocompAlmoco[[#This Row],[EXISTE MOT A POS]]="NÃO",autocompAlmoco[[#This Row],[EXISTE MOT B POS]]="NÃO"),"NÃO","SIM")</f>
        <v>NÃO</v>
      </c>
      <c r="P211" s="66" t="str" cm="1">
        <f t="array" ref="P21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IMPERATRIZ (MA) X SÃO LUIS (MA)</v>
      </c>
      <c r="Q211" s="103" t="str" cm="1">
        <f t="array" ref="Q21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45933+KAYLSON KLEYTON DA SILVA COSTA - 6224+IMPERATRIZ (MA) X SÃO LUIS (MA)</v>
      </c>
      <c r="R211" s="67">
        <f>_xlfn.XLOOKUP(autocompAlmoco[[#This Row],[COMP ESCALA]],tabE.Flux[COMP. ESCALA MOT B],tabE.Flux[CARRO],
(_xlfn.XLOOKUP(autocompAlmoco[[#This Row],[COMP ESCALA]],tabE.Flux[COMP. ESCALA MOT A],tabE.Flux[CARRO],"N/E",0,1)),0,1)</f>
        <v>18016</v>
      </c>
      <c r="S211" s="130">
        <f>_xlfn.XLOOKUP(autocompAlmoco[[#This Row],[COMP ESCALA]],tabE.Flux[COMP. ESCALA MOT A],tabE.Flux[HORARIO],(_xlfn.XLOOKUP(autocompAlmoco[[#This Row],[COMP ESCALA]],tabE.Flux[COMP. ESCALA MOT B],tabE.Flux[HORARIO],"N/E",0,1)),0,1)</f>
        <v>0.8125</v>
      </c>
      <c r="T211" s="127">
        <v>45933</v>
      </c>
      <c r="U211" s="4">
        <f>IF(IFERROR(autocompAlmoco[[#This Row],[CORRESP. CARRO]],"")="NÃO",(IF(tabAlmoco[[#This Row],[MOTORISTA]]=0,"","PASSE?")),autocompAlmoco[[#This Row],[CORRESP. CARRO]])</f>
        <v>18016</v>
      </c>
      <c r="V211" s="128">
        <f>IF(OR(ISERR(autocompAlmoco[[#This Row],[CORRESP HORARIO]]), autocompAlmoco[[#This Row],[CORRESP HORARIO]]&lt;&gt;"NÃO"),autocompAlmoco[[#This Row],[CORRESP HORARIO]],"")</f>
        <v>0.8125</v>
      </c>
      <c r="W211" s="4" t="s">
        <v>299</v>
      </c>
      <c r="X211" s="4" t="s">
        <v>80</v>
      </c>
      <c r="Y211" s="4">
        <f>IF(tabAlmoco[[#This Row],[MOTORISTA]]="","",COUNTIF(autocompAlmoco[COMP ESCALA ATUAL],autocompAlmoco[[#This Row],[COMP ESCALA ATUAL]]))</f>
        <v>1</v>
      </c>
      <c r="Z211" s="45">
        <f>IF(tabAlmoco[[#This Row],[MOTORISTA]]&lt;&gt;0,15,"")</f>
        <v>15</v>
      </c>
      <c r="AA211" s="4" t="str">
        <f>autocompAlmoco[[#This Row],[CORRESP LINHA]]</f>
        <v>IMPERATRIZ (MA) X SÃO LUIS (MA)</v>
      </c>
    </row>
    <row r="212" spans="2:27" ht="15" customHeight="1" x14ac:dyDescent="0.25">
      <c r="B212" s="159"/>
      <c r="C212" s="157" t="s">
        <v>226</v>
      </c>
      <c r="D212" s="56" t="str">
        <f>IF(tabAlmoco[[#This Row],[MOTORISTA]]="","",_xlfn.CONCAT(tabAlmoco[[#This Row],[DATA]],"+",tabAlmoco[[#This Row],[MOTORISTA]]))</f>
        <v>45933+VALDEY OLIVEIRA ARAUJO - 2790</v>
      </c>
      <c r="E212" s="56" t="str">
        <f>_xlfn.XLOOKUP(autocompAlmoco[[#This Row],[COMP ESCALA ATUAL]],tabE.Flux[COMP.AT. MOT A],tabE.Flux[LINHA],"NÃO",0,1)</f>
        <v>NÃO</v>
      </c>
      <c r="F212" s="56" t="str">
        <f>_xlfn.XLOOKUP(autocompAlmoco[[#This Row],[COMP ESCALA ATUAL]],tabE.Flux[COMP.AT. MOT B],tabE.Flux[LINHA],"NÃO",0,1)</f>
        <v>NÃO</v>
      </c>
      <c r="G212" s="61" t="str">
        <f>IF(AND(autocompAlmoco[[#This Row],[EXISTE MOT A AT]]="NÃO", autocompAlmoco[[#This Row],[EXISTE MOT B AT]]="NÃO"),"NÃO","SIM")</f>
        <v>NÃO</v>
      </c>
      <c r="H212" s="57" t="str">
        <f>IF(autocompAlmoco[[#This Row],[EXISTE ESCALA ATUAL]]="NÃO",_xlfn.CONCAT(tabAlmoco[[#This Row],[DATA]]-1,"+",tabAlmoco[[#This Row],[MOTORISTA]]),"NÃO")</f>
        <v>45932+VALDEY OLIVEIRA ARAUJO - 2790</v>
      </c>
      <c r="I212" s="57" t="str">
        <f>IF(autocompAlmoco[[#This Row],[COMP ESCALA ANTERIOR]]="NÃO","NÃO",_xlfn.XLOOKUP(autocompAlmoco[[#This Row],[COMP ESCALA ANTERIOR]],tabE.Flux[COMP.AT. MOT A],tabE.Flux[LINHA],"NÃO",0,1))</f>
        <v>GOIANIA (GO) X SAO LUIS (MA)</v>
      </c>
      <c r="J212" s="58" t="str">
        <f>IF(autocompAlmoco[[#This Row],[COMP ESCALA ANTERIOR]]="NÃO","NÃO",_xlfn.XLOOKUP(autocompAlmoco[[#This Row],[COMP ESCALA ANTERIOR]],tabE.Flux[COMP.AT. MOT B],tabE.Flux[LINHA],"NÃO",0,1))</f>
        <v>NÃO</v>
      </c>
      <c r="K212" s="62" t="str">
        <f>IF(AND(autocompAlmoco[[#This Row],[EXISTE MOT A ANT]]="NÃO",autocompAlmoco[[#This Row],[EXISTE MOT B ANT]]="NÃO"),"NÃO","SIM")</f>
        <v>SIM</v>
      </c>
      <c r="L212" s="59" t="str">
        <f>_xlfn.CONCAT(T235+1,"+",X235)</f>
        <v>45938+EDIVALDO DE ARAUJO - 6217</v>
      </c>
      <c r="M212" s="59" t="str">
        <f>IF(autocompAlmoco[[#This Row],[COMP ESCALA POSTERIOR]]="NÃO","NÃO",_xlfn.XLOOKUP(autocompAlmoco[[#This Row],[COMP ESCALA POSTERIOR]],tabE.Flux[COMP.AT. MOT A],tabE.Flux[LINHA],"NÃO",0,1))</f>
        <v>NÃO</v>
      </c>
      <c r="N212" s="59" t="str">
        <f>IF(autocompAlmoco[[#This Row],[COMP ESCALA POSTERIOR]]="NÃO","NÃO",_xlfn.XLOOKUP(autocompAlmoco[[#This Row],[COMP ESCALA POSTERIOR]],tabE.Flux[COMP.AT. MOT B],tabE.Flux[LINHA],"NÃO",0,1))</f>
        <v>NÃO</v>
      </c>
      <c r="O212" s="65" t="str">
        <f>IF(AND(autocompAlmoco[[#This Row],[EXISTE MOT A POS]]="NÃO",autocompAlmoco[[#This Row],[EXISTE MOT B POS]]="NÃO"),"NÃO","SIM")</f>
        <v>NÃO</v>
      </c>
      <c r="P212" s="66" t="str" cm="1">
        <f t="array" ref="P21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12" s="103" t="str" cm="1">
        <f t="array" ref="Q21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45932+VALDEY OLIVEIRA ARAUJO - 2790+GOIANIA (GO) X SAO LUIS (MA)</v>
      </c>
      <c r="R212" s="67">
        <f>_xlfn.XLOOKUP(autocompAlmoco[[#This Row],[COMP ESCALA]],tabE.Flux[COMP. ESCALA MOT B],tabE.Flux[CARRO],
(_xlfn.XLOOKUP(autocompAlmoco[[#This Row],[COMP ESCALA]],tabE.Flux[COMP. ESCALA MOT A],tabE.Flux[CARRO],"N/E",0,1)),0,1)</f>
        <v>24001</v>
      </c>
      <c r="S212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212" s="127">
        <v>45933</v>
      </c>
      <c r="U212" s="4">
        <f>IF(IFERROR(autocompAlmoco[[#This Row],[CORRESP. CARRO]],"")="NÃO",(IF(tabAlmoco[[#This Row],[MOTORISTA]]=0,"","PASSE?")),autocompAlmoco[[#This Row],[CORRESP. CARRO]])</f>
        <v>24001</v>
      </c>
      <c r="V212" s="126">
        <f>IF(OR(ISERR(autocompAlmoco[[#This Row],[CORRESP HORARIO]]), autocompAlmoco[[#This Row],[CORRESP HORARIO]]&lt;&gt;"NÃO"),autocompAlmoco[[#This Row],[CORRESP HORARIO]],"")</f>
        <v>0.84375</v>
      </c>
      <c r="W212" s="1" t="s">
        <v>299</v>
      </c>
      <c r="X212" s="1" t="s">
        <v>34</v>
      </c>
      <c r="Y212" s="1">
        <f>IF(tabAlmoco[[#This Row],[MOTORISTA]]="","",COUNTIF(autocompAlmoco[COMP ESCALA ATUAL],autocompAlmoco[[#This Row],[COMP ESCALA ATUAL]]))</f>
        <v>1</v>
      </c>
      <c r="Z212" s="105">
        <f>IF(tabAlmoco[[#This Row],[MOTORISTA]]&lt;&gt;0,15,"")</f>
        <v>15</v>
      </c>
      <c r="AA212" s="4" t="str">
        <f>autocompAlmoco[[#This Row],[CORRESP LINHA]]</f>
        <v>GOIANIA (GO) X SAO LUIS (MA)</v>
      </c>
    </row>
    <row r="213" spans="2:27" ht="15" customHeight="1" x14ac:dyDescent="0.25">
      <c r="B213" s="159"/>
      <c r="C213" s="157" t="s">
        <v>226</v>
      </c>
      <c r="D213" s="56" t="str">
        <f>IF(tabAlmoco[[#This Row],[MOTORISTA]]="","",_xlfn.CONCAT(tabAlmoco[[#This Row],[DATA]],"+",tabAlmoco[[#This Row],[MOTORISTA]]))</f>
        <v>45934+ANDSON WAGNER NASCIMENTO SOUZA - 2902</v>
      </c>
      <c r="E213" s="56" t="str">
        <f>_xlfn.XLOOKUP(autocompAlmoco[[#This Row],[COMP ESCALA ATUAL]],tabE.Flux[COMP.AT. MOT A],tabE.Flux[LINHA],"NÃO",0,1)</f>
        <v>NÃO</v>
      </c>
      <c r="F213" s="56" t="str">
        <f>_xlfn.XLOOKUP(autocompAlmoco[[#This Row],[COMP ESCALA ATUAL]],tabE.Flux[COMP.AT. MOT B],tabE.Flux[LINHA],"NÃO",0,1)</f>
        <v>GOIANIA (GO) X SAO LUIS (MA)</v>
      </c>
      <c r="G213" s="61" t="str">
        <f>IF(AND(autocompAlmoco[[#This Row],[EXISTE MOT A AT]]="NÃO", autocompAlmoco[[#This Row],[EXISTE MOT B AT]]="NÃO"),"NÃO","SIM")</f>
        <v>SIM</v>
      </c>
      <c r="H213" s="57" t="str">
        <f>IF(autocompAlmoco[[#This Row],[EXISTE ESCALA ATUAL]]="NÃO",_xlfn.CONCAT(tabAlmoco[[#This Row],[DATA]]-1,"+",tabAlmoco[[#This Row],[MOTORISTA]]),"NÃO")</f>
        <v>NÃO</v>
      </c>
      <c r="I213" s="57" t="str">
        <f>IF(autocompAlmoco[[#This Row],[COMP ESCALA ANTERIOR]]="NÃO","NÃO",_xlfn.XLOOKUP(autocompAlmoco[[#This Row],[COMP ESCALA ANTERIOR]],tabE.Flux[COMP.AT. MOT A],tabE.Flux[LINHA],"NÃO",0,1))</f>
        <v>NÃO</v>
      </c>
      <c r="J213" s="58" t="str">
        <f>IF(autocompAlmoco[[#This Row],[COMP ESCALA ANTERIOR]]="NÃO","NÃO",_xlfn.XLOOKUP(autocompAlmoco[[#This Row],[COMP ESCALA ANTERIOR]],tabE.Flux[COMP.AT. MOT B],tabE.Flux[LINHA],"NÃO",0,1))</f>
        <v>NÃO</v>
      </c>
      <c r="K213" s="62" t="str">
        <f>IF(AND(autocompAlmoco[[#This Row],[EXISTE MOT A ANT]]="NÃO",autocompAlmoco[[#This Row],[EXISTE MOT B ANT]]="NÃO"),"NÃO","SIM")</f>
        <v>NÃO</v>
      </c>
      <c r="L213" s="59" t="str">
        <f>_xlfn.CONCAT(T241+1,"+",X241)</f>
        <v>45939+JOSE ALVES DA ROCHA - 5035</v>
      </c>
      <c r="M213" s="59" t="str">
        <f>IF(autocompAlmoco[[#This Row],[COMP ESCALA POSTERIOR]]="NÃO","NÃO",_xlfn.XLOOKUP(autocompAlmoco[[#This Row],[COMP ESCALA POSTERIOR]],tabE.Flux[COMP.AT. MOT A],tabE.Flux[LINHA],"NÃO",0,1))</f>
        <v>NÃO</v>
      </c>
      <c r="N213" s="59" t="str">
        <f>IF(autocompAlmoco[[#This Row],[COMP ESCALA POSTERIOR]]="NÃO","NÃO",_xlfn.XLOOKUP(autocompAlmoco[[#This Row],[COMP ESCALA POSTERIOR]],tabE.Flux[COMP.AT. MOT B],tabE.Flux[LINHA],"NÃO",0,1))</f>
        <v>NÃO</v>
      </c>
      <c r="O213" s="65" t="str">
        <f>IF(AND(autocompAlmoco[[#This Row],[EXISTE MOT A POS]]="NÃO",autocompAlmoco[[#This Row],[EXISTE MOT B POS]]="NÃO"),"NÃO","SIM")</f>
        <v>NÃO</v>
      </c>
      <c r="P213" s="66" t="str" cm="1">
        <f t="array" ref="P21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13" s="103" t="str" cm="1">
        <f t="array" ref="Q21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45934+ANDSON WAGNER NASCIMENTO SOUZA - 2902+GOIANIA (GO) X SAO LUIS (MA)</v>
      </c>
      <c r="R213" s="67">
        <f>_xlfn.XLOOKUP(autocompAlmoco[[#This Row],[COMP ESCALA]],tabE.Flux[COMP. ESCALA MOT B],tabE.Flux[CARRO],
(_xlfn.XLOOKUP(autocompAlmoco[[#This Row],[COMP ESCALA]],tabE.Flux[COMP. ESCALA MOT A],tabE.Flux[CARRO],"N/E",0,1)),0,1)</f>
        <v>24012</v>
      </c>
      <c r="S213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213" s="127">
        <v>45934</v>
      </c>
      <c r="U213" s="131">
        <f>IF(IFERROR(autocompAlmoco[[#This Row],[CORRESP. CARRO]],"")="NÃO",(IF(tabAlmoco[[#This Row],[MOTORISTA]]=0,"","PASSE?")),autocompAlmoco[[#This Row],[CORRESP. CARRO]])</f>
        <v>24012</v>
      </c>
      <c r="V213" s="126">
        <f>IF(OR(ISERR(autocompAlmoco[[#This Row],[CORRESP HORARIO]]), autocompAlmoco[[#This Row],[CORRESP HORARIO]]&lt;&gt;"NÃO"),autocompAlmoco[[#This Row],[CORRESP HORARIO]],"")</f>
        <v>0.79166666666666663</v>
      </c>
      <c r="W213" s="1" t="s">
        <v>299</v>
      </c>
      <c r="X213" s="1" t="s">
        <v>232</v>
      </c>
      <c r="Y213" s="1">
        <f>IF(tabAlmoco[[#This Row],[MOTORISTA]]="","",COUNTIF(autocompAlmoco[COMP ESCALA ATUAL],autocompAlmoco[[#This Row],[COMP ESCALA ATUAL]]))</f>
        <v>1</v>
      </c>
      <c r="Z213" s="105">
        <f>IF(tabAlmoco[[#This Row],[MOTORISTA]]&lt;&gt;0,15,"")</f>
        <v>15</v>
      </c>
      <c r="AA213" s="131" t="str">
        <f>autocompAlmoco[[#This Row],[CORRESP LINHA]]</f>
        <v>GOIANIA (GO) X SAO LUIS (MA)</v>
      </c>
    </row>
    <row r="214" spans="2:27" ht="15" customHeight="1" x14ac:dyDescent="0.25">
      <c r="B214" s="159"/>
      <c r="C214" s="157" t="s">
        <v>226</v>
      </c>
      <c r="D214" s="56" t="str">
        <f>IF(tabAlmoco[[#This Row],[MOTORISTA]]="","",_xlfn.CONCAT(tabAlmoco[[#This Row],[DATA]],"+",tabAlmoco[[#This Row],[MOTORISTA]]))</f>
        <v>45934+ANTONIO JOSE PEREIRA SOARES - 1774</v>
      </c>
      <c r="E214" s="56" t="str">
        <f>_xlfn.XLOOKUP(autocompAlmoco[[#This Row],[COMP ESCALA ATUAL]],tabE.Flux[COMP.AT. MOT A],tabE.Flux[LINHA],"NÃO",0,1)</f>
        <v>NÃO</v>
      </c>
      <c r="F214" s="56" t="str">
        <f>_xlfn.XLOOKUP(autocompAlmoco[[#This Row],[COMP ESCALA ATUAL]],tabE.Flux[COMP.AT. MOT B],tabE.Flux[LINHA],"NÃO",0,1)</f>
        <v>NÃO</v>
      </c>
      <c r="G214" s="61" t="str">
        <f>IF(AND(autocompAlmoco[[#This Row],[EXISTE MOT A AT]]="NÃO", autocompAlmoco[[#This Row],[EXISTE MOT B AT]]="NÃO"),"NÃO","SIM")</f>
        <v>NÃO</v>
      </c>
      <c r="H214" s="57" t="str">
        <f>IF(autocompAlmoco[[#This Row],[EXISTE ESCALA ATUAL]]="NÃO",_xlfn.CONCAT(tabAlmoco[[#This Row],[DATA]]-1,"+",tabAlmoco[[#This Row],[MOTORISTA]]),"NÃO")</f>
        <v>45933+ANTONIO JOSE PEREIRA SOARES - 1774</v>
      </c>
      <c r="I214" s="57" t="str">
        <f>IF(autocompAlmoco[[#This Row],[COMP ESCALA ANTERIOR]]="NÃO","NÃO",_xlfn.XLOOKUP(autocompAlmoco[[#This Row],[COMP ESCALA ANTERIOR]],tabE.Flux[COMP.AT. MOT A],tabE.Flux[LINHA],"NÃO",0,1))</f>
        <v>NÃO</v>
      </c>
      <c r="J214" s="58" t="str">
        <f>IF(autocompAlmoco[[#This Row],[COMP ESCALA ANTERIOR]]="NÃO","NÃO",_xlfn.XLOOKUP(autocompAlmoco[[#This Row],[COMP ESCALA ANTERIOR]],tabE.Flux[COMP.AT. MOT B],tabE.Flux[LINHA],"NÃO",0,1))</f>
        <v>GOIANIA (GO) X SAO LUIS (MA)</v>
      </c>
      <c r="K214" s="62" t="str">
        <f>IF(AND(autocompAlmoco[[#This Row],[EXISTE MOT A ANT]]="NÃO",autocompAlmoco[[#This Row],[EXISTE MOT B ANT]]="NÃO"),"NÃO","SIM")</f>
        <v>SIM</v>
      </c>
      <c r="L214" s="59" t="str">
        <f>_xlfn.CONCAT(T248+1,"+",X248)</f>
        <v>45940+JOSE ALVES DE FREITAS NETO - 5027</v>
      </c>
      <c r="M214" s="59" t="str">
        <f>IF(autocompAlmoco[[#This Row],[COMP ESCALA POSTERIOR]]="NÃO","NÃO",_xlfn.XLOOKUP(autocompAlmoco[[#This Row],[COMP ESCALA POSTERIOR]],tabE.Flux[COMP.AT. MOT A],tabE.Flux[LINHA],"NÃO",0,1))</f>
        <v>NÃO</v>
      </c>
      <c r="N214" s="59" t="str">
        <f>IF(autocompAlmoco[[#This Row],[COMP ESCALA POSTERIOR]]="NÃO","NÃO",_xlfn.XLOOKUP(autocompAlmoco[[#This Row],[COMP ESCALA POSTERIOR]],tabE.Flux[COMP.AT. MOT B],tabE.Flux[LINHA],"NÃO",0,1))</f>
        <v>NÃO</v>
      </c>
      <c r="O214" s="65" t="str">
        <f>IF(AND(autocompAlmoco[[#This Row],[EXISTE MOT A POS]]="NÃO",autocompAlmoco[[#This Row],[EXISTE MOT B POS]]="NÃO"),"NÃO","SIM")</f>
        <v>NÃO</v>
      </c>
      <c r="P214" s="66" t="str" cm="1">
        <f t="array" ref="P21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14" s="103" t="str" cm="1">
        <f t="array" ref="Q21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45933+ANTONIO JOSE PEREIRA SOARES - 1774+GOIANIA (GO) X SAO LUIS (MA)</v>
      </c>
      <c r="R214" s="67">
        <f>_xlfn.XLOOKUP(autocompAlmoco[[#This Row],[COMP ESCALA]],tabE.Flux[COMP. ESCALA MOT B],tabE.Flux[CARRO],
(_xlfn.XLOOKUP(autocompAlmoco[[#This Row],[COMP ESCALA]],tabE.Flux[COMP. ESCALA MOT A],tabE.Flux[CARRO],"N/E",0,1)),0,1)</f>
        <v>19019</v>
      </c>
      <c r="S214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14" s="127">
        <v>45934</v>
      </c>
      <c r="U214" s="131">
        <f>IF(IFERROR(autocompAlmoco[[#This Row],[CORRESP. CARRO]],"")="NÃO",(IF(tabAlmoco[[#This Row],[MOTORISTA]]=0,"","PASSE?")),autocompAlmoco[[#This Row],[CORRESP. CARRO]])</f>
        <v>19019</v>
      </c>
      <c r="V214" s="126">
        <f>IF(OR(ISERR(autocompAlmoco[[#This Row],[CORRESP HORARIO]]), autocompAlmoco[[#This Row],[CORRESP HORARIO]]&lt;&gt;"NÃO"),autocompAlmoco[[#This Row],[CORRESP HORARIO]],"")</f>
        <v>0.47013888888888888</v>
      </c>
      <c r="W214" s="1" t="s">
        <v>299</v>
      </c>
      <c r="X214" s="1" t="s">
        <v>52</v>
      </c>
      <c r="Y214" s="1">
        <f>IF(tabAlmoco[[#This Row],[MOTORISTA]]="","",COUNTIF(autocompAlmoco[COMP ESCALA ATUAL],autocompAlmoco[[#This Row],[COMP ESCALA ATUAL]]))</f>
        <v>1</v>
      </c>
      <c r="Z214" s="105">
        <f>IF(tabAlmoco[[#This Row],[MOTORISTA]]&lt;&gt;0,15,"")</f>
        <v>15</v>
      </c>
      <c r="AA214" s="131" t="str">
        <f>autocompAlmoco[[#This Row],[CORRESP LINHA]]</f>
        <v>GOIANIA (GO) X SAO LUIS (MA)</v>
      </c>
    </row>
    <row r="215" spans="2:27" ht="15" customHeight="1" x14ac:dyDescent="0.25">
      <c r="B215" s="159"/>
      <c r="C215" s="157" t="s">
        <v>226</v>
      </c>
      <c r="D215" s="56" t="str">
        <f>IF(tabAlmoco[[#This Row],[MOTORISTA]]="","",_xlfn.CONCAT(tabAlmoco[[#This Row],[DATA]],"+",tabAlmoco[[#This Row],[MOTORISTA]]))</f>
        <v>45934+ANTONIO MARQUES NETO DOS SANTOS - 1738</v>
      </c>
      <c r="E215" s="56" t="str">
        <f>_xlfn.XLOOKUP(autocompAlmoco[[#This Row],[COMP ESCALA ATUAL]],tabE.Flux[COMP.AT. MOT A],tabE.Flux[LINHA],"NÃO",0,1)</f>
        <v>NÃO</v>
      </c>
      <c r="F215" s="56" t="str">
        <f>_xlfn.XLOOKUP(autocompAlmoco[[#This Row],[COMP ESCALA ATUAL]],tabE.Flux[COMP.AT. MOT B],tabE.Flux[LINHA],"NÃO",0,1)</f>
        <v>NÃO</v>
      </c>
      <c r="G215" s="61" t="str">
        <f>IF(AND(autocompAlmoco[[#This Row],[EXISTE MOT A AT]]="NÃO", autocompAlmoco[[#This Row],[EXISTE MOT B AT]]="NÃO"),"NÃO","SIM")</f>
        <v>NÃO</v>
      </c>
      <c r="H215" s="57" t="str">
        <f>IF(autocompAlmoco[[#This Row],[EXISTE ESCALA ATUAL]]="NÃO",_xlfn.CONCAT(tabAlmoco[[#This Row],[DATA]]-1,"+",tabAlmoco[[#This Row],[MOTORISTA]]),"NÃO")</f>
        <v>45933+ANTONIO MARQUES NETO DOS SANTOS - 1738</v>
      </c>
      <c r="I215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15" s="58" t="str">
        <f>IF(autocompAlmoco[[#This Row],[COMP ESCALA ANTERIOR]]="NÃO","NÃO",_xlfn.XLOOKUP(autocompAlmoco[[#This Row],[COMP ESCALA ANTERIOR]],tabE.Flux[COMP.AT. MOT B],tabE.Flux[LINHA],"NÃO",0,1))</f>
        <v>NÃO</v>
      </c>
      <c r="K215" s="62" t="str">
        <f>IF(AND(autocompAlmoco[[#This Row],[EXISTE MOT A ANT]]="NÃO",autocompAlmoco[[#This Row],[EXISTE MOT B ANT]]="NÃO"),"NÃO","SIM")</f>
        <v>SIM</v>
      </c>
      <c r="L215" s="59" t="str">
        <f>_xlfn.CONCAT(T254+1,"+",X254)</f>
        <v>45941+CARLOS ADRIANO DE SOUZA DO NASCIMENTO - 6222</v>
      </c>
      <c r="M215" s="59" t="str">
        <f>IF(autocompAlmoco[[#This Row],[COMP ESCALA POSTERIOR]]="NÃO","NÃO",_xlfn.XLOOKUP(autocompAlmoco[[#This Row],[COMP ESCALA POSTERIOR]],tabE.Flux[COMP.AT. MOT A],tabE.Flux[LINHA],"NÃO",0,1))</f>
        <v>NÃO</v>
      </c>
      <c r="N215" s="59" t="str">
        <f>IF(autocompAlmoco[[#This Row],[COMP ESCALA POSTERIOR]]="NÃO","NÃO",_xlfn.XLOOKUP(autocompAlmoco[[#This Row],[COMP ESCALA POSTERIOR]],tabE.Flux[COMP.AT. MOT B],tabE.Flux[LINHA],"NÃO",0,1))</f>
        <v>NÃO</v>
      </c>
      <c r="O215" s="65" t="str">
        <f>IF(AND(autocompAlmoco[[#This Row],[EXISTE MOT A POS]]="NÃO",autocompAlmoco[[#This Row],[EXISTE MOT B POS]]="NÃO"),"NÃO","SIM")</f>
        <v>NÃO</v>
      </c>
      <c r="P215" s="66" t="str" cm="1">
        <f t="array" ref="P21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15" s="103" t="str" cm="1">
        <f t="array" ref="Q21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45933+ANTONIO MARQUES NETO DOS SANTOS - 1738+GOIANIA (GO) X TERESINA (PI) VIA STI</v>
      </c>
      <c r="R215" s="67">
        <f>_xlfn.XLOOKUP(autocompAlmoco[[#This Row],[COMP ESCALA]],tabE.Flux[COMP. ESCALA MOT B],tabE.Flux[CARRO],
(_xlfn.XLOOKUP(autocompAlmoco[[#This Row],[COMP ESCALA]],tabE.Flux[COMP. ESCALA MOT A],tabE.Flux[CARRO],"N/E",0,1)),0,1)</f>
        <v>19017</v>
      </c>
      <c r="S215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15" s="127">
        <v>45934</v>
      </c>
      <c r="U215" s="131">
        <f>IF(IFERROR(autocompAlmoco[[#This Row],[CORRESP. CARRO]],"")="NÃO",(IF(tabAlmoco[[#This Row],[MOTORISTA]]=0,"","PASSE?")),autocompAlmoco[[#This Row],[CORRESP. CARRO]])</f>
        <v>19017</v>
      </c>
      <c r="V215" s="126">
        <f>IF(OR(ISERR(autocompAlmoco[[#This Row],[CORRESP HORARIO]]), autocompAlmoco[[#This Row],[CORRESP HORARIO]]&lt;&gt;"NÃO"),autocompAlmoco[[#This Row],[CORRESP HORARIO]],"")</f>
        <v>0.79861111111111116</v>
      </c>
      <c r="W215" s="1" t="s">
        <v>299</v>
      </c>
      <c r="X215" s="1" t="s">
        <v>73</v>
      </c>
      <c r="Y215" s="1">
        <f>IF(tabAlmoco[[#This Row],[MOTORISTA]]="","",COUNTIF(autocompAlmoco[COMP ESCALA ATUAL],autocompAlmoco[[#This Row],[COMP ESCALA ATUAL]]))</f>
        <v>1</v>
      </c>
      <c r="Z215" s="105">
        <f>IF(tabAlmoco[[#This Row],[MOTORISTA]]&lt;&gt;0,15,"")</f>
        <v>15</v>
      </c>
      <c r="AA215" s="131" t="str">
        <f>autocompAlmoco[[#This Row],[CORRESP LINHA]]</f>
        <v>GOIANIA (GO) X TERESINA (PI) VIA STI</v>
      </c>
    </row>
    <row r="216" spans="2:27" ht="15" customHeight="1" x14ac:dyDescent="0.25">
      <c r="B216" s="159"/>
      <c r="C216" s="157" t="s">
        <v>226</v>
      </c>
      <c r="D216" s="56" t="str">
        <f>IF(tabAlmoco[[#This Row],[MOTORISTA]]="","",_xlfn.CONCAT(tabAlmoco[[#This Row],[DATA]],"+",tabAlmoco[[#This Row],[MOTORISTA]]))</f>
        <v>45934+EDIVALDO DE ARAUJO - 6217</v>
      </c>
      <c r="E216" s="56" t="str">
        <f>_xlfn.XLOOKUP(autocompAlmoco[[#This Row],[COMP ESCALA ATUAL]],tabE.Flux[COMP.AT. MOT A],tabE.Flux[LINHA],"NÃO",0,1)</f>
        <v>GOIANIA (GO) X SAO LUIS (MA)</v>
      </c>
      <c r="F216" s="56" t="str">
        <f>_xlfn.XLOOKUP(autocompAlmoco[[#This Row],[COMP ESCALA ATUAL]],tabE.Flux[COMP.AT. MOT B],tabE.Flux[LINHA],"NÃO",0,1)</f>
        <v>GOIANIA (GO) X SAO LUIS (MA)</v>
      </c>
      <c r="G216" s="61" t="str">
        <f>IF(AND(autocompAlmoco[[#This Row],[EXISTE MOT A AT]]="NÃO", autocompAlmoco[[#This Row],[EXISTE MOT B AT]]="NÃO"),"NÃO","SIM")</f>
        <v>SIM</v>
      </c>
      <c r="H216" s="57" t="str">
        <f>IF(autocompAlmoco[[#This Row],[EXISTE ESCALA ATUAL]]="NÃO",_xlfn.CONCAT(tabAlmoco[[#This Row],[DATA]]-1,"+",tabAlmoco[[#This Row],[MOTORISTA]]),"NÃO")</f>
        <v>NÃO</v>
      </c>
      <c r="I216" s="57" t="str">
        <f>IF(autocompAlmoco[[#This Row],[COMP ESCALA ANTERIOR]]="NÃO","NÃO",_xlfn.XLOOKUP(autocompAlmoco[[#This Row],[COMP ESCALA ANTERIOR]],tabE.Flux[COMP.AT. MOT A],tabE.Flux[LINHA],"NÃO",0,1))</f>
        <v>NÃO</v>
      </c>
      <c r="J216" s="58" t="str">
        <f>IF(autocompAlmoco[[#This Row],[COMP ESCALA ANTERIOR]]="NÃO","NÃO",_xlfn.XLOOKUP(autocompAlmoco[[#This Row],[COMP ESCALA ANTERIOR]],tabE.Flux[COMP.AT. MOT B],tabE.Flux[LINHA],"NÃO",0,1))</f>
        <v>NÃO</v>
      </c>
      <c r="K216" s="62" t="str">
        <f>IF(AND(autocompAlmoco[[#This Row],[EXISTE MOT A ANT]]="NÃO",autocompAlmoco[[#This Row],[EXISTE MOT B ANT]]="NÃO"),"NÃO","SIM")</f>
        <v>NÃO</v>
      </c>
      <c r="L216" s="59" t="str">
        <f>_xlfn.CONCAT(T261+1,"+",X261)</f>
        <v>45943+RAIMUNDO COSTA SILVA - 6226</v>
      </c>
      <c r="M216" s="59" t="str">
        <f>IF(autocompAlmoco[[#This Row],[COMP ESCALA POSTERIOR]]="NÃO","NÃO",_xlfn.XLOOKUP(autocompAlmoco[[#This Row],[COMP ESCALA POSTERIOR]],tabE.Flux[COMP.AT. MOT A],tabE.Flux[LINHA],"NÃO",0,1))</f>
        <v>NÃO</v>
      </c>
      <c r="N216" s="59" t="str">
        <f>IF(autocompAlmoco[[#This Row],[COMP ESCALA POSTERIOR]]="NÃO","NÃO",_xlfn.XLOOKUP(autocompAlmoco[[#This Row],[COMP ESCALA POSTERIOR]],tabE.Flux[COMP.AT. MOT B],tabE.Flux[LINHA],"NÃO",0,1))</f>
        <v>NÃO</v>
      </c>
      <c r="O216" s="65" t="str">
        <f>IF(AND(autocompAlmoco[[#This Row],[EXISTE MOT A POS]]="NÃO",autocompAlmoco[[#This Row],[EXISTE MOT B POS]]="NÃO"),"NÃO","SIM")</f>
        <v>NÃO</v>
      </c>
      <c r="P216" s="66" t="str" cm="1">
        <f t="array" ref="P21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16" s="103" t="str" cm="1">
        <f t="array" ref="Q21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45934+EDIVALDO DE ARAUJO - 6217+GOIANIA (GO) X SAO LUIS (MA)</v>
      </c>
      <c r="R216" s="67">
        <f>_xlfn.XLOOKUP(autocompAlmoco[[#This Row],[COMP ESCALA]],tabE.Flux[COMP. ESCALA MOT B],tabE.Flux[CARRO],
(_xlfn.XLOOKUP(autocompAlmoco[[#This Row],[COMP ESCALA]],tabE.Flux[COMP. ESCALA MOT A],tabE.Flux[CARRO],"N/E",0,1)),0,1)</f>
        <v>24002</v>
      </c>
      <c r="S216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16" s="127">
        <v>45934</v>
      </c>
      <c r="U216" s="131">
        <f>IF(IFERROR(autocompAlmoco[[#This Row],[CORRESP. CARRO]],"")="NÃO",(IF(tabAlmoco[[#This Row],[MOTORISTA]]=0,"","PASSE?")),autocompAlmoco[[#This Row],[CORRESP. CARRO]])</f>
        <v>24002</v>
      </c>
      <c r="V216" s="126">
        <f>IF(OR(ISERR(autocompAlmoco[[#This Row],[CORRESP HORARIO]]), autocompAlmoco[[#This Row],[CORRESP HORARIO]]&lt;&gt;"NÃO"),autocompAlmoco[[#This Row],[CORRESP HORARIO]],"")</f>
        <v>0.29166666666666669</v>
      </c>
      <c r="W216" s="1" t="s">
        <v>299</v>
      </c>
      <c r="X216" s="1" t="s">
        <v>55</v>
      </c>
      <c r="Y216" s="1">
        <f>IF(tabAlmoco[[#This Row],[MOTORISTA]]="","",COUNTIF(autocompAlmoco[COMP ESCALA ATUAL],autocompAlmoco[[#This Row],[COMP ESCALA ATUAL]]))</f>
        <v>1</v>
      </c>
      <c r="Z216" s="105">
        <f>IF(tabAlmoco[[#This Row],[MOTORISTA]]&lt;&gt;0,15,"")</f>
        <v>15</v>
      </c>
      <c r="AA216" s="131" t="str">
        <f>autocompAlmoco[[#This Row],[CORRESP LINHA]]</f>
        <v>GOIANIA (GO) X SAO LUIS (MA)</v>
      </c>
    </row>
    <row r="217" spans="2:27" ht="15" customHeight="1" x14ac:dyDescent="0.25">
      <c r="B217" s="159"/>
      <c r="C217" s="157" t="s">
        <v>226</v>
      </c>
      <c r="D217" s="56" t="str">
        <f>IF(tabAlmoco[[#This Row],[MOTORISTA]]="","",_xlfn.CONCAT(tabAlmoco[[#This Row],[DATA]],"+",tabAlmoco[[#This Row],[MOTORISTA]]))</f>
        <v>45934+CARLOS ADRIANO DE SOUZA DO NASCIMENTO - 6222</v>
      </c>
      <c r="E217" s="56" t="str">
        <f>_xlfn.XLOOKUP(autocompAlmoco[[#This Row],[COMP ESCALA ATUAL]],tabE.Flux[COMP.AT. MOT A],tabE.Flux[LINHA],"NÃO",0,1)</f>
        <v>NÃO</v>
      </c>
      <c r="F217" s="56" t="str">
        <f>_xlfn.XLOOKUP(autocompAlmoco[[#This Row],[COMP ESCALA ATUAL]],tabE.Flux[COMP.AT. MOT B],tabE.Flux[LINHA],"NÃO",0,1)</f>
        <v>GOIANIA (GO) X SAO LUIS (MA)</v>
      </c>
      <c r="G217" s="61" t="str">
        <f>IF(AND(autocompAlmoco[[#This Row],[EXISTE MOT A AT]]="NÃO", autocompAlmoco[[#This Row],[EXISTE MOT B AT]]="NÃO"),"NÃO","SIM")</f>
        <v>SIM</v>
      </c>
      <c r="H217" s="57" t="str">
        <f>IF(autocompAlmoco[[#This Row],[EXISTE ESCALA ATUAL]]="NÃO",_xlfn.CONCAT(tabAlmoco[[#This Row],[DATA]]-1,"+",tabAlmoco[[#This Row],[MOTORISTA]]),"NÃO")</f>
        <v>NÃO</v>
      </c>
      <c r="I217" s="57" t="str">
        <f>IF(autocompAlmoco[[#This Row],[COMP ESCALA ANTERIOR]]="NÃO","NÃO",_xlfn.XLOOKUP(autocompAlmoco[[#This Row],[COMP ESCALA ANTERIOR]],tabE.Flux[COMP.AT. MOT A],tabE.Flux[LINHA],"NÃO",0,1))</f>
        <v>NÃO</v>
      </c>
      <c r="J217" s="58" t="str">
        <f>IF(autocompAlmoco[[#This Row],[COMP ESCALA ANTERIOR]]="NÃO","NÃO",_xlfn.XLOOKUP(autocompAlmoco[[#This Row],[COMP ESCALA ANTERIOR]],tabE.Flux[COMP.AT. MOT B],tabE.Flux[LINHA],"NÃO",0,1))</f>
        <v>NÃO</v>
      </c>
      <c r="K217" s="62" t="str">
        <f>IF(AND(autocompAlmoco[[#This Row],[EXISTE MOT A ANT]]="NÃO",autocompAlmoco[[#This Row],[EXISTE MOT B ANT]]="NÃO"),"NÃO","SIM")</f>
        <v>NÃO</v>
      </c>
      <c r="L217" s="59" t="str">
        <f>_xlfn.CONCAT(T266+1,"+",X266)</f>
        <v>45944+LAUCEANDO DA SILVA ROCHA - 6220</v>
      </c>
      <c r="M217" s="59" t="str">
        <f>IF(autocompAlmoco[[#This Row],[COMP ESCALA POSTERIOR]]="NÃO","NÃO",_xlfn.XLOOKUP(autocompAlmoco[[#This Row],[COMP ESCALA POSTERIOR]],tabE.Flux[COMP.AT. MOT A],tabE.Flux[LINHA],"NÃO",0,1))</f>
        <v>NÃO</v>
      </c>
      <c r="N217" s="59" t="str">
        <f>IF(autocompAlmoco[[#This Row],[COMP ESCALA POSTERIOR]]="NÃO","NÃO",_xlfn.XLOOKUP(autocompAlmoco[[#This Row],[COMP ESCALA POSTERIOR]],tabE.Flux[COMP.AT. MOT B],tabE.Flux[LINHA],"NÃO",0,1))</f>
        <v>NÃO</v>
      </c>
      <c r="O217" s="65" t="str">
        <f>IF(AND(autocompAlmoco[[#This Row],[EXISTE MOT A POS]]="NÃO",autocompAlmoco[[#This Row],[EXISTE MOT B POS]]="NÃO"),"NÃO","SIM")</f>
        <v>NÃO</v>
      </c>
      <c r="P217" s="66" t="str" cm="1">
        <f t="array" ref="P21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17" s="103" t="str" cm="1">
        <f t="array" ref="Q21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45934+CARLOS ADRIANO DE SOUZA DO NASCIMENTO - 6222+GOIANIA (GO) X SAO LUIS (MA)</v>
      </c>
      <c r="R217" s="67">
        <f>_xlfn.XLOOKUP(autocompAlmoco[[#This Row],[COMP ESCALA]],tabE.Flux[COMP. ESCALA MOT B],tabE.Flux[CARRO],
(_xlfn.XLOOKUP(autocompAlmoco[[#This Row],[COMP ESCALA]],tabE.Flux[COMP. ESCALA MOT A],tabE.Flux[CARRO],"N/E",0,1)),0,1)</f>
        <v>17200</v>
      </c>
      <c r="S217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17" s="127">
        <v>45934</v>
      </c>
      <c r="U217" s="4">
        <f>IF(IFERROR(autocompAlmoco[[#This Row],[CORRESP. CARRO]],"")="NÃO",(IF(tabAlmoco[[#This Row],[MOTORISTA]]=0,"","PASSE?")),autocompAlmoco[[#This Row],[CORRESP. CARRO]])</f>
        <v>17200</v>
      </c>
      <c r="V217" s="128">
        <f>IF(OR(ISERR(autocompAlmoco[[#This Row],[CORRESP HORARIO]]), autocompAlmoco[[#This Row],[CORRESP HORARIO]]&lt;&gt;"NÃO"),autocompAlmoco[[#This Row],[CORRESP HORARIO]],"")</f>
        <v>0.47013888888888888</v>
      </c>
      <c r="W217" s="4" t="s">
        <v>299</v>
      </c>
      <c r="X217" s="4" t="s">
        <v>110</v>
      </c>
      <c r="Y217" s="4">
        <f>IF(tabAlmoco[[#This Row],[MOTORISTA]]="","",COUNTIF(autocompAlmoco[COMP ESCALA ATUAL],autocompAlmoco[[#This Row],[COMP ESCALA ATUAL]]))</f>
        <v>1</v>
      </c>
      <c r="Z217" s="45">
        <f>IF(tabAlmoco[[#This Row],[MOTORISTA]]&lt;&gt;0,15,"")</f>
        <v>15</v>
      </c>
      <c r="AA217" s="4" t="str">
        <f>autocompAlmoco[[#This Row],[CORRESP LINHA]]</f>
        <v>GOIANIA (GO) X SAO LUIS (MA)</v>
      </c>
    </row>
    <row r="218" spans="2:27" ht="15" customHeight="1" x14ac:dyDescent="0.25">
      <c r="B218" s="159"/>
      <c r="C218" s="157" t="s">
        <v>226</v>
      </c>
      <c r="D218" s="56" t="str">
        <f>IF(tabAlmoco[[#This Row],[MOTORISTA]]="","",_xlfn.CONCAT(tabAlmoco[[#This Row],[DATA]],"+",tabAlmoco[[#This Row],[MOTORISTA]]))</f>
        <v>45935+JAME DOS SANTOS MOURA - 5332</v>
      </c>
      <c r="E218" s="56" t="str">
        <f>_xlfn.XLOOKUP(autocompAlmoco[[#This Row],[COMP ESCALA ATUAL]],tabE.Flux[COMP.AT. MOT A],tabE.Flux[LINHA],"NÃO",0,1)</f>
        <v>NÃO</v>
      </c>
      <c r="F218" s="56" t="str">
        <f>_xlfn.XLOOKUP(autocompAlmoco[[#This Row],[COMP ESCALA ATUAL]],tabE.Flux[COMP.AT. MOT B],tabE.Flux[LINHA],"NÃO",0,1)</f>
        <v>NÃO</v>
      </c>
      <c r="G218" s="61" t="str">
        <f>IF(AND(autocompAlmoco[[#This Row],[EXISTE MOT A AT]]="NÃO", autocompAlmoco[[#This Row],[EXISTE MOT B AT]]="NÃO"),"NÃO","SIM")</f>
        <v>NÃO</v>
      </c>
      <c r="H218" s="57" t="str">
        <f>IF(autocompAlmoco[[#This Row],[EXISTE ESCALA ATUAL]]="NÃO",_xlfn.CONCAT(tabAlmoco[[#This Row],[DATA]]-1,"+",tabAlmoco[[#This Row],[MOTORISTA]]),"NÃO")</f>
        <v>45934+JAME DOS SANTOS MOURA - 5332</v>
      </c>
      <c r="I218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218" s="58" t="str">
        <f>IF(autocompAlmoco[[#This Row],[COMP ESCALA ANTERIOR]]="NÃO","NÃO",_xlfn.XLOOKUP(autocompAlmoco[[#This Row],[COMP ESCALA ANTERIOR]],tabE.Flux[COMP.AT. MOT B],tabE.Flux[LINHA],"NÃO",0,1))</f>
        <v>NÃO</v>
      </c>
      <c r="K218" s="62" t="str">
        <f>IF(AND(autocompAlmoco[[#This Row],[EXISTE MOT A ANT]]="NÃO",autocompAlmoco[[#This Row],[EXISTE MOT B ANT]]="NÃO"),"NÃO","SIM")</f>
        <v>SIM</v>
      </c>
      <c r="L218" s="59" t="str">
        <f>_xlfn.CONCAT(T271+1,"+",X271)</f>
        <v>45945+EUGENIO PEREIRA DOS SANTOS - 1197</v>
      </c>
      <c r="M218" s="59" t="str">
        <f>IF(autocompAlmoco[[#This Row],[COMP ESCALA POSTERIOR]]="NÃO","NÃO",_xlfn.XLOOKUP(autocompAlmoco[[#This Row],[COMP ESCALA POSTERIOR]],tabE.Flux[COMP.AT. MOT A],tabE.Flux[LINHA],"NÃO",0,1))</f>
        <v>NÃO</v>
      </c>
      <c r="N218" s="59" t="str">
        <f>IF(autocompAlmoco[[#This Row],[COMP ESCALA POSTERIOR]]="NÃO","NÃO",_xlfn.XLOOKUP(autocompAlmoco[[#This Row],[COMP ESCALA POSTERIOR]],tabE.Flux[COMP.AT. MOT B],tabE.Flux[LINHA],"NÃO",0,1))</f>
        <v>NÃO</v>
      </c>
      <c r="O218" s="65" t="str">
        <f>IF(AND(autocompAlmoco[[#This Row],[EXISTE MOT A POS]]="NÃO",autocompAlmoco[[#This Row],[EXISTE MOT B POS]]="NÃO"),"NÃO","SIM")</f>
        <v>NÃO</v>
      </c>
      <c r="P218" s="66" t="str" cm="1">
        <f t="array" ref="P21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218" s="103" t="str" cm="1">
        <f t="array" ref="Q21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45934+JAME DOS SANTOS MOURA - 5332+FORTALEZA (CE) X SINOP (MT)</v>
      </c>
      <c r="R218" s="67">
        <f>_xlfn.XLOOKUP(autocompAlmoco[[#This Row],[COMP ESCALA]],tabE.Flux[COMP. ESCALA MOT B],tabE.Flux[CARRO],
(_xlfn.XLOOKUP(autocompAlmoco[[#This Row],[COMP ESCALA]],tabE.Flux[COMP. ESCALA MOT A],tabE.Flux[CARRO],"N/E",0,1)),0,1)</f>
        <v>19008</v>
      </c>
      <c r="S218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218" s="127">
        <v>45935</v>
      </c>
      <c r="U218" s="4">
        <f>IF(IFERROR(autocompAlmoco[[#This Row],[CORRESP. CARRO]],"")="NÃO",(IF(tabAlmoco[[#This Row],[MOTORISTA]]=0,"","PASSE?")),autocompAlmoco[[#This Row],[CORRESP. CARRO]])</f>
        <v>19008</v>
      </c>
      <c r="V218" s="128">
        <f>IF(OR(ISERR(autocompAlmoco[[#This Row],[CORRESP HORARIO]]), autocompAlmoco[[#This Row],[CORRESP HORARIO]]&lt;&gt;"NÃO"),autocompAlmoco[[#This Row],[CORRESP HORARIO]],"")</f>
        <v>0.37708333333333333</v>
      </c>
      <c r="W218" s="4" t="s">
        <v>299</v>
      </c>
      <c r="X218" s="4" t="s">
        <v>103</v>
      </c>
      <c r="Y218" s="4">
        <f>IF(tabAlmoco[[#This Row],[MOTORISTA]]="","",COUNTIF(autocompAlmoco[COMP ESCALA ATUAL],autocompAlmoco[[#This Row],[COMP ESCALA ATUAL]]))</f>
        <v>1</v>
      </c>
      <c r="Z218" s="45">
        <f>IF(tabAlmoco[[#This Row],[MOTORISTA]]&lt;&gt;0,15,"")</f>
        <v>15</v>
      </c>
      <c r="AA218" s="4" t="str">
        <f>autocompAlmoco[[#This Row],[CORRESP LINHA]]</f>
        <v>FORTALEZA (CE) X SINOP (MT)</v>
      </c>
    </row>
    <row r="219" spans="2:27" ht="15" customHeight="1" x14ac:dyDescent="0.25">
      <c r="C219" s="157" t="s">
        <v>226</v>
      </c>
      <c r="D219" s="56" t="str">
        <f>IF(tabAlmoco[[#This Row],[MOTORISTA]]="","",_xlfn.CONCAT(tabAlmoco[[#This Row],[DATA]],"+",tabAlmoco[[#This Row],[MOTORISTA]]))</f>
        <v>45935+PAULO ENEAS FARIAS ARAUJO - 6218</v>
      </c>
      <c r="E219" s="56" t="str">
        <f>_xlfn.XLOOKUP(autocompAlmoco[[#This Row],[COMP ESCALA ATUAL]],tabE.Flux[COMP.AT. MOT A],tabE.Flux[LINHA],"NÃO",0,1)</f>
        <v>NÃO</v>
      </c>
      <c r="F219" s="56" t="str">
        <f>_xlfn.XLOOKUP(autocompAlmoco[[#This Row],[COMP ESCALA ATUAL]],tabE.Flux[COMP.AT. MOT B],tabE.Flux[LINHA],"NÃO",0,1)</f>
        <v>GOIANIA (GO) X SAO LUIS (MA)</v>
      </c>
      <c r="G219" s="61" t="str">
        <f>IF(AND(autocompAlmoco[[#This Row],[EXISTE MOT A AT]]="NÃO", autocompAlmoco[[#This Row],[EXISTE MOT B AT]]="NÃO"),"NÃO","SIM")</f>
        <v>SIM</v>
      </c>
      <c r="H219" s="57" t="str">
        <f>IF(autocompAlmoco[[#This Row],[EXISTE ESCALA ATUAL]]="NÃO",_xlfn.CONCAT(tabAlmoco[[#This Row],[DATA]]-1,"+",tabAlmoco[[#This Row],[MOTORISTA]]),"NÃO")</f>
        <v>NÃO</v>
      </c>
      <c r="I219" s="57" t="str">
        <f>IF(autocompAlmoco[[#This Row],[COMP ESCALA ANTERIOR]]="NÃO","NÃO",_xlfn.XLOOKUP(autocompAlmoco[[#This Row],[COMP ESCALA ANTERIOR]],tabE.Flux[COMP.AT. MOT A],tabE.Flux[LINHA],"NÃO",0,1))</f>
        <v>NÃO</v>
      </c>
      <c r="J219" s="58" t="str">
        <f>IF(autocompAlmoco[[#This Row],[COMP ESCALA ANTERIOR]]="NÃO","NÃO",_xlfn.XLOOKUP(autocompAlmoco[[#This Row],[COMP ESCALA ANTERIOR]],tabE.Flux[COMP.AT. MOT B],tabE.Flux[LINHA],"NÃO",0,1))</f>
        <v>NÃO</v>
      </c>
      <c r="K219" s="62" t="str">
        <f>IF(AND(autocompAlmoco[[#This Row],[EXISTE MOT A ANT]]="NÃO",autocompAlmoco[[#This Row],[EXISTE MOT B ANT]]="NÃO"),"NÃO","SIM")</f>
        <v>NÃO</v>
      </c>
      <c r="L219" s="59" t="str">
        <f>_xlfn.CONCAT(T275+1,"+",X275)</f>
        <v>45946+LUIS ANTONIO FARIAS RIBEIRO - 2789</v>
      </c>
      <c r="M219" s="59" t="str">
        <f>IF(autocompAlmoco[[#This Row],[COMP ESCALA POSTERIOR]]="NÃO","NÃO",_xlfn.XLOOKUP(autocompAlmoco[[#This Row],[COMP ESCALA POSTERIOR]],tabE.Flux[COMP.AT. MOT A],tabE.Flux[LINHA],"NÃO",0,1))</f>
        <v>NÃO</v>
      </c>
      <c r="N219" s="59" t="str">
        <f>IF(autocompAlmoco[[#This Row],[COMP ESCALA POSTERIOR]]="NÃO","NÃO",_xlfn.XLOOKUP(autocompAlmoco[[#This Row],[COMP ESCALA POSTERIOR]],tabE.Flux[COMP.AT. MOT B],tabE.Flux[LINHA],"NÃO",0,1))</f>
        <v>NÃO</v>
      </c>
      <c r="O219" s="65" t="str">
        <f>IF(AND(autocompAlmoco[[#This Row],[EXISTE MOT A POS]]="NÃO",autocompAlmoco[[#This Row],[EXISTE MOT B POS]]="NÃO"),"NÃO","SIM")</f>
        <v>NÃO</v>
      </c>
      <c r="P219" s="66" t="str" cm="1">
        <f t="array" ref="P21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19" s="103" t="str" cm="1">
        <f t="array" ref="Q21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45935+PAULO ENEAS FARIAS ARAUJO - 6218+GOIANIA (GO) X SAO LUIS (MA)</v>
      </c>
      <c r="R219" s="67">
        <f>_xlfn.XLOOKUP(autocompAlmoco[[#This Row],[COMP ESCALA]],tabE.Flux[COMP. ESCALA MOT B],tabE.Flux[CARRO],
(_xlfn.XLOOKUP(autocompAlmoco[[#This Row],[COMP ESCALA]],tabE.Flux[COMP. ESCALA MOT A],tabE.Flux[CARRO],"N/E",0,1)),0,1)</f>
        <v>20019</v>
      </c>
      <c r="S219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19" s="127">
        <v>45935</v>
      </c>
      <c r="U219" s="4">
        <f>IF(IFERROR(autocompAlmoco[[#This Row],[CORRESP. CARRO]],"")="NÃO",(IF(tabAlmoco[[#This Row],[MOTORISTA]]=0,"","PASSE?")),autocompAlmoco[[#This Row],[CORRESP. CARRO]])</f>
        <v>20019</v>
      </c>
      <c r="V219" s="126">
        <f>IF(OR(ISERR(autocompAlmoco[[#This Row],[CORRESP HORARIO]]), autocompAlmoco[[#This Row],[CORRESP HORARIO]]&lt;&gt;"NÃO"),autocompAlmoco[[#This Row],[CORRESP HORARIO]],"")</f>
        <v>0.47013888888888888</v>
      </c>
      <c r="W219" s="1" t="s">
        <v>299</v>
      </c>
      <c r="X219" s="1" t="s">
        <v>43</v>
      </c>
      <c r="Y219" s="1">
        <f>IF(tabAlmoco[[#This Row],[MOTORISTA]]="","",COUNTIF(autocompAlmoco[COMP ESCALA ATUAL],autocompAlmoco[[#This Row],[COMP ESCALA ATUAL]]))</f>
        <v>1</v>
      </c>
      <c r="Z219" s="105">
        <f>IF(tabAlmoco[[#This Row],[MOTORISTA]]&lt;&gt;0,15,"")</f>
        <v>15</v>
      </c>
      <c r="AA219" s="4" t="str">
        <f>autocompAlmoco[[#This Row],[CORRESP LINHA]]</f>
        <v>GOIANIA (GO) X SAO LUIS (MA)</v>
      </c>
    </row>
    <row r="220" spans="2:27" ht="15" customHeight="1" x14ac:dyDescent="0.25">
      <c r="C220" s="157" t="s">
        <v>226</v>
      </c>
      <c r="D220" s="56" t="str">
        <f>IF(tabAlmoco[[#This Row],[MOTORISTA]]="","",_xlfn.CONCAT(tabAlmoco[[#This Row],[DATA]],"+",tabAlmoco[[#This Row],[MOTORISTA]]))</f>
        <v>45935+RAIMUNDO COSTA SILVA - 6226</v>
      </c>
      <c r="E220" s="56" t="str">
        <f>_xlfn.XLOOKUP(autocompAlmoco[[#This Row],[COMP ESCALA ATUAL]],tabE.Flux[COMP.AT. MOT A],tabE.Flux[LINHA],"NÃO",0,1)</f>
        <v>NÃO</v>
      </c>
      <c r="F220" s="56" t="str">
        <f>_xlfn.XLOOKUP(autocompAlmoco[[#This Row],[COMP ESCALA ATUAL]],tabE.Flux[COMP.AT. MOT B],tabE.Flux[LINHA],"NÃO",0,1)</f>
        <v>GOIANIA (GO) X SAO LUIS (MA)</v>
      </c>
      <c r="G220" s="61" t="str">
        <f>IF(AND(autocompAlmoco[[#This Row],[EXISTE MOT A AT]]="NÃO", autocompAlmoco[[#This Row],[EXISTE MOT B AT]]="NÃO"),"NÃO","SIM")</f>
        <v>SIM</v>
      </c>
      <c r="H220" s="57" t="str">
        <f>IF(autocompAlmoco[[#This Row],[EXISTE ESCALA ATUAL]]="NÃO",_xlfn.CONCAT(tabAlmoco[[#This Row],[DATA]]-1,"+",tabAlmoco[[#This Row],[MOTORISTA]]),"NÃO")</f>
        <v>NÃO</v>
      </c>
      <c r="I220" s="57" t="str">
        <f>IF(autocompAlmoco[[#This Row],[COMP ESCALA ANTERIOR]]="NÃO","NÃO",_xlfn.XLOOKUP(autocompAlmoco[[#This Row],[COMP ESCALA ANTERIOR]],tabE.Flux[COMP.AT. MOT A],tabE.Flux[LINHA],"NÃO",0,1))</f>
        <v>NÃO</v>
      </c>
      <c r="J220" s="58" t="str">
        <f>IF(autocompAlmoco[[#This Row],[COMP ESCALA ANTERIOR]]="NÃO","NÃO",_xlfn.XLOOKUP(autocompAlmoco[[#This Row],[COMP ESCALA ANTERIOR]],tabE.Flux[COMP.AT. MOT B],tabE.Flux[LINHA],"NÃO",0,1))</f>
        <v>NÃO</v>
      </c>
      <c r="K220" s="62" t="str">
        <f>IF(AND(autocompAlmoco[[#This Row],[EXISTE MOT A ANT]]="NÃO",autocompAlmoco[[#This Row],[EXISTE MOT B ANT]]="NÃO"),"NÃO","SIM")</f>
        <v>NÃO</v>
      </c>
      <c r="L220" s="59" t="str">
        <f>_xlfn.CONCAT(T280+1,"+",X280)</f>
        <v>1+</v>
      </c>
      <c r="M220" s="59" t="str">
        <f>IF(autocompAlmoco[[#This Row],[COMP ESCALA POSTERIOR]]="NÃO","NÃO",_xlfn.XLOOKUP(autocompAlmoco[[#This Row],[COMP ESCALA POSTERIOR]],tabE.Flux[COMP.AT. MOT A],tabE.Flux[LINHA],"NÃO",0,1))</f>
        <v>NÃO</v>
      </c>
      <c r="N220" s="59" t="str">
        <f>IF(autocompAlmoco[[#This Row],[COMP ESCALA POSTERIOR]]="NÃO","NÃO",_xlfn.XLOOKUP(autocompAlmoco[[#This Row],[COMP ESCALA POSTERIOR]],tabE.Flux[COMP.AT. MOT B],tabE.Flux[LINHA],"NÃO",0,1))</f>
        <v>NÃO</v>
      </c>
      <c r="O220" s="65" t="str">
        <f>IF(AND(autocompAlmoco[[#This Row],[EXISTE MOT A POS]]="NÃO",autocompAlmoco[[#This Row],[EXISTE MOT B POS]]="NÃO"),"NÃO","SIM")</f>
        <v>NÃO</v>
      </c>
      <c r="P220" s="66" t="str" cm="1">
        <f t="array" ref="P22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20" s="103" t="str" cm="1">
        <f t="array" ref="Q22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45935+RAIMUNDO COSTA SILVA - 6226+GOIANIA (GO) X SAO LUIS (MA)</v>
      </c>
      <c r="R220" s="67">
        <f>_xlfn.XLOOKUP(autocompAlmoco[[#This Row],[COMP ESCALA]],tabE.Flux[COMP. ESCALA MOT B],tabE.Flux[CARRO],
(_xlfn.XLOOKUP(autocompAlmoco[[#This Row],[COMP ESCALA]],tabE.Flux[COMP. ESCALA MOT A],tabE.Flux[CARRO],"N/E",0,1)),0,1)</f>
        <v>25007</v>
      </c>
      <c r="S220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220" s="127">
        <v>45935</v>
      </c>
      <c r="U220" s="131">
        <f>IF(IFERROR(autocompAlmoco[[#This Row],[CORRESP. CARRO]],"")="NÃO",(IF(tabAlmoco[[#This Row],[MOTORISTA]]=0,"","PASSE?")),autocompAlmoco[[#This Row],[CORRESP. CARRO]])</f>
        <v>25007</v>
      </c>
      <c r="V220" s="126">
        <f>IF(OR(ISERR(autocompAlmoco[[#This Row],[CORRESP HORARIO]]), autocompAlmoco[[#This Row],[CORRESP HORARIO]]&lt;&gt;"NÃO"),autocompAlmoco[[#This Row],[CORRESP HORARIO]],"")</f>
        <v>0.84375</v>
      </c>
      <c r="W220" s="1" t="s">
        <v>299</v>
      </c>
      <c r="X220" s="1" t="s">
        <v>45</v>
      </c>
      <c r="Y220" s="1">
        <f>IF(tabAlmoco[[#This Row],[MOTORISTA]]="","",COUNTIF(autocompAlmoco[COMP ESCALA ATUAL],autocompAlmoco[[#This Row],[COMP ESCALA ATUAL]]))</f>
        <v>1</v>
      </c>
      <c r="Z220" s="105">
        <f>IF(tabAlmoco[[#This Row],[MOTORISTA]]&lt;&gt;0,15,"")</f>
        <v>15</v>
      </c>
      <c r="AA220" s="131" t="str">
        <f>autocompAlmoco[[#This Row],[CORRESP LINHA]]</f>
        <v>GOIANIA (GO) X SAO LUIS (MA)</v>
      </c>
    </row>
    <row r="221" spans="2:27" ht="15" customHeight="1" x14ac:dyDescent="0.25">
      <c r="C221" s="157" t="s">
        <v>226</v>
      </c>
      <c r="D221" s="56" t="str">
        <f>IF(tabAlmoco[[#This Row],[MOTORISTA]]="","",_xlfn.CONCAT(tabAlmoco[[#This Row],[DATA]],"+",tabAlmoco[[#This Row],[MOTORISTA]]))</f>
        <v>45935+  BERNARDO SOUZA LIMA- 1720</v>
      </c>
      <c r="E221" s="56" t="str">
        <f>_xlfn.XLOOKUP(autocompAlmoco[[#This Row],[COMP ESCALA ATUAL]],tabE.Flux[COMP.AT. MOT A],tabE.Flux[LINHA],"NÃO",0,1)</f>
        <v>NÃO</v>
      </c>
      <c r="F221" s="56" t="str">
        <f>_xlfn.XLOOKUP(autocompAlmoco[[#This Row],[COMP ESCALA ATUAL]],tabE.Flux[COMP.AT. MOT B],tabE.Flux[LINHA],"NÃO",0,1)</f>
        <v>NÃO</v>
      </c>
      <c r="G221" s="61" t="str">
        <f>IF(AND(autocompAlmoco[[#This Row],[EXISTE MOT A AT]]="NÃO", autocompAlmoco[[#This Row],[EXISTE MOT B AT]]="NÃO"),"NÃO","SIM")</f>
        <v>NÃO</v>
      </c>
      <c r="H221" s="57" t="str">
        <f>IF(autocompAlmoco[[#This Row],[EXISTE ESCALA ATUAL]]="NÃO",_xlfn.CONCAT(tabAlmoco[[#This Row],[DATA]]-1,"+",tabAlmoco[[#This Row],[MOTORISTA]]),"NÃO")</f>
        <v>45934+  BERNARDO SOUZA LIMA- 1720</v>
      </c>
      <c r="I221" s="57" t="str">
        <f>IF(autocompAlmoco[[#This Row],[COMP ESCALA ANTERIOR]]="NÃO","NÃO",_xlfn.XLOOKUP(autocompAlmoco[[#This Row],[COMP ESCALA ANTERIOR]],tabE.Flux[COMP.AT. MOT A],tabE.Flux[LINHA],"NÃO",0,1))</f>
        <v>NÃO</v>
      </c>
      <c r="J221" s="58" t="str">
        <f>IF(autocompAlmoco[[#This Row],[COMP ESCALA ANTERIOR]]="NÃO","NÃO",_xlfn.XLOOKUP(autocompAlmoco[[#This Row],[COMP ESCALA ANTERIOR]],tabE.Flux[COMP.AT. MOT B],tabE.Flux[LINHA],"NÃO",0,1))</f>
        <v>NÃO</v>
      </c>
      <c r="K221" s="62" t="str">
        <f>IF(AND(autocompAlmoco[[#This Row],[EXISTE MOT A ANT]]="NÃO",autocompAlmoco[[#This Row],[EXISTE MOT B ANT]]="NÃO"),"NÃO","SIM")</f>
        <v>NÃO</v>
      </c>
      <c r="L221" s="59" t="str">
        <f t="shared" ref="L221:L234" si="7">_xlfn.CONCAT(T285+1,"+",X285)</f>
        <v>1+</v>
      </c>
      <c r="M221" s="59" t="str">
        <f>IF(autocompAlmoco[[#This Row],[COMP ESCALA POSTERIOR]]="NÃO","NÃO",_xlfn.XLOOKUP(autocompAlmoco[[#This Row],[COMP ESCALA POSTERIOR]],tabE.Flux[COMP.AT. MOT A],tabE.Flux[LINHA],"NÃO",0,1))</f>
        <v>NÃO</v>
      </c>
      <c r="N221" s="59" t="str">
        <f>IF(autocompAlmoco[[#This Row],[COMP ESCALA POSTERIOR]]="NÃO","NÃO",_xlfn.XLOOKUP(autocompAlmoco[[#This Row],[COMP ESCALA POSTERIOR]],tabE.Flux[COMP.AT. MOT B],tabE.Flux[LINHA],"NÃO",0,1))</f>
        <v>NÃO</v>
      </c>
      <c r="O221" s="65" t="str">
        <f>IF(AND(autocompAlmoco[[#This Row],[EXISTE MOT A POS]]="NÃO",autocompAlmoco[[#This Row],[EXISTE MOT B POS]]="NÃO"),"NÃO","SIM")</f>
        <v>NÃO</v>
      </c>
      <c r="P221" s="66" t="str" cm="1">
        <f t="array" ref="P22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21" s="103" t="str" cm="1">
        <f t="array" ref="Q22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21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21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21" s="127">
        <v>45935</v>
      </c>
      <c r="U221" s="131">
        <v>24002</v>
      </c>
      <c r="V221" s="126">
        <v>0.84375</v>
      </c>
      <c r="W221" s="1" t="s">
        <v>299</v>
      </c>
      <c r="X221" s="1" t="s">
        <v>310</v>
      </c>
      <c r="Y221" s="1">
        <f>IF(tabAlmoco[[#This Row],[MOTORISTA]]="","",COUNTIF(autocompAlmoco[COMP ESCALA ATUAL],autocompAlmoco[[#This Row],[COMP ESCALA ATUAL]]))</f>
        <v>1</v>
      </c>
      <c r="Z221" s="105">
        <f>IF(tabAlmoco[[#This Row],[MOTORISTA]]&lt;&gt;0,15,"")</f>
        <v>15</v>
      </c>
      <c r="AA221" s="131" t="s">
        <v>23</v>
      </c>
    </row>
    <row r="222" spans="2:27" ht="15" customHeight="1" x14ac:dyDescent="0.25">
      <c r="C222" s="157" t="s">
        <v>226</v>
      </c>
      <c r="D222" s="56" t="str">
        <f>IF(tabAlmoco[[#This Row],[MOTORISTA]]="","",_xlfn.CONCAT(tabAlmoco[[#This Row],[DATA]],"+",tabAlmoco[[#This Row],[MOTORISTA]]))</f>
        <v>45935+MANOEL MESSIAS SILVA DOS SANTOS - 1833</v>
      </c>
      <c r="E222" s="56" t="str">
        <f>_xlfn.XLOOKUP(autocompAlmoco[[#This Row],[COMP ESCALA ATUAL]],tabE.Flux[COMP.AT. MOT A],tabE.Flux[LINHA],"NÃO",0,1)</f>
        <v>NÃO</v>
      </c>
      <c r="F222" s="56" t="str">
        <f>_xlfn.XLOOKUP(autocompAlmoco[[#This Row],[COMP ESCALA ATUAL]],tabE.Flux[COMP.AT. MOT B],tabE.Flux[LINHA],"NÃO",0,1)</f>
        <v>NÃO</v>
      </c>
      <c r="G222" s="61" t="str">
        <f>IF(AND(autocompAlmoco[[#This Row],[EXISTE MOT A AT]]="NÃO", autocompAlmoco[[#This Row],[EXISTE MOT B AT]]="NÃO"),"NÃO","SIM")</f>
        <v>NÃO</v>
      </c>
      <c r="H222" s="57" t="str">
        <f>IF(autocompAlmoco[[#This Row],[EXISTE ESCALA ATUAL]]="NÃO",_xlfn.CONCAT(tabAlmoco[[#This Row],[DATA]]-1,"+",tabAlmoco[[#This Row],[MOTORISTA]]),"NÃO")</f>
        <v>45934+MANOEL MESSIAS SILVA DOS SANTOS - 1833</v>
      </c>
      <c r="I222" s="57" t="str">
        <f>IF(autocompAlmoco[[#This Row],[COMP ESCALA ANTERIOR]]="NÃO","NÃO",_xlfn.XLOOKUP(autocompAlmoco[[#This Row],[COMP ESCALA ANTERIOR]],tabE.Flux[COMP.AT. MOT A],tabE.Flux[LINHA],"NÃO",0,1))</f>
        <v>NÃO</v>
      </c>
      <c r="J222" s="58" t="str">
        <f>IF(autocompAlmoco[[#This Row],[COMP ESCALA ANTERIOR]]="NÃO","NÃO",_xlfn.XLOOKUP(autocompAlmoco[[#This Row],[COMP ESCALA ANTERIOR]],tabE.Flux[COMP.AT. MOT B],tabE.Flux[LINHA],"NÃO",0,1))</f>
        <v>NÃO</v>
      </c>
      <c r="K222" s="62" t="str">
        <f>IF(AND(autocompAlmoco[[#This Row],[EXISTE MOT A ANT]]="NÃO",autocompAlmoco[[#This Row],[EXISTE MOT B ANT]]="NÃO"),"NÃO","SIM")</f>
        <v>NÃO</v>
      </c>
      <c r="L222" s="59" t="str">
        <f t="shared" si="7"/>
        <v>1+</v>
      </c>
      <c r="M222" s="59" t="str">
        <f>IF(autocompAlmoco[[#This Row],[COMP ESCALA POSTERIOR]]="NÃO","NÃO",_xlfn.XLOOKUP(autocompAlmoco[[#This Row],[COMP ESCALA POSTERIOR]],tabE.Flux[COMP.AT. MOT A],tabE.Flux[LINHA],"NÃO",0,1))</f>
        <v>NÃO</v>
      </c>
      <c r="N222" s="59" t="str">
        <f>IF(autocompAlmoco[[#This Row],[COMP ESCALA POSTERIOR]]="NÃO","NÃO",_xlfn.XLOOKUP(autocompAlmoco[[#This Row],[COMP ESCALA POSTERIOR]],tabE.Flux[COMP.AT. MOT B],tabE.Flux[LINHA],"NÃO",0,1))</f>
        <v>NÃO</v>
      </c>
      <c r="O222" s="65" t="str">
        <f>IF(AND(autocompAlmoco[[#This Row],[EXISTE MOT A POS]]="NÃO",autocompAlmoco[[#This Row],[EXISTE MOT B POS]]="NÃO"),"NÃO","SIM")</f>
        <v>NÃO</v>
      </c>
      <c r="P222" s="66" t="str" cm="1">
        <f t="array" ref="P22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22" s="103" t="str" cm="1">
        <f t="array" ref="Q22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22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22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22" s="127">
        <v>45935</v>
      </c>
      <c r="U222" s="131">
        <v>19009</v>
      </c>
      <c r="V222" s="126">
        <v>0.79861111111111116</v>
      </c>
      <c r="W222" s="1" t="s">
        <v>306</v>
      </c>
      <c r="X222" s="1" t="s">
        <v>173</v>
      </c>
      <c r="Y222" s="1">
        <f>IF(tabAlmoco[[#This Row],[MOTORISTA]]="","",COUNTIF(autocompAlmoco[COMP ESCALA ATUAL],autocompAlmoco[[#This Row],[COMP ESCALA ATUAL]]))</f>
        <v>1</v>
      </c>
      <c r="Z222" s="105">
        <f>IF(tabAlmoco[[#This Row],[MOTORISTA]]&lt;&gt;0,15,"")</f>
        <v>15</v>
      </c>
      <c r="AA222" s="131" t="s">
        <v>26</v>
      </c>
    </row>
    <row r="223" spans="2:27" ht="15" customHeight="1" x14ac:dyDescent="0.25">
      <c r="C223" s="157" t="s">
        <v>226</v>
      </c>
      <c r="D223" s="56" t="str">
        <f>IF(tabAlmoco[[#This Row],[MOTORISTA]]="","",_xlfn.CONCAT(tabAlmoco[[#This Row],[DATA]],"+",tabAlmoco[[#This Row],[MOTORISTA]]))</f>
        <v>45936+KLEBER OLIVEIRA LIMA - 5849</v>
      </c>
      <c r="E223" s="56" t="str">
        <f>_xlfn.XLOOKUP(autocompAlmoco[[#This Row],[COMP ESCALA ATUAL]],tabE.Flux[COMP.AT. MOT A],tabE.Flux[LINHA],"NÃO",0,1)</f>
        <v>NÃO</v>
      </c>
      <c r="F223" s="56" t="str">
        <f>_xlfn.XLOOKUP(autocompAlmoco[[#This Row],[COMP ESCALA ATUAL]],tabE.Flux[COMP.AT. MOT B],tabE.Flux[LINHA],"NÃO",0,1)</f>
        <v>GOIANIA (GO) X SAO LUIS (MA)</v>
      </c>
      <c r="G223" s="61" t="str">
        <f>IF(AND(autocompAlmoco[[#This Row],[EXISTE MOT A AT]]="NÃO", autocompAlmoco[[#This Row],[EXISTE MOT B AT]]="NÃO"),"NÃO","SIM")</f>
        <v>SIM</v>
      </c>
      <c r="H223" s="57" t="str">
        <f>IF(autocompAlmoco[[#This Row],[EXISTE ESCALA ATUAL]]="NÃO",_xlfn.CONCAT(tabAlmoco[[#This Row],[DATA]]-1,"+",tabAlmoco[[#This Row],[MOTORISTA]]),"NÃO")</f>
        <v>NÃO</v>
      </c>
      <c r="I223" s="57" t="str">
        <f>IF(autocompAlmoco[[#This Row],[COMP ESCALA ANTERIOR]]="NÃO","NÃO",_xlfn.XLOOKUP(autocompAlmoco[[#This Row],[COMP ESCALA ANTERIOR]],tabE.Flux[COMP.AT. MOT A],tabE.Flux[LINHA],"NÃO",0,1))</f>
        <v>NÃO</v>
      </c>
      <c r="J223" s="58" t="str">
        <f>IF(autocompAlmoco[[#This Row],[COMP ESCALA ANTERIOR]]="NÃO","NÃO",_xlfn.XLOOKUP(autocompAlmoco[[#This Row],[COMP ESCALA ANTERIOR]],tabE.Flux[COMP.AT. MOT B],tabE.Flux[LINHA],"NÃO",0,1))</f>
        <v>NÃO</v>
      </c>
      <c r="K223" s="62" t="str">
        <f>IF(AND(autocompAlmoco[[#This Row],[EXISTE MOT A ANT]]="NÃO",autocompAlmoco[[#This Row],[EXISTE MOT B ANT]]="NÃO"),"NÃO","SIM")</f>
        <v>NÃO</v>
      </c>
      <c r="L223" s="59" t="str">
        <f t="shared" si="7"/>
        <v>1+</v>
      </c>
      <c r="M223" s="59" t="str">
        <f>IF(autocompAlmoco[[#This Row],[COMP ESCALA POSTERIOR]]="NÃO","NÃO",_xlfn.XLOOKUP(autocompAlmoco[[#This Row],[COMP ESCALA POSTERIOR]],tabE.Flux[COMP.AT. MOT A],tabE.Flux[LINHA],"NÃO",0,1))</f>
        <v>NÃO</v>
      </c>
      <c r="N223" s="59" t="str">
        <f>IF(autocompAlmoco[[#This Row],[COMP ESCALA POSTERIOR]]="NÃO","NÃO",_xlfn.XLOOKUP(autocompAlmoco[[#This Row],[COMP ESCALA POSTERIOR]],tabE.Flux[COMP.AT. MOT B],tabE.Flux[LINHA],"NÃO",0,1))</f>
        <v>NÃO</v>
      </c>
      <c r="O223" s="65" t="str">
        <f>IF(AND(autocompAlmoco[[#This Row],[EXISTE MOT A POS]]="NÃO",autocompAlmoco[[#This Row],[EXISTE MOT B POS]]="NÃO"),"NÃO","SIM")</f>
        <v>NÃO</v>
      </c>
      <c r="P223" s="66" t="str" cm="1">
        <f t="array" ref="P22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23" s="103" t="str" cm="1">
        <f t="array" ref="Q22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45936+KLEBER OLIVEIRA LIMA - 5849+GOIANIA (GO) X SAO LUIS (MA)</v>
      </c>
      <c r="R223" s="67">
        <f>_xlfn.XLOOKUP(autocompAlmoco[[#This Row],[COMP ESCALA]],tabE.Flux[COMP. ESCALA MOT B],tabE.Flux[CARRO],
(_xlfn.XLOOKUP(autocompAlmoco[[#This Row],[COMP ESCALA]],tabE.Flux[COMP. ESCALA MOT A],tabE.Flux[CARRO],"N/E",0,1)),0,1)</f>
        <v>17200</v>
      </c>
      <c r="S223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23" s="127">
        <v>45936</v>
      </c>
      <c r="U223" s="4">
        <f>IF(IFERROR(autocompAlmoco[[#This Row],[CORRESP. CARRO]],"")="NÃO",(IF(tabAlmoco[[#This Row],[MOTORISTA]]=0,"","PASSE?")),autocompAlmoco[[#This Row],[CORRESP. CARRO]])</f>
        <v>17200</v>
      </c>
      <c r="V223" s="128">
        <f>IF(OR(ISERR(autocompAlmoco[[#This Row],[CORRESP HORARIO]]), autocompAlmoco[[#This Row],[CORRESP HORARIO]]&lt;&gt;"NÃO"),autocompAlmoco[[#This Row],[CORRESP HORARIO]],"")</f>
        <v>0.29166666666666669</v>
      </c>
      <c r="W223" s="4" t="s">
        <v>299</v>
      </c>
      <c r="X223" s="4" t="s">
        <v>102</v>
      </c>
      <c r="Y223" s="4">
        <f>IF(tabAlmoco[[#This Row],[MOTORISTA]]="","",COUNTIF(autocompAlmoco[COMP ESCALA ATUAL],autocompAlmoco[[#This Row],[COMP ESCALA ATUAL]]))</f>
        <v>1</v>
      </c>
      <c r="Z223" s="45">
        <f>IF(tabAlmoco[[#This Row],[MOTORISTA]]&lt;&gt;0,15,"")</f>
        <v>15</v>
      </c>
      <c r="AA223" s="4" t="str">
        <f>autocompAlmoco[[#This Row],[CORRESP LINHA]]</f>
        <v>GOIANIA (GO) X SAO LUIS (MA)</v>
      </c>
    </row>
    <row r="224" spans="2:27" ht="15" customHeight="1" x14ac:dyDescent="0.25">
      <c r="C224" s="157" t="s">
        <v>226</v>
      </c>
      <c r="D224" s="56" t="str">
        <f>IF(tabAlmoco[[#This Row],[MOTORISTA]]="","",_xlfn.CONCAT(tabAlmoco[[#This Row],[DATA]],"+",tabAlmoco[[#This Row],[MOTORISTA]]))</f>
        <v>45936+LAUCEANDO DA SILVA ROCHA - 6220</v>
      </c>
      <c r="E224" s="56" t="str">
        <f>_xlfn.XLOOKUP(autocompAlmoco[[#This Row],[COMP ESCALA ATUAL]],tabE.Flux[COMP.AT. MOT A],tabE.Flux[LINHA],"NÃO",0,1)</f>
        <v>NÃO</v>
      </c>
      <c r="F224" s="56" t="str">
        <f>_xlfn.XLOOKUP(autocompAlmoco[[#This Row],[COMP ESCALA ATUAL]],tabE.Flux[COMP.AT. MOT B],tabE.Flux[LINHA],"NÃO",0,1)</f>
        <v>GOIANIA (GO) X SAO LUIS (MA)</v>
      </c>
      <c r="G224" s="61" t="str">
        <f>IF(AND(autocompAlmoco[[#This Row],[EXISTE MOT A AT]]="NÃO", autocompAlmoco[[#This Row],[EXISTE MOT B AT]]="NÃO"),"NÃO","SIM")</f>
        <v>SIM</v>
      </c>
      <c r="H224" s="57" t="str">
        <f>IF(autocompAlmoco[[#This Row],[EXISTE ESCALA ATUAL]]="NÃO",_xlfn.CONCAT(tabAlmoco[[#This Row],[DATA]]-1,"+",tabAlmoco[[#This Row],[MOTORISTA]]),"NÃO")</f>
        <v>NÃO</v>
      </c>
      <c r="I224" s="57" t="str">
        <f>IF(autocompAlmoco[[#This Row],[COMP ESCALA ANTERIOR]]="NÃO","NÃO",_xlfn.XLOOKUP(autocompAlmoco[[#This Row],[COMP ESCALA ANTERIOR]],tabE.Flux[COMP.AT. MOT A],tabE.Flux[LINHA],"NÃO",0,1))</f>
        <v>NÃO</v>
      </c>
      <c r="J224" s="58" t="str">
        <f>IF(autocompAlmoco[[#This Row],[COMP ESCALA ANTERIOR]]="NÃO","NÃO",_xlfn.XLOOKUP(autocompAlmoco[[#This Row],[COMP ESCALA ANTERIOR]],tabE.Flux[COMP.AT. MOT B],tabE.Flux[LINHA],"NÃO",0,1))</f>
        <v>NÃO</v>
      </c>
      <c r="K224" s="62" t="str">
        <f>IF(AND(autocompAlmoco[[#This Row],[EXISTE MOT A ANT]]="NÃO",autocompAlmoco[[#This Row],[EXISTE MOT B ANT]]="NÃO"),"NÃO","SIM")</f>
        <v>NÃO</v>
      </c>
      <c r="L224" s="59" t="str">
        <f t="shared" si="7"/>
        <v>1+</v>
      </c>
      <c r="M224" s="59" t="str">
        <f>IF(autocompAlmoco[[#This Row],[COMP ESCALA POSTERIOR]]="NÃO","NÃO",_xlfn.XLOOKUP(autocompAlmoco[[#This Row],[COMP ESCALA POSTERIOR]],tabE.Flux[COMP.AT. MOT A],tabE.Flux[LINHA],"NÃO",0,1))</f>
        <v>NÃO</v>
      </c>
      <c r="N224" s="59" t="str">
        <f>IF(autocompAlmoco[[#This Row],[COMP ESCALA POSTERIOR]]="NÃO","NÃO",_xlfn.XLOOKUP(autocompAlmoco[[#This Row],[COMP ESCALA POSTERIOR]],tabE.Flux[COMP.AT. MOT B],tabE.Flux[LINHA],"NÃO",0,1))</f>
        <v>NÃO</v>
      </c>
      <c r="O224" s="65" t="str">
        <f>IF(AND(autocompAlmoco[[#This Row],[EXISTE MOT A POS]]="NÃO",autocompAlmoco[[#This Row],[EXISTE MOT B POS]]="NÃO"),"NÃO","SIM")</f>
        <v>NÃO</v>
      </c>
      <c r="P224" s="66" t="str" cm="1">
        <f t="array" ref="P22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24" s="103" t="str" cm="1">
        <f t="array" ref="Q22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45936+LAUCEANDO DA SILVA ROCHA - 6220+GOIANIA (GO) X SAO LUIS (MA)</v>
      </c>
      <c r="R224" s="67">
        <f>_xlfn.XLOOKUP(autocompAlmoco[[#This Row],[COMP ESCALA]],tabE.Flux[COMP. ESCALA MOT B],tabE.Flux[CARRO],
(_xlfn.XLOOKUP(autocompAlmoco[[#This Row],[COMP ESCALA]],tabE.Flux[COMP. ESCALA MOT A],tabE.Flux[CARRO],"N/E",0,1)),0,1)</f>
        <v>19001</v>
      </c>
      <c r="S224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24" s="127">
        <v>45936</v>
      </c>
      <c r="U224" s="4">
        <f>IF(IFERROR(autocompAlmoco[[#This Row],[CORRESP. CARRO]],"")="NÃO",(IF(tabAlmoco[[#This Row],[MOTORISTA]]=0,"","PASSE?")),autocompAlmoco[[#This Row],[CORRESP. CARRO]])</f>
        <v>19001</v>
      </c>
      <c r="V224" s="126">
        <f>IF(OR(ISERR(autocompAlmoco[[#This Row],[CORRESP HORARIO]]), autocompAlmoco[[#This Row],[CORRESP HORARIO]]&lt;&gt;"NÃO"),autocompAlmoco[[#This Row],[CORRESP HORARIO]],"")</f>
        <v>0.47013888888888888</v>
      </c>
      <c r="W224" s="1" t="s">
        <v>299</v>
      </c>
      <c r="X224" s="1" t="s">
        <v>86</v>
      </c>
      <c r="Y224" s="1">
        <f>IF(tabAlmoco[[#This Row],[MOTORISTA]]="","",COUNTIF(autocompAlmoco[COMP ESCALA ATUAL],autocompAlmoco[[#This Row],[COMP ESCALA ATUAL]]))</f>
        <v>1</v>
      </c>
      <c r="Z224" s="105">
        <f>IF(tabAlmoco[[#This Row],[MOTORISTA]]&lt;&gt;0,15,"")</f>
        <v>15</v>
      </c>
      <c r="AA224" s="4" t="str">
        <f>autocompAlmoco[[#This Row],[CORRESP LINHA]]</f>
        <v>GOIANIA (GO) X SAO LUIS (MA)</v>
      </c>
    </row>
    <row r="225" spans="3:27" ht="15" customHeight="1" x14ac:dyDescent="0.25">
      <c r="C225" s="157" t="s">
        <v>226</v>
      </c>
      <c r="D225" s="56" t="str">
        <f>IF(tabAlmoco[[#This Row],[MOTORISTA]]="","",_xlfn.CONCAT(tabAlmoco[[#This Row],[DATA]],"+",tabAlmoco[[#This Row],[MOTORISTA]]))</f>
        <v>45936+JOSE CARLOS BEZERRA DA SILVA - 3034</v>
      </c>
      <c r="E225" s="56" t="str">
        <f>_xlfn.XLOOKUP(autocompAlmoco[[#This Row],[COMP ESCALA ATUAL]],tabE.Flux[COMP.AT. MOT A],tabE.Flux[LINHA],"NÃO",0,1)</f>
        <v>NÃO</v>
      </c>
      <c r="F225" s="56" t="str">
        <f>_xlfn.XLOOKUP(autocompAlmoco[[#This Row],[COMP ESCALA ATUAL]],tabE.Flux[COMP.AT. MOT B],tabE.Flux[LINHA],"NÃO",0,1)</f>
        <v>GOIANIA (GO) X SAO LUIS (MA)</v>
      </c>
      <c r="G225" s="61" t="str">
        <f>IF(AND(autocompAlmoco[[#This Row],[EXISTE MOT A AT]]="NÃO", autocompAlmoco[[#This Row],[EXISTE MOT B AT]]="NÃO"),"NÃO","SIM")</f>
        <v>SIM</v>
      </c>
      <c r="H225" s="57" t="str">
        <f>IF(autocompAlmoco[[#This Row],[EXISTE ESCALA ATUAL]]="NÃO",_xlfn.CONCAT(tabAlmoco[[#This Row],[DATA]]-1,"+",tabAlmoco[[#This Row],[MOTORISTA]]),"NÃO")</f>
        <v>NÃO</v>
      </c>
      <c r="I225" s="57" t="str">
        <f>IF(autocompAlmoco[[#This Row],[COMP ESCALA ANTERIOR]]="NÃO","NÃO",_xlfn.XLOOKUP(autocompAlmoco[[#This Row],[COMP ESCALA ANTERIOR]],tabE.Flux[COMP.AT. MOT A],tabE.Flux[LINHA],"NÃO",0,1))</f>
        <v>NÃO</v>
      </c>
      <c r="J225" s="58" t="str">
        <f>IF(autocompAlmoco[[#This Row],[COMP ESCALA ANTERIOR]]="NÃO","NÃO",_xlfn.XLOOKUP(autocompAlmoco[[#This Row],[COMP ESCALA ANTERIOR]],tabE.Flux[COMP.AT. MOT B],tabE.Flux[LINHA],"NÃO",0,1))</f>
        <v>NÃO</v>
      </c>
      <c r="K225" s="62" t="str">
        <f>IF(AND(autocompAlmoco[[#This Row],[EXISTE MOT A ANT]]="NÃO",autocompAlmoco[[#This Row],[EXISTE MOT B ANT]]="NÃO"),"NÃO","SIM")</f>
        <v>NÃO</v>
      </c>
      <c r="L225" s="59" t="str">
        <f t="shared" si="7"/>
        <v>1+</v>
      </c>
      <c r="M225" s="59" t="str">
        <f>IF(autocompAlmoco[[#This Row],[COMP ESCALA POSTERIOR]]="NÃO","NÃO",_xlfn.XLOOKUP(autocompAlmoco[[#This Row],[COMP ESCALA POSTERIOR]],tabE.Flux[COMP.AT. MOT A],tabE.Flux[LINHA],"NÃO",0,1))</f>
        <v>NÃO</v>
      </c>
      <c r="N225" s="59" t="str">
        <f>IF(autocompAlmoco[[#This Row],[COMP ESCALA POSTERIOR]]="NÃO","NÃO",_xlfn.XLOOKUP(autocompAlmoco[[#This Row],[COMP ESCALA POSTERIOR]],tabE.Flux[COMP.AT. MOT B],tabE.Flux[LINHA],"NÃO",0,1))</f>
        <v>NÃO</v>
      </c>
      <c r="O225" s="65" t="str">
        <f>IF(AND(autocompAlmoco[[#This Row],[EXISTE MOT A POS]]="NÃO",autocompAlmoco[[#This Row],[EXISTE MOT B POS]]="NÃO"),"NÃO","SIM")</f>
        <v>NÃO</v>
      </c>
      <c r="P225" s="66" t="str" cm="1">
        <f t="array" ref="P22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25" s="103" t="str" cm="1">
        <f t="array" ref="Q22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45936+JOSE CARLOS BEZERRA DA SILVA - 3034+GOIANIA (GO) X SAO LUIS (MA)</v>
      </c>
      <c r="R225" s="67">
        <f>_xlfn.XLOOKUP(autocompAlmoco[[#This Row],[COMP ESCALA]],tabE.Flux[COMP. ESCALA MOT B],tabE.Flux[CARRO],
(_xlfn.XLOOKUP(autocompAlmoco[[#This Row],[COMP ESCALA]],tabE.Flux[COMP. ESCALA MOT A],tabE.Flux[CARRO],"N/E",0,1)),0,1)</f>
        <v>25007</v>
      </c>
      <c r="S225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225" s="127">
        <v>45936</v>
      </c>
      <c r="U225" s="131">
        <f>IF(IFERROR(autocompAlmoco[[#This Row],[CORRESP. CARRO]],"")="NÃO",(IF(tabAlmoco[[#This Row],[MOTORISTA]]=0,"","PASSE?")),autocompAlmoco[[#This Row],[CORRESP. CARRO]])</f>
        <v>25007</v>
      </c>
      <c r="V225" s="126">
        <f>IF(OR(ISERR(autocompAlmoco[[#This Row],[CORRESP HORARIO]]), autocompAlmoco[[#This Row],[CORRESP HORARIO]]&lt;&gt;"NÃO"),autocompAlmoco[[#This Row],[CORRESP HORARIO]],"")</f>
        <v>0.79166666666666663</v>
      </c>
      <c r="W225" s="1" t="s">
        <v>299</v>
      </c>
      <c r="X225" s="1" t="s">
        <v>76</v>
      </c>
      <c r="Y225" s="1">
        <f>IF(tabAlmoco[[#This Row],[MOTORISTA]]="","",COUNTIF(autocompAlmoco[COMP ESCALA ATUAL],autocompAlmoco[[#This Row],[COMP ESCALA ATUAL]]))</f>
        <v>1</v>
      </c>
      <c r="Z225" s="105">
        <f>IF(tabAlmoco[[#This Row],[MOTORISTA]]&lt;&gt;0,15,"")</f>
        <v>15</v>
      </c>
      <c r="AA225" s="131" t="str">
        <f>autocompAlmoco[[#This Row],[CORRESP LINHA]]</f>
        <v>GOIANIA (GO) X SAO LUIS (MA)</v>
      </c>
    </row>
    <row r="226" spans="3:27" ht="15" customHeight="1" x14ac:dyDescent="0.25">
      <c r="C226" s="157" t="s">
        <v>226</v>
      </c>
      <c r="D226" s="56" t="str">
        <f>IF(tabAlmoco[[#This Row],[MOTORISTA]]="","",_xlfn.CONCAT(tabAlmoco[[#This Row],[DATA]],"+",tabAlmoco[[#This Row],[MOTORISTA]]))</f>
        <v>45936+IZALMIR RODRIGUES COELHO - 958</v>
      </c>
      <c r="E226" s="56" t="str">
        <f>_xlfn.XLOOKUP(autocompAlmoco[[#This Row],[COMP ESCALA ATUAL]],tabE.Flux[COMP.AT. MOT A],tabE.Flux[LINHA],"NÃO",0,1)</f>
        <v>NÃO</v>
      </c>
      <c r="F226" s="56" t="str">
        <f>_xlfn.XLOOKUP(autocompAlmoco[[#This Row],[COMP ESCALA ATUAL]],tabE.Flux[COMP.AT. MOT B],tabE.Flux[LINHA],"NÃO",0,1)</f>
        <v>NÃO</v>
      </c>
      <c r="G226" s="61" t="str">
        <f>IF(AND(autocompAlmoco[[#This Row],[EXISTE MOT A AT]]="NÃO", autocompAlmoco[[#This Row],[EXISTE MOT B AT]]="NÃO"),"NÃO","SIM")</f>
        <v>NÃO</v>
      </c>
      <c r="H226" s="57" t="str">
        <f>IF(autocompAlmoco[[#This Row],[EXISTE ESCALA ATUAL]]="NÃO",_xlfn.CONCAT(tabAlmoco[[#This Row],[DATA]]-1,"+",tabAlmoco[[#This Row],[MOTORISTA]]),"NÃO")</f>
        <v>45935+IZALMIR RODRIGUES COELHO - 958</v>
      </c>
      <c r="I226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26" s="58" t="str">
        <f>IF(autocompAlmoco[[#This Row],[COMP ESCALA ANTERIOR]]="NÃO","NÃO",_xlfn.XLOOKUP(autocompAlmoco[[#This Row],[COMP ESCALA ANTERIOR]],tabE.Flux[COMP.AT. MOT B],tabE.Flux[LINHA],"NÃO",0,1))</f>
        <v>NÃO</v>
      </c>
      <c r="K226" s="62" t="str">
        <f>IF(AND(autocompAlmoco[[#This Row],[EXISTE MOT A ANT]]="NÃO",autocompAlmoco[[#This Row],[EXISTE MOT B ANT]]="NÃO"),"NÃO","SIM")</f>
        <v>SIM</v>
      </c>
      <c r="L226" s="59" t="str">
        <f t="shared" si="7"/>
        <v>1+</v>
      </c>
      <c r="M226" s="59" t="str">
        <f>IF(autocompAlmoco[[#This Row],[COMP ESCALA POSTERIOR]]="NÃO","NÃO",_xlfn.XLOOKUP(autocompAlmoco[[#This Row],[COMP ESCALA POSTERIOR]],tabE.Flux[COMP.AT. MOT A],tabE.Flux[LINHA],"NÃO",0,1))</f>
        <v>NÃO</v>
      </c>
      <c r="N226" s="59" t="str">
        <f>IF(autocompAlmoco[[#This Row],[COMP ESCALA POSTERIOR]]="NÃO","NÃO",_xlfn.XLOOKUP(autocompAlmoco[[#This Row],[COMP ESCALA POSTERIOR]],tabE.Flux[COMP.AT. MOT B],tabE.Flux[LINHA],"NÃO",0,1))</f>
        <v>NÃO</v>
      </c>
      <c r="O226" s="65" t="str">
        <f>IF(AND(autocompAlmoco[[#This Row],[EXISTE MOT A POS]]="NÃO",autocompAlmoco[[#This Row],[EXISTE MOT B POS]]="NÃO"),"NÃO","SIM")</f>
        <v>NÃO</v>
      </c>
      <c r="P226" s="66" t="str" cm="1">
        <f t="array" ref="P22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26" s="103" t="str" cm="1">
        <f t="array" ref="Q22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45935+IZALMIR RODRIGUES COELHO - 958+GOIANIA (GO) X TERESINA (PI) VIA STI</v>
      </c>
      <c r="R226" s="67">
        <f>_xlfn.XLOOKUP(autocompAlmoco[[#This Row],[COMP ESCALA]],tabE.Flux[COMP. ESCALA MOT B],tabE.Flux[CARRO],
(_xlfn.XLOOKUP(autocompAlmoco[[#This Row],[COMP ESCALA]],tabE.Flux[COMP. ESCALA MOT A],tabE.Flux[CARRO],"N/E",0,1)),0,1)</f>
        <v>19026</v>
      </c>
      <c r="S226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26" s="127">
        <v>45936</v>
      </c>
      <c r="U226" s="131">
        <f>IF(IFERROR(autocompAlmoco[[#This Row],[CORRESP. CARRO]],"")="NÃO",(IF(tabAlmoco[[#This Row],[MOTORISTA]]=0,"","PASSE?")),autocompAlmoco[[#This Row],[CORRESP. CARRO]])</f>
        <v>19026</v>
      </c>
      <c r="V226" s="126">
        <f>IF(OR(ISERR(autocompAlmoco[[#This Row],[CORRESP HORARIO]]), autocompAlmoco[[#This Row],[CORRESP HORARIO]]&lt;&gt;"NÃO"),autocompAlmoco[[#This Row],[CORRESP HORARIO]],"")</f>
        <v>0.79861111111111116</v>
      </c>
      <c r="W226" s="1" t="s">
        <v>299</v>
      </c>
      <c r="X226" s="1" t="s">
        <v>83</v>
      </c>
      <c r="Y226" s="1">
        <f>IF(tabAlmoco[[#This Row],[MOTORISTA]]="","",COUNTIF(autocompAlmoco[COMP ESCALA ATUAL],autocompAlmoco[[#This Row],[COMP ESCALA ATUAL]]))</f>
        <v>1</v>
      </c>
      <c r="Z226" s="105">
        <f>IF(tabAlmoco[[#This Row],[MOTORISTA]]&lt;&gt;0,15,"")</f>
        <v>15</v>
      </c>
      <c r="AA226" s="131" t="str">
        <f>autocompAlmoco[[#This Row],[CORRESP LINHA]]</f>
        <v>GOIANIA (GO) X TERESINA (PI) VIA STI</v>
      </c>
    </row>
    <row r="227" spans="3:27" ht="15" customHeight="1" x14ac:dyDescent="0.25">
      <c r="C227" s="157" t="s">
        <v>226</v>
      </c>
      <c r="D227" s="56" t="str">
        <f>IF(tabAlmoco[[#This Row],[MOTORISTA]]="","",_xlfn.CONCAT(tabAlmoco[[#This Row],[DATA]],"+",tabAlmoco[[#This Row],[MOTORISTA]]))</f>
        <v>45936+MARCOS ANTONIO ALVES DE SOUSA - 5278</v>
      </c>
      <c r="E227" s="56" t="str">
        <f>_xlfn.XLOOKUP(autocompAlmoco[[#This Row],[COMP ESCALA ATUAL]],tabE.Flux[COMP.AT. MOT A],tabE.Flux[LINHA],"NÃO",0,1)</f>
        <v>NÃO</v>
      </c>
      <c r="F227" s="56" t="str">
        <f>_xlfn.XLOOKUP(autocompAlmoco[[#This Row],[COMP ESCALA ATUAL]],tabE.Flux[COMP.AT. MOT B],tabE.Flux[LINHA],"NÃO",0,1)</f>
        <v>NÃO</v>
      </c>
      <c r="G227" s="61" t="str">
        <f>IF(AND(autocompAlmoco[[#This Row],[EXISTE MOT A AT]]="NÃO", autocompAlmoco[[#This Row],[EXISTE MOT B AT]]="NÃO"),"NÃO","SIM")</f>
        <v>NÃO</v>
      </c>
      <c r="H227" s="57" t="str">
        <f>IF(autocompAlmoco[[#This Row],[EXISTE ESCALA ATUAL]]="NÃO",_xlfn.CONCAT(tabAlmoco[[#This Row],[DATA]]-1,"+",tabAlmoco[[#This Row],[MOTORISTA]]),"NÃO")</f>
        <v>45935+MARCOS ANTONIO ALVES DE SOUSA - 5278</v>
      </c>
      <c r="I227" s="57" t="str">
        <f>IF(autocompAlmoco[[#This Row],[COMP ESCALA ANTERIOR]]="NÃO","NÃO",_xlfn.XLOOKUP(autocompAlmoco[[#This Row],[COMP ESCALA ANTERIOR]],tabE.Flux[COMP.AT. MOT A],tabE.Flux[LINHA],"NÃO",0,1))</f>
        <v>NÃO</v>
      </c>
      <c r="J227" s="58" t="str">
        <f>IF(autocompAlmoco[[#This Row],[COMP ESCALA ANTERIOR]]="NÃO","NÃO",_xlfn.XLOOKUP(autocompAlmoco[[#This Row],[COMP ESCALA ANTERIOR]],tabE.Flux[COMP.AT. MOT B],tabE.Flux[LINHA],"NÃO",0,1))</f>
        <v>NÃO</v>
      </c>
      <c r="K227" s="62" t="str">
        <f>IF(AND(autocompAlmoco[[#This Row],[EXISTE MOT A ANT]]="NÃO",autocompAlmoco[[#This Row],[EXISTE MOT B ANT]]="NÃO"),"NÃO","SIM")</f>
        <v>NÃO</v>
      </c>
      <c r="L227" s="59" t="str">
        <f t="shared" si="7"/>
        <v>1+</v>
      </c>
      <c r="M227" s="59" t="str">
        <f>IF(autocompAlmoco[[#This Row],[COMP ESCALA POSTERIOR]]="NÃO","NÃO",_xlfn.XLOOKUP(autocompAlmoco[[#This Row],[COMP ESCALA POSTERIOR]],tabE.Flux[COMP.AT. MOT A],tabE.Flux[LINHA],"NÃO",0,1))</f>
        <v>NÃO</v>
      </c>
      <c r="N227" s="59" t="str">
        <f>IF(autocompAlmoco[[#This Row],[COMP ESCALA POSTERIOR]]="NÃO","NÃO",_xlfn.XLOOKUP(autocompAlmoco[[#This Row],[COMP ESCALA POSTERIOR]],tabE.Flux[COMP.AT. MOT B],tabE.Flux[LINHA],"NÃO",0,1))</f>
        <v>NÃO</v>
      </c>
      <c r="O227" s="65" t="str">
        <f>IF(AND(autocompAlmoco[[#This Row],[EXISTE MOT A POS]]="NÃO",autocompAlmoco[[#This Row],[EXISTE MOT B POS]]="NÃO"),"NÃO","SIM")</f>
        <v>NÃO</v>
      </c>
      <c r="P227" s="66" t="str" cm="1">
        <f t="array" ref="P22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27" s="103" t="str" cm="1">
        <f t="array" ref="Q22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27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27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27" s="127">
        <v>45936</v>
      </c>
      <c r="U227" s="131">
        <v>19008</v>
      </c>
      <c r="V227" s="126">
        <v>0.79861111111111116</v>
      </c>
      <c r="W227" s="1" t="s">
        <v>299</v>
      </c>
      <c r="X227" s="1" t="s">
        <v>210</v>
      </c>
      <c r="Y227" s="1">
        <f>IF(tabAlmoco[[#This Row],[MOTORISTA]]="","",COUNTIF(autocompAlmoco[COMP ESCALA ATUAL],autocompAlmoco[[#This Row],[COMP ESCALA ATUAL]]))</f>
        <v>1</v>
      </c>
      <c r="Z227" s="105">
        <f>IF(tabAlmoco[[#This Row],[MOTORISTA]]&lt;&gt;0,15,"")</f>
        <v>15</v>
      </c>
      <c r="AA227" s="131" t="s">
        <v>26</v>
      </c>
    </row>
    <row r="228" spans="3:27" ht="15" customHeight="1" x14ac:dyDescent="0.25">
      <c r="C228" s="157" t="s">
        <v>226</v>
      </c>
      <c r="D228" s="56" t="str">
        <f>IF(tabAlmoco[[#This Row],[MOTORISTA]]="","",_xlfn.CONCAT(tabAlmoco[[#This Row],[DATA]],"+",tabAlmoco[[#This Row],[MOTORISTA]]))</f>
        <v>45936+JOSE CLAUDIMAR  CUNHA - 5652</v>
      </c>
      <c r="E228" s="56" t="str">
        <f>_xlfn.XLOOKUP(autocompAlmoco[[#This Row],[COMP ESCALA ATUAL]],tabE.Flux[COMP.AT. MOT A],tabE.Flux[LINHA],"NÃO",0,1)</f>
        <v>NÃO</v>
      </c>
      <c r="F228" s="56" t="str">
        <f>_xlfn.XLOOKUP(autocompAlmoco[[#This Row],[COMP ESCALA ATUAL]],tabE.Flux[COMP.AT. MOT B],tabE.Flux[LINHA],"NÃO",0,1)</f>
        <v>FORTALEZA (CE) X SINOP (MT)</v>
      </c>
      <c r="G228" s="61" t="str">
        <f>IF(AND(autocompAlmoco[[#This Row],[EXISTE MOT A AT]]="NÃO", autocompAlmoco[[#This Row],[EXISTE MOT B AT]]="NÃO"),"NÃO","SIM")</f>
        <v>SIM</v>
      </c>
      <c r="H228" s="57" t="str">
        <f>IF(autocompAlmoco[[#This Row],[EXISTE ESCALA ATUAL]]="NÃO",_xlfn.CONCAT(tabAlmoco[[#This Row],[DATA]]-1,"+",tabAlmoco[[#This Row],[MOTORISTA]]),"NÃO")</f>
        <v>NÃO</v>
      </c>
      <c r="I228" s="57" t="str">
        <f>IF(autocompAlmoco[[#This Row],[COMP ESCALA ANTERIOR]]="NÃO","NÃO",_xlfn.XLOOKUP(autocompAlmoco[[#This Row],[COMP ESCALA ANTERIOR]],tabE.Flux[COMP.AT. MOT A],tabE.Flux[LINHA],"NÃO",0,1))</f>
        <v>NÃO</v>
      </c>
      <c r="J228" s="58" t="str">
        <f>IF(autocompAlmoco[[#This Row],[COMP ESCALA ANTERIOR]]="NÃO","NÃO",_xlfn.XLOOKUP(autocompAlmoco[[#This Row],[COMP ESCALA ANTERIOR]],tabE.Flux[COMP.AT. MOT B],tabE.Flux[LINHA],"NÃO",0,1))</f>
        <v>NÃO</v>
      </c>
      <c r="K228" s="62" t="str">
        <f>IF(AND(autocompAlmoco[[#This Row],[EXISTE MOT A ANT]]="NÃO",autocompAlmoco[[#This Row],[EXISTE MOT B ANT]]="NÃO"),"NÃO","SIM")</f>
        <v>NÃO</v>
      </c>
      <c r="L228" s="59" t="str">
        <f t="shared" si="7"/>
        <v>1+</v>
      </c>
      <c r="M228" s="59" t="str">
        <f>IF(autocompAlmoco[[#This Row],[COMP ESCALA POSTERIOR]]="NÃO","NÃO",_xlfn.XLOOKUP(autocompAlmoco[[#This Row],[COMP ESCALA POSTERIOR]],tabE.Flux[COMP.AT. MOT A],tabE.Flux[LINHA],"NÃO",0,1))</f>
        <v>NÃO</v>
      </c>
      <c r="N228" s="59" t="str">
        <f>IF(autocompAlmoco[[#This Row],[COMP ESCALA POSTERIOR]]="NÃO","NÃO",_xlfn.XLOOKUP(autocompAlmoco[[#This Row],[COMP ESCALA POSTERIOR]],tabE.Flux[COMP.AT. MOT B],tabE.Flux[LINHA],"NÃO",0,1))</f>
        <v>NÃO</v>
      </c>
      <c r="O228" s="65" t="str">
        <f>IF(AND(autocompAlmoco[[#This Row],[EXISTE MOT A POS]]="NÃO",autocompAlmoco[[#This Row],[EXISTE MOT B POS]]="NÃO"),"NÃO","SIM")</f>
        <v>NÃO</v>
      </c>
      <c r="P228" s="66" t="str" cm="1">
        <f t="array" ref="P22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228" s="103" t="str" cm="1">
        <f t="array" ref="Q22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45936+JOSE CLAUDIMAR  CUNHA - 5652+FORTALEZA (CE) X SINOP (MT)</v>
      </c>
      <c r="R228" s="67">
        <f>_xlfn.XLOOKUP(autocompAlmoco[[#This Row],[COMP ESCALA]],tabE.Flux[COMP. ESCALA MOT B],tabE.Flux[CARRO],
(_xlfn.XLOOKUP(autocompAlmoco[[#This Row],[COMP ESCALA]],tabE.Flux[COMP. ESCALA MOT A],tabE.Flux[CARRO],"N/E",0,1)),0,1)</f>
        <v>19006</v>
      </c>
      <c r="S228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228" s="127">
        <v>45936</v>
      </c>
      <c r="U228" s="4">
        <f>IF(IFERROR(autocompAlmoco[[#This Row],[CORRESP. CARRO]],"")="NÃO",(IF(tabAlmoco[[#This Row],[MOTORISTA]]=0,"","PASSE?")),autocompAlmoco[[#This Row],[CORRESP. CARRO]])</f>
        <v>19006</v>
      </c>
      <c r="V228" s="128">
        <f>IF(OR(ISERR(autocompAlmoco[[#This Row],[CORRESP HORARIO]]), autocompAlmoco[[#This Row],[CORRESP HORARIO]]&lt;&gt;"NÃO"),autocompAlmoco[[#This Row],[CORRESP HORARIO]],"")</f>
        <v>0.37708333333333333</v>
      </c>
      <c r="W228" s="4" t="s">
        <v>299</v>
      </c>
      <c r="X228" s="4" t="s">
        <v>140</v>
      </c>
      <c r="Y228" s="4">
        <f>IF(tabAlmoco[[#This Row],[MOTORISTA]]="","",COUNTIF(autocompAlmoco[COMP ESCALA ATUAL],autocompAlmoco[[#This Row],[COMP ESCALA ATUAL]]))</f>
        <v>1</v>
      </c>
      <c r="Z228" s="45">
        <f>IF(tabAlmoco[[#This Row],[MOTORISTA]]&lt;&gt;0,15,"")</f>
        <v>15</v>
      </c>
      <c r="AA228" s="4" t="str">
        <f>autocompAlmoco[[#This Row],[CORRESP LINHA]]</f>
        <v>FORTALEZA (CE) X SINOP (MT)</v>
      </c>
    </row>
    <row r="229" spans="3:27" ht="15" customHeight="1" x14ac:dyDescent="0.25">
      <c r="C229" s="157" t="s">
        <v>226</v>
      </c>
      <c r="D229" s="56" t="str">
        <f>IF(tabAlmoco[[#This Row],[MOTORISTA]]="","",_xlfn.CONCAT(tabAlmoco[[#This Row],[DATA]],"+",tabAlmoco[[#This Row],[MOTORISTA]]))</f>
        <v>45936+CARLOS ADRIANO DE SOUZA DO NASCIMENTO - 6222</v>
      </c>
      <c r="E229" s="56" t="str">
        <f>_xlfn.XLOOKUP(autocompAlmoco[[#This Row],[COMP ESCALA ATUAL]],tabE.Flux[COMP.AT. MOT A],tabE.Flux[LINHA],"NÃO",0,1)</f>
        <v>GOIANIA (GO) X SAO LUIS (MA)</v>
      </c>
      <c r="F229" s="56" t="str">
        <f>_xlfn.XLOOKUP(autocompAlmoco[[#This Row],[COMP ESCALA ATUAL]],tabE.Flux[COMP.AT. MOT B],tabE.Flux[LINHA],"NÃO",0,1)</f>
        <v>GOIANIA (GO) X SAO LUIS (MA)</v>
      </c>
      <c r="G229" s="61" t="str">
        <f>IF(AND(autocompAlmoco[[#This Row],[EXISTE MOT A AT]]="NÃO", autocompAlmoco[[#This Row],[EXISTE MOT B AT]]="NÃO"),"NÃO","SIM")</f>
        <v>SIM</v>
      </c>
      <c r="H229" s="57" t="str">
        <f>IF(autocompAlmoco[[#This Row],[EXISTE ESCALA ATUAL]]="NÃO",_xlfn.CONCAT(tabAlmoco[[#This Row],[DATA]]-1,"+",tabAlmoco[[#This Row],[MOTORISTA]]),"NÃO")</f>
        <v>NÃO</v>
      </c>
      <c r="I229" s="57" t="str">
        <f>IF(autocompAlmoco[[#This Row],[COMP ESCALA ANTERIOR]]="NÃO","NÃO",_xlfn.XLOOKUP(autocompAlmoco[[#This Row],[COMP ESCALA ANTERIOR]],tabE.Flux[COMP.AT. MOT A],tabE.Flux[LINHA],"NÃO",0,1))</f>
        <v>NÃO</v>
      </c>
      <c r="J229" s="58" t="str">
        <f>IF(autocompAlmoco[[#This Row],[COMP ESCALA ANTERIOR]]="NÃO","NÃO",_xlfn.XLOOKUP(autocompAlmoco[[#This Row],[COMP ESCALA ANTERIOR]],tabE.Flux[COMP.AT. MOT B],tabE.Flux[LINHA],"NÃO",0,1))</f>
        <v>NÃO</v>
      </c>
      <c r="K229" s="62" t="str">
        <f>IF(AND(autocompAlmoco[[#This Row],[EXISTE MOT A ANT]]="NÃO",autocompAlmoco[[#This Row],[EXISTE MOT B ANT]]="NÃO"),"NÃO","SIM")</f>
        <v>NÃO</v>
      </c>
      <c r="L229" s="59" t="str">
        <f t="shared" si="7"/>
        <v>1+</v>
      </c>
      <c r="M229" s="59" t="str">
        <f>IF(autocompAlmoco[[#This Row],[COMP ESCALA POSTERIOR]]="NÃO","NÃO",_xlfn.XLOOKUP(autocompAlmoco[[#This Row],[COMP ESCALA POSTERIOR]],tabE.Flux[COMP.AT. MOT A],tabE.Flux[LINHA],"NÃO",0,1))</f>
        <v>NÃO</v>
      </c>
      <c r="N229" s="59" t="str">
        <f>IF(autocompAlmoco[[#This Row],[COMP ESCALA POSTERIOR]]="NÃO","NÃO",_xlfn.XLOOKUP(autocompAlmoco[[#This Row],[COMP ESCALA POSTERIOR]],tabE.Flux[COMP.AT. MOT B],tabE.Flux[LINHA],"NÃO",0,1))</f>
        <v>NÃO</v>
      </c>
      <c r="O229" s="65" t="str">
        <f>IF(AND(autocompAlmoco[[#This Row],[EXISTE MOT A POS]]="NÃO",autocompAlmoco[[#This Row],[EXISTE MOT B POS]]="NÃO"),"NÃO","SIM")</f>
        <v>NÃO</v>
      </c>
      <c r="P229" s="66" t="str" cm="1">
        <f t="array" ref="P22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29" s="103" t="str" cm="1">
        <f t="array" ref="Q22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45936+CARLOS ADRIANO DE SOUZA DO NASCIMENTO - 6222+GOIANIA (GO) X SAO LUIS (MA)</v>
      </c>
      <c r="R229" s="67">
        <f>_xlfn.XLOOKUP(autocompAlmoco[[#This Row],[COMP ESCALA]],tabE.Flux[COMP. ESCALA MOT B],tabE.Flux[CARRO],
(_xlfn.XLOOKUP(autocompAlmoco[[#This Row],[COMP ESCALA]],tabE.Flux[COMP. ESCALA MOT A],tabE.Flux[CARRO],"N/E",0,1)),0,1)</f>
        <v>24001</v>
      </c>
      <c r="S229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29" s="127">
        <v>45936</v>
      </c>
      <c r="U229" s="4">
        <f>IF(IFERROR(autocompAlmoco[[#This Row],[CORRESP. CARRO]],"")="NÃO",(IF(tabAlmoco[[#This Row],[MOTORISTA]]=0,"","PASSE?")),autocompAlmoco[[#This Row],[CORRESP. CARRO]])</f>
        <v>24001</v>
      </c>
      <c r="V229" s="126">
        <f>IF(OR(ISERR(autocompAlmoco[[#This Row],[CORRESP HORARIO]]), autocompAlmoco[[#This Row],[CORRESP HORARIO]]&lt;&gt;"NÃO"),autocompAlmoco[[#This Row],[CORRESP HORARIO]],"")</f>
        <v>0.29166666666666669</v>
      </c>
      <c r="W229" s="1" t="s">
        <v>299</v>
      </c>
      <c r="X229" s="1" t="s">
        <v>110</v>
      </c>
      <c r="Y229" s="1">
        <f>IF(tabAlmoco[[#This Row],[MOTORISTA]]="","",COUNTIF(autocompAlmoco[COMP ESCALA ATUAL],autocompAlmoco[[#This Row],[COMP ESCALA ATUAL]]))</f>
        <v>1</v>
      </c>
      <c r="Z229" s="105">
        <f>IF(tabAlmoco[[#This Row],[MOTORISTA]]&lt;&gt;0,15,"")</f>
        <v>15</v>
      </c>
      <c r="AA229" s="4" t="str">
        <f>autocompAlmoco[[#This Row],[CORRESP LINHA]]</f>
        <v>GOIANIA (GO) X SAO LUIS (MA)</v>
      </c>
    </row>
    <row r="230" spans="3:27" ht="15" customHeight="1" x14ac:dyDescent="0.25">
      <c r="C230" s="157" t="s">
        <v>226</v>
      </c>
      <c r="D230" s="56" t="str">
        <f>IF(tabAlmoco[[#This Row],[MOTORISTA]]="","",_xlfn.CONCAT(tabAlmoco[[#This Row],[DATA]],"+",tabAlmoco[[#This Row],[MOTORISTA]]))</f>
        <v>45937+  FRANCISCO CARLOS MELO- 5306</v>
      </c>
      <c r="E230" s="56" t="str">
        <f>_xlfn.XLOOKUP(autocompAlmoco[[#This Row],[COMP ESCALA ATUAL]],tabE.Flux[COMP.AT. MOT A],tabE.Flux[LINHA],"NÃO",0,1)</f>
        <v>NÃO</v>
      </c>
      <c r="F230" s="56" t="str">
        <f>_xlfn.XLOOKUP(autocompAlmoco[[#This Row],[COMP ESCALA ATUAL]],tabE.Flux[COMP.AT. MOT B],tabE.Flux[LINHA],"NÃO",0,1)</f>
        <v>NÃO</v>
      </c>
      <c r="G230" s="61" t="str">
        <f>IF(AND(autocompAlmoco[[#This Row],[EXISTE MOT A AT]]="NÃO", autocompAlmoco[[#This Row],[EXISTE MOT B AT]]="NÃO"),"NÃO","SIM")</f>
        <v>NÃO</v>
      </c>
      <c r="H230" s="57" t="str">
        <f>IF(autocompAlmoco[[#This Row],[EXISTE ESCALA ATUAL]]="NÃO",_xlfn.CONCAT(tabAlmoco[[#This Row],[DATA]]-1,"+",tabAlmoco[[#This Row],[MOTORISTA]]),"NÃO")</f>
        <v>45936+  FRANCISCO CARLOS MELO- 5306</v>
      </c>
      <c r="I230" s="57" t="str">
        <f>IF(autocompAlmoco[[#This Row],[COMP ESCALA ANTERIOR]]="NÃO","NÃO",_xlfn.XLOOKUP(autocompAlmoco[[#This Row],[COMP ESCALA ANTERIOR]],tabE.Flux[COMP.AT. MOT A],tabE.Flux[LINHA],"NÃO",0,1))</f>
        <v>NÃO</v>
      </c>
      <c r="J230" s="58" t="str">
        <f>IF(autocompAlmoco[[#This Row],[COMP ESCALA ANTERIOR]]="NÃO","NÃO",_xlfn.XLOOKUP(autocompAlmoco[[#This Row],[COMP ESCALA ANTERIOR]],tabE.Flux[COMP.AT. MOT B],tabE.Flux[LINHA],"NÃO",0,1))</f>
        <v>NÃO</v>
      </c>
      <c r="K230" s="62" t="str">
        <f>IF(AND(autocompAlmoco[[#This Row],[EXISTE MOT A ANT]]="NÃO",autocompAlmoco[[#This Row],[EXISTE MOT B ANT]]="NÃO"),"NÃO","SIM")</f>
        <v>NÃO</v>
      </c>
      <c r="L230" s="59" t="str">
        <f t="shared" si="7"/>
        <v>1+</v>
      </c>
      <c r="M230" s="59" t="str">
        <f>IF(autocompAlmoco[[#This Row],[COMP ESCALA POSTERIOR]]="NÃO","NÃO",_xlfn.XLOOKUP(autocompAlmoco[[#This Row],[COMP ESCALA POSTERIOR]],tabE.Flux[COMP.AT. MOT A],tabE.Flux[LINHA],"NÃO",0,1))</f>
        <v>NÃO</v>
      </c>
      <c r="N230" s="59" t="str">
        <f>IF(autocompAlmoco[[#This Row],[COMP ESCALA POSTERIOR]]="NÃO","NÃO",_xlfn.XLOOKUP(autocompAlmoco[[#This Row],[COMP ESCALA POSTERIOR]],tabE.Flux[COMP.AT. MOT B],tabE.Flux[LINHA],"NÃO",0,1))</f>
        <v>NÃO</v>
      </c>
      <c r="O230" s="65" t="str">
        <f>IF(AND(autocompAlmoco[[#This Row],[EXISTE MOT A POS]]="NÃO",autocompAlmoco[[#This Row],[EXISTE MOT B POS]]="NÃO"),"NÃO","SIM")</f>
        <v>NÃO</v>
      </c>
      <c r="P230" s="66" t="str" cm="1">
        <f t="array" ref="P23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30" s="103" t="str" cm="1">
        <f t="array" ref="Q23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30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30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30" s="127">
        <v>45937</v>
      </c>
      <c r="U230" s="131">
        <v>20013</v>
      </c>
      <c r="V230" s="126">
        <v>0.37708333333333333</v>
      </c>
      <c r="W230" s="1" t="s">
        <v>299</v>
      </c>
      <c r="X230" s="1" t="s">
        <v>311</v>
      </c>
      <c r="Y230" s="1">
        <f>IF(tabAlmoco[[#This Row],[MOTORISTA]]="","",COUNTIF(autocompAlmoco[COMP ESCALA ATUAL],autocompAlmoco[[#This Row],[COMP ESCALA ATUAL]]))</f>
        <v>1</v>
      </c>
      <c r="Z230" s="105">
        <f>IF(tabAlmoco[[#This Row],[MOTORISTA]]&lt;&gt;0,15,"")</f>
        <v>15</v>
      </c>
      <c r="AA230" s="131" t="s">
        <v>32</v>
      </c>
    </row>
    <row r="231" spans="3:27" ht="15" customHeight="1" x14ac:dyDescent="0.25">
      <c r="C231" s="157" t="s">
        <v>226</v>
      </c>
      <c r="D231" s="56" t="str">
        <f>IF(tabAlmoco[[#This Row],[MOTORISTA]]="","",_xlfn.CONCAT(tabAlmoco[[#This Row],[DATA]],"+",tabAlmoco[[#This Row],[MOTORISTA]]))</f>
        <v>45937+FRANCISCO LINDONALDO DE SOUSA - 2971</v>
      </c>
      <c r="E231" s="56" t="str">
        <f>_xlfn.XLOOKUP(autocompAlmoco[[#This Row],[COMP ESCALA ATUAL]],tabE.Flux[COMP.AT. MOT A],tabE.Flux[LINHA],"NÃO",0,1)</f>
        <v>NÃO</v>
      </c>
      <c r="F231" s="56" t="str">
        <f>_xlfn.XLOOKUP(autocompAlmoco[[#This Row],[COMP ESCALA ATUAL]],tabE.Flux[COMP.AT. MOT B],tabE.Flux[LINHA],"NÃO",0,1)</f>
        <v>NÃO</v>
      </c>
      <c r="G231" s="61" t="str">
        <f>IF(AND(autocompAlmoco[[#This Row],[EXISTE MOT A AT]]="NÃO", autocompAlmoco[[#This Row],[EXISTE MOT B AT]]="NÃO"),"NÃO","SIM")</f>
        <v>NÃO</v>
      </c>
      <c r="H231" s="57" t="str">
        <f>IF(autocompAlmoco[[#This Row],[EXISTE ESCALA ATUAL]]="NÃO",_xlfn.CONCAT(tabAlmoco[[#This Row],[DATA]]-1,"+",tabAlmoco[[#This Row],[MOTORISTA]]),"NÃO")</f>
        <v>45936+FRANCISCO LINDONALDO DE SOUSA - 2971</v>
      </c>
      <c r="I231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31" s="58" t="str">
        <f>IF(autocompAlmoco[[#This Row],[COMP ESCALA ANTERIOR]]="NÃO","NÃO",_xlfn.XLOOKUP(autocompAlmoco[[#This Row],[COMP ESCALA ANTERIOR]],tabE.Flux[COMP.AT. MOT B],tabE.Flux[LINHA],"NÃO",0,1))</f>
        <v>NÃO</v>
      </c>
      <c r="K231" s="62" t="str">
        <f>IF(AND(autocompAlmoco[[#This Row],[EXISTE MOT A ANT]]="NÃO",autocompAlmoco[[#This Row],[EXISTE MOT B ANT]]="NÃO"),"NÃO","SIM")</f>
        <v>SIM</v>
      </c>
      <c r="L231" s="59" t="str">
        <f t="shared" si="7"/>
        <v>1+</v>
      </c>
      <c r="M231" s="59" t="str">
        <f>IF(autocompAlmoco[[#This Row],[COMP ESCALA POSTERIOR]]="NÃO","NÃO",_xlfn.XLOOKUP(autocompAlmoco[[#This Row],[COMP ESCALA POSTERIOR]],tabE.Flux[COMP.AT. MOT A],tabE.Flux[LINHA],"NÃO",0,1))</f>
        <v>NÃO</v>
      </c>
      <c r="N231" s="59" t="str">
        <f>IF(autocompAlmoco[[#This Row],[COMP ESCALA POSTERIOR]]="NÃO","NÃO",_xlfn.XLOOKUP(autocompAlmoco[[#This Row],[COMP ESCALA POSTERIOR]],tabE.Flux[COMP.AT. MOT B],tabE.Flux[LINHA],"NÃO",0,1))</f>
        <v>NÃO</v>
      </c>
      <c r="O231" s="65" t="str">
        <f>IF(AND(autocompAlmoco[[#This Row],[EXISTE MOT A POS]]="NÃO",autocompAlmoco[[#This Row],[EXISTE MOT B POS]]="NÃO"),"NÃO","SIM")</f>
        <v>NÃO</v>
      </c>
      <c r="P231" s="66" t="str" cm="1">
        <f t="array" ref="P23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31" s="103" t="str" cm="1">
        <f t="array" ref="Q23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45936+FRANCISCO LINDONALDO DE SOUSA - 2971+GOIANIA (GO) X TERESINA (PI) VIA STI</v>
      </c>
      <c r="R231" s="67">
        <f>_xlfn.XLOOKUP(autocompAlmoco[[#This Row],[COMP ESCALA]],tabE.Flux[COMP. ESCALA MOT B],tabE.Flux[CARRO],
(_xlfn.XLOOKUP(autocompAlmoco[[#This Row],[COMP ESCALA]],tabE.Flux[COMP. ESCALA MOT A],tabE.Flux[CARRO],"N/E",0,1)),0,1)</f>
        <v>20016</v>
      </c>
      <c r="S231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31" s="127">
        <v>45937</v>
      </c>
      <c r="U231" s="131">
        <f>IF(IFERROR(autocompAlmoco[[#This Row],[CORRESP. CARRO]],"")="NÃO",(IF(tabAlmoco[[#This Row],[MOTORISTA]]=0,"","PASSE?")),autocompAlmoco[[#This Row],[CORRESP. CARRO]])</f>
        <v>20016</v>
      </c>
      <c r="V231" s="126">
        <f>IF(OR(ISERR(autocompAlmoco[[#This Row],[CORRESP HORARIO]]), autocompAlmoco[[#This Row],[CORRESP HORARIO]]&lt;&gt;"NÃO"),autocompAlmoco[[#This Row],[CORRESP HORARIO]],"")</f>
        <v>0.79861111111111116</v>
      </c>
      <c r="W231" s="1" t="s">
        <v>299</v>
      </c>
      <c r="X231" s="1" t="s">
        <v>131</v>
      </c>
      <c r="Y231" s="1">
        <f>IF(tabAlmoco[[#This Row],[MOTORISTA]]="","",COUNTIF(autocompAlmoco[COMP ESCALA ATUAL],autocompAlmoco[[#This Row],[COMP ESCALA ATUAL]]))</f>
        <v>1</v>
      </c>
      <c r="Z231" s="105">
        <f>IF(tabAlmoco[[#This Row],[MOTORISTA]]&lt;&gt;0,15,"")</f>
        <v>15</v>
      </c>
      <c r="AA231" s="131" t="str">
        <f>autocompAlmoco[[#This Row],[CORRESP LINHA]]</f>
        <v>GOIANIA (GO) X TERESINA (PI) VIA STI</v>
      </c>
    </row>
    <row r="232" spans="3:27" ht="15" customHeight="1" x14ac:dyDescent="0.25">
      <c r="C232" s="157" t="s">
        <v>226</v>
      </c>
      <c r="D232" s="56" t="str">
        <f>IF(tabAlmoco[[#This Row],[MOTORISTA]]="","",_xlfn.CONCAT(tabAlmoco[[#This Row],[DATA]],"+",tabAlmoco[[#This Row],[MOTORISTA]]))</f>
        <v>45937+MARCIO DE SOUSA MATOS - 5264</v>
      </c>
      <c r="E232" s="56" t="str">
        <f>_xlfn.XLOOKUP(autocompAlmoco[[#This Row],[COMP ESCALA ATUAL]],tabE.Flux[COMP.AT. MOT A],tabE.Flux[LINHA],"NÃO",0,1)</f>
        <v>NÃO</v>
      </c>
      <c r="F232" s="56" t="str">
        <f>_xlfn.XLOOKUP(autocompAlmoco[[#This Row],[COMP ESCALA ATUAL]],tabE.Flux[COMP.AT. MOT B],tabE.Flux[LINHA],"NÃO",0,1)</f>
        <v>NÃO</v>
      </c>
      <c r="G232" s="61" t="str">
        <f>IF(AND(autocompAlmoco[[#This Row],[EXISTE MOT A AT]]="NÃO", autocompAlmoco[[#This Row],[EXISTE MOT B AT]]="NÃO"),"NÃO","SIM")</f>
        <v>NÃO</v>
      </c>
      <c r="H232" s="57" t="str">
        <f>IF(autocompAlmoco[[#This Row],[EXISTE ESCALA ATUAL]]="NÃO",_xlfn.CONCAT(tabAlmoco[[#This Row],[DATA]]-1,"+",tabAlmoco[[#This Row],[MOTORISTA]]),"NÃO")</f>
        <v>45936+MARCIO DE SOUSA MATOS - 5264</v>
      </c>
      <c r="I232" s="57" t="str">
        <f>IF(autocompAlmoco[[#This Row],[COMP ESCALA ANTERIOR]]="NÃO","NÃO",_xlfn.XLOOKUP(autocompAlmoco[[#This Row],[COMP ESCALA ANTERIOR]],tabE.Flux[COMP.AT. MOT A],tabE.Flux[LINHA],"NÃO",0,1))</f>
        <v>NÃO</v>
      </c>
      <c r="J232" s="58" t="str">
        <f>IF(autocompAlmoco[[#This Row],[COMP ESCALA ANTERIOR]]="NÃO","NÃO",_xlfn.XLOOKUP(autocompAlmoco[[#This Row],[COMP ESCALA ANTERIOR]],tabE.Flux[COMP.AT. MOT B],tabE.Flux[LINHA],"NÃO",0,1))</f>
        <v>NÃO</v>
      </c>
      <c r="K232" s="62" t="str">
        <f>IF(AND(autocompAlmoco[[#This Row],[EXISTE MOT A ANT]]="NÃO",autocompAlmoco[[#This Row],[EXISTE MOT B ANT]]="NÃO"),"NÃO","SIM")</f>
        <v>NÃO</v>
      </c>
      <c r="L232" s="59" t="str">
        <f t="shared" si="7"/>
        <v>1+</v>
      </c>
      <c r="M232" s="59" t="str">
        <f>IF(autocompAlmoco[[#This Row],[COMP ESCALA POSTERIOR]]="NÃO","NÃO",_xlfn.XLOOKUP(autocompAlmoco[[#This Row],[COMP ESCALA POSTERIOR]],tabE.Flux[COMP.AT. MOT A],tabE.Flux[LINHA],"NÃO",0,1))</f>
        <v>NÃO</v>
      </c>
      <c r="N232" s="59" t="str">
        <f>IF(autocompAlmoco[[#This Row],[COMP ESCALA POSTERIOR]]="NÃO","NÃO",_xlfn.XLOOKUP(autocompAlmoco[[#This Row],[COMP ESCALA POSTERIOR]],tabE.Flux[COMP.AT. MOT B],tabE.Flux[LINHA],"NÃO",0,1))</f>
        <v>NÃO</v>
      </c>
      <c r="O232" s="65" t="str">
        <f>IF(AND(autocompAlmoco[[#This Row],[EXISTE MOT A POS]]="NÃO",autocompAlmoco[[#This Row],[EXISTE MOT B POS]]="NÃO"),"NÃO","SIM")</f>
        <v>NÃO</v>
      </c>
      <c r="P232" s="66" t="str" cm="1">
        <f t="array" ref="P23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32" s="103" t="str" cm="1">
        <f t="array" ref="Q23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32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32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32" s="127">
        <v>45937</v>
      </c>
      <c r="U232" s="131">
        <v>19006</v>
      </c>
      <c r="V232" s="126" t="s">
        <v>1234</v>
      </c>
      <c r="W232" s="1" t="s">
        <v>299</v>
      </c>
      <c r="X232" s="1" t="s">
        <v>62</v>
      </c>
      <c r="Y232" s="1">
        <f>IF(tabAlmoco[[#This Row],[MOTORISTA]]="","",COUNTIF(autocompAlmoco[COMP ESCALA ATUAL],autocompAlmoco[[#This Row],[COMP ESCALA ATUAL]]))</f>
        <v>1</v>
      </c>
      <c r="Z232" s="105">
        <f>IF(tabAlmoco[[#This Row],[MOTORISTA]]&lt;&gt;0,15,"")</f>
        <v>15</v>
      </c>
      <c r="AA232" s="131" t="s">
        <v>1234</v>
      </c>
    </row>
    <row r="233" spans="3:27" ht="15" customHeight="1" x14ac:dyDescent="0.25">
      <c r="C233" s="157" t="s">
        <v>226</v>
      </c>
      <c r="D233" s="56" t="str">
        <f>IF(tabAlmoco[[#This Row],[MOTORISTA]]="","",_xlfn.CONCAT(tabAlmoco[[#This Row],[DATA]],"+",tabAlmoco[[#This Row],[MOTORISTA]]))</f>
        <v>45937+BRUNO MATOS DA ROCHA - 6013</v>
      </c>
      <c r="E233" s="56" t="str">
        <f>_xlfn.XLOOKUP(autocompAlmoco[[#This Row],[COMP ESCALA ATUAL]],tabE.Flux[COMP.AT. MOT A],tabE.Flux[LINHA],"NÃO",0,1)</f>
        <v>NÃO</v>
      </c>
      <c r="F233" s="56" t="str">
        <f>_xlfn.XLOOKUP(autocompAlmoco[[#This Row],[COMP ESCALA ATUAL]],tabE.Flux[COMP.AT. MOT B],tabE.Flux[LINHA],"NÃO",0,1)</f>
        <v>GOIANIA (GO) X SAO LUIS (MA)</v>
      </c>
      <c r="G233" s="61" t="str">
        <f>IF(AND(autocompAlmoco[[#This Row],[EXISTE MOT A AT]]="NÃO", autocompAlmoco[[#This Row],[EXISTE MOT B AT]]="NÃO"),"NÃO","SIM")</f>
        <v>SIM</v>
      </c>
      <c r="H233" s="57" t="str">
        <f>IF(autocompAlmoco[[#This Row],[EXISTE ESCALA ATUAL]]="NÃO",_xlfn.CONCAT(tabAlmoco[[#This Row],[DATA]]-1,"+",tabAlmoco[[#This Row],[MOTORISTA]]),"NÃO")</f>
        <v>NÃO</v>
      </c>
      <c r="I233" s="57" t="str">
        <f>IF(autocompAlmoco[[#This Row],[COMP ESCALA ANTERIOR]]="NÃO","NÃO",_xlfn.XLOOKUP(autocompAlmoco[[#This Row],[COMP ESCALA ANTERIOR]],tabE.Flux[COMP.AT. MOT A],tabE.Flux[LINHA],"NÃO",0,1))</f>
        <v>NÃO</v>
      </c>
      <c r="J233" s="58" t="str">
        <f>IF(autocompAlmoco[[#This Row],[COMP ESCALA ANTERIOR]]="NÃO","NÃO",_xlfn.XLOOKUP(autocompAlmoco[[#This Row],[COMP ESCALA ANTERIOR]],tabE.Flux[COMP.AT. MOT B],tabE.Flux[LINHA],"NÃO",0,1))</f>
        <v>NÃO</v>
      </c>
      <c r="K233" s="62" t="str">
        <f>IF(AND(autocompAlmoco[[#This Row],[EXISTE MOT A ANT]]="NÃO",autocompAlmoco[[#This Row],[EXISTE MOT B ANT]]="NÃO"),"NÃO","SIM")</f>
        <v>NÃO</v>
      </c>
      <c r="L233" s="59" t="str">
        <f t="shared" si="7"/>
        <v>1+</v>
      </c>
      <c r="M233" s="59" t="str">
        <f>IF(autocompAlmoco[[#This Row],[COMP ESCALA POSTERIOR]]="NÃO","NÃO",_xlfn.XLOOKUP(autocompAlmoco[[#This Row],[COMP ESCALA POSTERIOR]],tabE.Flux[COMP.AT. MOT A],tabE.Flux[LINHA],"NÃO",0,1))</f>
        <v>NÃO</v>
      </c>
      <c r="N233" s="59" t="str">
        <f>IF(autocompAlmoco[[#This Row],[COMP ESCALA POSTERIOR]]="NÃO","NÃO",_xlfn.XLOOKUP(autocompAlmoco[[#This Row],[COMP ESCALA POSTERIOR]],tabE.Flux[COMP.AT. MOT B],tabE.Flux[LINHA],"NÃO",0,1))</f>
        <v>NÃO</v>
      </c>
      <c r="O233" s="65" t="str">
        <f>IF(AND(autocompAlmoco[[#This Row],[EXISTE MOT A POS]]="NÃO",autocompAlmoco[[#This Row],[EXISTE MOT B POS]]="NÃO"),"NÃO","SIM")</f>
        <v>NÃO</v>
      </c>
      <c r="P233" s="66" t="str" cm="1">
        <f t="array" ref="P23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33" s="103" t="str" cm="1">
        <f t="array" ref="Q23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45937+BRUNO MATOS DA ROCHA - 6013+GOIANIA (GO) X SAO LUIS (MA)</v>
      </c>
      <c r="R233" s="67">
        <f>_xlfn.XLOOKUP(autocompAlmoco[[#This Row],[COMP ESCALA]],tabE.Flux[COMP. ESCALA MOT B],tabE.Flux[CARRO],
(_xlfn.XLOOKUP(autocompAlmoco[[#This Row],[COMP ESCALA]],tabE.Flux[COMP. ESCALA MOT A],tabE.Flux[CARRO],"N/E",0,1)),0,1)</f>
        <v>24001</v>
      </c>
      <c r="S233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233" s="127">
        <v>45937</v>
      </c>
      <c r="U233" s="131">
        <f>IF(IFERROR(autocompAlmoco[[#This Row],[CORRESP. CARRO]],"")="NÃO",(IF(tabAlmoco[[#This Row],[MOTORISTA]]=0,"","PASSE?")),autocompAlmoco[[#This Row],[CORRESP. CARRO]])</f>
        <v>24001</v>
      </c>
      <c r="V233" s="126">
        <f>IF(OR(ISERR(autocompAlmoco[[#This Row],[CORRESP HORARIO]]), autocompAlmoco[[#This Row],[CORRESP HORARIO]]&lt;&gt;"NÃO"),autocompAlmoco[[#This Row],[CORRESP HORARIO]],"")</f>
        <v>0.79166666666666663</v>
      </c>
      <c r="W233" s="1" t="s">
        <v>299</v>
      </c>
      <c r="X233" s="1" t="s">
        <v>147</v>
      </c>
      <c r="Y233" s="1">
        <f>IF(tabAlmoco[[#This Row],[MOTORISTA]]="","",COUNTIF(autocompAlmoco[COMP ESCALA ATUAL],autocompAlmoco[[#This Row],[COMP ESCALA ATUAL]]))</f>
        <v>1</v>
      </c>
      <c r="Z233" s="105">
        <f>IF(tabAlmoco[[#This Row],[MOTORISTA]]&lt;&gt;0,15,"")</f>
        <v>15</v>
      </c>
      <c r="AA233" s="131" t="str">
        <f>autocompAlmoco[[#This Row],[CORRESP LINHA]]</f>
        <v>GOIANIA (GO) X SAO LUIS (MA)</v>
      </c>
    </row>
    <row r="234" spans="3:27" ht="15" customHeight="1" x14ac:dyDescent="0.25">
      <c r="C234" s="157" t="s">
        <v>226</v>
      </c>
      <c r="D234" s="56" t="str">
        <f>IF(tabAlmoco[[#This Row],[MOTORISTA]]="","",_xlfn.CONCAT(tabAlmoco[[#This Row],[DATA]],"+",tabAlmoco[[#This Row],[MOTORISTA]]))</f>
        <v>45937+KLEBSON ALVES FREIRES - 3060</v>
      </c>
      <c r="E234" s="56" t="str">
        <f>_xlfn.XLOOKUP(autocompAlmoco[[#This Row],[COMP ESCALA ATUAL]],tabE.Flux[COMP.AT. MOT A],tabE.Flux[LINHA],"NÃO",0,1)</f>
        <v>NÃO</v>
      </c>
      <c r="F234" s="56" t="str">
        <f>_xlfn.XLOOKUP(autocompAlmoco[[#This Row],[COMP ESCALA ATUAL]],tabE.Flux[COMP.AT. MOT B],tabE.Flux[LINHA],"NÃO",0,1)</f>
        <v>NÃO</v>
      </c>
      <c r="G234" s="61" t="str">
        <f>IF(AND(autocompAlmoco[[#This Row],[EXISTE MOT A AT]]="NÃO", autocompAlmoco[[#This Row],[EXISTE MOT B AT]]="NÃO"),"NÃO","SIM")</f>
        <v>NÃO</v>
      </c>
      <c r="H234" s="57" t="str">
        <f>IF(autocompAlmoco[[#This Row],[EXISTE ESCALA ATUAL]]="NÃO",_xlfn.CONCAT(tabAlmoco[[#This Row],[DATA]]-1,"+",tabAlmoco[[#This Row],[MOTORISTA]]),"NÃO")</f>
        <v>45936+KLEBSON ALVES FREIRES - 3060</v>
      </c>
      <c r="I234" s="57" t="str">
        <f>IF(autocompAlmoco[[#This Row],[COMP ESCALA ANTERIOR]]="NÃO","NÃO",_xlfn.XLOOKUP(autocompAlmoco[[#This Row],[COMP ESCALA ANTERIOR]],tabE.Flux[COMP.AT. MOT A],tabE.Flux[LINHA],"NÃO",0,1))</f>
        <v>NÃO</v>
      </c>
      <c r="J234" s="58" t="str">
        <f>IF(autocompAlmoco[[#This Row],[COMP ESCALA ANTERIOR]]="NÃO","NÃO",_xlfn.XLOOKUP(autocompAlmoco[[#This Row],[COMP ESCALA ANTERIOR]],tabE.Flux[COMP.AT. MOT B],tabE.Flux[LINHA],"NÃO",0,1))</f>
        <v>NÃO</v>
      </c>
      <c r="K234" s="62" t="str">
        <f>IF(AND(autocompAlmoco[[#This Row],[EXISTE MOT A ANT]]="NÃO",autocompAlmoco[[#This Row],[EXISTE MOT B ANT]]="NÃO"),"NÃO","SIM")</f>
        <v>NÃO</v>
      </c>
      <c r="L234" s="59" t="str">
        <f t="shared" si="7"/>
        <v>1+</v>
      </c>
      <c r="M234" s="59" t="str">
        <f>IF(autocompAlmoco[[#This Row],[COMP ESCALA POSTERIOR]]="NÃO","NÃO",_xlfn.XLOOKUP(autocompAlmoco[[#This Row],[COMP ESCALA POSTERIOR]],tabE.Flux[COMP.AT. MOT A],tabE.Flux[LINHA],"NÃO",0,1))</f>
        <v>NÃO</v>
      </c>
      <c r="N234" s="59" t="str">
        <f>IF(autocompAlmoco[[#This Row],[COMP ESCALA POSTERIOR]]="NÃO","NÃO",_xlfn.XLOOKUP(autocompAlmoco[[#This Row],[COMP ESCALA POSTERIOR]],tabE.Flux[COMP.AT. MOT B],tabE.Flux[LINHA],"NÃO",0,1))</f>
        <v>NÃO</v>
      </c>
      <c r="O234" s="65" t="str">
        <f>IF(AND(autocompAlmoco[[#This Row],[EXISTE MOT A POS]]="NÃO",autocompAlmoco[[#This Row],[EXISTE MOT B POS]]="NÃO"),"NÃO","SIM")</f>
        <v>NÃO</v>
      </c>
      <c r="P234" s="66" t="str" cm="1">
        <f t="array" ref="P23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34" s="103" t="str" cm="1">
        <f t="array" ref="Q23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34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34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34" s="127">
        <v>45937</v>
      </c>
      <c r="U234" s="131">
        <v>19008</v>
      </c>
      <c r="V234" s="126" t="s">
        <v>1234</v>
      </c>
      <c r="W234" s="1" t="s">
        <v>299</v>
      </c>
      <c r="X234" s="1" t="s">
        <v>161</v>
      </c>
      <c r="Y234" s="1">
        <f>IF(tabAlmoco[[#This Row],[MOTORISTA]]="","",COUNTIF(autocompAlmoco[COMP ESCALA ATUAL],autocompAlmoco[[#This Row],[COMP ESCALA ATUAL]]))</f>
        <v>1</v>
      </c>
      <c r="Z234" s="105">
        <f>IF(tabAlmoco[[#This Row],[MOTORISTA]]&lt;&gt;0,15,"")</f>
        <v>15</v>
      </c>
      <c r="AA234" s="131" t="s">
        <v>1234</v>
      </c>
    </row>
    <row r="235" spans="3:27" ht="15" customHeight="1" x14ac:dyDescent="0.25">
      <c r="C235" s="157" t="s">
        <v>226</v>
      </c>
      <c r="D235" s="56" t="str">
        <f>IF(tabAlmoco[[#This Row],[MOTORISTA]]="","",_xlfn.CONCAT(tabAlmoco[[#This Row],[DATA]],"+",tabAlmoco[[#This Row],[MOTORISTA]]))</f>
        <v>45937+EDIVALDO DE ARAUJO - 6217</v>
      </c>
      <c r="E235" s="56" t="str">
        <f>_xlfn.XLOOKUP(autocompAlmoco[[#This Row],[COMP ESCALA ATUAL]],tabE.Flux[COMP.AT. MOT A],tabE.Flux[LINHA],"NÃO",0,1)</f>
        <v>GOIANIA (GO) X SAO LUIS (MA)</v>
      </c>
      <c r="F235" s="56" t="str">
        <f>_xlfn.XLOOKUP(autocompAlmoco[[#This Row],[COMP ESCALA ATUAL]],tabE.Flux[COMP.AT. MOT B],tabE.Flux[LINHA],"NÃO",0,1)</f>
        <v>GOIANIA (GO) X SAO LUIS (MA)</v>
      </c>
      <c r="G235" s="61" t="str">
        <f>IF(AND(autocompAlmoco[[#This Row],[EXISTE MOT A AT]]="NÃO", autocompAlmoco[[#This Row],[EXISTE MOT B AT]]="NÃO"),"NÃO","SIM")</f>
        <v>SIM</v>
      </c>
      <c r="H235" s="57" t="str">
        <f>IF(autocompAlmoco[[#This Row],[EXISTE ESCALA ATUAL]]="NÃO",_xlfn.CONCAT(tabAlmoco[[#This Row],[DATA]]-1,"+",tabAlmoco[[#This Row],[MOTORISTA]]),"NÃO")</f>
        <v>NÃO</v>
      </c>
      <c r="I235" s="57" t="str">
        <f>IF(autocompAlmoco[[#This Row],[COMP ESCALA ANTERIOR]]="NÃO","NÃO",_xlfn.XLOOKUP(autocompAlmoco[[#This Row],[COMP ESCALA ANTERIOR]],tabE.Flux[COMP.AT. MOT A],tabE.Flux[LINHA],"NÃO",0,1))</f>
        <v>NÃO</v>
      </c>
      <c r="J235" s="58" t="str">
        <f>IF(autocompAlmoco[[#This Row],[COMP ESCALA ANTERIOR]]="NÃO","NÃO",_xlfn.XLOOKUP(autocompAlmoco[[#This Row],[COMP ESCALA ANTERIOR]],tabE.Flux[COMP.AT. MOT B],tabE.Flux[LINHA],"NÃO",0,1))</f>
        <v>NÃO</v>
      </c>
      <c r="K235" s="62" t="str">
        <f>IF(AND(autocompAlmoco[[#This Row],[EXISTE MOT A ANT]]="NÃO",autocompAlmoco[[#This Row],[EXISTE MOT B ANT]]="NÃO"),"NÃO","SIM")</f>
        <v>NÃO</v>
      </c>
      <c r="L235" s="59" t="str">
        <f>_xlfn.CONCAT(T235+1,"+",X235)</f>
        <v>45938+EDIVALDO DE ARAUJO - 6217</v>
      </c>
      <c r="M235" s="59" t="str">
        <f>IF(autocompAlmoco[[#This Row],[COMP ESCALA POSTERIOR]]="NÃO","NÃO",_xlfn.XLOOKUP(autocompAlmoco[[#This Row],[COMP ESCALA POSTERIOR]],tabE.Flux[COMP.AT. MOT A],tabE.Flux[LINHA],"NÃO",0,1))</f>
        <v>NÃO</v>
      </c>
      <c r="N235" s="59" t="str">
        <f>IF(autocompAlmoco[[#This Row],[COMP ESCALA POSTERIOR]]="NÃO","NÃO",_xlfn.XLOOKUP(autocompAlmoco[[#This Row],[COMP ESCALA POSTERIOR]],tabE.Flux[COMP.AT. MOT B],tabE.Flux[LINHA],"NÃO",0,1))</f>
        <v>NÃO</v>
      </c>
      <c r="O235" s="65" t="str">
        <f>IF(AND(autocompAlmoco[[#This Row],[EXISTE MOT A POS]]="NÃO",autocompAlmoco[[#This Row],[EXISTE MOT B POS]]="NÃO"),"NÃO","SIM")</f>
        <v>NÃO</v>
      </c>
      <c r="P235" s="66" t="str" cm="1">
        <f t="array" ref="P23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35" s="103" t="str" cm="1">
        <f t="array" ref="Q23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45937+EDIVALDO DE ARAUJO - 6217+GOIANIA (GO) X SAO LUIS (MA)</v>
      </c>
      <c r="R235" s="67">
        <f>_xlfn.XLOOKUP(autocompAlmoco[[#This Row],[COMP ESCALA]],tabE.Flux[COMP. ESCALA MOT B],tabE.Flux[CARRO],
(_xlfn.XLOOKUP(autocompAlmoco[[#This Row],[COMP ESCALA]],tabE.Flux[COMP. ESCALA MOT A],tabE.Flux[CARRO],"N/E",0,1)),0,1)</f>
        <v>24012</v>
      </c>
      <c r="S235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35" s="127">
        <v>45937</v>
      </c>
      <c r="U235" s="4">
        <f>IF(IFERROR(autocompAlmoco[[#This Row],[CORRESP. CARRO]],"")="NÃO",(IF(tabAlmoco[[#This Row],[MOTORISTA]]=0,"","PASSE?")),autocompAlmoco[[#This Row],[CORRESP. CARRO]])</f>
        <v>24012</v>
      </c>
      <c r="V235" s="128">
        <f>IF(OR(ISERR(autocompAlmoco[[#This Row],[CORRESP HORARIO]]), autocompAlmoco[[#This Row],[CORRESP HORARIO]]&lt;&gt;"NÃO"),autocompAlmoco[[#This Row],[CORRESP HORARIO]],"")</f>
        <v>0.29166666666666669</v>
      </c>
      <c r="W235" s="4" t="s">
        <v>299</v>
      </c>
      <c r="X235" s="4" t="s">
        <v>55</v>
      </c>
      <c r="Y235" s="4">
        <f>IF(tabAlmoco[[#This Row],[MOTORISTA]]="","",COUNTIF(autocompAlmoco[COMP ESCALA ATUAL],autocompAlmoco[[#This Row],[COMP ESCALA ATUAL]]))</f>
        <v>1</v>
      </c>
      <c r="Z235" s="45">
        <f>IF(tabAlmoco[[#This Row],[MOTORISTA]]&lt;&gt;0,15,"")</f>
        <v>15</v>
      </c>
      <c r="AA235" s="4" t="str">
        <f>autocompAlmoco[[#This Row],[CORRESP LINHA]]</f>
        <v>GOIANIA (GO) X SAO LUIS (MA)</v>
      </c>
    </row>
    <row r="236" spans="3:27" ht="15" customHeight="1" x14ac:dyDescent="0.25">
      <c r="C236" s="157" t="s">
        <v>226</v>
      </c>
      <c r="D236" s="56" t="str">
        <f>IF(tabAlmoco[[#This Row],[MOTORISTA]]="","",_xlfn.CONCAT(tabAlmoco[[#This Row],[DATA]],"+",tabAlmoco[[#This Row],[MOTORISTA]]))</f>
        <v>45938+  FRANCISCO ALVES DA PAZ JUNIOR- 1247</v>
      </c>
      <c r="E236" s="56" t="str">
        <f>_xlfn.XLOOKUP(autocompAlmoco[[#This Row],[COMP ESCALA ATUAL]],tabE.Flux[COMP.AT. MOT A],tabE.Flux[LINHA],"NÃO",0,1)</f>
        <v>NÃO</v>
      </c>
      <c r="F236" s="56" t="str">
        <f>_xlfn.XLOOKUP(autocompAlmoco[[#This Row],[COMP ESCALA ATUAL]],tabE.Flux[COMP.AT. MOT B],tabE.Flux[LINHA],"NÃO",0,1)</f>
        <v>NÃO</v>
      </c>
      <c r="G236" s="61" t="str">
        <f>IF(AND(autocompAlmoco[[#This Row],[EXISTE MOT A AT]]="NÃO", autocompAlmoco[[#This Row],[EXISTE MOT B AT]]="NÃO"),"NÃO","SIM")</f>
        <v>NÃO</v>
      </c>
      <c r="H236" s="57" t="str">
        <f>IF(autocompAlmoco[[#This Row],[EXISTE ESCALA ATUAL]]="NÃO",_xlfn.CONCAT(tabAlmoco[[#This Row],[DATA]]-1,"+",tabAlmoco[[#This Row],[MOTORISTA]]),"NÃO")</f>
        <v>45937+  FRANCISCO ALVES DA PAZ JUNIOR- 1247</v>
      </c>
      <c r="I236" s="57" t="str">
        <f>IF(autocompAlmoco[[#This Row],[COMP ESCALA ANTERIOR]]="NÃO","NÃO",_xlfn.XLOOKUP(autocompAlmoco[[#This Row],[COMP ESCALA ANTERIOR]],tabE.Flux[COMP.AT. MOT A],tabE.Flux[LINHA],"NÃO",0,1))</f>
        <v>NÃO</v>
      </c>
      <c r="J236" s="58" t="str">
        <f>IF(autocompAlmoco[[#This Row],[COMP ESCALA ANTERIOR]]="NÃO","NÃO",_xlfn.XLOOKUP(autocompAlmoco[[#This Row],[COMP ESCALA ANTERIOR]],tabE.Flux[COMP.AT. MOT B],tabE.Flux[LINHA],"NÃO",0,1))</f>
        <v>NÃO</v>
      </c>
      <c r="K236" s="62" t="str">
        <f>IF(AND(autocompAlmoco[[#This Row],[EXISTE MOT A ANT]]="NÃO",autocompAlmoco[[#This Row],[EXISTE MOT B ANT]]="NÃO"),"NÃO","SIM")</f>
        <v>NÃO</v>
      </c>
      <c r="L236" s="59" t="str">
        <f>_xlfn.CONCAT(T241+1,"+",X241)</f>
        <v>45939+JOSE ALVES DA ROCHA - 5035</v>
      </c>
      <c r="M236" s="59" t="str">
        <f>IF(autocompAlmoco[[#This Row],[COMP ESCALA POSTERIOR]]="NÃO","NÃO",_xlfn.XLOOKUP(autocompAlmoco[[#This Row],[COMP ESCALA POSTERIOR]],tabE.Flux[COMP.AT. MOT A],tabE.Flux[LINHA],"NÃO",0,1))</f>
        <v>NÃO</v>
      </c>
      <c r="N236" s="59" t="str">
        <f>IF(autocompAlmoco[[#This Row],[COMP ESCALA POSTERIOR]]="NÃO","NÃO",_xlfn.XLOOKUP(autocompAlmoco[[#This Row],[COMP ESCALA POSTERIOR]],tabE.Flux[COMP.AT. MOT B],tabE.Flux[LINHA],"NÃO",0,1))</f>
        <v>NÃO</v>
      </c>
      <c r="O236" s="65" t="str">
        <f>IF(AND(autocompAlmoco[[#This Row],[EXISTE MOT A POS]]="NÃO",autocompAlmoco[[#This Row],[EXISTE MOT B POS]]="NÃO"),"NÃO","SIM")</f>
        <v>NÃO</v>
      </c>
      <c r="P236" s="66" t="str" cm="1">
        <f t="array" ref="P23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36" s="103" t="str" cm="1">
        <f t="array" ref="Q23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36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36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36" s="127">
        <v>45938</v>
      </c>
      <c r="U236" s="4">
        <v>24015</v>
      </c>
      <c r="V236" s="126">
        <v>0.84375</v>
      </c>
      <c r="W236" s="1" t="s">
        <v>306</v>
      </c>
      <c r="X236" s="1" t="s">
        <v>312</v>
      </c>
      <c r="Y236" s="1">
        <f>IF(tabAlmoco[[#This Row],[MOTORISTA]]="","",COUNTIF(autocompAlmoco[COMP ESCALA ATUAL],autocompAlmoco[[#This Row],[COMP ESCALA ATUAL]]))</f>
        <v>1</v>
      </c>
      <c r="Z236" s="105">
        <f>IF(tabAlmoco[[#This Row],[MOTORISTA]]&lt;&gt;0,15,"")</f>
        <v>15</v>
      </c>
      <c r="AA236" s="4" t="s">
        <v>23</v>
      </c>
    </row>
    <row r="237" spans="3:27" ht="15" customHeight="1" x14ac:dyDescent="0.25">
      <c r="C237" s="157" t="s">
        <v>226</v>
      </c>
      <c r="D237" s="56" t="str">
        <f>IF(tabAlmoco[[#This Row],[MOTORISTA]]="","",_xlfn.CONCAT(tabAlmoco[[#This Row],[DATA]],"+",tabAlmoco[[#This Row],[MOTORISTA]]))</f>
        <v>45938+MANOEL MESSIAS SILVA DOS SANTOS - 1833</v>
      </c>
      <c r="E237" s="56" t="str">
        <f>_xlfn.XLOOKUP(autocompAlmoco[[#This Row],[COMP ESCALA ATUAL]],tabE.Flux[COMP.AT. MOT A],tabE.Flux[LINHA],"NÃO",0,1)</f>
        <v>NÃO</v>
      </c>
      <c r="F237" s="56" t="str">
        <f>_xlfn.XLOOKUP(autocompAlmoco[[#This Row],[COMP ESCALA ATUAL]],tabE.Flux[COMP.AT. MOT B],tabE.Flux[LINHA],"NÃO",0,1)</f>
        <v>NÃO</v>
      </c>
      <c r="G237" s="61" t="str">
        <f>IF(AND(autocompAlmoco[[#This Row],[EXISTE MOT A AT]]="NÃO", autocompAlmoco[[#This Row],[EXISTE MOT B AT]]="NÃO"),"NÃO","SIM")</f>
        <v>NÃO</v>
      </c>
      <c r="H237" s="57" t="str">
        <f>IF(autocompAlmoco[[#This Row],[EXISTE ESCALA ATUAL]]="NÃO",_xlfn.CONCAT(tabAlmoco[[#This Row],[DATA]]-1,"+",tabAlmoco[[#This Row],[MOTORISTA]]),"NÃO")</f>
        <v>45937+MANOEL MESSIAS SILVA DOS SANTOS - 1833</v>
      </c>
      <c r="I237" s="57" t="str">
        <f>IF(autocompAlmoco[[#This Row],[COMP ESCALA ANTERIOR]]="NÃO","NÃO",_xlfn.XLOOKUP(autocompAlmoco[[#This Row],[COMP ESCALA ANTERIOR]],tabE.Flux[COMP.AT. MOT A],tabE.Flux[LINHA],"NÃO",0,1))</f>
        <v>NÃO</v>
      </c>
      <c r="J237" s="58" t="str">
        <f>IF(autocompAlmoco[[#This Row],[COMP ESCALA ANTERIOR]]="NÃO","NÃO",_xlfn.XLOOKUP(autocompAlmoco[[#This Row],[COMP ESCALA ANTERIOR]],tabE.Flux[COMP.AT. MOT B],tabE.Flux[LINHA],"NÃO",0,1))</f>
        <v>NÃO</v>
      </c>
      <c r="K237" s="62" t="str">
        <f>IF(AND(autocompAlmoco[[#This Row],[EXISTE MOT A ANT]]="NÃO",autocompAlmoco[[#This Row],[EXISTE MOT B ANT]]="NÃO"),"NÃO","SIM")</f>
        <v>NÃO</v>
      </c>
      <c r="L237" s="59" t="str">
        <f>_xlfn.CONCAT(T248+1,"+",X248)</f>
        <v>45940+JOSE ALVES DE FREITAS NETO - 5027</v>
      </c>
      <c r="M237" s="59" t="str">
        <f>IF(autocompAlmoco[[#This Row],[COMP ESCALA POSTERIOR]]="NÃO","NÃO",_xlfn.XLOOKUP(autocompAlmoco[[#This Row],[COMP ESCALA POSTERIOR]],tabE.Flux[COMP.AT. MOT A],tabE.Flux[LINHA],"NÃO",0,1))</f>
        <v>NÃO</v>
      </c>
      <c r="N237" s="59" t="str">
        <f>IF(autocompAlmoco[[#This Row],[COMP ESCALA POSTERIOR]]="NÃO","NÃO",_xlfn.XLOOKUP(autocompAlmoco[[#This Row],[COMP ESCALA POSTERIOR]],tabE.Flux[COMP.AT. MOT B],tabE.Flux[LINHA],"NÃO",0,1))</f>
        <v>NÃO</v>
      </c>
      <c r="O237" s="65" t="str">
        <f>IF(AND(autocompAlmoco[[#This Row],[EXISTE MOT A POS]]="NÃO",autocompAlmoco[[#This Row],[EXISTE MOT B POS]]="NÃO"),"NÃO","SIM")</f>
        <v>NÃO</v>
      </c>
      <c r="P237" s="66" t="str" cm="1">
        <f t="array" ref="P23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37" s="103" t="str" cm="1">
        <f t="array" ref="Q23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37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37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37" s="127">
        <v>45938</v>
      </c>
      <c r="U237" s="131">
        <v>19013</v>
      </c>
      <c r="V237" s="126" t="s">
        <v>1234</v>
      </c>
      <c r="W237" s="1" t="s">
        <v>299</v>
      </c>
      <c r="X237" s="1" t="s">
        <v>173</v>
      </c>
      <c r="Y237" s="1">
        <f>IF(tabAlmoco[[#This Row],[MOTORISTA]]="","",COUNTIF(autocompAlmoco[COMP ESCALA ATUAL],autocompAlmoco[[#This Row],[COMP ESCALA ATUAL]]))</f>
        <v>1</v>
      </c>
      <c r="Z237" s="105">
        <f>IF(tabAlmoco[[#This Row],[MOTORISTA]]&lt;&gt;0,15,"")</f>
        <v>15</v>
      </c>
      <c r="AA237" s="131" t="s">
        <v>1234</v>
      </c>
    </row>
    <row r="238" spans="3:27" ht="15" customHeight="1" x14ac:dyDescent="0.25">
      <c r="C238" s="157" t="s">
        <v>226</v>
      </c>
      <c r="D238" s="56" t="str">
        <f>IF(tabAlmoco[[#This Row],[MOTORISTA]]="","",_xlfn.CONCAT(tabAlmoco[[#This Row],[DATA]],"+",tabAlmoco[[#This Row],[MOTORISTA]]))</f>
        <v>45938+MARCIO DE SOUSA BRASILEIRO - 5828</v>
      </c>
      <c r="E238" s="56" t="str">
        <f>_xlfn.XLOOKUP(autocompAlmoco[[#This Row],[COMP ESCALA ATUAL]],tabE.Flux[COMP.AT. MOT A],tabE.Flux[LINHA],"NÃO",0,1)</f>
        <v>NÃO</v>
      </c>
      <c r="F238" s="56" t="str">
        <f>_xlfn.XLOOKUP(autocompAlmoco[[#This Row],[COMP ESCALA ATUAL]],tabE.Flux[COMP.AT. MOT B],tabE.Flux[LINHA],"NÃO",0,1)</f>
        <v>NÃO</v>
      </c>
      <c r="G238" s="61" t="str">
        <f>IF(AND(autocompAlmoco[[#This Row],[EXISTE MOT A AT]]="NÃO", autocompAlmoco[[#This Row],[EXISTE MOT B AT]]="NÃO"),"NÃO","SIM")</f>
        <v>NÃO</v>
      </c>
      <c r="H238" s="57" t="str">
        <f>IF(autocompAlmoco[[#This Row],[EXISTE ESCALA ATUAL]]="NÃO",_xlfn.CONCAT(tabAlmoco[[#This Row],[DATA]]-1,"+",tabAlmoco[[#This Row],[MOTORISTA]]),"NÃO")</f>
        <v>45937+MARCIO DE SOUSA BRASILEIRO - 5828</v>
      </c>
      <c r="I238" s="57" t="str">
        <f>IF(autocompAlmoco[[#This Row],[COMP ESCALA ANTERIOR]]="NÃO","NÃO",_xlfn.XLOOKUP(autocompAlmoco[[#This Row],[COMP ESCALA ANTERIOR]],tabE.Flux[COMP.AT. MOT A],tabE.Flux[LINHA],"NÃO",0,1))</f>
        <v>NÃO</v>
      </c>
      <c r="J238" s="58" t="str">
        <f>IF(autocompAlmoco[[#This Row],[COMP ESCALA ANTERIOR]]="NÃO","NÃO",_xlfn.XLOOKUP(autocompAlmoco[[#This Row],[COMP ESCALA ANTERIOR]],tabE.Flux[COMP.AT. MOT B],tabE.Flux[LINHA],"NÃO",0,1))</f>
        <v>NÃO</v>
      </c>
      <c r="K238" s="62" t="str">
        <f>IF(AND(autocompAlmoco[[#This Row],[EXISTE MOT A ANT]]="NÃO",autocompAlmoco[[#This Row],[EXISTE MOT B ANT]]="NÃO"),"NÃO","SIM")</f>
        <v>NÃO</v>
      </c>
      <c r="L238" s="59" t="str">
        <f>_xlfn.CONCAT(T254+1,"+",X254)</f>
        <v>45941+CARLOS ADRIANO DE SOUZA DO NASCIMENTO - 6222</v>
      </c>
      <c r="M238" s="59" t="str">
        <f>IF(autocompAlmoco[[#This Row],[COMP ESCALA POSTERIOR]]="NÃO","NÃO",_xlfn.XLOOKUP(autocompAlmoco[[#This Row],[COMP ESCALA POSTERIOR]],tabE.Flux[COMP.AT. MOT A],tabE.Flux[LINHA],"NÃO",0,1))</f>
        <v>NÃO</v>
      </c>
      <c r="N238" s="59" t="str">
        <f>IF(autocompAlmoco[[#This Row],[COMP ESCALA POSTERIOR]]="NÃO","NÃO",_xlfn.XLOOKUP(autocompAlmoco[[#This Row],[COMP ESCALA POSTERIOR]],tabE.Flux[COMP.AT. MOT B],tabE.Flux[LINHA],"NÃO",0,1))</f>
        <v>NÃO</v>
      </c>
      <c r="O238" s="65" t="str">
        <f>IF(AND(autocompAlmoco[[#This Row],[EXISTE MOT A POS]]="NÃO",autocompAlmoco[[#This Row],[EXISTE MOT B POS]]="NÃO"),"NÃO","SIM")</f>
        <v>NÃO</v>
      </c>
      <c r="P238" s="66" t="str" cm="1">
        <f t="array" ref="P23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38" s="103" t="str" cm="1">
        <f t="array" ref="Q23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38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38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38" s="127">
        <v>45938</v>
      </c>
      <c r="U238" s="131">
        <v>19005</v>
      </c>
      <c r="V238" s="126">
        <v>0.37708333333333333</v>
      </c>
      <c r="W238" s="1" t="s">
        <v>299</v>
      </c>
      <c r="X238" s="1" t="s">
        <v>129</v>
      </c>
      <c r="Y238" s="1">
        <f>IF(tabAlmoco[[#This Row],[MOTORISTA]]="","",COUNTIF(autocompAlmoco[COMP ESCALA ATUAL],autocompAlmoco[[#This Row],[COMP ESCALA ATUAL]]))</f>
        <v>1</v>
      </c>
      <c r="Z238" s="105">
        <f>IF(tabAlmoco[[#This Row],[MOTORISTA]]&lt;&gt;0,15,"")</f>
        <v>15</v>
      </c>
      <c r="AA238" s="131" t="s">
        <v>32</v>
      </c>
    </row>
    <row r="239" spans="3:27" ht="15" customHeight="1" x14ac:dyDescent="0.25">
      <c r="C239" s="157" t="s">
        <v>226</v>
      </c>
      <c r="D239" s="56" t="str">
        <f>IF(tabAlmoco[[#This Row],[MOTORISTA]]="","",_xlfn.CONCAT(tabAlmoco[[#This Row],[DATA]],"+",tabAlmoco[[#This Row],[MOTORISTA]]))</f>
        <v>45938+PAULO ENEAS FARIAS ARAUJO - 6218</v>
      </c>
      <c r="E239" s="56" t="str">
        <f>_xlfn.XLOOKUP(autocompAlmoco[[#This Row],[COMP ESCALA ATUAL]],tabE.Flux[COMP.AT. MOT A],tabE.Flux[LINHA],"NÃO",0,1)</f>
        <v>NÃO</v>
      </c>
      <c r="F239" s="56" t="str">
        <f>_xlfn.XLOOKUP(autocompAlmoco[[#This Row],[COMP ESCALA ATUAL]],tabE.Flux[COMP.AT. MOT B],tabE.Flux[LINHA],"NÃO",0,1)</f>
        <v>GOIANIA (GO) X SAO LUIS (MA)</v>
      </c>
      <c r="G239" s="61" t="str">
        <f>IF(AND(autocompAlmoco[[#This Row],[EXISTE MOT A AT]]="NÃO", autocompAlmoco[[#This Row],[EXISTE MOT B AT]]="NÃO"),"NÃO","SIM")</f>
        <v>SIM</v>
      </c>
      <c r="H239" s="57" t="str">
        <f>IF(autocompAlmoco[[#This Row],[EXISTE ESCALA ATUAL]]="NÃO",_xlfn.CONCAT(tabAlmoco[[#This Row],[DATA]]-1,"+",tabAlmoco[[#This Row],[MOTORISTA]]),"NÃO")</f>
        <v>NÃO</v>
      </c>
      <c r="I239" s="57" t="str">
        <f>IF(autocompAlmoco[[#This Row],[COMP ESCALA ANTERIOR]]="NÃO","NÃO",_xlfn.XLOOKUP(autocompAlmoco[[#This Row],[COMP ESCALA ANTERIOR]],tabE.Flux[COMP.AT. MOT A],tabE.Flux[LINHA],"NÃO",0,1))</f>
        <v>NÃO</v>
      </c>
      <c r="J239" s="58" t="str">
        <f>IF(autocompAlmoco[[#This Row],[COMP ESCALA ANTERIOR]]="NÃO","NÃO",_xlfn.XLOOKUP(autocompAlmoco[[#This Row],[COMP ESCALA ANTERIOR]],tabE.Flux[COMP.AT. MOT B],tabE.Flux[LINHA],"NÃO",0,1))</f>
        <v>NÃO</v>
      </c>
      <c r="K239" s="62" t="str">
        <f>IF(AND(autocompAlmoco[[#This Row],[EXISTE MOT A ANT]]="NÃO",autocompAlmoco[[#This Row],[EXISTE MOT B ANT]]="NÃO"),"NÃO","SIM")</f>
        <v>NÃO</v>
      </c>
      <c r="L239" s="59" t="str">
        <f>_xlfn.CONCAT(T261+1,"+",X261)</f>
        <v>45943+RAIMUNDO COSTA SILVA - 6226</v>
      </c>
      <c r="M239" s="59" t="str">
        <f>IF(autocompAlmoco[[#This Row],[COMP ESCALA POSTERIOR]]="NÃO","NÃO",_xlfn.XLOOKUP(autocompAlmoco[[#This Row],[COMP ESCALA POSTERIOR]],tabE.Flux[COMP.AT. MOT A],tabE.Flux[LINHA],"NÃO",0,1))</f>
        <v>NÃO</v>
      </c>
      <c r="N239" s="59" t="str">
        <f>IF(autocompAlmoco[[#This Row],[COMP ESCALA POSTERIOR]]="NÃO","NÃO",_xlfn.XLOOKUP(autocompAlmoco[[#This Row],[COMP ESCALA POSTERIOR]],tabE.Flux[COMP.AT. MOT B],tabE.Flux[LINHA],"NÃO",0,1))</f>
        <v>NÃO</v>
      </c>
      <c r="O239" s="65" t="str">
        <f>IF(AND(autocompAlmoco[[#This Row],[EXISTE MOT A POS]]="NÃO",autocompAlmoco[[#This Row],[EXISTE MOT B POS]]="NÃO"),"NÃO","SIM")</f>
        <v>NÃO</v>
      </c>
      <c r="P239" s="66" t="str" cm="1">
        <f t="array" ref="P23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39" s="103" t="str" cm="1">
        <f t="array" ref="Q23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45938+PAULO ENEAS FARIAS ARAUJO - 6218+GOIANIA (GO) X SAO LUIS (MA)</v>
      </c>
      <c r="R239" s="67">
        <f>_xlfn.XLOOKUP(autocompAlmoco[[#This Row],[COMP ESCALA]],tabE.Flux[COMP. ESCALA MOT B],tabE.Flux[CARRO],
(_xlfn.XLOOKUP(autocompAlmoco[[#This Row],[COMP ESCALA]],tabE.Flux[COMP. ESCALA MOT A],tabE.Flux[CARRO],"N/E",0,1)),0,1)</f>
        <v>20018</v>
      </c>
      <c r="S239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39" s="127">
        <v>45938</v>
      </c>
      <c r="U239" s="131">
        <f>IF(IFERROR(autocompAlmoco[[#This Row],[CORRESP. CARRO]],"")="NÃO",(IF(tabAlmoco[[#This Row],[MOTORISTA]]=0,"","PASSE?")),autocompAlmoco[[#This Row],[CORRESP. CARRO]])</f>
        <v>20018</v>
      </c>
      <c r="V239" s="126">
        <f>IF(OR(ISERR(autocompAlmoco[[#This Row],[CORRESP HORARIO]]), autocompAlmoco[[#This Row],[CORRESP HORARIO]]&lt;&gt;"NÃO"),autocompAlmoco[[#This Row],[CORRESP HORARIO]],"")</f>
        <v>0.47013888888888888</v>
      </c>
      <c r="W239" s="1" t="s">
        <v>299</v>
      </c>
      <c r="X239" s="1" t="s">
        <v>43</v>
      </c>
      <c r="Y239" s="1">
        <f>IF(tabAlmoco[[#This Row],[MOTORISTA]]="","",COUNTIF(autocompAlmoco[COMP ESCALA ATUAL],autocompAlmoco[[#This Row],[COMP ESCALA ATUAL]]))</f>
        <v>1</v>
      </c>
      <c r="Z239" s="105">
        <f>IF(tabAlmoco[[#This Row],[MOTORISTA]]&lt;&gt;0,15,"")</f>
        <v>15</v>
      </c>
      <c r="AA239" s="131" t="str">
        <f>autocompAlmoco[[#This Row],[CORRESP LINHA]]</f>
        <v>GOIANIA (GO) X SAO LUIS (MA)</v>
      </c>
    </row>
    <row r="240" spans="3:27" ht="15" customHeight="1" x14ac:dyDescent="0.25">
      <c r="C240" s="157" t="s">
        <v>226</v>
      </c>
      <c r="D240" s="56" t="str">
        <f>IF(tabAlmoco[[#This Row],[MOTORISTA]]="","",_xlfn.CONCAT(tabAlmoco[[#This Row],[DATA]],"+",tabAlmoco[[#This Row],[MOTORISTA]]))</f>
        <v>45938+ELIEZIO JOSE DOS SANTOS - 2645</v>
      </c>
      <c r="E240" s="56" t="str">
        <f>_xlfn.XLOOKUP(autocompAlmoco[[#This Row],[COMP ESCALA ATUAL]],tabE.Flux[COMP.AT. MOT A],tabE.Flux[LINHA],"NÃO",0,1)</f>
        <v>NÃO</v>
      </c>
      <c r="F240" s="56" t="str">
        <f>_xlfn.XLOOKUP(autocompAlmoco[[#This Row],[COMP ESCALA ATUAL]],tabE.Flux[COMP.AT. MOT B],tabE.Flux[LINHA],"NÃO",0,1)</f>
        <v>NÃO</v>
      </c>
      <c r="G240" s="61" t="str">
        <f>IF(AND(autocompAlmoco[[#This Row],[EXISTE MOT A AT]]="NÃO", autocompAlmoco[[#This Row],[EXISTE MOT B AT]]="NÃO"),"NÃO","SIM")</f>
        <v>NÃO</v>
      </c>
      <c r="H240" s="57" t="str">
        <f>IF(autocompAlmoco[[#This Row],[EXISTE ESCALA ATUAL]]="NÃO",_xlfn.CONCAT(tabAlmoco[[#This Row],[DATA]]-1,"+",tabAlmoco[[#This Row],[MOTORISTA]]),"NÃO")</f>
        <v>45937+ELIEZIO JOSE DOS SANTOS - 2645</v>
      </c>
      <c r="I240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240" s="58" t="str">
        <f>IF(autocompAlmoco[[#This Row],[COMP ESCALA ANTERIOR]]="NÃO","NÃO",_xlfn.XLOOKUP(autocompAlmoco[[#This Row],[COMP ESCALA ANTERIOR]],tabE.Flux[COMP.AT. MOT B],tabE.Flux[LINHA],"NÃO",0,1))</f>
        <v>NÃO</v>
      </c>
      <c r="K240" s="62" t="str">
        <f>IF(AND(autocompAlmoco[[#This Row],[EXISTE MOT A ANT]]="NÃO",autocompAlmoco[[#This Row],[EXISTE MOT B ANT]]="NÃO"),"NÃO","SIM")</f>
        <v>SIM</v>
      </c>
      <c r="L240" s="59" t="str">
        <f>_xlfn.CONCAT(T266+1,"+",X266)</f>
        <v>45944+LAUCEANDO DA SILVA ROCHA - 6220</v>
      </c>
      <c r="M240" s="59" t="str">
        <f>IF(autocompAlmoco[[#This Row],[COMP ESCALA POSTERIOR]]="NÃO","NÃO",_xlfn.XLOOKUP(autocompAlmoco[[#This Row],[COMP ESCALA POSTERIOR]],tabE.Flux[COMP.AT. MOT A],tabE.Flux[LINHA],"NÃO",0,1))</f>
        <v>NÃO</v>
      </c>
      <c r="N240" s="59" t="str">
        <f>IF(autocompAlmoco[[#This Row],[COMP ESCALA POSTERIOR]]="NÃO","NÃO",_xlfn.XLOOKUP(autocompAlmoco[[#This Row],[COMP ESCALA POSTERIOR]],tabE.Flux[COMP.AT. MOT B],tabE.Flux[LINHA],"NÃO",0,1))</f>
        <v>NÃO</v>
      </c>
      <c r="O240" s="65" t="str">
        <f>IF(AND(autocompAlmoco[[#This Row],[EXISTE MOT A POS]]="NÃO",autocompAlmoco[[#This Row],[EXISTE MOT B POS]]="NÃO"),"NÃO","SIM")</f>
        <v>NÃO</v>
      </c>
      <c r="P240" s="66" t="str" cm="1">
        <f t="array" ref="P24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240" s="103" t="str" cm="1">
        <f t="array" ref="Q24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45937+ELIEZIO JOSE DOS SANTOS - 2645+FORTALEZA (CE) X SINOP (MT)</v>
      </c>
      <c r="R240" s="67">
        <f>_xlfn.XLOOKUP(autocompAlmoco[[#This Row],[COMP ESCALA]],tabE.Flux[COMP. ESCALA MOT B],tabE.Flux[CARRO],
(_xlfn.XLOOKUP(autocompAlmoco[[#This Row],[COMP ESCALA]],tabE.Flux[COMP. ESCALA MOT A],tabE.Flux[CARRO],"N/E",0,1)),0,1)</f>
        <v>20013</v>
      </c>
      <c r="S240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240" s="127">
        <v>45938</v>
      </c>
      <c r="U240" s="131">
        <f>IF(IFERROR(autocompAlmoco[[#This Row],[CORRESP. CARRO]],"")="NÃO",(IF(tabAlmoco[[#This Row],[MOTORISTA]]=0,"","PASSE?")),autocompAlmoco[[#This Row],[CORRESP. CARRO]])</f>
        <v>20013</v>
      </c>
      <c r="V240" s="126">
        <f>IF(OR(ISERR(autocompAlmoco[[#This Row],[CORRESP HORARIO]]), autocompAlmoco[[#This Row],[CORRESP HORARIO]]&lt;&gt;"NÃO"),autocompAlmoco[[#This Row],[CORRESP HORARIO]],"")</f>
        <v>0.37708333333333333</v>
      </c>
      <c r="W240" s="1" t="s">
        <v>299</v>
      </c>
      <c r="X240" s="1" t="s">
        <v>53</v>
      </c>
      <c r="Y240" s="1">
        <f>IF(tabAlmoco[[#This Row],[MOTORISTA]]="","",COUNTIF(autocompAlmoco[COMP ESCALA ATUAL],autocompAlmoco[[#This Row],[COMP ESCALA ATUAL]]))</f>
        <v>1</v>
      </c>
      <c r="Z240" s="105">
        <f>IF(tabAlmoco[[#This Row],[MOTORISTA]]&lt;&gt;0,15,"")</f>
        <v>15</v>
      </c>
      <c r="AA240" s="131" t="str">
        <f>autocompAlmoco[[#This Row],[CORRESP LINHA]]</f>
        <v>FORTALEZA (CE) X SINOP (MT)</v>
      </c>
    </row>
    <row r="241" spans="3:27" ht="15" customHeight="1" x14ac:dyDescent="0.25">
      <c r="C241" s="157" t="s">
        <v>226</v>
      </c>
      <c r="D241" s="56" t="str">
        <f>IF(tabAlmoco[[#This Row],[MOTORISTA]]="","",_xlfn.CONCAT(tabAlmoco[[#This Row],[DATA]],"+",tabAlmoco[[#This Row],[MOTORISTA]]))</f>
        <v>45938+JOSE ALVES DA ROCHA - 5035</v>
      </c>
      <c r="E241" s="56" t="str">
        <f>_xlfn.XLOOKUP(autocompAlmoco[[#This Row],[COMP ESCALA ATUAL]],tabE.Flux[COMP.AT. MOT A],tabE.Flux[LINHA],"NÃO",0,1)</f>
        <v>NÃO</v>
      </c>
      <c r="F241" s="56" t="str">
        <f>_xlfn.XLOOKUP(autocompAlmoco[[#This Row],[COMP ESCALA ATUAL]],tabE.Flux[COMP.AT. MOT B],tabE.Flux[LINHA],"NÃO",0,1)</f>
        <v>NÃO</v>
      </c>
      <c r="G241" s="61" t="str">
        <f>IF(AND(autocompAlmoco[[#This Row],[EXISTE MOT A AT]]="NÃO", autocompAlmoco[[#This Row],[EXISTE MOT B AT]]="NÃO"),"NÃO","SIM")</f>
        <v>NÃO</v>
      </c>
      <c r="H241" s="57" t="str">
        <f>IF(autocompAlmoco[[#This Row],[EXISTE ESCALA ATUAL]]="NÃO",_xlfn.CONCAT(tabAlmoco[[#This Row],[DATA]]-1,"+",tabAlmoco[[#This Row],[MOTORISTA]]),"NÃO")</f>
        <v>45937+JOSE ALVES DA ROCHA - 5035</v>
      </c>
      <c r="I241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41" s="58" t="str">
        <f>IF(autocompAlmoco[[#This Row],[COMP ESCALA ANTERIOR]]="NÃO","NÃO",_xlfn.XLOOKUP(autocompAlmoco[[#This Row],[COMP ESCALA ANTERIOR]],tabE.Flux[COMP.AT. MOT B],tabE.Flux[LINHA],"NÃO",0,1))</f>
        <v>NÃO</v>
      </c>
      <c r="K241" s="62" t="str">
        <f>IF(AND(autocompAlmoco[[#This Row],[EXISTE MOT A ANT]]="NÃO",autocompAlmoco[[#This Row],[EXISTE MOT B ANT]]="NÃO"),"NÃO","SIM")</f>
        <v>SIM</v>
      </c>
      <c r="L241" s="59" t="str">
        <f>_xlfn.CONCAT(T271+1,"+",X271)</f>
        <v>45945+EUGENIO PEREIRA DOS SANTOS - 1197</v>
      </c>
      <c r="M241" s="59" t="str">
        <f>IF(autocompAlmoco[[#This Row],[COMP ESCALA POSTERIOR]]="NÃO","NÃO",_xlfn.XLOOKUP(autocompAlmoco[[#This Row],[COMP ESCALA POSTERIOR]],tabE.Flux[COMP.AT. MOT A],tabE.Flux[LINHA],"NÃO",0,1))</f>
        <v>NÃO</v>
      </c>
      <c r="N241" s="59" t="str">
        <f>IF(autocompAlmoco[[#This Row],[COMP ESCALA POSTERIOR]]="NÃO","NÃO",_xlfn.XLOOKUP(autocompAlmoco[[#This Row],[COMP ESCALA POSTERIOR]],tabE.Flux[COMP.AT. MOT B],tabE.Flux[LINHA],"NÃO",0,1))</f>
        <v>NÃO</v>
      </c>
      <c r="O241" s="65" t="str">
        <f>IF(AND(autocompAlmoco[[#This Row],[EXISTE MOT A POS]]="NÃO",autocompAlmoco[[#This Row],[EXISTE MOT B POS]]="NÃO"),"NÃO","SIM")</f>
        <v>NÃO</v>
      </c>
      <c r="P241" s="66" t="str" cm="1">
        <f t="array" ref="P24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41" s="103" t="str" cm="1">
        <f t="array" ref="Q24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45937+JOSE ALVES DA ROCHA - 5035+GOIANIA (GO) X TERESINA (PI) VIA STI</v>
      </c>
      <c r="R241" s="67">
        <f>_xlfn.XLOOKUP(autocompAlmoco[[#This Row],[COMP ESCALA]],tabE.Flux[COMP. ESCALA MOT B],tabE.Flux[CARRO],
(_xlfn.XLOOKUP(autocompAlmoco[[#This Row],[COMP ESCALA]],tabE.Flux[COMP. ESCALA MOT A],tabE.Flux[CARRO],"N/E",0,1)),0,1)</f>
        <v>20014</v>
      </c>
      <c r="S241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41" s="127">
        <v>45938</v>
      </c>
      <c r="U241" s="4">
        <f>IF(IFERROR(autocompAlmoco[[#This Row],[CORRESP. CARRO]],"")="NÃO",(IF(tabAlmoco[[#This Row],[MOTORISTA]]=0,"","PASSE?")),autocompAlmoco[[#This Row],[CORRESP. CARRO]])</f>
        <v>20014</v>
      </c>
      <c r="V241" s="128">
        <f>IF(OR(ISERR(autocompAlmoco[[#This Row],[CORRESP HORARIO]]), autocompAlmoco[[#This Row],[CORRESP HORARIO]]&lt;&gt;"NÃO"),autocompAlmoco[[#This Row],[CORRESP HORARIO]],"")</f>
        <v>0.79861111111111116</v>
      </c>
      <c r="W241" s="4" t="s">
        <v>299</v>
      </c>
      <c r="X241" s="4" t="s">
        <v>91</v>
      </c>
      <c r="Y241" s="4">
        <f>IF(tabAlmoco[[#This Row],[MOTORISTA]]="","",COUNTIF(autocompAlmoco[COMP ESCALA ATUAL],autocompAlmoco[[#This Row],[COMP ESCALA ATUAL]]))</f>
        <v>1</v>
      </c>
      <c r="Z241" s="45">
        <f>IF(tabAlmoco[[#This Row],[MOTORISTA]]&lt;&gt;0,15,"")</f>
        <v>15</v>
      </c>
      <c r="AA241" s="4" t="str">
        <f>autocompAlmoco[[#This Row],[CORRESP LINHA]]</f>
        <v>GOIANIA (GO) X TERESINA (PI) VIA STI</v>
      </c>
    </row>
    <row r="242" spans="3:27" ht="15" customHeight="1" x14ac:dyDescent="0.25">
      <c r="C242" s="157" t="s">
        <v>226</v>
      </c>
      <c r="D242" s="56" t="str">
        <f>IF(tabAlmoco[[#This Row],[MOTORISTA]]="","",_xlfn.CONCAT(tabAlmoco[[#This Row],[DATA]],"+",tabAlmoco[[#This Row],[MOTORISTA]]))</f>
        <v>45938+JACINTO BATISTA DE SOUSA - 5271</v>
      </c>
      <c r="E242" s="56" t="str">
        <f>_xlfn.XLOOKUP(autocompAlmoco[[#This Row],[COMP ESCALA ATUAL]],tabE.Flux[COMP.AT. MOT A],tabE.Flux[LINHA],"NÃO",0,1)</f>
        <v>NÃO</v>
      </c>
      <c r="F242" s="56" t="str">
        <f>_xlfn.XLOOKUP(autocompAlmoco[[#This Row],[COMP ESCALA ATUAL]],tabE.Flux[COMP.AT. MOT B],tabE.Flux[LINHA],"NÃO",0,1)</f>
        <v>NÃO</v>
      </c>
      <c r="G242" s="61" t="str">
        <f>IF(AND(autocompAlmoco[[#This Row],[EXISTE MOT A AT]]="NÃO", autocompAlmoco[[#This Row],[EXISTE MOT B AT]]="NÃO"),"NÃO","SIM")</f>
        <v>NÃO</v>
      </c>
      <c r="H242" s="57" t="str">
        <f>IF(autocompAlmoco[[#This Row],[EXISTE ESCALA ATUAL]]="NÃO",_xlfn.CONCAT(tabAlmoco[[#This Row],[DATA]]-1,"+",tabAlmoco[[#This Row],[MOTORISTA]]),"NÃO")</f>
        <v>45937+JACINTO BATISTA DE SOUSA - 5271</v>
      </c>
      <c r="I242" s="57" t="str">
        <f>IF(autocompAlmoco[[#This Row],[COMP ESCALA ANTERIOR]]="NÃO","NÃO",_xlfn.XLOOKUP(autocompAlmoco[[#This Row],[COMP ESCALA ANTERIOR]],tabE.Flux[COMP.AT. MOT A],tabE.Flux[LINHA],"NÃO",0,1))</f>
        <v>NÃO</v>
      </c>
      <c r="J242" s="58" t="str">
        <f>IF(autocompAlmoco[[#This Row],[COMP ESCALA ANTERIOR]]="NÃO","NÃO",_xlfn.XLOOKUP(autocompAlmoco[[#This Row],[COMP ESCALA ANTERIOR]],tabE.Flux[COMP.AT. MOT B],tabE.Flux[LINHA],"NÃO",0,1))</f>
        <v>NÃO</v>
      </c>
      <c r="K242" s="62" t="str">
        <f>IF(AND(autocompAlmoco[[#This Row],[EXISTE MOT A ANT]]="NÃO",autocompAlmoco[[#This Row],[EXISTE MOT B ANT]]="NÃO"),"NÃO","SIM")</f>
        <v>NÃO</v>
      </c>
      <c r="L242" s="59" t="str">
        <f>_xlfn.CONCAT(T275+1,"+",X275)</f>
        <v>45946+LUIS ANTONIO FARIAS RIBEIRO - 2789</v>
      </c>
      <c r="M242" s="59" t="str">
        <f>IF(autocompAlmoco[[#This Row],[COMP ESCALA POSTERIOR]]="NÃO","NÃO",_xlfn.XLOOKUP(autocompAlmoco[[#This Row],[COMP ESCALA POSTERIOR]],tabE.Flux[COMP.AT. MOT A],tabE.Flux[LINHA],"NÃO",0,1))</f>
        <v>NÃO</v>
      </c>
      <c r="N242" s="59" t="str">
        <f>IF(autocompAlmoco[[#This Row],[COMP ESCALA POSTERIOR]]="NÃO","NÃO",_xlfn.XLOOKUP(autocompAlmoco[[#This Row],[COMP ESCALA POSTERIOR]],tabE.Flux[COMP.AT. MOT B],tabE.Flux[LINHA],"NÃO",0,1))</f>
        <v>NÃO</v>
      </c>
      <c r="O242" s="65" t="str">
        <f>IF(AND(autocompAlmoco[[#This Row],[EXISTE MOT A POS]]="NÃO",autocompAlmoco[[#This Row],[EXISTE MOT B POS]]="NÃO"),"NÃO","SIM")</f>
        <v>NÃO</v>
      </c>
      <c r="P242" s="66" t="str" cm="1">
        <f t="array" ref="P24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42" s="103" t="str" cm="1">
        <f t="array" ref="Q24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42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42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42" s="127">
        <v>45938</v>
      </c>
      <c r="U242" s="4">
        <v>20013</v>
      </c>
      <c r="V242" s="126">
        <v>0.37708333333333333</v>
      </c>
      <c r="W242" s="1" t="s">
        <v>299</v>
      </c>
      <c r="X242" s="1" t="s">
        <v>104</v>
      </c>
      <c r="Y242" s="1">
        <f>IF(tabAlmoco[[#This Row],[MOTORISTA]]="","",COUNTIF(autocompAlmoco[COMP ESCALA ATUAL],autocompAlmoco[[#This Row],[COMP ESCALA ATUAL]]))</f>
        <v>1</v>
      </c>
      <c r="Z242" s="105">
        <f>IF(tabAlmoco[[#This Row],[MOTORISTA]]&lt;&gt;0,15,"")</f>
        <v>15</v>
      </c>
      <c r="AA242" s="4" t="s">
        <v>32</v>
      </c>
    </row>
    <row r="243" spans="3:27" ht="15" customHeight="1" x14ac:dyDescent="0.25">
      <c r="C243" s="157" t="s">
        <v>226</v>
      </c>
      <c r="D243" s="56" t="str">
        <f>IF(tabAlmoco[[#This Row],[MOTORISTA]]="","",_xlfn.CONCAT(tabAlmoco[[#This Row],[DATA]],"+",tabAlmoco[[#This Row],[MOTORISTA]]))</f>
        <v>45939+RAIMUNDO COSTA SILVA - 6226</v>
      </c>
      <c r="E243" s="56" t="str">
        <f>_xlfn.XLOOKUP(autocompAlmoco[[#This Row],[COMP ESCALA ATUAL]],tabE.Flux[COMP.AT. MOT A],tabE.Flux[LINHA],"NÃO",0,1)</f>
        <v>NÃO</v>
      </c>
      <c r="F243" s="56" t="str">
        <f>_xlfn.XLOOKUP(autocompAlmoco[[#This Row],[COMP ESCALA ATUAL]],tabE.Flux[COMP.AT. MOT B],tabE.Flux[LINHA],"NÃO",0,1)</f>
        <v>GOIANIA (GO) X SAO LUIS (MA)</v>
      </c>
      <c r="G243" s="61" t="str">
        <f>IF(AND(autocompAlmoco[[#This Row],[EXISTE MOT A AT]]="NÃO", autocompAlmoco[[#This Row],[EXISTE MOT B AT]]="NÃO"),"NÃO","SIM")</f>
        <v>SIM</v>
      </c>
      <c r="H243" s="57" t="str">
        <f>IF(autocompAlmoco[[#This Row],[EXISTE ESCALA ATUAL]]="NÃO",_xlfn.CONCAT(tabAlmoco[[#This Row],[DATA]]-1,"+",tabAlmoco[[#This Row],[MOTORISTA]]),"NÃO")</f>
        <v>NÃO</v>
      </c>
      <c r="I243" s="57" t="str">
        <f>IF(autocompAlmoco[[#This Row],[COMP ESCALA ANTERIOR]]="NÃO","NÃO",_xlfn.XLOOKUP(autocompAlmoco[[#This Row],[COMP ESCALA ANTERIOR]],tabE.Flux[COMP.AT. MOT A],tabE.Flux[LINHA],"NÃO",0,1))</f>
        <v>NÃO</v>
      </c>
      <c r="J243" s="58" t="str">
        <f>IF(autocompAlmoco[[#This Row],[COMP ESCALA ANTERIOR]]="NÃO","NÃO",_xlfn.XLOOKUP(autocompAlmoco[[#This Row],[COMP ESCALA ANTERIOR]],tabE.Flux[COMP.AT. MOT B],tabE.Flux[LINHA],"NÃO",0,1))</f>
        <v>NÃO</v>
      </c>
      <c r="K243" s="62" t="str">
        <f>IF(AND(autocompAlmoco[[#This Row],[EXISTE MOT A ANT]]="NÃO",autocompAlmoco[[#This Row],[EXISTE MOT B ANT]]="NÃO"),"NÃO","SIM")</f>
        <v>NÃO</v>
      </c>
      <c r="L243" s="59" t="str">
        <f>_xlfn.CONCAT(T280+1,"+",X280)</f>
        <v>1+</v>
      </c>
      <c r="M243" s="59" t="str">
        <f>IF(autocompAlmoco[[#This Row],[COMP ESCALA POSTERIOR]]="NÃO","NÃO",_xlfn.XLOOKUP(autocompAlmoco[[#This Row],[COMP ESCALA POSTERIOR]],tabE.Flux[COMP.AT. MOT A],tabE.Flux[LINHA],"NÃO",0,1))</f>
        <v>NÃO</v>
      </c>
      <c r="N243" s="59" t="str">
        <f>IF(autocompAlmoco[[#This Row],[COMP ESCALA POSTERIOR]]="NÃO","NÃO",_xlfn.XLOOKUP(autocompAlmoco[[#This Row],[COMP ESCALA POSTERIOR]],tabE.Flux[COMP.AT. MOT B],tabE.Flux[LINHA],"NÃO",0,1))</f>
        <v>NÃO</v>
      </c>
      <c r="O243" s="65" t="str">
        <f>IF(AND(autocompAlmoco[[#This Row],[EXISTE MOT A POS]]="NÃO",autocompAlmoco[[#This Row],[EXISTE MOT B POS]]="NÃO"),"NÃO","SIM")</f>
        <v>NÃO</v>
      </c>
      <c r="P243" s="66" t="str" cm="1">
        <f t="array" ref="P24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43" s="103" t="str" cm="1">
        <f t="array" ref="Q24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45939+RAIMUNDO COSTA SILVA - 6226+GOIANIA (GO) X SAO LUIS (MA)</v>
      </c>
      <c r="R243" s="67">
        <f>_xlfn.XLOOKUP(autocompAlmoco[[#This Row],[COMP ESCALA]],tabE.Flux[COMP. ESCALA MOT B],tabE.Flux[CARRO],
(_xlfn.XLOOKUP(autocompAlmoco[[#This Row],[COMP ESCALA]],tabE.Flux[COMP. ESCALA MOT A],tabE.Flux[CARRO],"N/E",0,1)),0,1)</f>
        <v>19006</v>
      </c>
      <c r="S243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43" s="127">
        <v>45939</v>
      </c>
      <c r="U243" s="131">
        <f>IF(IFERROR(autocompAlmoco[[#This Row],[CORRESP. CARRO]],"")="NÃO",(IF(tabAlmoco[[#This Row],[MOTORISTA]]=0,"","PASSE?")),autocompAlmoco[[#This Row],[CORRESP. CARRO]])</f>
        <v>19006</v>
      </c>
      <c r="V243" s="126">
        <f>IF(OR(ISERR(autocompAlmoco[[#This Row],[CORRESP HORARIO]]), autocompAlmoco[[#This Row],[CORRESP HORARIO]]&lt;&gt;"NÃO"),autocompAlmoco[[#This Row],[CORRESP HORARIO]],"")</f>
        <v>0.47013888888888888</v>
      </c>
      <c r="W243" s="1" t="s">
        <v>299</v>
      </c>
      <c r="X243" s="1" t="s">
        <v>45</v>
      </c>
      <c r="Y243" s="1">
        <f>IF(tabAlmoco[[#This Row],[MOTORISTA]]="","",COUNTIF(autocompAlmoco[COMP ESCALA ATUAL],autocompAlmoco[[#This Row],[COMP ESCALA ATUAL]]))</f>
        <v>1</v>
      </c>
      <c r="Z243" s="105">
        <f>IF(tabAlmoco[[#This Row],[MOTORISTA]]&lt;&gt;0,15,"")</f>
        <v>15</v>
      </c>
      <c r="AA243" s="131" t="str">
        <f>autocompAlmoco[[#This Row],[CORRESP LINHA]]</f>
        <v>GOIANIA (GO) X SAO LUIS (MA)</v>
      </c>
    </row>
    <row r="244" spans="3:27" ht="15" customHeight="1" x14ac:dyDescent="0.25">
      <c r="C244" s="157" t="s">
        <v>226</v>
      </c>
      <c r="D244" s="56" t="str">
        <f>IF(tabAlmoco[[#This Row],[MOTORISTA]]="","",_xlfn.CONCAT(tabAlmoco[[#This Row],[DATA]],"+",tabAlmoco[[#This Row],[MOTORISTA]]))</f>
        <v>45939+LUIS ANTONIO FARIAS RIBEIRO - 2789</v>
      </c>
      <c r="E244" s="56" t="str">
        <f>_xlfn.XLOOKUP(autocompAlmoco[[#This Row],[COMP ESCALA ATUAL]],tabE.Flux[COMP.AT. MOT A],tabE.Flux[LINHA],"NÃO",0,1)</f>
        <v>NÃO</v>
      </c>
      <c r="F244" s="56" t="str">
        <f>_xlfn.XLOOKUP(autocompAlmoco[[#This Row],[COMP ESCALA ATUAL]],tabE.Flux[COMP.AT. MOT B],tabE.Flux[LINHA],"NÃO",0,1)</f>
        <v>GOIANIA (GO) X SAO LUIS (MA)</v>
      </c>
      <c r="G244" s="61" t="str">
        <f>IF(AND(autocompAlmoco[[#This Row],[EXISTE MOT A AT]]="NÃO", autocompAlmoco[[#This Row],[EXISTE MOT B AT]]="NÃO"),"NÃO","SIM")</f>
        <v>SIM</v>
      </c>
      <c r="H244" s="57" t="str">
        <f>IF(autocompAlmoco[[#This Row],[EXISTE ESCALA ATUAL]]="NÃO",_xlfn.CONCAT(tabAlmoco[[#This Row],[DATA]]-1,"+",tabAlmoco[[#This Row],[MOTORISTA]]),"NÃO")</f>
        <v>NÃO</v>
      </c>
      <c r="I244" s="57" t="str">
        <f>IF(autocompAlmoco[[#This Row],[COMP ESCALA ANTERIOR]]="NÃO","NÃO",_xlfn.XLOOKUP(autocompAlmoco[[#This Row],[COMP ESCALA ANTERIOR]],tabE.Flux[COMP.AT. MOT A],tabE.Flux[LINHA],"NÃO",0,1))</f>
        <v>NÃO</v>
      </c>
      <c r="J244" s="58" t="str">
        <f>IF(autocompAlmoco[[#This Row],[COMP ESCALA ANTERIOR]]="NÃO","NÃO",_xlfn.XLOOKUP(autocompAlmoco[[#This Row],[COMP ESCALA ANTERIOR]],tabE.Flux[COMP.AT. MOT B],tabE.Flux[LINHA],"NÃO",0,1))</f>
        <v>NÃO</v>
      </c>
      <c r="K244" s="62" t="str">
        <f>IF(AND(autocompAlmoco[[#This Row],[EXISTE MOT A ANT]]="NÃO",autocompAlmoco[[#This Row],[EXISTE MOT B ANT]]="NÃO"),"NÃO","SIM")</f>
        <v>NÃO</v>
      </c>
      <c r="L244" s="59" t="str">
        <f t="shared" ref="L244:L250" si="8">_xlfn.CONCAT(T285+1,"+",X285)</f>
        <v>1+</v>
      </c>
      <c r="M244" s="59" t="str">
        <f>IF(autocompAlmoco[[#This Row],[COMP ESCALA POSTERIOR]]="NÃO","NÃO",_xlfn.XLOOKUP(autocompAlmoco[[#This Row],[COMP ESCALA POSTERIOR]],tabE.Flux[COMP.AT. MOT A],tabE.Flux[LINHA],"NÃO",0,1))</f>
        <v>NÃO</v>
      </c>
      <c r="N244" s="59" t="str">
        <f>IF(autocompAlmoco[[#This Row],[COMP ESCALA POSTERIOR]]="NÃO","NÃO",_xlfn.XLOOKUP(autocompAlmoco[[#This Row],[COMP ESCALA POSTERIOR]],tabE.Flux[COMP.AT. MOT B],tabE.Flux[LINHA],"NÃO",0,1))</f>
        <v>NÃO</v>
      </c>
      <c r="O244" s="65" t="str">
        <f>IF(AND(autocompAlmoco[[#This Row],[EXISTE MOT A POS]]="NÃO",autocompAlmoco[[#This Row],[EXISTE MOT B POS]]="NÃO"),"NÃO","SIM")</f>
        <v>NÃO</v>
      </c>
      <c r="P244" s="66" t="str" cm="1">
        <f t="array" ref="P24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44" s="103" t="str" cm="1">
        <f t="array" ref="Q24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45939+LUIS ANTONIO FARIAS RIBEIRO - 2789+GOIANIA (GO) X SAO LUIS (MA)</v>
      </c>
      <c r="R244" s="67">
        <f>_xlfn.XLOOKUP(autocompAlmoco[[#This Row],[COMP ESCALA]],tabE.Flux[COMP. ESCALA MOT B],tabE.Flux[CARRO],
(_xlfn.XLOOKUP(autocompAlmoco[[#This Row],[COMP ESCALA]],tabE.Flux[COMP. ESCALA MOT A],tabE.Flux[CARRO],"N/E",0,1)),0,1)</f>
        <v>19001</v>
      </c>
      <c r="S244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44" s="127">
        <v>45939</v>
      </c>
      <c r="U244" s="131">
        <f>IF(IFERROR(autocompAlmoco[[#This Row],[CORRESP. CARRO]],"")="NÃO",(IF(tabAlmoco[[#This Row],[MOTORISTA]]=0,"","PASSE?")),autocompAlmoco[[#This Row],[CORRESP. CARRO]])</f>
        <v>19001</v>
      </c>
      <c r="V244" s="126">
        <f>IF(OR(ISERR(autocompAlmoco[[#This Row],[CORRESP HORARIO]]), autocompAlmoco[[#This Row],[CORRESP HORARIO]]&lt;&gt;"NÃO"),autocompAlmoco[[#This Row],[CORRESP HORARIO]],"")</f>
        <v>0.29166666666666669</v>
      </c>
      <c r="W244" s="1" t="s">
        <v>299</v>
      </c>
      <c r="X244" s="1" t="s">
        <v>124</v>
      </c>
      <c r="Y244" s="1">
        <f>IF(tabAlmoco[[#This Row],[MOTORISTA]]="","",COUNTIF(autocompAlmoco[COMP ESCALA ATUAL],autocompAlmoco[[#This Row],[COMP ESCALA ATUAL]]))</f>
        <v>1</v>
      </c>
      <c r="Z244" s="105">
        <f>IF(tabAlmoco[[#This Row],[MOTORISTA]]&lt;&gt;0,15,"")</f>
        <v>15</v>
      </c>
      <c r="AA244" s="131" t="str">
        <f>autocompAlmoco[[#This Row],[CORRESP LINHA]]</f>
        <v>GOIANIA (GO) X SAO LUIS (MA)</v>
      </c>
    </row>
    <row r="245" spans="3:27" ht="15" customHeight="1" x14ac:dyDescent="0.25">
      <c r="C245" s="157" t="s">
        <v>226</v>
      </c>
      <c r="D245" s="56" t="str">
        <f>IF(tabAlmoco[[#This Row],[MOTORISTA]]="","",_xlfn.CONCAT(tabAlmoco[[#This Row],[DATA]],"+",tabAlmoco[[#This Row],[MOTORISTA]]))</f>
        <v>45939+RAIMUNDO GUIMARAES ARAUJO - 1920</v>
      </c>
      <c r="E245" s="56" t="str">
        <f>_xlfn.XLOOKUP(autocompAlmoco[[#This Row],[COMP ESCALA ATUAL]],tabE.Flux[COMP.AT. MOT A],tabE.Flux[LINHA],"NÃO",0,1)</f>
        <v>NÃO</v>
      </c>
      <c r="F245" s="56" t="str">
        <f>_xlfn.XLOOKUP(autocompAlmoco[[#This Row],[COMP ESCALA ATUAL]],tabE.Flux[COMP.AT. MOT B],tabE.Flux[LINHA],"NÃO",0,1)</f>
        <v>NÃO</v>
      </c>
      <c r="G245" s="61" t="str">
        <f>IF(AND(autocompAlmoco[[#This Row],[EXISTE MOT A AT]]="NÃO", autocompAlmoco[[#This Row],[EXISTE MOT B AT]]="NÃO"),"NÃO","SIM")</f>
        <v>NÃO</v>
      </c>
      <c r="H245" s="57" t="str">
        <f>IF(autocompAlmoco[[#This Row],[EXISTE ESCALA ATUAL]]="NÃO",_xlfn.CONCAT(tabAlmoco[[#This Row],[DATA]]-1,"+",tabAlmoco[[#This Row],[MOTORISTA]]),"NÃO")</f>
        <v>45938+RAIMUNDO GUIMARAES ARAUJO - 1920</v>
      </c>
      <c r="I245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245" s="58" t="str">
        <f>IF(autocompAlmoco[[#This Row],[COMP ESCALA ANTERIOR]]="NÃO","NÃO",_xlfn.XLOOKUP(autocompAlmoco[[#This Row],[COMP ESCALA ANTERIOR]],tabE.Flux[COMP.AT. MOT B],tabE.Flux[LINHA],"NÃO",0,1))</f>
        <v>NÃO</v>
      </c>
      <c r="K245" s="62" t="str">
        <f>IF(AND(autocompAlmoco[[#This Row],[EXISTE MOT A ANT]]="NÃO",autocompAlmoco[[#This Row],[EXISTE MOT B ANT]]="NÃO"),"NÃO","SIM")</f>
        <v>SIM</v>
      </c>
      <c r="L245" s="59" t="str">
        <f t="shared" si="8"/>
        <v>1+</v>
      </c>
      <c r="M245" s="59" t="str">
        <f>IF(autocompAlmoco[[#This Row],[COMP ESCALA POSTERIOR]]="NÃO","NÃO",_xlfn.XLOOKUP(autocompAlmoco[[#This Row],[COMP ESCALA POSTERIOR]],tabE.Flux[COMP.AT. MOT A],tabE.Flux[LINHA],"NÃO",0,1))</f>
        <v>NÃO</v>
      </c>
      <c r="N245" s="59" t="str">
        <f>IF(autocompAlmoco[[#This Row],[COMP ESCALA POSTERIOR]]="NÃO","NÃO",_xlfn.XLOOKUP(autocompAlmoco[[#This Row],[COMP ESCALA POSTERIOR]],tabE.Flux[COMP.AT. MOT B],tabE.Flux[LINHA],"NÃO",0,1))</f>
        <v>NÃO</v>
      </c>
      <c r="O245" s="65" t="str">
        <f>IF(AND(autocompAlmoco[[#This Row],[EXISTE MOT A POS]]="NÃO",autocompAlmoco[[#This Row],[EXISTE MOT B POS]]="NÃO"),"NÃO","SIM")</f>
        <v>NÃO</v>
      </c>
      <c r="P245" s="66" t="str" cm="1">
        <f t="array" ref="P24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245" s="103" t="str" cm="1">
        <f t="array" ref="Q24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45938+RAIMUNDO GUIMARAES ARAUJO - 1920+FORTALEZA (CE) X SINOP (MT)</v>
      </c>
      <c r="R245" s="67">
        <f>_xlfn.XLOOKUP(autocompAlmoco[[#This Row],[COMP ESCALA]],tabE.Flux[COMP. ESCALA MOT B],tabE.Flux[CARRO],
(_xlfn.XLOOKUP(autocompAlmoco[[#This Row],[COMP ESCALA]],tabE.Flux[COMP. ESCALA MOT A],tabE.Flux[CARRO],"N/E",0,1)),0,1)</f>
        <v>19005</v>
      </c>
      <c r="S245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245" s="127">
        <v>45939</v>
      </c>
      <c r="U245" s="131">
        <f>IF(IFERROR(autocompAlmoco[[#This Row],[CORRESP. CARRO]],"")="NÃO",(IF(tabAlmoco[[#This Row],[MOTORISTA]]=0,"","PASSE?")),autocompAlmoco[[#This Row],[CORRESP. CARRO]])</f>
        <v>19005</v>
      </c>
      <c r="V245" s="126">
        <f>IF(OR(ISERR(autocompAlmoco[[#This Row],[CORRESP HORARIO]]), autocompAlmoco[[#This Row],[CORRESP HORARIO]]&lt;&gt;"NÃO"),autocompAlmoco[[#This Row],[CORRESP HORARIO]],"")</f>
        <v>0.37708333333333333</v>
      </c>
      <c r="W245" s="1" t="s">
        <v>299</v>
      </c>
      <c r="X245" s="1" t="s">
        <v>231</v>
      </c>
      <c r="Y245" s="1">
        <f>IF(tabAlmoco[[#This Row],[MOTORISTA]]="","",COUNTIF(autocompAlmoco[COMP ESCALA ATUAL],autocompAlmoco[[#This Row],[COMP ESCALA ATUAL]]))</f>
        <v>1</v>
      </c>
      <c r="Z245" s="105">
        <f>IF(tabAlmoco[[#This Row],[MOTORISTA]]&lt;&gt;0,15,"")</f>
        <v>15</v>
      </c>
      <c r="AA245" s="131" t="str">
        <f>autocompAlmoco[[#This Row],[CORRESP LINHA]]</f>
        <v>FORTALEZA (CE) X SINOP (MT)</v>
      </c>
    </row>
    <row r="246" spans="3:27" ht="15" customHeight="1" x14ac:dyDescent="0.25">
      <c r="C246" s="157" t="s">
        <v>226</v>
      </c>
      <c r="D246" s="56" t="str">
        <f>IF(tabAlmoco[[#This Row],[MOTORISTA]]="","",_xlfn.CONCAT(tabAlmoco[[#This Row],[DATA]],"+",tabAlmoco[[#This Row],[MOTORISTA]]))</f>
        <v>45939+JOSE CLAUDIMAR  CUNHA - 5652</v>
      </c>
      <c r="E246" s="56" t="str">
        <f>_xlfn.XLOOKUP(autocompAlmoco[[#This Row],[COMP ESCALA ATUAL]],tabE.Flux[COMP.AT. MOT A],tabE.Flux[LINHA],"NÃO",0,1)</f>
        <v>NÃO</v>
      </c>
      <c r="F246" s="56" t="str">
        <f>_xlfn.XLOOKUP(autocompAlmoco[[#This Row],[COMP ESCALA ATUAL]],tabE.Flux[COMP.AT. MOT B],tabE.Flux[LINHA],"NÃO",0,1)</f>
        <v>NÃO</v>
      </c>
      <c r="G246" s="61" t="str">
        <f>IF(AND(autocompAlmoco[[#This Row],[EXISTE MOT A AT]]="NÃO", autocompAlmoco[[#This Row],[EXISTE MOT B AT]]="NÃO"),"NÃO","SIM")</f>
        <v>NÃO</v>
      </c>
      <c r="H246" s="57" t="str">
        <f>IF(autocompAlmoco[[#This Row],[EXISTE ESCALA ATUAL]]="NÃO",_xlfn.CONCAT(tabAlmoco[[#This Row],[DATA]]-1,"+",tabAlmoco[[#This Row],[MOTORISTA]]),"NÃO")</f>
        <v>45938+JOSE CLAUDIMAR  CUNHA - 5652</v>
      </c>
      <c r="I246" s="57" t="str">
        <f>IF(autocompAlmoco[[#This Row],[COMP ESCALA ANTERIOR]]="NÃO","NÃO",_xlfn.XLOOKUP(autocompAlmoco[[#This Row],[COMP ESCALA ANTERIOR]],tabE.Flux[COMP.AT. MOT A],tabE.Flux[LINHA],"NÃO",0,1))</f>
        <v>NÃO</v>
      </c>
      <c r="J246" s="58" t="str">
        <f>IF(autocompAlmoco[[#This Row],[COMP ESCALA ANTERIOR]]="NÃO","NÃO",_xlfn.XLOOKUP(autocompAlmoco[[#This Row],[COMP ESCALA ANTERIOR]],tabE.Flux[COMP.AT. MOT B],tabE.Flux[LINHA],"NÃO",0,1))</f>
        <v>NÃO</v>
      </c>
      <c r="K246" s="62" t="str">
        <f>IF(AND(autocompAlmoco[[#This Row],[EXISTE MOT A ANT]]="NÃO",autocompAlmoco[[#This Row],[EXISTE MOT B ANT]]="NÃO"),"NÃO","SIM")</f>
        <v>NÃO</v>
      </c>
      <c r="L246" s="59" t="str">
        <f t="shared" si="8"/>
        <v>1+</v>
      </c>
      <c r="M246" s="59" t="str">
        <f>IF(autocompAlmoco[[#This Row],[COMP ESCALA POSTERIOR]]="NÃO","NÃO",_xlfn.XLOOKUP(autocompAlmoco[[#This Row],[COMP ESCALA POSTERIOR]],tabE.Flux[COMP.AT. MOT A],tabE.Flux[LINHA],"NÃO",0,1))</f>
        <v>NÃO</v>
      </c>
      <c r="N246" s="59" t="str">
        <f>IF(autocompAlmoco[[#This Row],[COMP ESCALA POSTERIOR]]="NÃO","NÃO",_xlfn.XLOOKUP(autocompAlmoco[[#This Row],[COMP ESCALA POSTERIOR]],tabE.Flux[COMP.AT. MOT B],tabE.Flux[LINHA],"NÃO",0,1))</f>
        <v>NÃO</v>
      </c>
      <c r="O246" s="65" t="str">
        <f>IF(AND(autocompAlmoco[[#This Row],[EXISTE MOT A POS]]="NÃO",autocompAlmoco[[#This Row],[EXISTE MOT B POS]]="NÃO"),"NÃO","SIM")</f>
        <v>NÃO</v>
      </c>
      <c r="P246" s="66" t="str" cm="1">
        <f t="array" ref="P24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46" s="103" t="str" cm="1">
        <f t="array" ref="Q24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46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46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46" s="127">
        <v>45939</v>
      </c>
      <c r="U246" s="131">
        <v>19015</v>
      </c>
      <c r="V246" s="126">
        <v>0.37708333333333333</v>
      </c>
      <c r="W246" s="1" t="s">
        <v>299</v>
      </c>
      <c r="X246" s="1" t="s">
        <v>140</v>
      </c>
      <c r="Y246" s="1">
        <f>IF(tabAlmoco[[#This Row],[MOTORISTA]]="","",COUNTIF(autocompAlmoco[COMP ESCALA ATUAL],autocompAlmoco[[#This Row],[COMP ESCALA ATUAL]]))</f>
        <v>1</v>
      </c>
      <c r="Z246" s="105">
        <f>IF(tabAlmoco[[#This Row],[MOTORISTA]]&lt;&gt;0,15,"")</f>
        <v>15</v>
      </c>
      <c r="AA246" s="131" t="s">
        <v>32</v>
      </c>
    </row>
    <row r="247" spans="3:27" ht="15" customHeight="1" x14ac:dyDescent="0.25">
      <c r="C247" s="157" t="s">
        <v>226</v>
      </c>
      <c r="D247" s="56" t="str">
        <f>IF(tabAlmoco[[#This Row],[MOTORISTA]]="","",_xlfn.CONCAT(tabAlmoco[[#This Row],[DATA]],"+",tabAlmoco[[#This Row],[MOTORISTA]]))</f>
        <v>45939+MARCIO RODRIGUES DA COSTA - 5993</v>
      </c>
      <c r="E247" s="56" t="str">
        <f>_xlfn.XLOOKUP(autocompAlmoco[[#This Row],[COMP ESCALA ATUAL]],tabE.Flux[COMP.AT. MOT A],tabE.Flux[LINHA],"NÃO",0,1)</f>
        <v>NÃO</v>
      </c>
      <c r="F247" s="56" t="str">
        <f>_xlfn.XLOOKUP(autocompAlmoco[[#This Row],[COMP ESCALA ATUAL]],tabE.Flux[COMP.AT. MOT B],tabE.Flux[LINHA],"NÃO",0,1)</f>
        <v>NÃO</v>
      </c>
      <c r="G247" s="61" t="str">
        <f>IF(AND(autocompAlmoco[[#This Row],[EXISTE MOT A AT]]="NÃO", autocompAlmoco[[#This Row],[EXISTE MOT B AT]]="NÃO"),"NÃO","SIM")</f>
        <v>NÃO</v>
      </c>
      <c r="H247" s="57" t="str">
        <f>IF(autocompAlmoco[[#This Row],[EXISTE ESCALA ATUAL]]="NÃO",_xlfn.CONCAT(tabAlmoco[[#This Row],[DATA]]-1,"+",tabAlmoco[[#This Row],[MOTORISTA]]),"NÃO")</f>
        <v>45938+MARCIO RODRIGUES DA COSTA - 5993</v>
      </c>
      <c r="I247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47" s="58" t="str">
        <f>IF(autocompAlmoco[[#This Row],[COMP ESCALA ANTERIOR]]="NÃO","NÃO",_xlfn.XLOOKUP(autocompAlmoco[[#This Row],[COMP ESCALA ANTERIOR]],tabE.Flux[COMP.AT. MOT B],tabE.Flux[LINHA],"NÃO",0,1))</f>
        <v>NÃO</v>
      </c>
      <c r="K247" s="62" t="str">
        <f>IF(AND(autocompAlmoco[[#This Row],[EXISTE MOT A ANT]]="NÃO",autocompAlmoco[[#This Row],[EXISTE MOT B ANT]]="NÃO"),"NÃO","SIM")</f>
        <v>SIM</v>
      </c>
      <c r="L247" s="59" t="str">
        <f t="shared" si="8"/>
        <v>1+</v>
      </c>
      <c r="M247" s="59" t="str">
        <f>IF(autocompAlmoco[[#This Row],[COMP ESCALA POSTERIOR]]="NÃO","NÃO",_xlfn.XLOOKUP(autocompAlmoco[[#This Row],[COMP ESCALA POSTERIOR]],tabE.Flux[COMP.AT. MOT A],tabE.Flux[LINHA],"NÃO",0,1))</f>
        <v>NÃO</v>
      </c>
      <c r="N247" s="59" t="str">
        <f>IF(autocompAlmoco[[#This Row],[COMP ESCALA POSTERIOR]]="NÃO","NÃO",_xlfn.XLOOKUP(autocompAlmoco[[#This Row],[COMP ESCALA POSTERIOR]],tabE.Flux[COMP.AT. MOT B],tabE.Flux[LINHA],"NÃO",0,1))</f>
        <v>NÃO</v>
      </c>
      <c r="O247" s="65" t="str">
        <f>IF(AND(autocompAlmoco[[#This Row],[EXISTE MOT A POS]]="NÃO",autocompAlmoco[[#This Row],[EXISTE MOT B POS]]="NÃO"),"NÃO","SIM")</f>
        <v>NÃO</v>
      </c>
      <c r="P247" s="66" t="str" cm="1">
        <f t="array" ref="P24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47" s="103" t="str" cm="1">
        <f t="array" ref="Q24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45938+MARCIO RODRIGUES DA COSTA - 5993+GOIANIA (GO) X TERESINA (PI) VIA STI</v>
      </c>
      <c r="R247" s="67">
        <f>_xlfn.XLOOKUP(autocompAlmoco[[#This Row],[COMP ESCALA]],tabE.Flux[COMP. ESCALA MOT B],tabE.Flux[CARRO],
(_xlfn.XLOOKUP(autocompAlmoco[[#This Row],[COMP ESCALA]],tabE.Flux[COMP. ESCALA MOT A],tabE.Flux[CARRO],"N/E",0,1)),0,1)</f>
        <v>19016</v>
      </c>
      <c r="S247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47" s="127">
        <v>45939</v>
      </c>
      <c r="U247" s="131">
        <f>IF(IFERROR(autocompAlmoco[[#This Row],[CORRESP. CARRO]],"")="NÃO",(IF(tabAlmoco[[#This Row],[MOTORISTA]]=0,"","PASSE?")),autocompAlmoco[[#This Row],[CORRESP. CARRO]])</f>
        <v>19016</v>
      </c>
      <c r="V247" s="126">
        <f>IF(OR(ISERR(autocompAlmoco[[#This Row],[CORRESP HORARIO]]), autocompAlmoco[[#This Row],[CORRESP HORARIO]]&lt;&gt;"NÃO"),autocompAlmoco[[#This Row],[CORRESP HORARIO]],"")</f>
        <v>0.79861111111111116</v>
      </c>
      <c r="W247" s="1" t="s">
        <v>299</v>
      </c>
      <c r="X247" s="1" t="s">
        <v>107</v>
      </c>
      <c r="Y247" s="1">
        <f>IF(tabAlmoco[[#This Row],[MOTORISTA]]="","",COUNTIF(autocompAlmoco[COMP ESCALA ATUAL],autocompAlmoco[[#This Row],[COMP ESCALA ATUAL]]))</f>
        <v>1</v>
      </c>
      <c r="Z247" s="105">
        <f>IF(tabAlmoco[[#This Row],[MOTORISTA]]&lt;&gt;0,15,"")</f>
        <v>15</v>
      </c>
      <c r="AA247" s="131" t="str">
        <f>autocompAlmoco[[#This Row],[CORRESP LINHA]]</f>
        <v>GOIANIA (GO) X TERESINA (PI) VIA STI</v>
      </c>
    </row>
    <row r="248" spans="3:27" ht="15" customHeight="1" x14ac:dyDescent="0.25">
      <c r="C248" s="157" t="s">
        <v>226</v>
      </c>
      <c r="D248" s="56" t="str">
        <f>IF(tabAlmoco[[#This Row],[MOTORISTA]]="","",_xlfn.CONCAT(tabAlmoco[[#This Row],[DATA]],"+",tabAlmoco[[#This Row],[MOTORISTA]]))</f>
        <v>45939+JOSE ALVES DE FREITAS NETO - 5027</v>
      </c>
      <c r="E248" s="56" t="str">
        <f>_xlfn.XLOOKUP(autocompAlmoco[[#This Row],[COMP ESCALA ATUAL]],tabE.Flux[COMP.AT. MOT A],tabE.Flux[LINHA],"NÃO",0,1)</f>
        <v>NÃO</v>
      </c>
      <c r="F248" s="56" t="str">
        <f>_xlfn.XLOOKUP(autocompAlmoco[[#This Row],[COMP ESCALA ATUAL]],tabE.Flux[COMP.AT. MOT B],tabE.Flux[LINHA],"NÃO",0,1)</f>
        <v>GOIANIA (GO) X SAO LUIS (MA)</v>
      </c>
      <c r="G248" s="61" t="str">
        <f>IF(AND(autocompAlmoco[[#This Row],[EXISTE MOT A AT]]="NÃO", autocompAlmoco[[#This Row],[EXISTE MOT B AT]]="NÃO"),"NÃO","SIM")</f>
        <v>SIM</v>
      </c>
      <c r="H248" s="57" t="str">
        <f>IF(autocompAlmoco[[#This Row],[EXISTE ESCALA ATUAL]]="NÃO",_xlfn.CONCAT(tabAlmoco[[#This Row],[DATA]]-1,"+",tabAlmoco[[#This Row],[MOTORISTA]]),"NÃO")</f>
        <v>NÃO</v>
      </c>
      <c r="I248" s="57" t="str">
        <f>IF(autocompAlmoco[[#This Row],[COMP ESCALA ANTERIOR]]="NÃO","NÃO",_xlfn.XLOOKUP(autocompAlmoco[[#This Row],[COMP ESCALA ANTERIOR]],tabE.Flux[COMP.AT. MOT A],tabE.Flux[LINHA],"NÃO",0,1))</f>
        <v>NÃO</v>
      </c>
      <c r="J248" s="58" t="str">
        <f>IF(autocompAlmoco[[#This Row],[COMP ESCALA ANTERIOR]]="NÃO","NÃO",_xlfn.XLOOKUP(autocompAlmoco[[#This Row],[COMP ESCALA ANTERIOR]],tabE.Flux[COMP.AT. MOT B],tabE.Flux[LINHA],"NÃO",0,1))</f>
        <v>NÃO</v>
      </c>
      <c r="K248" s="62" t="str">
        <f>IF(AND(autocompAlmoco[[#This Row],[EXISTE MOT A ANT]]="NÃO",autocompAlmoco[[#This Row],[EXISTE MOT B ANT]]="NÃO"),"NÃO","SIM")</f>
        <v>NÃO</v>
      </c>
      <c r="L248" s="59" t="str">
        <f t="shared" si="8"/>
        <v>1+</v>
      </c>
      <c r="M248" s="59" t="str">
        <f>IF(autocompAlmoco[[#This Row],[COMP ESCALA POSTERIOR]]="NÃO","NÃO",_xlfn.XLOOKUP(autocompAlmoco[[#This Row],[COMP ESCALA POSTERIOR]],tabE.Flux[COMP.AT. MOT A],tabE.Flux[LINHA],"NÃO",0,1))</f>
        <v>NÃO</v>
      </c>
      <c r="N248" s="59" t="str">
        <f>IF(autocompAlmoco[[#This Row],[COMP ESCALA POSTERIOR]]="NÃO","NÃO",_xlfn.XLOOKUP(autocompAlmoco[[#This Row],[COMP ESCALA POSTERIOR]],tabE.Flux[COMP.AT. MOT B],tabE.Flux[LINHA],"NÃO",0,1))</f>
        <v>NÃO</v>
      </c>
      <c r="O248" s="65" t="str">
        <f>IF(AND(autocompAlmoco[[#This Row],[EXISTE MOT A POS]]="NÃO",autocompAlmoco[[#This Row],[EXISTE MOT B POS]]="NÃO"),"NÃO","SIM")</f>
        <v>NÃO</v>
      </c>
      <c r="P248" s="66" t="str" cm="1">
        <f t="array" ref="P24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48" s="103" t="str" cm="1">
        <f t="array" ref="Q24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45939+JOSE ALVES DE FREITAS NETO - 5027+GOIANIA (GO) X SAO LUIS (MA)</v>
      </c>
      <c r="R248" s="67">
        <f>_xlfn.XLOOKUP(autocompAlmoco[[#This Row],[COMP ESCALA]],tabE.Flux[COMP. ESCALA MOT B],tabE.Flux[CARRO],
(_xlfn.XLOOKUP(autocompAlmoco[[#This Row],[COMP ESCALA]],tabE.Flux[COMP. ESCALA MOT A],tabE.Flux[CARRO],"N/E",0,1)),0,1)</f>
        <v>24002</v>
      </c>
      <c r="S248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248" s="127">
        <v>45939</v>
      </c>
      <c r="U248" s="4">
        <f>IF(IFERROR(autocompAlmoco[[#This Row],[CORRESP. CARRO]],"")="NÃO",(IF(tabAlmoco[[#This Row],[MOTORISTA]]=0,"","PASSE?")),autocompAlmoco[[#This Row],[CORRESP. CARRO]])</f>
        <v>24002</v>
      </c>
      <c r="V248" s="128">
        <f>IF(OR(ISERR(autocompAlmoco[[#This Row],[CORRESP HORARIO]]), autocompAlmoco[[#This Row],[CORRESP HORARIO]]&lt;&gt;"NÃO"),autocompAlmoco[[#This Row],[CORRESP HORARIO]],"")</f>
        <v>0.79166666666666663</v>
      </c>
      <c r="W248" s="4" t="s">
        <v>299</v>
      </c>
      <c r="X248" s="4" t="s">
        <v>90</v>
      </c>
      <c r="Y248" s="4">
        <f>IF(tabAlmoco[[#This Row],[MOTORISTA]]="","",COUNTIF(autocompAlmoco[COMP ESCALA ATUAL],autocompAlmoco[[#This Row],[COMP ESCALA ATUAL]]))</f>
        <v>1</v>
      </c>
      <c r="Z248" s="45">
        <f>IF(tabAlmoco[[#This Row],[MOTORISTA]]&lt;&gt;0,15,"")</f>
        <v>15</v>
      </c>
      <c r="AA248" s="4" t="str">
        <f>autocompAlmoco[[#This Row],[CORRESP LINHA]]</f>
        <v>GOIANIA (GO) X SAO LUIS (MA)</v>
      </c>
    </row>
    <row r="249" spans="3:27" ht="15" customHeight="1" x14ac:dyDescent="0.25">
      <c r="C249" s="157" t="s">
        <v>226</v>
      </c>
      <c r="D249" s="56" t="str">
        <f>IF(tabAlmoco[[#This Row],[MOTORISTA]]="","",_xlfn.CONCAT(tabAlmoco[[#This Row],[DATA]],"+",tabAlmoco[[#This Row],[MOTORISTA]]))</f>
        <v>45940+JOSE CARLOS BEZERRA DA SILVA - 3034</v>
      </c>
      <c r="E249" s="56" t="str">
        <f>_xlfn.XLOOKUP(autocompAlmoco[[#This Row],[COMP ESCALA ATUAL]],tabE.Flux[COMP.AT. MOT A],tabE.Flux[LINHA],"NÃO",0,1)</f>
        <v>NÃO</v>
      </c>
      <c r="F249" s="56" t="str">
        <f>_xlfn.XLOOKUP(autocompAlmoco[[#This Row],[COMP ESCALA ATUAL]],tabE.Flux[COMP.AT. MOT B],tabE.Flux[LINHA],"NÃO",0,1)</f>
        <v>GOIANIA (GO) X SAO LUIS (MA)</v>
      </c>
      <c r="G249" s="61" t="str">
        <f>IF(AND(autocompAlmoco[[#This Row],[EXISTE MOT A AT]]="NÃO", autocompAlmoco[[#This Row],[EXISTE MOT B AT]]="NÃO"),"NÃO","SIM")</f>
        <v>SIM</v>
      </c>
      <c r="H249" s="57" t="str">
        <f>IF(autocompAlmoco[[#This Row],[EXISTE ESCALA ATUAL]]="NÃO",_xlfn.CONCAT(tabAlmoco[[#This Row],[DATA]]-1,"+",tabAlmoco[[#This Row],[MOTORISTA]]),"NÃO")</f>
        <v>NÃO</v>
      </c>
      <c r="I249" s="57" t="str">
        <f>IF(autocompAlmoco[[#This Row],[COMP ESCALA ANTERIOR]]="NÃO","NÃO",_xlfn.XLOOKUP(autocompAlmoco[[#This Row],[COMP ESCALA ANTERIOR]],tabE.Flux[COMP.AT. MOT A],tabE.Flux[LINHA],"NÃO",0,1))</f>
        <v>NÃO</v>
      </c>
      <c r="J249" s="58" t="str">
        <f>IF(autocompAlmoco[[#This Row],[COMP ESCALA ANTERIOR]]="NÃO","NÃO",_xlfn.XLOOKUP(autocompAlmoco[[#This Row],[COMP ESCALA ANTERIOR]],tabE.Flux[COMP.AT. MOT B],tabE.Flux[LINHA],"NÃO",0,1))</f>
        <v>NÃO</v>
      </c>
      <c r="K249" s="62" t="str">
        <f>IF(AND(autocompAlmoco[[#This Row],[EXISTE MOT A ANT]]="NÃO",autocompAlmoco[[#This Row],[EXISTE MOT B ANT]]="NÃO"),"NÃO","SIM")</f>
        <v>NÃO</v>
      </c>
      <c r="L249" s="59" t="str">
        <f t="shared" si="8"/>
        <v>1+</v>
      </c>
      <c r="M249" s="59" t="str">
        <f>IF(autocompAlmoco[[#This Row],[COMP ESCALA POSTERIOR]]="NÃO","NÃO",_xlfn.XLOOKUP(autocompAlmoco[[#This Row],[COMP ESCALA POSTERIOR]],tabE.Flux[COMP.AT. MOT A],tabE.Flux[LINHA],"NÃO",0,1))</f>
        <v>NÃO</v>
      </c>
      <c r="N249" s="59" t="str">
        <f>IF(autocompAlmoco[[#This Row],[COMP ESCALA POSTERIOR]]="NÃO","NÃO",_xlfn.XLOOKUP(autocompAlmoco[[#This Row],[COMP ESCALA POSTERIOR]],tabE.Flux[COMP.AT. MOT B],tabE.Flux[LINHA],"NÃO",0,1))</f>
        <v>NÃO</v>
      </c>
      <c r="O249" s="65" t="str">
        <f>IF(AND(autocompAlmoco[[#This Row],[EXISTE MOT A POS]]="NÃO",autocompAlmoco[[#This Row],[EXISTE MOT B POS]]="NÃO"),"NÃO","SIM")</f>
        <v>NÃO</v>
      </c>
      <c r="P249" s="66" t="str" cm="1">
        <f t="array" ref="P24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49" s="103" t="str" cm="1">
        <f t="array" ref="Q24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45940+JOSE CARLOS BEZERRA DA SILVA - 3034+GOIANIA (GO) X SAO LUIS (MA)</v>
      </c>
      <c r="R249" s="67">
        <f>_xlfn.XLOOKUP(autocompAlmoco[[#This Row],[COMP ESCALA]],tabE.Flux[COMP. ESCALA MOT B],tabE.Flux[CARRO],
(_xlfn.XLOOKUP(autocompAlmoco[[#This Row],[COMP ESCALA]],tabE.Flux[COMP. ESCALA MOT A],tabE.Flux[CARRO],"N/E",0,1)),0,1)</f>
        <v>20018</v>
      </c>
      <c r="S249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49" s="127">
        <v>45940</v>
      </c>
      <c r="U249" s="4">
        <f>IF(IFERROR(autocompAlmoco[[#This Row],[CORRESP. CARRO]],"")="NÃO",(IF(tabAlmoco[[#This Row],[MOTORISTA]]=0,"","PASSE?")),autocompAlmoco[[#This Row],[CORRESP. CARRO]])</f>
        <v>20018</v>
      </c>
      <c r="V249" s="126">
        <f>IF(OR(ISERR(autocompAlmoco[[#This Row],[CORRESP HORARIO]]), autocompAlmoco[[#This Row],[CORRESP HORARIO]]&lt;&gt;"NÃO"),autocompAlmoco[[#This Row],[CORRESP HORARIO]],"")</f>
        <v>0.29166666666666669</v>
      </c>
      <c r="W249" s="1" t="s">
        <v>299</v>
      </c>
      <c r="X249" s="1" t="s">
        <v>76</v>
      </c>
      <c r="Y249" s="1">
        <f>IF(tabAlmoco[[#This Row],[MOTORISTA]]="","",COUNTIF(autocompAlmoco[COMP ESCALA ATUAL],autocompAlmoco[[#This Row],[COMP ESCALA ATUAL]]))</f>
        <v>1</v>
      </c>
      <c r="Z249" s="105">
        <f>IF(tabAlmoco[[#This Row],[MOTORISTA]]&lt;&gt;0,15,"")</f>
        <v>15</v>
      </c>
      <c r="AA249" s="4" t="str">
        <f>autocompAlmoco[[#This Row],[CORRESP LINHA]]</f>
        <v>GOIANIA (GO) X SAO LUIS (MA)</v>
      </c>
    </row>
    <row r="250" spans="3:27" ht="15" customHeight="1" x14ac:dyDescent="0.25">
      <c r="C250" s="157" t="s">
        <v>226</v>
      </c>
      <c r="D250" s="56" t="str">
        <f>IF(tabAlmoco[[#This Row],[MOTORISTA]]="","",_xlfn.CONCAT(tabAlmoco[[#This Row],[DATA]],"+",tabAlmoco[[#This Row],[MOTORISTA]]))</f>
        <v>45940+DANYLSON BATISTA SANTANA - 5829</v>
      </c>
      <c r="E250" s="56" t="str">
        <f>_xlfn.XLOOKUP(autocompAlmoco[[#This Row],[COMP ESCALA ATUAL]],tabE.Flux[COMP.AT. MOT A],tabE.Flux[LINHA],"NÃO",0,1)</f>
        <v>NÃO</v>
      </c>
      <c r="F250" s="56" t="str">
        <f>_xlfn.XLOOKUP(autocompAlmoco[[#This Row],[COMP ESCALA ATUAL]],tabE.Flux[COMP.AT. MOT B],tabE.Flux[LINHA],"NÃO",0,1)</f>
        <v>FORTALEZA (CE) X SINOP (MT)</v>
      </c>
      <c r="G250" s="61" t="str">
        <f>IF(AND(autocompAlmoco[[#This Row],[EXISTE MOT A AT]]="NÃO", autocompAlmoco[[#This Row],[EXISTE MOT B AT]]="NÃO"),"NÃO","SIM")</f>
        <v>SIM</v>
      </c>
      <c r="H250" s="57" t="str">
        <f>IF(autocompAlmoco[[#This Row],[EXISTE ESCALA ATUAL]]="NÃO",_xlfn.CONCAT(tabAlmoco[[#This Row],[DATA]]-1,"+",tabAlmoco[[#This Row],[MOTORISTA]]),"NÃO")</f>
        <v>NÃO</v>
      </c>
      <c r="I250" s="57" t="str">
        <f>IF(autocompAlmoco[[#This Row],[COMP ESCALA ANTERIOR]]="NÃO","NÃO",_xlfn.XLOOKUP(autocompAlmoco[[#This Row],[COMP ESCALA ANTERIOR]],tabE.Flux[COMP.AT. MOT A],tabE.Flux[LINHA],"NÃO",0,1))</f>
        <v>NÃO</v>
      </c>
      <c r="J250" s="58" t="str">
        <f>IF(autocompAlmoco[[#This Row],[COMP ESCALA ANTERIOR]]="NÃO","NÃO",_xlfn.XLOOKUP(autocompAlmoco[[#This Row],[COMP ESCALA ANTERIOR]],tabE.Flux[COMP.AT. MOT B],tabE.Flux[LINHA],"NÃO",0,1))</f>
        <v>NÃO</v>
      </c>
      <c r="K250" s="62" t="str">
        <f>IF(AND(autocompAlmoco[[#This Row],[EXISTE MOT A ANT]]="NÃO",autocompAlmoco[[#This Row],[EXISTE MOT B ANT]]="NÃO"),"NÃO","SIM")</f>
        <v>NÃO</v>
      </c>
      <c r="L250" s="59" t="str">
        <f t="shared" si="8"/>
        <v>1+</v>
      </c>
      <c r="M250" s="59" t="str">
        <f>IF(autocompAlmoco[[#This Row],[COMP ESCALA POSTERIOR]]="NÃO","NÃO",_xlfn.XLOOKUP(autocompAlmoco[[#This Row],[COMP ESCALA POSTERIOR]],tabE.Flux[COMP.AT. MOT A],tabE.Flux[LINHA],"NÃO",0,1))</f>
        <v>NÃO</v>
      </c>
      <c r="N250" s="59" t="str">
        <f>IF(autocompAlmoco[[#This Row],[COMP ESCALA POSTERIOR]]="NÃO","NÃO",_xlfn.XLOOKUP(autocompAlmoco[[#This Row],[COMP ESCALA POSTERIOR]],tabE.Flux[COMP.AT. MOT B],tabE.Flux[LINHA],"NÃO",0,1))</f>
        <v>NÃO</v>
      </c>
      <c r="O250" s="65" t="str">
        <f>IF(AND(autocompAlmoco[[#This Row],[EXISTE MOT A POS]]="NÃO",autocompAlmoco[[#This Row],[EXISTE MOT B POS]]="NÃO"),"NÃO","SIM")</f>
        <v>NÃO</v>
      </c>
      <c r="P250" s="66" t="str" cm="1">
        <f t="array" ref="P25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250" s="103" t="str" cm="1">
        <f t="array" ref="Q25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45940+DANYLSON BATISTA SANTANA - 5829+FORTALEZA (CE) X SINOP (MT)</v>
      </c>
      <c r="R250" s="67">
        <f>_xlfn.XLOOKUP(autocompAlmoco[[#This Row],[COMP ESCALA]],tabE.Flux[COMP. ESCALA MOT B],tabE.Flux[CARRO],
(_xlfn.XLOOKUP(autocompAlmoco[[#This Row],[COMP ESCALA]],tabE.Flux[COMP. ESCALA MOT A],tabE.Flux[CARRO],"N/E",0,1)),0,1)</f>
        <v>17200</v>
      </c>
      <c r="S250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250" s="127">
        <v>45940</v>
      </c>
      <c r="U250" s="131">
        <f>IF(IFERROR(autocompAlmoco[[#This Row],[CORRESP. CARRO]],"")="NÃO",(IF(tabAlmoco[[#This Row],[MOTORISTA]]=0,"","PASSE?")),autocompAlmoco[[#This Row],[CORRESP. CARRO]])</f>
        <v>17200</v>
      </c>
      <c r="V250" s="126">
        <f>IF(OR(ISERR(autocompAlmoco[[#This Row],[CORRESP HORARIO]]), autocompAlmoco[[#This Row],[CORRESP HORARIO]]&lt;&gt;"NÃO"),autocompAlmoco[[#This Row],[CORRESP HORARIO]],"")</f>
        <v>0.37708333333333333</v>
      </c>
      <c r="W250" s="1" t="s">
        <v>299</v>
      </c>
      <c r="X250" s="1" t="s">
        <v>60</v>
      </c>
      <c r="Y250" s="1">
        <f>IF(tabAlmoco[[#This Row],[MOTORISTA]]="","",COUNTIF(autocompAlmoco[COMP ESCALA ATUAL],autocompAlmoco[[#This Row],[COMP ESCALA ATUAL]]))</f>
        <v>1</v>
      </c>
      <c r="Z250" s="105">
        <f>IF(tabAlmoco[[#This Row],[MOTORISTA]]&lt;&gt;0,15,"")</f>
        <v>15</v>
      </c>
      <c r="AA250" s="131" t="str">
        <f>autocompAlmoco[[#This Row],[CORRESP LINHA]]</f>
        <v>FORTALEZA (CE) X SINOP (MT)</v>
      </c>
    </row>
    <row r="251" spans="3:27" ht="15" customHeight="1" x14ac:dyDescent="0.25">
      <c r="C251" s="157" t="s">
        <v>226</v>
      </c>
      <c r="D251" s="56" t="str">
        <f>IF(tabAlmoco[[#This Row],[MOTORISTA]]="","",_xlfn.CONCAT(tabAlmoco[[#This Row],[DATA]],"+",tabAlmoco[[#This Row],[MOTORISTA]]))</f>
        <v>45940+RICHARD SOUSA DA SILVA - 1271</v>
      </c>
      <c r="E251" s="56" t="str">
        <f>_xlfn.XLOOKUP(autocompAlmoco[[#This Row],[COMP ESCALA ATUAL]],tabE.Flux[COMP.AT. MOT A],tabE.Flux[LINHA],"NÃO",0,1)</f>
        <v>NÃO</v>
      </c>
      <c r="F251" s="56" t="str">
        <f>_xlfn.XLOOKUP(autocompAlmoco[[#This Row],[COMP ESCALA ATUAL]],tabE.Flux[COMP.AT. MOT B],tabE.Flux[LINHA],"NÃO",0,1)</f>
        <v>NÃO</v>
      </c>
      <c r="G251" s="61" t="str">
        <f>IF(AND(autocompAlmoco[[#This Row],[EXISTE MOT A AT]]="NÃO", autocompAlmoco[[#This Row],[EXISTE MOT B AT]]="NÃO"),"NÃO","SIM")</f>
        <v>NÃO</v>
      </c>
      <c r="H251" s="57" t="str">
        <f>IF(autocompAlmoco[[#This Row],[EXISTE ESCALA ATUAL]]="NÃO",_xlfn.CONCAT(tabAlmoco[[#This Row],[DATA]]-1,"+",tabAlmoco[[#This Row],[MOTORISTA]]),"NÃO")</f>
        <v>45939+RICHARD SOUSA DA SILVA - 1271</v>
      </c>
      <c r="I251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51" s="58" t="str">
        <f>IF(autocompAlmoco[[#This Row],[COMP ESCALA ANTERIOR]]="NÃO","NÃO",_xlfn.XLOOKUP(autocompAlmoco[[#This Row],[COMP ESCALA ANTERIOR]],tabE.Flux[COMP.AT. MOT B],tabE.Flux[LINHA],"NÃO",0,1))</f>
        <v>NÃO</v>
      </c>
      <c r="K251" s="62" t="str">
        <f>IF(AND(autocompAlmoco[[#This Row],[EXISTE MOT A ANT]]="NÃO",autocompAlmoco[[#This Row],[EXISTE MOT B ANT]]="NÃO"),"NÃO","SIM")</f>
        <v>SIM</v>
      </c>
      <c r="L251" s="59" t="str">
        <f>_xlfn.CONCAT(T266+1,"+",X266)</f>
        <v>45944+LAUCEANDO DA SILVA ROCHA - 6220</v>
      </c>
      <c r="M251" s="59" t="str">
        <f>IF(autocompAlmoco[[#This Row],[COMP ESCALA POSTERIOR]]="NÃO","NÃO",_xlfn.XLOOKUP(autocompAlmoco[[#This Row],[COMP ESCALA POSTERIOR]],tabE.Flux[COMP.AT. MOT A],tabE.Flux[LINHA],"NÃO",0,1))</f>
        <v>NÃO</v>
      </c>
      <c r="N251" s="59" t="str">
        <f>IF(autocompAlmoco[[#This Row],[COMP ESCALA POSTERIOR]]="NÃO","NÃO",_xlfn.XLOOKUP(autocompAlmoco[[#This Row],[COMP ESCALA POSTERIOR]],tabE.Flux[COMP.AT. MOT B],tabE.Flux[LINHA],"NÃO",0,1))</f>
        <v>NÃO</v>
      </c>
      <c r="O251" s="65" t="str">
        <f>IF(AND(autocompAlmoco[[#This Row],[EXISTE MOT A POS]]="NÃO",autocompAlmoco[[#This Row],[EXISTE MOT B POS]]="NÃO"),"NÃO","SIM")</f>
        <v>NÃO</v>
      </c>
      <c r="P251" s="66" t="str" cm="1">
        <f t="array" ref="P25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51" s="103" t="str" cm="1">
        <f t="array" ref="Q25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45939+RICHARD SOUSA DA SILVA - 1271+GOIANIA (GO) X TERESINA (PI) VIA STI</v>
      </c>
      <c r="R251" s="67">
        <f>_xlfn.XLOOKUP(autocompAlmoco[[#This Row],[COMP ESCALA]],tabE.Flux[COMP. ESCALA MOT B],tabE.Flux[CARRO],
(_xlfn.XLOOKUP(autocompAlmoco[[#This Row],[COMP ESCALA]],tabE.Flux[COMP. ESCALA MOT A],tabE.Flux[CARRO],"N/E",0,1)),0,1)</f>
        <v>17300</v>
      </c>
      <c r="S251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51" s="127">
        <v>45940</v>
      </c>
      <c r="U251" s="131">
        <f>IF(IFERROR(autocompAlmoco[[#This Row],[CORRESP. CARRO]],"")="NÃO",(IF(tabAlmoco[[#This Row],[MOTORISTA]]=0,"","PASSE?")),autocompAlmoco[[#This Row],[CORRESP. CARRO]])</f>
        <v>17300</v>
      </c>
      <c r="V251" s="126">
        <f>IF(OR(ISERR(autocompAlmoco[[#This Row],[CORRESP HORARIO]]), autocompAlmoco[[#This Row],[CORRESP HORARIO]]&lt;&gt;"NÃO"),autocompAlmoco[[#This Row],[CORRESP HORARIO]],"")</f>
        <v>0.79861111111111116</v>
      </c>
      <c r="W251" s="1" t="s">
        <v>299</v>
      </c>
      <c r="X251" s="1" t="s">
        <v>56</v>
      </c>
      <c r="Y251" s="1">
        <f>IF(tabAlmoco[[#This Row],[MOTORISTA]]="","",COUNTIF(autocompAlmoco[COMP ESCALA ATUAL],autocompAlmoco[[#This Row],[COMP ESCALA ATUAL]]))</f>
        <v>1</v>
      </c>
      <c r="Z251" s="105">
        <f>IF(tabAlmoco[[#This Row],[MOTORISTA]]&lt;&gt;0,15,"")</f>
        <v>15</v>
      </c>
      <c r="AA251" s="131" t="str">
        <f>autocompAlmoco[[#This Row],[CORRESP LINHA]]</f>
        <v>GOIANIA (GO) X TERESINA (PI) VIA STI</v>
      </c>
    </row>
    <row r="252" spans="3:27" ht="15" customHeight="1" x14ac:dyDescent="0.25">
      <c r="C252" s="157" t="s">
        <v>226</v>
      </c>
      <c r="D252" s="56" t="str">
        <f>IF(tabAlmoco[[#This Row],[MOTORISTA]]="","",_xlfn.CONCAT(tabAlmoco[[#This Row],[DATA]],"+",tabAlmoco[[#This Row],[MOTORISTA]]))</f>
        <v>45940+KAYLSON KLEYTON DA SILVA COSTA - 6224</v>
      </c>
      <c r="E252" s="56" t="str">
        <f>_xlfn.XLOOKUP(autocompAlmoco[[#This Row],[COMP ESCALA ATUAL]],tabE.Flux[COMP.AT. MOT A],tabE.Flux[LINHA],"NÃO",0,1)</f>
        <v>NÃO</v>
      </c>
      <c r="F252" s="56" t="str">
        <f>_xlfn.XLOOKUP(autocompAlmoco[[#This Row],[COMP ESCALA ATUAL]],tabE.Flux[COMP.AT. MOT B],tabE.Flux[LINHA],"NÃO",0,1)</f>
        <v>GOIANIA (GO) X SAO LUIS (MA)</v>
      </c>
      <c r="G252" s="61" t="str">
        <f>IF(AND(autocompAlmoco[[#This Row],[EXISTE MOT A AT]]="NÃO", autocompAlmoco[[#This Row],[EXISTE MOT B AT]]="NÃO"),"NÃO","SIM")</f>
        <v>SIM</v>
      </c>
      <c r="H252" s="57" t="str">
        <f>IF(autocompAlmoco[[#This Row],[EXISTE ESCALA ATUAL]]="NÃO",_xlfn.CONCAT(tabAlmoco[[#This Row],[DATA]]-1,"+",tabAlmoco[[#This Row],[MOTORISTA]]),"NÃO")</f>
        <v>NÃO</v>
      </c>
      <c r="I252" s="57" t="str">
        <f>IF(autocompAlmoco[[#This Row],[COMP ESCALA ANTERIOR]]="NÃO","NÃO",_xlfn.XLOOKUP(autocompAlmoco[[#This Row],[COMP ESCALA ANTERIOR]],tabE.Flux[COMP.AT. MOT A],tabE.Flux[LINHA],"NÃO",0,1))</f>
        <v>NÃO</v>
      </c>
      <c r="J252" s="58" t="str">
        <f>IF(autocompAlmoco[[#This Row],[COMP ESCALA ANTERIOR]]="NÃO","NÃO",_xlfn.XLOOKUP(autocompAlmoco[[#This Row],[COMP ESCALA ANTERIOR]],tabE.Flux[COMP.AT. MOT B],tabE.Flux[LINHA],"NÃO",0,1))</f>
        <v>NÃO</v>
      </c>
      <c r="K252" s="62" t="str">
        <f>IF(AND(autocompAlmoco[[#This Row],[EXISTE MOT A ANT]]="NÃO",autocompAlmoco[[#This Row],[EXISTE MOT B ANT]]="NÃO"),"NÃO","SIM")</f>
        <v>NÃO</v>
      </c>
      <c r="L252" s="59" t="str">
        <f>_xlfn.CONCAT(T271+1,"+",X271)</f>
        <v>45945+EUGENIO PEREIRA DOS SANTOS - 1197</v>
      </c>
      <c r="M252" s="59" t="str">
        <f>IF(autocompAlmoco[[#This Row],[COMP ESCALA POSTERIOR]]="NÃO","NÃO",_xlfn.XLOOKUP(autocompAlmoco[[#This Row],[COMP ESCALA POSTERIOR]],tabE.Flux[COMP.AT. MOT A],tabE.Flux[LINHA],"NÃO",0,1))</f>
        <v>NÃO</v>
      </c>
      <c r="N252" s="59" t="str">
        <f>IF(autocompAlmoco[[#This Row],[COMP ESCALA POSTERIOR]]="NÃO","NÃO",_xlfn.XLOOKUP(autocompAlmoco[[#This Row],[COMP ESCALA POSTERIOR]],tabE.Flux[COMP.AT. MOT B],tabE.Flux[LINHA],"NÃO",0,1))</f>
        <v>NÃO</v>
      </c>
      <c r="O252" s="65" t="str">
        <f>IF(AND(autocompAlmoco[[#This Row],[EXISTE MOT A POS]]="NÃO",autocompAlmoco[[#This Row],[EXISTE MOT B POS]]="NÃO"),"NÃO","SIM")</f>
        <v>NÃO</v>
      </c>
      <c r="P252" s="66" t="str" cm="1">
        <f t="array" ref="P25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52" s="103" t="str" cm="1">
        <f t="array" ref="Q25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45940+KAYLSON KLEYTON DA SILVA COSTA - 6224+GOIANIA (GO) X SAO LUIS (MA)</v>
      </c>
      <c r="R252" s="67">
        <f>_xlfn.XLOOKUP(autocompAlmoco[[#This Row],[COMP ESCALA]],tabE.Flux[COMP. ESCALA MOT B],tabE.Flux[CARRO],
(_xlfn.XLOOKUP(autocompAlmoco[[#This Row],[COMP ESCALA]],tabE.Flux[COMP. ESCALA MOT A],tabE.Flux[CARRO],"N/E",0,1)),0,1)</f>
        <v>19002</v>
      </c>
      <c r="S252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52" s="127">
        <v>45940</v>
      </c>
      <c r="U252" s="131">
        <f>IF(IFERROR(autocompAlmoco[[#This Row],[CORRESP. CARRO]],"")="NÃO",(IF(tabAlmoco[[#This Row],[MOTORISTA]]=0,"","PASSE?")),autocompAlmoco[[#This Row],[CORRESP. CARRO]])</f>
        <v>19002</v>
      </c>
      <c r="V252" s="126">
        <f>IF(OR(ISERR(autocompAlmoco[[#This Row],[CORRESP HORARIO]]), autocompAlmoco[[#This Row],[CORRESP HORARIO]]&lt;&gt;"NÃO"),autocompAlmoco[[#This Row],[CORRESP HORARIO]],"")</f>
        <v>0.47013888888888888</v>
      </c>
      <c r="W252" s="1" t="s">
        <v>299</v>
      </c>
      <c r="X252" s="1" t="s">
        <v>80</v>
      </c>
      <c r="Y252" s="1">
        <f>IF(tabAlmoco[[#This Row],[MOTORISTA]]="","",COUNTIF(autocompAlmoco[COMP ESCALA ATUAL],autocompAlmoco[[#This Row],[COMP ESCALA ATUAL]]))</f>
        <v>1</v>
      </c>
      <c r="Z252" s="105">
        <f>IF(tabAlmoco[[#This Row],[MOTORISTA]]&lt;&gt;0,15,"")</f>
        <v>15</v>
      </c>
      <c r="AA252" s="131" t="str">
        <f>autocompAlmoco[[#This Row],[CORRESP LINHA]]</f>
        <v>GOIANIA (GO) X SAO LUIS (MA)</v>
      </c>
    </row>
    <row r="253" spans="3:27" ht="15" customHeight="1" x14ac:dyDescent="0.25">
      <c r="C253" s="157" t="s">
        <v>226</v>
      </c>
      <c r="D253" s="56" t="str">
        <f>IF(tabAlmoco[[#This Row],[MOTORISTA]]="","",_xlfn.CONCAT(tabAlmoco[[#This Row],[DATA]],"+",tabAlmoco[[#This Row],[MOTORISTA]]))</f>
        <v>45940+EDIVALDO DE ARAUJO - 6217</v>
      </c>
      <c r="E253" s="56" t="str">
        <f>_xlfn.XLOOKUP(autocompAlmoco[[#This Row],[COMP ESCALA ATUAL]],tabE.Flux[COMP.AT. MOT A],tabE.Flux[LINHA],"NÃO",0,1)</f>
        <v>NÃO</v>
      </c>
      <c r="F253" s="56" t="str">
        <f>_xlfn.XLOOKUP(autocompAlmoco[[#This Row],[COMP ESCALA ATUAL]],tabE.Flux[COMP.AT. MOT B],tabE.Flux[LINHA],"NÃO",0,1)</f>
        <v>IMPERATRIZ (MA) X SÃO LUIS (MA)</v>
      </c>
      <c r="G253" s="61" t="str">
        <f>IF(AND(autocompAlmoco[[#This Row],[EXISTE MOT A AT]]="NÃO", autocompAlmoco[[#This Row],[EXISTE MOT B AT]]="NÃO"),"NÃO","SIM")</f>
        <v>SIM</v>
      </c>
      <c r="H253" s="57" t="str">
        <f>IF(autocompAlmoco[[#This Row],[EXISTE ESCALA ATUAL]]="NÃO",_xlfn.CONCAT(tabAlmoco[[#This Row],[DATA]]-1,"+",tabAlmoco[[#This Row],[MOTORISTA]]),"NÃO")</f>
        <v>NÃO</v>
      </c>
      <c r="I253" s="57" t="str">
        <f>IF(autocompAlmoco[[#This Row],[COMP ESCALA ANTERIOR]]="NÃO","NÃO",_xlfn.XLOOKUP(autocompAlmoco[[#This Row],[COMP ESCALA ANTERIOR]],tabE.Flux[COMP.AT. MOT A],tabE.Flux[LINHA],"NÃO",0,1))</f>
        <v>NÃO</v>
      </c>
      <c r="J253" s="58" t="str">
        <f>IF(autocompAlmoco[[#This Row],[COMP ESCALA ANTERIOR]]="NÃO","NÃO",_xlfn.XLOOKUP(autocompAlmoco[[#This Row],[COMP ESCALA ANTERIOR]],tabE.Flux[COMP.AT. MOT B],tabE.Flux[LINHA],"NÃO",0,1))</f>
        <v>NÃO</v>
      </c>
      <c r="K253" s="62" t="str">
        <f>IF(AND(autocompAlmoco[[#This Row],[EXISTE MOT A ANT]]="NÃO",autocompAlmoco[[#This Row],[EXISTE MOT B ANT]]="NÃO"),"NÃO","SIM")</f>
        <v>NÃO</v>
      </c>
      <c r="L253" s="59" t="str">
        <f>_xlfn.CONCAT(T275+1,"+",X275)</f>
        <v>45946+LUIS ANTONIO FARIAS RIBEIRO - 2789</v>
      </c>
      <c r="M253" s="59" t="str">
        <f>IF(autocompAlmoco[[#This Row],[COMP ESCALA POSTERIOR]]="NÃO","NÃO",_xlfn.XLOOKUP(autocompAlmoco[[#This Row],[COMP ESCALA POSTERIOR]],tabE.Flux[COMP.AT. MOT A],tabE.Flux[LINHA],"NÃO",0,1))</f>
        <v>NÃO</v>
      </c>
      <c r="N253" s="59" t="str">
        <f>IF(autocompAlmoco[[#This Row],[COMP ESCALA POSTERIOR]]="NÃO","NÃO",_xlfn.XLOOKUP(autocompAlmoco[[#This Row],[COMP ESCALA POSTERIOR]],tabE.Flux[COMP.AT. MOT B],tabE.Flux[LINHA],"NÃO",0,1))</f>
        <v>NÃO</v>
      </c>
      <c r="O253" s="65" t="str">
        <f>IF(AND(autocompAlmoco[[#This Row],[EXISTE MOT A POS]]="NÃO",autocompAlmoco[[#This Row],[EXISTE MOT B POS]]="NÃO"),"NÃO","SIM")</f>
        <v>NÃO</v>
      </c>
      <c r="P253" s="66" t="str" cm="1">
        <f t="array" ref="P25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IMPERATRIZ (MA) X SÃO LUIS (MA)</v>
      </c>
      <c r="Q253" s="103" t="str" cm="1">
        <f t="array" ref="Q25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45940+EDIVALDO DE ARAUJO - 6217+IMPERATRIZ (MA) X SÃO LUIS (MA)</v>
      </c>
      <c r="R253" s="67">
        <f>_xlfn.XLOOKUP(autocompAlmoco[[#This Row],[COMP ESCALA]],tabE.Flux[COMP. ESCALA MOT B],tabE.Flux[CARRO],
(_xlfn.XLOOKUP(autocompAlmoco[[#This Row],[COMP ESCALA]],tabE.Flux[COMP. ESCALA MOT A],tabE.Flux[CARRO],"N/E",0,1)),0,1)</f>
        <v>19020</v>
      </c>
      <c r="S253" s="130">
        <f>_xlfn.XLOOKUP(autocompAlmoco[[#This Row],[COMP ESCALA]],tabE.Flux[COMP. ESCALA MOT A],tabE.Flux[HORARIO],(_xlfn.XLOOKUP(autocompAlmoco[[#This Row],[COMP ESCALA]],tabE.Flux[COMP. ESCALA MOT B],tabE.Flux[HORARIO],"N/E",0,1)),0,1)</f>
        <v>0.8125</v>
      </c>
      <c r="T253" s="127">
        <v>45940</v>
      </c>
      <c r="U253" s="131">
        <f>IF(IFERROR(autocompAlmoco[[#This Row],[CORRESP. CARRO]],"")="NÃO",(IF(tabAlmoco[[#This Row],[MOTORISTA]]=0,"","PASSE?")),autocompAlmoco[[#This Row],[CORRESP. CARRO]])</f>
        <v>19020</v>
      </c>
      <c r="V253" s="126">
        <f>IF(OR(ISERR(autocompAlmoco[[#This Row],[CORRESP HORARIO]]), autocompAlmoco[[#This Row],[CORRESP HORARIO]]&lt;&gt;"NÃO"),autocompAlmoco[[#This Row],[CORRESP HORARIO]],"")</f>
        <v>0.8125</v>
      </c>
      <c r="W253" s="1" t="s">
        <v>299</v>
      </c>
      <c r="X253" s="1" t="s">
        <v>55</v>
      </c>
      <c r="Y253" s="1">
        <f>IF(tabAlmoco[[#This Row],[MOTORISTA]]="","",COUNTIF(autocompAlmoco[COMP ESCALA ATUAL],autocompAlmoco[[#This Row],[COMP ESCALA ATUAL]]))</f>
        <v>1</v>
      </c>
      <c r="Z253" s="105">
        <f>IF(tabAlmoco[[#This Row],[MOTORISTA]]&lt;&gt;0,15,"")</f>
        <v>15</v>
      </c>
      <c r="AA253" s="131" t="str">
        <f>autocompAlmoco[[#This Row],[CORRESP LINHA]]</f>
        <v>IMPERATRIZ (MA) X SÃO LUIS (MA)</v>
      </c>
    </row>
    <row r="254" spans="3:27" ht="15" customHeight="1" x14ac:dyDescent="0.25">
      <c r="C254" s="157" t="s">
        <v>226</v>
      </c>
      <c r="D254" s="56" t="str">
        <f>IF(tabAlmoco[[#This Row],[MOTORISTA]]="","",_xlfn.CONCAT(tabAlmoco[[#This Row],[DATA]],"+",tabAlmoco[[#This Row],[MOTORISTA]]))</f>
        <v>45940+CARLOS ADRIANO DE SOUZA DO NASCIMENTO - 6222</v>
      </c>
      <c r="E254" s="56" t="str">
        <f>_xlfn.XLOOKUP(autocompAlmoco[[#This Row],[COMP ESCALA ATUAL]],tabE.Flux[COMP.AT. MOT A],tabE.Flux[LINHA],"NÃO",0,1)</f>
        <v>GOIANIA (GO) X SAO LUIS (MA)</v>
      </c>
      <c r="F254" s="56" t="str">
        <f>_xlfn.XLOOKUP(autocompAlmoco[[#This Row],[COMP ESCALA ATUAL]],tabE.Flux[COMP.AT. MOT B],tabE.Flux[LINHA],"NÃO",0,1)</f>
        <v>GOIANIA (GO) X SAO LUIS (MA)</v>
      </c>
      <c r="G254" s="61" t="str">
        <f>IF(AND(autocompAlmoco[[#This Row],[EXISTE MOT A AT]]="NÃO", autocompAlmoco[[#This Row],[EXISTE MOT B AT]]="NÃO"),"NÃO","SIM")</f>
        <v>SIM</v>
      </c>
      <c r="H254" s="57" t="str">
        <f>IF(autocompAlmoco[[#This Row],[EXISTE ESCALA ATUAL]]="NÃO",_xlfn.CONCAT(tabAlmoco[[#This Row],[DATA]]-1,"+",tabAlmoco[[#This Row],[MOTORISTA]]),"NÃO")</f>
        <v>NÃO</v>
      </c>
      <c r="I254" s="57" t="str">
        <f>IF(autocompAlmoco[[#This Row],[COMP ESCALA ANTERIOR]]="NÃO","NÃO",_xlfn.XLOOKUP(autocompAlmoco[[#This Row],[COMP ESCALA ANTERIOR]],tabE.Flux[COMP.AT. MOT A],tabE.Flux[LINHA],"NÃO",0,1))</f>
        <v>NÃO</v>
      </c>
      <c r="J254" s="58" t="str">
        <f>IF(autocompAlmoco[[#This Row],[COMP ESCALA ANTERIOR]]="NÃO","NÃO",_xlfn.XLOOKUP(autocompAlmoco[[#This Row],[COMP ESCALA ANTERIOR]],tabE.Flux[COMP.AT. MOT B],tabE.Flux[LINHA],"NÃO",0,1))</f>
        <v>NÃO</v>
      </c>
      <c r="K254" s="62" t="str">
        <f>IF(AND(autocompAlmoco[[#This Row],[EXISTE MOT A ANT]]="NÃO",autocompAlmoco[[#This Row],[EXISTE MOT B ANT]]="NÃO"),"NÃO","SIM")</f>
        <v>NÃO</v>
      </c>
      <c r="L254" s="59" t="str">
        <f>_xlfn.CONCAT(T280+1,"+",X280)</f>
        <v>1+</v>
      </c>
      <c r="M254" s="59" t="str">
        <f>IF(autocompAlmoco[[#This Row],[COMP ESCALA POSTERIOR]]="NÃO","NÃO",_xlfn.XLOOKUP(autocompAlmoco[[#This Row],[COMP ESCALA POSTERIOR]],tabE.Flux[COMP.AT. MOT A],tabE.Flux[LINHA],"NÃO",0,1))</f>
        <v>NÃO</v>
      </c>
      <c r="N254" s="59" t="str">
        <f>IF(autocompAlmoco[[#This Row],[COMP ESCALA POSTERIOR]]="NÃO","NÃO",_xlfn.XLOOKUP(autocompAlmoco[[#This Row],[COMP ESCALA POSTERIOR]],tabE.Flux[COMP.AT. MOT B],tabE.Flux[LINHA],"NÃO",0,1))</f>
        <v>NÃO</v>
      </c>
      <c r="O254" s="65" t="str">
        <f>IF(AND(autocompAlmoco[[#This Row],[EXISTE MOT A POS]]="NÃO",autocompAlmoco[[#This Row],[EXISTE MOT B POS]]="NÃO"),"NÃO","SIM")</f>
        <v>NÃO</v>
      </c>
      <c r="P254" s="66" t="str" cm="1">
        <f t="array" ref="P25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54" s="103" t="str" cm="1">
        <f t="array" ref="Q25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45940+CARLOS ADRIANO DE SOUZA DO NASCIMENTO - 6222+GOIANIA (GO) X SAO LUIS (MA)</v>
      </c>
      <c r="R254" s="67">
        <f>_xlfn.XLOOKUP(autocompAlmoco[[#This Row],[COMP ESCALA]],tabE.Flux[COMP. ESCALA MOT B],tabE.Flux[CARRO],
(_xlfn.XLOOKUP(autocompAlmoco[[#This Row],[COMP ESCALA]],tabE.Flux[COMP. ESCALA MOT A],tabE.Flux[CARRO],"N/E",0,1)),0,1)</f>
        <v>24003</v>
      </c>
      <c r="S254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54" s="127">
        <v>45940</v>
      </c>
      <c r="U254" s="4">
        <f>IF(IFERROR(autocompAlmoco[[#This Row],[CORRESP. CARRO]],"")="NÃO",(IF(tabAlmoco[[#This Row],[MOTORISTA]]=0,"","PASSE?")),autocompAlmoco[[#This Row],[CORRESP. CARRO]])</f>
        <v>24003</v>
      </c>
      <c r="V254" s="128">
        <f>IF(OR(ISERR(autocompAlmoco[[#This Row],[CORRESP HORARIO]]), autocompAlmoco[[#This Row],[CORRESP HORARIO]]&lt;&gt;"NÃO"),autocompAlmoco[[#This Row],[CORRESP HORARIO]],"")</f>
        <v>0.29166666666666669</v>
      </c>
      <c r="W254" s="4" t="s">
        <v>299</v>
      </c>
      <c r="X254" s="4" t="s">
        <v>110</v>
      </c>
      <c r="Y254" s="4">
        <f>IF(tabAlmoco[[#This Row],[MOTORISTA]]="","",COUNTIF(autocompAlmoco[COMP ESCALA ATUAL],autocompAlmoco[[#This Row],[COMP ESCALA ATUAL]]))</f>
        <v>1</v>
      </c>
      <c r="Z254" s="45">
        <f>IF(tabAlmoco[[#This Row],[MOTORISTA]]&lt;&gt;0,15,"")</f>
        <v>15</v>
      </c>
      <c r="AA254" s="4" t="str">
        <f>autocompAlmoco[[#This Row],[CORRESP LINHA]]</f>
        <v>GOIANIA (GO) X SAO LUIS (MA)</v>
      </c>
    </row>
    <row r="255" spans="3:27" ht="15" customHeight="1" x14ac:dyDescent="0.25">
      <c r="C255" s="157" t="s">
        <v>226</v>
      </c>
      <c r="D255" s="56" t="str">
        <f>IF(tabAlmoco[[#This Row],[MOTORISTA]]="","",_xlfn.CONCAT(tabAlmoco[[#This Row],[DATA]],"+",tabAlmoco[[#This Row],[MOTORISTA]]))</f>
        <v>45940+MARCOS ATAIDE SILVA - 1352</v>
      </c>
      <c r="E255" s="56" t="str">
        <f>_xlfn.XLOOKUP(autocompAlmoco[[#This Row],[COMP ESCALA ATUAL]],tabE.Flux[COMP.AT. MOT A],tabE.Flux[LINHA],"NÃO",0,1)</f>
        <v>NÃO</v>
      </c>
      <c r="F255" s="56" t="str">
        <f>_xlfn.XLOOKUP(autocompAlmoco[[#This Row],[COMP ESCALA ATUAL]],tabE.Flux[COMP.AT. MOT B],tabE.Flux[LINHA],"NÃO",0,1)</f>
        <v>GOIANIA (GO) X SAO LUIS (MA)</v>
      </c>
      <c r="G255" s="61" t="str">
        <f>IF(AND(autocompAlmoco[[#This Row],[EXISTE MOT A AT]]="NÃO", autocompAlmoco[[#This Row],[EXISTE MOT B AT]]="NÃO"),"NÃO","SIM")</f>
        <v>SIM</v>
      </c>
      <c r="H255" s="57" t="str">
        <f>IF(autocompAlmoco[[#This Row],[EXISTE ESCALA ATUAL]]="NÃO",_xlfn.CONCAT(tabAlmoco[[#This Row],[DATA]]-1,"+",tabAlmoco[[#This Row],[MOTORISTA]]),"NÃO")</f>
        <v>NÃO</v>
      </c>
      <c r="I255" s="57" t="str">
        <f>IF(autocompAlmoco[[#This Row],[COMP ESCALA ANTERIOR]]="NÃO","NÃO",_xlfn.XLOOKUP(autocompAlmoco[[#This Row],[COMP ESCALA ANTERIOR]],tabE.Flux[COMP.AT. MOT A],tabE.Flux[LINHA],"NÃO",0,1))</f>
        <v>NÃO</v>
      </c>
      <c r="J255" s="58" t="str">
        <f>IF(autocompAlmoco[[#This Row],[COMP ESCALA ANTERIOR]]="NÃO","NÃO",_xlfn.XLOOKUP(autocompAlmoco[[#This Row],[COMP ESCALA ANTERIOR]],tabE.Flux[COMP.AT. MOT B],tabE.Flux[LINHA],"NÃO",0,1))</f>
        <v>NÃO</v>
      </c>
      <c r="K255" s="62" t="str">
        <f>IF(AND(autocompAlmoco[[#This Row],[EXISTE MOT A ANT]]="NÃO",autocompAlmoco[[#This Row],[EXISTE MOT B ANT]]="NÃO"),"NÃO","SIM")</f>
        <v>NÃO</v>
      </c>
      <c r="L255" s="59" t="str">
        <f t="shared" ref="L255:L270" si="9">_xlfn.CONCAT(T285+1,"+",X285)</f>
        <v>1+</v>
      </c>
      <c r="M255" s="59" t="str">
        <f>IF(autocompAlmoco[[#This Row],[COMP ESCALA POSTERIOR]]="NÃO","NÃO",_xlfn.XLOOKUP(autocompAlmoco[[#This Row],[COMP ESCALA POSTERIOR]],tabE.Flux[COMP.AT. MOT A],tabE.Flux[LINHA],"NÃO",0,1))</f>
        <v>NÃO</v>
      </c>
      <c r="N255" s="59" t="str">
        <f>IF(autocompAlmoco[[#This Row],[COMP ESCALA POSTERIOR]]="NÃO","NÃO",_xlfn.XLOOKUP(autocompAlmoco[[#This Row],[COMP ESCALA POSTERIOR]],tabE.Flux[COMP.AT. MOT B],tabE.Flux[LINHA],"NÃO",0,1))</f>
        <v>NÃO</v>
      </c>
      <c r="O255" s="65" t="str">
        <f>IF(AND(autocompAlmoco[[#This Row],[EXISTE MOT A POS]]="NÃO",autocompAlmoco[[#This Row],[EXISTE MOT B POS]]="NÃO"),"NÃO","SIM")</f>
        <v>NÃO</v>
      </c>
      <c r="P255" s="66" t="str" cm="1">
        <f t="array" ref="P25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55" s="103" t="str" cm="1">
        <f t="array" ref="Q25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45940+MARCOS ATAIDE SILVA - 1352+GOIANIA (GO) X SAO LUIS (MA)</v>
      </c>
      <c r="R255" s="67">
        <f>_xlfn.XLOOKUP(autocompAlmoco[[#This Row],[COMP ESCALA]],tabE.Flux[COMP. ESCALA MOT B],tabE.Flux[CARRO],
(_xlfn.XLOOKUP(autocompAlmoco[[#This Row],[COMP ESCALA]],tabE.Flux[COMP. ESCALA MOT A],tabE.Flux[CARRO],"N/E",0,1)),0,1)</f>
        <v>24015</v>
      </c>
      <c r="S255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255" s="127">
        <v>45940</v>
      </c>
      <c r="U255" s="4">
        <f>IF(IFERROR(autocompAlmoco[[#This Row],[CORRESP. CARRO]],"")="NÃO",(IF(tabAlmoco[[#This Row],[MOTORISTA]]=0,"","PASSE?")),autocompAlmoco[[#This Row],[CORRESP. CARRO]])</f>
        <v>24015</v>
      </c>
      <c r="V255" s="126">
        <f>IF(OR(ISERR(autocompAlmoco[[#This Row],[CORRESP HORARIO]]), autocompAlmoco[[#This Row],[CORRESP HORARIO]]&lt;&gt;"NÃO"),autocompAlmoco[[#This Row],[CORRESP HORARIO]],"")</f>
        <v>0.79166666666666663</v>
      </c>
      <c r="W255" s="1" t="s">
        <v>299</v>
      </c>
      <c r="X255" s="1" t="s">
        <v>113</v>
      </c>
      <c r="Y255" s="1">
        <f>IF(tabAlmoco[[#This Row],[MOTORISTA]]="","",COUNTIF(autocompAlmoco[COMP ESCALA ATUAL],autocompAlmoco[[#This Row],[COMP ESCALA ATUAL]]))</f>
        <v>1</v>
      </c>
      <c r="Z255" s="105">
        <f>IF(tabAlmoco[[#This Row],[MOTORISTA]]&lt;&gt;0,15,"")</f>
        <v>15</v>
      </c>
      <c r="AA255" s="4" t="str">
        <f>autocompAlmoco[[#This Row],[CORRESP LINHA]]</f>
        <v>GOIANIA (GO) X SAO LUIS (MA)</v>
      </c>
    </row>
    <row r="256" spans="3:27" ht="15" customHeight="1" x14ac:dyDescent="0.25">
      <c r="C256" s="157" t="s">
        <v>226</v>
      </c>
      <c r="D256" s="56" t="str">
        <f>IF(tabAlmoco[[#This Row],[MOTORISTA]]="","",_xlfn.CONCAT(tabAlmoco[[#This Row],[DATA]],"+",tabAlmoco[[#This Row],[MOTORISTA]]))</f>
        <v>45941+GILVAN DE SOUSA FRANCA - 5834</v>
      </c>
      <c r="E256" s="56" t="str">
        <f>_xlfn.XLOOKUP(autocompAlmoco[[#This Row],[COMP ESCALA ATUAL]],tabE.Flux[COMP.AT. MOT A],tabE.Flux[LINHA],"NÃO",0,1)</f>
        <v>NÃO</v>
      </c>
      <c r="F256" s="56" t="str">
        <f>_xlfn.XLOOKUP(autocompAlmoco[[#This Row],[COMP ESCALA ATUAL]],tabE.Flux[COMP.AT. MOT B],tabE.Flux[LINHA],"NÃO",0,1)</f>
        <v>GOIANIA (GO) X SAO LUIS (MA)</v>
      </c>
      <c r="G256" s="61" t="str">
        <f>IF(AND(autocompAlmoco[[#This Row],[EXISTE MOT A AT]]="NÃO", autocompAlmoco[[#This Row],[EXISTE MOT B AT]]="NÃO"),"NÃO","SIM")</f>
        <v>SIM</v>
      </c>
      <c r="H256" s="57" t="str">
        <f>IF(autocompAlmoco[[#This Row],[EXISTE ESCALA ATUAL]]="NÃO",_xlfn.CONCAT(tabAlmoco[[#This Row],[DATA]]-1,"+",tabAlmoco[[#This Row],[MOTORISTA]]),"NÃO")</f>
        <v>NÃO</v>
      </c>
      <c r="I256" s="57" t="str">
        <f>IF(autocompAlmoco[[#This Row],[COMP ESCALA ANTERIOR]]="NÃO","NÃO",_xlfn.XLOOKUP(autocompAlmoco[[#This Row],[COMP ESCALA ANTERIOR]],tabE.Flux[COMP.AT. MOT A],tabE.Flux[LINHA],"NÃO",0,1))</f>
        <v>NÃO</v>
      </c>
      <c r="J256" s="58" t="str">
        <f>IF(autocompAlmoco[[#This Row],[COMP ESCALA ANTERIOR]]="NÃO","NÃO",_xlfn.XLOOKUP(autocompAlmoco[[#This Row],[COMP ESCALA ANTERIOR]],tabE.Flux[COMP.AT. MOT B],tabE.Flux[LINHA],"NÃO",0,1))</f>
        <v>NÃO</v>
      </c>
      <c r="K256" s="62" t="str">
        <f>IF(AND(autocompAlmoco[[#This Row],[EXISTE MOT A ANT]]="NÃO",autocompAlmoco[[#This Row],[EXISTE MOT B ANT]]="NÃO"),"NÃO","SIM")</f>
        <v>NÃO</v>
      </c>
      <c r="L256" s="59" t="str">
        <f t="shared" si="9"/>
        <v>1+</v>
      </c>
      <c r="M256" s="59" t="str">
        <f>IF(autocompAlmoco[[#This Row],[COMP ESCALA POSTERIOR]]="NÃO","NÃO",_xlfn.XLOOKUP(autocompAlmoco[[#This Row],[COMP ESCALA POSTERIOR]],tabE.Flux[COMP.AT. MOT A],tabE.Flux[LINHA],"NÃO",0,1))</f>
        <v>NÃO</v>
      </c>
      <c r="N256" s="59" t="str">
        <f>IF(autocompAlmoco[[#This Row],[COMP ESCALA POSTERIOR]]="NÃO","NÃO",_xlfn.XLOOKUP(autocompAlmoco[[#This Row],[COMP ESCALA POSTERIOR]],tabE.Flux[COMP.AT. MOT B],tabE.Flux[LINHA],"NÃO",0,1))</f>
        <v>NÃO</v>
      </c>
      <c r="O256" s="65" t="str">
        <f>IF(AND(autocompAlmoco[[#This Row],[EXISTE MOT A POS]]="NÃO",autocompAlmoco[[#This Row],[EXISTE MOT B POS]]="NÃO"),"NÃO","SIM")</f>
        <v>NÃO</v>
      </c>
      <c r="P256" s="66" t="str" cm="1">
        <f t="array" ref="P25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56" s="103" t="str" cm="1">
        <f t="array" ref="Q25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45941+GILVAN DE SOUSA FRANCA - 5834+GOIANIA (GO) X SAO LUIS (MA)</v>
      </c>
      <c r="R256" s="67">
        <f>_xlfn.XLOOKUP(autocompAlmoco[[#This Row],[COMP ESCALA]],tabE.Flux[COMP. ESCALA MOT B],tabE.Flux[CARRO],
(_xlfn.XLOOKUP(autocompAlmoco[[#This Row],[COMP ESCALA]],tabE.Flux[COMP. ESCALA MOT A],tabE.Flux[CARRO],"N/E",0,1)),0,1)</f>
        <v>19006</v>
      </c>
      <c r="S256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56" s="127">
        <v>45941</v>
      </c>
      <c r="U256" s="131">
        <f>IF(IFERROR(autocompAlmoco[[#This Row],[CORRESP. CARRO]],"")="NÃO",(IF(tabAlmoco[[#This Row],[MOTORISTA]]=0,"","PASSE?")),autocompAlmoco[[#This Row],[CORRESP. CARRO]])</f>
        <v>19006</v>
      </c>
      <c r="V256" s="126">
        <f>IF(OR(ISERR(autocompAlmoco[[#This Row],[CORRESP HORARIO]]), autocompAlmoco[[#This Row],[CORRESP HORARIO]]&lt;&gt;"NÃO"),autocompAlmoco[[#This Row],[CORRESP HORARIO]],"")</f>
        <v>0.29166666666666669</v>
      </c>
      <c r="W256" s="1" t="s">
        <v>299</v>
      </c>
      <c r="X256" s="1" t="s">
        <v>35</v>
      </c>
      <c r="Y256" s="1">
        <f>IF(tabAlmoco[[#This Row],[MOTORISTA]]="","",COUNTIF(autocompAlmoco[COMP ESCALA ATUAL],autocompAlmoco[[#This Row],[COMP ESCALA ATUAL]]))</f>
        <v>1</v>
      </c>
      <c r="Z256" s="105">
        <f>IF(tabAlmoco[[#This Row],[MOTORISTA]]&lt;&gt;0,15,"")</f>
        <v>15</v>
      </c>
      <c r="AA256" s="131" t="str">
        <f>autocompAlmoco[[#This Row],[CORRESP LINHA]]</f>
        <v>GOIANIA (GO) X SAO LUIS (MA)</v>
      </c>
    </row>
    <row r="257" spans="3:27" ht="15" customHeight="1" x14ac:dyDescent="0.25">
      <c r="C257" s="157" t="s">
        <v>226</v>
      </c>
      <c r="D257" s="56" t="str">
        <f>IF(tabAlmoco[[#This Row],[MOTORISTA]]="","",_xlfn.CONCAT(tabAlmoco[[#This Row],[DATA]],"+",tabAlmoco[[#This Row],[MOTORISTA]]))</f>
        <v>45941+PAULO ENEAS FARIAS ARAUJO - 6218</v>
      </c>
      <c r="E257" s="56" t="str">
        <f>_xlfn.XLOOKUP(autocompAlmoco[[#This Row],[COMP ESCALA ATUAL]],tabE.Flux[COMP.AT. MOT A],tabE.Flux[LINHA],"NÃO",0,1)</f>
        <v>NÃO</v>
      </c>
      <c r="F257" s="56" t="str">
        <f>_xlfn.XLOOKUP(autocompAlmoco[[#This Row],[COMP ESCALA ATUAL]],tabE.Flux[COMP.AT. MOT B],tabE.Flux[LINHA],"NÃO",0,1)</f>
        <v>GOIANIA (GO) X SAO LUIS (MA)</v>
      </c>
      <c r="G257" s="61" t="str">
        <f>IF(AND(autocompAlmoco[[#This Row],[EXISTE MOT A AT]]="NÃO", autocompAlmoco[[#This Row],[EXISTE MOT B AT]]="NÃO"),"NÃO","SIM")</f>
        <v>SIM</v>
      </c>
      <c r="H257" s="57" t="str">
        <f>IF(autocompAlmoco[[#This Row],[EXISTE ESCALA ATUAL]]="NÃO",_xlfn.CONCAT(tabAlmoco[[#This Row],[DATA]]-1,"+",tabAlmoco[[#This Row],[MOTORISTA]]),"NÃO")</f>
        <v>NÃO</v>
      </c>
      <c r="I257" s="57" t="str">
        <f>IF(autocompAlmoco[[#This Row],[COMP ESCALA ANTERIOR]]="NÃO","NÃO",_xlfn.XLOOKUP(autocompAlmoco[[#This Row],[COMP ESCALA ANTERIOR]],tabE.Flux[COMP.AT. MOT A],tabE.Flux[LINHA],"NÃO",0,1))</f>
        <v>NÃO</v>
      </c>
      <c r="J257" s="58" t="str">
        <f>IF(autocompAlmoco[[#This Row],[COMP ESCALA ANTERIOR]]="NÃO","NÃO",_xlfn.XLOOKUP(autocompAlmoco[[#This Row],[COMP ESCALA ANTERIOR]],tabE.Flux[COMP.AT. MOT B],tabE.Flux[LINHA],"NÃO",0,1))</f>
        <v>NÃO</v>
      </c>
      <c r="K257" s="62" t="str">
        <f>IF(AND(autocompAlmoco[[#This Row],[EXISTE MOT A ANT]]="NÃO",autocompAlmoco[[#This Row],[EXISTE MOT B ANT]]="NÃO"),"NÃO","SIM")</f>
        <v>NÃO</v>
      </c>
      <c r="L257" s="59" t="str">
        <f t="shared" si="9"/>
        <v>1+</v>
      </c>
      <c r="M257" s="59" t="str">
        <f>IF(autocompAlmoco[[#This Row],[COMP ESCALA POSTERIOR]]="NÃO","NÃO",_xlfn.XLOOKUP(autocompAlmoco[[#This Row],[COMP ESCALA POSTERIOR]],tabE.Flux[COMP.AT. MOT A],tabE.Flux[LINHA],"NÃO",0,1))</f>
        <v>NÃO</v>
      </c>
      <c r="N257" s="59" t="str">
        <f>IF(autocompAlmoco[[#This Row],[COMP ESCALA POSTERIOR]]="NÃO","NÃO",_xlfn.XLOOKUP(autocompAlmoco[[#This Row],[COMP ESCALA POSTERIOR]],tabE.Flux[COMP.AT. MOT B],tabE.Flux[LINHA],"NÃO",0,1))</f>
        <v>NÃO</v>
      </c>
      <c r="O257" s="65" t="str">
        <f>IF(AND(autocompAlmoco[[#This Row],[EXISTE MOT A POS]]="NÃO",autocompAlmoco[[#This Row],[EXISTE MOT B POS]]="NÃO"),"NÃO","SIM")</f>
        <v>NÃO</v>
      </c>
      <c r="P257" s="66" t="str" cm="1">
        <f t="array" ref="P25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57" s="103" t="str" cm="1">
        <f t="array" ref="Q25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45941+PAULO ENEAS FARIAS ARAUJO - 6218+GOIANIA (GO) X SAO LUIS (MA)</v>
      </c>
      <c r="R257" s="67">
        <f>_xlfn.XLOOKUP(autocompAlmoco[[#This Row],[COMP ESCALA]],tabE.Flux[COMP. ESCALA MOT B],tabE.Flux[CARRO],
(_xlfn.XLOOKUP(autocompAlmoco[[#This Row],[COMP ESCALA]],tabE.Flux[COMP. ESCALA MOT A],tabE.Flux[CARRO],"N/E",0,1)),0,1)</f>
        <v>19021</v>
      </c>
      <c r="S257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57" s="127">
        <v>45941</v>
      </c>
      <c r="U257" s="131">
        <f>IF(IFERROR(autocompAlmoco[[#This Row],[CORRESP. CARRO]],"")="NÃO",(IF(tabAlmoco[[#This Row],[MOTORISTA]]=0,"","PASSE?")),autocompAlmoco[[#This Row],[CORRESP. CARRO]])</f>
        <v>19021</v>
      </c>
      <c r="V257" s="126">
        <f>IF(OR(ISERR(autocompAlmoco[[#This Row],[CORRESP HORARIO]]), autocompAlmoco[[#This Row],[CORRESP HORARIO]]&lt;&gt;"NÃO"),autocompAlmoco[[#This Row],[CORRESP HORARIO]],"")</f>
        <v>0.47013888888888888</v>
      </c>
      <c r="W257" s="1" t="s">
        <v>299</v>
      </c>
      <c r="X257" s="1" t="s">
        <v>43</v>
      </c>
      <c r="Y257" s="1">
        <f>IF(tabAlmoco[[#This Row],[MOTORISTA]]="","",COUNTIF(autocompAlmoco[COMP ESCALA ATUAL],autocompAlmoco[[#This Row],[COMP ESCALA ATUAL]]))</f>
        <v>1</v>
      </c>
      <c r="Z257" s="105">
        <f>IF(tabAlmoco[[#This Row],[MOTORISTA]]&lt;&gt;0,15,"")</f>
        <v>15</v>
      </c>
      <c r="AA257" s="131" t="str">
        <f>autocompAlmoco[[#This Row],[CORRESP LINHA]]</f>
        <v>GOIANIA (GO) X SAO LUIS (MA)</v>
      </c>
    </row>
    <row r="258" spans="3:27" ht="15" customHeight="1" x14ac:dyDescent="0.25">
      <c r="C258" s="157" t="s">
        <v>226</v>
      </c>
      <c r="D258" s="56" t="str">
        <f>IF(tabAlmoco[[#This Row],[MOTORISTA]]="","",_xlfn.CONCAT(tabAlmoco[[#This Row],[DATA]],"+",tabAlmoco[[#This Row],[MOTORISTA]]))</f>
        <v>45941+PEDRO PAULO DO NASCIMENTO DO CARMO - 2559</v>
      </c>
      <c r="E258" s="56" t="str">
        <f>_xlfn.XLOOKUP(autocompAlmoco[[#This Row],[COMP ESCALA ATUAL]],tabE.Flux[COMP.AT. MOT A],tabE.Flux[LINHA],"NÃO",0,1)</f>
        <v>NÃO</v>
      </c>
      <c r="F258" s="56" t="str">
        <f>_xlfn.XLOOKUP(autocompAlmoco[[#This Row],[COMP ESCALA ATUAL]],tabE.Flux[COMP.AT. MOT B],tabE.Flux[LINHA],"NÃO",0,1)</f>
        <v>GOIANIA (GO) X TERESINA (PI) VIA STI</v>
      </c>
      <c r="G258" s="61" t="str">
        <f>IF(AND(autocompAlmoco[[#This Row],[EXISTE MOT A AT]]="NÃO", autocompAlmoco[[#This Row],[EXISTE MOT B AT]]="NÃO"),"NÃO","SIM")</f>
        <v>SIM</v>
      </c>
      <c r="H258" s="57" t="str">
        <f>IF(autocompAlmoco[[#This Row],[EXISTE ESCALA ATUAL]]="NÃO",_xlfn.CONCAT(tabAlmoco[[#This Row],[DATA]]-1,"+",tabAlmoco[[#This Row],[MOTORISTA]]),"NÃO")</f>
        <v>NÃO</v>
      </c>
      <c r="I258" s="57" t="str">
        <f>IF(autocompAlmoco[[#This Row],[COMP ESCALA ANTERIOR]]="NÃO","NÃO",_xlfn.XLOOKUP(autocompAlmoco[[#This Row],[COMP ESCALA ANTERIOR]],tabE.Flux[COMP.AT. MOT A],tabE.Flux[LINHA],"NÃO",0,1))</f>
        <v>NÃO</v>
      </c>
      <c r="J258" s="58" t="str">
        <f>IF(autocompAlmoco[[#This Row],[COMP ESCALA ANTERIOR]]="NÃO","NÃO",_xlfn.XLOOKUP(autocompAlmoco[[#This Row],[COMP ESCALA ANTERIOR]],tabE.Flux[COMP.AT. MOT B],tabE.Flux[LINHA],"NÃO",0,1))</f>
        <v>NÃO</v>
      </c>
      <c r="K258" s="62" t="str">
        <f>IF(AND(autocompAlmoco[[#This Row],[EXISTE MOT A ANT]]="NÃO",autocompAlmoco[[#This Row],[EXISTE MOT B ANT]]="NÃO"),"NÃO","SIM")</f>
        <v>NÃO</v>
      </c>
      <c r="L258" s="59" t="str">
        <f t="shared" si="9"/>
        <v>1+</v>
      </c>
      <c r="M258" s="59" t="str">
        <f>IF(autocompAlmoco[[#This Row],[COMP ESCALA POSTERIOR]]="NÃO","NÃO",_xlfn.XLOOKUP(autocompAlmoco[[#This Row],[COMP ESCALA POSTERIOR]],tabE.Flux[COMP.AT. MOT A],tabE.Flux[LINHA],"NÃO",0,1))</f>
        <v>NÃO</v>
      </c>
      <c r="N258" s="59" t="str">
        <f>IF(autocompAlmoco[[#This Row],[COMP ESCALA POSTERIOR]]="NÃO","NÃO",_xlfn.XLOOKUP(autocompAlmoco[[#This Row],[COMP ESCALA POSTERIOR]],tabE.Flux[COMP.AT. MOT B],tabE.Flux[LINHA],"NÃO",0,1))</f>
        <v>NÃO</v>
      </c>
      <c r="O258" s="65" t="str">
        <f>IF(AND(autocompAlmoco[[#This Row],[EXISTE MOT A POS]]="NÃO",autocompAlmoco[[#This Row],[EXISTE MOT B POS]]="NÃO"),"NÃO","SIM")</f>
        <v>NÃO</v>
      </c>
      <c r="P258" s="66" t="str" cm="1">
        <f t="array" ref="P25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58" s="103" t="str" cm="1">
        <f t="array" ref="Q25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45941+PEDRO PAULO DO NASCIMENTO DO CARMO - 2559+GOIANIA (GO) X TERESINA (PI) VIA STI</v>
      </c>
      <c r="R258" s="67">
        <f>_xlfn.XLOOKUP(autocompAlmoco[[#This Row],[COMP ESCALA]],tabE.Flux[COMP. ESCALA MOT B],tabE.Flux[CARRO],
(_xlfn.XLOOKUP(autocompAlmoco[[#This Row],[COMP ESCALA]],tabE.Flux[COMP. ESCALA MOT A],tabE.Flux[CARRO],"N/E",0,1)),0,1)</f>
        <v>19018</v>
      </c>
      <c r="S258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58" s="127">
        <v>45941</v>
      </c>
      <c r="U258" s="131">
        <f>IF(IFERROR(autocompAlmoco[[#This Row],[CORRESP. CARRO]],"")="NÃO",(IF(tabAlmoco[[#This Row],[MOTORISTA]]=0,"","PASSE?")),autocompAlmoco[[#This Row],[CORRESP. CARRO]])</f>
        <v>19018</v>
      </c>
      <c r="V258" s="126">
        <f>IF(OR(ISERR(autocompAlmoco[[#This Row],[CORRESP HORARIO]]), autocompAlmoco[[#This Row],[CORRESP HORARIO]]&lt;&gt;"NÃO"),autocompAlmoco[[#This Row],[CORRESP HORARIO]],"")</f>
        <v>0.79861111111111116</v>
      </c>
      <c r="W258" s="1" t="s">
        <v>299</v>
      </c>
      <c r="X258" s="1" t="s">
        <v>175</v>
      </c>
      <c r="Y258" s="1">
        <f>IF(tabAlmoco[[#This Row],[MOTORISTA]]="","",COUNTIF(autocompAlmoco[COMP ESCALA ATUAL],autocompAlmoco[[#This Row],[COMP ESCALA ATUAL]]))</f>
        <v>1</v>
      </c>
      <c r="Z258" s="105">
        <f>IF(tabAlmoco[[#This Row],[MOTORISTA]]&lt;&gt;0,15,"")</f>
        <v>15</v>
      </c>
      <c r="AA258" s="131" t="str">
        <f>autocompAlmoco[[#This Row],[CORRESP LINHA]]</f>
        <v>GOIANIA (GO) X TERESINA (PI) VIA STI</v>
      </c>
    </row>
    <row r="259" spans="3:27" ht="15" customHeight="1" x14ac:dyDescent="0.25">
      <c r="C259" s="157" t="s">
        <v>226</v>
      </c>
      <c r="D259" s="56" t="str">
        <f>IF(tabAlmoco[[#This Row],[MOTORISTA]]="","",_xlfn.CONCAT(tabAlmoco[[#This Row],[DATA]],"+",tabAlmoco[[#This Row],[MOTORISTA]]))</f>
        <v>45941+EDUARDO SANTOS BEZERRA - 4066</v>
      </c>
      <c r="E259" s="56" t="str">
        <f>_xlfn.XLOOKUP(autocompAlmoco[[#This Row],[COMP ESCALA ATUAL]],tabE.Flux[COMP.AT. MOT A],tabE.Flux[LINHA],"NÃO",0,1)</f>
        <v>NÃO</v>
      </c>
      <c r="F259" s="56" t="str">
        <f>_xlfn.XLOOKUP(autocompAlmoco[[#This Row],[COMP ESCALA ATUAL]],tabE.Flux[COMP.AT. MOT B],tabE.Flux[LINHA],"NÃO",0,1)</f>
        <v>GOIANIA (GO) X SAO LUIS (MA)</v>
      </c>
      <c r="G259" s="61" t="str">
        <f>IF(AND(autocompAlmoco[[#This Row],[EXISTE MOT A AT]]="NÃO", autocompAlmoco[[#This Row],[EXISTE MOT B AT]]="NÃO"),"NÃO","SIM")</f>
        <v>SIM</v>
      </c>
      <c r="H259" s="57" t="str">
        <f>IF(autocompAlmoco[[#This Row],[EXISTE ESCALA ATUAL]]="NÃO",_xlfn.CONCAT(tabAlmoco[[#This Row],[DATA]]-1,"+",tabAlmoco[[#This Row],[MOTORISTA]]),"NÃO")</f>
        <v>NÃO</v>
      </c>
      <c r="I259" s="57" t="str">
        <f>IF(autocompAlmoco[[#This Row],[COMP ESCALA ANTERIOR]]="NÃO","NÃO",_xlfn.XLOOKUP(autocompAlmoco[[#This Row],[COMP ESCALA ANTERIOR]],tabE.Flux[COMP.AT. MOT A],tabE.Flux[LINHA],"NÃO",0,1))</f>
        <v>NÃO</v>
      </c>
      <c r="J259" s="58" t="str">
        <f>IF(autocompAlmoco[[#This Row],[COMP ESCALA ANTERIOR]]="NÃO","NÃO",_xlfn.XLOOKUP(autocompAlmoco[[#This Row],[COMP ESCALA ANTERIOR]],tabE.Flux[COMP.AT. MOT B],tabE.Flux[LINHA],"NÃO",0,1))</f>
        <v>NÃO</v>
      </c>
      <c r="K259" s="62" t="str">
        <f>IF(AND(autocompAlmoco[[#This Row],[EXISTE MOT A ANT]]="NÃO",autocompAlmoco[[#This Row],[EXISTE MOT B ANT]]="NÃO"),"NÃO","SIM")</f>
        <v>NÃO</v>
      </c>
      <c r="L259" s="59" t="str">
        <f t="shared" si="9"/>
        <v>1+</v>
      </c>
      <c r="M259" s="59" t="str">
        <f>IF(autocompAlmoco[[#This Row],[COMP ESCALA POSTERIOR]]="NÃO","NÃO",_xlfn.XLOOKUP(autocompAlmoco[[#This Row],[COMP ESCALA POSTERIOR]],tabE.Flux[COMP.AT. MOT A],tabE.Flux[LINHA],"NÃO",0,1))</f>
        <v>NÃO</v>
      </c>
      <c r="N259" s="59" t="str">
        <f>IF(autocompAlmoco[[#This Row],[COMP ESCALA POSTERIOR]]="NÃO","NÃO",_xlfn.XLOOKUP(autocompAlmoco[[#This Row],[COMP ESCALA POSTERIOR]],tabE.Flux[COMP.AT. MOT B],tabE.Flux[LINHA],"NÃO",0,1))</f>
        <v>NÃO</v>
      </c>
      <c r="O259" s="65" t="str">
        <f>IF(AND(autocompAlmoco[[#This Row],[EXISTE MOT A POS]]="NÃO",autocompAlmoco[[#This Row],[EXISTE MOT B POS]]="NÃO"),"NÃO","SIM")</f>
        <v>NÃO</v>
      </c>
      <c r="P259" s="66" t="str" cm="1">
        <f t="array" ref="P25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59" s="103" t="str" cm="1">
        <f t="array" ref="Q25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45941+EDUARDO SANTOS BEZERRA - 4066+GOIANIA (GO) X SAO LUIS (MA)</v>
      </c>
      <c r="R259" s="67">
        <f>_xlfn.XLOOKUP(autocompAlmoco[[#This Row],[COMP ESCALA]],tabE.Flux[COMP. ESCALA MOT B],tabE.Flux[CARRO],
(_xlfn.XLOOKUP(autocompAlmoco[[#This Row],[COMP ESCALA]],tabE.Flux[COMP. ESCALA MOT A],tabE.Flux[CARRO],"N/E",0,1)),0,1)</f>
        <v>24003</v>
      </c>
      <c r="S259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259" s="127">
        <v>45941</v>
      </c>
      <c r="U259" s="131">
        <f>IF(IFERROR(autocompAlmoco[[#This Row],[CORRESP. CARRO]],"")="NÃO",(IF(tabAlmoco[[#This Row],[MOTORISTA]]=0,"","PASSE?")),autocompAlmoco[[#This Row],[CORRESP. CARRO]])</f>
        <v>24003</v>
      </c>
      <c r="V259" s="126">
        <f>IF(OR(ISERR(autocompAlmoco[[#This Row],[CORRESP HORARIO]]), autocompAlmoco[[#This Row],[CORRESP HORARIO]]&lt;&gt;"NÃO"),autocompAlmoco[[#This Row],[CORRESP HORARIO]],"")</f>
        <v>0.79166666666666663</v>
      </c>
      <c r="W259" s="1" t="s">
        <v>299</v>
      </c>
      <c r="X259" s="1" t="s">
        <v>148</v>
      </c>
      <c r="Y259" s="1">
        <f>IF(tabAlmoco[[#This Row],[MOTORISTA]]="","",COUNTIF(autocompAlmoco[COMP ESCALA ATUAL],autocompAlmoco[[#This Row],[COMP ESCALA ATUAL]]))</f>
        <v>1</v>
      </c>
      <c r="Z259" s="105">
        <f>IF(tabAlmoco[[#This Row],[MOTORISTA]]&lt;&gt;0,15,"")</f>
        <v>15</v>
      </c>
      <c r="AA259" s="131" t="str">
        <f>autocompAlmoco[[#This Row],[CORRESP LINHA]]</f>
        <v>GOIANIA (GO) X SAO LUIS (MA)</v>
      </c>
    </row>
    <row r="260" spans="3:27" ht="15" customHeight="1" x14ac:dyDescent="0.25">
      <c r="C260" s="157" t="s">
        <v>226</v>
      </c>
      <c r="D260" s="56" t="str">
        <f>IF(tabAlmoco[[#This Row],[MOTORISTA]]="","",_xlfn.CONCAT(tabAlmoco[[#This Row],[DATA]],"+",tabAlmoco[[#This Row],[MOTORISTA]]))</f>
        <v>45941+ALTEMAR DO NASCIMENTO LIMA - 6225</v>
      </c>
      <c r="E260" s="56" t="str">
        <f>_xlfn.XLOOKUP(autocompAlmoco[[#This Row],[COMP ESCALA ATUAL]],tabE.Flux[COMP.AT. MOT A],tabE.Flux[LINHA],"NÃO",0,1)</f>
        <v>GOIANIA (GO) X SAO LUIS (MA)</v>
      </c>
      <c r="F260" s="56" t="str">
        <f>_xlfn.XLOOKUP(autocompAlmoco[[#This Row],[COMP ESCALA ATUAL]],tabE.Flux[COMP.AT. MOT B],tabE.Flux[LINHA],"NÃO",0,1)</f>
        <v>GOIANIA (GO) X SAO LUIS (MA)</v>
      </c>
      <c r="G260" s="61" t="str">
        <f>IF(AND(autocompAlmoco[[#This Row],[EXISTE MOT A AT]]="NÃO", autocompAlmoco[[#This Row],[EXISTE MOT B AT]]="NÃO"),"NÃO","SIM")</f>
        <v>SIM</v>
      </c>
      <c r="H260" s="57" t="str">
        <f>IF(autocompAlmoco[[#This Row],[EXISTE ESCALA ATUAL]]="NÃO",_xlfn.CONCAT(tabAlmoco[[#This Row],[DATA]]-1,"+",tabAlmoco[[#This Row],[MOTORISTA]]),"NÃO")</f>
        <v>NÃO</v>
      </c>
      <c r="I260" s="57" t="str">
        <f>IF(autocompAlmoco[[#This Row],[COMP ESCALA ANTERIOR]]="NÃO","NÃO",_xlfn.XLOOKUP(autocompAlmoco[[#This Row],[COMP ESCALA ANTERIOR]],tabE.Flux[COMP.AT. MOT A],tabE.Flux[LINHA],"NÃO",0,1))</f>
        <v>NÃO</v>
      </c>
      <c r="J260" s="58" t="str">
        <f>IF(autocompAlmoco[[#This Row],[COMP ESCALA ANTERIOR]]="NÃO","NÃO",_xlfn.XLOOKUP(autocompAlmoco[[#This Row],[COMP ESCALA ANTERIOR]],tabE.Flux[COMP.AT. MOT B],tabE.Flux[LINHA],"NÃO",0,1))</f>
        <v>NÃO</v>
      </c>
      <c r="K260" s="62" t="str">
        <f>IF(AND(autocompAlmoco[[#This Row],[EXISTE MOT A ANT]]="NÃO",autocompAlmoco[[#This Row],[EXISTE MOT B ANT]]="NÃO"),"NÃO","SIM")</f>
        <v>NÃO</v>
      </c>
      <c r="L260" s="59" t="str">
        <f t="shared" si="9"/>
        <v>1+</v>
      </c>
      <c r="M260" s="59" t="str">
        <f>IF(autocompAlmoco[[#This Row],[COMP ESCALA POSTERIOR]]="NÃO","NÃO",_xlfn.XLOOKUP(autocompAlmoco[[#This Row],[COMP ESCALA POSTERIOR]],tabE.Flux[COMP.AT. MOT A],tabE.Flux[LINHA],"NÃO",0,1))</f>
        <v>NÃO</v>
      </c>
      <c r="N260" s="59" t="str">
        <f>IF(autocompAlmoco[[#This Row],[COMP ESCALA POSTERIOR]]="NÃO","NÃO",_xlfn.XLOOKUP(autocompAlmoco[[#This Row],[COMP ESCALA POSTERIOR]],tabE.Flux[COMP.AT. MOT B],tabE.Flux[LINHA],"NÃO",0,1))</f>
        <v>NÃO</v>
      </c>
      <c r="O260" s="65" t="str">
        <f>IF(AND(autocompAlmoco[[#This Row],[EXISTE MOT A POS]]="NÃO",autocompAlmoco[[#This Row],[EXISTE MOT B POS]]="NÃO"),"NÃO","SIM")</f>
        <v>NÃO</v>
      </c>
      <c r="P260" s="66" t="str" cm="1">
        <f t="array" ref="P26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60" s="103" t="str" cm="1">
        <f t="array" ref="Q26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45941+ALTEMAR DO NASCIMENTO LIMA - 6225+GOIANIA (GO) X SAO LUIS (MA)</v>
      </c>
      <c r="R260" s="67">
        <f>_xlfn.XLOOKUP(autocompAlmoco[[#This Row],[COMP ESCALA]],tabE.Flux[COMP. ESCALA MOT B],tabE.Flux[CARRO],
(_xlfn.XLOOKUP(autocompAlmoco[[#This Row],[COMP ESCALA]],tabE.Flux[COMP. ESCALA MOT A],tabE.Flux[CARRO],"N/E",0,1)),0,1)</f>
        <v>24012</v>
      </c>
      <c r="S260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60" s="127">
        <v>45941</v>
      </c>
      <c r="U260" s="131">
        <f>IF(IFERROR(autocompAlmoco[[#This Row],[CORRESP. CARRO]],"")="NÃO",(IF(tabAlmoco[[#This Row],[MOTORISTA]]=0,"","PASSE?")),autocompAlmoco[[#This Row],[CORRESP. CARRO]])</f>
        <v>24012</v>
      </c>
      <c r="V260" s="126">
        <f>IF(OR(ISERR(autocompAlmoco[[#This Row],[CORRESP HORARIO]]), autocompAlmoco[[#This Row],[CORRESP HORARIO]]&lt;&gt;"NÃO"),autocompAlmoco[[#This Row],[CORRESP HORARIO]],"")</f>
        <v>0.29166666666666669</v>
      </c>
      <c r="W260" s="1" t="s">
        <v>299</v>
      </c>
      <c r="X260" s="1" t="s">
        <v>57</v>
      </c>
      <c r="Y260" s="1">
        <f>IF(tabAlmoco[[#This Row],[MOTORISTA]]="","",COUNTIF(autocompAlmoco[COMP ESCALA ATUAL],autocompAlmoco[[#This Row],[COMP ESCALA ATUAL]]))</f>
        <v>1</v>
      </c>
      <c r="Z260" s="105">
        <f>IF(tabAlmoco[[#This Row],[MOTORISTA]]&lt;&gt;0,15,"")</f>
        <v>15</v>
      </c>
      <c r="AA260" s="131" t="str">
        <f>autocompAlmoco[[#This Row],[CORRESP LINHA]]</f>
        <v>GOIANIA (GO) X SAO LUIS (MA)</v>
      </c>
    </row>
    <row r="261" spans="3:27" ht="15" customHeight="1" x14ac:dyDescent="0.25">
      <c r="C261" s="157" t="s">
        <v>226</v>
      </c>
      <c r="D261" s="56" t="str">
        <f>IF(tabAlmoco[[#This Row],[MOTORISTA]]="","",_xlfn.CONCAT(tabAlmoco[[#This Row],[DATA]],"+",tabAlmoco[[#This Row],[MOTORISTA]]))</f>
        <v>45942+RAIMUNDO COSTA SILVA - 6226</v>
      </c>
      <c r="E261" s="56" t="str">
        <f>_xlfn.XLOOKUP(autocompAlmoco[[#This Row],[COMP ESCALA ATUAL]],tabE.Flux[COMP.AT. MOT A],tabE.Flux[LINHA],"NÃO",0,1)</f>
        <v>NÃO</v>
      </c>
      <c r="F261" s="56" t="str">
        <f>_xlfn.XLOOKUP(autocompAlmoco[[#This Row],[COMP ESCALA ATUAL]],tabE.Flux[COMP.AT. MOT B],tabE.Flux[LINHA],"NÃO",0,1)</f>
        <v>GOIANIA (GO) X SAO LUIS (MA)</v>
      </c>
      <c r="G261" s="61" t="str">
        <f>IF(AND(autocompAlmoco[[#This Row],[EXISTE MOT A AT]]="NÃO", autocompAlmoco[[#This Row],[EXISTE MOT B AT]]="NÃO"),"NÃO","SIM")</f>
        <v>SIM</v>
      </c>
      <c r="H261" s="57" t="str">
        <f>IF(autocompAlmoco[[#This Row],[EXISTE ESCALA ATUAL]]="NÃO",_xlfn.CONCAT(tabAlmoco[[#This Row],[DATA]]-1,"+",tabAlmoco[[#This Row],[MOTORISTA]]),"NÃO")</f>
        <v>NÃO</v>
      </c>
      <c r="I261" s="57" t="str">
        <f>IF(autocompAlmoco[[#This Row],[COMP ESCALA ANTERIOR]]="NÃO","NÃO",_xlfn.XLOOKUP(autocompAlmoco[[#This Row],[COMP ESCALA ANTERIOR]],tabE.Flux[COMP.AT. MOT A],tabE.Flux[LINHA],"NÃO",0,1))</f>
        <v>NÃO</v>
      </c>
      <c r="J261" s="58" t="str">
        <f>IF(autocompAlmoco[[#This Row],[COMP ESCALA ANTERIOR]]="NÃO","NÃO",_xlfn.XLOOKUP(autocompAlmoco[[#This Row],[COMP ESCALA ANTERIOR]],tabE.Flux[COMP.AT. MOT B],tabE.Flux[LINHA],"NÃO",0,1))</f>
        <v>NÃO</v>
      </c>
      <c r="K261" s="62" t="str">
        <f>IF(AND(autocompAlmoco[[#This Row],[EXISTE MOT A ANT]]="NÃO",autocompAlmoco[[#This Row],[EXISTE MOT B ANT]]="NÃO"),"NÃO","SIM")</f>
        <v>NÃO</v>
      </c>
      <c r="L261" s="59" t="str">
        <f t="shared" si="9"/>
        <v>1+</v>
      </c>
      <c r="M261" s="59" t="str">
        <f>IF(autocompAlmoco[[#This Row],[COMP ESCALA POSTERIOR]]="NÃO","NÃO",_xlfn.XLOOKUP(autocompAlmoco[[#This Row],[COMP ESCALA POSTERIOR]],tabE.Flux[COMP.AT. MOT A],tabE.Flux[LINHA],"NÃO",0,1))</f>
        <v>NÃO</v>
      </c>
      <c r="N261" s="59" t="str">
        <f>IF(autocompAlmoco[[#This Row],[COMP ESCALA POSTERIOR]]="NÃO","NÃO",_xlfn.XLOOKUP(autocompAlmoco[[#This Row],[COMP ESCALA POSTERIOR]],tabE.Flux[COMP.AT. MOT B],tabE.Flux[LINHA],"NÃO",0,1))</f>
        <v>NÃO</v>
      </c>
      <c r="O261" s="65" t="str">
        <f>IF(AND(autocompAlmoco[[#This Row],[EXISTE MOT A POS]]="NÃO",autocompAlmoco[[#This Row],[EXISTE MOT B POS]]="NÃO"),"NÃO","SIM")</f>
        <v>NÃO</v>
      </c>
      <c r="P261" s="66" t="str" cm="1">
        <f t="array" ref="P26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61" s="103" t="str" cm="1">
        <f t="array" ref="Q26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45942+RAIMUNDO COSTA SILVA - 6226+GOIANIA (GO) X SAO LUIS (MA)</v>
      </c>
      <c r="R261" s="67">
        <f>_xlfn.XLOOKUP(autocompAlmoco[[#This Row],[COMP ESCALA]],tabE.Flux[COMP. ESCALA MOT B],tabE.Flux[CARRO],
(_xlfn.XLOOKUP(autocompAlmoco[[#This Row],[COMP ESCALA]],tabE.Flux[COMP. ESCALA MOT A],tabE.Flux[CARRO],"N/E",0,1)),0,1)</f>
        <v>24016</v>
      </c>
      <c r="S261" s="130">
        <f>_xlfn.XLOOKUP(autocompAlmoco[[#This Row],[COMP ESCALA]],tabE.Flux[COMP. ESCALA MOT A],tabE.Flux[HORARIO],(_xlfn.XLOOKUP(autocompAlmoco[[#This Row],[COMP ESCALA]],tabE.Flux[COMP. ESCALA MOT B],tabE.Flux[HORARIO],"N/E",0,1)),0,1)</f>
        <v>0.84375</v>
      </c>
      <c r="T261" s="127">
        <v>45942</v>
      </c>
      <c r="U261" s="4">
        <f>IF(IFERROR(autocompAlmoco[[#This Row],[CORRESP. CARRO]],"")="NÃO",(IF(tabAlmoco[[#This Row],[MOTORISTA]]=0,"","PASSE?")),autocompAlmoco[[#This Row],[CORRESP. CARRO]])</f>
        <v>24016</v>
      </c>
      <c r="V261" s="128">
        <f>IF(OR(ISERR(autocompAlmoco[[#This Row],[CORRESP HORARIO]]), autocompAlmoco[[#This Row],[CORRESP HORARIO]]&lt;&gt;"NÃO"),autocompAlmoco[[#This Row],[CORRESP HORARIO]],"")</f>
        <v>0.84375</v>
      </c>
      <c r="W261" s="4" t="s">
        <v>299</v>
      </c>
      <c r="X261" s="4" t="s">
        <v>45</v>
      </c>
      <c r="Y261" s="4">
        <f>IF(tabAlmoco[[#This Row],[MOTORISTA]]="","",COUNTIF(autocompAlmoco[COMP ESCALA ATUAL],autocompAlmoco[[#This Row],[COMP ESCALA ATUAL]]))</f>
        <v>1</v>
      </c>
      <c r="Z261" s="45">
        <f>IF(tabAlmoco[[#This Row],[MOTORISTA]]&lt;&gt;0,15,"")</f>
        <v>15</v>
      </c>
      <c r="AA261" s="4" t="str">
        <f>autocompAlmoco[[#This Row],[CORRESP LINHA]]</f>
        <v>GOIANIA (GO) X SAO LUIS (MA)</v>
      </c>
    </row>
    <row r="262" spans="3:27" ht="15" customHeight="1" x14ac:dyDescent="0.25">
      <c r="C262" s="157" t="s">
        <v>226</v>
      </c>
      <c r="D262" s="56" t="str">
        <f>IF(tabAlmoco[[#This Row],[MOTORISTA]]="","",_xlfn.CONCAT(tabAlmoco[[#This Row],[DATA]],"+",tabAlmoco[[#This Row],[MOTORISTA]]))</f>
        <v>45942+JAME DOS SANTOS MOURA - 5332</v>
      </c>
      <c r="E262" s="56" t="str">
        <f>_xlfn.XLOOKUP(autocompAlmoco[[#This Row],[COMP ESCALA ATUAL]],tabE.Flux[COMP.AT. MOT A],tabE.Flux[LINHA],"NÃO",0,1)</f>
        <v>NÃO</v>
      </c>
      <c r="F262" s="56" t="str">
        <f>_xlfn.XLOOKUP(autocompAlmoco[[#This Row],[COMP ESCALA ATUAL]],tabE.Flux[COMP.AT. MOT B],tabE.Flux[LINHA],"NÃO",0,1)</f>
        <v>NÃO</v>
      </c>
      <c r="G262" s="61" t="str">
        <f>IF(AND(autocompAlmoco[[#This Row],[EXISTE MOT A AT]]="NÃO", autocompAlmoco[[#This Row],[EXISTE MOT B AT]]="NÃO"),"NÃO","SIM")</f>
        <v>NÃO</v>
      </c>
      <c r="H262" s="57" t="str">
        <f>IF(autocompAlmoco[[#This Row],[EXISTE ESCALA ATUAL]]="NÃO",_xlfn.CONCAT(tabAlmoco[[#This Row],[DATA]]-1,"+",tabAlmoco[[#This Row],[MOTORISTA]]),"NÃO")</f>
        <v>45941+JAME DOS SANTOS MOURA - 5332</v>
      </c>
      <c r="I262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62" s="58" t="str">
        <f>IF(autocompAlmoco[[#This Row],[COMP ESCALA ANTERIOR]]="NÃO","NÃO",_xlfn.XLOOKUP(autocompAlmoco[[#This Row],[COMP ESCALA ANTERIOR]],tabE.Flux[COMP.AT. MOT B],tabE.Flux[LINHA],"NÃO",0,1))</f>
        <v>NÃO</v>
      </c>
      <c r="K262" s="62" t="str">
        <f>IF(AND(autocompAlmoco[[#This Row],[EXISTE MOT A ANT]]="NÃO",autocompAlmoco[[#This Row],[EXISTE MOT B ANT]]="NÃO"),"NÃO","SIM")</f>
        <v>SIM</v>
      </c>
      <c r="L262" s="59" t="str">
        <f t="shared" si="9"/>
        <v>1+</v>
      </c>
      <c r="M262" s="59" t="str">
        <f>IF(autocompAlmoco[[#This Row],[COMP ESCALA POSTERIOR]]="NÃO","NÃO",_xlfn.XLOOKUP(autocompAlmoco[[#This Row],[COMP ESCALA POSTERIOR]],tabE.Flux[COMP.AT. MOT A],tabE.Flux[LINHA],"NÃO",0,1))</f>
        <v>NÃO</v>
      </c>
      <c r="N262" s="59" t="str">
        <f>IF(autocompAlmoco[[#This Row],[COMP ESCALA POSTERIOR]]="NÃO","NÃO",_xlfn.XLOOKUP(autocompAlmoco[[#This Row],[COMP ESCALA POSTERIOR]],tabE.Flux[COMP.AT. MOT B],tabE.Flux[LINHA],"NÃO",0,1))</f>
        <v>NÃO</v>
      </c>
      <c r="O262" s="65" t="str">
        <f>IF(AND(autocompAlmoco[[#This Row],[EXISTE MOT A POS]]="NÃO",autocompAlmoco[[#This Row],[EXISTE MOT B POS]]="NÃO"),"NÃO","SIM")</f>
        <v>NÃO</v>
      </c>
      <c r="P262" s="66" t="str" cm="1">
        <f t="array" ref="P26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62" s="103" t="str" cm="1">
        <f t="array" ref="Q26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45941+JAME DOS SANTOS MOURA - 5332+GOIANIA (GO) X TERESINA (PI) VIA STI</v>
      </c>
      <c r="R262" s="67">
        <f>_xlfn.XLOOKUP(autocompAlmoco[[#This Row],[COMP ESCALA]],tabE.Flux[COMP. ESCALA MOT B],tabE.Flux[CARRO],
(_xlfn.XLOOKUP(autocompAlmoco[[#This Row],[COMP ESCALA]],tabE.Flux[COMP. ESCALA MOT A],tabE.Flux[CARRO],"N/E",0,1)),0,1)</f>
        <v>19018</v>
      </c>
      <c r="S262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62" s="127">
        <v>45942</v>
      </c>
      <c r="U262" s="4">
        <f>IF(IFERROR(autocompAlmoco[[#This Row],[CORRESP. CARRO]],"")="NÃO",(IF(tabAlmoco[[#This Row],[MOTORISTA]]=0,"","PASSE?")),autocompAlmoco[[#This Row],[CORRESP. CARRO]])</f>
        <v>19018</v>
      </c>
      <c r="V262" s="126">
        <f>IF(OR(ISERR(autocompAlmoco[[#This Row],[CORRESP HORARIO]]), autocompAlmoco[[#This Row],[CORRESP HORARIO]]&lt;&gt;"NÃO"),autocompAlmoco[[#This Row],[CORRESP HORARIO]],"")</f>
        <v>0.79861111111111116</v>
      </c>
      <c r="W262" s="1" t="s">
        <v>299</v>
      </c>
      <c r="X262" s="1" t="s">
        <v>103</v>
      </c>
      <c r="Y262" s="1">
        <f>IF(tabAlmoco[[#This Row],[MOTORISTA]]="","",COUNTIF(autocompAlmoco[COMP ESCALA ATUAL],autocompAlmoco[[#This Row],[COMP ESCALA ATUAL]]))</f>
        <v>1</v>
      </c>
      <c r="Z262" s="105">
        <f>IF(tabAlmoco[[#This Row],[MOTORISTA]]&lt;&gt;0,15,"")</f>
        <v>15</v>
      </c>
      <c r="AA262" s="4" t="str">
        <f>autocompAlmoco[[#This Row],[CORRESP LINHA]]</f>
        <v>GOIANIA (GO) X TERESINA (PI) VIA STI</v>
      </c>
    </row>
    <row r="263" spans="3:27" ht="15" customHeight="1" x14ac:dyDescent="0.25">
      <c r="C263" s="157" t="s">
        <v>226</v>
      </c>
      <c r="D263" s="56" t="str">
        <f>IF(tabAlmoco[[#This Row],[MOTORISTA]]="","",_xlfn.CONCAT(tabAlmoco[[#This Row],[DATA]],"+",tabAlmoco[[#This Row],[MOTORISTA]]))</f>
        <v>45942+KAYLSON KLEYTON DA SILVA COSTA - 6224</v>
      </c>
      <c r="E263" s="56" t="str">
        <f>_xlfn.XLOOKUP(autocompAlmoco[[#This Row],[COMP ESCALA ATUAL]],tabE.Flux[COMP.AT. MOT A],tabE.Flux[LINHA],"NÃO",0,1)</f>
        <v>NÃO</v>
      </c>
      <c r="F263" s="56" t="str">
        <f>_xlfn.XLOOKUP(autocompAlmoco[[#This Row],[COMP ESCALA ATUAL]],tabE.Flux[COMP.AT. MOT B],tabE.Flux[LINHA],"NÃO",0,1)</f>
        <v>GOIANIA (GO) X SAO LUIS (MA)</v>
      </c>
      <c r="G263" s="61" t="str">
        <f>IF(AND(autocompAlmoco[[#This Row],[EXISTE MOT A AT]]="NÃO", autocompAlmoco[[#This Row],[EXISTE MOT B AT]]="NÃO"),"NÃO","SIM")</f>
        <v>SIM</v>
      </c>
      <c r="H263" s="57" t="str">
        <f>IF(autocompAlmoco[[#This Row],[EXISTE ESCALA ATUAL]]="NÃO",_xlfn.CONCAT(tabAlmoco[[#This Row],[DATA]]-1,"+",tabAlmoco[[#This Row],[MOTORISTA]]),"NÃO")</f>
        <v>NÃO</v>
      </c>
      <c r="I263" s="57" t="str">
        <f>IF(autocompAlmoco[[#This Row],[COMP ESCALA ANTERIOR]]="NÃO","NÃO",_xlfn.XLOOKUP(autocompAlmoco[[#This Row],[COMP ESCALA ANTERIOR]],tabE.Flux[COMP.AT. MOT A],tabE.Flux[LINHA],"NÃO",0,1))</f>
        <v>NÃO</v>
      </c>
      <c r="J263" s="58" t="str">
        <f>IF(autocompAlmoco[[#This Row],[COMP ESCALA ANTERIOR]]="NÃO","NÃO",_xlfn.XLOOKUP(autocompAlmoco[[#This Row],[COMP ESCALA ANTERIOR]],tabE.Flux[COMP.AT. MOT B],tabE.Flux[LINHA],"NÃO",0,1))</f>
        <v>NÃO</v>
      </c>
      <c r="K263" s="62" t="str">
        <f>IF(AND(autocompAlmoco[[#This Row],[EXISTE MOT A ANT]]="NÃO",autocompAlmoco[[#This Row],[EXISTE MOT B ANT]]="NÃO"),"NÃO","SIM")</f>
        <v>NÃO</v>
      </c>
      <c r="L263" s="59" t="str">
        <f t="shared" si="9"/>
        <v>1+</v>
      </c>
      <c r="M263" s="59" t="str">
        <f>IF(autocompAlmoco[[#This Row],[COMP ESCALA POSTERIOR]]="NÃO","NÃO",_xlfn.XLOOKUP(autocompAlmoco[[#This Row],[COMP ESCALA POSTERIOR]],tabE.Flux[COMP.AT. MOT A],tabE.Flux[LINHA],"NÃO",0,1))</f>
        <v>NÃO</v>
      </c>
      <c r="N263" s="59" t="str">
        <f>IF(autocompAlmoco[[#This Row],[COMP ESCALA POSTERIOR]]="NÃO","NÃO",_xlfn.XLOOKUP(autocompAlmoco[[#This Row],[COMP ESCALA POSTERIOR]],tabE.Flux[COMP.AT. MOT B],tabE.Flux[LINHA],"NÃO",0,1))</f>
        <v>NÃO</v>
      </c>
      <c r="O263" s="65" t="str">
        <f>IF(AND(autocompAlmoco[[#This Row],[EXISTE MOT A POS]]="NÃO",autocompAlmoco[[#This Row],[EXISTE MOT B POS]]="NÃO"),"NÃO","SIM")</f>
        <v>NÃO</v>
      </c>
      <c r="P263" s="66" t="str" cm="1">
        <f t="array" ref="P26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63" s="103" t="str" cm="1">
        <f t="array" ref="Q26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45942+KAYLSON KLEYTON DA SILVA COSTA - 6224+GOIANIA (GO) X SAO LUIS (MA)</v>
      </c>
      <c r="R263" s="67">
        <f>_xlfn.XLOOKUP(autocompAlmoco[[#This Row],[COMP ESCALA]],tabE.Flux[COMP. ESCALA MOT B],tabE.Flux[CARRO],
(_xlfn.XLOOKUP(autocompAlmoco[[#This Row],[COMP ESCALA]],tabE.Flux[COMP. ESCALA MOT A],tabE.Flux[CARRO],"N/E",0,1)),0,1)</f>
        <v>19017</v>
      </c>
      <c r="S263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63" s="127">
        <v>45942</v>
      </c>
      <c r="U263" s="131">
        <f>IF(IFERROR(autocompAlmoco[[#This Row],[CORRESP. CARRO]],"")="NÃO",(IF(tabAlmoco[[#This Row],[MOTORISTA]]=0,"","PASSE?")),autocompAlmoco[[#This Row],[CORRESP. CARRO]])</f>
        <v>19017</v>
      </c>
      <c r="V263" s="126">
        <f>IF(OR(ISERR(autocompAlmoco[[#This Row],[CORRESP HORARIO]]), autocompAlmoco[[#This Row],[CORRESP HORARIO]]&lt;&gt;"NÃO"),autocompAlmoco[[#This Row],[CORRESP HORARIO]],"")</f>
        <v>0.47013888888888888</v>
      </c>
      <c r="W263" s="1" t="s">
        <v>299</v>
      </c>
      <c r="X263" s="1" t="s">
        <v>80</v>
      </c>
      <c r="Y263" s="1">
        <f>IF(tabAlmoco[[#This Row],[MOTORISTA]]="","",COUNTIF(autocompAlmoco[COMP ESCALA ATUAL],autocompAlmoco[[#This Row],[COMP ESCALA ATUAL]]))</f>
        <v>1</v>
      </c>
      <c r="Z263" s="105">
        <f>IF(tabAlmoco[[#This Row],[MOTORISTA]]&lt;&gt;0,15,"")</f>
        <v>15</v>
      </c>
      <c r="AA263" s="131" t="str">
        <f>autocompAlmoco[[#This Row],[CORRESP LINHA]]</f>
        <v>GOIANIA (GO) X SAO LUIS (MA)</v>
      </c>
    </row>
    <row r="264" spans="3:27" ht="15" customHeight="1" x14ac:dyDescent="0.25">
      <c r="C264" s="157" t="s">
        <v>226</v>
      </c>
      <c r="D264" s="56" t="str">
        <f>IF(tabAlmoco[[#This Row],[MOTORISTA]]="","",_xlfn.CONCAT(tabAlmoco[[#This Row],[DATA]],"+",tabAlmoco[[#This Row],[MOTORISTA]]))</f>
        <v>45942+FRANCISCO BATISTA DE LIMA - 1827</v>
      </c>
      <c r="E264" s="56" t="str">
        <f>_xlfn.XLOOKUP(autocompAlmoco[[#This Row],[COMP ESCALA ATUAL]],tabE.Flux[COMP.AT. MOT A],tabE.Flux[LINHA],"NÃO",0,1)</f>
        <v>NÃO</v>
      </c>
      <c r="F264" s="56" t="str">
        <f>_xlfn.XLOOKUP(autocompAlmoco[[#This Row],[COMP ESCALA ATUAL]],tabE.Flux[COMP.AT. MOT B],tabE.Flux[LINHA],"NÃO",0,1)</f>
        <v>IMPERATRIZ (MA) X SÃO LUIS (MA)</v>
      </c>
      <c r="G264" s="61" t="str">
        <f>IF(AND(autocompAlmoco[[#This Row],[EXISTE MOT A AT]]="NÃO", autocompAlmoco[[#This Row],[EXISTE MOT B AT]]="NÃO"),"NÃO","SIM")</f>
        <v>SIM</v>
      </c>
      <c r="H264" s="57" t="str">
        <f>IF(autocompAlmoco[[#This Row],[EXISTE ESCALA ATUAL]]="NÃO",_xlfn.CONCAT(tabAlmoco[[#This Row],[DATA]]-1,"+",tabAlmoco[[#This Row],[MOTORISTA]]),"NÃO")</f>
        <v>NÃO</v>
      </c>
      <c r="I264" s="57" t="str">
        <f>IF(autocompAlmoco[[#This Row],[COMP ESCALA ANTERIOR]]="NÃO","NÃO",_xlfn.XLOOKUP(autocompAlmoco[[#This Row],[COMP ESCALA ANTERIOR]],tabE.Flux[COMP.AT. MOT A],tabE.Flux[LINHA],"NÃO",0,1))</f>
        <v>NÃO</v>
      </c>
      <c r="J264" s="58" t="str">
        <f>IF(autocompAlmoco[[#This Row],[COMP ESCALA ANTERIOR]]="NÃO","NÃO",_xlfn.XLOOKUP(autocompAlmoco[[#This Row],[COMP ESCALA ANTERIOR]],tabE.Flux[COMP.AT. MOT B],tabE.Flux[LINHA],"NÃO",0,1))</f>
        <v>NÃO</v>
      </c>
      <c r="K264" s="62" t="str">
        <f>IF(AND(autocompAlmoco[[#This Row],[EXISTE MOT A ANT]]="NÃO",autocompAlmoco[[#This Row],[EXISTE MOT B ANT]]="NÃO"),"NÃO","SIM")</f>
        <v>NÃO</v>
      </c>
      <c r="L264" s="59" t="str">
        <f t="shared" si="9"/>
        <v>1+</v>
      </c>
      <c r="M264" s="59" t="str">
        <f>IF(autocompAlmoco[[#This Row],[COMP ESCALA POSTERIOR]]="NÃO","NÃO",_xlfn.XLOOKUP(autocompAlmoco[[#This Row],[COMP ESCALA POSTERIOR]],tabE.Flux[COMP.AT. MOT A],tabE.Flux[LINHA],"NÃO",0,1))</f>
        <v>NÃO</v>
      </c>
      <c r="N264" s="59" t="str">
        <f>IF(autocompAlmoco[[#This Row],[COMP ESCALA POSTERIOR]]="NÃO","NÃO",_xlfn.XLOOKUP(autocompAlmoco[[#This Row],[COMP ESCALA POSTERIOR]],tabE.Flux[COMP.AT. MOT B],tabE.Flux[LINHA],"NÃO",0,1))</f>
        <v>NÃO</v>
      </c>
      <c r="O264" s="65" t="str">
        <f>IF(AND(autocompAlmoco[[#This Row],[EXISTE MOT A POS]]="NÃO",autocompAlmoco[[#This Row],[EXISTE MOT B POS]]="NÃO"),"NÃO","SIM")</f>
        <v>NÃO</v>
      </c>
      <c r="P264" s="66" t="str" cm="1">
        <f t="array" ref="P26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IMPERATRIZ (MA) X SÃO LUIS (MA)</v>
      </c>
      <c r="Q264" s="103" t="str" cm="1">
        <f t="array" ref="Q26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45942+FRANCISCO BATISTA DE LIMA - 1827+IMPERATRIZ (MA) X SÃO LUIS (MA)</v>
      </c>
      <c r="R264" s="67">
        <f>_xlfn.XLOOKUP(autocompAlmoco[[#This Row],[COMP ESCALA]],tabE.Flux[COMP. ESCALA MOT B],tabE.Flux[CARRO],
(_xlfn.XLOOKUP(autocompAlmoco[[#This Row],[COMP ESCALA]],tabE.Flux[COMP. ESCALA MOT A],tabE.Flux[CARRO],"N/E",0,1)),0,1)</f>
        <v>19002</v>
      </c>
      <c r="S264" s="130">
        <f>_xlfn.XLOOKUP(autocompAlmoco[[#This Row],[COMP ESCALA]],tabE.Flux[COMP. ESCALA MOT A],tabE.Flux[HORARIO],(_xlfn.XLOOKUP(autocompAlmoco[[#This Row],[COMP ESCALA]],tabE.Flux[COMP. ESCALA MOT B],tabE.Flux[HORARIO],"N/E",0,1)),0,1)</f>
        <v>0.79513888888888884</v>
      </c>
      <c r="T264" s="127">
        <v>45942</v>
      </c>
      <c r="U264" s="131">
        <f>IF(IFERROR(autocompAlmoco[[#This Row],[CORRESP. CARRO]],"")="NÃO",(IF(tabAlmoco[[#This Row],[MOTORISTA]]=0,"","PASSE?")),autocompAlmoco[[#This Row],[CORRESP. CARRO]])</f>
        <v>19002</v>
      </c>
      <c r="V264" s="126">
        <f>IF(OR(ISERR(autocompAlmoco[[#This Row],[CORRESP HORARIO]]), autocompAlmoco[[#This Row],[CORRESP HORARIO]]&lt;&gt;"NÃO"),autocompAlmoco[[#This Row],[CORRESP HORARIO]],"")</f>
        <v>0.79513888888888884</v>
      </c>
      <c r="W264" s="1" t="s">
        <v>299</v>
      </c>
      <c r="X264" s="1" t="s">
        <v>128</v>
      </c>
      <c r="Y264" s="1">
        <f>IF(tabAlmoco[[#This Row],[MOTORISTA]]="","",COUNTIF(autocompAlmoco[COMP ESCALA ATUAL],autocompAlmoco[[#This Row],[COMP ESCALA ATUAL]]))</f>
        <v>1</v>
      </c>
      <c r="Z264" s="105">
        <f>IF(tabAlmoco[[#This Row],[MOTORISTA]]&lt;&gt;0,15,"")</f>
        <v>15</v>
      </c>
      <c r="AA264" s="131" t="str">
        <f>autocompAlmoco[[#This Row],[CORRESP LINHA]]</f>
        <v>IMPERATRIZ (MA) X SÃO LUIS (MA)</v>
      </c>
    </row>
    <row r="265" spans="3:27" ht="15" customHeight="1" x14ac:dyDescent="0.25">
      <c r="C265" s="157" t="s">
        <v>226</v>
      </c>
      <c r="D265" s="56" t="str">
        <f>IF(tabAlmoco[[#This Row],[MOTORISTA]]="","",_xlfn.CONCAT(tabAlmoco[[#This Row],[DATA]],"+",tabAlmoco[[#This Row],[MOTORISTA]]))</f>
        <v>45942+REINAN JOSE BORGES SOUSA - 1075</v>
      </c>
      <c r="E265" s="56" t="str">
        <f>_xlfn.XLOOKUP(autocompAlmoco[[#This Row],[COMP ESCALA ATUAL]],tabE.Flux[COMP.AT. MOT A],tabE.Flux[LINHA],"NÃO",0,1)</f>
        <v>NÃO</v>
      </c>
      <c r="F265" s="56" t="str">
        <f>_xlfn.XLOOKUP(autocompAlmoco[[#This Row],[COMP ESCALA ATUAL]],tabE.Flux[COMP.AT. MOT B],tabE.Flux[LINHA],"NÃO",0,1)</f>
        <v>GOIANIA (GO) X SAO LUIS (MA)</v>
      </c>
      <c r="G265" s="61" t="str">
        <f>IF(AND(autocompAlmoco[[#This Row],[EXISTE MOT A AT]]="NÃO", autocompAlmoco[[#This Row],[EXISTE MOT B AT]]="NÃO"),"NÃO","SIM")</f>
        <v>SIM</v>
      </c>
      <c r="H265" s="57" t="str">
        <f>IF(autocompAlmoco[[#This Row],[EXISTE ESCALA ATUAL]]="NÃO",_xlfn.CONCAT(tabAlmoco[[#This Row],[DATA]]-1,"+",tabAlmoco[[#This Row],[MOTORISTA]]),"NÃO")</f>
        <v>NÃO</v>
      </c>
      <c r="I265" s="57" t="str">
        <f>IF(autocompAlmoco[[#This Row],[COMP ESCALA ANTERIOR]]="NÃO","NÃO",_xlfn.XLOOKUP(autocompAlmoco[[#This Row],[COMP ESCALA ANTERIOR]],tabE.Flux[COMP.AT. MOT A],tabE.Flux[LINHA],"NÃO",0,1))</f>
        <v>NÃO</v>
      </c>
      <c r="J265" s="58" t="str">
        <f>IF(autocompAlmoco[[#This Row],[COMP ESCALA ANTERIOR]]="NÃO","NÃO",_xlfn.XLOOKUP(autocompAlmoco[[#This Row],[COMP ESCALA ANTERIOR]],tabE.Flux[COMP.AT. MOT B],tabE.Flux[LINHA],"NÃO",0,1))</f>
        <v>NÃO</v>
      </c>
      <c r="K265" s="62" t="str">
        <f>IF(AND(autocompAlmoco[[#This Row],[EXISTE MOT A ANT]]="NÃO",autocompAlmoco[[#This Row],[EXISTE MOT B ANT]]="NÃO"),"NÃO","SIM")</f>
        <v>NÃO</v>
      </c>
      <c r="L265" s="59" t="str">
        <f t="shared" si="9"/>
        <v>1+</v>
      </c>
      <c r="M265" s="59" t="str">
        <f>IF(autocompAlmoco[[#This Row],[COMP ESCALA POSTERIOR]]="NÃO","NÃO",_xlfn.XLOOKUP(autocompAlmoco[[#This Row],[COMP ESCALA POSTERIOR]],tabE.Flux[COMP.AT. MOT A],tabE.Flux[LINHA],"NÃO",0,1))</f>
        <v>NÃO</v>
      </c>
      <c r="N265" s="59" t="str">
        <f>IF(autocompAlmoco[[#This Row],[COMP ESCALA POSTERIOR]]="NÃO","NÃO",_xlfn.XLOOKUP(autocompAlmoco[[#This Row],[COMP ESCALA POSTERIOR]],tabE.Flux[COMP.AT. MOT B],tabE.Flux[LINHA],"NÃO",0,1))</f>
        <v>NÃO</v>
      </c>
      <c r="O265" s="65" t="str">
        <f>IF(AND(autocompAlmoco[[#This Row],[EXISTE MOT A POS]]="NÃO",autocompAlmoco[[#This Row],[EXISTE MOT B POS]]="NÃO"),"NÃO","SIM")</f>
        <v>NÃO</v>
      </c>
      <c r="P265" s="66" t="str" cm="1">
        <f t="array" ref="P26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65" s="103" t="str" cm="1">
        <f t="array" ref="Q26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45942+REINAN JOSE BORGES SOUSA - 1075+GOIANIA (GO) X SAO LUIS (MA)</v>
      </c>
      <c r="R265" s="67">
        <f>_xlfn.XLOOKUP(autocompAlmoco[[#This Row],[COMP ESCALA]],tabE.Flux[COMP. ESCALA MOT B],tabE.Flux[CARRO],
(_xlfn.XLOOKUP(autocompAlmoco[[#This Row],[COMP ESCALA]],tabE.Flux[COMP. ESCALA MOT A],tabE.Flux[CARRO],"N/E",0,1)),0,1)</f>
        <v>24012</v>
      </c>
      <c r="S265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265" s="127">
        <v>45942</v>
      </c>
      <c r="U265" s="131">
        <f>IF(IFERROR(autocompAlmoco[[#This Row],[CORRESP. CARRO]],"")="NÃO",(IF(tabAlmoco[[#This Row],[MOTORISTA]]=0,"","PASSE?")),autocompAlmoco[[#This Row],[CORRESP. CARRO]])</f>
        <v>24012</v>
      </c>
      <c r="V265" s="126">
        <f>IF(OR(ISERR(autocompAlmoco[[#This Row],[CORRESP HORARIO]]), autocompAlmoco[[#This Row],[CORRESP HORARIO]]&lt;&gt;"NÃO"),autocompAlmoco[[#This Row],[CORRESP HORARIO]],"")</f>
        <v>0.79166666666666663</v>
      </c>
      <c r="W265" s="1" t="s">
        <v>299</v>
      </c>
      <c r="X265" s="1" t="s">
        <v>84</v>
      </c>
      <c r="Y265" s="1">
        <f>IF(tabAlmoco[[#This Row],[MOTORISTA]]="","",COUNTIF(autocompAlmoco[COMP ESCALA ATUAL],autocompAlmoco[[#This Row],[COMP ESCALA ATUAL]]))</f>
        <v>1</v>
      </c>
      <c r="Z265" s="105">
        <f>IF(tabAlmoco[[#This Row],[MOTORISTA]]&lt;&gt;0,15,"")</f>
        <v>15</v>
      </c>
      <c r="AA265" s="131" t="str">
        <f>autocompAlmoco[[#This Row],[CORRESP LINHA]]</f>
        <v>GOIANIA (GO) X SAO LUIS (MA)</v>
      </c>
    </row>
    <row r="266" spans="3:27" ht="15" customHeight="1" x14ac:dyDescent="0.25">
      <c r="C266" s="157" t="s">
        <v>226</v>
      </c>
      <c r="D266" s="56" t="str">
        <f>IF(tabAlmoco[[#This Row],[MOTORISTA]]="","",_xlfn.CONCAT(tabAlmoco[[#This Row],[DATA]],"+",tabAlmoco[[#This Row],[MOTORISTA]]))</f>
        <v>45943+LAUCEANDO DA SILVA ROCHA - 6220</v>
      </c>
      <c r="E266" s="56" t="str">
        <f>_xlfn.XLOOKUP(autocompAlmoco[[#This Row],[COMP ESCALA ATUAL]],tabE.Flux[COMP.AT. MOT A],tabE.Flux[LINHA],"NÃO",0,1)</f>
        <v>NÃO</v>
      </c>
      <c r="F266" s="56" t="str">
        <f>_xlfn.XLOOKUP(autocompAlmoco[[#This Row],[COMP ESCALA ATUAL]],tabE.Flux[COMP.AT. MOT B],tabE.Flux[LINHA],"NÃO",0,1)</f>
        <v>GOIANIA (GO) X SAO LUIS (MA)</v>
      </c>
      <c r="G266" s="61" t="str">
        <f>IF(AND(autocompAlmoco[[#This Row],[EXISTE MOT A AT]]="NÃO", autocompAlmoco[[#This Row],[EXISTE MOT B AT]]="NÃO"),"NÃO","SIM")</f>
        <v>SIM</v>
      </c>
      <c r="H266" s="57" t="str">
        <f>IF(autocompAlmoco[[#This Row],[EXISTE ESCALA ATUAL]]="NÃO",_xlfn.CONCAT(tabAlmoco[[#This Row],[DATA]]-1,"+",tabAlmoco[[#This Row],[MOTORISTA]]),"NÃO")</f>
        <v>NÃO</v>
      </c>
      <c r="I266" s="57" t="str">
        <f>IF(autocompAlmoco[[#This Row],[COMP ESCALA ANTERIOR]]="NÃO","NÃO",_xlfn.XLOOKUP(autocompAlmoco[[#This Row],[COMP ESCALA ANTERIOR]],tabE.Flux[COMP.AT. MOT A],tabE.Flux[LINHA],"NÃO",0,1))</f>
        <v>NÃO</v>
      </c>
      <c r="J266" s="58" t="str">
        <f>IF(autocompAlmoco[[#This Row],[COMP ESCALA ANTERIOR]]="NÃO","NÃO",_xlfn.XLOOKUP(autocompAlmoco[[#This Row],[COMP ESCALA ANTERIOR]],tabE.Flux[COMP.AT. MOT B],tabE.Flux[LINHA],"NÃO",0,1))</f>
        <v>NÃO</v>
      </c>
      <c r="K266" s="62" t="str">
        <f>IF(AND(autocompAlmoco[[#This Row],[EXISTE MOT A ANT]]="NÃO",autocompAlmoco[[#This Row],[EXISTE MOT B ANT]]="NÃO"),"NÃO","SIM")</f>
        <v>NÃO</v>
      </c>
      <c r="L266" s="59" t="str">
        <f t="shared" si="9"/>
        <v>1+</v>
      </c>
      <c r="M266" s="59" t="str">
        <f>IF(autocompAlmoco[[#This Row],[COMP ESCALA POSTERIOR]]="NÃO","NÃO",_xlfn.XLOOKUP(autocompAlmoco[[#This Row],[COMP ESCALA POSTERIOR]],tabE.Flux[COMP.AT. MOT A],tabE.Flux[LINHA],"NÃO",0,1))</f>
        <v>NÃO</v>
      </c>
      <c r="N266" s="59" t="str">
        <f>IF(autocompAlmoco[[#This Row],[COMP ESCALA POSTERIOR]]="NÃO","NÃO",_xlfn.XLOOKUP(autocompAlmoco[[#This Row],[COMP ESCALA POSTERIOR]],tabE.Flux[COMP.AT. MOT B],tabE.Flux[LINHA],"NÃO",0,1))</f>
        <v>NÃO</v>
      </c>
      <c r="O266" s="65" t="str">
        <f>IF(AND(autocompAlmoco[[#This Row],[EXISTE MOT A POS]]="NÃO",autocompAlmoco[[#This Row],[EXISTE MOT B POS]]="NÃO"),"NÃO","SIM")</f>
        <v>NÃO</v>
      </c>
      <c r="P266" s="66" t="str" cm="1">
        <f t="array" ref="P26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66" s="103" t="str" cm="1">
        <f t="array" ref="Q26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45943+LAUCEANDO DA SILVA ROCHA - 6220+GOIANIA (GO) X SAO LUIS (MA)</v>
      </c>
      <c r="R266" s="67">
        <f>_xlfn.XLOOKUP(autocompAlmoco[[#This Row],[COMP ESCALA]],tabE.Flux[COMP. ESCALA MOT B],tabE.Flux[CARRO],
(_xlfn.XLOOKUP(autocompAlmoco[[#This Row],[COMP ESCALA]],tabE.Flux[COMP. ESCALA MOT A],tabE.Flux[CARRO],"N/E",0,1)),0,1)</f>
        <v>19026</v>
      </c>
      <c r="S266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66" s="127">
        <v>45943</v>
      </c>
      <c r="U266" s="4">
        <f>IF(IFERROR(autocompAlmoco[[#This Row],[CORRESP. CARRO]],"")="NÃO",(IF(tabAlmoco[[#This Row],[MOTORISTA]]=0,"","PASSE?")),autocompAlmoco[[#This Row],[CORRESP. CARRO]])</f>
        <v>19026</v>
      </c>
      <c r="V266" s="128">
        <f>IF(OR(ISERR(autocompAlmoco[[#This Row],[CORRESP HORARIO]]), autocompAlmoco[[#This Row],[CORRESP HORARIO]]&lt;&gt;"NÃO"),autocompAlmoco[[#This Row],[CORRESP HORARIO]],"")</f>
        <v>0.47013888888888888</v>
      </c>
      <c r="W266" s="4" t="s">
        <v>299</v>
      </c>
      <c r="X266" s="4" t="s">
        <v>86</v>
      </c>
      <c r="Y266" s="4">
        <f>IF(tabAlmoco[[#This Row],[MOTORISTA]]="","",COUNTIF(autocompAlmoco[COMP ESCALA ATUAL],autocompAlmoco[[#This Row],[COMP ESCALA ATUAL]]))</f>
        <v>1</v>
      </c>
      <c r="Z266" s="45">
        <f>IF(tabAlmoco[[#This Row],[MOTORISTA]]&lt;&gt;0,15,"")</f>
        <v>15</v>
      </c>
      <c r="AA266" s="4" t="str">
        <f>autocompAlmoco[[#This Row],[CORRESP LINHA]]</f>
        <v>GOIANIA (GO) X SAO LUIS (MA)</v>
      </c>
    </row>
    <row r="267" spans="3:27" ht="15" customHeight="1" x14ac:dyDescent="0.25">
      <c r="C267" s="157" t="s">
        <v>226</v>
      </c>
      <c r="D267" s="56" t="str">
        <f>IF(tabAlmoco[[#This Row],[MOTORISTA]]="","",_xlfn.CONCAT(tabAlmoco[[#This Row],[DATA]],"+",tabAlmoco[[#This Row],[MOTORISTA]]))</f>
        <v>45943+  ANTONIO LEONESIO CAMPELO DA SILVA- 5303</v>
      </c>
      <c r="E267" s="56" t="str">
        <f>_xlfn.XLOOKUP(autocompAlmoco[[#This Row],[COMP ESCALA ATUAL]],tabE.Flux[COMP.AT. MOT A],tabE.Flux[LINHA],"NÃO",0,1)</f>
        <v>NÃO</v>
      </c>
      <c r="F267" s="56" t="str">
        <f>_xlfn.XLOOKUP(autocompAlmoco[[#This Row],[COMP ESCALA ATUAL]],tabE.Flux[COMP.AT. MOT B],tabE.Flux[LINHA],"NÃO",0,1)</f>
        <v>NÃO</v>
      </c>
      <c r="G267" s="61" t="str">
        <f>IF(AND(autocompAlmoco[[#This Row],[EXISTE MOT A AT]]="NÃO", autocompAlmoco[[#This Row],[EXISTE MOT B AT]]="NÃO"),"NÃO","SIM")</f>
        <v>NÃO</v>
      </c>
      <c r="H267" s="57" t="str">
        <f>IF(autocompAlmoco[[#This Row],[EXISTE ESCALA ATUAL]]="NÃO",_xlfn.CONCAT(tabAlmoco[[#This Row],[DATA]]-1,"+",tabAlmoco[[#This Row],[MOTORISTA]]),"NÃO")</f>
        <v>45942+  ANTONIO LEONESIO CAMPELO DA SILVA- 5303</v>
      </c>
      <c r="I267" s="57" t="str">
        <f>IF(autocompAlmoco[[#This Row],[COMP ESCALA ANTERIOR]]="NÃO","NÃO",_xlfn.XLOOKUP(autocompAlmoco[[#This Row],[COMP ESCALA ANTERIOR]],tabE.Flux[COMP.AT. MOT A],tabE.Flux[LINHA],"NÃO",0,1))</f>
        <v>NÃO</v>
      </c>
      <c r="J267" s="58" t="str">
        <f>IF(autocompAlmoco[[#This Row],[COMP ESCALA ANTERIOR]]="NÃO","NÃO",_xlfn.XLOOKUP(autocompAlmoco[[#This Row],[COMP ESCALA ANTERIOR]],tabE.Flux[COMP.AT. MOT B],tabE.Flux[LINHA],"NÃO",0,1))</f>
        <v>NÃO</v>
      </c>
      <c r="K267" s="62" t="str">
        <f>IF(AND(autocompAlmoco[[#This Row],[EXISTE MOT A ANT]]="NÃO",autocompAlmoco[[#This Row],[EXISTE MOT B ANT]]="NÃO"),"NÃO","SIM")</f>
        <v>NÃO</v>
      </c>
      <c r="L267" s="59" t="str">
        <f t="shared" si="9"/>
        <v>1+</v>
      </c>
      <c r="M267" s="59" t="str">
        <f>IF(autocompAlmoco[[#This Row],[COMP ESCALA POSTERIOR]]="NÃO","NÃO",_xlfn.XLOOKUP(autocompAlmoco[[#This Row],[COMP ESCALA POSTERIOR]],tabE.Flux[COMP.AT. MOT A],tabE.Flux[LINHA],"NÃO",0,1))</f>
        <v>NÃO</v>
      </c>
      <c r="N267" s="59" t="str">
        <f>IF(autocompAlmoco[[#This Row],[COMP ESCALA POSTERIOR]]="NÃO","NÃO",_xlfn.XLOOKUP(autocompAlmoco[[#This Row],[COMP ESCALA POSTERIOR]],tabE.Flux[COMP.AT. MOT B],tabE.Flux[LINHA],"NÃO",0,1))</f>
        <v>NÃO</v>
      </c>
      <c r="O267" s="65" t="str">
        <f>IF(AND(autocompAlmoco[[#This Row],[EXISTE MOT A POS]]="NÃO",autocompAlmoco[[#This Row],[EXISTE MOT B POS]]="NÃO"),"NÃO","SIM")</f>
        <v>NÃO</v>
      </c>
      <c r="P267" s="66" t="str" cm="1">
        <f t="array" ref="P26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67" s="103" t="str" cm="1">
        <f t="array" ref="Q26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67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67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67" s="127">
        <v>45943</v>
      </c>
      <c r="U267" s="4">
        <v>19022</v>
      </c>
      <c r="V267" s="126">
        <v>0.37708333333333333</v>
      </c>
      <c r="W267" s="1" t="s">
        <v>299</v>
      </c>
      <c r="X267" s="1" t="s">
        <v>313</v>
      </c>
      <c r="Y267" s="1">
        <f>IF(tabAlmoco[[#This Row],[MOTORISTA]]="","",COUNTIF(autocompAlmoco[COMP ESCALA ATUAL],autocompAlmoco[[#This Row],[COMP ESCALA ATUAL]]))</f>
        <v>1</v>
      </c>
      <c r="Z267" s="105">
        <f>IF(tabAlmoco[[#This Row],[MOTORISTA]]&lt;&gt;0,15,"")</f>
        <v>15</v>
      </c>
      <c r="AA267" s="4" t="s">
        <v>32</v>
      </c>
    </row>
    <row r="268" spans="3:27" ht="15" customHeight="1" x14ac:dyDescent="0.25">
      <c r="C268" s="157" t="s">
        <v>226</v>
      </c>
      <c r="D268" s="56" t="str">
        <f>IF(tabAlmoco[[#This Row],[MOTORISTA]]="","",_xlfn.CONCAT(tabAlmoco[[#This Row],[DATA]],"+",tabAlmoco[[#This Row],[MOTORISTA]]))</f>
        <v>45943+ANTONIO FRANCINALDO DE OLIVEIRA MARQUES - 5018</v>
      </c>
      <c r="E268" s="56" t="str">
        <f>_xlfn.XLOOKUP(autocompAlmoco[[#This Row],[COMP ESCALA ATUAL]],tabE.Flux[COMP.AT. MOT A],tabE.Flux[LINHA],"NÃO",0,1)</f>
        <v>NÃO</v>
      </c>
      <c r="F268" s="56" t="str">
        <f>_xlfn.XLOOKUP(autocompAlmoco[[#This Row],[COMP ESCALA ATUAL]],tabE.Flux[COMP.AT. MOT B],tabE.Flux[LINHA],"NÃO",0,1)</f>
        <v>NÃO</v>
      </c>
      <c r="G268" s="61" t="str">
        <f>IF(AND(autocompAlmoco[[#This Row],[EXISTE MOT A AT]]="NÃO", autocompAlmoco[[#This Row],[EXISTE MOT B AT]]="NÃO"),"NÃO","SIM")</f>
        <v>NÃO</v>
      </c>
      <c r="H268" s="57" t="str">
        <f>IF(autocompAlmoco[[#This Row],[EXISTE ESCALA ATUAL]]="NÃO",_xlfn.CONCAT(tabAlmoco[[#This Row],[DATA]]-1,"+",tabAlmoco[[#This Row],[MOTORISTA]]),"NÃO")</f>
        <v>45942+ANTONIO FRANCINALDO DE OLIVEIRA MARQUES - 5018</v>
      </c>
      <c r="I268" s="57" t="str">
        <f>IF(autocompAlmoco[[#This Row],[COMP ESCALA ANTERIOR]]="NÃO","NÃO",_xlfn.XLOOKUP(autocompAlmoco[[#This Row],[COMP ESCALA ANTERIOR]],tabE.Flux[COMP.AT. MOT A],tabE.Flux[LINHA],"NÃO",0,1))</f>
        <v>FORTALEZA (CE) X SINOP (MT)</v>
      </c>
      <c r="J268" s="58" t="str">
        <f>IF(autocompAlmoco[[#This Row],[COMP ESCALA ANTERIOR]]="NÃO","NÃO",_xlfn.XLOOKUP(autocompAlmoco[[#This Row],[COMP ESCALA ANTERIOR]],tabE.Flux[COMP.AT. MOT B],tabE.Flux[LINHA],"NÃO",0,1))</f>
        <v>NÃO</v>
      </c>
      <c r="K268" s="62" t="str">
        <f>IF(AND(autocompAlmoco[[#This Row],[EXISTE MOT A ANT]]="NÃO",autocompAlmoco[[#This Row],[EXISTE MOT B ANT]]="NÃO"),"NÃO","SIM")</f>
        <v>SIM</v>
      </c>
      <c r="L268" s="59" t="str">
        <f t="shared" si="9"/>
        <v>1+</v>
      </c>
      <c r="M268" s="59" t="str">
        <f>IF(autocompAlmoco[[#This Row],[COMP ESCALA POSTERIOR]]="NÃO","NÃO",_xlfn.XLOOKUP(autocompAlmoco[[#This Row],[COMP ESCALA POSTERIOR]],tabE.Flux[COMP.AT. MOT A],tabE.Flux[LINHA],"NÃO",0,1))</f>
        <v>NÃO</v>
      </c>
      <c r="N268" s="59" t="str">
        <f>IF(autocompAlmoco[[#This Row],[COMP ESCALA POSTERIOR]]="NÃO","NÃO",_xlfn.XLOOKUP(autocompAlmoco[[#This Row],[COMP ESCALA POSTERIOR]],tabE.Flux[COMP.AT. MOT B],tabE.Flux[LINHA],"NÃO",0,1))</f>
        <v>NÃO</v>
      </c>
      <c r="O268" s="65" t="str">
        <f>IF(AND(autocompAlmoco[[#This Row],[EXISTE MOT A POS]]="NÃO",autocompAlmoco[[#This Row],[EXISTE MOT B POS]]="NÃO"),"NÃO","SIM")</f>
        <v>NÃO</v>
      </c>
      <c r="P268" s="66" t="str" cm="1">
        <f t="array" ref="P26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268" s="103" t="str" cm="1">
        <f t="array" ref="Q26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45942+ANTONIO FRANCINALDO DE OLIVEIRA MARQUES - 5018+FORTALEZA (CE) X SINOP (MT)</v>
      </c>
      <c r="R268" s="67">
        <f>_xlfn.XLOOKUP(autocompAlmoco[[#This Row],[COMP ESCALA]],tabE.Flux[COMP. ESCALA MOT B],tabE.Flux[CARRO],
(_xlfn.XLOOKUP(autocompAlmoco[[#This Row],[COMP ESCALA]],tabE.Flux[COMP. ESCALA MOT A],tabE.Flux[CARRO],"N/E",0,1)),0,1)</f>
        <v>20013</v>
      </c>
      <c r="S268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268" s="127">
        <v>45943</v>
      </c>
      <c r="U268" s="131">
        <f>IF(IFERROR(autocompAlmoco[[#This Row],[CORRESP. CARRO]],"")="NÃO",(IF(tabAlmoco[[#This Row],[MOTORISTA]]=0,"","PASSE?")),autocompAlmoco[[#This Row],[CORRESP. CARRO]])</f>
        <v>20013</v>
      </c>
      <c r="V268" s="126">
        <f>IF(OR(ISERR(autocompAlmoco[[#This Row],[CORRESP HORARIO]]), autocompAlmoco[[#This Row],[CORRESP HORARIO]]&lt;&gt;"NÃO"),autocompAlmoco[[#This Row],[CORRESP HORARIO]],"")</f>
        <v>0.37708333333333333</v>
      </c>
      <c r="W268" s="1" t="s">
        <v>299</v>
      </c>
      <c r="X268" s="1" t="s">
        <v>233</v>
      </c>
      <c r="Y268" s="1">
        <f>IF(tabAlmoco[[#This Row],[MOTORISTA]]="","",COUNTIF(autocompAlmoco[COMP ESCALA ATUAL],autocompAlmoco[[#This Row],[COMP ESCALA ATUAL]]))</f>
        <v>1</v>
      </c>
      <c r="Z268" s="105">
        <f>IF(tabAlmoco[[#This Row],[MOTORISTA]]&lt;&gt;0,15,"")</f>
        <v>15</v>
      </c>
      <c r="AA268" s="131" t="str">
        <f>autocompAlmoco[[#This Row],[CORRESP LINHA]]</f>
        <v>FORTALEZA (CE) X SINOP (MT)</v>
      </c>
    </row>
    <row r="269" spans="3:27" ht="15" customHeight="1" x14ac:dyDescent="0.25">
      <c r="C269" s="157" t="s">
        <v>226</v>
      </c>
      <c r="D269" s="56" t="str">
        <f>IF(tabAlmoco[[#This Row],[MOTORISTA]]="","",_xlfn.CONCAT(tabAlmoco[[#This Row],[DATA]],"+",tabAlmoco[[#This Row],[MOTORISTA]]))</f>
        <v>45943+LUIZ CARLOS MARIANO SIQUEIRA - 5634</v>
      </c>
      <c r="E269" s="56" t="str">
        <f>_xlfn.XLOOKUP(autocompAlmoco[[#This Row],[COMP ESCALA ATUAL]],tabE.Flux[COMP.AT. MOT A],tabE.Flux[LINHA],"NÃO",0,1)</f>
        <v>NÃO</v>
      </c>
      <c r="F269" s="56" t="str">
        <f>_xlfn.XLOOKUP(autocompAlmoco[[#This Row],[COMP ESCALA ATUAL]],tabE.Flux[COMP.AT. MOT B],tabE.Flux[LINHA],"NÃO",0,1)</f>
        <v>GOIANIA (GO) X SAO LUIS (MA)</v>
      </c>
      <c r="G269" s="61" t="str">
        <f>IF(AND(autocompAlmoco[[#This Row],[EXISTE MOT A AT]]="NÃO", autocompAlmoco[[#This Row],[EXISTE MOT B AT]]="NÃO"),"NÃO","SIM")</f>
        <v>SIM</v>
      </c>
      <c r="H269" s="57" t="str">
        <f>IF(autocompAlmoco[[#This Row],[EXISTE ESCALA ATUAL]]="NÃO",_xlfn.CONCAT(tabAlmoco[[#This Row],[DATA]]-1,"+",tabAlmoco[[#This Row],[MOTORISTA]]),"NÃO")</f>
        <v>NÃO</v>
      </c>
      <c r="I269" s="57" t="str">
        <f>IF(autocompAlmoco[[#This Row],[COMP ESCALA ANTERIOR]]="NÃO","NÃO",_xlfn.XLOOKUP(autocompAlmoco[[#This Row],[COMP ESCALA ANTERIOR]],tabE.Flux[COMP.AT. MOT A],tabE.Flux[LINHA],"NÃO",0,1))</f>
        <v>NÃO</v>
      </c>
      <c r="J269" s="58" t="str">
        <f>IF(autocompAlmoco[[#This Row],[COMP ESCALA ANTERIOR]]="NÃO","NÃO",_xlfn.XLOOKUP(autocompAlmoco[[#This Row],[COMP ESCALA ANTERIOR]],tabE.Flux[COMP.AT. MOT B],tabE.Flux[LINHA],"NÃO",0,1))</f>
        <v>NÃO</v>
      </c>
      <c r="K269" s="62" t="str">
        <f>IF(AND(autocompAlmoco[[#This Row],[EXISTE MOT A ANT]]="NÃO",autocompAlmoco[[#This Row],[EXISTE MOT B ANT]]="NÃO"),"NÃO","SIM")</f>
        <v>NÃO</v>
      </c>
      <c r="L269" s="59" t="str">
        <f t="shared" si="9"/>
        <v>1+</v>
      </c>
      <c r="M269" s="59" t="str">
        <f>IF(autocompAlmoco[[#This Row],[COMP ESCALA POSTERIOR]]="NÃO","NÃO",_xlfn.XLOOKUP(autocompAlmoco[[#This Row],[COMP ESCALA POSTERIOR]],tabE.Flux[COMP.AT. MOT A],tabE.Flux[LINHA],"NÃO",0,1))</f>
        <v>NÃO</v>
      </c>
      <c r="N269" s="59" t="str">
        <f>IF(autocompAlmoco[[#This Row],[COMP ESCALA POSTERIOR]]="NÃO","NÃO",_xlfn.XLOOKUP(autocompAlmoco[[#This Row],[COMP ESCALA POSTERIOR]],tabE.Flux[COMP.AT. MOT B],tabE.Flux[LINHA],"NÃO",0,1))</f>
        <v>NÃO</v>
      </c>
      <c r="O269" s="65" t="str">
        <f>IF(AND(autocompAlmoco[[#This Row],[EXISTE MOT A POS]]="NÃO",autocompAlmoco[[#This Row],[EXISTE MOT B POS]]="NÃO"),"NÃO","SIM")</f>
        <v>NÃO</v>
      </c>
      <c r="P269" s="66" t="str" cm="1">
        <f t="array" ref="P26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69" s="103" t="str" cm="1">
        <f t="array" ref="Q26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45943+LUIZ CARLOS MARIANO SIQUEIRA - 5634+GOIANIA (GO) X SAO LUIS (MA)</v>
      </c>
      <c r="R269" s="67">
        <f>_xlfn.XLOOKUP(autocompAlmoco[[#This Row],[COMP ESCALA]],tabE.Flux[COMP. ESCALA MOT B],tabE.Flux[CARRO],
(_xlfn.XLOOKUP(autocompAlmoco[[#This Row],[COMP ESCALA]],tabE.Flux[COMP. ESCALA MOT A],tabE.Flux[CARRO],"N/E",0,1)),0,1)</f>
        <v>24016</v>
      </c>
      <c r="S269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269" s="127">
        <v>45943</v>
      </c>
      <c r="U269" s="131">
        <f>IF(IFERROR(autocompAlmoco[[#This Row],[CORRESP. CARRO]],"")="NÃO",(IF(tabAlmoco[[#This Row],[MOTORISTA]]=0,"","PASSE?")),autocompAlmoco[[#This Row],[CORRESP. CARRO]])</f>
        <v>24016</v>
      </c>
      <c r="V269" s="126">
        <f>IF(OR(ISERR(autocompAlmoco[[#This Row],[CORRESP HORARIO]]), autocompAlmoco[[#This Row],[CORRESP HORARIO]]&lt;&gt;"NÃO"),autocompAlmoco[[#This Row],[CORRESP HORARIO]],"")</f>
        <v>0.79166666666666663</v>
      </c>
      <c r="W269" s="1" t="s">
        <v>299</v>
      </c>
      <c r="X269" s="1" t="s">
        <v>51</v>
      </c>
      <c r="Y269" s="1">
        <f>IF(tabAlmoco[[#This Row],[MOTORISTA]]="","",COUNTIF(autocompAlmoco[COMP ESCALA ATUAL],autocompAlmoco[[#This Row],[COMP ESCALA ATUAL]]))</f>
        <v>1</v>
      </c>
      <c r="Z269" s="105">
        <f>IF(tabAlmoco[[#This Row],[MOTORISTA]]&lt;&gt;0,15,"")</f>
        <v>15</v>
      </c>
      <c r="AA269" s="131" t="str">
        <f>autocompAlmoco[[#This Row],[CORRESP LINHA]]</f>
        <v>GOIANIA (GO) X SAO LUIS (MA)</v>
      </c>
    </row>
    <row r="270" spans="3:27" ht="15" customHeight="1" x14ac:dyDescent="0.25">
      <c r="C270" s="157" t="s">
        <v>226</v>
      </c>
      <c r="D270" s="56" t="str">
        <f>IF(tabAlmoco[[#This Row],[MOTORISTA]]="","",_xlfn.CONCAT(tabAlmoco[[#This Row],[DATA]],"+",tabAlmoco[[#This Row],[MOTORISTA]]))</f>
        <v>45944+GILDEVAN DE ALMEIDA AGOSTINHO - 1924</v>
      </c>
      <c r="E270" s="56" t="str">
        <f>_xlfn.XLOOKUP(autocompAlmoco[[#This Row],[COMP ESCALA ATUAL]],tabE.Flux[COMP.AT. MOT A],tabE.Flux[LINHA],"NÃO",0,1)</f>
        <v>NÃO</v>
      </c>
      <c r="F270" s="56" t="str">
        <f>_xlfn.XLOOKUP(autocompAlmoco[[#This Row],[COMP ESCALA ATUAL]],tabE.Flux[COMP.AT. MOT B],tabE.Flux[LINHA],"NÃO",0,1)</f>
        <v>NÃO</v>
      </c>
      <c r="G270" s="61" t="str">
        <f>IF(AND(autocompAlmoco[[#This Row],[EXISTE MOT A AT]]="NÃO", autocompAlmoco[[#This Row],[EXISTE MOT B AT]]="NÃO"),"NÃO","SIM")</f>
        <v>NÃO</v>
      </c>
      <c r="H270" s="57" t="str">
        <f>IF(autocompAlmoco[[#This Row],[EXISTE ESCALA ATUAL]]="NÃO",_xlfn.CONCAT(tabAlmoco[[#This Row],[DATA]]-1,"+",tabAlmoco[[#This Row],[MOTORISTA]]),"NÃO")</f>
        <v>45943+GILDEVAN DE ALMEIDA AGOSTINHO - 1924</v>
      </c>
      <c r="I270" s="57" t="str">
        <f>IF(autocompAlmoco[[#This Row],[COMP ESCALA ANTERIOR]]="NÃO","NÃO",_xlfn.XLOOKUP(autocompAlmoco[[#This Row],[COMP ESCALA ANTERIOR]],tabE.Flux[COMP.AT. MOT A],tabE.Flux[LINHA],"NÃO",0,1))</f>
        <v>NÃO</v>
      </c>
      <c r="J270" s="58" t="str">
        <f>IF(autocompAlmoco[[#This Row],[COMP ESCALA ANTERIOR]]="NÃO","NÃO",_xlfn.XLOOKUP(autocompAlmoco[[#This Row],[COMP ESCALA ANTERIOR]],tabE.Flux[COMP.AT. MOT B],tabE.Flux[LINHA],"NÃO",0,1))</f>
        <v>NÃO</v>
      </c>
      <c r="K270" s="62" t="str">
        <f>IF(AND(autocompAlmoco[[#This Row],[EXISTE MOT A ANT]]="NÃO",autocompAlmoco[[#This Row],[EXISTE MOT B ANT]]="NÃO"),"NÃO","SIM")</f>
        <v>NÃO</v>
      </c>
      <c r="L270" s="59" t="str">
        <f t="shared" si="9"/>
        <v>1+</v>
      </c>
      <c r="M270" s="59" t="str">
        <f>IF(autocompAlmoco[[#This Row],[COMP ESCALA POSTERIOR]]="NÃO","NÃO",_xlfn.XLOOKUP(autocompAlmoco[[#This Row],[COMP ESCALA POSTERIOR]],tabE.Flux[COMP.AT. MOT A],tabE.Flux[LINHA],"NÃO",0,1))</f>
        <v>NÃO</v>
      </c>
      <c r="N270" s="59" t="str">
        <f>IF(autocompAlmoco[[#This Row],[COMP ESCALA POSTERIOR]]="NÃO","NÃO",_xlfn.XLOOKUP(autocompAlmoco[[#This Row],[COMP ESCALA POSTERIOR]],tabE.Flux[COMP.AT. MOT B],tabE.Flux[LINHA],"NÃO",0,1))</f>
        <v>NÃO</v>
      </c>
      <c r="O270" s="65" t="str">
        <f>IF(AND(autocompAlmoco[[#This Row],[EXISTE MOT A POS]]="NÃO",autocompAlmoco[[#This Row],[EXISTE MOT B POS]]="NÃO"),"NÃO","SIM")</f>
        <v>NÃO</v>
      </c>
      <c r="P270" s="66" t="str" cm="1">
        <f t="array" ref="P27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70" s="103" t="str" cm="1">
        <f t="array" ref="Q27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70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70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70" s="127">
        <v>45944</v>
      </c>
      <c r="U270" s="131">
        <v>19022</v>
      </c>
      <c r="V270" s="126">
        <v>0.37708333333333333</v>
      </c>
      <c r="W270" s="1" t="s">
        <v>299</v>
      </c>
      <c r="X270" s="1" t="s">
        <v>236</v>
      </c>
      <c r="Y270" s="1">
        <f>IF(tabAlmoco[[#This Row],[MOTORISTA]]="","",COUNTIF(autocompAlmoco[COMP ESCALA ATUAL],autocompAlmoco[[#This Row],[COMP ESCALA ATUAL]]))</f>
        <v>1</v>
      </c>
      <c r="Z270" s="105">
        <f>IF(tabAlmoco[[#This Row],[MOTORISTA]]&lt;&gt;0,15,"")</f>
        <v>15</v>
      </c>
      <c r="AA270" s="131" t="s">
        <v>32</v>
      </c>
    </row>
    <row r="271" spans="3:27" ht="15" customHeight="1" x14ac:dyDescent="0.25">
      <c r="C271" s="157" t="s">
        <v>226</v>
      </c>
      <c r="D271" s="56" t="str">
        <f>IF(tabAlmoco[[#This Row],[MOTORISTA]]="","",_xlfn.CONCAT(tabAlmoco[[#This Row],[DATA]],"+",tabAlmoco[[#This Row],[MOTORISTA]]))</f>
        <v>45944+EUGENIO PEREIRA DOS SANTOS - 1197</v>
      </c>
      <c r="E271" s="56" t="str">
        <f>_xlfn.XLOOKUP(autocompAlmoco[[#This Row],[COMP ESCALA ATUAL]],tabE.Flux[COMP.AT. MOT A],tabE.Flux[LINHA],"NÃO",0,1)</f>
        <v>NÃO</v>
      </c>
      <c r="F271" s="56" t="str">
        <f>_xlfn.XLOOKUP(autocompAlmoco[[#This Row],[COMP ESCALA ATUAL]],tabE.Flux[COMP.AT. MOT B],tabE.Flux[LINHA],"NÃO",0,1)</f>
        <v>GOIANIA (GO) X SAO LUIS (MA)</v>
      </c>
      <c r="G271" s="61" t="str">
        <f>IF(AND(autocompAlmoco[[#This Row],[EXISTE MOT A AT]]="NÃO", autocompAlmoco[[#This Row],[EXISTE MOT B AT]]="NÃO"),"NÃO","SIM")</f>
        <v>SIM</v>
      </c>
      <c r="H271" s="57" t="str">
        <f>IF(autocompAlmoco[[#This Row],[EXISTE ESCALA ATUAL]]="NÃO",_xlfn.CONCAT(tabAlmoco[[#This Row],[DATA]]-1,"+",tabAlmoco[[#This Row],[MOTORISTA]]),"NÃO")</f>
        <v>NÃO</v>
      </c>
      <c r="I271" s="57" t="str">
        <f>IF(autocompAlmoco[[#This Row],[COMP ESCALA ANTERIOR]]="NÃO","NÃO",_xlfn.XLOOKUP(autocompAlmoco[[#This Row],[COMP ESCALA ANTERIOR]],tabE.Flux[COMP.AT. MOT A],tabE.Flux[LINHA],"NÃO",0,1))</f>
        <v>NÃO</v>
      </c>
      <c r="J271" s="58" t="str">
        <f>IF(autocompAlmoco[[#This Row],[COMP ESCALA ANTERIOR]]="NÃO","NÃO",_xlfn.XLOOKUP(autocompAlmoco[[#This Row],[COMP ESCALA ANTERIOR]],tabE.Flux[COMP.AT. MOT B],tabE.Flux[LINHA],"NÃO",0,1))</f>
        <v>NÃO</v>
      </c>
      <c r="K271" s="62" t="str">
        <f>IF(AND(autocompAlmoco[[#This Row],[EXISTE MOT A ANT]]="NÃO",autocompAlmoco[[#This Row],[EXISTE MOT B ANT]]="NÃO"),"NÃO","SIM")</f>
        <v>NÃO</v>
      </c>
      <c r="L271" s="59" t="str">
        <f>_xlfn.CONCAT(T271+1,"+",X271)</f>
        <v>45945+EUGENIO PEREIRA DOS SANTOS - 1197</v>
      </c>
      <c r="M271" s="59" t="str">
        <f>IF(autocompAlmoco[[#This Row],[COMP ESCALA POSTERIOR]]="NÃO","NÃO",_xlfn.XLOOKUP(autocompAlmoco[[#This Row],[COMP ESCALA POSTERIOR]],tabE.Flux[COMP.AT. MOT A],tabE.Flux[LINHA],"NÃO",0,1))</f>
        <v>NÃO</v>
      </c>
      <c r="N271" s="59" t="str">
        <f>IF(autocompAlmoco[[#This Row],[COMP ESCALA POSTERIOR]]="NÃO","NÃO",_xlfn.XLOOKUP(autocompAlmoco[[#This Row],[COMP ESCALA POSTERIOR]],tabE.Flux[COMP.AT. MOT B],tabE.Flux[LINHA],"NÃO",0,1))</f>
        <v>NÃO</v>
      </c>
      <c r="O271" s="65" t="str">
        <f>IF(AND(autocompAlmoco[[#This Row],[EXISTE MOT A POS]]="NÃO",autocompAlmoco[[#This Row],[EXISTE MOT B POS]]="NÃO"),"NÃO","SIM")</f>
        <v>NÃO</v>
      </c>
      <c r="P271" s="66" t="str" cm="1">
        <f t="array" ref="P27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71" s="103" t="str" cm="1">
        <f t="array" ref="Q27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45944+EUGENIO PEREIRA DOS SANTOS - 1197+GOIANIA (GO) X SAO LUIS (MA)</v>
      </c>
      <c r="R271" s="67">
        <f>_xlfn.XLOOKUP(autocompAlmoco[[#This Row],[COMP ESCALA]],tabE.Flux[COMP. ESCALA MOT B],tabE.Flux[CARRO],
(_xlfn.XLOOKUP(autocompAlmoco[[#This Row],[COMP ESCALA]],tabE.Flux[COMP. ESCALA MOT A],tabE.Flux[CARRO],"N/E",0,1)),0,1)</f>
        <v>19021</v>
      </c>
      <c r="S271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71" s="127">
        <v>45944</v>
      </c>
      <c r="U271" s="4">
        <f>IF(IFERROR(autocompAlmoco[[#This Row],[CORRESP. CARRO]],"")="NÃO",(IF(tabAlmoco[[#This Row],[MOTORISTA]]=0,"","PASSE?")),autocompAlmoco[[#This Row],[CORRESP. CARRO]])</f>
        <v>19021</v>
      </c>
      <c r="V271" s="128">
        <f>IF(OR(ISERR(autocompAlmoco[[#This Row],[CORRESP HORARIO]]), autocompAlmoco[[#This Row],[CORRESP HORARIO]]&lt;&gt;"NÃO"),autocompAlmoco[[#This Row],[CORRESP HORARIO]],"")</f>
        <v>0.29166666666666669</v>
      </c>
      <c r="W271" s="4" t="s">
        <v>299</v>
      </c>
      <c r="X271" s="4" t="s">
        <v>264</v>
      </c>
      <c r="Y271" s="4">
        <f>IF(tabAlmoco[[#This Row],[MOTORISTA]]="","",COUNTIF(autocompAlmoco[COMP ESCALA ATUAL],autocompAlmoco[[#This Row],[COMP ESCALA ATUAL]]))</f>
        <v>1</v>
      </c>
      <c r="Z271" s="45">
        <f>IF(tabAlmoco[[#This Row],[MOTORISTA]]&lt;&gt;0,15,"")</f>
        <v>15</v>
      </c>
      <c r="AA271" s="4" t="str">
        <f>autocompAlmoco[[#This Row],[CORRESP LINHA]]</f>
        <v>GOIANIA (GO) X SAO LUIS (MA)</v>
      </c>
    </row>
    <row r="272" spans="3:27" ht="15" customHeight="1" x14ac:dyDescent="0.25">
      <c r="C272" s="157" t="s">
        <v>226</v>
      </c>
      <c r="D272" s="56" t="str">
        <f>IF(tabAlmoco[[#This Row],[MOTORISTA]]="","",_xlfn.CONCAT(tabAlmoco[[#This Row],[DATA]],"+",tabAlmoco[[#This Row],[MOTORISTA]]))</f>
        <v>45944+JOSE HAILTON PEREIRA DOS SANTOS - 6018</v>
      </c>
      <c r="E272" s="56" t="str">
        <f>_xlfn.XLOOKUP(autocompAlmoco[[#This Row],[COMP ESCALA ATUAL]],tabE.Flux[COMP.AT. MOT A],tabE.Flux[LINHA],"NÃO",0,1)</f>
        <v>NÃO</v>
      </c>
      <c r="F272" s="56" t="str">
        <f>_xlfn.XLOOKUP(autocompAlmoco[[#This Row],[COMP ESCALA ATUAL]],tabE.Flux[COMP.AT. MOT B],tabE.Flux[LINHA],"NÃO",0,1)</f>
        <v>NÃO</v>
      </c>
      <c r="G272" s="61" t="str">
        <f>IF(AND(autocompAlmoco[[#This Row],[EXISTE MOT A AT]]="NÃO", autocompAlmoco[[#This Row],[EXISTE MOT B AT]]="NÃO"),"NÃO","SIM")</f>
        <v>NÃO</v>
      </c>
      <c r="H272" s="57" t="str">
        <f>IF(autocompAlmoco[[#This Row],[EXISTE ESCALA ATUAL]]="NÃO",_xlfn.CONCAT(tabAlmoco[[#This Row],[DATA]]-1,"+",tabAlmoco[[#This Row],[MOTORISTA]]),"NÃO")</f>
        <v>45943+JOSE HAILTON PEREIRA DOS SANTOS - 6018</v>
      </c>
      <c r="I272" s="57" t="str">
        <f>IF(autocompAlmoco[[#This Row],[COMP ESCALA ANTERIOR]]="NÃO","NÃO",_xlfn.XLOOKUP(autocompAlmoco[[#This Row],[COMP ESCALA ANTERIOR]],tabE.Flux[COMP.AT. MOT A],tabE.Flux[LINHA],"NÃO",0,1))</f>
        <v>NÃO</v>
      </c>
      <c r="J272" s="58" t="str">
        <f>IF(autocompAlmoco[[#This Row],[COMP ESCALA ANTERIOR]]="NÃO","NÃO",_xlfn.XLOOKUP(autocompAlmoco[[#This Row],[COMP ESCALA ANTERIOR]],tabE.Flux[COMP.AT. MOT B],tabE.Flux[LINHA],"NÃO",0,1))</f>
        <v>NÃO</v>
      </c>
      <c r="K272" s="62" t="str">
        <f>IF(AND(autocompAlmoco[[#This Row],[EXISTE MOT A ANT]]="NÃO",autocompAlmoco[[#This Row],[EXISTE MOT B ANT]]="NÃO"),"NÃO","SIM")</f>
        <v>NÃO</v>
      </c>
      <c r="L272" s="59" t="str">
        <f>_xlfn.CONCAT(T275+1,"+",X275)</f>
        <v>45946+LUIS ANTONIO FARIAS RIBEIRO - 2789</v>
      </c>
      <c r="M272" s="59" t="str">
        <f>IF(autocompAlmoco[[#This Row],[COMP ESCALA POSTERIOR]]="NÃO","NÃO",_xlfn.XLOOKUP(autocompAlmoco[[#This Row],[COMP ESCALA POSTERIOR]],tabE.Flux[COMP.AT. MOT A],tabE.Flux[LINHA],"NÃO",0,1))</f>
        <v>NÃO</v>
      </c>
      <c r="N272" s="59" t="str">
        <f>IF(autocompAlmoco[[#This Row],[COMP ESCALA POSTERIOR]]="NÃO","NÃO",_xlfn.XLOOKUP(autocompAlmoco[[#This Row],[COMP ESCALA POSTERIOR]],tabE.Flux[COMP.AT. MOT B],tabE.Flux[LINHA],"NÃO",0,1))</f>
        <v>NÃO</v>
      </c>
      <c r="O272" s="65" t="str">
        <f>IF(AND(autocompAlmoco[[#This Row],[EXISTE MOT A POS]]="NÃO",autocompAlmoco[[#This Row],[EXISTE MOT B POS]]="NÃO"),"NÃO","SIM")</f>
        <v>NÃO</v>
      </c>
      <c r="P272" s="66" t="str" cm="1">
        <f t="array" ref="P27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72" s="103" t="str" cm="1">
        <f t="array" ref="Q27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72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72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72" s="127">
        <v>45944</v>
      </c>
      <c r="U272" s="4">
        <v>24013</v>
      </c>
      <c r="V272" s="126">
        <v>0.84375</v>
      </c>
      <c r="W272" s="1" t="s">
        <v>299</v>
      </c>
      <c r="X272" s="1" t="s">
        <v>141</v>
      </c>
      <c r="Y272" s="1">
        <f>IF(tabAlmoco[[#This Row],[MOTORISTA]]="","",COUNTIF(autocompAlmoco[COMP ESCALA ATUAL],autocompAlmoco[[#This Row],[COMP ESCALA ATUAL]]))</f>
        <v>1</v>
      </c>
      <c r="Z272" s="105">
        <f>IF(tabAlmoco[[#This Row],[MOTORISTA]]&lt;&gt;0,15,"")</f>
        <v>15</v>
      </c>
      <c r="AA272" s="4" t="s">
        <v>23</v>
      </c>
    </row>
    <row r="273" spans="3:27" ht="15" customHeight="1" x14ac:dyDescent="0.25">
      <c r="C273" s="157" t="s">
        <v>226</v>
      </c>
      <c r="D273" s="56" t="str">
        <f>IF(tabAlmoco[[#This Row],[MOTORISTA]]="","",_xlfn.CONCAT(tabAlmoco[[#This Row],[DATA]],"+",tabAlmoco[[#This Row],[MOTORISTA]]))</f>
        <v>45944+ADEMILTON DE OLIVEIRA SILVA - 5559</v>
      </c>
      <c r="E273" s="56" t="str">
        <f>_xlfn.XLOOKUP(autocompAlmoco[[#This Row],[COMP ESCALA ATUAL]],tabE.Flux[COMP.AT. MOT A],tabE.Flux[LINHA],"NÃO",0,1)</f>
        <v>NÃO</v>
      </c>
      <c r="F273" s="56" t="str">
        <f>_xlfn.XLOOKUP(autocompAlmoco[[#This Row],[COMP ESCALA ATUAL]],tabE.Flux[COMP.AT. MOT B],tabE.Flux[LINHA],"NÃO",0,1)</f>
        <v>NÃO</v>
      </c>
      <c r="G273" s="61" t="str">
        <f>IF(AND(autocompAlmoco[[#This Row],[EXISTE MOT A AT]]="NÃO", autocompAlmoco[[#This Row],[EXISTE MOT B AT]]="NÃO"),"NÃO","SIM")</f>
        <v>NÃO</v>
      </c>
      <c r="H273" s="57" t="str">
        <f>IF(autocompAlmoco[[#This Row],[EXISTE ESCALA ATUAL]]="NÃO",_xlfn.CONCAT(tabAlmoco[[#This Row],[DATA]]-1,"+",tabAlmoco[[#This Row],[MOTORISTA]]),"NÃO")</f>
        <v>45943+ADEMILTON DE OLIVEIRA SILVA - 5559</v>
      </c>
      <c r="I273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73" s="58" t="str">
        <f>IF(autocompAlmoco[[#This Row],[COMP ESCALA ANTERIOR]]="NÃO","NÃO",_xlfn.XLOOKUP(autocompAlmoco[[#This Row],[COMP ESCALA ANTERIOR]],tabE.Flux[COMP.AT. MOT B],tabE.Flux[LINHA],"NÃO",0,1))</f>
        <v>NÃO</v>
      </c>
      <c r="K273" s="62" t="str">
        <f>IF(AND(autocompAlmoco[[#This Row],[EXISTE MOT A ANT]]="NÃO",autocompAlmoco[[#This Row],[EXISTE MOT B ANT]]="NÃO"),"NÃO","SIM")</f>
        <v>SIM</v>
      </c>
      <c r="L273" s="59" t="str">
        <f>_xlfn.CONCAT(T280+1,"+",X280)</f>
        <v>1+</v>
      </c>
      <c r="M273" s="59" t="str">
        <f>IF(autocompAlmoco[[#This Row],[COMP ESCALA POSTERIOR]]="NÃO","NÃO",_xlfn.XLOOKUP(autocompAlmoco[[#This Row],[COMP ESCALA POSTERIOR]],tabE.Flux[COMP.AT. MOT A],tabE.Flux[LINHA],"NÃO",0,1))</f>
        <v>NÃO</v>
      </c>
      <c r="N273" s="59" t="str">
        <f>IF(autocompAlmoco[[#This Row],[COMP ESCALA POSTERIOR]]="NÃO","NÃO",_xlfn.XLOOKUP(autocompAlmoco[[#This Row],[COMP ESCALA POSTERIOR]],tabE.Flux[COMP.AT. MOT B],tabE.Flux[LINHA],"NÃO",0,1))</f>
        <v>NÃO</v>
      </c>
      <c r="O273" s="65" t="str">
        <f>IF(AND(autocompAlmoco[[#This Row],[EXISTE MOT A POS]]="NÃO",autocompAlmoco[[#This Row],[EXISTE MOT B POS]]="NÃO"),"NÃO","SIM")</f>
        <v>NÃO</v>
      </c>
      <c r="P273" s="66" t="str" cm="1">
        <f t="array" ref="P27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73" s="103" t="str" cm="1">
        <f t="array" ref="Q27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45943+ADEMILTON DE OLIVEIRA SILVA - 5559+GOIANIA (GO) X TERESINA (PI) VIA STI</v>
      </c>
      <c r="R273" s="67">
        <f>_xlfn.XLOOKUP(autocompAlmoco[[#This Row],[COMP ESCALA]],tabE.Flux[COMP. ESCALA MOT B],tabE.Flux[CARRO],
(_xlfn.XLOOKUP(autocompAlmoco[[#This Row],[COMP ESCALA]],tabE.Flux[COMP. ESCALA MOT A],tabE.Flux[CARRO],"N/E",0,1)),0,1)</f>
        <v>19005</v>
      </c>
      <c r="S273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73" s="127">
        <v>45944</v>
      </c>
      <c r="U273" s="131">
        <f>IF(IFERROR(autocompAlmoco[[#This Row],[CORRESP. CARRO]],"")="NÃO",(IF(tabAlmoco[[#This Row],[MOTORISTA]]=0,"","PASSE?")),autocompAlmoco[[#This Row],[CORRESP. CARRO]])</f>
        <v>19005</v>
      </c>
      <c r="V273" s="126">
        <f>IF(OR(ISERR(autocompAlmoco[[#This Row],[CORRESP HORARIO]]), autocompAlmoco[[#This Row],[CORRESP HORARIO]]&lt;&gt;"NÃO"),autocompAlmoco[[#This Row],[CORRESP HORARIO]],"")</f>
        <v>0.79861111111111116</v>
      </c>
      <c r="W273" s="1" t="s">
        <v>299</v>
      </c>
      <c r="X273" s="1" t="s">
        <v>40</v>
      </c>
      <c r="Y273" s="1">
        <f>IF(tabAlmoco[[#This Row],[MOTORISTA]]="","",COUNTIF(autocompAlmoco[COMP ESCALA ATUAL],autocompAlmoco[[#This Row],[COMP ESCALA ATUAL]]))</f>
        <v>1</v>
      </c>
      <c r="Z273" s="105">
        <f>IF(tabAlmoco[[#This Row],[MOTORISTA]]&lt;&gt;0,15,"")</f>
        <v>15</v>
      </c>
      <c r="AA273" s="131" t="str">
        <f>autocompAlmoco[[#This Row],[CORRESP LINHA]]</f>
        <v>GOIANIA (GO) X TERESINA (PI) VIA STI</v>
      </c>
    </row>
    <row r="274" spans="3:27" ht="15" customHeight="1" x14ac:dyDescent="0.25">
      <c r="C274" s="157" t="s">
        <v>226</v>
      </c>
      <c r="D274" s="56" t="str">
        <f>IF(tabAlmoco[[#This Row],[MOTORISTA]]="","",_xlfn.CONCAT(tabAlmoco[[#This Row],[DATA]],"+",tabAlmoco[[#This Row],[MOTORISTA]]))</f>
        <v>45944+JOAO FLAVIO DE SOUSA SILVA - 5270</v>
      </c>
      <c r="E274" s="56" t="str">
        <f>_xlfn.XLOOKUP(autocompAlmoco[[#This Row],[COMP ESCALA ATUAL]],tabE.Flux[COMP.AT. MOT A],tabE.Flux[LINHA],"NÃO",0,1)</f>
        <v>NÃO</v>
      </c>
      <c r="F274" s="56" t="str">
        <f>_xlfn.XLOOKUP(autocompAlmoco[[#This Row],[COMP ESCALA ATUAL]],tabE.Flux[COMP.AT. MOT B],tabE.Flux[LINHA],"NÃO",0,1)</f>
        <v>FORTALEZA (CE) X SINOP (MT)</v>
      </c>
      <c r="G274" s="61" t="str">
        <f>IF(AND(autocompAlmoco[[#This Row],[EXISTE MOT A AT]]="NÃO", autocompAlmoco[[#This Row],[EXISTE MOT B AT]]="NÃO"),"NÃO","SIM")</f>
        <v>SIM</v>
      </c>
      <c r="H274" s="57" t="str">
        <f>IF(autocompAlmoco[[#This Row],[EXISTE ESCALA ATUAL]]="NÃO",_xlfn.CONCAT(tabAlmoco[[#This Row],[DATA]]-1,"+",tabAlmoco[[#This Row],[MOTORISTA]]),"NÃO")</f>
        <v>NÃO</v>
      </c>
      <c r="I274" s="57" t="str">
        <f>IF(autocompAlmoco[[#This Row],[COMP ESCALA ANTERIOR]]="NÃO","NÃO",_xlfn.XLOOKUP(autocompAlmoco[[#This Row],[COMP ESCALA ANTERIOR]],tabE.Flux[COMP.AT. MOT A],tabE.Flux[LINHA],"NÃO",0,1))</f>
        <v>NÃO</v>
      </c>
      <c r="J274" s="58" t="str">
        <f>IF(autocompAlmoco[[#This Row],[COMP ESCALA ANTERIOR]]="NÃO","NÃO",_xlfn.XLOOKUP(autocompAlmoco[[#This Row],[COMP ESCALA ANTERIOR]],tabE.Flux[COMP.AT. MOT B],tabE.Flux[LINHA],"NÃO",0,1))</f>
        <v>NÃO</v>
      </c>
      <c r="K274" s="62" t="str">
        <f>IF(AND(autocompAlmoco[[#This Row],[EXISTE MOT A ANT]]="NÃO",autocompAlmoco[[#This Row],[EXISTE MOT B ANT]]="NÃO"),"NÃO","SIM")</f>
        <v>NÃO</v>
      </c>
      <c r="L274" s="59" t="str">
        <f t="shared" ref="L274:L284" si="10">_xlfn.CONCAT(T285+1,"+",X285)</f>
        <v>1+</v>
      </c>
      <c r="M274" s="59" t="str">
        <f>IF(autocompAlmoco[[#This Row],[COMP ESCALA POSTERIOR]]="NÃO","NÃO",_xlfn.XLOOKUP(autocompAlmoco[[#This Row],[COMP ESCALA POSTERIOR]],tabE.Flux[COMP.AT. MOT A],tabE.Flux[LINHA],"NÃO",0,1))</f>
        <v>NÃO</v>
      </c>
      <c r="N274" s="59" t="str">
        <f>IF(autocompAlmoco[[#This Row],[COMP ESCALA POSTERIOR]]="NÃO","NÃO",_xlfn.XLOOKUP(autocompAlmoco[[#This Row],[COMP ESCALA POSTERIOR]],tabE.Flux[COMP.AT. MOT B],tabE.Flux[LINHA],"NÃO",0,1))</f>
        <v>NÃO</v>
      </c>
      <c r="O274" s="65" t="str">
        <f>IF(AND(autocompAlmoco[[#This Row],[EXISTE MOT A POS]]="NÃO",autocompAlmoco[[#This Row],[EXISTE MOT B POS]]="NÃO"),"NÃO","SIM")</f>
        <v>NÃO</v>
      </c>
      <c r="P274" s="66" t="str" cm="1">
        <f t="array" ref="P27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FORTALEZA (CE) X SINOP (MT)</v>
      </c>
      <c r="Q274" s="103" t="str" cm="1">
        <f t="array" ref="Q27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45944+JOAO FLAVIO DE SOUSA SILVA - 5270+FORTALEZA (CE) X SINOP (MT)</v>
      </c>
      <c r="R274" s="67">
        <f>_xlfn.XLOOKUP(autocompAlmoco[[#This Row],[COMP ESCALA]],tabE.Flux[COMP. ESCALA MOT B],tabE.Flux[CARRO],
(_xlfn.XLOOKUP(autocompAlmoco[[#This Row],[COMP ESCALA]],tabE.Flux[COMP. ESCALA MOT A],tabE.Flux[CARRO],"N/E",0,1)),0,1)</f>
        <v>20018</v>
      </c>
      <c r="S274" s="130">
        <f>_xlfn.XLOOKUP(autocompAlmoco[[#This Row],[COMP ESCALA]],tabE.Flux[COMP. ESCALA MOT A],tabE.Flux[HORARIO],(_xlfn.XLOOKUP(autocompAlmoco[[#This Row],[COMP ESCALA]],tabE.Flux[COMP. ESCALA MOT B],tabE.Flux[HORARIO],"N/E",0,1)),0,1)</f>
        <v>0.37708333333333333</v>
      </c>
      <c r="T274" s="127">
        <v>45944</v>
      </c>
      <c r="U274" s="131">
        <f>IF(IFERROR(autocompAlmoco[[#This Row],[CORRESP. CARRO]],"")="NÃO",(IF(tabAlmoco[[#This Row],[MOTORISTA]]=0,"","PASSE?")),autocompAlmoco[[#This Row],[CORRESP. CARRO]])</f>
        <v>20018</v>
      </c>
      <c r="V274" s="126">
        <f>IF(OR(ISERR(autocompAlmoco[[#This Row],[CORRESP HORARIO]]), autocompAlmoco[[#This Row],[CORRESP HORARIO]]&lt;&gt;"NÃO"),autocompAlmoco[[#This Row],[CORRESP HORARIO]],"")</f>
        <v>0.37708333333333333</v>
      </c>
      <c r="W274" s="1" t="s">
        <v>299</v>
      </c>
      <c r="X274" s="1" t="s">
        <v>222</v>
      </c>
      <c r="Y274" s="1">
        <f>IF(tabAlmoco[[#This Row],[MOTORISTA]]="","",COUNTIF(autocompAlmoco[COMP ESCALA ATUAL],autocompAlmoco[[#This Row],[COMP ESCALA ATUAL]]))</f>
        <v>1</v>
      </c>
      <c r="Z274" s="105">
        <f>IF(tabAlmoco[[#This Row],[MOTORISTA]]&lt;&gt;0,15,"")</f>
        <v>15</v>
      </c>
      <c r="AA274" s="131" t="str">
        <f>autocompAlmoco[[#This Row],[CORRESP LINHA]]</f>
        <v>FORTALEZA (CE) X SINOP (MT)</v>
      </c>
    </row>
    <row r="275" spans="3:27" ht="15" customHeight="1" x14ac:dyDescent="0.25">
      <c r="C275" s="157" t="s">
        <v>226</v>
      </c>
      <c r="D275" s="56" t="str">
        <f>IF(tabAlmoco[[#This Row],[MOTORISTA]]="","",_xlfn.CONCAT(tabAlmoco[[#This Row],[DATA]],"+",tabAlmoco[[#This Row],[MOTORISTA]]))</f>
        <v>45945+LUIS ANTONIO FARIAS RIBEIRO - 2789</v>
      </c>
      <c r="E275" s="56" t="str">
        <f>_xlfn.XLOOKUP(autocompAlmoco[[#This Row],[COMP ESCALA ATUAL]],tabE.Flux[COMP.AT. MOT A],tabE.Flux[LINHA],"NÃO",0,1)</f>
        <v>NÃO</v>
      </c>
      <c r="F275" s="56" t="str">
        <f>_xlfn.XLOOKUP(autocompAlmoco[[#This Row],[COMP ESCALA ATUAL]],tabE.Flux[COMP.AT. MOT B],tabE.Flux[LINHA],"NÃO",0,1)</f>
        <v>GOIANIA (GO) X SAO LUIS (MA)</v>
      </c>
      <c r="G275" s="61" t="str">
        <f>IF(AND(autocompAlmoco[[#This Row],[EXISTE MOT A AT]]="NÃO", autocompAlmoco[[#This Row],[EXISTE MOT B AT]]="NÃO"),"NÃO","SIM")</f>
        <v>SIM</v>
      </c>
      <c r="H275" s="57" t="str">
        <f>IF(autocompAlmoco[[#This Row],[EXISTE ESCALA ATUAL]]="NÃO",_xlfn.CONCAT(tabAlmoco[[#This Row],[DATA]]-1,"+",tabAlmoco[[#This Row],[MOTORISTA]]),"NÃO")</f>
        <v>NÃO</v>
      </c>
      <c r="I275" s="57" t="str">
        <f>IF(autocompAlmoco[[#This Row],[COMP ESCALA ANTERIOR]]="NÃO","NÃO",_xlfn.XLOOKUP(autocompAlmoco[[#This Row],[COMP ESCALA ANTERIOR]],tabE.Flux[COMP.AT. MOT A],tabE.Flux[LINHA],"NÃO",0,1))</f>
        <v>NÃO</v>
      </c>
      <c r="J275" s="58" t="str">
        <f>IF(autocompAlmoco[[#This Row],[COMP ESCALA ANTERIOR]]="NÃO","NÃO",_xlfn.XLOOKUP(autocompAlmoco[[#This Row],[COMP ESCALA ANTERIOR]],tabE.Flux[COMP.AT. MOT B],tabE.Flux[LINHA],"NÃO",0,1))</f>
        <v>NÃO</v>
      </c>
      <c r="K275" s="62" t="str">
        <f>IF(AND(autocompAlmoco[[#This Row],[EXISTE MOT A ANT]]="NÃO",autocompAlmoco[[#This Row],[EXISTE MOT B ANT]]="NÃO"),"NÃO","SIM")</f>
        <v>NÃO</v>
      </c>
      <c r="L275" s="59" t="str">
        <f t="shared" si="10"/>
        <v>1+</v>
      </c>
      <c r="M275" s="59" t="str">
        <f>IF(autocompAlmoco[[#This Row],[COMP ESCALA POSTERIOR]]="NÃO","NÃO",_xlfn.XLOOKUP(autocompAlmoco[[#This Row],[COMP ESCALA POSTERIOR]],tabE.Flux[COMP.AT. MOT A],tabE.Flux[LINHA],"NÃO",0,1))</f>
        <v>NÃO</v>
      </c>
      <c r="N275" s="59" t="str">
        <f>IF(autocompAlmoco[[#This Row],[COMP ESCALA POSTERIOR]]="NÃO","NÃO",_xlfn.XLOOKUP(autocompAlmoco[[#This Row],[COMP ESCALA POSTERIOR]],tabE.Flux[COMP.AT. MOT B],tabE.Flux[LINHA],"NÃO",0,1))</f>
        <v>NÃO</v>
      </c>
      <c r="O275" s="65" t="str">
        <f>IF(AND(autocompAlmoco[[#This Row],[EXISTE MOT A POS]]="NÃO",autocompAlmoco[[#This Row],[EXISTE MOT B POS]]="NÃO"),"NÃO","SIM")</f>
        <v>NÃO</v>
      </c>
      <c r="P275" s="66" t="str" cm="1">
        <f t="array" ref="P275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75" s="103" t="str" cm="1">
        <f t="array" ref="Q275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45945+LUIS ANTONIO FARIAS RIBEIRO - 2789+GOIANIA (GO) X SAO LUIS (MA)</v>
      </c>
      <c r="R275" s="67">
        <f>_xlfn.XLOOKUP(autocompAlmoco[[#This Row],[COMP ESCALA]],tabE.Flux[COMP. ESCALA MOT B],tabE.Flux[CARRO],
(_xlfn.XLOOKUP(autocompAlmoco[[#This Row],[COMP ESCALA]],tabE.Flux[COMP. ESCALA MOT A],tabE.Flux[CARRO],"N/E",0,1)),0,1)</f>
        <v>19017</v>
      </c>
      <c r="S275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75" s="127">
        <v>45945</v>
      </c>
      <c r="U275" s="4">
        <v>19007</v>
      </c>
      <c r="V275" s="128">
        <f>IF(OR(ISERR(autocompAlmoco[[#This Row],[CORRESP HORARIO]]), autocompAlmoco[[#This Row],[CORRESP HORARIO]]&lt;&gt;"NÃO"),autocompAlmoco[[#This Row],[CORRESP HORARIO]],"")</f>
        <v>0.29166666666666669</v>
      </c>
      <c r="W275" s="4" t="s">
        <v>306</v>
      </c>
      <c r="X275" s="4" t="s">
        <v>124</v>
      </c>
      <c r="Y275" s="4">
        <f>IF(tabAlmoco[[#This Row],[MOTORISTA]]="","",COUNTIF(autocompAlmoco[COMP ESCALA ATUAL],autocompAlmoco[[#This Row],[COMP ESCALA ATUAL]]))</f>
        <v>1</v>
      </c>
      <c r="Z275" s="45">
        <f>IF(tabAlmoco[[#This Row],[MOTORISTA]]&lt;&gt;0,15,"")</f>
        <v>15</v>
      </c>
      <c r="AA275" s="4" t="str">
        <f>autocompAlmoco[[#This Row],[CORRESP LINHA]]</f>
        <v>GOIANIA (GO) X SAO LUIS (MA)</v>
      </c>
    </row>
    <row r="276" spans="3:27" ht="15" customHeight="1" x14ac:dyDescent="0.25">
      <c r="C276" s="157" t="s">
        <v>226</v>
      </c>
      <c r="D276" s="56" t="str">
        <f>IF(tabAlmoco[[#This Row],[MOTORISTA]]="","",_xlfn.CONCAT(tabAlmoco[[#This Row],[DATA]],"+",tabAlmoco[[#This Row],[MOTORISTA]]))</f>
        <v>45945+KAYLSON KLEYTON DA SILVA COSTA - 6224</v>
      </c>
      <c r="E276" s="56" t="str">
        <f>_xlfn.XLOOKUP(autocompAlmoco[[#This Row],[COMP ESCALA ATUAL]],tabE.Flux[COMP.AT. MOT A],tabE.Flux[LINHA],"NÃO",0,1)</f>
        <v>GOIANIA (GO) X SAO LUIS (MA)</v>
      </c>
      <c r="F276" s="56" t="str">
        <f>_xlfn.XLOOKUP(autocompAlmoco[[#This Row],[COMP ESCALA ATUAL]],tabE.Flux[COMP.AT. MOT B],tabE.Flux[LINHA],"NÃO",0,1)</f>
        <v>GOIANIA (GO) X SAO LUIS (MA)</v>
      </c>
      <c r="G276" s="61" t="str">
        <f>IF(AND(autocompAlmoco[[#This Row],[EXISTE MOT A AT]]="NÃO", autocompAlmoco[[#This Row],[EXISTE MOT B AT]]="NÃO"),"NÃO","SIM")</f>
        <v>SIM</v>
      </c>
      <c r="H276" s="57" t="str">
        <f>IF(autocompAlmoco[[#This Row],[EXISTE ESCALA ATUAL]]="NÃO",_xlfn.CONCAT(tabAlmoco[[#This Row],[DATA]]-1,"+",tabAlmoco[[#This Row],[MOTORISTA]]),"NÃO")</f>
        <v>NÃO</v>
      </c>
      <c r="I276" s="57" t="str">
        <f>IF(autocompAlmoco[[#This Row],[COMP ESCALA ANTERIOR]]="NÃO","NÃO",_xlfn.XLOOKUP(autocompAlmoco[[#This Row],[COMP ESCALA ANTERIOR]],tabE.Flux[COMP.AT. MOT A],tabE.Flux[LINHA],"NÃO",0,1))</f>
        <v>NÃO</v>
      </c>
      <c r="J276" s="58" t="str">
        <f>IF(autocompAlmoco[[#This Row],[COMP ESCALA ANTERIOR]]="NÃO","NÃO",_xlfn.XLOOKUP(autocompAlmoco[[#This Row],[COMP ESCALA ANTERIOR]],tabE.Flux[COMP.AT. MOT B],tabE.Flux[LINHA],"NÃO",0,1))</f>
        <v>NÃO</v>
      </c>
      <c r="K276" s="62" t="str">
        <f>IF(AND(autocompAlmoco[[#This Row],[EXISTE MOT A ANT]]="NÃO",autocompAlmoco[[#This Row],[EXISTE MOT B ANT]]="NÃO"),"NÃO","SIM")</f>
        <v>NÃO</v>
      </c>
      <c r="L276" s="59" t="str">
        <f t="shared" si="10"/>
        <v>1+</v>
      </c>
      <c r="M276" s="59" t="str">
        <f>IF(autocompAlmoco[[#This Row],[COMP ESCALA POSTERIOR]]="NÃO","NÃO",_xlfn.XLOOKUP(autocompAlmoco[[#This Row],[COMP ESCALA POSTERIOR]],tabE.Flux[COMP.AT. MOT A],tabE.Flux[LINHA],"NÃO",0,1))</f>
        <v>NÃO</v>
      </c>
      <c r="N276" s="59" t="str">
        <f>IF(autocompAlmoco[[#This Row],[COMP ESCALA POSTERIOR]]="NÃO","NÃO",_xlfn.XLOOKUP(autocompAlmoco[[#This Row],[COMP ESCALA POSTERIOR]],tabE.Flux[COMP.AT. MOT B],tabE.Flux[LINHA],"NÃO",0,1))</f>
        <v>NÃO</v>
      </c>
      <c r="O276" s="65" t="str">
        <f>IF(AND(autocompAlmoco[[#This Row],[EXISTE MOT A POS]]="NÃO",autocompAlmoco[[#This Row],[EXISTE MOT B POS]]="NÃO"),"NÃO","SIM")</f>
        <v>NÃO</v>
      </c>
      <c r="P276" s="66" t="str" cm="1">
        <f t="array" ref="P276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76" s="103" t="str" cm="1">
        <f t="array" ref="Q276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45945+KAYLSON KLEYTON DA SILVA COSTA - 6224+GOIANIA (GO) X SAO LUIS (MA)</v>
      </c>
      <c r="R276" s="67">
        <f>_xlfn.XLOOKUP(autocompAlmoco[[#This Row],[COMP ESCALA]],tabE.Flux[COMP. ESCALA MOT B],tabE.Flux[CARRO],
(_xlfn.XLOOKUP(autocompAlmoco[[#This Row],[COMP ESCALA]],tabE.Flux[COMP. ESCALA MOT A],tabE.Flux[CARRO],"N/E",0,1)),0,1)</f>
        <v>24005</v>
      </c>
      <c r="S276" s="130">
        <f>_xlfn.XLOOKUP(autocompAlmoco[[#This Row],[COMP ESCALA]],tabE.Flux[COMP. ESCALA MOT A],tabE.Flux[HORARIO],(_xlfn.XLOOKUP(autocompAlmoco[[#This Row],[COMP ESCALA]],tabE.Flux[COMP. ESCALA MOT B],tabE.Flux[HORARIO],"N/E",0,1)),0,1)</f>
        <v>0.29166666666666669</v>
      </c>
      <c r="T276" s="127">
        <v>45945</v>
      </c>
      <c r="U276" s="4">
        <v>19017</v>
      </c>
      <c r="V276" s="126">
        <f>IF(OR(ISERR(autocompAlmoco[[#This Row],[CORRESP HORARIO]]), autocompAlmoco[[#This Row],[CORRESP HORARIO]]&lt;&gt;"NÃO"),autocompAlmoco[[#This Row],[CORRESP HORARIO]],"")</f>
        <v>0.29166666666666669</v>
      </c>
      <c r="W276" s="1" t="s">
        <v>299</v>
      </c>
      <c r="X276" s="1" t="s">
        <v>80</v>
      </c>
      <c r="Y276" s="1">
        <f>IF(tabAlmoco[[#This Row],[MOTORISTA]]="","",COUNTIF(autocompAlmoco[COMP ESCALA ATUAL],autocompAlmoco[[#This Row],[COMP ESCALA ATUAL]]))</f>
        <v>1</v>
      </c>
      <c r="Z276" s="105">
        <f>IF(tabAlmoco[[#This Row],[MOTORISTA]]&lt;&gt;0,15,"")</f>
        <v>15</v>
      </c>
      <c r="AA276" s="4" t="str">
        <f>autocompAlmoco[[#This Row],[CORRESP LINHA]]</f>
        <v>GOIANIA (GO) X SAO LUIS (MA)</v>
      </c>
    </row>
    <row r="277" spans="3:27" ht="15" customHeight="1" x14ac:dyDescent="0.25">
      <c r="C277" s="157" t="s">
        <v>226</v>
      </c>
      <c r="D277" s="56" t="str">
        <f>IF(tabAlmoco[[#This Row],[MOTORISTA]]="","",_xlfn.CONCAT(tabAlmoco[[#This Row],[DATA]],"+",tabAlmoco[[#This Row],[MOTORISTA]]))</f>
        <v>45945+JEFFERSON CARDOSO DOS SANTOS - 5837</v>
      </c>
      <c r="E277" s="56" t="str">
        <f>_xlfn.XLOOKUP(autocompAlmoco[[#This Row],[COMP ESCALA ATUAL]],tabE.Flux[COMP.AT. MOT A],tabE.Flux[LINHA],"NÃO",0,1)</f>
        <v>NÃO</v>
      </c>
      <c r="F277" s="56" t="str">
        <f>_xlfn.XLOOKUP(autocompAlmoco[[#This Row],[COMP ESCALA ATUAL]],tabE.Flux[COMP.AT. MOT B],tabE.Flux[LINHA],"NÃO",0,1)</f>
        <v>NÃO</v>
      </c>
      <c r="G277" s="61" t="str">
        <f>IF(AND(autocompAlmoco[[#This Row],[EXISTE MOT A AT]]="NÃO", autocompAlmoco[[#This Row],[EXISTE MOT B AT]]="NÃO"),"NÃO","SIM")</f>
        <v>NÃO</v>
      </c>
      <c r="H277" s="57" t="str">
        <f>IF(autocompAlmoco[[#This Row],[EXISTE ESCALA ATUAL]]="NÃO",_xlfn.CONCAT(tabAlmoco[[#This Row],[DATA]]-1,"+",tabAlmoco[[#This Row],[MOTORISTA]]),"NÃO")</f>
        <v>45944+JEFFERSON CARDOSO DOS SANTOS - 5837</v>
      </c>
      <c r="I277" s="57" t="str">
        <f>IF(autocompAlmoco[[#This Row],[COMP ESCALA ANTERIOR]]="NÃO","NÃO",_xlfn.XLOOKUP(autocompAlmoco[[#This Row],[COMP ESCALA ANTERIOR]],tabE.Flux[COMP.AT. MOT A],tabE.Flux[LINHA],"NÃO",0,1))</f>
        <v>GOIANIA (GO) X TERESINA (PI) VIA STI</v>
      </c>
      <c r="J277" s="58" t="str">
        <f>IF(autocompAlmoco[[#This Row],[COMP ESCALA ANTERIOR]]="NÃO","NÃO",_xlfn.XLOOKUP(autocompAlmoco[[#This Row],[COMP ESCALA ANTERIOR]],tabE.Flux[COMP.AT. MOT B],tabE.Flux[LINHA],"NÃO",0,1))</f>
        <v>NÃO</v>
      </c>
      <c r="K277" s="62" t="str">
        <f>IF(AND(autocompAlmoco[[#This Row],[EXISTE MOT A ANT]]="NÃO",autocompAlmoco[[#This Row],[EXISTE MOT B ANT]]="NÃO"),"NÃO","SIM")</f>
        <v>SIM</v>
      </c>
      <c r="L277" s="59" t="str">
        <f t="shared" si="10"/>
        <v>1+</v>
      </c>
      <c r="M277" s="59" t="str">
        <f>IF(autocompAlmoco[[#This Row],[COMP ESCALA POSTERIOR]]="NÃO","NÃO",_xlfn.XLOOKUP(autocompAlmoco[[#This Row],[COMP ESCALA POSTERIOR]],tabE.Flux[COMP.AT. MOT A],tabE.Flux[LINHA],"NÃO",0,1))</f>
        <v>NÃO</v>
      </c>
      <c r="N277" s="59" t="str">
        <f>IF(autocompAlmoco[[#This Row],[COMP ESCALA POSTERIOR]]="NÃO","NÃO",_xlfn.XLOOKUP(autocompAlmoco[[#This Row],[COMP ESCALA POSTERIOR]],tabE.Flux[COMP.AT. MOT B],tabE.Flux[LINHA],"NÃO",0,1))</f>
        <v>NÃO</v>
      </c>
      <c r="O277" s="65" t="str">
        <f>IF(AND(autocompAlmoco[[#This Row],[EXISTE MOT A POS]]="NÃO",autocompAlmoco[[#This Row],[EXISTE MOT B POS]]="NÃO"),"NÃO","SIM")</f>
        <v>NÃO</v>
      </c>
      <c r="P277" s="66" t="str" cm="1">
        <f t="array" ref="P277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TERESINA (PI) VIA STI</v>
      </c>
      <c r="Q277" s="103" t="str" cm="1">
        <f t="array" ref="Q277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45944+JEFFERSON CARDOSO DOS SANTOS - 5837+GOIANIA (GO) X TERESINA (PI) VIA STI</v>
      </c>
      <c r="R277" s="67">
        <f>_xlfn.XLOOKUP(autocompAlmoco[[#This Row],[COMP ESCALA]],tabE.Flux[COMP. ESCALA MOT B],tabE.Flux[CARRO],
(_xlfn.XLOOKUP(autocompAlmoco[[#This Row],[COMP ESCALA]],tabE.Flux[COMP. ESCALA MOT A],tabE.Flux[CARRO],"N/E",0,1)),0,1)</f>
        <v>19007</v>
      </c>
      <c r="S277" s="130">
        <f>_xlfn.XLOOKUP(autocompAlmoco[[#This Row],[COMP ESCALA]],tabE.Flux[COMP. ESCALA MOT A],tabE.Flux[HORARIO],(_xlfn.XLOOKUP(autocompAlmoco[[#This Row],[COMP ESCALA]],tabE.Flux[COMP. ESCALA MOT B],tabE.Flux[HORARIO],"N/E",0,1)),0,1)</f>
        <v>0.79861111111111116</v>
      </c>
      <c r="T277" s="127">
        <v>45945</v>
      </c>
      <c r="U277" s="131">
        <v>19007</v>
      </c>
      <c r="V277" s="126">
        <f>IF(OR(ISERR(autocompAlmoco[[#This Row],[CORRESP HORARIO]]), autocompAlmoco[[#This Row],[CORRESP HORARIO]]&lt;&gt;"NÃO"),autocompAlmoco[[#This Row],[CORRESP HORARIO]],"")</f>
        <v>0.79861111111111116</v>
      </c>
      <c r="W277" s="1" t="s">
        <v>299</v>
      </c>
      <c r="X277" s="1" t="s">
        <v>30</v>
      </c>
      <c r="Y277" s="1">
        <f>IF(tabAlmoco[[#This Row],[MOTORISTA]]="","",COUNTIF(autocompAlmoco[COMP ESCALA ATUAL],autocompAlmoco[[#This Row],[COMP ESCALA ATUAL]]))</f>
        <v>1</v>
      </c>
      <c r="Z277" s="105">
        <f>IF(tabAlmoco[[#This Row],[MOTORISTA]]&lt;&gt;0,15,"")</f>
        <v>15</v>
      </c>
      <c r="AA277" s="131" t="str">
        <f>autocompAlmoco[[#This Row],[CORRESP LINHA]]</f>
        <v>GOIANIA (GO) X TERESINA (PI) VIA STI</v>
      </c>
    </row>
    <row r="278" spans="3:27" ht="15" customHeight="1" x14ac:dyDescent="0.25">
      <c r="C278" s="157" t="s">
        <v>226</v>
      </c>
      <c r="D278" s="56" t="str">
        <f>IF(tabAlmoco[[#This Row],[MOTORISTA]]="","",_xlfn.CONCAT(tabAlmoco[[#This Row],[DATA]],"+",tabAlmoco[[#This Row],[MOTORISTA]]))</f>
        <v>45945+ALTEMAR DO NASCIMENTO LIMA - 6225</v>
      </c>
      <c r="E278" s="56" t="str">
        <f>_xlfn.XLOOKUP(autocompAlmoco[[#This Row],[COMP ESCALA ATUAL]],tabE.Flux[COMP.AT. MOT A],tabE.Flux[LINHA],"NÃO",0,1)</f>
        <v>NÃO</v>
      </c>
      <c r="F278" s="56" t="str">
        <f>_xlfn.XLOOKUP(autocompAlmoco[[#This Row],[COMP ESCALA ATUAL]],tabE.Flux[COMP.AT. MOT B],tabE.Flux[LINHA],"NÃO",0,1)</f>
        <v>GOIANIA (GO) X SAO LUIS (MA)</v>
      </c>
      <c r="G278" s="61" t="str">
        <f>IF(AND(autocompAlmoco[[#This Row],[EXISTE MOT A AT]]="NÃO", autocompAlmoco[[#This Row],[EXISTE MOT B AT]]="NÃO"),"NÃO","SIM")</f>
        <v>SIM</v>
      </c>
      <c r="H278" s="57" t="str">
        <f>IF(autocompAlmoco[[#This Row],[EXISTE ESCALA ATUAL]]="NÃO",_xlfn.CONCAT(tabAlmoco[[#This Row],[DATA]]-1,"+",tabAlmoco[[#This Row],[MOTORISTA]]),"NÃO")</f>
        <v>NÃO</v>
      </c>
      <c r="I278" s="57" t="str">
        <f>IF(autocompAlmoco[[#This Row],[COMP ESCALA ANTERIOR]]="NÃO","NÃO",_xlfn.XLOOKUP(autocompAlmoco[[#This Row],[COMP ESCALA ANTERIOR]],tabE.Flux[COMP.AT. MOT A],tabE.Flux[LINHA],"NÃO",0,1))</f>
        <v>NÃO</v>
      </c>
      <c r="J278" s="58" t="str">
        <f>IF(autocompAlmoco[[#This Row],[COMP ESCALA ANTERIOR]]="NÃO","NÃO",_xlfn.XLOOKUP(autocompAlmoco[[#This Row],[COMP ESCALA ANTERIOR]],tabE.Flux[COMP.AT. MOT B],tabE.Flux[LINHA],"NÃO",0,1))</f>
        <v>NÃO</v>
      </c>
      <c r="K278" s="62" t="str">
        <f>IF(AND(autocompAlmoco[[#This Row],[EXISTE MOT A ANT]]="NÃO",autocompAlmoco[[#This Row],[EXISTE MOT B ANT]]="NÃO"),"NÃO","SIM")</f>
        <v>NÃO</v>
      </c>
      <c r="L278" s="59" t="str">
        <f t="shared" si="10"/>
        <v>1+</v>
      </c>
      <c r="M278" s="59" t="str">
        <f>IF(autocompAlmoco[[#This Row],[COMP ESCALA POSTERIOR]]="NÃO","NÃO",_xlfn.XLOOKUP(autocompAlmoco[[#This Row],[COMP ESCALA POSTERIOR]],tabE.Flux[COMP.AT. MOT A],tabE.Flux[LINHA],"NÃO",0,1))</f>
        <v>NÃO</v>
      </c>
      <c r="N278" s="59" t="str">
        <f>IF(autocompAlmoco[[#This Row],[COMP ESCALA POSTERIOR]]="NÃO","NÃO",_xlfn.XLOOKUP(autocompAlmoco[[#This Row],[COMP ESCALA POSTERIOR]],tabE.Flux[COMP.AT. MOT B],tabE.Flux[LINHA],"NÃO",0,1))</f>
        <v>NÃO</v>
      </c>
      <c r="O278" s="65" t="str">
        <f>IF(AND(autocompAlmoco[[#This Row],[EXISTE MOT A POS]]="NÃO",autocompAlmoco[[#This Row],[EXISTE MOT B POS]]="NÃO"),"NÃO","SIM")</f>
        <v>NÃO</v>
      </c>
      <c r="P278" s="66" t="str" cm="1">
        <f t="array" ref="P278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78" s="103" t="str" cm="1">
        <f t="array" ref="Q278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45945+ALTEMAR DO NASCIMENTO LIMA - 6225+GOIANIA (GO) X SAO LUIS (MA)</v>
      </c>
      <c r="R278" s="67">
        <f>_xlfn.XLOOKUP(autocompAlmoco[[#This Row],[COMP ESCALA]],tabE.Flux[COMP. ESCALA MOT B],tabE.Flux[CARRO],
(_xlfn.XLOOKUP(autocompAlmoco[[#This Row],[COMP ESCALA]],tabE.Flux[COMP. ESCALA MOT A],tabE.Flux[CARRO],"N/E",0,1)),0,1)</f>
        <v>19016</v>
      </c>
      <c r="S278" s="130">
        <f>_xlfn.XLOOKUP(autocompAlmoco[[#This Row],[COMP ESCALA]],tabE.Flux[COMP. ESCALA MOT A],tabE.Flux[HORARIO],(_xlfn.XLOOKUP(autocompAlmoco[[#This Row],[COMP ESCALA]],tabE.Flux[COMP. ESCALA MOT B],tabE.Flux[HORARIO],"N/E",0,1)),0,1)</f>
        <v>0.47013888888888888</v>
      </c>
      <c r="T278" s="127">
        <v>45945</v>
      </c>
      <c r="U278" s="131">
        <f>IF(IFERROR(autocompAlmoco[[#This Row],[CORRESP. CARRO]],"")="NÃO",(IF(tabAlmoco[[#This Row],[MOTORISTA]]=0,"","PASSE?")),autocompAlmoco[[#This Row],[CORRESP. CARRO]])</f>
        <v>19016</v>
      </c>
      <c r="V278" s="126">
        <f>IF(OR(ISERR(autocompAlmoco[[#This Row],[CORRESP HORARIO]]), autocompAlmoco[[#This Row],[CORRESP HORARIO]]&lt;&gt;"NÃO"),autocompAlmoco[[#This Row],[CORRESP HORARIO]],"")</f>
        <v>0.47013888888888888</v>
      </c>
      <c r="W278" s="1" t="s">
        <v>299</v>
      </c>
      <c r="X278" s="1" t="s">
        <v>57</v>
      </c>
      <c r="Y278" s="1">
        <f>IF(tabAlmoco[[#This Row],[MOTORISTA]]="","",COUNTIF(autocompAlmoco[COMP ESCALA ATUAL],autocompAlmoco[[#This Row],[COMP ESCALA ATUAL]]))</f>
        <v>1</v>
      </c>
      <c r="Z278" s="105">
        <f>IF(tabAlmoco[[#This Row],[MOTORISTA]]&lt;&gt;0,15,"")</f>
        <v>15</v>
      </c>
      <c r="AA278" s="131" t="str">
        <f>autocompAlmoco[[#This Row],[CORRESP LINHA]]</f>
        <v>GOIANIA (GO) X SAO LUIS (MA)</v>
      </c>
    </row>
    <row r="279" spans="3:27" ht="15" customHeight="1" x14ac:dyDescent="0.25">
      <c r="C279" s="157" t="s">
        <v>226</v>
      </c>
      <c r="D279" s="56" t="str">
        <f>IF(tabAlmoco[[#This Row],[MOTORISTA]]="","",_xlfn.CONCAT(tabAlmoco[[#This Row],[DATA]],"+",tabAlmoco[[#This Row],[MOTORISTA]]))</f>
        <v>45945+ANTONIO MARQUES NETO DOS SANTOS - 1738</v>
      </c>
      <c r="E279" s="56" t="str">
        <f>_xlfn.XLOOKUP(autocompAlmoco[[#This Row],[COMP ESCALA ATUAL]],tabE.Flux[COMP.AT. MOT A],tabE.Flux[LINHA],"NÃO",0,1)</f>
        <v>NÃO</v>
      </c>
      <c r="F279" s="56" t="str">
        <f>_xlfn.XLOOKUP(autocompAlmoco[[#This Row],[COMP ESCALA ATUAL]],tabE.Flux[COMP.AT. MOT B],tabE.Flux[LINHA],"NÃO",0,1)</f>
        <v>GOIANIA (GO) X SAO LUIS (MA)</v>
      </c>
      <c r="G279" s="61" t="str">
        <f>IF(AND(autocompAlmoco[[#This Row],[EXISTE MOT A AT]]="NÃO", autocompAlmoco[[#This Row],[EXISTE MOT B AT]]="NÃO"),"NÃO","SIM")</f>
        <v>SIM</v>
      </c>
      <c r="H279" s="57" t="str">
        <f>IF(autocompAlmoco[[#This Row],[EXISTE ESCALA ATUAL]]="NÃO",_xlfn.CONCAT(tabAlmoco[[#This Row],[DATA]]-1,"+",tabAlmoco[[#This Row],[MOTORISTA]]),"NÃO")</f>
        <v>NÃO</v>
      </c>
      <c r="I279" s="57" t="str">
        <f>IF(autocompAlmoco[[#This Row],[COMP ESCALA ANTERIOR]]="NÃO","NÃO",_xlfn.XLOOKUP(autocompAlmoco[[#This Row],[COMP ESCALA ANTERIOR]],tabE.Flux[COMP.AT. MOT A],tabE.Flux[LINHA],"NÃO",0,1))</f>
        <v>NÃO</v>
      </c>
      <c r="J279" s="58" t="str">
        <f>IF(autocompAlmoco[[#This Row],[COMP ESCALA ANTERIOR]]="NÃO","NÃO",_xlfn.XLOOKUP(autocompAlmoco[[#This Row],[COMP ESCALA ANTERIOR]],tabE.Flux[COMP.AT. MOT B],tabE.Flux[LINHA],"NÃO",0,1))</f>
        <v>NÃO</v>
      </c>
      <c r="K279" s="62" t="str">
        <f>IF(AND(autocompAlmoco[[#This Row],[EXISTE MOT A ANT]]="NÃO",autocompAlmoco[[#This Row],[EXISTE MOT B ANT]]="NÃO"),"NÃO","SIM")</f>
        <v>NÃO</v>
      </c>
      <c r="L279" s="59" t="str">
        <f t="shared" si="10"/>
        <v>1+</v>
      </c>
      <c r="M279" s="59" t="str">
        <f>IF(autocompAlmoco[[#This Row],[COMP ESCALA POSTERIOR]]="NÃO","NÃO",_xlfn.XLOOKUP(autocompAlmoco[[#This Row],[COMP ESCALA POSTERIOR]],tabE.Flux[COMP.AT. MOT A],tabE.Flux[LINHA],"NÃO",0,1))</f>
        <v>NÃO</v>
      </c>
      <c r="N279" s="59" t="str">
        <f>IF(autocompAlmoco[[#This Row],[COMP ESCALA POSTERIOR]]="NÃO","NÃO",_xlfn.XLOOKUP(autocompAlmoco[[#This Row],[COMP ESCALA POSTERIOR]],tabE.Flux[COMP.AT. MOT B],tabE.Flux[LINHA],"NÃO",0,1))</f>
        <v>NÃO</v>
      </c>
      <c r="O279" s="65" t="str">
        <f>IF(AND(autocompAlmoco[[#This Row],[EXISTE MOT A POS]]="NÃO",autocompAlmoco[[#This Row],[EXISTE MOT B POS]]="NÃO"),"NÃO","SIM")</f>
        <v>NÃO</v>
      </c>
      <c r="P279" s="66" t="str" cm="1">
        <f t="array" ref="P279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GOIANIA (GO) X SAO LUIS (MA)</v>
      </c>
      <c r="Q279" s="103" t="str" cm="1">
        <f t="array" ref="Q279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45945+ANTONIO MARQUES NETO DOS SANTOS - 1738+GOIANIA (GO) X SAO LUIS (MA)</v>
      </c>
      <c r="R279" s="67">
        <f>_xlfn.XLOOKUP(autocompAlmoco[[#This Row],[COMP ESCALA]],tabE.Flux[COMP. ESCALA MOT B],tabE.Flux[CARRO],
(_xlfn.XLOOKUP(autocompAlmoco[[#This Row],[COMP ESCALA]],tabE.Flux[COMP. ESCALA MOT A],tabE.Flux[CARRO],"N/E",0,1)),0,1)</f>
        <v>24003</v>
      </c>
      <c r="S279" s="130">
        <f>_xlfn.XLOOKUP(autocompAlmoco[[#This Row],[COMP ESCALA]],tabE.Flux[COMP. ESCALA MOT A],tabE.Flux[HORARIO],(_xlfn.XLOOKUP(autocompAlmoco[[#This Row],[COMP ESCALA]],tabE.Flux[COMP. ESCALA MOT B],tabE.Flux[HORARIO],"N/E",0,1)),0,1)</f>
        <v>0.79166666666666663</v>
      </c>
      <c r="T279" s="127">
        <v>45945</v>
      </c>
      <c r="U279" s="131">
        <v>24003</v>
      </c>
      <c r="V279" s="126">
        <f>IF(OR(ISERR(autocompAlmoco[[#This Row],[CORRESP HORARIO]]), autocompAlmoco[[#This Row],[CORRESP HORARIO]]&lt;&gt;"NÃO"),autocompAlmoco[[#This Row],[CORRESP HORARIO]],"")</f>
        <v>0.79166666666666663</v>
      </c>
      <c r="W279" s="1" t="s">
        <v>299</v>
      </c>
      <c r="X279" s="1" t="s">
        <v>73</v>
      </c>
      <c r="Y279" s="1">
        <f>IF(tabAlmoco[[#This Row],[MOTORISTA]]="","",COUNTIF(autocompAlmoco[COMP ESCALA ATUAL],autocompAlmoco[[#This Row],[COMP ESCALA ATUAL]]))</f>
        <v>1</v>
      </c>
      <c r="Z279" s="105">
        <f>IF(tabAlmoco[[#This Row],[MOTORISTA]]&lt;&gt;0,15,"")</f>
        <v>15</v>
      </c>
      <c r="AA279" s="131" t="str">
        <f>autocompAlmoco[[#This Row],[CORRESP LINHA]]</f>
        <v>GOIANIA (GO) X SAO LUIS (MA)</v>
      </c>
    </row>
    <row r="280" spans="3:27" ht="15" hidden="1" customHeight="1" x14ac:dyDescent="0.25">
      <c r="C280" s="157" t="s">
        <v>226</v>
      </c>
      <c r="D280" s="56" t="str">
        <f>IF(tabAlmoco[[#This Row],[MOTORISTA]]="","",_xlfn.CONCAT(tabAlmoco[[#This Row],[DATA]],"+",tabAlmoco[[#This Row],[MOTORISTA]]))</f>
        <v/>
      </c>
      <c r="E280" s="56" t="str">
        <f>_xlfn.XLOOKUP(autocompAlmoco[[#This Row],[COMP ESCALA ATUAL]],tabE.Flux[COMP.AT. MOT A],tabE.Flux[LINHA],"NÃO",0,1)</f>
        <v>NÃO</v>
      </c>
      <c r="F280" s="56" t="str">
        <f>_xlfn.XLOOKUP(autocompAlmoco[[#This Row],[COMP ESCALA ATUAL]],tabE.Flux[COMP.AT. MOT B],tabE.Flux[LINHA],"NÃO",0,1)</f>
        <v>NÃO</v>
      </c>
      <c r="G280" s="61" t="str">
        <f>IF(AND(autocompAlmoco[[#This Row],[EXISTE MOT A AT]]="NÃO", autocompAlmoco[[#This Row],[EXISTE MOT B AT]]="NÃO"),"NÃO","SIM")</f>
        <v>NÃO</v>
      </c>
      <c r="H280" s="57" t="str">
        <f>IF(autocompAlmoco[[#This Row],[EXISTE ESCALA ATUAL]]="NÃO",_xlfn.CONCAT(tabAlmoco[[#This Row],[DATA]]-1,"+",tabAlmoco[[#This Row],[MOTORISTA]]),"NÃO")</f>
        <v>-1+</v>
      </c>
      <c r="I280" s="57" t="str">
        <f>IF(autocompAlmoco[[#This Row],[COMP ESCALA ANTERIOR]]="NÃO","NÃO",_xlfn.XLOOKUP(autocompAlmoco[[#This Row],[COMP ESCALA ANTERIOR]],tabE.Flux[COMP.AT. MOT A],tabE.Flux[LINHA],"NÃO",0,1))</f>
        <v>NÃO</v>
      </c>
      <c r="J280" s="58" t="str">
        <f>IF(autocompAlmoco[[#This Row],[COMP ESCALA ANTERIOR]]="NÃO","NÃO",_xlfn.XLOOKUP(autocompAlmoco[[#This Row],[COMP ESCALA ANTERIOR]],tabE.Flux[COMP.AT. MOT B],tabE.Flux[LINHA],"NÃO",0,1))</f>
        <v>NÃO</v>
      </c>
      <c r="K280" s="62" t="str">
        <f>IF(AND(autocompAlmoco[[#This Row],[EXISTE MOT A ANT]]="NÃO",autocompAlmoco[[#This Row],[EXISTE MOT B ANT]]="NÃO"),"NÃO","SIM")</f>
        <v>NÃO</v>
      </c>
      <c r="L280" s="59" t="str">
        <f t="shared" si="10"/>
        <v>1+</v>
      </c>
      <c r="M280" s="59" t="str">
        <f>IF(autocompAlmoco[[#This Row],[COMP ESCALA POSTERIOR]]="NÃO","NÃO",_xlfn.XLOOKUP(autocompAlmoco[[#This Row],[COMP ESCALA POSTERIOR]],tabE.Flux[COMP.AT. MOT A],tabE.Flux[LINHA],"NÃO",0,1))</f>
        <v>NÃO</v>
      </c>
      <c r="N280" s="59" t="str">
        <f>IF(autocompAlmoco[[#This Row],[COMP ESCALA POSTERIOR]]="NÃO","NÃO",_xlfn.XLOOKUP(autocompAlmoco[[#This Row],[COMP ESCALA POSTERIOR]],tabE.Flux[COMP.AT. MOT B],tabE.Flux[LINHA],"NÃO",0,1))</f>
        <v>NÃO</v>
      </c>
      <c r="O280" s="65" t="str">
        <f>IF(AND(autocompAlmoco[[#This Row],[EXISTE MOT A POS]]="NÃO",autocompAlmoco[[#This Row],[EXISTE MOT B POS]]="NÃO"),"NÃO","SIM")</f>
        <v>NÃO</v>
      </c>
      <c r="P280" s="66" t="str" cm="1">
        <f t="array" ref="P280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80" s="103" t="str" cm="1">
        <f t="array" ref="Q280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80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80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80" s="127"/>
      <c r="U280" s="4"/>
      <c r="V280" s="128"/>
      <c r="W280" s="4"/>
      <c r="X280" s="4"/>
      <c r="Y280" s="4"/>
      <c r="Z280" s="45"/>
      <c r="AA280" s="4"/>
    </row>
    <row r="281" spans="3:27" ht="15" hidden="1" customHeight="1" x14ac:dyDescent="0.25">
      <c r="C281" s="157" t="s">
        <v>226</v>
      </c>
      <c r="D281" s="56" t="str">
        <f>IF(tabAlmoco[[#This Row],[MOTORISTA]]="","",_xlfn.CONCAT(tabAlmoco[[#This Row],[DATA]],"+",tabAlmoco[[#This Row],[MOTORISTA]]))</f>
        <v/>
      </c>
      <c r="E281" s="56" t="str">
        <f>_xlfn.XLOOKUP(autocompAlmoco[[#This Row],[COMP ESCALA ATUAL]],tabE.Flux[COMP.AT. MOT A],tabE.Flux[LINHA],"NÃO",0,1)</f>
        <v>NÃO</v>
      </c>
      <c r="F281" s="56" t="str">
        <f>_xlfn.XLOOKUP(autocompAlmoco[[#This Row],[COMP ESCALA ATUAL]],tabE.Flux[COMP.AT. MOT B],tabE.Flux[LINHA],"NÃO",0,1)</f>
        <v>NÃO</v>
      </c>
      <c r="G281" s="61" t="str">
        <f>IF(AND(autocompAlmoco[[#This Row],[EXISTE MOT A AT]]="NÃO", autocompAlmoco[[#This Row],[EXISTE MOT B AT]]="NÃO"),"NÃO","SIM")</f>
        <v>NÃO</v>
      </c>
      <c r="H281" s="57" t="str">
        <f>IF(autocompAlmoco[[#This Row],[EXISTE ESCALA ATUAL]]="NÃO",_xlfn.CONCAT(tabAlmoco[[#This Row],[DATA]]-1,"+",tabAlmoco[[#This Row],[MOTORISTA]]),"NÃO")</f>
        <v>-1+</v>
      </c>
      <c r="I281" s="57" t="str">
        <f>IF(autocompAlmoco[[#This Row],[COMP ESCALA ANTERIOR]]="NÃO","NÃO",_xlfn.XLOOKUP(autocompAlmoco[[#This Row],[COMP ESCALA ANTERIOR]],tabE.Flux[COMP.AT. MOT A],tabE.Flux[LINHA],"NÃO",0,1))</f>
        <v>NÃO</v>
      </c>
      <c r="J281" s="58" t="str">
        <f>IF(autocompAlmoco[[#This Row],[COMP ESCALA ANTERIOR]]="NÃO","NÃO",_xlfn.XLOOKUP(autocompAlmoco[[#This Row],[COMP ESCALA ANTERIOR]],tabE.Flux[COMP.AT. MOT B],tabE.Flux[LINHA],"NÃO",0,1))</f>
        <v>NÃO</v>
      </c>
      <c r="K281" s="62" t="str">
        <f>IF(AND(autocompAlmoco[[#This Row],[EXISTE MOT A ANT]]="NÃO",autocompAlmoco[[#This Row],[EXISTE MOT B ANT]]="NÃO"),"NÃO","SIM")</f>
        <v>NÃO</v>
      </c>
      <c r="L281" s="59" t="str">
        <f t="shared" si="10"/>
        <v>1+</v>
      </c>
      <c r="M281" s="59" t="str">
        <f>IF(autocompAlmoco[[#This Row],[COMP ESCALA POSTERIOR]]="NÃO","NÃO",_xlfn.XLOOKUP(autocompAlmoco[[#This Row],[COMP ESCALA POSTERIOR]],tabE.Flux[COMP.AT. MOT A],tabE.Flux[LINHA],"NÃO",0,1))</f>
        <v>NÃO</v>
      </c>
      <c r="N281" s="59" t="str">
        <f>IF(autocompAlmoco[[#This Row],[COMP ESCALA POSTERIOR]]="NÃO","NÃO",_xlfn.XLOOKUP(autocompAlmoco[[#This Row],[COMP ESCALA POSTERIOR]],tabE.Flux[COMP.AT. MOT B],tabE.Flux[LINHA],"NÃO",0,1))</f>
        <v>NÃO</v>
      </c>
      <c r="O281" s="65" t="str">
        <f>IF(AND(autocompAlmoco[[#This Row],[EXISTE MOT A POS]]="NÃO",autocompAlmoco[[#This Row],[EXISTE MOT B POS]]="NÃO"),"NÃO","SIM")</f>
        <v>NÃO</v>
      </c>
      <c r="P281" s="66" t="str" cm="1">
        <f t="array" ref="P281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81" s="103" t="str" cm="1">
        <f t="array" ref="Q281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81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81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81" s="127"/>
      <c r="U281" s="4"/>
      <c r="V281" s="126"/>
      <c r="W281" s="1"/>
      <c r="X281" s="1"/>
      <c r="Y281" s="1"/>
      <c r="Z281" s="105"/>
      <c r="AA281" s="4"/>
    </row>
    <row r="282" spans="3:27" ht="15" hidden="1" customHeight="1" x14ac:dyDescent="0.25">
      <c r="C282" s="157" t="s">
        <v>226</v>
      </c>
      <c r="D282" s="56" t="str">
        <f>IF(tabAlmoco[[#This Row],[MOTORISTA]]="","",_xlfn.CONCAT(tabAlmoco[[#This Row],[DATA]],"+",tabAlmoco[[#This Row],[MOTORISTA]]))</f>
        <v/>
      </c>
      <c r="E282" s="56" t="str">
        <f>_xlfn.XLOOKUP(autocompAlmoco[[#This Row],[COMP ESCALA ATUAL]],tabE.Flux[COMP.AT. MOT A],tabE.Flux[LINHA],"NÃO",0,1)</f>
        <v>NÃO</v>
      </c>
      <c r="F282" s="56" t="str">
        <f>_xlfn.XLOOKUP(autocompAlmoco[[#This Row],[COMP ESCALA ATUAL]],tabE.Flux[COMP.AT. MOT B],tabE.Flux[LINHA],"NÃO",0,1)</f>
        <v>NÃO</v>
      </c>
      <c r="G282" s="61" t="str">
        <f>IF(AND(autocompAlmoco[[#This Row],[EXISTE MOT A AT]]="NÃO", autocompAlmoco[[#This Row],[EXISTE MOT B AT]]="NÃO"),"NÃO","SIM")</f>
        <v>NÃO</v>
      </c>
      <c r="H282" s="57" t="str">
        <f>IF(autocompAlmoco[[#This Row],[EXISTE ESCALA ATUAL]]="NÃO",_xlfn.CONCAT(tabAlmoco[[#This Row],[DATA]]-1,"+",tabAlmoco[[#This Row],[MOTORISTA]]),"NÃO")</f>
        <v>-1+</v>
      </c>
      <c r="I282" s="57" t="str">
        <f>IF(autocompAlmoco[[#This Row],[COMP ESCALA ANTERIOR]]="NÃO","NÃO",_xlfn.XLOOKUP(autocompAlmoco[[#This Row],[COMP ESCALA ANTERIOR]],tabE.Flux[COMP.AT. MOT A],tabE.Flux[LINHA],"NÃO",0,1))</f>
        <v>NÃO</v>
      </c>
      <c r="J282" s="58" t="str">
        <f>IF(autocompAlmoco[[#This Row],[COMP ESCALA ANTERIOR]]="NÃO","NÃO",_xlfn.XLOOKUP(autocompAlmoco[[#This Row],[COMP ESCALA ANTERIOR]],tabE.Flux[COMP.AT. MOT B],tabE.Flux[LINHA],"NÃO",0,1))</f>
        <v>NÃO</v>
      </c>
      <c r="K282" s="62" t="str">
        <f>IF(AND(autocompAlmoco[[#This Row],[EXISTE MOT A ANT]]="NÃO",autocompAlmoco[[#This Row],[EXISTE MOT B ANT]]="NÃO"),"NÃO","SIM")</f>
        <v>NÃO</v>
      </c>
      <c r="L282" s="59" t="str">
        <f t="shared" si="10"/>
        <v>1+</v>
      </c>
      <c r="M282" s="59" t="str">
        <f>IF(autocompAlmoco[[#This Row],[COMP ESCALA POSTERIOR]]="NÃO","NÃO",_xlfn.XLOOKUP(autocompAlmoco[[#This Row],[COMP ESCALA POSTERIOR]],tabE.Flux[COMP.AT. MOT A],tabE.Flux[LINHA],"NÃO",0,1))</f>
        <v>NÃO</v>
      </c>
      <c r="N282" s="59" t="str">
        <f>IF(autocompAlmoco[[#This Row],[COMP ESCALA POSTERIOR]]="NÃO","NÃO",_xlfn.XLOOKUP(autocompAlmoco[[#This Row],[COMP ESCALA POSTERIOR]],tabE.Flux[COMP.AT. MOT B],tabE.Flux[LINHA],"NÃO",0,1))</f>
        <v>NÃO</v>
      </c>
      <c r="O282" s="65" t="str">
        <f>IF(AND(autocompAlmoco[[#This Row],[EXISTE MOT A POS]]="NÃO",autocompAlmoco[[#This Row],[EXISTE MOT B POS]]="NÃO"),"NÃO","SIM")</f>
        <v>NÃO</v>
      </c>
      <c r="P282" s="66" t="str" cm="1">
        <f t="array" ref="P282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82" s="103" t="str" cm="1">
        <f t="array" ref="Q282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82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82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82" s="127"/>
      <c r="U282" s="131"/>
      <c r="V282" s="126"/>
      <c r="W282" s="1"/>
      <c r="X282" s="1"/>
      <c r="Y282" s="1"/>
      <c r="Z282" s="105"/>
      <c r="AA282" s="131"/>
    </row>
    <row r="283" spans="3:27" ht="15" hidden="1" customHeight="1" x14ac:dyDescent="0.25">
      <c r="C283" s="157" t="s">
        <v>226</v>
      </c>
      <c r="D283" s="56" t="str">
        <f>IF(tabAlmoco[[#This Row],[MOTORISTA]]="","",_xlfn.CONCAT(tabAlmoco[[#This Row],[DATA]],"+",tabAlmoco[[#This Row],[MOTORISTA]]))</f>
        <v/>
      </c>
      <c r="E283" s="56" t="str">
        <f>_xlfn.XLOOKUP(autocompAlmoco[[#This Row],[COMP ESCALA ATUAL]],tabE.Flux[COMP.AT. MOT A],tabE.Flux[LINHA],"NÃO",0,1)</f>
        <v>NÃO</v>
      </c>
      <c r="F283" s="56" t="str">
        <f>_xlfn.XLOOKUP(autocompAlmoco[[#This Row],[COMP ESCALA ATUAL]],tabE.Flux[COMP.AT. MOT B],tabE.Flux[LINHA],"NÃO",0,1)</f>
        <v>NÃO</v>
      </c>
      <c r="G283" s="61" t="str">
        <f>IF(AND(autocompAlmoco[[#This Row],[EXISTE MOT A AT]]="NÃO", autocompAlmoco[[#This Row],[EXISTE MOT B AT]]="NÃO"),"NÃO","SIM")</f>
        <v>NÃO</v>
      </c>
      <c r="H283" s="57" t="str">
        <f>IF(autocompAlmoco[[#This Row],[EXISTE ESCALA ATUAL]]="NÃO",_xlfn.CONCAT(tabAlmoco[[#This Row],[DATA]]-1,"+",tabAlmoco[[#This Row],[MOTORISTA]]),"NÃO")</f>
        <v>-1+</v>
      </c>
      <c r="I283" s="57" t="str">
        <f>IF(autocompAlmoco[[#This Row],[COMP ESCALA ANTERIOR]]="NÃO","NÃO",_xlfn.XLOOKUP(autocompAlmoco[[#This Row],[COMP ESCALA ANTERIOR]],tabE.Flux[COMP.AT. MOT A],tabE.Flux[LINHA],"NÃO",0,1))</f>
        <v>NÃO</v>
      </c>
      <c r="J283" s="58" t="str">
        <f>IF(autocompAlmoco[[#This Row],[COMP ESCALA ANTERIOR]]="NÃO","NÃO",_xlfn.XLOOKUP(autocompAlmoco[[#This Row],[COMP ESCALA ANTERIOR]],tabE.Flux[COMP.AT. MOT B],tabE.Flux[LINHA],"NÃO",0,1))</f>
        <v>NÃO</v>
      </c>
      <c r="K283" s="62" t="str">
        <f>IF(AND(autocompAlmoco[[#This Row],[EXISTE MOT A ANT]]="NÃO",autocompAlmoco[[#This Row],[EXISTE MOT B ANT]]="NÃO"),"NÃO","SIM")</f>
        <v>NÃO</v>
      </c>
      <c r="L283" s="59" t="str">
        <f t="shared" si="10"/>
        <v>1+</v>
      </c>
      <c r="M283" s="59" t="str">
        <f>IF(autocompAlmoco[[#This Row],[COMP ESCALA POSTERIOR]]="NÃO","NÃO",_xlfn.XLOOKUP(autocompAlmoco[[#This Row],[COMP ESCALA POSTERIOR]],tabE.Flux[COMP.AT. MOT A],tabE.Flux[LINHA],"NÃO",0,1))</f>
        <v>NÃO</v>
      </c>
      <c r="N283" s="59" t="str">
        <f>IF(autocompAlmoco[[#This Row],[COMP ESCALA POSTERIOR]]="NÃO","NÃO",_xlfn.XLOOKUP(autocompAlmoco[[#This Row],[COMP ESCALA POSTERIOR]],tabE.Flux[COMP.AT. MOT B],tabE.Flux[LINHA],"NÃO",0,1))</f>
        <v>NÃO</v>
      </c>
      <c r="O283" s="65" t="str">
        <f>IF(AND(autocompAlmoco[[#This Row],[EXISTE MOT A POS]]="NÃO",autocompAlmoco[[#This Row],[EXISTE MOT B POS]]="NÃO"),"NÃO","SIM")</f>
        <v>NÃO</v>
      </c>
      <c r="P283" s="66" t="str" cm="1">
        <f t="array" ref="P283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83" s="103" t="str" cm="1">
        <f t="array" ref="Q283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83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83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83" s="127"/>
      <c r="U283" s="131"/>
      <c r="V283" s="126"/>
      <c r="W283" s="1"/>
      <c r="X283" s="1"/>
      <c r="Y283" s="1"/>
      <c r="Z283" s="105"/>
      <c r="AA283" s="131"/>
    </row>
    <row r="284" spans="3:27" ht="15" hidden="1" customHeight="1" x14ac:dyDescent="0.25">
      <c r="C284" s="157" t="s">
        <v>226</v>
      </c>
      <c r="D284" s="56" t="str">
        <f>IF(tabAlmoco[[#This Row],[MOTORISTA]]="","",_xlfn.CONCAT(tabAlmoco[[#This Row],[DATA]],"+",tabAlmoco[[#This Row],[MOTORISTA]]))</f>
        <v/>
      </c>
      <c r="E284" s="56" t="str">
        <f>_xlfn.XLOOKUP(autocompAlmoco[[#This Row],[COMP ESCALA ATUAL]],tabE.Flux[COMP.AT. MOT A],tabE.Flux[LINHA],"NÃO",0,1)</f>
        <v>NÃO</v>
      </c>
      <c r="F284" s="56" t="str">
        <f>_xlfn.XLOOKUP(autocompAlmoco[[#This Row],[COMP ESCALA ATUAL]],tabE.Flux[COMP.AT. MOT B],tabE.Flux[LINHA],"NÃO",0,1)</f>
        <v>NÃO</v>
      </c>
      <c r="G284" s="61" t="str">
        <f>IF(AND(autocompAlmoco[[#This Row],[EXISTE MOT A AT]]="NÃO", autocompAlmoco[[#This Row],[EXISTE MOT B AT]]="NÃO"),"NÃO","SIM")</f>
        <v>NÃO</v>
      </c>
      <c r="H284" s="57" t="str">
        <f>IF(autocompAlmoco[[#This Row],[EXISTE ESCALA ATUAL]]="NÃO",_xlfn.CONCAT(tabAlmoco[[#This Row],[DATA]]-1,"+",tabAlmoco[[#This Row],[MOTORISTA]]),"NÃO")</f>
        <v>-1+</v>
      </c>
      <c r="I284" s="57" t="str">
        <f>IF(autocompAlmoco[[#This Row],[COMP ESCALA ANTERIOR]]="NÃO","NÃO",_xlfn.XLOOKUP(autocompAlmoco[[#This Row],[COMP ESCALA ANTERIOR]],tabE.Flux[COMP.AT. MOT A],tabE.Flux[LINHA],"NÃO",0,1))</f>
        <v>NÃO</v>
      </c>
      <c r="J284" s="58" t="str">
        <f>IF(autocompAlmoco[[#This Row],[COMP ESCALA ANTERIOR]]="NÃO","NÃO",_xlfn.XLOOKUP(autocompAlmoco[[#This Row],[COMP ESCALA ANTERIOR]],tabE.Flux[COMP.AT. MOT B],tabE.Flux[LINHA],"NÃO",0,1))</f>
        <v>NÃO</v>
      </c>
      <c r="K284" s="62" t="str">
        <f>IF(AND(autocompAlmoco[[#This Row],[EXISTE MOT A ANT]]="NÃO",autocompAlmoco[[#This Row],[EXISTE MOT B ANT]]="NÃO"),"NÃO","SIM")</f>
        <v>NÃO</v>
      </c>
      <c r="L284" s="59" t="str">
        <f t="shared" si="10"/>
        <v>1+</v>
      </c>
      <c r="M284" s="59" t="str">
        <f>IF(autocompAlmoco[[#This Row],[COMP ESCALA POSTERIOR]]="NÃO","NÃO",_xlfn.XLOOKUP(autocompAlmoco[[#This Row],[COMP ESCALA POSTERIOR]],tabE.Flux[COMP.AT. MOT A],tabE.Flux[LINHA],"NÃO",0,1))</f>
        <v>NÃO</v>
      </c>
      <c r="N284" s="59" t="str">
        <f>IF(autocompAlmoco[[#This Row],[COMP ESCALA POSTERIOR]]="NÃO","NÃO",_xlfn.XLOOKUP(autocompAlmoco[[#This Row],[COMP ESCALA POSTERIOR]],tabE.Flux[COMP.AT. MOT B],tabE.Flux[LINHA],"NÃO",0,1))</f>
        <v>NÃO</v>
      </c>
      <c r="O284" s="65" t="str">
        <f>IF(AND(autocompAlmoco[[#This Row],[EXISTE MOT A POS]]="NÃO",autocompAlmoco[[#This Row],[EXISTE MOT B POS]]="NÃO"),"NÃO","SIM")</f>
        <v>NÃO</v>
      </c>
      <c r="P284" s="66" t="str" cm="1">
        <f t="array" ref="P284">IFERROR(_xlfn.IFS(autocompAlmoco[[#This Row],[EXISTE ESCALA ATUAL]]="SIM",(IF(autocompAlmoco[[#This Row],[EXISTE MOT A AT]]="NÃO",autocompAlmoco[[#This Row],[EXISTE MOT B AT]],autocompAlmoco[[#This Row],[EXISTE MOT A AT]])),autocompAlmoco[[#This Row],[EXISTE ESCALA ANTERIOR]]="SIM",(IF(autocompAlmoco[[#This Row],[EXISTE MOT A ANT]]="NÃO",autocompAlmoco[[#This Row],[EXISTE MOT B ANT]],autocompAlmoco[[#This Row],[EXISTE MOT A ANT]])),autocompAlmoco[[#This Row],[EXISTE ESCALA POSTERIOR]]="SIM",(IF(autocompAlmoco[[#This Row],[EXISTE MOT A POS]]="NÃO",autocompAlmoco[[#This Row],[EXISTE MOT B POS]],autocompAlmoco[[#This Row],[EXISTE MOT A POS]]))),"NÃO ENCONTRADO")</f>
        <v>NÃO ENCONTRADO</v>
      </c>
      <c r="Q284" s="103" t="str" cm="1">
        <f t="array" ref="Q284">IFERROR(_xlfn.IFS(autocompAlmoco[[#This Row],[EXISTE ESCALA ATUAL]]="SIM",(_xlfn.CONCAT(autocompAlmoco[[#This Row],[COMP ESCALA ATUAL]],"+",autocompAlmoco[[#This Row],[CORRESP LINHA]])),autocompAlmoco[[#This Row],[EXISTE ESCALA ANTERIOR]]="SIM",(_xlfn.CONCAT(autocompAlmoco[[#This Row],[COMP ESCALA ANTERIOR]],"+",autocompAlmoco[[#This Row],[CORRESP LINHA]])),autocompAlmoco[[#This Row],[EXISTE ESCALA POSTERIOR]]="SIM",(_xlfn.CONCAT(autocompAlmoco[[#This Row],[COMP ESCALA POSTERIOR]],"+",autocompAlmoco[[#This Row],[CORRESP LINHA]]))),"NÃO ENCONTRADO")</f>
        <v>NÃO ENCONTRADO</v>
      </c>
      <c r="R284" s="67" t="str">
        <f>_xlfn.XLOOKUP(autocompAlmoco[[#This Row],[COMP ESCALA]],tabE.Flux[COMP. ESCALA MOT B],tabE.Flux[CARRO],
(_xlfn.XLOOKUP(autocompAlmoco[[#This Row],[COMP ESCALA]],tabE.Flux[COMP. ESCALA MOT A],tabE.Flux[CARRO],"N/E",0,1)),0,1)</f>
        <v>N/E</v>
      </c>
      <c r="S284" s="130" t="str">
        <f>_xlfn.XLOOKUP(autocompAlmoco[[#This Row],[COMP ESCALA]],tabE.Flux[COMP. ESCALA MOT A],tabE.Flux[HORARIO],(_xlfn.XLOOKUP(autocompAlmoco[[#This Row],[COMP ESCALA]],tabE.Flux[COMP. ESCALA MOT B],tabE.Flux[HORARIO],"N/E",0,1)),0,1)</f>
        <v>N/E</v>
      </c>
      <c r="T284" s="127"/>
      <c r="U284" s="131"/>
      <c r="V284" s="126"/>
      <c r="W284" s="1"/>
      <c r="X284" s="1"/>
      <c r="Y284" s="1"/>
      <c r="Z284" s="105"/>
      <c r="AA284" s="131"/>
    </row>
    <row r="285" spans="3:27" ht="15" customHeight="1" x14ac:dyDescent="0.25"/>
    <row r="286" spans="3:27" ht="15" customHeight="1" x14ac:dyDescent="0.25"/>
    <row r="287" spans="3:27" ht="15" customHeight="1" x14ac:dyDescent="0.25"/>
    <row r="288" spans="3:27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</sheetData>
  <sheetProtection insertColumns="0" insertRows="0" deleteColumns="0" deleteRows="0"/>
  <mergeCells count="3">
    <mergeCell ref="T2:AA2"/>
    <mergeCell ref="C4:S4"/>
    <mergeCell ref="T4:AA4"/>
  </mergeCells>
  <conditionalFormatting sqref="C6:C284 E6:O284 Q6:Q284">
    <cfRule type="cellIs" dxfId="16" priority="3" operator="equal">
      <formula>"NÃO"</formula>
    </cfRule>
  </conditionalFormatting>
  <conditionalFormatting sqref="U5:U284">
    <cfRule type="cellIs" dxfId="15" priority="1" operator="equal">
      <formula>"PASSE?"</formula>
    </cfRule>
  </conditionalFormatting>
  <conditionalFormatting sqref="Y6:Y284">
    <cfRule type="cellIs" dxfId="14" priority="2" stopIfTrue="1" operator="greaterThan">
      <formula>1</formula>
    </cfRule>
  </conditionalFormatting>
  <dataValidations count="8">
    <dataValidation allowBlank="1" showInputMessage="1" promptTitle="Planinha de Refeição" prompt="Clique para obter ajuda..." sqref="T4:AA4" xr:uid="{4B6B75DC-46FF-46F5-8D2B-357D25550EB1}"/>
    <dataValidation allowBlank="1" showInputMessage="1" showErrorMessage="1" promptTitle="Dev Backend" prompt="Em caso de dúvidas ou sugestões, falar comigo_x000a_(99) 99139-5351" sqref="T2:Z2" xr:uid="{90EBB9BF-ECB2-4938-83E3-5B621151B73C}"/>
    <dataValidation allowBlank="1" showInputMessage="1" promptTitle="LINHA" prompt="Identifica a linha do serviço realizado pelo motorista no dia (anterior, atual ou posterior, baseado na última escala disponível próximo a data informada)" sqref="AA5" xr:uid="{23B67CEE-5C04-45AA-AD2A-1EB71EB67596}"/>
    <dataValidation allowBlank="1" showInputMessage="1" showErrorMessage="1" prompt="(a quantidade não deve ser maior que 1, em caso de duplicatas o valor irá mudar para 2 para indicar o erro)" sqref="Y3 Y6:Y1048576" xr:uid="{D7D58922-FA63-432D-9239-7439553D9452}"/>
    <dataValidation allowBlank="1" showInputMessage="1" promptTitle="Horário" prompt="Identifica o horário de origem da escala do motorista (baseado no serviço de escala)" sqref="V5" xr:uid="{EA918C4A-016D-42B4-A18E-8C40DE88EA9E}"/>
    <dataValidation allowBlank="1" showInputMessage="1" promptTitle="MOTIVO" prompt="Justifica a razão pela qual o colaborador fez refeição (regular, passe, SOS, etc.)" sqref="W5" xr:uid="{840173B7-30E2-4CE8-A0DC-0221E7E9090E}"/>
    <dataValidation allowBlank="1" showInputMessage="1" promptTitle="NOME + MATRÍCULA" prompt="Esse campo é integrado ao BANCO DE DADOS, caso não encontre nenhum motorista, basta o adicionar no final da tabela disponível na planilha (o autocompletar só funciona com o nome idêntico ao da escala do fluxo)." sqref="X5" xr:uid="{216B5987-9DAC-42CF-9D68-9FC1DBBC1A98}"/>
    <dataValidation allowBlank="1" showInputMessage="1" prompt="Esse campo mostra quantas vezes o motorista aparece nesta data. Não são permitidas repetições, então se esse valor ficar maior que dois, ele INDICA UMA DUPLICATA." sqref="Y5" xr:uid="{3B8D2F5A-9696-429A-8A2B-D52CD0D080C0}"/>
  </dataValidations>
  <hyperlinks>
    <hyperlink ref="T4:AA4" location="'AJUDA'!K3" display="CUSTO COM JANTA (SANTA INÊS - MA)" xr:uid="{676DD030-96B3-4F66-B58A-2D47A1E1FD58}"/>
  </hyperlinks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AA221:AA222 AA230 AA236 AA238 U267:V267 AA267 U270:V270 AA270 AA272 U272:V272 V227 AA227 U275:U277 U279" calculatedColumn="1"/>
  </ignoredErrors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Dev Backend" prompt="Em caso de dúvidas ou sugestões, falar comigo_x000a_(99) 99139-5351" xr:uid="{A72C8C78-9965-4C6D-B972-B6042B3BBD2C}">
          <x14:formula1>
            <xm:f>'BANCO DE DADOS'!$D:$D</xm:f>
          </x14:formula1>
          <xm:sqref>AA1:AA3</xm:sqref>
        </x14:dataValidation>
        <x14:dataValidation type="list" allowBlank="1" showInputMessage="1" showErrorMessage="1" promptTitle="Digite nome ou matrícula" prompt="Clique no título da coluna para mais informações" xr:uid="{11F33653-DA01-4298-9A89-A119B48ACDBE}">
          <x14:formula1>
            <xm:f>'BANCO DE DADOS'!$B:$B</xm:f>
          </x14:formula1>
          <xm:sqref>X3 X6:X1048576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F520-5AD0-4411-97D4-53BFBBF525BE}">
  <sheetPr>
    <tabColor rgb="FF002060"/>
  </sheetPr>
  <dimension ref="B1:AB384"/>
  <sheetViews>
    <sheetView tabSelected="1" topLeftCell="U181" zoomScaleNormal="100" workbookViewId="0">
      <selection activeCell="V195" sqref="V195"/>
    </sheetView>
  </sheetViews>
  <sheetFormatPr defaultColWidth="9.140625" defaultRowHeight="15" x14ac:dyDescent="0.25"/>
  <cols>
    <col min="1" max="1" width="9.140625" style="22"/>
    <col min="2" max="2" width="10.85546875" customWidth="1"/>
    <col min="3" max="3" width="3.7109375" style="6" customWidth="1"/>
    <col min="4" max="4" width="54.7109375" hidden="1" customWidth="1"/>
    <col min="5" max="6" width="33.5703125" hidden="1" customWidth="1"/>
    <col min="7" max="7" width="22.7109375" hidden="1" customWidth="1"/>
    <col min="8" max="8" width="48.5703125" hidden="1" customWidth="1"/>
    <col min="9" max="9" width="33.5703125" hidden="1" customWidth="1"/>
    <col min="10" max="10" width="31" hidden="1" customWidth="1"/>
    <col min="11" max="11" width="26" hidden="1" customWidth="1"/>
    <col min="12" max="12" width="54.7109375" hidden="1" customWidth="1"/>
    <col min="13" max="13" width="27" hidden="1" customWidth="1"/>
    <col min="14" max="14" width="33.5703125" hidden="1" customWidth="1"/>
    <col min="15" max="15" width="26.85546875" hidden="1" customWidth="1"/>
    <col min="16" max="16" width="33.5703125" hidden="1" customWidth="1"/>
    <col min="17" max="17" width="88.28515625" hidden="1" customWidth="1"/>
    <col min="18" max="18" width="18.7109375" hidden="1" customWidth="1"/>
    <col min="19" max="19" width="20.28515625" hidden="1" customWidth="1"/>
    <col min="20" max="20" width="11.140625" bestFit="1" customWidth="1"/>
    <col min="21" max="21" width="9.7109375" customWidth="1"/>
    <col min="22" max="22" width="11.7109375" bestFit="1" customWidth="1"/>
    <col min="23" max="23" width="13.5703125" bestFit="1" customWidth="1"/>
    <col min="24" max="24" width="53.5703125" bestFit="1" customWidth="1"/>
    <col min="25" max="25" width="8.5703125" customWidth="1"/>
    <col min="26" max="26" width="8.42578125" customWidth="1"/>
    <col min="27" max="27" width="35.140625" bestFit="1" customWidth="1"/>
    <col min="29" max="16384" width="9.140625" style="22"/>
  </cols>
  <sheetData>
    <row r="1" spans="2:27" ht="11.25" hidden="1" customHeight="1" x14ac:dyDescent="0.25"/>
    <row r="2" spans="2:27" ht="11.25" hidden="1" customHeight="1" x14ac:dyDescent="0.25">
      <c r="T2" s="163" t="s">
        <v>274</v>
      </c>
      <c r="U2" s="163"/>
      <c r="V2" s="163"/>
      <c r="W2" s="163"/>
      <c r="X2" s="163"/>
      <c r="Y2" s="163"/>
      <c r="Z2" s="163"/>
      <c r="AA2" s="163"/>
    </row>
    <row r="3" spans="2:27" ht="11.25" customHeight="1" x14ac:dyDescent="0.25"/>
    <row r="4" spans="2:27" x14ac:dyDescent="0.25">
      <c r="C4" s="164" t="s">
        <v>314</v>
      </c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5"/>
      <c r="T4" s="166" t="s">
        <v>315</v>
      </c>
      <c r="U4" s="166"/>
      <c r="V4" s="166"/>
      <c r="W4" s="166"/>
      <c r="X4" s="166"/>
      <c r="Y4" s="166"/>
      <c r="Z4" s="166"/>
      <c r="AA4" s="166"/>
    </row>
    <row r="5" spans="2:27" x14ac:dyDescent="0.25">
      <c r="B5" s="119"/>
      <c r="C5" s="120" t="s">
        <v>276</v>
      </c>
      <c r="D5" s="54" t="s">
        <v>277</v>
      </c>
      <c r="E5" s="55" t="s">
        <v>278</v>
      </c>
      <c r="F5" s="53" t="s">
        <v>279</v>
      </c>
      <c r="G5" s="60" t="s">
        <v>280</v>
      </c>
      <c r="H5" s="70" t="s">
        <v>281</v>
      </c>
      <c r="I5" s="55" t="s">
        <v>282</v>
      </c>
      <c r="J5" s="53" t="s">
        <v>283</v>
      </c>
      <c r="K5" s="60" t="s">
        <v>284</v>
      </c>
      <c r="L5" s="72" t="s">
        <v>285</v>
      </c>
      <c r="M5" s="53" t="s">
        <v>286</v>
      </c>
      <c r="N5" s="53" t="s">
        <v>287</v>
      </c>
      <c r="O5" s="60" t="s">
        <v>288</v>
      </c>
      <c r="P5" s="60" t="s">
        <v>289</v>
      </c>
      <c r="Q5" s="74" t="s">
        <v>290</v>
      </c>
      <c r="R5" s="63" t="s">
        <v>291</v>
      </c>
      <c r="S5" s="121" t="s">
        <v>292</v>
      </c>
      <c r="T5" s="122" t="s">
        <v>5</v>
      </c>
      <c r="U5" s="122" t="s">
        <v>7</v>
      </c>
      <c r="V5" s="122" t="s">
        <v>293</v>
      </c>
      <c r="W5" s="122" t="s">
        <v>294</v>
      </c>
      <c r="X5" s="122" t="s">
        <v>295</v>
      </c>
      <c r="Y5" s="122" t="s">
        <v>296</v>
      </c>
      <c r="Z5" s="122" t="s">
        <v>297</v>
      </c>
      <c r="AA5" s="122" t="s">
        <v>14</v>
      </c>
    </row>
    <row r="6" spans="2:27" hidden="1" x14ac:dyDescent="0.25">
      <c r="B6" s="7"/>
      <c r="C6" s="123" t="s">
        <v>298</v>
      </c>
      <c r="D6" s="104" t="str">
        <f>IF(tabJanta[[#This Row],[MOTORISTA]]="","",_xlfn.CONCAT(tabJanta[[#This Row],[DATA]],"+",tabJanta[[#This Row],[MOTORISTA]]))</f>
        <v>45885+JAKTAN DE OLIVEIRA RODRIGUES - 5836</v>
      </c>
      <c r="E6" s="104" t="str">
        <f>_xlfn.XLOOKUP(autocompJanta[[#This Row],[COMP ESCALA ATUAL]],tabE.Flux[COMP.AT. MOT A],tabE.Flux[LINHA],"NÃO",0,1)</f>
        <v>NÃO</v>
      </c>
      <c r="F6" s="104" t="str">
        <f>_xlfn.XLOOKUP(autocompJanta[[#This Row],[COMP ESCALA ATUAL]],tabE.Flux[COMP.AT. MOT B],tabE.Flux[LINHA],"NÃO",0,1)</f>
        <v>NÃO</v>
      </c>
      <c r="G6" s="111" t="str">
        <f>IF(AND(autocompJanta[[#This Row],[EXISTE MOT A AT]]="NÃO", autocompJanta[[#This Row],[EXISTE MOT B AT]]="NÃO"),"NÃO","SIM")</f>
        <v>NÃO</v>
      </c>
      <c r="H6" s="112" t="str">
        <f>IF(autocompJanta[[#This Row],[EXISTE ESCALA ATUAL]]="NÃO",_xlfn.CONCAT(tabJanta[[#This Row],[DATA]]-1,"+",tabJanta[[#This Row],[MOTORISTA]]),"NÃO")</f>
        <v>45884+JAKTAN DE OLIVEIRA RODRIGUES - 5836</v>
      </c>
      <c r="I6" s="113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6" s="114" t="str">
        <f>IF(autocompJanta[[#This Row],[COMP ESCALA ANTERIOR]]="NÃO","NÃO",_xlfn.XLOOKUP(autocompJanta[[#This Row],[COMP ESCALA ANTERIOR]],tabE.Flux[COMP.AT. MOT B],tabE.Flux[LINHA],"NÃO",0,1))</f>
        <v>NÃO</v>
      </c>
      <c r="K6" s="115" t="str">
        <f>IF(AND(autocompJanta[[#This Row],[EXISTE MOT A ANT]]="NÃO",autocompJanta[[#This Row],[EXISTE MOT B ANT]]="NÃO"),"NÃO","SIM")</f>
        <v>SIM</v>
      </c>
      <c r="L6" s="116" t="str">
        <f t="shared" ref="L6:L37" si="0">_xlfn.CONCAT(T6+1,"+",X6)</f>
        <v>45886+JAKTAN DE OLIVEIRA RODRIGUES - 5836</v>
      </c>
      <c r="M6" s="106" t="str">
        <f>IF(autocompJanta[[#This Row],[COMP ESCALA POSTERIOR]]="NÃO","NÃO",_xlfn.XLOOKUP(autocompJanta[[#This Row],[COMP ESCALA POSTERIOR]],tabE.Flux[COMP.AT. MOT A],tabE.Flux[LINHA],"NÃO",0,1))</f>
        <v>NÃO</v>
      </c>
      <c r="N6" s="106" t="str">
        <f>IF(autocompJanta[[#This Row],[COMP ESCALA POSTERIOR]]="NÃO","NÃO",_xlfn.XLOOKUP(autocompJanta[[#This Row],[COMP ESCALA POSTERIOR]],tabE.Flux[COMP.AT. MOT B],tabE.Flux[LINHA],"NÃO",0,1))</f>
        <v>NÃO</v>
      </c>
      <c r="O6" s="107" t="str">
        <f>IF(AND(autocompJanta[[#This Row],[EXISTE MOT A POS]]="NÃO",autocompJanta[[#This Row],[EXISTE MOT B POS]]="NÃO"),"NÃO","SIM")</f>
        <v>NÃO</v>
      </c>
      <c r="P6" s="108" t="str" cm="1">
        <f t="array" ref="P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6" s="109" t="str" cm="1">
        <f t="array" ref="Q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45884+JAKTAN DE OLIVEIRA RODRIGUES - 5836+GOIANIA (GO) X TERESINA (PI) VIA STI</v>
      </c>
      <c r="R6" s="110">
        <f>_xlfn.XLOOKUP(autocompJanta[[#This Row],[COMP ESCALA]],tabE.Flux[COMP. ESCALA MOT B],tabE.Flux[CARRO],
(_xlfn.XLOOKUP(autocompJanta[[#This Row],[COMP ESCALA]],tabE.Flux[COMP. ESCALA MOT A],tabE.Flux[CARRO],"N/E",0,1)),0,1)</f>
        <v>19022</v>
      </c>
      <c r="S6" s="124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6" s="125">
        <v>45885</v>
      </c>
      <c r="U6" s="4">
        <f>IF(IFERROR(autocompJanta[[#This Row],[CORRESP. CARRO]],"")="NÃO",(IF(tabJanta[[#This Row],[MOTORISTA]]=0,"","PASSE?")),autocompJanta[[#This Row],[CORRESP. CARRO]])</f>
        <v>19022</v>
      </c>
      <c r="V6" s="126">
        <f>IF(OR(ISERR(autocompJanta[[#This Row],[CORRESP HORARIO]]), autocompJanta[[#This Row],[CORRESP HORARIO]]&lt;&gt;"NÃO"),autocompJanta[[#This Row],[CORRESP HORARIO]],"")</f>
        <v>0.79861111111111116</v>
      </c>
      <c r="W6" s="1" t="s">
        <v>299</v>
      </c>
      <c r="X6" s="1" t="s">
        <v>59</v>
      </c>
      <c r="Y6" s="1">
        <f>IF(tabJanta[[#This Row],[MOTORISTA]]="","",COUNTIF(autocompJanta[COMP ESCALA ATUAL],autocompJanta[[#This Row],[COMP ESCALA ATUAL]]))</f>
        <v>1</v>
      </c>
      <c r="Z6" s="43">
        <f>IF(tabJanta[[#This Row],[MOTORISTA]]&lt;&gt;0,15,"")</f>
        <v>15</v>
      </c>
      <c r="AA6" s="4" t="str">
        <f>autocompJanta[[#This Row],[CORRESP LINHA]]</f>
        <v>GOIANIA (GO) X TERESINA (PI) VIA STI</v>
      </c>
    </row>
    <row r="7" spans="2:27" hidden="1" x14ac:dyDescent="0.25">
      <c r="B7" s="7"/>
      <c r="C7" s="123" t="s">
        <v>300</v>
      </c>
      <c r="D7" s="104" t="str">
        <f>IF(tabJanta[[#This Row],[MOTORISTA]]="","",_xlfn.CONCAT(tabJanta[[#This Row],[DATA]],"+",tabJanta[[#This Row],[MOTORISTA]]))</f>
        <v>45885+ANTONIO LEONESIO CAMPELO DA SILVA - 5303</v>
      </c>
      <c r="E7" s="104" t="str">
        <f>_xlfn.XLOOKUP(autocompJanta[[#This Row],[COMP ESCALA ATUAL]],tabE.Flux[COMP.AT. MOT A],tabE.Flux[LINHA],"NÃO",0,1)</f>
        <v>NÃO</v>
      </c>
      <c r="F7" s="104" t="str">
        <f>_xlfn.XLOOKUP(autocompJanta[[#This Row],[COMP ESCALA ATUAL]],tabE.Flux[COMP.AT. MOT B],tabE.Flux[LINHA],"NÃO",0,1)</f>
        <v>NÃO</v>
      </c>
      <c r="G7" s="111" t="str">
        <f>IF(AND(autocompJanta[[#This Row],[EXISTE MOT A AT]]="NÃO", autocompJanta[[#This Row],[EXISTE MOT B AT]]="NÃO"),"NÃO","SIM")</f>
        <v>NÃO</v>
      </c>
      <c r="H7" s="112" t="str">
        <f>IF(autocompJanta[[#This Row],[EXISTE ESCALA ATUAL]]="NÃO",_xlfn.CONCAT(tabJanta[[#This Row],[DATA]]-1,"+",tabJanta[[#This Row],[MOTORISTA]]),"NÃO")</f>
        <v>45884+ANTONIO LEONESIO CAMPELO DA SILVA - 5303</v>
      </c>
      <c r="I7" s="113" t="str">
        <f>IF(autocompJanta[[#This Row],[COMP ESCALA ANTERIOR]]="NÃO","NÃO",_xlfn.XLOOKUP(autocompJanta[[#This Row],[COMP ESCALA ANTERIOR]],tabE.Flux[COMP.AT. MOT A],tabE.Flux[LINHA],"NÃO",0,1))</f>
        <v>NÃO</v>
      </c>
      <c r="J7" s="114" t="str">
        <f>IF(autocompJanta[[#This Row],[COMP ESCALA ANTERIOR]]="NÃO","NÃO",_xlfn.XLOOKUP(autocompJanta[[#This Row],[COMP ESCALA ANTERIOR]],tabE.Flux[COMP.AT. MOT B],tabE.Flux[LINHA],"NÃO",0,1))</f>
        <v>NÃO</v>
      </c>
      <c r="K7" s="115" t="str">
        <f>IF(AND(autocompJanta[[#This Row],[EXISTE MOT A ANT]]="NÃO",autocompJanta[[#This Row],[EXISTE MOT B ANT]]="NÃO"),"NÃO","SIM")</f>
        <v>NÃO</v>
      </c>
      <c r="L7" s="116" t="str">
        <f t="shared" si="0"/>
        <v>45886+ANTONIO LEONESIO CAMPELO DA SILVA - 5303</v>
      </c>
      <c r="M7" s="106" t="str">
        <f>IF(autocompJanta[[#This Row],[COMP ESCALA POSTERIOR]]="NÃO","NÃO",_xlfn.XLOOKUP(autocompJanta[[#This Row],[COMP ESCALA POSTERIOR]],tabE.Flux[COMP.AT. MOT A],tabE.Flux[LINHA],"NÃO",0,1))</f>
        <v>NÃO</v>
      </c>
      <c r="N7" s="106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7" s="107" t="str">
        <f>IF(AND(autocompJanta[[#This Row],[EXISTE MOT A POS]]="NÃO",autocompJanta[[#This Row],[EXISTE MOT B POS]]="NÃO"),"NÃO","SIM")</f>
        <v>SIM</v>
      </c>
      <c r="P7" s="108" t="str" cm="1">
        <f t="array" ref="P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7" s="109" t="str" cm="1">
        <f t="array" ref="Q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45886+ANTONIO LEONESIO CAMPELO DA SILVA - 5303+GOIANIA (GO) X TERESINA (PI) VIA STI</v>
      </c>
      <c r="R7" s="110">
        <f>_xlfn.XLOOKUP(autocompJanta[[#This Row],[COMP ESCALA]],tabE.Flux[COMP. ESCALA MOT B],tabE.Flux[CARRO],
(_xlfn.XLOOKUP(autocompJanta[[#This Row],[COMP ESCALA]],tabE.Flux[COMP. ESCALA MOT A],tabE.Flux[CARRO],"N/E",0,1)),0,1)</f>
        <v>19005</v>
      </c>
      <c r="S7" s="124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7" s="125">
        <v>45885</v>
      </c>
      <c r="U7" s="4">
        <f>IF(IFERROR(autocompJanta[[#This Row],[CORRESP. CARRO]],"")="NÃO",(IF(tabJanta[[#This Row],[MOTORISTA]]=0,"","PASSE?")),autocompJanta[[#This Row],[CORRESP. CARRO]])</f>
        <v>19005</v>
      </c>
      <c r="V7" s="126">
        <f>IF(OR(ISERR(autocompJanta[[#This Row],[CORRESP HORARIO]]), autocompJanta[[#This Row],[CORRESP HORARIO]]&lt;&gt;"NÃO"),autocompJanta[[#This Row],[CORRESP HORARIO]],"")</f>
        <v>0.79861111111111116</v>
      </c>
      <c r="W7" s="4" t="s">
        <v>299</v>
      </c>
      <c r="X7" s="4" t="s">
        <v>111</v>
      </c>
      <c r="Y7" s="1">
        <f>IF(tabJanta[[#This Row],[MOTORISTA]]="","",COUNTIF(autocompJanta[COMP ESCALA ATUAL],autocompJanta[[#This Row],[COMP ESCALA ATUAL]]))</f>
        <v>1</v>
      </c>
      <c r="Z7" s="44">
        <f>IF(tabJanta[[#This Row],[MOTORISTA]]&lt;&gt;0,15,"")</f>
        <v>15</v>
      </c>
      <c r="AA7" s="4" t="str">
        <f>autocompJanta[[#This Row],[CORRESP LINHA]]</f>
        <v>GOIANIA (GO) X TERESINA (PI) VIA STI</v>
      </c>
    </row>
    <row r="8" spans="2:27" hidden="1" x14ac:dyDescent="0.25">
      <c r="B8" s="7"/>
      <c r="C8" s="123" t="s">
        <v>301</v>
      </c>
      <c r="D8" s="104" t="str">
        <f>IF(tabJanta[[#This Row],[MOTORISTA]]="","",_xlfn.CONCAT(tabJanta[[#This Row],[DATA]],"+",tabJanta[[#This Row],[MOTORISTA]]))</f>
        <v>45885+JOAO DE JESUS GOUVEIA - 6016</v>
      </c>
      <c r="E8" s="104" t="str">
        <f>_xlfn.XLOOKUP(autocompJanta[[#This Row],[COMP ESCALA ATUAL]],tabE.Flux[COMP.AT. MOT A],tabE.Flux[LINHA],"NÃO",0,1)</f>
        <v>NÃO</v>
      </c>
      <c r="F8" s="104" t="str">
        <f>_xlfn.XLOOKUP(autocompJanta[[#This Row],[COMP ESCALA ATUAL]],tabE.Flux[COMP.AT. MOT B],tabE.Flux[LINHA],"NÃO",0,1)</f>
        <v>GOIANIA (GO) X SAO LUIS (MA)</v>
      </c>
      <c r="G8" s="111" t="str">
        <f>IF(AND(autocompJanta[[#This Row],[EXISTE MOT A AT]]="NÃO", autocompJanta[[#This Row],[EXISTE MOT B AT]]="NÃO"),"NÃO","SIM")</f>
        <v>SIM</v>
      </c>
      <c r="H8" s="112" t="str">
        <f>IF(autocompJanta[[#This Row],[EXISTE ESCALA ATUAL]]="NÃO",_xlfn.CONCAT(tabJanta[[#This Row],[DATA]]-1,"+",tabJanta[[#This Row],[MOTORISTA]]),"NÃO")</f>
        <v>NÃO</v>
      </c>
      <c r="I8" s="113" t="str">
        <f>IF(autocompJanta[[#This Row],[COMP ESCALA ANTERIOR]]="NÃO","NÃO",_xlfn.XLOOKUP(autocompJanta[[#This Row],[COMP ESCALA ANTERIOR]],tabE.Flux[COMP.AT. MOT A],tabE.Flux[LINHA],"NÃO",0,1))</f>
        <v>NÃO</v>
      </c>
      <c r="J8" s="114" t="str">
        <f>IF(autocompJanta[[#This Row],[COMP ESCALA ANTERIOR]]="NÃO","NÃO",_xlfn.XLOOKUP(autocompJanta[[#This Row],[COMP ESCALA ANTERIOR]],tabE.Flux[COMP.AT. MOT B],tabE.Flux[LINHA],"NÃO",0,1))</f>
        <v>NÃO</v>
      </c>
      <c r="K8" s="115" t="str">
        <f>IF(AND(autocompJanta[[#This Row],[EXISTE MOT A ANT]]="NÃO",autocompJanta[[#This Row],[EXISTE MOT B ANT]]="NÃO"),"NÃO","SIM")</f>
        <v>NÃO</v>
      </c>
      <c r="L8" s="116" t="str">
        <f t="shared" si="0"/>
        <v>45886+JOAO DE JESUS GOUVEIA - 6016</v>
      </c>
      <c r="M8" s="106" t="str">
        <f>IF(autocompJanta[[#This Row],[COMP ESCALA POSTERIOR]]="NÃO","NÃO",_xlfn.XLOOKUP(autocompJanta[[#This Row],[COMP ESCALA POSTERIOR]],tabE.Flux[COMP.AT. MOT A],tabE.Flux[LINHA],"NÃO",0,1))</f>
        <v>NÃO</v>
      </c>
      <c r="N8" s="106" t="str">
        <f>IF(autocompJanta[[#This Row],[COMP ESCALA POSTERIOR]]="NÃO","NÃO",_xlfn.XLOOKUP(autocompJanta[[#This Row],[COMP ESCALA POSTERIOR]],tabE.Flux[COMP.AT. MOT B],tabE.Flux[LINHA],"NÃO",0,1))</f>
        <v>NÃO</v>
      </c>
      <c r="O8" s="107" t="str">
        <f>IF(AND(autocompJanta[[#This Row],[EXISTE MOT A POS]]="NÃO",autocompJanta[[#This Row],[EXISTE MOT B POS]]="NÃO"),"NÃO","SIM")</f>
        <v>NÃO</v>
      </c>
      <c r="P8" s="108" t="str" cm="1">
        <f t="array" ref="P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8" s="109" t="str" cm="1">
        <f t="array" ref="Q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45885+JOAO DE JESUS GOUVEIA - 6016+GOIANIA (GO) X SAO LUIS (MA)</v>
      </c>
      <c r="R8" s="110">
        <f>_xlfn.XLOOKUP(autocompJanta[[#This Row],[COMP ESCALA]],tabE.Flux[COMP. ESCALA MOT B],tabE.Flux[CARRO],
(_xlfn.XLOOKUP(autocompJanta[[#This Row],[COMP ESCALA]],tabE.Flux[COMP. ESCALA MOT A],tabE.Flux[CARRO],"N/E",0,1)),0,1)</f>
        <v>24016</v>
      </c>
      <c r="S8" s="124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8" s="125">
        <v>45885</v>
      </c>
      <c r="U8" s="4">
        <f>IF(IFERROR(autocompJanta[[#This Row],[CORRESP. CARRO]],"")="NÃO",(IF(tabJanta[[#This Row],[MOTORISTA]]=0,"","PASSE?")),autocompJanta[[#This Row],[CORRESP. CARRO]])</f>
        <v>24016</v>
      </c>
      <c r="V8" s="126">
        <f>IF(OR(ISERR(autocompJanta[[#This Row],[CORRESP HORARIO]]), autocompJanta[[#This Row],[CORRESP HORARIO]]&lt;&gt;"NÃO"),autocompJanta[[#This Row],[CORRESP HORARIO]],"")</f>
        <v>0.79166666666666663</v>
      </c>
      <c r="W8" s="4" t="s">
        <v>299</v>
      </c>
      <c r="X8" s="4" t="s">
        <v>58</v>
      </c>
      <c r="Y8" s="1">
        <f>IF(tabJanta[[#This Row],[MOTORISTA]]="","",COUNTIF(autocompJanta[COMP ESCALA ATUAL],autocompJanta[[#This Row],[COMP ESCALA ATUAL]]))</f>
        <v>1</v>
      </c>
      <c r="Z8" s="44">
        <f>IF(tabJanta[[#This Row],[MOTORISTA]]&lt;&gt;0,15,"")</f>
        <v>15</v>
      </c>
      <c r="AA8" s="4" t="str">
        <f>autocompJanta[[#This Row],[CORRESP LINHA]]</f>
        <v>GOIANIA (GO) X SAO LUIS (MA)</v>
      </c>
    </row>
    <row r="9" spans="2:27" hidden="1" x14ac:dyDescent="0.25">
      <c r="B9" s="7"/>
      <c r="C9" s="123" t="s">
        <v>302</v>
      </c>
      <c r="D9" s="104" t="str">
        <f>IF(tabJanta[[#This Row],[MOTORISTA]]="","",_xlfn.CONCAT(tabJanta[[#This Row],[DATA]],"+",tabJanta[[#This Row],[MOTORISTA]]))</f>
        <v>45885+RAIMUNDO COSTA SILVA - 6226</v>
      </c>
      <c r="E9" s="104" t="str">
        <f>_xlfn.XLOOKUP(autocompJanta[[#This Row],[COMP ESCALA ATUAL]],tabE.Flux[COMP.AT. MOT A],tabE.Flux[LINHA],"NÃO",0,1)</f>
        <v>NÃO</v>
      </c>
      <c r="F9" s="104" t="str">
        <f>_xlfn.XLOOKUP(autocompJanta[[#This Row],[COMP ESCALA ATUAL]],tabE.Flux[COMP.AT. MOT B],tabE.Flux[LINHA],"NÃO",0,1)</f>
        <v>GOIANIA (GO) X SAO LUIS (MA)</v>
      </c>
      <c r="G9" s="111" t="str">
        <f>IF(AND(autocompJanta[[#This Row],[EXISTE MOT A AT]]="NÃO", autocompJanta[[#This Row],[EXISTE MOT B AT]]="NÃO"),"NÃO","SIM")</f>
        <v>SIM</v>
      </c>
      <c r="H9" s="112" t="str">
        <f>IF(autocompJanta[[#This Row],[EXISTE ESCALA ATUAL]]="NÃO",_xlfn.CONCAT(tabJanta[[#This Row],[DATA]]-1,"+",tabJanta[[#This Row],[MOTORISTA]]),"NÃO")</f>
        <v>NÃO</v>
      </c>
      <c r="I9" s="113" t="str">
        <f>IF(autocompJanta[[#This Row],[COMP ESCALA ANTERIOR]]="NÃO","NÃO",_xlfn.XLOOKUP(autocompJanta[[#This Row],[COMP ESCALA ANTERIOR]],tabE.Flux[COMP.AT. MOT A],tabE.Flux[LINHA],"NÃO",0,1))</f>
        <v>NÃO</v>
      </c>
      <c r="J9" s="114" t="str">
        <f>IF(autocompJanta[[#This Row],[COMP ESCALA ANTERIOR]]="NÃO","NÃO",_xlfn.XLOOKUP(autocompJanta[[#This Row],[COMP ESCALA ANTERIOR]],tabE.Flux[COMP.AT. MOT B],tabE.Flux[LINHA],"NÃO",0,1))</f>
        <v>NÃO</v>
      </c>
      <c r="K9" s="115" t="str">
        <f>IF(AND(autocompJanta[[#This Row],[EXISTE MOT A ANT]]="NÃO",autocompJanta[[#This Row],[EXISTE MOT B ANT]]="NÃO"),"NÃO","SIM")</f>
        <v>NÃO</v>
      </c>
      <c r="L9" s="116" t="str">
        <f t="shared" si="0"/>
        <v>45886+RAIMUNDO COSTA SILVA - 6226</v>
      </c>
      <c r="M9" s="106" t="str">
        <f>IF(autocompJanta[[#This Row],[COMP ESCALA POSTERIOR]]="NÃO","NÃO",_xlfn.XLOOKUP(autocompJanta[[#This Row],[COMP ESCALA POSTERIOR]],tabE.Flux[COMP.AT. MOT A],tabE.Flux[LINHA],"NÃO",0,1))</f>
        <v>NÃO</v>
      </c>
      <c r="N9" s="106" t="str">
        <f>IF(autocompJanta[[#This Row],[COMP ESCALA POSTERIOR]]="NÃO","NÃO",_xlfn.XLOOKUP(autocompJanta[[#This Row],[COMP ESCALA POSTERIOR]],tabE.Flux[COMP.AT. MOT B],tabE.Flux[LINHA],"NÃO",0,1))</f>
        <v>NÃO</v>
      </c>
      <c r="O9" s="107" t="str">
        <f>IF(AND(autocompJanta[[#This Row],[EXISTE MOT A POS]]="NÃO",autocompJanta[[#This Row],[EXISTE MOT B POS]]="NÃO"),"NÃO","SIM")</f>
        <v>NÃO</v>
      </c>
      <c r="P9" s="108" t="str" cm="1">
        <f t="array" ref="P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9" s="109" t="str" cm="1">
        <f t="array" ref="Q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45885+RAIMUNDO COSTA SILVA - 6226+GOIANIA (GO) X SAO LUIS (MA)</v>
      </c>
      <c r="R9" s="110">
        <f>_xlfn.XLOOKUP(autocompJanta[[#This Row],[COMP ESCALA]],tabE.Flux[COMP. ESCALA MOT B],tabE.Flux[CARRO],
(_xlfn.XLOOKUP(autocompJanta[[#This Row],[COMP ESCALA]],tabE.Flux[COMP. ESCALA MOT A],tabE.Flux[CARRO],"N/E",0,1)),0,1)</f>
        <v>24015</v>
      </c>
      <c r="S9" s="124">
        <f>_xlfn.XLOOKUP(autocompJanta[[#This Row],[COMP ESCALA]],tabE.Flux[COMP. ESCALA MOT A],tabE.Flux[HORARIO],(_xlfn.XLOOKUP(autocompJanta[[#This Row],[COMP ESCALA]],tabE.Flux[COMP. ESCALA MOT B],tabE.Flux[HORARIO],"N/E",0,1)),0,1)</f>
        <v>0.84375</v>
      </c>
      <c r="T9" s="125">
        <v>45885</v>
      </c>
      <c r="U9" s="4">
        <f>IF(IFERROR(autocompJanta[[#This Row],[CORRESP. CARRO]],"")="NÃO",(IF(tabJanta[[#This Row],[MOTORISTA]]=0,"","PASSE?")),autocompJanta[[#This Row],[CORRESP. CARRO]])</f>
        <v>24015</v>
      </c>
      <c r="V9" s="126">
        <f>IF(OR(ISERR(autocompJanta[[#This Row],[CORRESP HORARIO]]), autocompJanta[[#This Row],[CORRESP HORARIO]]&lt;&gt;"NÃO"),autocompJanta[[#This Row],[CORRESP HORARIO]],"")</f>
        <v>0.84375</v>
      </c>
      <c r="W9" s="4" t="s">
        <v>299</v>
      </c>
      <c r="X9" s="4" t="s">
        <v>45</v>
      </c>
      <c r="Y9" s="1">
        <f>IF(tabJanta[[#This Row],[MOTORISTA]]="","",COUNTIF(autocompJanta[COMP ESCALA ATUAL],autocompJanta[[#This Row],[COMP ESCALA ATUAL]]))</f>
        <v>1</v>
      </c>
      <c r="Z9" s="44">
        <f>IF(tabJanta[[#This Row],[MOTORISTA]]&lt;&gt;0,15,"")</f>
        <v>15</v>
      </c>
      <c r="AA9" s="4" t="str">
        <f>autocompJanta[[#This Row],[CORRESP LINHA]]</f>
        <v>GOIANIA (GO) X SAO LUIS (MA)</v>
      </c>
    </row>
    <row r="10" spans="2:27" hidden="1" x14ac:dyDescent="0.25">
      <c r="B10" s="7"/>
      <c r="C10" s="123" t="s">
        <v>303</v>
      </c>
      <c r="D10" s="104" t="str">
        <f>IF(tabJanta[[#This Row],[MOTORISTA]]="","",_xlfn.CONCAT(tabJanta[[#This Row],[DATA]],"+",tabJanta[[#This Row],[MOTORISTA]]))</f>
        <v>45886+CARLOS ADRIANO DE SOUZA DO NASCIMENTO - 6222</v>
      </c>
      <c r="E10" s="104" t="str">
        <f>_xlfn.XLOOKUP(autocompJanta[[#This Row],[COMP ESCALA ATUAL]],tabE.Flux[COMP.AT. MOT A],tabE.Flux[LINHA],"NÃO",0,1)</f>
        <v>NÃO</v>
      </c>
      <c r="F10" s="104" t="str">
        <f>_xlfn.XLOOKUP(autocompJanta[[#This Row],[COMP ESCALA ATUAL]],tabE.Flux[COMP.AT. MOT B],tabE.Flux[LINHA],"NÃO",0,1)</f>
        <v>GOIANIA (GO) X SAO LUIS (MA)</v>
      </c>
      <c r="G10" s="111" t="str">
        <f>IF(AND(autocompJanta[[#This Row],[EXISTE MOT A AT]]="NÃO", autocompJanta[[#This Row],[EXISTE MOT B AT]]="NÃO"),"NÃO","SIM")</f>
        <v>SIM</v>
      </c>
      <c r="H10" s="112" t="str">
        <f>IF(autocompJanta[[#This Row],[EXISTE ESCALA ATUAL]]="NÃO",_xlfn.CONCAT(tabJanta[[#This Row],[DATA]]-1,"+",tabJanta[[#This Row],[MOTORISTA]]),"NÃO")</f>
        <v>NÃO</v>
      </c>
      <c r="I10" s="113" t="str">
        <f>IF(autocompJanta[[#This Row],[COMP ESCALA ANTERIOR]]="NÃO","NÃO",_xlfn.XLOOKUP(autocompJanta[[#This Row],[COMP ESCALA ANTERIOR]],tabE.Flux[COMP.AT. MOT A],tabE.Flux[LINHA],"NÃO",0,1))</f>
        <v>NÃO</v>
      </c>
      <c r="J10" s="114" t="str">
        <f>IF(autocompJanta[[#This Row],[COMP ESCALA ANTERIOR]]="NÃO","NÃO",_xlfn.XLOOKUP(autocompJanta[[#This Row],[COMP ESCALA ANTERIOR]],tabE.Flux[COMP.AT. MOT B],tabE.Flux[LINHA],"NÃO",0,1))</f>
        <v>NÃO</v>
      </c>
      <c r="K10" s="115" t="str">
        <f>IF(AND(autocompJanta[[#This Row],[EXISTE MOT A ANT]]="NÃO",autocompJanta[[#This Row],[EXISTE MOT B ANT]]="NÃO"),"NÃO","SIM")</f>
        <v>NÃO</v>
      </c>
      <c r="L10" s="116" t="str">
        <f t="shared" si="0"/>
        <v>45887+CARLOS ADRIANO DE SOUZA DO NASCIMENTO - 6222</v>
      </c>
      <c r="M10" s="106" t="str">
        <f>IF(autocompJanta[[#This Row],[COMP ESCALA POSTERIOR]]="NÃO","NÃO",_xlfn.XLOOKUP(autocompJanta[[#This Row],[COMP ESCALA POSTERIOR]],tabE.Flux[COMP.AT. MOT A],tabE.Flux[LINHA],"NÃO",0,1))</f>
        <v>NÃO</v>
      </c>
      <c r="N10" s="106" t="str">
        <f>IF(autocompJanta[[#This Row],[COMP ESCALA POSTERIOR]]="NÃO","NÃO",_xlfn.XLOOKUP(autocompJanta[[#This Row],[COMP ESCALA POSTERIOR]],tabE.Flux[COMP.AT. MOT B],tabE.Flux[LINHA],"NÃO",0,1))</f>
        <v>NÃO</v>
      </c>
      <c r="O10" s="107" t="str">
        <f>IF(AND(autocompJanta[[#This Row],[EXISTE MOT A POS]]="NÃO",autocompJanta[[#This Row],[EXISTE MOT B POS]]="NÃO"),"NÃO","SIM")</f>
        <v>NÃO</v>
      </c>
      <c r="P10" s="108" t="str" cm="1">
        <f t="array" ref="P1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0" s="109" t="str" cm="1">
        <f t="array" ref="Q1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45886+CARLOS ADRIANO DE SOUZA DO NASCIMENTO - 6222+GOIANIA (GO) X SAO LUIS (MA)</v>
      </c>
      <c r="R10" s="110">
        <f>_xlfn.XLOOKUP(autocompJanta[[#This Row],[COMP ESCALA]],tabE.Flux[COMP. ESCALA MOT B],tabE.Flux[CARRO],
(_xlfn.XLOOKUP(autocompJanta[[#This Row],[COMP ESCALA]],tabE.Flux[COMP. ESCALA MOT A],tabE.Flux[CARRO],"N/E",0,1)),0,1)</f>
        <v>19015</v>
      </c>
      <c r="S10" s="124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0" s="125">
        <v>45886</v>
      </c>
      <c r="U10" s="4">
        <f>IF(IFERROR(autocompJanta[[#This Row],[CORRESP. CARRO]],"")="NÃO",(IF(tabJanta[[#This Row],[MOTORISTA]]=0,"","PASSE?")),autocompJanta[[#This Row],[CORRESP. CARRO]])</f>
        <v>19015</v>
      </c>
      <c r="V10" s="126">
        <f>IF(OR(ISERR(autocompJanta[[#This Row],[CORRESP HORARIO]]), autocompJanta[[#This Row],[CORRESP HORARIO]]&lt;&gt;"NÃO"),autocompJanta[[#This Row],[CORRESP HORARIO]],"")</f>
        <v>0.47013888888888888</v>
      </c>
      <c r="W10" s="4" t="s">
        <v>299</v>
      </c>
      <c r="X10" s="4" t="s">
        <v>110</v>
      </c>
      <c r="Y10" s="1">
        <f>IF(tabJanta[[#This Row],[MOTORISTA]]="","",COUNTIF(autocompJanta[COMP ESCALA ATUAL],autocompJanta[[#This Row],[COMP ESCALA ATUAL]]))</f>
        <v>1</v>
      </c>
      <c r="Z10" s="44">
        <f>IF(tabJanta[[#This Row],[MOTORISTA]]&lt;&gt;0,15,"")</f>
        <v>15</v>
      </c>
      <c r="AA10" s="4" t="str">
        <f>autocompJanta[[#This Row],[CORRESP LINHA]]</f>
        <v>GOIANIA (GO) X SAO LUIS (MA)</v>
      </c>
    </row>
    <row r="11" spans="2:27" hidden="1" x14ac:dyDescent="0.25">
      <c r="B11" s="7"/>
      <c r="C11" s="123" t="s">
        <v>304</v>
      </c>
      <c r="D11" s="104" t="str">
        <f>IF(tabJanta[[#This Row],[MOTORISTA]]="","",_xlfn.CONCAT(tabJanta[[#This Row],[DATA]],"+",tabJanta[[#This Row],[MOTORISTA]]))</f>
        <v>45886+KAYLSON KLEYTON DA SILVA COSTA - 6224</v>
      </c>
      <c r="E11" s="104" t="str">
        <f>_xlfn.XLOOKUP(autocompJanta[[#This Row],[COMP ESCALA ATUAL]],tabE.Flux[COMP.AT. MOT A],tabE.Flux[LINHA],"NÃO",0,1)</f>
        <v>NÃO</v>
      </c>
      <c r="F11" s="104" t="str">
        <f>_xlfn.XLOOKUP(autocompJanta[[#This Row],[COMP ESCALA ATUAL]],tabE.Flux[COMP.AT. MOT B],tabE.Flux[LINHA],"NÃO",0,1)</f>
        <v>GOIANIA (GO) X SAO LUIS (MA)</v>
      </c>
      <c r="G11" s="111" t="str">
        <f>IF(AND(autocompJanta[[#This Row],[EXISTE MOT A AT]]="NÃO", autocompJanta[[#This Row],[EXISTE MOT B AT]]="NÃO"),"NÃO","SIM")</f>
        <v>SIM</v>
      </c>
      <c r="H11" s="112" t="str">
        <f>IF(autocompJanta[[#This Row],[EXISTE ESCALA ATUAL]]="NÃO",_xlfn.CONCAT(tabJanta[[#This Row],[DATA]]-1,"+",tabJanta[[#This Row],[MOTORISTA]]),"NÃO")</f>
        <v>NÃO</v>
      </c>
      <c r="I11" s="113" t="str">
        <f>IF(autocompJanta[[#This Row],[COMP ESCALA ANTERIOR]]="NÃO","NÃO",_xlfn.XLOOKUP(autocompJanta[[#This Row],[COMP ESCALA ANTERIOR]],tabE.Flux[COMP.AT. MOT A],tabE.Flux[LINHA],"NÃO",0,1))</f>
        <v>NÃO</v>
      </c>
      <c r="J11" s="114" t="str">
        <f>IF(autocompJanta[[#This Row],[COMP ESCALA ANTERIOR]]="NÃO","NÃO",_xlfn.XLOOKUP(autocompJanta[[#This Row],[COMP ESCALA ANTERIOR]],tabE.Flux[COMP.AT. MOT B],tabE.Flux[LINHA],"NÃO",0,1))</f>
        <v>NÃO</v>
      </c>
      <c r="K11" s="115" t="str">
        <f>IF(AND(autocompJanta[[#This Row],[EXISTE MOT A ANT]]="NÃO",autocompJanta[[#This Row],[EXISTE MOT B ANT]]="NÃO"),"NÃO","SIM")</f>
        <v>NÃO</v>
      </c>
      <c r="L11" s="116" t="str">
        <f t="shared" si="0"/>
        <v>45887+KAYLSON KLEYTON DA SILVA COSTA - 6224</v>
      </c>
      <c r="M11" s="106" t="str">
        <f>IF(autocompJanta[[#This Row],[COMP ESCALA POSTERIOR]]="NÃO","NÃO",_xlfn.XLOOKUP(autocompJanta[[#This Row],[COMP ESCALA POSTERIOR]],tabE.Flux[COMP.AT. MOT A],tabE.Flux[LINHA],"NÃO",0,1))</f>
        <v>NÃO</v>
      </c>
      <c r="N11" s="106" t="str">
        <f>IF(autocompJanta[[#This Row],[COMP ESCALA POSTERIOR]]="NÃO","NÃO",_xlfn.XLOOKUP(autocompJanta[[#This Row],[COMP ESCALA POSTERIOR]],tabE.Flux[COMP.AT. MOT B],tabE.Flux[LINHA],"NÃO",0,1))</f>
        <v>NÃO</v>
      </c>
      <c r="O11" s="107" t="str">
        <f>IF(AND(autocompJanta[[#This Row],[EXISTE MOT A POS]]="NÃO",autocompJanta[[#This Row],[EXISTE MOT B POS]]="NÃO"),"NÃO","SIM")</f>
        <v>NÃO</v>
      </c>
      <c r="P11" s="108" t="str" cm="1">
        <f t="array" ref="P1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1" s="109" t="str" cm="1">
        <f t="array" ref="Q1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45886+KAYLSON KLEYTON DA SILVA COSTA - 6224+GOIANIA (GO) X SAO LUIS (MA)</v>
      </c>
      <c r="R11" s="110">
        <f>_xlfn.XLOOKUP(autocompJanta[[#This Row],[COMP ESCALA]],tabE.Flux[COMP. ESCALA MOT B],tabE.Flux[CARRO],
(_xlfn.XLOOKUP(autocompJanta[[#This Row],[COMP ESCALA]],tabE.Flux[COMP. ESCALA MOT A],tabE.Flux[CARRO],"N/E",0,1)),0,1)</f>
        <v>24004</v>
      </c>
      <c r="S11" s="124">
        <f>_xlfn.XLOOKUP(autocompJanta[[#This Row],[COMP ESCALA]],tabE.Flux[COMP. ESCALA MOT A],tabE.Flux[HORARIO],(_xlfn.XLOOKUP(autocompJanta[[#This Row],[COMP ESCALA]],tabE.Flux[COMP. ESCALA MOT B],tabE.Flux[HORARIO],"N/E",0,1)),0,1)</f>
        <v>0.84375</v>
      </c>
      <c r="T11" s="127">
        <v>45886</v>
      </c>
      <c r="U11" s="4">
        <f>IF(IFERROR(autocompJanta[[#This Row],[CORRESP. CARRO]],"")="NÃO",(IF(tabJanta[[#This Row],[MOTORISTA]]=0,"","PASSE?")),autocompJanta[[#This Row],[CORRESP. CARRO]])</f>
        <v>24004</v>
      </c>
      <c r="V11" s="128">
        <f>IF(OR(ISERR(autocompJanta[[#This Row],[CORRESP HORARIO]]), autocompJanta[[#This Row],[CORRESP HORARIO]]&lt;&gt;"NÃO"),autocompJanta[[#This Row],[CORRESP HORARIO]],"")</f>
        <v>0.84375</v>
      </c>
      <c r="W11" s="4" t="s">
        <v>299</v>
      </c>
      <c r="X11" s="4" t="s">
        <v>80</v>
      </c>
      <c r="Y11" s="4">
        <f>IF(tabJanta[[#This Row],[MOTORISTA]]="","",COUNTIF(autocompJanta[COMP ESCALA ATUAL],autocompJanta[[#This Row],[COMP ESCALA ATUAL]]))</f>
        <v>1</v>
      </c>
      <c r="Z11" s="44">
        <f>IF(tabJanta[[#This Row],[MOTORISTA]]&lt;&gt;0,15,"")</f>
        <v>15</v>
      </c>
      <c r="AA11" s="4" t="str">
        <f>autocompJanta[[#This Row],[CORRESP LINHA]]</f>
        <v>GOIANIA (GO) X SAO LUIS (MA)</v>
      </c>
    </row>
    <row r="12" spans="2:27" hidden="1" x14ac:dyDescent="0.25">
      <c r="B12" s="7"/>
      <c r="C12" s="123" t="s">
        <v>305</v>
      </c>
      <c r="D12" s="104" t="str">
        <f>IF(tabJanta[[#This Row],[MOTORISTA]]="","",_xlfn.CONCAT(tabJanta[[#This Row],[DATA]],"+",tabJanta[[#This Row],[MOTORISTA]]))</f>
        <v>45886+MARCIO DE SOUSA BRASILEIRO - 5828</v>
      </c>
      <c r="E12" s="104" t="str">
        <f>_xlfn.XLOOKUP(autocompJanta[[#This Row],[COMP ESCALA ATUAL]],tabE.Flux[COMP.AT. MOT A],tabE.Flux[LINHA],"NÃO",0,1)</f>
        <v>NÃO</v>
      </c>
      <c r="F12" s="104" t="str">
        <f>_xlfn.XLOOKUP(autocompJanta[[#This Row],[COMP ESCALA ATUAL]],tabE.Flux[COMP.AT. MOT B],tabE.Flux[LINHA],"NÃO",0,1)</f>
        <v>NÃO</v>
      </c>
      <c r="G12" s="111" t="str">
        <f>IF(AND(autocompJanta[[#This Row],[EXISTE MOT A AT]]="NÃO", autocompJanta[[#This Row],[EXISTE MOT B AT]]="NÃO"),"NÃO","SIM")</f>
        <v>NÃO</v>
      </c>
      <c r="H12" s="112" t="str">
        <f>IF(autocompJanta[[#This Row],[EXISTE ESCALA ATUAL]]="NÃO",_xlfn.CONCAT(tabJanta[[#This Row],[DATA]]-1,"+",tabJanta[[#This Row],[MOTORISTA]]),"NÃO")</f>
        <v>45885+MARCIO DE SOUSA BRASILEIRO - 5828</v>
      </c>
      <c r="I12" s="113" t="str">
        <f>IF(autocompJanta[[#This Row],[COMP ESCALA ANTERIOR]]="NÃO","NÃO",_xlfn.XLOOKUP(autocompJanta[[#This Row],[COMP ESCALA ANTERIOR]],tabE.Flux[COMP.AT. MOT A],tabE.Flux[LINHA],"NÃO",0,1))</f>
        <v>NÃO</v>
      </c>
      <c r="J12" s="114" t="str">
        <f>IF(autocompJanta[[#This Row],[COMP ESCALA ANTERIOR]]="NÃO","NÃO",_xlfn.XLOOKUP(autocompJanta[[#This Row],[COMP ESCALA ANTERIOR]],tabE.Flux[COMP.AT. MOT B],tabE.Flux[LINHA],"NÃO",0,1))</f>
        <v>NÃO</v>
      </c>
      <c r="K12" s="115" t="str">
        <f>IF(AND(autocompJanta[[#This Row],[EXISTE MOT A ANT]]="NÃO",autocompJanta[[#This Row],[EXISTE MOT B ANT]]="NÃO"),"NÃO","SIM")</f>
        <v>NÃO</v>
      </c>
      <c r="L12" s="116" t="str">
        <f t="shared" si="0"/>
        <v>45887+MARCIO DE SOUSA BRASILEIRO - 5828</v>
      </c>
      <c r="M12" s="106" t="str">
        <f>IF(autocompJanta[[#This Row],[COMP ESCALA POSTERIOR]]="NÃO","NÃO",_xlfn.XLOOKUP(autocompJanta[[#This Row],[COMP ESCALA POSTERIOR]],tabE.Flux[COMP.AT. MOT A],tabE.Flux[LINHA],"NÃO",0,1))</f>
        <v>NÃO</v>
      </c>
      <c r="N12" s="106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12" s="107" t="str">
        <f>IF(AND(autocompJanta[[#This Row],[EXISTE MOT A POS]]="NÃO",autocompJanta[[#This Row],[EXISTE MOT B POS]]="NÃO"),"NÃO","SIM")</f>
        <v>SIM</v>
      </c>
      <c r="P12" s="108" t="str" cm="1">
        <f t="array" ref="P1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2" s="109" t="str" cm="1">
        <f t="array" ref="Q1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45887+MARCIO DE SOUSA BRASILEIRO - 5828+GOIANIA (GO) X TERESINA (PI) VIA STI</v>
      </c>
      <c r="R12" s="110">
        <f>_xlfn.XLOOKUP(autocompJanta[[#This Row],[COMP ESCALA]],tabE.Flux[COMP. ESCALA MOT B],tabE.Flux[CARRO],
(_xlfn.XLOOKUP(autocompJanta[[#This Row],[COMP ESCALA]],tabE.Flux[COMP. ESCALA MOT A],tabE.Flux[CARRO],"N/E",0,1)),0,1)</f>
        <v>19017</v>
      </c>
      <c r="S12" s="124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2" s="125">
        <v>45886</v>
      </c>
      <c r="U12" s="1">
        <f>IF(IFERROR(autocompJanta[[#This Row],[CORRESP. CARRO]],"")="NÃO",(IF(tabJanta[[#This Row],[MOTORISTA]]=0,"","PASSE?")),autocompJanta[[#This Row],[CORRESP. CARRO]])</f>
        <v>19017</v>
      </c>
      <c r="V12" s="126">
        <f>IF(OR(ISERR(autocompJanta[[#This Row],[CORRESP HORARIO]]), autocompJanta[[#This Row],[CORRESP HORARIO]]&lt;&gt;"NÃO"),autocompJanta[[#This Row],[CORRESP HORARIO]],"")</f>
        <v>0.79861111111111116</v>
      </c>
      <c r="W12" s="1" t="s">
        <v>299</v>
      </c>
      <c r="X12" s="1" t="s">
        <v>129</v>
      </c>
      <c r="Y12" s="1">
        <f>IF(tabJanta[[#This Row],[MOTORISTA]]="","",COUNTIF(autocompJanta[COMP ESCALA ATUAL],autocompJanta[[#This Row],[COMP ESCALA ATUAL]]))</f>
        <v>1</v>
      </c>
      <c r="Z12" s="105">
        <f>IF(tabJanta[[#This Row],[MOTORISTA]]&lt;&gt;0,15,"")</f>
        <v>15</v>
      </c>
      <c r="AA12" s="1" t="str">
        <f>autocompJanta[[#This Row],[CORRESP LINHA]]</f>
        <v>GOIANIA (GO) X TERESINA (PI) VIA STI</v>
      </c>
    </row>
    <row r="13" spans="2:27" hidden="1" x14ac:dyDescent="0.25">
      <c r="C13" s="129" t="s">
        <v>226</v>
      </c>
      <c r="D13" s="56" t="str">
        <f>IF(tabJanta[[#This Row],[MOTORISTA]]="","",_xlfn.CONCAT(tabJanta[[#This Row],[DATA]],"+",tabJanta[[#This Row],[MOTORISTA]]))</f>
        <v>45886+CLODOALDO PEREIRA DE LIMA - 4067</v>
      </c>
      <c r="E13" s="56" t="str">
        <f>_xlfn.XLOOKUP(autocompJanta[[#This Row],[COMP ESCALA ATUAL]],tabE.Flux[COMP.AT. MOT A],tabE.Flux[LINHA],"NÃO",0,1)</f>
        <v>GOIANIA (GO) X SAO LUIS (MA)</v>
      </c>
      <c r="F13" s="56" t="str">
        <f>_xlfn.XLOOKUP(autocompJanta[[#This Row],[COMP ESCALA ATUAL]],tabE.Flux[COMP.AT. MOT B],tabE.Flux[LINHA],"NÃO",0,1)</f>
        <v>NÃO</v>
      </c>
      <c r="G13" s="61" t="str">
        <f>IF(AND(autocompJanta[[#This Row],[EXISTE MOT A AT]]="NÃO", autocompJanta[[#This Row],[EXISTE MOT B AT]]="NÃO"),"NÃO","SIM")</f>
        <v>SIM</v>
      </c>
      <c r="H13" s="71" t="str">
        <f>IF(autocompJanta[[#This Row],[EXISTE ESCALA ATUAL]]="NÃO",_xlfn.CONCAT(tabJanta[[#This Row],[DATA]]-1,"+",tabJanta[[#This Row],[MOTORISTA]]),"NÃO")</f>
        <v>NÃO</v>
      </c>
      <c r="I13" s="57" t="str">
        <f>IF(autocompJanta[[#This Row],[COMP ESCALA ANTERIOR]]="NÃO","NÃO",_xlfn.XLOOKUP(autocompJanta[[#This Row],[COMP ESCALA ANTERIOR]],tabE.Flux[COMP.AT. MOT A],tabE.Flux[LINHA],"NÃO",0,1))</f>
        <v>NÃO</v>
      </c>
      <c r="J13" s="58" t="str">
        <f>IF(autocompJanta[[#This Row],[COMP ESCALA ANTERIOR]]="NÃO","NÃO",_xlfn.XLOOKUP(autocompJanta[[#This Row],[COMP ESCALA ANTERIOR]],tabE.Flux[COMP.AT. MOT B],tabE.Flux[LINHA],"NÃO",0,1))</f>
        <v>NÃO</v>
      </c>
      <c r="K13" s="62" t="str">
        <f>IF(AND(autocompJanta[[#This Row],[EXISTE MOT A ANT]]="NÃO",autocompJanta[[#This Row],[EXISTE MOT B ANT]]="NÃO"),"NÃO","SIM")</f>
        <v>NÃO</v>
      </c>
      <c r="L13" s="73" t="str">
        <f t="shared" si="0"/>
        <v>45887+CLODOALDO PEREIRA DE LIMA - 4067</v>
      </c>
      <c r="M13" s="59" t="str">
        <f>IF(autocompJanta[[#This Row],[COMP ESCALA POSTERIOR]]="NÃO","NÃO",_xlfn.XLOOKUP(autocompJanta[[#This Row],[COMP ESCALA POSTERIOR]],tabE.Flux[COMP.AT. MOT A],tabE.Flux[LINHA],"NÃO",0,1))</f>
        <v>NÃO</v>
      </c>
      <c r="N13" s="59" t="str">
        <f>IF(autocompJanta[[#This Row],[COMP ESCALA POSTERIOR]]="NÃO","NÃO",_xlfn.XLOOKUP(autocompJanta[[#This Row],[COMP ESCALA POSTERIOR]],tabE.Flux[COMP.AT. MOT B],tabE.Flux[LINHA],"NÃO",0,1))</f>
        <v>GOIANIA (GO) X SAO LUIS (MA)</v>
      </c>
      <c r="O13" s="65" t="str">
        <f>IF(AND(autocompJanta[[#This Row],[EXISTE MOT A POS]]="NÃO",autocompJanta[[#This Row],[EXISTE MOT B POS]]="NÃO"),"NÃO","SIM")</f>
        <v>SIM</v>
      </c>
      <c r="P13" s="66" t="str" cm="1">
        <f t="array" ref="P1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3" s="75" t="str" cm="1">
        <f t="array" ref="Q1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45886+CLODOALDO PEREIRA DE LIMA - 4067+GOIANIA (GO) X SAO LUIS (MA)</v>
      </c>
      <c r="R13" s="67">
        <f>_xlfn.XLOOKUP(autocompJanta[[#This Row],[COMP ESCALA]],tabE.Flux[COMP. ESCALA MOT B],tabE.Flux[CARRO],
(_xlfn.XLOOKUP(autocompJanta[[#This Row],[COMP ESCALA]],tabE.Flux[COMP. ESCALA MOT A],tabE.Flux[CARRO],"N/E",0,1)),0,1)</f>
        <v>19015</v>
      </c>
      <c r="S13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3" s="125">
        <v>45886</v>
      </c>
      <c r="U13" s="4">
        <f>IF(IFERROR(autocompJanta[[#This Row],[CORRESP. CARRO]],"")="NÃO",(IF(tabJanta[[#This Row],[MOTORISTA]]=0,"","PASSE?")),autocompJanta[[#This Row],[CORRESP. CARRO]])</f>
        <v>19015</v>
      </c>
      <c r="V13" s="126">
        <f>IF(OR(ISERR(autocompJanta[[#This Row],[CORRESP HORARIO]]), autocompJanta[[#This Row],[CORRESP HORARIO]]&lt;&gt;"NÃO"),autocompJanta[[#This Row],[CORRESP HORARIO]],"")</f>
        <v>0.47013888888888888</v>
      </c>
      <c r="W13" s="4" t="s">
        <v>299</v>
      </c>
      <c r="X13" s="4" t="s">
        <v>109</v>
      </c>
      <c r="Y13" s="1">
        <f>IF(tabJanta[[#This Row],[MOTORISTA]]="","",COUNTIF(autocompJanta[COMP ESCALA ATUAL],autocompJanta[[#This Row],[COMP ESCALA ATUAL]]))</f>
        <v>1</v>
      </c>
      <c r="Z13" s="45">
        <f>IF(tabJanta[[#This Row],[MOTORISTA]]&lt;&gt;0,15,"")</f>
        <v>15</v>
      </c>
      <c r="AA13" s="4" t="str">
        <f>autocompJanta[[#This Row],[CORRESP LINHA]]</f>
        <v>GOIANIA (GO) X SAO LUIS (MA)</v>
      </c>
    </row>
    <row r="14" spans="2:27" hidden="1" x14ac:dyDescent="0.25">
      <c r="C14" s="129" t="s">
        <v>226</v>
      </c>
      <c r="D14" s="56" t="str">
        <f>IF(tabJanta[[#This Row],[MOTORISTA]]="","",_xlfn.CONCAT(tabJanta[[#This Row],[DATA]],"+",tabJanta[[#This Row],[MOTORISTA]]))</f>
        <v>45887+PAULO ENEAS FARIAS ARAUJO - 6218</v>
      </c>
      <c r="E14" s="56" t="str">
        <f>_xlfn.XLOOKUP(autocompJanta[[#This Row],[COMP ESCALA ATUAL]],tabE.Flux[COMP.AT. MOT A],tabE.Flux[LINHA],"NÃO",0,1)</f>
        <v>NÃO</v>
      </c>
      <c r="F14" s="56" t="str">
        <f>_xlfn.XLOOKUP(autocompJanta[[#This Row],[COMP ESCALA ATUAL]],tabE.Flux[COMP.AT. MOT B],tabE.Flux[LINHA],"NÃO",0,1)</f>
        <v>GOIANIA (GO) X SAO LUIS (MA)</v>
      </c>
      <c r="G14" s="61" t="str">
        <f>IF(AND(autocompJanta[[#This Row],[EXISTE MOT A AT]]="NÃO", autocompJanta[[#This Row],[EXISTE MOT B AT]]="NÃO"),"NÃO","SIM")</f>
        <v>SIM</v>
      </c>
      <c r="H14" s="71" t="str">
        <f>IF(autocompJanta[[#This Row],[EXISTE ESCALA ATUAL]]="NÃO",_xlfn.CONCAT(tabJanta[[#This Row],[DATA]]-1,"+",tabJanta[[#This Row],[MOTORISTA]]),"NÃO")</f>
        <v>NÃO</v>
      </c>
      <c r="I14" s="57" t="str">
        <f>IF(autocompJanta[[#This Row],[COMP ESCALA ANTERIOR]]="NÃO","NÃO",_xlfn.XLOOKUP(autocompJanta[[#This Row],[COMP ESCALA ANTERIOR]],tabE.Flux[COMP.AT. MOT A],tabE.Flux[LINHA],"NÃO",0,1))</f>
        <v>NÃO</v>
      </c>
      <c r="J14" s="58" t="str">
        <f>IF(autocompJanta[[#This Row],[COMP ESCALA ANTERIOR]]="NÃO","NÃO",_xlfn.XLOOKUP(autocompJanta[[#This Row],[COMP ESCALA ANTERIOR]],tabE.Flux[COMP.AT. MOT B],tabE.Flux[LINHA],"NÃO",0,1))</f>
        <v>NÃO</v>
      </c>
      <c r="K14" s="62" t="str">
        <f>IF(AND(autocompJanta[[#This Row],[EXISTE MOT A ANT]]="NÃO",autocompJanta[[#This Row],[EXISTE MOT B ANT]]="NÃO"),"NÃO","SIM")</f>
        <v>NÃO</v>
      </c>
      <c r="L14" s="73" t="str">
        <f t="shared" si="0"/>
        <v>45888+PAULO ENEAS FARIAS ARAUJO - 6218</v>
      </c>
      <c r="M14" s="59" t="str">
        <f>IF(autocompJanta[[#This Row],[COMP ESCALA POSTERIOR]]="NÃO","NÃO",_xlfn.XLOOKUP(autocompJanta[[#This Row],[COMP ESCALA POSTERIOR]],tabE.Flux[COMP.AT. MOT A],tabE.Flux[LINHA],"NÃO",0,1))</f>
        <v>NÃO</v>
      </c>
      <c r="N14" s="59" t="str">
        <f>IF(autocompJanta[[#This Row],[COMP ESCALA POSTERIOR]]="NÃO","NÃO",_xlfn.XLOOKUP(autocompJanta[[#This Row],[COMP ESCALA POSTERIOR]],tabE.Flux[COMP.AT. MOT B],tabE.Flux[LINHA],"NÃO",0,1))</f>
        <v>NÃO</v>
      </c>
      <c r="O14" s="65" t="str">
        <f>IF(AND(autocompJanta[[#This Row],[EXISTE MOT A POS]]="NÃO",autocompJanta[[#This Row],[EXISTE MOT B POS]]="NÃO"),"NÃO","SIM")</f>
        <v>NÃO</v>
      </c>
      <c r="P14" s="66" t="str" cm="1">
        <f t="array" ref="P1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4" s="75" t="str" cm="1">
        <f t="array" ref="Q1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45887+PAULO ENEAS FARIAS ARAUJO - 6218+GOIANIA (GO) X SAO LUIS (MA)</v>
      </c>
      <c r="R14" s="67">
        <f>_xlfn.XLOOKUP(autocompJanta[[#This Row],[COMP ESCALA]],tabE.Flux[COMP. ESCALA MOT B],tabE.Flux[CARRO],
(_xlfn.XLOOKUP(autocompJanta[[#This Row],[COMP ESCALA]],tabE.Flux[COMP. ESCALA MOT A],tabE.Flux[CARRO],"N/E",0,1)),0,1)</f>
        <v>19002</v>
      </c>
      <c r="S14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4" s="127">
        <v>45887</v>
      </c>
      <c r="U14" s="4">
        <f>IF(IFERROR(autocompJanta[[#This Row],[CORRESP. CARRO]],"")="NÃO",(IF(tabJanta[[#This Row],[MOTORISTA]]=0,"","PASSE?")),autocompJanta[[#This Row],[CORRESP. CARRO]])</f>
        <v>19002</v>
      </c>
      <c r="V14" s="126">
        <f>IF(OR(ISERR(autocompJanta[[#This Row],[CORRESP HORARIO]]), autocompJanta[[#This Row],[CORRESP HORARIO]]&lt;&gt;"NÃO"),autocompJanta[[#This Row],[CORRESP HORARIO]],"")</f>
        <v>0.47013888888888888</v>
      </c>
      <c r="W14" s="4" t="s">
        <v>299</v>
      </c>
      <c r="X14" s="4" t="s">
        <v>43</v>
      </c>
      <c r="Y14" s="1">
        <f>IF(tabJanta[[#This Row],[MOTORISTA]]="","",COUNTIF(autocompJanta[COMP ESCALA ATUAL],autocompJanta[[#This Row],[COMP ESCALA ATUAL]]))</f>
        <v>1</v>
      </c>
      <c r="Z14" s="45">
        <f>IF(tabJanta[[#This Row],[MOTORISTA]]&lt;&gt;0,15,"")</f>
        <v>15</v>
      </c>
      <c r="AA14" s="4" t="str">
        <f>autocompJanta[[#This Row],[CORRESP LINHA]]</f>
        <v>GOIANIA (GO) X SAO LUIS (MA)</v>
      </c>
    </row>
    <row r="15" spans="2:27" hidden="1" x14ac:dyDescent="0.25">
      <c r="C15" s="129" t="s">
        <v>226</v>
      </c>
      <c r="D15" s="56" t="str">
        <f>IF(tabJanta[[#This Row],[MOTORISTA]]="","",_xlfn.CONCAT(tabJanta[[#This Row],[DATA]],"+",tabJanta[[#This Row],[MOTORISTA]]))</f>
        <v>45887+ALTEMAR DO NASCIMENTO LIMA - 6225</v>
      </c>
      <c r="E15" s="56" t="str">
        <f>_xlfn.XLOOKUP(autocompJanta[[#This Row],[COMP ESCALA ATUAL]],tabE.Flux[COMP.AT. MOT A],tabE.Flux[LINHA],"NÃO",0,1)</f>
        <v>GOIANIA (GO) X SAO LUIS (MA)</v>
      </c>
      <c r="F15" s="56" t="str">
        <f>_xlfn.XLOOKUP(autocompJanta[[#This Row],[COMP ESCALA ATUAL]],tabE.Flux[COMP.AT. MOT B],tabE.Flux[LINHA],"NÃO",0,1)</f>
        <v>GOIANIA (GO) X SAO LUIS (MA)</v>
      </c>
      <c r="G15" s="61" t="str">
        <f>IF(AND(autocompJanta[[#This Row],[EXISTE MOT A AT]]="NÃO", autocompJanta[[#This Row],[EXISTE MOT B AT]]="NÃO"),"NÃO","SIM")</f>
        <v>SIM</v>
      </c>
      <c r="H15" s="71" t="str">
        <f>IF(autocompJanta[[#This Row],[EXISTE ESCALA ATUAL]]="NÃO",_xlfn.CONCAT(tabJanta[[#This Row],[DATA]]-1,"+",tabJanta[[#This Row],[MOTORISTA]]),"NÃO")</f>
        <v>NÃO</v>
      </c>
      <c r="I15" s="57" t="str">
        <f>IF(autocompJanta[[#This Row],[COMP ESCALA ANTERIOR]]="NÃO","NÃO",_xlfn.XLOOKUP(autocompJanta[[#This Row],[COMP ESCALA ANTERIOR]],tabE.Flux[COMP.AT. MOT A],tabE.Flux[LINHA],"NÃO",0,1))</f>
        <v>NÃO</v>
      </c>
      <c r="J15" s="58" t="str">
        <f>IF(autocompJanta[[#This Row],[COMP ESCALA ANTERIOR]]="NÃO","NÃO",_xlfn.XLOOKUP(autocompJanta[[#This Row],[COMP ESCALA ANTERIOR]],tabE.Flux[COMP.AT. MOT B],tabE.Flux[LINHA],"NÃO",0,1))</f>
        <v>NÃO</v>
      </c>
      <c r="K15" s="62" t="str">
        <f>IF(AND(autocompJanta[[#This Row],[EXISTE MOT A ANT]]="NÃO",autocompJanta[[#This Row],[EXISTE MOT B ANT]]="NÃO"),"NÃO","SIM")</f>
        <v>NÃO</v>
      </c>
      <c r="L15" s="73" t="str">
        <f t="shared" si="0"/>
        <v>45888+ALTEMAR DO NASCIMENTO LIMA - 6225</v>
      </c>
      <c r="M15" s="59" t="str">
        <f>IF(autocompJanta[[#This Row],[COMP ESCALA POSTERIOR]]="NÃO","NÃO",_xlfn.XLOOKUP(autocompJanta[[#This Row],[COMP ESCALA POSTERIOR]],tabE.Flux[COMP.AT. MOT A],tabE.Flux[LINHA],"NÃO",0,1))</f>
        <v>NÃO</v>
      </c>
      <c r="N15" s="59" t="str">
        <f>IF(autocompJanta[[#This Row],[COMP ESCALA POSTERIOR]]="NÃO","NÃO",_xlfn.XLOOKUP(autocompJanta[[#This Row],[COMP ESCALA POSTERIOR]],tabE.Flux[COMP.AT. MOT B],tabE.Flux[LINHA],"NÃO",0,1))</f>
        <v>NÃO</v>
      </c>
      <c r="O15" s="65" t="str">
        <f>IF(AND(autocompJanta[[#This Row],[EXISTE MOT A POS]]="NÃO",autocompJanta[[#This Row],[EXISTE MOT B POS]]="NÃO"),"NÃO","SIM")</f>
        <v>NÃO</v>
      </c>
      <c r="P15" s="66" t="str" cm="1">
        <f t="array" ref="P1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5" s="75" t="str" cm="1">
        <f t="array" ref="Q1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45887+ALTEMAR DO NASCIMENTO LIMA - 6225+GOIANIA (GO) X SAO LUIS (MA)</v>
      </c>
      <c r="R15" s="67">
        <f>_xlfn.XLOOKUP(autocompJanta[[#This Row],[COMP ESCALA]],tabE.Flux[COMP. ESCALA MOT B],tabE.Flux[CARRO],
(_xlfn.XLOOKUP(autocompJanta[[#This Row],[COMP ESCALA]],tabE.Flux[COMP. ESCALA MOT A],tabE.Flux[CARRO],"N/E",0,1)),0,1)</f>
        <v>25012</v>
      </c>
      <c r="S15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5" s="127">
        <v>45887</v>
      </c>
      <c r="U15" s="4">
        <f>IF(IFERROR(autocompJanta[[#This Row],[CORRESP. CARRO]],"")="NÃO",(IF(tabJanta[[#This Row],[MOTORISTA]]=0,"","PASSE?")),autocompJanta[[#This Row],[CORRESP. CARRO]])</f>
        <v>25012</v>
      </c>
      <c r="V15" s="126">
        <f>IF(OR(ISERR(autocompJanta[[#This Row],[CORRESP HORARIO]]), autocompJanta[[#This Row],[CORRESP HORARIO]]&lt;&gt;"NÃO"),autocompJanta[[#This Row],[CORRESP HORARIO]],"")</f>
        <v>0.29166666666666669</v>
      </c>
      <c r="W15" s="4" t="s">
        <v>299</v>
      </c>
      <c r="X15" s="4" t="s">
        <v>57</v>
      </c>
      <c r="Y15" s="1">
        <f>IF(tabJanta[[#This Row],[MOTORISTA]]="","",COUNTIF(autocompJanta[COMP ESCALA ATUAL],autocompJanta[[#This Row],[COMP ESCALA ATUAL]]))</f>
        <v>1</v>
      </c>
      <c r="Z15" s="45">
        <f>IF(tabJanta[[#This Row],[MOTORISTA]]&lt;&gt;0,15,"")</f>
        <v>15</v>
      </c>
      <c r="AA15" s="4" t="str">
        <f>autocompJanta[[#This Row],[CORRESP LINHA]]</f>
        <v>GOIANIA (GO) X SAO LUIS (MA)</v>
      </c>
    </row>
    <row r="16" spans="2:27" hidden="1" x14ac:dyDescent="0.25">
      <c r="C16" s="129" t="s">
        <v>226</v>
      </c>
      <c r="D16" s="56" t="str">
        <f>IF(tabJanta[[#This Row],[MOTORISTA]]="","",_xlfn.CONCAT(tabJanta[[#This Row],[DATA]],"+",tabJanta[[#This Row],[MOTORISTA]]))</f>
        <v>45887+JOAO FERREIRA COSTA - 5545</v>
      </c>
      <c r="E16" s="56" t="str">
        <f>_xlfn.XLOOKUP(autocompJanta[[#This Row],[COMP ESCALA ATUAL]],tabE.Flux[COMP.AT. MOT A],tabE.Flux[LINHA],"NÃO",0,1)</f>
        <v>NÃO</v>
      </c>
      <c r="F16" s="56" t="str">
        <f>_xlfn.XLOOKUP(autocompJanta[[#This Row],[COMP ESCALA ATUAL]],tabE.Flux[COMP.AT. MOT B],tabE.Flux[LINHA],"NÃO",0,1)</f>
        <v>NÃO</v>
      </c>
      <c r="G16" s="61" t="str">
        <f>IF(AND(autocompJanta[[#This Row],[EXISTE MOT A AT]]="NÃO", autocompJanta[[#This Row],[EXISTE MOT B AT]]="NÃO"),"NÃO","SIM")</f>
        <v>NÃO</v>
      </c>
      <c r="H16" s="71" t="str">
        <f>IF(autocompJanta[[#This Row],[EXISTE ESCALA ATUAL]]="NÃO",_xlfn.CONCAT(tabJanta[[#This Row],[DATA]]-1,"+",tabJanta[[#This Row],[MOTORISTA]]),"NÃO")</f>
        <v>45886+JOAO FERREIRA COSTA - 5545</v>
      </c>
      <c r="I16" s="57" t="str">
        <f>IF(autocompJanta[[#This Row],[COMP ESCALA ANTERIOR]]="NÃO","NÃO",_xlfn.XLOOKUP(autocompJanta[[#This Row],[COMP ESCALA ANTERIOR]],tabE.Flux[COMP.AT. MOT A],tabE.Flux[LINHA],"NÃO",0,1))</f>
        <v>NÃO</v>
      </c>
      <c r="J16" s="58" t="str">
        <f>IF(autocompJanta[[#This Row],[COMP ESCALA ANTERIOR]]="NÃO","NÃO",_xlfn.XLOOKUP(autocompJanta[[#This Row],[COMP ESCALA ANTERIOR]],tabE.Flux[COMP.AT. MOT B],tabE.Flux[LINHA],"NÃO",0,1))</f>
        <v>NÃO</v>
      </c>
      <c r="K16" s="62" t="str">
        <f>IF(AND(autocompJanta[[#This Row],[EXISTE MOT A ANT]]="NÃO",autocompJanta[[#This Row],[EXISTE MOT B ANT]]="NÃO"),"NÃO","SIM")</f>
        <v>NÃO</v>
      </c>
      <c r="L16" s="73" t="str">
        <f t="shared" si="0"/>
        <v>45888+JOAO FERREIRA COSTA - 5545</v>
      </c>
      <c r="M16" s="59" t="str">
        <f>IF(autocompJanta[[#This Row],[COMP ESCALA POSTERIOR]]="NÃO","NÃO",_xlfn.XLOOKUP(autocompJanta[[#This Row],[COMP ESCALA POSTERIOR]],tabE.Flux[COMP.AT. MOT A],tabE.Flux[LINHA],"NÃO",0,1))</f>
        <v>FORTALEZA (CE) X SINOP (MT)</v>
      </c>
      <c r="N16" s="59" t="str">
        <f>IF(autocompJanta[[#This Row],[COMP ESCALA POSTERIOR]]="NÃO","NÃO",_xlfn.XLOOKUP(autocompJanta[[#This Row],[COMP ESCALA POSTERIOR]],tabE.Flux[COMP.AT. MOT B],tabE.Flux[LINHA],"NÃO",0,1))</f>
        <v>NÃO</v>
      </c>
      <c r="O16" s="65" t="str">
        <f>IF(AND(autocompJanta[[#This Row],[EXISTE MOT A POS]]="NÃO",autocompJanta[[#This Row],[EXISTE MOT B POS]]="NÃO"),"NÃO","SIM")</f>
        <v>SIM</v>
      </c>
      <c r="P16" s="66" t="str" cm="1">
        <f t="array" ref="P1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6" s="75" t="str" cm="1">
        <f t="array" ref="Q1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45888+JOAO FERREIRA COSTA - 5545+FORTALEZA (CE) X SINOP (MT)</v>
      </c>
      <c r="R16" s="67">
        <f>_xlfn.XLOOKUP(autocompJanta[[#This Row],[COMP ESCALA]],tabE.Flux[COMP. ESCALA MOT B],tabE.Flux[CARRO],
(_xlfn.XLOOKUP(autocompJanta[[#This Row],[COMP ESCALA]],tabE.Flux[COMP. ESCALA MOT A],tabE.Flux[CARRO],"N/E",0,1)),0,1)</f>
        <v>19014</v>
      </c>
      <c r="S16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6" s="127">
        <v>45887</v>
      </c>
      <c r="U16" s="4">
        <f>IF(IFERROR(autocompJanta[[#This Row],[CORRESP. CARRO]],"")="NÃO",(IF(tabJanta[[#This Row],[MOTORISTA]]=0,"","PASSE?")),autocompJanta[[#This Row],[CORRESP. CARRO]])</f>
        <v>19014</v>
      </c>
      <c r="V16" s="126">
        <f>IF(OR(ISERR(autocompJanta[[#This Row],[CORRESP HORARIO]]), autocompJanta[[#This Row],[CORRESP HORARIO]]&lt;&gt;"NÃO"),autocompJanta[[#This Row],[CORRESP HORARIO]],"")</f>
        <v>0.37708333333333333</v>
      </c>
      <c r="W16" s="4" t="s">
        <v>299</v>
      </c>
      <c r="X16" s="4" t="s">
        <v>61</v>
      </c>
      <c r="Y16" s="1">
        <f>IF(tabJanta[[#This Row],[MOTORISTA]]="","",COUNTIF(autocompJanta[COMP ESCALA ATUAL],autocompJanta[[#This Row],[COMP ESCALA ATUAL]]))</f>
        <v>1</v>
      </c>
      <c r="Z16" s="45">
        <f>IF(tabJanta[[#This Row],[MOTORISTA]]&lt;&gt;0,15,"")</f>
        <v>15</v>
      </c>
      <c r="AA16" s="4" t="str">
        <f>autocompJanta[[#This Row],[CORRESP LINHA]]</f>
        <v>FORTALEZA (CE) X SINOP (MT)</v>
      </c>
    </row>
    <row r="17" spans="3:27" hidden="1" x14ac:dyDescent="0.25">
      <c r="C17" s="129" t="s">
        <v>226</v>
      </c>
      <c r="D17" s="56" t="str">
        <f>IF(tabJanta[[#This Row],[MOTORISTA]]="","",_xlfn.CONCAT(tabJanta[[#This Row],[DATA]],"+",tabJanta[[#This Row],[MOTORISTA]]))</f>
        <v>45887+RONALDO ADRIANO COSTA SANTOS - 5637</v>
      </c>
      <c r="E17" s="56" t="str">
        <f>_xlfn.XLOOKUP(autocompJanta[[#This Row],[COMP ESCALA ATUAL]],tabE.Flux[COMP.AT. MOT A],tabE.Flux[LINHA],"NÃO",0,1)</f>
        <v>NÃO</v>
      </c>
      <c r="F17" s="56" t="str">
        <f>_xlfn.XLOOKUP(autocompJanta[[#This Row],[COMP ESCALA ATUAL]],tabE.Flux[COMP.AT. MOT B],tabE.Flux[LINHA],"NÃO",0,1)</f>
        <v>GOIANIA (GO) X SAO LUIS (MA)</v>
      </c>
      <c r="G17" s="61" t="str">
        <f>IF(AND(autocompJanta[[#This Row],[EXISTE MOT A AT]]="NÃO", autocompJanta[[#This Row],[EXISTE MOT B AT]]="NÃO"),"NÃO","SIM")</f>
        <v>SIM</v>
      </c>
      <c r="H17" s="71" t="str">
        <f>IF(autocompJanta[[#This Row],[EXISTE ESCALA ATUAL]]="NÃO",_xlfn.CONCAT(tabJanta[[#This Row],[DATA]]-1,"+",tabJanta[[#This Row],[MOTORISTA]]),"NÃO")</f>
        <v>NÃO</v>
      </c>
      <c r="I17" s="57" t="str">
        <f>IF(autocompJanta[[#This Row],[COMP ESCALA ANTERIOR]]="NÃO","NÃO",_xlfn.XLOOKUP(autocompJanta[[#This Row],[COMP ESCALA ANTERIOR]],tabE.Flux[COMP.AT. MOT A],tabE.Flux[LINHA],"NÃO",0,1))</f>
        <v>NÃO</v>
      </c>
      <c r="J17" s="58" t="str">
        <f>IF(autocompJanta[[#This Row],[COMP ESCALA ANTERIOR]]="NÃO","NÃO",_xlfn.XLOOKUP(autocompJanta[[#This Row],[COMP ESCALA ANTERIOR]],tabE.Flux[COMP.AT. MOT B],tabE.Flux[LINHA],"NÃO",0,1))</f>
        <v>NÃO</v>
      </c>
      <c r="K17" s="62" t="str">
        <f>IF(AND(autocompJanta[[#This Row],[EXISTE MOT A ANT]]="NÃO",autocompJanta[[#This Row],[EXISTE MOT B ANT]]="NÃO"),"NÃO","SIM")</f>
        <v>NÃO</v>
      </c>
      <c r="L17" s="73" t="str">
        <f t="shared" si="0"/>
        <v>45888+RONALDO ADRIANO COSTA SANTOS - 5637</v>
      </c>
      <c r="M17" s="59" t="str">
        <f>IF(autocompJanta[[#This Row],[COMP ESCALA POSTERIOR]]="NÃO","NÃO",_xlfn.XLOOKUP(autocompJanta[[#This Row],[COMP ESCALA POSTERIOR]],tabE.Flux[COMP.AT. MOT A],tabE.Flux[LINHA],"NÃO",0,1))</f>
        <v>NÃO</v>
      </c>
      <c r="N17" s="59" t="str">
        <f>IF(autocompJanta[[#This Row],[COMP ESCALA POSTERIOR]]="NÃO","NÃO",_xlfn.XLOOKUP(autocompJanta[[#This Row],[COMP ESCALA POSTERIOR]],tabE.Flux[COMP.AT. MOT B],tabE.Flux[LINHA],"NÃO",0,1))</f>
        <v>NÃO</v>
      </c>
      <c r="O17" s="65" t="str">
        <f>IF(AND(autocompJanta[[#This Row],[EXISTE MOT A POS]]="NÃO",autocompJanta[[#This Row],[EXISTE MOT B POS]]="NÃO"),"NÃO","SIM")</f>
        <v>NÃO</v>
      </c>
      <c r="P17" s="66" t="str" cm="1">
        <f t="array" ref="P1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7" s="75" t="str" cm="1">
        <f t="array" ref="Q1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45887+RONALDO ADRIANO COSTA SANTOS - 5637+GOIANIA (GO) X SAO LUIS (MA)</v>
      </c>
      <c r="R17" s="67">
        <f>_xlfn.XLOOKUP(autocompJanta[[#This Row],[COMP ESCALA]],tabE.Flux[COMP. ESCALA MOT B],tabE.Flux[CARRO],
(_xlfn.XLOOKUP(autocompJanta[[#This Row],[COMP ESCALA]],tabE.Flux[COMP. ESCALA MOT A],tabE.Flux[CARRO],"N/E",0,1)),0,1)</f>
        <v>24004</v>
      </c>
      <c r="S17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7" s="127">
        <v>45887</v>
      </c>
      <c r="U17" s="4">
        <f>IF(IFERROR(autocompJanta[[#This Row],[CORRESP. CARRO]],"")="NÃO",(IF(tabJanta[[#This Row],[MOTORISTA]]=0,"","PASSE?")),autocompJanta[[#This Row],[CORRESP. CARRO]])</f>
        <v>24004</v>
      </c>
      <c r="V17" s="126">
        <f>IF(OR(ISERR(autocompJanta[[#This Row],[CORRESP HORARIO]]), autocompJanta[[#This Row],[CORRESP HORARIO]]&lt;&gt;"NÃO"),autocompJanta[[#This Row],[CORRESP HORARIO]],"")</f>
        <v>0.79166666666666663</v>
      </c>
      <c r="W17" s="4" t="s">
        <v>299</v>
      </c>
      <c r="X17" s="4" t="s">
        <v>41</v>
      </c>
      <c r="Y17" s="1">
        <f>IF(tabJanta[[#This Row],[MOTORISTA]]="","",COUNTIF(autocompJanta[COMP ESCALA ATUAL],autocompJanta[[#This Row],[COMP ESCALA ATUAL]]))</f>
        <v>1</v>
      </c>
      <c r="Z17" s="45">
        <f>IF(tabJanta[[#This Row],[MOTORISTA]]&lt;&gt;0,15,"")</f>
        <v>15</v>
      </c>
      <c r="AA17" s="4" t="str">
        <f>autocompJanta[[#This Row],[CORRESP LINHA]]</f>
        <v>GOIANIA (GO) X SAO LUIS (MA)</v>
      </c>
    </row>
    <row r="18" spans="3:27" hidden="1" x14ac:dyDescent="0.25">
      <c r="C18" s="129" t="s">
        <v>226</v>
      </c>
      <c r="D18" s="56" t="str">
        <f>IF(tabJanta[[#This Row],[MOTORISTA]]="","",_xlfn.CONCAT(tabJanta[[#This Row],[DATA]],"+",tabJanta[[#This Row],[MOTORISTA]]))</f>
        <v>45887+ADEMILTON DE OLIVEIRA SILVA - 5559</v>
      </c>
      <c r="E18" s="56" t="str">
        <f>_xlfn.XLOOKUP(autocompJanta[[#This Row],[COMP ESCALA ATUAL]],tabE.Flux[COMP.AT. MOT A],tabE.Flux[LINHA],"NÃO",0,1)</f>
        <v>NÃO</v>
      </c>
      <c r="F18" s="56" t="str">
        <f>_xlfn.XLOOKUP(autocompJanta[[#This Row],[COMP ESCALA ATUAL]],tabE.Flux[COMP.AT. MOT B],tabE.Flux[LINHA],"NÃO",0,1)</f>
        <v>NÃO</v>
      </c>
      <c r="G18" s="61" t="str">
        <f>IF(AND(autocompJanta[[#This Row],[EXISTE MOT A AT]]="NÃO", autocompJanta[[#This Row],[EXISTE MOT B AT]]="NÃO"),"NÃO","SIM")</f>
        <v>NÃO</v>
      </c>
      <c r="H18" s="71" t="str">
        <f>IF(autocompJanta[[#This Row],[EXISTE ESCALA ATUAL]]="NÃO",_xlfn.CONCAT(tabJanta[[#This Row],[DATA]]-1,"+",tabJanta[[#This Row],[MOTORISTA]]),"NÃO")</f>
        <v>45886+ADEMILTON DE OLIVEIRA SILVA - 5559</v>
      </c>
      <c r="I18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8" s="58" t="str">
        <f>IF(autocompJanta[[#This Row],[COMP ESCALA ANTERIOR]]="NÃO","NÃO",_xlfn.XLOOKUP(autocompJanta[[#This Row],[COMP ESCALA ANTERIOR]],tabE.Flux[COMP.AT. MOT B],tabE.Flux[LINHA],"NÃO",0,1))</f>
        <v>NÃO</v>
      </c>
      <c r="K18" s="62" t="str">
        <f>IF(AND(autocompJanta[[#This Row],[EXISTE MOT A ANT]]="NÃO",autocompJanta[[#This Row],[EXISTE MOT B ANT]]="NÃO"),"NÃO","SIM")</f>
        <v>SIM</v>
      </c>
      <c r="L18" s="73" t="str">
        <f t="shared" si="0"/>
        <v>45888+ADEMILTON DE OLIVEIRA SILVA - 5559</v>
      </c>
      <c r="M18" s="59" t="str">
        <f>IF(autocompJanta[[#This Row],[COMP ESCALA POSTERIOR]]="NÃO","NÃO",_xlfn.XLOOKUP(autocompJanta[[#This Row],[COMP ESCALA POSTERIOR]],tabE.Flux[COMP.AT. MOT A],tabE.Flux[LINHA],"NÃO",0,1))</f>
        <v>NÃO</v>
      </c>
      <c r="N18" s="59" t="str">
        <f>IF(autocompJanta[[#This Row],[COMP ESCALA POSTERIOR]]="NÃO","NÃO",_xlfn.XLOOKUP(autocompJanta[[#This Row],[COMP ESCALA POSTERIOR]],tabE.Flux[COMP.AT. MOT B],tabE.Flux[LINHA],"NÃO",0,1))</f>
        <v>NÃO</v>
      </c>
      <c r="O18" s="65" t="str">
        <f>IF(AND(autocompJanta[[#This Row],[EXISTE MOT A POS]]="NÃO",autocompJanta[[#This Row],[EXISTE MOT B POS]]="NÃO"),"NÃO","SIM")</f>
        <v>NÃO</v>
      </c>
      <c r="P18" s="66" t="str" cm="1">
        <f t="array" ref="P1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8" s="75" t="str" cm="1">
        <f t="array" ref="Q1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45886+ADEMILTON DE OLIVEIRA SILVA - 5559+GOIANIA (GO) X TERESINA (PI) VIA STI</v>
      </c>
      <c r="R18" s="67">
        <f>_xlfn.XLOOKUP(autocompJanta[[#This Row],[COMP ESCALA]],tabE.Flux[COMP. ESCALA MOT B],tabE.Flux[CARRO],
(_xlfn.XLOOKUP(autocompJanta[[#This Row],[COMP ESCALA]],tabE.Flux[COMP. ESCALA MOT A],tabE.Flux[CARRO],"N/E",0,1)),0,1)</f>
        <v>19005</v>
      </c>
      <c r="S18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8" s="127">
        <v>45887</v>
      </c>
      <c r="U18" s="4">
        <f>IF(IFERROR(autocompJanta[[#This Row],[CORRESP. CARRO]],"")="NÃO",(IF(tabJanta[[#This Row],[MOTORISTA]]=0,"","PASSE?")),autocompJanta[[#This Row],[CORRESP. CARRO]])</f>
        <v>19005</v>
      </c>
      <c r="V18" s="126">
        <f>IF(OR(ISERR(autocompJanta[[#This Row],[CORRESP HORARIO]]), autocompJanta[[#This Row],[CORRESP HORARIO]]&lt;&gt;"NÃO"),autocompJanta[[#This Row],[CORRESP HORARIO]],"")</f>
        <v>0.79861111111111116</v>
      </c>
      <c r="W18" s="4" t="s">
        <v>299</v>
      </c>
      <c r="X18" s="4" t="s">
        <v>40</v>
      </c>
      <c r="Y18" s="1">
        <f>IF(tabJanta[[#This Row],[MOTORISTA]]="","",COUNTIF(autocompJanta[COMP ESCALA ATUAL],autocompJanta[[#This Row],[COMP ESCALA ATUAL]]))</f>
        <v>1</v>
      </c>
      <c r="Z18" s="45">
        <f>IF(tabJanta[[#This Row],[MOTORISTA]]&lt;&gt;0,15,"")</f>
        <v>15</v>
      </c>
      <c r="AA18" s="4" t="str">
        <f>autocompJanta[[#This Row],[CORRESP LINHA]]</f>
        <v>GOIANIA (GO) X TERESINA (PI) VIA STI</v>
      </c>
    </row>
    <row r="19" spans="3:27" hidden="1" x14ac:dyDescent="0.25">
      <c r="C19" s="129" t="s">
        <v>226</v>
      </c>
      <c r="D19" s="56" t="str">
        <f>IF(tabJanta[[#This Row],[MOTORISTA]]="","",_xlfn.CONCAT(tabJanta[[#This Row],[DATA]],"+",tabJanta[[#This Row],[MOTORISTA]]))</f>
        <v>45887+FABIO MOREIRA DOS SANTOS - 3073</v>
      </c>
      <c r="E19" s="56" t="str">
        <f>_xlfn.XLOOKUP(autocompJanta[[#This Row],[COMP ESCALA ATUAL]],tabE.Flux[COMP.AT. MOT A],tabE.Flux[LINHA],"NÃO",0,1)</f>
        <v>FORTALEZA (CE) X SINOP (MT)</v>
      </c>
      <c r="F19" s="56" t="str">
        <f>_xlfn.XLOOKUP(autocompJanta[[#This Row],[COMP ESCALA ATUAL]],tabE.Flux[COMP.AT. MOT B],tabE.Flux[LINHA],"NÃO",0,1)</f>
        <v>NÃO</v>
      </c>
      <c r="G19" s="61" t="str">
        <f>IF(AND(autocompJanta[[#This Row],[EXISTE MOT A AT]]="NÃO", autocompJanta[[#This Row],[EXISTE MOT B AT]]="NÃO"),"NÃO","SIM")</f>
        <v>SIM</v>
      </c>
      <c r="H19" s="71" t="str">
        <f>IF(autocompJanta[[#This Row],[EXISTE ESCALA ATUAL]]="NÃO",_xlfn.CONCAT(tabJanta[[#This Row],[DATA]]-1,"+",tabJanta[[#This Row],[MOTORISTA]]),"NÃO")</f>
        <v>NÃO</v>
      </c>
      <c r="I19" s="57" t="str">
        <f>IF(autocompJanta[[#This Row],[COMP ESCALA ANTERIOR]]="NÃO","NÃO",_xlfn.XLOOKUP(autocompJanta[[#This Row],[COMP ESCALA ANTERIOR]],tabE.Flux[COMP.AT. MOT A],tabE.Flux[LINHA],"NÃO",0,1))</f>
        <v>NÃO</v>
      </c>
      <c r="J19" s="58" t="str">
        <f>IF(autocompJanta[[#This Row],[COMP ESCALA ANTERIOR]]="NÃO","NÃO",_xlfn.XLOOKUP(autocompJanta[[#This Row],[COMP ESCALA ANTERIOR]],tabE.Flux[COMP.AT. MOT B],tabE.Flux[LINHA],"NÃO",0,1))</f>
        <v>NÃO</v>
      </c>
      <c r="K19" s="62" t="str">
        <f>IF(AND(autocompJanta[[#This Row],[EXISTE MOT A ANT]]="NÃO",autocompJanta[[#This Row],[EXISTE MOT B ANT]]="NÃO"),"NÃO","SIM")</f>
        <v>NÃO</v>
      </c>
      <c r="L19" s="73" t="str">
        <f t="shared" si="0"/>
        <v>45888+FABIO MOREIRA DOS SANTOS - 3073</v>
      </c>
      <c r="M19" s="59" t="str">
        <f>IF(autocompJanta[[#This Row],[COMP ESCALA POSTERIOR]]="NÃO","NÃO",_xlfn.XLOOKUP(autocompJanta[[#This Row],[COMP ESCALA POSTERIOR]],tabE.Flux[COMP.AT. MOT A],tabE.Flux[LINHA],"NÃO",0,1))</f>
        <v>NÃO</v>
      </c>
      <c r="N19" s="59" t="str">
        <f>IF(autocompJanta[[#This Row],[COMP ESCALA POSTERIOR]]="NÃO","NÃO",_xlfn.XLOOKUP(autocompJanta[[#This Row],[COMP ESCALA POSTERIOR]],tabE.Flux[COMP.AT. MOT B],tabE.Flux[LINHA],"NÃO",0,1))</f>
        <v>NÃO</v>
      </c>
      <c r="O19" s="65" t="str">
        <f>IF(AND(autocompJanta[[#This Row],[EXISTE MOT A POS]]="NÃO",autocompJanta[[#This Row],[EXISTE MOT B POS]]="NÃO"),"NÃO","SIM")</f>
        <v>NÃO</v>
      </c>
      <c r="P19" s="66" t="str" cm="1">
        <f t="array" ref="P1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9" s="75" t="str" cm="1">
        <f t="array" ref="Q1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45887+FABIO MOREIRA DOS SANTOS - 3073+FORTALEZA (CE) X SINOP (MT)</v>
      </c>
      <c r="R19" s="67">
        <f>_xlfn.XLOOKUP(autocompJanta[[#This Row],[COMP ESCALA]],tabE.Flux[COMP. ESCALA MOT B],tabE.Flux[CARRO],
(_xlfn.XLOOKUP(autocompJanta[[#This Row],[COMP ESCALA]],tabE.Flux[COMP. ESCALA MOT A],tabE.Flux[CARRO],"N/E",0,1)),0,1)</f>
        <v>19009</v>
      </c>
      <c r="S19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9" s="127">
        <v>45887</v>
      </c>
      <c r="U19" s="4">
        <f>IF(IFERROR(autocompJanta[[#This Row],[CORRESP. CARRO]],"")="NÃO",(IF(tabJanta[[#This Row],[MOTORISTA]]=0,"","PASSE?")),autocompJanta[[#This Row],[CORRESP. CARRO]])</f>
        <v>19009</v>
      </c>
      <c r="V19" s="126">
        <f>IF(OR(ISERR(autocompJanta[[#This Row],[CORRESP HORARIO]]), autocompJanta[[#This Row],[CORRESP HORARIO]]&lt;&gt;"NÃO"),autocompJanta[[#This Row],[CORRESP HORARIO]],"")</f>
        <v>0.37708333333333333</v>
      </c>
      <c r="W19" s="4" t="s">
        <v>299</v>
      </c>
      <c r="X19" s="1" t="s">
        <v>50</v>
      </c>
      <c r="Y19" s="1">
        <f>IF(tabJanta[[#This Row],[MOTORISTA]]="","",COUNTIF(autocompJanta[COMP ESCALA ATUAL],autocompJanta[[#This Row],[COMP ESCALA ATUAL]]))</f>
        <v>1</v>
      </c>
      <c r="Z19" s="105">
        <f>IF(tabJanta[[#This Row],[MOTORISTA]]&lt;&gt;0,15,"")</f>
        <v>15</v>
      </c>
      <c r="AA19" s="4" t="str">
        <f>autocompJanta[[#This Row],[CORRESP LINHA]]</f>
        <v>FORTALEZA (CE) X SINOP (MT)</v>
      </c>
    </row>
    <row r="20" spans="3:27" hidden="1" x14ac:dyDescent="0.25">
      <c r="C20" s="129" t="s">
        <v>226</v>
      </c>
      <c r="D20" s="56" t="str">
        <f>IF(tabJanta[[#This Row],[MOTORISTA]]="","",_xlfn.CONCAT(tabJanta[[#This Row],[DATA]],"+",tabJanta[[#This Row],[MOTORISTA]]))</f>
        <v>45888+FRANCISCO BATISTA DE LIMA - 1827</v>
      </c>
      <c r="E20" s="56" t="str">
        <f>_xlfn.XLOOKUP(autocompJanta[[#This Row],[COMP ESCALA ATUAL]],tabE.Flux[COMP.AT. MOT A],tabE.Flux[LINHA],"NÃO",0,1)</f>
        <v>NÃO</v>
      </c>
      <c r="F20" s="56" t="str">
        <f>_xlfn.XLOOKUP(autocompJanta[[#This Row],[COMP ESCALA ATUAL]],tabE.Flux[COMP.AT. MOT B],tabE.Flux[LINHA],"NÃO",0,1)</f>
        <v>GOIANIA (GO) X SAO LUIS (MA)</v>
      </c>
      <c r="G20" s="61" t="str">
        <f>IF(AND(autocompJanta[[#This Row],[EXISTE MOT A AT]]="NÃO", autocompJanta[[#This Row],[EXISTE MOT B AT]]="NÃO"),"NÃO","SIM")</f>
        <v>SIM</v>
      </c>
      <c r="H20" s="71" t="str">
        <f>IF(autocompJanta[[#This Row],[EXISTE ESCALA ATUAL]]="NÃO",_xlfn.CONCAT(tabJanta[[#This Row],[DATA]]-1,"+",tabJanta[[#This Row],[MOTORISTA]]),"NÃO")</f>
        <v>NÃO</v>
      </c>
      <c r="I20" s="57" t="str">
        <f>IF(autocompJanta[[#This Row],[COMP ESCALA ANTERIOR]]="NÃO","NÃO",_xlfn.XLOOKUP(autocompJanta[[#This Row],[COMP ESCALA ANTERIOR]],tabE.Flux[COMP.AT. MOT A],tabE.Flux[LINHA],"NÃO",0,1))</f>
        <v>NÃO</v>
      </c>
      <c r="J20" s="58" t="str">
        <f>IF(autocompJanta[[#This Row],[COMP ESCALA ANTERIOR]]="NÃO","NÃO",_xlfn.XLOOKUP(autocompJanta[[#This Row],[COMP ESCALA ANTERIOR]],tabE.Flux[COMP.AT. MOT B],tabE.Flux[LINHA],"NÃO",0,1))</f>
        <v>NÃO</v>
      </c>
      <c r="K20" s="62" t="str">
        <f>IF(AND(autocompJanta[[#This Row],[EXISTE MOT A ANT]]="NÃO",autocompJanta[[#This Row],[EXISTE MOT B ANT]]="NÃO"),"NÃO","SIM")</f>
        <v>NÃO</v>
      </c>
      <c r="L20" s="73" t="str">
        <f t="shared" si="0"/>
        <v>45889+FRANCISCO BATISTA DE LIMA - 1827</v>
      </c>
      <c r="M20" s="59" t="str">
        <f>IF(autocompJanta[[#This Row],[COMP ESCALA POSTERIOR]]="NÃO","NÃO",_xlfn.XLOOKUP(autocompJanta[[#This Row],[COMP ESCALA POSTERIOR]],tabE.Flux[COMP.AT. MOT A],tabE.Flux[LINHA],"NÃO",0,1))</f>
        <v>NÃO</v>
      </c>
      <c r="N20" s="59" t="str">
        <f>IF(autocompJanta[[#This Row],[COMP ESCALA POSTERIOR]]="NÃO","NÃO",_xlfn.XLOOKUP(autocompJanta[[#This Row],[COMP ESCALA POSTERIOR]],tabE.Flux[COMP.AT. MOT B],tabE.Flux[LINHA],"NÃO",0,1))</f>
        <v>NÃO</v>
      </c>
      <c r="O20" s="65" t="str">
        <f>IF(AND(autocompJanta[[#This Row],[EXISTE MOT A POS]]="NÃO",autocompJanta[[#This Row],[EXISTE MOT B POS]]="NÃO"),"NÃO","SIM")</f>
        <v>NÃO</v>
      </c>
      <c r="P20" s="66" t="str" cm="1">
        <f t="array" ref="P2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0" s="75" t="str" cm="1">
        <f t="array" ref="Q2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45888+FRANCISCO BATISTA DE LIMA - 1827+GOIANIA (GO) X SAO LUIS (MA)</v>
      </c>
      <c r="R20" s="67">
        <f>_xlfn.XLOOKUP(autocompJanta[[#This Row],[COMP ESCALA]],tabE.Flux[COMP. ESCALA MOT B],tabE.Flux[CARRO],
(_xlfn.XLOOKUP(autocompJanta[[#This Row],[COMP ESCALA]],tabE.Flux[COMP. ESCALA MOT A],tabE.Flux[CARRO],"N/E",0,1)),0,1)</f>
        <v>25012</v>
      </c>
      <c r="S20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20" s="127">
        <v>45888</v>
      </c>
      <c r="U20" s="4">
        <f>IF(IFERROR(autocompJanta[[#This Row],[CORRESP. CARRO]],"")="NÃO",(IF(tabJanta[[#This Row],[MOTORISTA]]=0,"","PASSE?")),autocompJanta[[#This Row],[CORRESP. CARRO]])</f>
        <v>25012</v>
      </c>
      <c r="V20" s="126">
        <f>IF(OR(ISERR(autocompJanta[[#This Row],[CORRESP HORARIO]]), autocompJanta[[#This Row],[CORRESP HORARIO]]&lt;&gt;"NÃO"),autocompJanta[[#This Row],[CORRESP HORARIO]],"")</f>
        <v>0.79166666666666663</v>
      </c>
      <c r="W20" s="4" t="s">
        <v>299</v>
      </c>
      <c r="X20" s="1" t="s">
        <v>128</v>
      </c>
      <c r="Y20" s="1">
        <f>IF(tabJanta[[#This Row],[MOTORISTA]]="","",COUNTIF(autocompJanta[COMP ESCALA ATUAL],autocompJanta[[#This Row],[COMP ESCALA ATUAL]]))</f>
        <v>1</v>
      </c>
      <c r="Z20" s="105">
        <f>IF(tabJanta[[#This Row],[MOTORISTA]]&lt;&gt;0,15,"")</f>
        <v>15</v>
      </c>
      <c r="AA20" s="4" t="str">
        <f>autocompJanta[[#This Row],[CORRESP LINHA]]</f>
        <v>GOIANIA (GO) X SAO LUIS (MA)</v>
      </c>
    </row>
    <row r="21" spans="3:27" hidden="1" x14ac:dyDescent="0.25">
      <c r="C21" s="129" t="s">
        <v>226</v>
      </c>
      <c r="D21" s="56" t="str">
        <f>IF(tabJanta[[#This Row],[MOTORISTA]]="","",_xlfn.CONCAT(tabJanta[[#This Row],[DATA]],"+",tabJanta[[#This Row],[MOTORISTA]]))</f>
        <v>45888+GILVAN DE SOUSA FRANCA - 5834</v>
      </c>
      <c r="E21" s="56" t="str">
        <f>_xlfn.XLOOKUP(autocompJanta[[#This Row],[COMP ESCALA ATUAL]],tabE.Flux[COMP.AT. MOT A],tabE.Flux[LINHA],"NÃO",0,1)</f>
        <v>NÃO</v>
      </c>
      <c r="F21" s="56" t="str">
        <f>_xlfn.XLOOKUP(autocompJanta[[#This Row],[COMP ESCALA ATUAL]],tabE.Flux[COMP.AT. MOT B],tabE.Flux[LINHA],"NÃO",0,1)</f>
        <v>NÃO</v>
      </c>
      <c r="G21" s="61" t="str">
        <f>IF(AND(autocompJanta[[#This Row],[EXISTE MOT A AT]]="NÃO", autocompJanta[[#This Row],[EXISTE MOT B AT]]="NÃO"),"NÃO","SIM")</f>
        <v>NÃO</v>
      </c>
      <c r="H21" s="71" t="str">
        <f>IF(autocompJanta[[#This Row],[EXISTE ESCALA ATUAL]]="NÃO",_xlfn.CONCAT(tabJanta[[#This Row],[DATA]]-1,"+",tabJanta[[#This Row],[MOTORISTA]]),"NÃO")</f>
        <v>45887+GILVAN DE SOUSA FRANCA - 5834</v>
      </c>
      <c r="I21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21" s="58" t="str">
        <f>IF(autocompJanta[[#This Row],[COMP ESCALA ANTERIOR]]="NÃO","NÃO",_xlfn.XLOOKUP(autocompJanta[[#This Row],[COMP ESCALA ANTERIOR]],tabE.Flux[COMP.AT. MOT B],tabE.Flux[LINHA],"NÃO",0,1))</f>
        <v>NÃO</v>
      </c>
      <c r="K21" s="62" t="str">
        <f>IF(AND(autocompJanta[[#This Row],[EXISTE MOT A ANT]]="NÃO",autocompJanta[[#This Row],[EXISTE MOT B ANT]]="NÃO"),"NÃO","SIM")</f>
        <v>SIM</v>
      </c>
      <c r="L21" s="73" t="str">
        <f t="shared" si="0"/>
        <v>45889+GILVAN DE SOUSA FRANCA - 5834</v>
      </c>
      <c r="M21" s="59" t="str">
        <f>IF(autocompJanta[[#This Row],[COMP ESCALA POSTERIOR]]="NÃO","NÃO",_xlfn.XLOOKUP(autocompJanta[[#This Row],[COMP ESCALA POSTERIOR]],tabE.Flux[COMP.AT. MOT A],tabE.Flux[LINHA],"NÃO",0,1))</f>
        <v>NÃO</v>
      </c>
      <c r="N21" s="59" t="str">
        <f>IF(autocompJanta[[#This Row],[COMP ESCALA POSTERIOR]]="NÃO","NÃO",_xlfn.XLOOKUP(autocompJanta[[#This Row],[COMP ESCALA POSTERIOR]],tabE.Flux[COMP.AT. MOT B],tabE.Flux[LINHA],"NÃO",0,1))</f>
        <v>NÃO</v>
      </c>
      <c r="O21" s="65" t="str">
        <f>IF(AND(autocompJanta[[#This Row],[EXISTE MOT A POS]]="NÃO",autocompJanta[[#This Row],[EXISTE MOT B POS]]="NÃO"),"NÃO","SIM")</f>
        <v>NÃO</v>
      </c>
      <c r="P21" s="66" t="str" cm="1">
        <f t="array" ref="P2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1" s="75" t="str" cm="1">
        <f t="array" ref="Q2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45887+GILVAN DE SOUSA FRANCA - 5834+GOIANIA (GO) X TERESINA (PI) VIA STI</v>
      </c>
      <c r="R21" s="67">
        <f>_xlfn.XLOOKUP(autocompJanta[[#This Row],[COMP ESCALA]],tabE.Flux[COMP. ESCALA MOT B],tabE.Flux[CARRO],
(_xlfn.XLOOKUP(autocompJanta[[#This Row],[COMP ESCALA]],tabE.Flux[COMP. ESCALA MOT A],tabE.Flux[CARRO],"N/E",0,1)),0,1)</f>
        <v>19017</v>
      </c>
      <c r="S21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1" s="127">
        <v>45888</v>
      </c>
      <c r="U21" s="4">
        <f>IF(IFERROR(autocompJanta[[#This Row],[CORRESP. CARRO]],"")="NÃO",(IF(tabJanta[[#This Row],[MOTORISTA]]=0,"","PASSE?")),autocompJanta[[#This Row],[CORRESP. CARRO]])</f>
        <v>19017</v>
      </c>
      <c r="V21" s="126">
        <f>IF(OR(ISERR(autocompJanta[[#This Row],[CORRESP HORARIO]]), autocompJanta[[#This Row],[CORRESP HORARIO]]&lt;&gt;"NÃO"),autocompJanta[[#This Row],[CORRESP HORARIO]],"")</f>
        <v>0.79861111111111116</v>
      </c>
      <c r="W21" s="4" t="s">
        <v>299</v>
      </c>
      <c r="X21" s="1" t="s">
        <v>35</v>
      </c>
      <c r="Y21" s="1">
        <f>IF(tabJanta[[#This Row],[MOTORISTA]]="","",COUNTIF(autocompJanta[COMP ESCALA ATUAL],autocompJanta[[#This Row],[COMP ESCALA ATUAL]]))</f>
        <v>1</v>
      </c>
      <c r="Z21" s="105">
        <f>IF(tabJanta[[#This Row],[MOTORISTA]]&lt;&gt;0,15,"")</f>
        <v>15</v>
      </c>
      <c r="AA21" s="4" t="str">
        <f>autocompJanta[[#This Row],[CORRESP LINHA]]</f>
        <v>GOIANIA (GO) X TERESINA (PI) VIA STI</v>
      </c>
    </row>
    <row r="22" spans="3:27" hidden="1" x14ac:dyDescent="0.25">
      <c r="C22" s="129" t="s">
        <v>226</v>
      </c>
      <c r="D22" s="56" t="str">
        <f>IF(tabJanta[[#This Row],[MOTORISTA]]="","",_xlfn.CONCAT(tabJanta[[#This Row],[DATA]],"+",tabJanta[[#This Row],[MOTORISTA]]))</f>
        <v>45888+GILDEAN LEAL TEIXEIRA - 5649</v>
      </c>
      <c r="E22" s="56" t="str">
        <f>_xlfn.XLOOKUP(autocompJanta[[#This Row],[COMP ESCALA ATUAL]],tabE.Flux[COMP.AT. MOT A],tabE.Flux[LINHA],"NÃO",0,1)</f>
        <v>NÃO</v>
      </c>
      <c r="F22" s="56" t="str">
        <f>_xlfn.XLOOKUP(autocompJanta[[#This Row],[COMP ESCALA ATUAL]],tabE.Flux[COMP.AT. MOT B],tabE.Flux[LINHA],"NÃO",0,1)</f>
        <v>GOIANIA (GO) X TERESINA (PI) VIA STI</v>
      </c>
      <c r="G22" s="61" t="str">
        <f>IF(AND(autocompJanta[[#This Row],[EXISTE MOT A AT]]="NÃO", autocompJanta[[#This Row],[EXISTE MOT B AT]]="NÃO"),"NÃO","SIM")</f>
        <v>SIM</v>
      </c>
      <c r="H22" s="71" t="str">
        <f>IF(autocompJanta[[#This Row],[EXISTE ESCALA ATUAL]]="NÃO",_xlfn.CONCAT(tabJanta[[#This Row],[DATA]]-1,"+",tabJanta[[#This Row],[MOTORISTA]]),"NÃO")</f>
        <v>NÃO</v>
      </c>
      <c r="I22" s="57" t="str">
        <f>IF(autocompJanta[[#This Row],[COMP ESCALA ANTERIOR]]="NÃO","NÃO",_xlfn.XLOOKUP(autocompJanta[[#This Row],[COMP ESCALA ANTERIOR]],tabE.Flux[COMP.AT. MOT A],tabE.Flux[LINHA],"NÃO",0,1))</f>
        <v>NÃO</v>
      </c>
      <c r="J22" s="58" t="str">
        <f>IF(autocompJanta[[#This Row],[COMP ESCALA ANTERIOR]]="NÃO","NÃO",_xlfn.XLOOKUP(autocompJanta[[#This Row],[COMP ESCALA ANTERIOR]],tabE.Flux[COMP.AT. MOT B],tabE.Flux[LINHA],"NÃO",0,1))</f>
        <v>NÃO</v>
      </c>
      <c r="K22" s="62" t="str">
        <f>IF(AND(autocompJanta[[#This Row],[EXISTE MOT A ANT]]="NÃO",autocompJanta[[#This Row],[EXISTE MOT B ANT]]="NÃO"),"NÃO","SIM")</f>
        <v>NÃO</v>
      </c>
      <c r="L22" s="73" t="str">
        <f t="shared" si="0"/>
        <v>45889+GILDEAN LEAL TEIXEIRA - 5649</v>
      </c>
      <c r="M22" s="59" t="str">
        <f>IF(autocompJanta[[#This Row],[COMP ESCALA POSTERIOR]]="NÃO","NÃO",_xlfn.XLOOKUP(autocompJanta[[#This Row],[COMP ESCALA POSTERIOR]],tabE.Flux[COMP.AT. MOT A],tabE.Flux[LINHA],"NÃO",0,1))</f>
        <v>NÃO</v>
      </c>
      <c r="N22" s="59" t="str">
        <f>IF(autocompJanta[[#This Row],[COMP ESCALA POSTERIOR]]="NÃO","NÃO",_xlfn.XLOOKUP(autocompJanta[[#This Row],[COMP ESCALA POSTERIOR]],tabE.Flux[COMP.AT. MOT B],tabE.Flux[LINHA],"NÃO",0,1))</f>
        <v>NÃO</v>
      </c>
      <c r="O22" s="65" t="str">
        <f>IF(AND(autocompJanta[[#This Row],[EXISTE MOT A POS]]="NÃO",autocompJanta[[#This Row],[EXISTE MOT B POS]]="NÃO"),"NÃO","SIM")</f>
        <v>NÃO</v>
      </c>
      <c r="P22" s="66" t="str" cm="1">
        <f t="array" ref="P2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2" s="75" t="str" cm="1">
        <f t="array" ref="Q2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45888+GILDEAN LEAL TEIXEIRA - 5649+GOIANIA (GO) X TERESINA (PI) VIA STI</v>
      </c>
      <c r="R22" s="67">
        <f>_xlfn.XLOOKUP(autocompJanta[[#This Row],[COMP ESCALA]],tabE.Flux[COMP. ESCALA MOT B],tabE.Flux[CARRO],
(_xlfn.XLOOKUP(autocompJanta[[#This Row],[COMP ESCALA]],tabE.Flux[COMP. ESCALA MOT A],tabE.Flux[CARRO],"N/E",0,1)),0,1)</f>
        <v>15800</v>
      </c>
      <c r="S22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2" s="127">
        <v>45888</v>
      </c>
      <c r="U22" s="4">
        <f>IF(IFERROR(autocompJanta[[#This Row],[CORRESP. CARRO]],"")="NÃO",(IF(tabJanta[[#This Row],[MOTORISTA]]=0,"","PASSE?")),autocompJanta[[#This Row],[CORRESP. CARRO]])</f>
        <v>15800</v>
      </c>
      <c r="V22" s="126">
        <f>IF(OR(ISERR(autocompJanta[[#This Row],[CORRESP HORARIO]]), autocompJanta[[#This Row],[CORRESP HORARIO]]&lt;&gt;"NÃO"),autocompJanta[[#This Row],[CORRESP HORARIO]],"")</f>
        <v>0.79861111111111116</v>
      </c>
      <c r="W22" s="4" t="s">
        <v>299</v>
      </c>
      <c r="X22" s="4" t="s">
        <v>149</v>
      </c>
      <c r="Y22" s="1">
        <f>IF(tabJanta[[#This Row],[MOTORISTA]]="","",COUNTIF(autocompJanta[COMP ESCALA ATUAL],autocompJanta[[#This Row],[COMP ESCALA ATUAL]]))</f>
        <v>1</v>
      </c>
      <c r="Z22" s="45">
        <f>IF(tabJanta[[#This Row],[MOTORISTA]]&lt;&gt;0,15,"")</f>
        <v>15</v>
      </c>
      <c r="AA22" s="4" t="str">
        <f>autocompJanta[[#This Row],[CORRESP LINHA]]</f>
        <v>GOIANIA (GO) X TERESINA (PI) VIA STI</v>
      </c>
    </row>
    <row r="23" spans="3:27" hidden="1" x14ac:dyDescent="0.25">
      <c r="C23" s="129" t="s">
        <v>226</v>
      </c>
      <c r="D23" s="56" t="str">
        <f>IF(tabJanta[[#This Row],[MOTORISTA]]="","",_xlfn.CONCAT(tabJanta[[#This Row],[DATA]],"+",tabJanta[[#This Row],[MOTORISTA]]))</f>
        <v>45888+JOAO FERREIRA COSTA - 5545</v>
      </c>
      <c r="E23" s="56" t="str">
        <f>_xlfn.XLOOKUP(autocompJanta[[#This Row],[COMP ESCALA ATUAL]],tabE.Flux[COMP.AT. MOT A],tabE.Flux[LINHA],"NÃO",0,1)</f>
        <v>FORTALEZA (CE) X SINOP (MT)</v>
      </c>
      <c r="F23" s="56" t="str">
        <f>_xlfn.XLOOKUP(autocompJanta[[#This Row],[COMP ESCALA ATUAL]],tabE.Flux[COMP.AT. MOT B],tabE.Flux[LINHA],"NÃO",0,1)</f>
        <v>NÃO</v>
      </c>
      <c r="G23" s="61" t="str">
        <f>IF(AND(autocompJanta[[#This Row],[EXISTE MOT A AT]]="NÃO", autocompJanta[[#This Row],[EXISTE MOT B AT]]="NÃO"),"NÃO","SIM")</f>
        <v>SIM</v>
      </c>
      <c r="H23" s="71" t="str">
        <f>IF(autocompJanta[[#This Row],[EXISTE ESCALA ATUAL]]="NÃO",_xlfn.CONCAT(tabJanta[[#This Row],[DATA]]-1,"+",tabJanta[[#This Row],[MOTORISTA]]),"NÃO")</f>
        <v>NÃO</v>
      </c>
      <c r="I23" s="57" t="str">
        <f>IF(autocompJanta[[#This Row],[COMP ESCALA ANTERIOR]]="NÃO","NÃO",_xlfn.XLOOKUP(autocompJanta[[#This Row],[COMP ESCALA ANTERIOR]],tabE.Flux[COMP.AT. MOT A],tabE.Flux[LINHA],"NÃO",0,1))</f>
        <v>NÃO</v>
      </c>
      <c r="J23" s="58" t="str">
        <f>IF(autocompJanta[[#This Row],[COMP ESCALA ANTERIOR]]="NÃO","NÃO",_xlfn.XLOOKUP(autocompJanta[[#This Row],[COMP ESCALA ANTERIOR]],tabE.Flux[COMP.AT. MOT B],tabE.Flux[LINHA],"NÃO",0,1))</f>
        <v>NÃO</v>
      </c>
      <c r="K23" s="62" t="str">
        <f>IF(AND(autocompJanta[[#This Row],[EXISTE MOT A ANT]]="NÃO",autocompJanta[[#This Row],[EXISTE MOT B ANT]]="NÃO"),"NÃO","SIM")</f>
        <v>NÃO</v>
      </c>
      <c r="L23" s="73" t="str">
        <f t="shared" si="0"/>
        <v>45889+JOAO FERREIRA COSTA - 5545</v>
      </c>
      <c r="M23" s="59" t="str">
        <f>IF(autocompJanta[[#This Row],[COMP ESCALA POSTERIOR]]="NÃO","NÃO",_xlfn.XLOOKUP(autocompJanta[[#This Row],[COMP ESCALA POSTERIOR]],tabE.Flux[COMP.AT. MOT A],tabE.Flux[LINHA],"NÃO",0,1))</f>
        <v>NÃO</v>
      </c>
      <c r="N23" s="59" t="str">
        <f>IF(autocompJanta[[#This Row],[COMP ESCALA POSTERIOR]]="NÃO","NÃO",_xlfn.XLOOKUP(autocompJanta[[#This Row],[COMP ESCALA POSTERIOR]],tabE.Flux[COMP.AT. MOT B],tabE.Flux[LINHA],"NÃO",0,1))</f>
        <v>NÃO</v>
      </c>
      <c r="O23" s="65" t="str">
        <f>IF(AND(autocompJanta[[#This Row],[EXISTE MOT A POS]]="NÃO",autocompJanta[[#This Row],[EXISTE MOT B POS]]="NÃO"),"NÃO","SIM")</f>
        <v>NÃO</v>
      </c>
      <c r="P23" s="66" t="str" cm="1">
        <f t="array" ref="P2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23" s="75" t="str" cm="1">
        <f t="array" ref="Q2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45888+JOAO FERREIRA COSTA - 5545+FORTALEZA (CE) X SINOP (MT)</v>
      </c>
      <c r="R23" s="67">
        <f>_xlfn.XLOOKUP(autocompJanta[[#This Row],[COMP ESCALA]],tabE.Flux[COMP. ESCALA MOT B],tabE.Flux[CARRO],
(_xlfn.XLOOKUP(autocompJanta[[#This Row],[COMP ESCALA]],tabE.Flux[COMP. ESCALA MOT A],tabE.Flux[CARRO],"N/E",0,1)),0,1)</f>
        <v>19014</v>
      </c>
      <c r="S23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23" s="127">
        <v>45888</v>
      </c>
      <c r="U23" s="4">
        <f>IF(IFERROR(autocompJanta[[#This Row],[CORRESP. CARRO]],"")="NÃO",(IF(tabJanta[[#This Row],[MOTORISTA]]=0,"","PASSE?")),autocompJanta[[#This Row],[CORRESP. CARRO]])</f>
        <v>19014</v>
      </c>
      <c r="V23" s="126">
        <f>IF(OR(ISERR(autocompJanta[[#This Row],[CORRESP HORARIO]]), autocompJanta[[#This Row],[CORRESP HORARIO]]&lt;&gt;"NÃO"),autocompJanta[[#This Row],[CORRESP HORARIO]],"")</f>
        <v>0.37708333333333333</v>
      </c>
      <c r="W23" s="4" t="s">
        <v>299</v>
      </c>
      <c r="X23" s="4" t="s">
        <v>61</v>
      </c>
      <c r="Y23" s="1">
        <f>IF(tabJanta[[#This Row],[MOTORISTA]]="","",COUNTIF(autocompJanta[COMP ESCALA ATUAL],autocompJanta[[#This Row],[COMP ESCALA ATUAL]]))</f>
        <v>1</v>
      </c>
      <c r="Z23" s="45">
        <f>IF(tabJanta[[#This Row],[MOTORISTA]]&lt;&gt;0,15,"")</f>
        <v>15</v>
      </c>
      <c r="AA23" s="4" t="str">
        <f>autocompJanta[[#This Row],[CORRESP LINHA]]</f>
        <v>FORTALEZA (CE) X SINOP (MT)</v>
      </c>
    </row>
    <row r="24" spans="3:27" hidden="1" x14ac:dyDescent="0.25">
      <c r="C24" s="129" t="s">
        <v>226</v>
      </c>
      <c r="D24" s="56" t="str">
        <f>IF(tabJanta[[#This Row],[MOTORISTA]]="","",_xlfn.CONCAT(tabJanta[[#This Row],[DATA]],"+",tabJanta[[#This Row],[MOTORISTA]]))</f>
        <v>45889+CLODOALDO PEREIRA DE LIMA - 4067</v>
      </c>
      <c r="E24" s="56" t="str">
        <f>_xlfn.XLOOKUP(autocompJanta[[#This Row],[COMP ESCALA ATUAL]],tabE.Flux[COMP.AT. MOT A],tabE.Flux[LINHA],"NÃO",0,1)</f>
        <v>NÃO</v>
      </c>
      <c r="F24" s="56" t="str">
        <f>_xlfn.XLOOKUP(autocompJanta[[#This Row],[COMP ESCALA ATUAL]],tabE.Flux[COMP.AT. MOT B],tabE.Flux[LINHA],"NÃO",0,1)</f>
        <v>NÃO</v>
      </c>
      <c r="G24" s="61" t="str">
        <f>IF(AND(autocompJanta[[#This Row],[EXISTE MOT A AT]]="NÃO", autocompJanta[[#This Row],[EXISTE MOT B AT]]="NÃO"),"NÃO","SIM")</f>
        <v>NÃO</v>
      </c>
      <c r="H24" s="71" t="str">
        <f>IF(autocompJanta[[#This Row],[EXISTE ESCALA ATUAL]]="NÃO",_xlfn.CONCAT(tabJanta[[#This Row],[DATA]]-1,"+",tabJanta[[#This Row],[MOTORISTA]]),"NÃO")</f>
        <v>45888+CLODOALDO PEREIRA DE LIMA - 4067</v>
      </c>
      <c r="I24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24" s="58" t="str">
        <f>IF(autocompJanta[[#This Row],[COMP ESCALA ANTERIOR]]="NÃO","NÃO",_xlfn.XLOOKUP(autocompJanta[[#This Row],[COMP ESCALA ANTERIOR]],tabE.Flux[COMP.AT. MOT B],tabE.Flux[LINHA],"NÃO",0,1))</f>
        <v>NÃO</v>
      </c>
      <c r="K24" s="62" t="str">
        <f>IF(AND(autocompJanta[[#This Row],[EXISTE MOT A ANT]]="NÃO",autocompJanta[[#This Row],[EXISTE MOT B ANT]]="NÃO"),"NÃO","SIM")</f>
        <v>SIM</v>
      </c>
      <c r="L24" s="73" t="str">
        <f t="shared" si="0"/>
        <v>45890+CLODOALDO PEREIRA DE LIMA - 4067</v>
      </c>
      <c r="M24" s="59" t="str">
        <f>IF(autocompJanta[[#This Row],[COMP ESCALA POSTERIOR]]="NÃO","NÃO",_xlfn.XLOOKUP(autocompJanta[[#This Row],[COMP ESCALA POSTERIOR]],tabE.Flux[COMP.AT. MOT A],tabE.Flux[LINHA],"NÃO",0,1))</f>
        <v>NÃO</v>
      </c>
      <c r="N24" s="59" t="str">
        <f>IF(autocompJanta[[#This Row],[COMP ESCALA POSTERIOR]]="NÃO","NÃO",_xlfn.XLOOKUP(autocompJanta[[#This Row],[COMP ESCALA POSTERIOR]],tabE.Flux[COMP.AT. MOT B],tabE.Flux[LINHA],"NÃO",0,1))</f>
        <v>NÃO</v>
      </c>
      <c r="O24" s="65" t="str">
        <f>IF(AND(autocompJanta[[#This Row],[EXISTE MOT A POS]]="NÃO",autocompJanta[[#This Row],[EXISTE MOT B POS]]="NÃO"),"NÃO","SIM")</f>
        <v>NÃO</v>
      </c>
      <c r="P24" s="66" t="str" cm="1">
        <f t="array" ref="P2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4" s="75" t="str" cm="1">
        <f t="array" ref="Q2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45888+CLODOALDO PEREIRA DE LIMA - 4067+GOIANIA (GO) X TERESINA (PI) VIA STI</v>
      </c>
      <c r="R24" s="67">
        <f>_xlfn.XLOOKUP(autocompJanta[[#This Row],[COMP ESCALA]],tabE.Flux[COMP. ESCALA MOT B],tabE.Flux[CARRO],
(_xlfn.XLOOKUP(autocompJanta[[#This Row],[COMP ESCALA]],tabE.Flux[COMP. ESCALA MOT A],tabE.Flux[CARRO],"N/E",0,1)),0,1)</f>
        <v>15800</v>
      </c>
      <c r="S24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4" s="127">
        <v>45889</v>
      </c>
      <c r="U24" s="4">
        <f>IF(IFERROR(autocompJanta[[#This Row],[CORRESP. CARRO]],"")="NÃO",(IF(tabJanta[[#This Row],[MOTORISTA]]=0,"","PASSE?")),autocompJanta[[#This Row],[CORRESP. CARRO]])</f>
        <v>15800</v>
      </c>
      <c r="V24" s="126">
        <f>IF(OR(ISERR(autocompJanta[[#This Row],[CORRESP HORARIO]]), autocompJanta[[#This Row],[CORRESP HORARIO]]&lt;&gt;"NÃO"),autocompJanta[[#This Row],[CORRESP HORARIO]],"")</f>
        <v>0.79861111111111116</v>
      </c>
      <c r="W24" s="4" t="s">
        <v>299</v>
      </c>
      <c r="X24" s="4" t="s">
        <v>109</v>
      </c>
      <c r="Y24" s="1">
        <f>IF(tabJanta[[#This Row],[MOTORISTA]]="","",COUNTIF(autocompJanta[COMP ESCALA ATUAL],autocompJanta[[#This Row],[COMP ESCALA ATUAL]]))</f>
        <v>1</v>
      </c>
      <c r="Z24" s="45">
        <f>IF(tabJanta[[#This Row],[MOTORISTA]]&lt;&gt;0,15,"")</f>
        <v>15</v>
      </c>
      <c r="AA24" s="4" t="str">
        <f>autocompJanta[[#This Row],[CORRESP LINHA]]</f>
        <v>GOIANIA (GO) X TERESINA (PI) VIA STI</v>
      </c>
    </row>
    <row r="25" spans="3:27" hidden="1" x14ac:dyDescent="0.25">
      <c r="C25" s="129" t="s">
        <v>226</v>
      </c>
      <c r="D25" s="56" t="str">
        <f>IF(tabJanta[[#This Row],[MOTORISTA]]="","",_xlfn.CONCAT(tabJanta[[#This Row],[DATA]],"+",tabJanta[[#This Row],[MOTORISTA]]))</f>
        <v>45889+JOSE CARLOS BEZERRA DA SILVA - 3034</v>
      </c>
      <c r="E25" s="56" t="str">
        <f>_xlfn.XLOOKUP(autocompJanta[[#This Row],[COMP ESCALA ATUAL]],tabE.Flux[COMP.AT. MOT A],tabE.Flux[LINHA],"NÃO",0,1)</f>
        <v>NÃO</v>
      </c>
      <c r="F25" s="56" t="str">
        <f>_xlfn.XLOOKUP(autocompJanta[[#This Row],[COMP ESCALA ATUAL]],tabE.Flux[COMP.AT. MOT B],tabE.Flux[LINHA],"NÃO",0,1)</f>
        <v>GOIANIA (GO) X SAO LUIS (MA)</v>
      </c>
      <c r="G25" s="61" t="str">
        <f>IF(AND(autocompJanta[[#This Row],[EXISTE MOT A AT]]="NÃO", autocompJanta[[#This Row],[EXISTE MOT B AT]]="NÃO"),"NÃO","SIM")</f>
        <v>SIM</v>
      </c>
      <c r="H25" s="71" t="str">
        <f>IF(autocompJanta[[#This Row],[EXISTE ESCALA ATUAL]]="NÃO",_xlfn.CONCAT(tabJanta[[#This Row],[DATA]]-1,"+",tabJanta[[#This Row],[MOTORISTA]]),"NÃO")</f>
        <v>NÃO</v>
      </c>
      <c r="I25" s="57" t="str">
        <f>IF(autocompJanta[[#This Row],[COMP ESCALA ANTERIOR]]="NÃO","NÃO",_xlfn.XLOOKUP(autocompJanta[[#This Row],[COMP ESCALA ANTERIOR]],tabE.Flux[COMP.AT. MOT A],tabE.Flux[LINHA],"NÃO",0,1))</f>
        <v>NÃO</v>
      </c>
      <c r="J25" s="58" t="str">
        <f>IF(autocompJanta[[#This Row],[COMP ESCALA ANTERIOR]]="NÃO","NÃO",_xlfn.XLOOKUP(autocompJanta[[#This Row],[COMP ESCALA ANTERIOR]],tabE.Flux[COMP.AT. MOT B],tabE.Flux[LINHA],"NÃO",0,1))</f>
        <v>NÃO</v>
      </c>
      <c r="K25" s="62" t="str">
        <f>IF(AND(autocompJanta[[#This Row],[EXISTE MOT A ANT]]="NÃO",autocompJanta[[#This Row],[EXISTE MOT B ANT]]="NÃO"),"NÃO","SIM")</f>
        <v>NÃO</v>
      </c>
      <c r="L25" s="73" t="str">
        <f t="shared" si="0"/>
        <v>45890+JOSE CARLOS BEZERRA DA SILVA - 3034</v>
      </c>
      <c r="M25" s="59" t="str">
        <f>IF(autocompJanta[[#This Row],[COMP ESCALA POSTERIOR]]="NÃO","NÃO",_xlfn.XLOOKUP(autocompJanta[[#This Row],[COMP ESCALA POSTERIOR]],tabE.Flux[COMP.AT. MOT A],tabE.Flux[LINHA],"NÃO",0,1))</f>
        <v>NÃO</v>
      </c>
      <c r="N25" s="59" t="str">
        <f>IF(autocompJanta[[#This Row],[COMP ESCALA POSTERIOR]]="NÃO","NÃO",_xlfn.XLOOKUP(autocompJanta[[#This Row],[COMP ESCALA POSTERIOR]],tabE.Flux[COMP.AT. MOT B],tabE.Flux[LINHA],"NÃO",0,1))</f>
        <v>NÃO</v>
      </c>
      <c r="O25" s="65" t="str">
        <f>IF(AND(autocompJanta[[#This Row],[EXISTE MOT A POS]]="NÃO",autocompJanta[[#This Row],[EXISTE MOT B POS]]="NÃO"),"NÃO","SIM")</f>
        <v>NÃO</v>
      </c>
      <c r="P25" s="66" t="str" cm="1">
        <f t="array" ref="P2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5" s="75" t="str" cm="1">
        <f t="array" ref="Q2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45889+JOSE CARLOS BEZERRA DA SILVA - 3034+GOIANIA (GO) X SAO LUIS (MA)</v>
      </c>
      <c r="R25" s="67">
        <f>_xlfn.XLOOKUP(autocompJanta[[#This Row],[COMP ESCALA]],tabE.Flux[COMP. ESCALA MOT B],tabE.Flux[CARRO],
(_xlfn.XLOOKUP(autocompJanta[[#This Row],[COMP ESCALA]],tabE.Flux[COMP. ESCALA MOT A],tabE.Flux[CARRO],"N/E",0,1)),0,1)</f>
        <v>24009</v>
      </c>
      <c r="S25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25" s="127">
        <v>45889</v>
      </c>
      <c r="U25" s="4">
        <f>IF(IFERROR(autocompJanta[[#This Row],[CORRESP. CARRO]],"")="NÃO",(IF(tabJanta[[#This Row],[MOTORISTA]]=0,"","PASSE?")),autocompJanta[[#This Row],[CORRESP. CARRO]])</f>
        <v>24009</v>
      </c>
      <c r="V25" s="126">
        <f>IF(OR(ISERR(autocompJanta[[#This Row],[CORRESP HORARIO]]), autocompJanta[[#This Row],[CORRESP HORARIO]]&lt;&gt;"NÃO"),autocompJanta[[#This Row],[CORRESP HORARIO]],"")</f>
        <v>0.79166666666666663</v>
      </c>
      <c r="W25" s="4" t="s">
        <v>299</v>
      </c>
      <c r="X25" s="4" t="s">
        <v>76</v>
      </c>
      <c r="Y25" s="1">
        <f>IF(tabJanta[[#This Row],[MOTORISTA]]="","",COUNTIF(autocompJanta[COMP ESCALA ATUAL],autocompJanta[[#This Row],[COMP ESCALA ATUAL]]))</f>
        <v>1</v>
      </c>
      <c r="Z25" s="45">
        <f>IF(tabJanta[[#This Row],[MOTORISTA]]&lt;&gt;0,15,"")</f>
        <v>15</v>
      </c>
      <c r="AA25" s="4" t="str">
        <f>autocompJanta[[#This Row],[CORRESP LINHA]]</f>
        <v>GOIANIA (GO) X SAO LUIS (MA)</v>
      </c>
    </row>
    <row r="26" spans="3:27" hidden="1" x14ac:dyDescent="0.25">
      <c r="C26" s="129" t="s">
        <v>226</v>
      </c>
      <c r="D26" s="56" t="str">
        <f>IF(tabJanta[[#This Row],[MOTORISTA]]="","",_xlfn.CONCAT(tabJanta[[#This Row],[DATA]],"+",tabJanta[[#This Row],[MOTORISTA]]))</f>
        <v>45889+RAIMUNDO NONATO FRANCO NETO - 5658</v>
      </c>
      <c r="E26" s="56" t="str">
        <f>_xlfn.XLOOKUP(autocompJanta[[#This Row],[COMP ESCALA ATUAL]],tabE.Flux[COMP.AT. MOT A],tabE.Flux[LINHA],"NÃO",0,1)</f>
        <v>NÃO</v>
      </c>
      <c r="F26" s="56" t="str">
        <f>_xlfn.XLOOKUP(autocompJanta[[#This Row],[COMP ESCALA ATUAL]],tabE.Flux[COMP.AT. MOT B],tabE.Flux[LINHA],"NÃO",0,1)</f>
        <v>NÃO</v>
      </c>
      <c r="G26" s="61" t="str">
        <f>IF(AND(autocompJanta[[#This Row],[EXISTE MOT A AT]]="NÃO", autocompJanta[[#This Row],[EXISTE MOT B AT]]="NÃO"),"NÃO","SIM")</f>
        <v>NÃO</v>
      </c>
      <c r="H26" s="71" t="str">
        <f>IF(autocompJanta[[#This Row],[EXISTE ESCALA ATUAL]]="NÃO",_xlfn.CONCAT(tabJanta[[#This Row],[DATA]]-1,"+",tabJanta[[#This Row],[MOTORISTA]]),"NÃO")</f>
        <v>45888+RAIMUNDO NONATO FRANCO NETO - 5658</v>
      </c>
      <c r="I26" s="57" t="str">
        <f>IF(autocompJanta[[#This Row],[COMP ESCALA ANTERIOR]]="NÃO","NÃO",_xlfn.XLOOKUP(autocompJanta[[#This Row],[COMP ESCALA ANTERIOR]],tabE.Flux[COMP.AT. MOT A],tabE.Flux[LINHA],"NÃO",0,1))</f>
        <v>NÃO</v>
      </c>
      <c r="J26" s="58" t="str">
        <f>IF(autocompJanta[[#This Row],[COMP ESCALA ANTERIOR]]="NÃO","NÃO",_xlfn.XLOOKUP(autocompJanta[[#This Row],[COMP ESCALA ANTERIOR]],tabE.Flux[COMP.AT. MOT B],tabE.Flux[LINHA],"NÃO",0,1))</f>
        <v>NÃO</v>
      </c>
      <c r="K26" s="62" t="str">
        <f>IF(AND(autocompJanta[[#This Row],[EXISTE MOT A ANT]]="NÃO",autocompJanta[[#This Row],[EXISTE MOT B ANT]]="NÃO"),"NÃO","SIM")</f>
        <v>NÃO</v>
      </c>
      <c r="L26" s="73" t="str">
        <f t="shared" si="0"/>
        <v>45890+RAIMUNDO NONATO FRANCO NETO - 5658</v>
      </c>
      <c r="M26" s="59" t="str">
        <f>IF(autocompJanta[[#This Row],[COMP ESCALA POSTERIOR]]="NÃO","NÃO",_xlfn.XLOOKUP(autocompJanta[[#This Row],[COMP ESCALA POSTERIOR]],tabE.Flux[COMP.AT. MOT A],tabE.Flux[LINHA],"NÃO",0,1))</f>
        <v>NÃO</v>
      </c>
      <c r="N26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26" s="65" t="str">
        <f>IF(AND(autocompJanta[[#This Row],[EXISTE MOT A POS]]="NÃO",autocompJanta[[#This Row],[EXISTE MOT B POS]]="NÃO"),"NÃO","SIM")</f>
        <v>SIM</v>
      </c>
      <c r="P26" s="66" t="str" cm="1">
        <f t="array" ref="P2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6" s="75" t="str" cm="1">
        <f t="array" ref="Q2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45890+RAIMUNDO NONATO FRANCO NETO - 5658+GOIANIA (GO) X TERESINA (PI) VIA STI</v>
      </c>
      <c r="R26" s="67">
        <f>_xlfn.XLOOKUP(autocompJanta[[#This Row],[COMP ESCALA]],tabE.Flux[COMP. ESCALA MOT B],tabE.Flux[CARRO],
(_xlfn.XLOOKUP(autocompJanta[[#This Row],[COMP ESCALA]],tabE.Flux[COMP. ESCALA MOT A],tabE.Flux[CARRO],"N/E",0,1)),0,1)</f>
        <v>19019</v>
      </c>
      <c r="S26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6" s="127">
        <v>45889</v>
      </c>
      <c r="U26" s="4">
        <f>IF(IFERROR(autocompJanta[[#This Row],[CORRESP. CARRO]],"")="NÃO",(IF(tabJanta[[#This Row],[MOTORISTA]]=0,"","PASSE?")),autocompJanta[[#This Row],[CORRESP. CARRO]])</f>
        <v>19019</v>
      </c>
      <c r="V26" s="126">
        <f>IF(OR(ISERR(autocompJanta[[#This Row],[CORRESP HORARIO]]), autocompJanta[[#This Row],[CORRESP HORARIO]]&lt;&gt;"NÃO"),autocompJanta[[#This Row],[CORRESP HORARIO]],"")</f>
        <v>0.79861111111111116</v>
      </c>
      <c r="W26" s="4" t="s">
        <v>299</v>
      </c>
      <c r="X26" s="4" t="s">
        <v>176</v>
      </c>
      <c r="Y26" s="1">
        <f>IF(tabJanta[[#This Row],[MOTORISTA]]="","",COUNTIF(autocompJanta[COMP ESCALA ATUAL],autocompJanta[[#This Row],[COMP ESCALA ATUAL]]))</f>
        <v>1</v>
      </c>
      <c r="Z26" s="45">
        <f>IF(tabJanta[[#This Row],[MOTORISTA]]&lt;&gt;0,15,"")</f>
        <v>15</v>
      </c>
      <c r="AA26" s="4" t="str">
        <f>autocompJanta[[#This Row],[CORRESP LINHA]]</f>
        <v>GOIANIA (GO) X TERESINA (PI) VIA STI</v>
      </c>
    </row>
    <row r="27" spans="3:27" hidden="1" x14ac:dyDescent="0.25">
      <c r="C27" s="129" t="s">
        <v>226</v>
      </c>
      <c r="D27" s="56" t="str">
        <f>IF(tabJanta[[#This Row],[MOTORISTA]]="","",_xlfn.CONCAT(tabJanta[[#This Row],[DATA]],"+",tabJanta[[#This Row],[MOTORISTA]]))</f>
        <v>45889+RAIMUNDO COSTA SILVA - 6226</v>
      </c>
      <c r="E27" s="56" t="str">
        <f>_xlfn.XLOOKUP(autocompJanta[[#This Row],[COMP ESCALA ATUAL]],tabE.Flux[COMP.AT. MOT A],tabE.Flux[LINHA],"NÃO",0,1)</f>
        <v>NÃO</v>
      </c>
      <c r="F27" s="56" t="str">
        <f>_xlfn.XLOOKUP(autocompJanta[[#This Row],[COMP ESCALA ATUAL]],tabE.Flux[COMP.AT. MOT B],tabE.Flux[LINHA],"NÃO",0,1)</f>
        <v>GOIANIA (GO) X SAO LUIS (MA)</v>
      </c>
      <c r="G27" s="61" t="str">
        <f>IF(AND(autocompJanta[[#This Row],[EXISTE MOT A AT]]="NÃO", autocompJanta[[#This Row],[EXISTE MOT B AT]]="NÃO"),"NÃO","SIM")</f>
        <v>SIM</v>
      </c>
      <c r="H27" s="71" t="str">
        <f>IF(autocompJanta[[#This Row],[EXISTE ESCALA ATUAL]]="NÃO",_xlfn.CONCAT(tabJanta[[#This Row],[DATA]]-1,"+",tabJanta[[#This Row],[MOTORISTA]]),"NÃO")</f>
        <v>NÃO</v>
      </c>
      <c r="I27" s="57" t="str">
        <f>IF(autocompJanta[[#This Row],[COMP ESCALA ANTERIOR]]="NÃO","NÃO",_xlfn.XLOOKUP(autocompJanta[[#This Row],[COMP ESCALA ANTERIOR]],tabE.Flux[COMP.AT. MOT A],tabE.Flux[LINHA],"NÃO",0,1))</f>
        <v>NÃO</v>
      </c>
      <c r="J27" s="58" t="str">
        <f>IF(autocompJanta[[#This Row],[COMP ESCALA ANTERIOR]]="NÃO","NÃO",_xlfn.XLOOKUP(autocompJanta[[#This Row],[COMP ESCALA ANTERIOR]],tabE.Flux[COMP.AT. MOT B],tabE.Flux[LINHA],"NÃO",0,1))</f>
        <v>NÃO</v>
      </c>
      <c r="K27" s="62" t="str">
        <f>IF(AND(autocompJanta[[#This Row],[EXISTE MOT A ANT]]="NÃO",autocompJanta[[#This Row],[EXISTE MOT B ANT]]="NÃO"),"NÃO","SIM")</f>
        <v>NÃO</v>
      </c>
      <c r="L27" s="73" t="str">
        <f t="shared" si="0"/>
        <v>45890+RAIMUNDO COSTA SILVA - 6226</v>
      </c>
      <c r="M27" s="59" t="str">
        <f>IF(autocompJanta[[#This Row],[COMP ESCALA POSTERIOR]]="NÃO","NÃO",_xlfn.XLOOKUP(autocompJanta[[#This Row],[COMP ESCALA POSTERIOR]],tabE.Flux[COMP.AT. MOT A],tabE.Flux[LINHA],"NÃO",0,1))</f>
        <v>NÃO</v>
      </c>
      <c r="N27" s="59" t="str">
        <f>IF(autocompJanta[[#This Row],[COMP ESCALA POSTERIOR]]="NÃO","NÃO",_xlfn.XLOOKUP(autocompJanta[[#This Row],[COMP ESCALA POSTERIOR]],tabE.Flux[COMP.AT. MOT B],tabE.Flux[LINHA],"NÃO",0,1))</f>
        <v>NÃO</v>
      </c>
      <c r="O27" s="65" t="str">
        <f>IF(AND(autocompJanta[[#This Row],[EXISTE MOT A POS]]="NÃO",autocompJanta[[#This Row],[EXISTE MOT B POS]]="NÃO"),"NÃO","SIM")</f>
        <v>NÃO</v>
      </c>
      <c r="P27" s="66" t="str" cm="1">
        <f t="array" ref="P2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7" s="75" t="str" cm="1">
        <f t="array" ref="Q2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45889+RAIMUNDO COSTA SILVA - 6226+GOIANIA (GO) X SAO LUIS (MA)</v>
      </c>
      <c r="R27" s="67">
        <f>_xlfn.XLOOKUP(autocompJanta[[#This Row],[COMP ESCALA]],tabE.Flux[COMP. ESCALA MOT B],tabE.Flux[CARRO],
(_xlfn.XLOOKUP(autocompJanta[[#This Row],[COMP ESCALA]],tabE.Flux[COMP. ESCALA MOT A],tabE.Flux[CARRO],"N/E",0,1)),0,1)</f>
        <v>24015</v>
      </c>
      <c r="S27" s="130">
        <f>_xlfn.XLOOKUP(autocompJanta[[#This Row],[COMP ESCALA]],tabE.Flux[COMP. ESCALA MOT A],tabE.Flux[HORARIO],(_xlfn.XLOOKUP(autocompJanta[[#This Row],[COMP ESCALA]],tabE.Flux[COMP. ESCALA MOT B],tabE.Flux[HORARIO],"N/E",0,1)),0,1)</f>
        <v>0.84375</v>
      </c>
      <c r="T27" s="127">
        <v>45889</v>
      </c>
      <c r="U27" s="4">
        <f>IF(IFERROR(autocompJanta[[#This Row],[CORRESP. CARRO]],"")="NÃO",(IF(tabJanta[[#This Row],[MOTORISTA]]=0,"","PASSE?")),autocompJanta[[#This Row],[CORRESP. CARRO]])</f>
        <v>24015</v>
      </c>
      <c r="V27" s="126">
        <f>IF(OR(ISERR(autocompJanta[[#This Row],[CORRESP HORARIO]]), autocompJanta[[#This Row],[CORRESP HORARIO]]&lt;&gt;"NÃO"),autocompJanta[[#This Row],[CORRESP HORARIO]],"")</f>
        <v>0.84375</v>
      </c>
      <c r="W27" s="4" t="s">
        <v>299</v>
      </c>
      <c r="X27" s="4" t="s">
        <v>45</v>
      </c>
      <c r="Y27" s="1">
        <f>IF(tabJanta[[#This Row],[MOTORISTA]]="","",COUNTIF(autocompJanta[COMP ESCALA ATUAL],autocompJanta[[#This Row],[COMP ESCALA ATUAL]]))</f>
        <v>1</v>
      </c>
      <c r="Z27" s="45">
        <f>IF(tabJanta[[#This Row],[MOTORISTA]]&lt;&gt;0,15,"")</f>
        <v>15</v>
      </c>
      <c r="AA27" s="4" t="str">
        <f>autocompJanta[[#This Row],[CORRESP LINHA]]</f>
        <v>GOIANIA (GO) X SAO LUIS (MA)</v>
      </c>
    </row>
    <row r="28" spans="3:27" hidden="1" x14ac:dyDescent="0.25">
      <c r="C28" s="129" t="s">
        <v>226</v>
      </c>
      <c r="D28" s="56" t="str">
        <f>IF(tabJanta[[#This Row],[MOTORISTA]]="","",_xlfn.CONCAT(tabJanta[[#This Row],[DATA]],"+",tabJanta[[#This Row],[MOTORISTA]]))</f>
        <v>45889+ROSEAN MOURA DOS SANTOS - 5659</v>
      </c>
      <c r="E28" s="56" t="str">
        <f>_xlfn.XLOOKUP(autocompJanta[[#This Row],[COMP ESCALA ATUAL]],tabE.Flux[COMP.AT. MOT A],tabE.Flux[LINHA],"NÃO",0,1)</f>
        <v>NÃO</v>
      </c>
      <c r="F28" s="56" t="str">
        <f>_xlfn.XLOOKUP(autocompJanta[[#This Row],[COMP ESCALA ATUAL]],tabE.Flux[COMP.AT. MOT B],tabE.Flux[LINHA],"NÃO",0,1)</f>
        <v>GOIANIA (GO) X TERESINA (PI) VIA STI</v>
      </c>
      <c r="G28" s="61" t="str">
        <f>IF(AND(autocompJanta[[#This Row],[EXISTE MOT A AT]]="NÃO", autocompJanta[[#This Row],[EXISTE MOT B AT]]="NÃO"),"NÃO","SIM")</f>
        <v>SIM</v>
      </c>
      <c r="H28" s="71" t="str">
        <f>IF(autocompJanta[[#This Row],[EXISTE ESCALA ATUAL]]="NÃO",_xlfn.CONCAT(tabJanta[[#This Row],[DATA]]-1,"+",tabJanta[[#This Row],[MOTORISTA]]),"NÃO")</f>
        <v>NÃO</v>
      </c>
      <c r="I28" s="57" t="str">
        <f>IF(autocompJanta[[#This Row],[COMP ESCALA ANTERIOR]]="NÃO","NÃO",_xlfn.XLOOKUP(autocompJanta[[#This Row],[COMP ESCALA ANTERIOR]],tabE.Flux[COMP.AT. MOT A],tabE.Flux[LINHA],"NÃO",0,1))</f>
        <v>NÃO</v>
      </c>
      <c r="J28" s="58" t="str">
        <f>IF(autocompJanta[[#This Row],[COMP ESCALA ANTERIOR]]="NÃO","NÃO",_xlfn.XLOOKUP(autocompJanta[[#This Row],[COMP ESCALA ANTERIOR]],tabE.Flux[COMP.AT. MOT B],tabE.Flux[LINHA],"NÃO",0,1))</f>
        <v>NÃO</v>
      </c>
      <c r="K28" s="62" t="str">
        <f>IF(AND(autocompJanta[[#This Row],[EXISTE MOT A ANT]]="NÃO",autocompJanta[[#This Row],[EXISTE MOT B ANT]]="NÃO"),"NÃO","SIM")</f>
        <v>NÃO</v>
      </c>
      <c r="L28" s="73" t="str">
        <f t="shared" si="0"/>
        <v>45890+ROSEAN MOURA DOS SANTOS - 5659</v>
      </c>
      <c r="M28" s="59" t="str">
        <f>IF(autocompJanta[[#This Row],[COMP ESCALA POSTERIOR]]="NÃO","NÃO",_xlfn.XLOOKUP(autocompJanta[[#This Row],[COMP ESCALA POSTERIOR]],tabE.Flux[COMP.AT. MOT A],tabE.Flux[LINHA],"NÃO",0,1))</f>
        <v>NÃO</v>
      </c>
      <c r="N28" s="59" t="str">
        <f>IF(autocompJanta[[#This Row],[COMP ESCALA POSTERIOR]]="NÃO","NÃO",_xlfn.XLOOKUP(autocompJanta[[#This Row],[COMP ESCALA POSTERIOR]],tabE.Flux[COMP.AT. MOT B],tabE.Flux[LINHA],"NÃO",0,1))</f>
        <v>NÃO</v>
      </c>
      <c r="O28" s="65" t="str">
        <f>IF(AND(autocompJanta[[#This Row],[EXISTE MOT A POS]]="NÃO",autocompJanta[[#This Row],[EXISTE MOT B POS]]="NÃO"),"NÃO","SIM")</f>
        <v>NÃO</v>
      </c>
      <c r="P28" s="66" t="str" cm="1">
        <f t="array" ref="P2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8" s="75" t="str" cm="1">
        <f t="array" ref="Q2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45889+ROSEAN MOURA DOS SANTOS - 5659+GOIANIA (GO) X TERESINA (PI) VIA STI</v>
      </c>
      <c r="R28" s="67">
        <f>_xlfn.XLOOKUP(autocompJanta[[#This Row],[COMP ESCALA]],tabE.Flux[COMP. ESCALA MOT B],tabE.Flux[CARRO],
(_xlfn.XLOOKUP(autocompJanta[[#This Row],[COMP ESCALA]],tabE.Flux[COMP. ESCALA MOT A],tabE.Flux[CARRO],"N/E",0,1)),0,1)</f>
        <v>16800</v>
      </c>
      <c r="S28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8" s="127">
        <v>45889</v>
      </c>
      <c r="U28" s="4">
        <f>IF(IFERROR(autocompJanta[[#This Row],[CORRESP. CARRO]],"")="NÃO",(IF(tabJanta[[#This Row],[MOTORISTA]]=0,"","PASSE?")),autocompJanta[[#This Row],[CORRESP. CARRO]])</f>
        <v>16800</v>
      </c>
      <c r="V28" s="126">
        <f>IF(OR(ISERR(autocompJanta[[#This Row],[CORRESP HORARIO]]), autocompJanta[[#This Row],[CORRESP HORARIO]]&lt;&gt;"NÃO"),autocompJanta[[#This Row],[CORRESP HORARIO]],"")</f>
        <v>0.79861111111111116</v>
      </c>
      <c r="W28" s="4" t="s">
        <v>299</v>
      </c>
      <c r="X28" s="4" t="s">
        <v>164</v>
      </c>
      <c r="Y28" s="1">
        <f>IF(tabJanta[[#This Row],[MOTORISTA]]="","",COUNTIF(autocompJanta[COMP ESCALA ATUAL],autocompJanta[[#This Row],[COMP ESCALA ATUAL]]))</f>
        <v>1</v>
      </c>
      <c r="Z28" s="45">
        <f>IF(tabJanta[[#This Row],[MOTORISTA]]&lt;&gt;0,15,"")</f>
        <v>15</v>
      </c>
      <c r="AA28" s="4" t="str">
        <f>autocompJanta[[#This Row],[CORRESP LINHA]]</f>
        <v>GOIANIA (GO) X TERESINA (PI) VIA STI</v>
      </c>
    </row>
    <row r="29" spans="3:27" hidden="1" x14ac:dyDescent="0.25">
      <c r="C29" s="129" t="s">
        <v>226</v>
      </c>
      <c r="D29" s="56" t="str">
        <f>IF(tabJanta[[#This Row],[MOTORISTA]]="","",_xlfn.CONCAT(tabJanta[[#This Row],[DATA]],"+",tabJanta[[#This Row],[MOTORISTA]]))</f>
        <v>45889+KAYLSON KLEYTON DA SILVA COSTA - 6224</v>
      </c>
      <c r="E29" s="56" t="str">
        <f>_xlfn.XLOOKUP(autocompJanta[[#This Row],[COMP ESCALA ATUAL]],tabE.Flux[COMP.AT. MOT A],tabE.Flux[LINHA],"NÃO",0,1)</f>
        <v>NÃO</v>
      </c>
      <c r="F29" s="56" t="str">
        <f>_xlfn.XLOOKUP(autocompJanta[[#This Row],[COMP ESCALA ATUAL]],tabE.Flux[COMP.AT. MOT B],tabE.Flux[LINHA],"NÃO",0,1)</f>
        <v>NÃO</v>
      </c>
      <c r="G29" s="61" t="str">
        <f>IF(AND(autocompJanta[[#This Row],[EXISTE MOT A AT]]="NÃO", autocompJanta[[#This Row],[EXISTE MOT B AT]]="NÃO"),"NÃO","SIM")</f>
        <v>NÃO</v>
      </c>
      <c r="H29" s="71" t="str">
        <f>IF(autocompJanta[[#This Row],[EXISTE ESCALA ATUAL]]="NÃO",_xlfn.CONCAT(tabJanta[[#This Row],[DATA]]-1,"+",tabJanta[[#This Row],[MOTORISTA]]),"NÃO")</f>
        <v>45888+KAYLSON KLEYTON DA SILVA COSTA - 6224</v>
      </c>
      <c r="I29" s="57" t="str">
        <f>IF(autocompJanta[[#This Row],[COMP ESCALA ANTERIOR]]="NÃO","NÃO",_xlfn.XLOOKUP(autocompJanta[[#This Row],[COMP ESCALA ANTERIOR]],tabE.Flux[COMP.AT. MOT A],tabE.Flux[LINHA],"NÃO",0,1))</f>
        <v>NÃO</v>
      </c>
      <c r="J29" s="58" t="str">
        <f>IF(autocompJanta[[#This Row],[COMP ESCALA ANTERIOR]]="NÃO","NÃO",_xlfn.XLOOKUP(autocompJanta[[#This Row],[COMP ESCALA ANTERIOR]],tabE.Flux[COMP.AT. MOT B],tabE.Flux[LINHA],"NÃO",0,1))</f>
        <v>NÃO</v>
      </c>
      <c r="K29" s="62" t="str">
        <f>IF(AND(autocompJanta[[#This Row],[EXISTE MOT A ANT]]="NÃO",autocompJanta[[#This Row],[EXISTE MOT B ANT]]="NÃO"),"NÃO","SIM")</f>
        <v>NÃO</v>
      </c>
      <c r="L29" s="73" t="str">
        <f t="shared" si="0"/>
        <v>45890+KAYLSON KLEYTON DA SILVA COSTA - 6224</v>
      </c>
      <c r="M29" s="59" t="str">
        <f>IF(autocompJanta[[#This Row],[COMP ESCALA POSTERIOR]]="NÃO","NÃO",_xlfn.XLOOKUP(autocompJanta[[#This Row],[COMP ESCALA POSTERIOR]],tabE.Flux[COMP.AT. MOT A],tabE.Flux[LINHA],"NÃO",0,1))</f>
        <v>NÃO</v>
      </c>
      <c r="N29" s="59" t="str">
        <f>IF(autocompJanta[[#This Row],[COMP ESCALA POSTERIOR]]="NÃO","NÃO",_xlfn.XLOOKUP(autocompJanta[[#This Row],[COMP ESCALA POSTERIOR]],tabE.Flux[COMP.AT. MOT B],tabE.Flux[LINHA],"NÃO",0,1))</f>
        <v>GOIANIA (GO) X SAO LUIS (MA)</v>
      </c>
      <c r="O29" s="65" t="str">
        <f>IF(AND(autocompJanta[[#This Row],[EXISTE MOT A POS]]="NÃO",autocompJanta[[#This Row],[EXISTE MOT B POS]]="NÃO"),"NÃO","SIM")</f>
        <v>SIM</v>
      </c>
      <c r="P29" s="66" t="str" cm="1">
        <f t="array" ref="P2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9" s="75" t="str" cm="1">
        <f t="array" ref="Q2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45890+KAYLSON KLEYTON DA SILVA COSTA - 6224+GOIANIA (GO) X SAO LUIS (MA)</v>
      </c>
      <c r="R29" s="67">
        <f>_xlfn.XLOOKUP(autocompJanta[[#This Row],[COMP ESCALA]],tabE.Flux[COMP. ESCALA MOT B],tabE.Flux[CARRO],
(_xlfn.XLOOKUP(autocompJanta[[#This Row],[COMP ESCALA]],tabE.Flux[COMP. ESCALA MOT A],tabE.Flux[CARRO],"N/E",0,1)),0,1)</f>
        <v>15600</v>
      </c>
      <c r="S29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29" s="127">
        <v>45889</v>
      </c>
      <c r="U29" s="4">
        <f>IF(IFERROR(autocompJanta[[#This Row],[CORRESP. CARRO]],"")="NÃO",(IF(tabJanta[[#This Row],[MOTORISTA]]=0,"","PASSE?")),autocompJanta[[#This Row],[CORRESP. CARRO]])</f>
        <v>15600</v>
      </c>
      <c r="V29" s="126">
        <f>IF(OR(ISERR(autocompJanta[[#This Row],[CORRESP HORARIO]]), autocompJanta[[#This Row],[CORRESP HORARIO]]&lt;&gt;"NÃO"),autocompJanta[[#This Row],[CORRESP HORARIO]],"")</f>
        <v>0.47013888888888888</v>
      </c>
      <c r="W29" s="4" t="s">
        <v>299</v>
      </c>
      <c r="X29" s="4" t="s">
        <v>80</v>
      </c>
      <c r="Y29" s="1">
        <f>IF(tabJanta[[#This Row],[MOTORISTA]]="","",COUNTIF(autocompJanta[COMP ESCALA ATUAL],autocompJanta[[#This Row],[COMP ESCALA ATUAL]]))</f>
        <v>1</v>
      </c>
      <c r="Z29" s="45">
        <f>IF(tabJanta[[#This Row],[MOTORISTA]]&lt;&gt;0,15,"")</f>
        <v>15</v>
      </c>
      <c r="AA29" s="4" t="str">
        <f>autocompJanta[[#This Row],[CORRESP LINHA]]</f>
        <v>GOIANIA (GO) X SAO LUIS (MA)</v>
      </c>
    </row>
    <row r="30" spans="3:27" hidden="1" x14ac:dyDescent="0.25">
      <c r="C30" s="129" t="s">
        <v>226</v>
      </c>
      <c r="D30" s="56" t="str">
        <f>IF(tabJanta[[#This Row],[MOTORISTA]]="","",_xlfn.CONCAT(tabJanta[[#This Row],[DATA]],"+",tabJanta[[#This Row],[MOTORISTA]]))</f>
        <v>45889+CARLOS ADRIANO DE SOUZA DO NASCIMENTO - 6222</v>
      </c>
      <c r="E30" s="56" t="str">
        <f>_xlfn.XLOOKUP(autocompJanta[[#This Row],[COMP ESCALA ATUAL]],tabE.Flux[COMP.AT. MOT A],tabE.Flux[LINHA],"NÃO",0,1)</f>
        <v>NÃO</v>
      </c>
      <c r="F30" s="56" t="str">
        <f>_xlfn.XLOOKUP(autocompJanta[[#This Row],[COMP ESCALA ATUAL]],tabE.Flux[COMP.AT. MOT B],tabE.Flux[LINHA],"NÃO",0,1)</f>
        <v>GOIANIA (GO) X SAO LUIS (MA)</v>
      </c>
      <c r="G30" s="61" t="str">
        <f>IF(AND(autocompJanta[[#This Row],[EXISTE MOT A AT]]="NÃO", autocompJanta[[#This Row],[EXISTE MOT B AT]]="NÃO"),"NÃO","SIM")</f>
        <v>SIM</v>
      </c>
      <c r="H30" s="71" t="str">
        <f>IF(autocompJanta[[#This Row],[EXISTE ESCALA ATUAL]]="NÃO",_xlfn.CONCAT(tabJanta[[#This Row],[DATA]]-1,"+",tabJanta[[#This Row],[MOTORISTA]]),"NÃO")</f>
        <v>NÃO</v>
      </c>
      <c r="I30" s="57" t="str">
        <f>IF(autocompJanta[[#This Row],[COMP ESCALA ANTERIOR]]="NÃO","NÃO",_xlfn.XLOOKUP(autocompJanta[[#This Row],[COMP ESCALA ANTERIOR]],tabE.Flux[COMP.AT. MOT A],tabE.Flux[LINHA],"NÃO",0,1))</f>
        <v>NÃO</v>
      </c>
      <c r="J30" s="58" t="str">
        <f>IF(autocompJanta[[#This Row],[COMP ESCALA ANTERIOR]]="NÃO","NÃO",_xlfn.XLOOKUP(autocompJanta[[#This Row],[COMP ESCALA ANTERIOR]],tabE.Flux[COMP.AT. MOT B],tabE.Flux[LINHA],"NÃO",0,1))</f>
        <v>NÃO</v>
      </c>
      <c r="K30" s="62" t="str">
        <f>IF(AND(autocompJanta[[#This Row],[EXISTE MOT A ANT]]="NÃO",autocompJanta[[#This Row],[EXISTE MOT B ANT]]="NÃO"),"NÃO","SIM")</f>
        <v>NÃO</v>
      </c>
      <c r="L30" s="73" t="str">
        <f t="shared" si="0"/>
        <v>45890+CARLOS ADRIANO DE SOUZA DO NASCIMENTO - 6222</v>
      </c>
      <c r="M30" s="59" t="str">
        <f>IF(autocompJanta[[#This Row],[COMP ESCALA POSTERIOR]]="NÃO","NÃO",_xlfn.XLOOKUP(autocompJanta[[#This Row],[COMP ESCALA POSTERIOR]],tabE.Flux[COMP.AT. MOT A],tabE.Flux[LINHA],"NÃO",0,1))</f>
        <v>NÃO</v>
      </c>
      <c r="N30" s="59" t="str">
        <f>IF(autocompJanta[[#This Row],[COMP ESCALA POSTERIOR]]="NÃO","NÃO",_xlfn.XLOOKUP(autocompJanta[[#This Row],[COMP ESCALA POSTERIOR]],tabE.Flux[COMP.AT. MOT B],tabE.Flux[LINHA],"NÃO",0,1))</f>
        <v>NÃO</v>
      </c>
      <c r="O30" s="65" t="str">
        <f>IF(AND(autocompJanta[[#This Row],[EXISTE MOT A POS]]="NÃO",autocompJanta[[#This Row],[EXISTE MOT B POS]]="NÃO"),"NÃO","SIM")</f>
        <v>NÃO</v>
      </c>
      <c r="P30" s="66" t="str" cm="1">
        <f t="array" ref="P3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30" s="75" t="str" cm="1">
        <f t="array" ref="Q3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45889+CARLOS ADRIANO DE SOUZA DO NASCIMENTO - 6222+GOIANIA (GO) X SAO LUIS (MA)</v>
      </c>
      <c r="R30" s="67">
        <f>_xlfn.XLOOKUP(autocompJanta[[#This Row],[COMP ESCALA]],tabE.Flux[COMP. ESCALA MOT B],tabE.Flux[CARRO],
(_xlfn.XLOOKUP(autocompJanta[[#This Row],[COMP ESCALA]],tabE.Flux[COMP. ESCALA MOT A],tabE.Flux[CARRO],"N/E",0,1)),0,1)</f>
        <v>19018</v>
      </c>
      <c r="S30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30" s="127">
        <v>45889</v>
      </c>
      <c r="U30" s="4">
        <f>IF(IFERROR(autocompJanta[[#This Row],[CORRESP. CARRO]],"")="NÃO",(IF(tabJanta[[#This Row],[MOTORISTA]]=0,"","PASSE?")),autocompJanta[[#This Row],[CORRESP. CARRO]])</f>
        <v>19018</v>
      </c>
      <c r="V30" s="126">
        <f>IF(OR(ISERR(autocompJanta[[#This Row],[CORRESP HORARIO]]), autocompJanta[[#This Row],[CORRESP HORARIO]]&lt;&gt;"NÃO"),autocompJanta[[#This Row],[CORRESP HORARIO]],"")</f>
        <v>0.47013888888888888</v>
      </c>
      <c r="W30" s="4" t="s">
        <v>299</v>
      </c>
      <c r="X30" s="4" t="s">
        <v>110</v>
      </c>
      <c r="Y30" s="1">
        <f>IF(tabJanta[[#This Row],[MOTORISTA]]="","",COUNTIF(autocompJanta[COMP ESCALA ATUAL],autocompJanta[[#This Row],[COMP ESCALA ATUAL]]))</f>
        <v>1</v>
      </c>
      <c r="Z30" s="45">
        <f>IF(tabJanta[[#This Row],[MOTORISTA]]&lt;&gt;0,15,"")</f>
        <v>15</v>
      </c>
      <c r="AA30" s="4" t="str">
        <f>autocompJanta[[#This Row],[CORRESP LINHA]]</f>
        <v>GOIANIA (GO) X SAO LUIS (MA)</v>
      </c>
    </row>
    <row r="31" spans="3:27" hidden="1" x14ac:dyDescent="0.25">
      <c r="C31" s="129" t="s">
        <v>226</v>
      </c>
      <c r="D31" s="56" t="str">
        <f>IF(tabJanta[[#This Row],[MOTORISTA]]="","",_xlfn.CONCAT(tabJanta[[#This Row],[DATA]],"+",tabJanta[[#This Row],[MOTORISTA]]))</f>
        <v>45890+FRANCISCO PESSOA DE CARVALHO - 5276</v>
      </c>
      <c r="E31" s="56" t="str">
        <f>_xlfn.XLOOKUP(autocompJanta[[#This Row],[COMP ESCALA ATUAL]],tabE.Flux[COMP.AT. MOT A],tabE.Flux[LINHA],"NÃO",0,1)</f>
        <v>NÃO</v>
      </c>
      <c r="F31" s="56" t="str">
        <f>_xlfn.XLOOKUP(autocompJanta[[#This Row],[COMP ESCALA ATUAL]],tabE.Flux[COMP.AT. MOT B],tabE.Flux[LINHA],"NÃO",0,1)</f>
        <v>NÃO</v>
      </c>
      <c r="G31" s="61" t="str">
        <f>IF(AND(autocompJanta[[#This Row],[EXISTE MOT A AT]]="NÃO", autocompJanta[[#This Row],[EXISTE MOT B AT]]="NÃO"),"NÃO","SIM")</f>
        <v>NÃO</v>
      </c>
      <c r="H31" s="71" t="str">
        <f>IF(autocompJanta[[#This Row],[EXISTE ESCALA ATUAL]]="NÃO",_xlfn.CONCAT(tabJanta[[#This Row],[DATA]]-1,"+",tabJanta[[#This Row],[MOTORISTA]]),"NÃO")</f>
        <v>45889+FRANCISCO PESSOA DE CARVALHO - 5276</v>
      </c>
      <c r="I31" s="57" t="str">
        <f>IF(autocompJanta[[#This Row],[COMP ESCALA ANTERIOR]]="NÃO","NÃO",_xlfn.XLOOKUP(autocompJanta[[#This Row],[COMP ESCALA ANTERIOR]],tabE.Flux[COMP.AT. MOT A],tabE.Flux[LINHA],"NÃO",0,1))</f>
        <v>NÃO</v>
      </c>
      <c r="J31" s="58" t="str">
        <f>IF(autocompJanta[[#This Row],[COMP ESCALA ANTERIOR]]="NÃO","NÃO",_xlfn.XLOOKUP(autocompJanta[[#This Row],[COMP ESCALA ANTERIOR]],tabE.Flux[COMP.AT. MOT B],tabE.Flux[LINHA],"NÃO",0,1))</f>
        <v>NÃO</v>
      </c>
      <c r="K31" s="62" t="str">
        <f>IF(AND(autocompJanta[[#This Row],[EXISTE MOT A ANT]]="NÃO",autocompJanta[[#This Row],[EXISTE MOT B ANT]]="NÃO"),"NÃO","SIM")</f>
        <v>NÃO</v>
      </c>
      <c r="L31" s="73" t="str">
        <f t="shared" si="0"/>
        <v>45891+FRANCISCO PESSOA DE CARVALHO - 5276</v>
      </c>
      <c r="M31" s="59" t="str">
        <f>IF(autocompJanta[[#This Row],[COMP ESCALA POSTERIOR]]="NÃO","NÃO",_xlfn.XLOOKUP(autocompJanta[[#This Row],[COMP ESCALA POSTERIOR]],tabE.Flux[COMP.AT. MOT A],tabE.Flux[LINHA],"NÃO",0,1))</f>
        <v>NÃO</v>
      </c>
      <c r="N31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31" s="65" t="str">
        <f>IF(AND(autocompJanta[[#This Row],[EXISTE MOT A POS]]="NÃO",autocompJanta[[#This Row],[EXISTE MOT B POS]]="NÃO"),"NÃO","SIM")</f>
        <v>SIM</v>
      </c>
      <c r="P31" s="66" t="str" cm="1">
        <f t="array" ref="P3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31" s="75" t="str" cm="1">
        <f t="array" ref="Q3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45891+FRANCISCO PESSOA DE CARVALHO - 5276+GOIANIA (GO) X TERESINA (PI) VIA STI</v>
      </c>
      <c r="R31" s="67">
        <f>_xlfn.XLOOKUP(autocompJanta[[#This Row],[COMP ESCALA]],tabE.Flux[COMP. ESCALA MOT B],tabE.Flux[CARRO],
(_xlfn.XLOOKUP(autocompJanta[[#This Row],[COMP ESCALA]],tabE.Flux[COMP. ESCALA MOT A],tabE.Flux[CARRO],"N/E",0,1)),0,1)</f>
        <v>19021</v>
      </c>
      <c r="S31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31" s="127">
        <v>45890</v>
      </c>
      <c r="U31" s="4">
        <f>IF(IFERROR(autocompJanta[[#This Row],[CORRESP. CARRO]],"")="NÃO",(IF(tabJanta[[#This Row],[MOTORISTA]]=0,"","PASSE?")),autocompJanta[[#This Row],[CORRESP. CARRO]])</f>
        <v>19021</v>
      </c>
      <c r="V31" s="126">
        <f>IF(OR(ISERR(autocompJanta[[#This Row],[CORRESP HORARIO]]), autocompJanta[[#This Row],[CORRESP HORARIO]]&lt;&gt;"NÃO"),autocompJanta[[#This Row],[CORRESP HORARIO]],"")</f>
        <v>0.79861111111111116</v>
      </c>
      <c r="W31" s="4" t="s">
        <v>299</v>
      </c>
      <c r="X31" s="4" t="s">
        <v>188</v>
      </c>
      <c r="Y31" s="1">
        <f>IF(tabJanta[[#This Row],[MOTORISTA]]="","",COUNTIF(autocompJanta[COMP ESCALA ATUAL],autocompJanta[[#This Row],[COMP ESCALA ATUAL]]))</f>
        <v>1</v>
      </c>
      <c r="Z31" s="45">
        <f>IF(tabJanta[[#This Row],[MOTORISTA]]&lt;&gt;0,15,"")</f>
        <v>15</v>
      </c>
      <c r="AA31" s="4" t="str">
        <f>autocompJanta[[#This Row],[CORRESP LINHA]]</f>
        <v>GOIANIA (GO) X TERESINA (PI) VIA STI</v>
      </c>
    </row>
    <row r="32" spans="3:27" hidden="1" x14ac:dyDescent="0.25">
      <c r="C32" s="129" t="s">
        <v>226</v>
      </c>
      <c r="D32" s="56" t="str">
        <f>IF(tabJanta[[#This Row],[MOTORISTA]]="","",_xlfn.CONCAT(tabJanta[[#This Row],[DATA]],"+",tabJanta[[#This Row],[MOTORISTA]]))</f>
        <v>45890+RICARDO AUGUSTO TEIXEIRA SANTOS - 5660</v>
      </c>
      <c r="E32" s="56" t="str">
        <f>_xlfn.XLOOKUP(autocompJanta[[#This Row],[COMP ESCALA ATUAL]],tabE.Flux[COMP.AT. MOT A],tabE.Flux[LINHA],"NÃO",0,1)</f>
        <v>NÃO</v>
      </c>
      <c r="F32" s="56" t="str">
        <f>_xlfn.XLOOKUP(autocompJanta[[#This Row],[COMP ESCALA ATUAL]],tabE.Flux[COMP.AT. MOT B],tabE.Flux[LINHA],"NÃO",0,1)</f>
        <v>FORTALEZA (CE) X SINOP (MT)</v>
      </c>
      <c r="G32" s="61" t="str">
        <f>IF(AND(autocompJanta[[#This Row],[EXISTE MOT A AT]]="NÃO", autocompJanta[[#This Row],[EXISTE MOT B AT]]="NÃO"),"NÃO","SIM")</f>
        <v>SIM</v>
      </c>
      <c r="H32" s="71" t="str">
        <f>IF(autocompJanta[[#This Row],[EXISTE ESCALA ATUAL]]="NÃO",_xlfn.CONCAT(tabJanta[[#This Row],[DATA]]-1,"+",tabJanta[[#This Row],[MOTORISTA]]),"NÃO")</f>
        <v>NÃO</v>
      </c>
      <c r="I32" s="57" t="str">
        <f>IF(autocompJanta[[#This Row],[COMP ESCALA ANTERIOR]]="NÃO","NÃO",_xlfn.XLOOKUP(autocompJanta[[#This Row],[COMP ESCALA ANTERIOR]],tabE.Flux[COMP.AT. MOT A],tabE.Flux[LINHA],"NÃO",0,1))</f>
        <v>NÃO</v>
      </c>
      <c r="J32" s="58" t="str">
        <f>IF(autocompJanta[[#This Row],[COMP ESCALA ANTERIOR]]="NÃO","NÃO",_xlfn.XLOOKUP(autocompJanta[[#This Row],[COMP ESCALA ANTERIOR]],tabE.Flux[COMP.AT. MOT B],tabE.Flux[LINHA],"NÃO",0,1))</f>
        <v>NÃO</v>
      </c>
      <c r="K32" s="62" t="str">
        <f>IF(AND(autocompJanta[[#This Row],[EXISTE MOT A ANT]]="NÃO",autocompJanta[[#This Row],[EXISTE MOT B ANT]]="NÃO"),"NÃO","SIM")</f>
        <v>NÃO</v>
      </c>
      <c r="L32" s="73" t="str">
        <f t="shared" si="0"/>
        <v>45891+RICARDO AUGUSTO TEIXEIRA SANTOS - 5660</v>
      </c>
      <c r="M32" s="59" t="str">
        <f>IF(autocompJanta[[#This Row],[COMP ESCALA POSTERIOR]]="NÃO","NÃO",_xlfn.XLOOKUP(autocompJanta[[#This Row],[COMP ESCALA POSTERIOR]],tabE.Flux[COMP.AT. MOT A],tabE.Flux[LINHA],"NÃO",0,1))</f>
        <v>NÃO</v>
      </c>
      <c r="N32" s="59" t="str">
        <f>IF(autocompJanta[[#This Row],[COMP ESCALA POSTERIOR]]="NÃO","NÃO",_xlfn.XLOOKUP(autocompJanta[[#This Row],[COMP ESCALA POSTERIOR]],tabE.Flux[COMP.AT. MOT B],tabE.Flux[LINHA],"NÃO",0,1))</f>
        <v>NÃO</v>
      </c>
      <c r="O32" s="65" t="str">
        <f>IF(AND(autocompJanta[[#This Row],[EXISTE MOT A POS]]="NÃO",autocompJanta[[#This Row],[EXISTE MOT B POS]]="NÃO"),"NÃO","SIM")</f>
        <v>NÃO</v>
      </c>
      <c r="P32" s="66" t="str" cm="1">
        <f t="array" ref="P3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32" s="75" t="str" cm="1">
        <f t="array" ref="Q3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45890+RICARDO AUGUSTO TEIXEIRA SANTOS - 5660+FORTALEZA (CE) X SINOP (MT)</v>
      </c>
      <c r="R32" s="67">
        <f>_xlfn.XLOOKUP(autocompJanta[[#This Row],[COMP ESCALA]],tabE.Flux[COMP. ESCALA MOT B],tabE.Flux[CARRO],
(_xlfn.XLOOKUP(autocompJanta[[#This Row],[COMP ESCALA]],tabE.Flux[COMP. ESCALA MOT A],tabE.Flux[CARRO],"N/E",0,1)),0,1)</f>
        <v>17600</v>
      </c>
      <c r="S32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32" s="127">
        <v>45890</v>
      </c>
      <c r="U32" s="4">
        <f>IF(IFERROR(autocompJanta[[#This Row],[CORRESP. CARRO]],"")="NÃO",(IF(tabJanta[[#This Row],[MOTORISTA]]=0,"","PASSE?")),autocompJanta[[#This Row],[CORRESP. CARRO]])</f>
        <v>17600</v>
      </c>
      <c r="V32" s="126">
        <f>IF(OR(ISERR(autocompJanta[[#This Row],[CORRESP HORARIO]]), autocompJanta[[#This Row],[CORRESP HORARIO]]&lt;&gt;"NÃO"),autocompJanta[[#This Row],[CORRESP HORARIO]],"")</f>
        <v>0.37708333333333333</v>
      </c>
      <c r="W32" s="4" t="s">
        <v>299</v>
      </c>
      <c r="X32" s="4" t="s">
        <v>174</v>
      </c>
      <c r="Y32" s="1">
        <f>IF(tabJanta[[#This Row],[MOTORISTA]]="","",COUNTIF(autocompJanta[COMP ESCALA ATUAL],autocompJanta[[#This Row],[COMP ESCALA ATUAL]]))</f>
        <v>1</v>
      </c>
      <c r="Z32" s="45">
        <f>IF(tabJanta[[#This Row],[MOTORISTA]]&lt;&gt;0,15,"")</f>
        <v>15</v>
      </c>
      <c r="AA32" s="4" t="str">
        <f>autocompJanta[[#This Row],[CORRESP LINHA]]</f>
        <v>FORTALEZA (CE) X SINOP (MT)</v>
      </c>
    </row>
    <row r="33" spans="3:27" hidden="1" x14ac:dyDescent="0.25">
      <c r="C33" s="129" t="s">
        <v>226</v>
      </c>
      <c r="D33" s="56" t="str">
        <f>IF(tabJanta[[#This Row],[MOTORISTA]]="","",_xlfn.CONCAT(tabJanta[[#This Row],[DATA]],"+",tabJanta[[#This Row],[MOTORISTA]]))</f>
        <v>45890+PAULO ENEAS FARIAS ARAUJO - 6218</v>
      </c>
      <c r="E33" s="56" t="str">
        <f>_xlfn.XLOOKUP(autocompJanta[[#This Row],[COMP ESCALA ATUAL]],tabE.Flux[COMP.AT. MOT A],tabE.Flux[LINHA],"NÃO",0,1)</f>
        <v>NÃO</v>
      </c>
      <c r="F33" s="56" t="str">
        <f>_xlfn.XLOOKUP(autocompJanta[[#This Row],[COMP ESCALA ATUAL]],tabE.Flux[COMP.AT. MOT B],tabE.Flux[LINHA],"NÃO",0,1)</f>
        <v>NÃO</v>
      </c>
      <c r="G33" s="61" t="str">
        <f>IF(AND(autocompJanta[[#This Row],[EXISTE MOT A AT]]="NÃO", autocompJanta[[#This Row],[EXISTE MOT B AT]]="NÃO"),"NÃO","SIM")</f>
        <v>NÃO</v>
      </c>
      <c r="H33" s="71" t="str">
        <f>IF(autocompJanta[[#This Row],[EXISTE ESCALA ATUAL]]="NÃO",_xlfn.CONCAT(tabJanta[[#This Row],[DATA]]-1,"+",tabJanta[[#This Row],[MOTORISTA]]),"NÃO")</f>
        <v>45889+PAULO ENEAS FARIAS ARAUJO - 6218</v>
      </c>
      <c r="I33" s="57" t="str">
        <f>IF(autocompJanta[[#This Row],[COMP ESCALA ANTERIOR]]="NÃO","NÃO",_xlfn.XLOOKUP(autocompJanta[[#This Row],[COMP ESCALA ANTERIOR]],tabE.Flux[COMP.AT. MOT A],tabE.Flux[LINHA],"NÃO",0,1))</f>
        <v>NÃO</v>
      </c>
      <c r="J33" s="58" t="str">
        <f>IF(autocompJanta[[#This Row],[COMP ESCALA ANTERIOR]]="NÃO","NÃO",_xlfn.XLOOKUP(autocompJanta[[#This Row],[COMP ESCALA ANTERIOR]],tabE.Flux[COMP.AT. MOT B],tabE.Flux[LINHA],"NÃO",0,1))</f>
        <v>NÃO</v>
      </c>
      <c r="K33" s="62" t="str">
        <f>IF(AND(autocompJanta[[#This Row],[EXISTE MOT A ANT]]="NÃO",autocompJanta[[#This Row],[EXISTE MOT B ANT]]="NÃO"),"NÃO","SIM")</f>
        <v>NÃO</v>
      </c>
      <c r="L33" s="73" t="str">
        <f t="shared" si="0"/>
        <v>45891+PAULO ENEAS FARIAS ARAUJO - 6218</v>
      </c>
      <c r="M33" s="59" t="str">
        <f>IF(autocompJanta[[#This Row],[COMP ESCALA POSTERIOR]]="NÃO","NÃO",_xlfn.XLOOKUP(autocompJanta[[#This Row],[COMP ESCALA POSTERIOR]],tabE.Flux[COMP.AT. MOT A],tabE.Flux[LINHA],"NÃO",0,1))</f>
        <v>NÃO</v>
      </c>
      <c r="N33" s="59" t="str">
        <f>IF(autocompJanta[[#This Row],[COMP ESCALA POSTERIOR]]="NÃO","NÃO",_xlfn.XLOOKUP(autocompJanta[[#This Row],[COMP ESCALA POSTERIOR]],tabE.Flux[COMP.AT. MOT B],tabE.Flux[LINHA],"NÃO",0,1))</f>
        <v>IMPERATRIZ (MA) X SÃO LUIS (MA)</v>
      </c>
      <c r="O33" s="65" t="str">
        <f>IF(AND(autocompJanta[[#This Row],[EXISTE MOT A POS]]="NÃO",autocompJanta[[#This Row],[EXISTE MOT B POS]]="NÃO"),"NÃO","SIM")</f>
        <v>SIM</v>
      </c>
      <c r="P33" s="66" t="str" cm="1">
        <f t="array" ref="P3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IMPERATRIZ (MA) X SÃO LUIS (MA)</v>
      </c>
      <c r="Q33" s="75" t="str" cm="1">
        <f t="array" ref="Q3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45891+PAULO ENEAS FARIAS ARAUJO - 6218+IMPERATRIZ (MA) X SÃO LUIS (MA)</v>
      </c>
      <c r="R33" s="67">
        <f>_xlfn.XLOOKUP(autocompJanta[[#This Row],[COMP ESCALA]],tabE.Flux[COMP. ESCALA MOT B],tabE.Flux[CARRO],
(_xlfn.XLOOKUP(autocompJanta[[#This Row],[COMP ESCALA]],tabE.Flux[COMP. ESCALA MOT A],tabE.Flux[CARRO],"N/E",0,1)),0,1)</f>
        <v>18008</v>
      </c>
      <c r="S33" s="130">
        <f>_xlfn.XLOOKUP(autocompJanta[[#This Row],[COMP ESCALA]],tabE.Flux[COMP. ESCALA MOT A],tabE.Flux[HORARIO],(_xlfn.XLOOKUP(autocompJanta[[#This Row],[COMP ESCALA]],tabE.Flux[COMP. ESCALA MOT B],tabE.Flux[HORARIO],"N/E",0,1)),0,1)</f>
        <v>0.8125</v>
      </c>
      <c r="T33" s="127">
        <v>45890</v>
      </c>
      <c r="U33" s="4">
        <f>IF(IFERROR(autocompJanta[[#This Row],[CORRESP. CARRO]],"")="NÃO",(IF(tabJanta[[#This Row],[MOTORISTA]]=0,"","PASSE?")),autocompJanta[[#This Row],[CORRESP. CARRO]])</f>
        <v>18008</v>
      </c>
      <c r="V33" s="126">
        <f>IF(OR(ISERR(autocompJanta[[#This Row],[CORRESP HORARIO]]), autocompJanta[[#This Row],[CORRESP HORARIO]]&lt;&gt;"NÃO"),autocompJanta[[#This Row],[CORRESP HORARIO]],"")</f>
        <v>0.8125</v>
      </c>
      <c r="W33" s="4" t="s">
        <v>299</v>
      </c>
      <c r="X33" s="4" t="s">
        <v>43</v>
      </c>
      <c r="Y33" s="1">
        <f>IF(tabJanta[[#This Row],[MOTORISTA]]="","",COUNTIF(autocompJanta[COMP ESCALA ATUAL],autocompJanta[[#This Row],[COMP ESCALA ATUAL]]))</f>
        <v>1</v>
      </c>
      <c r="Z33" s="45">
        <f>IF(tabJanta[[#This Row],[MOTORISTA]]&lt;&gt;0,15,"")</f>
        <v>15</v>
      </c>
      <c r="AA33" s="4" t="str">
        <f>autocompJanta[[#This Row],[CORRESP LINHA]]</f>
        <v>IMPERATRIZ (MA) X SÃO LUIS (MA)</v>
      </c>
    </row>
    <row r="34" spans="3:27" hidden="1" x14ac:dyDescent="0.25">
      <c r="C34" s="129" t="s">
        <v>226</v>
      </c>
      <c r="D34" s="56" t="str">
        <f>IF(tabJanta[[#This Row],[MOTORISTA]]="","",_xlfn.CONCAT(tabJanta[[#This Row],[DATA]],"+",tabJanta[[#This Row],[MOTORISTA]]))</f>
        <v>45890+JAKTAN DE OLIVEIRA RODRIGUES - 5836</v>
      </c>
      <c r="E34" s="56" t="str">
        <f>_xlfn.XLOOKUP(autocompJanta[[#This Row],[COMP ESCALA ATUAL]],tabE.Flux[COMP.AT. MOT A],tabE.Flux[LINHA],"NÃO",0,1)</f>
        <v>NÃO</v>
      </c>
      <c r="F34" s="56" t="str">
        <f>_xlfn.XLOOKUP(autocompJanta[[#This Row],[COMP ESCALA ATUAL]],tabE.Flux[COMP.AT. MOT B],tabE.Flux[LINHA],"NÃO",0,1)</f>
        <v>NÃO</v>
      </c>
      <c r="G34" s="61" t="str">
        <f>IF(AND(autocompJanta[[#This Row],[EXISTE MOT A AT]]="NÃO", autocompJanta[[#This Row],[EXISTE MOT B AT]]="NÃO"),"NÃO","SIM")</f>
        <v>NÃO</v>
      </c>
      <c r="H34" s="71" t="str">
        <f>IF(autocompJanta[[#This Row],[EXISTE ESCALA ATUAL]]="NÃO",_xlfn.CONCAT(tabJanta[[#This Row],[DATA]]-1,"+",tabJanta[[#This Row],[MOTORISTA]]),"NÃO")</f>
        <v>45889+JAKTAN DE OLIVEIRA RODRIGUES - 5836</v>
      </c>
      <c r="I34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34" s="58" t="str">
        <f>IF(autocompJanta[[#This Row],[COMP ESCALA ANTERIOR]]="NÃO","NÃO",_xlfn.XLOOKUP(autocompJanta[[#This Row],[COMP ESCALA ANTERIOR]],tabE.Flux[COMP.AT. MOT B],tabE.Flux[LINHA],"NÃO",0,1))</f>
        <v>NÃO</v>
      </c>
      <c r="K34" s="62" t="str">
        <f>IF(AND(autocompJanta[[#This Row],[EXISTE MOT A ANT]]="NÃO",autocompJanta[[#This Row],[EXISTE MOT B ANT]]="NÃO"),"NÃO","SIM")</f>
        <v>SIM</v>
      </c>
      <c r="L34" s="73" t="str">
        <f t="shared" si="0"/>
        <v>45891+JAKTAN DE OLIVEIRA RODRIGUES - 5836</v>
      </c>
      <c r="M34" s="59" t="str">
        <f>IF(autocompJanta[[#This Row],[COMP ESCALA POSTERIOR]]="NÃO","NÃO",_xlfn.XLOOKUP(autocompJanta[[#This Row],[COMP ESCALA POSTERIOR]],tabE.Flux[COMP.AT. MOT A],tabE.Flux[LINHA],"NÃO",0,1))</f>
        <v>NÃO</v>
      </c>
      <c r="N34" s="59" t="str">
        <f>IF(autocompJanta[[#This Row],[COMP ESCALA POSTERIOR]]="NÃO","NÃO",_xlfn.XLOOKUP(autocompJanta[[#This Row],[COMP ESCALA POSTERIOR]],tabE.Flux[COMP.AT. MOT B],tabE.Flux[LINHA],"NÃO",0,1))</f>
        <v>NÃO</v>
      </c>
      <c r="O34" s="65" t="str">
        <f>IF(AND(autocompJanta[[#This Row],[EXISTE MOT A POS]]="NÃO",autocompJanta[[#This Row],[EXISTE MOT B POS]]="NÃO"),"NÃO","SIM")</f>
        <v>NÃO</v>
      </c>
      <c r="P34" s="66" t="str" cm="1">
        <f t="array" ref="P3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34" s="75" t="str" cm="1">
        <f t="array" ref="Q3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45889+JAKTAN DE OLIVEIRA RODRIGUES - 5836+GOIANIA (GO) X TERESINA (PI) VIA STI</v>
      </c>
      <c r="R34" s="67">
        <f>_xlfn.XLOOKUP(autocompJanta[[#This Row],[COMP ESCALA]],tabE.Flux[COMP. ESCALA MOT B],tabE.Flux[CARRO],
(_xlfn.XLOOKUP(autocompJanta[[#This Row],[COMP ESCALA]],tabE.Flux[COMP. ESCALA MOT A],tabE.Flux[CARRO],"N/E",0,1)),0,1)</f>
        <v>16800</v>
      </c>
      <c r="S34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34" s="127">
        <v>45890</v>
      </c>
      <c r="U34" s="4">
        <f>IF(IFERROR(autocompJanta[[#This Row],[CORRESP. CARRO]],"")="NÃO",(IF(tabJanta[[#This Row],[MOTORISTA]]=0,"","PASSE?")),autocompJanta[[#This Row],[CORRESP. CARRO]])</f>
        <v>16800</v>
      </c>
      <c r="V34" s="126">
        <f>IF(OR(ISERR(autocompJanta[[#This Row],[CORRESP HORARIO]]), autocompJanta[[#This Row],[CORRESP HORARIO]]&lt;&gt;"NÃO"),autocompJanta[[#This Row],[CORRESP HORARIO]],"")</f>
        <v>0.79861111111111116</v>
      </c>
      <c r="W34" s="4" t="s">
        <v>299</v>
      </c>
      <c r="X34" s="4" t="s">
        <v>59</v>
      </c>
      <c r="Y34" s="1">
        <f>IF(tabJanta[[#This Row],[MOTORISTA]]="","",COUNTIF(autocompJanta[COMP ESCALA ATUAL],autocompJanta[[#This Row],[COMP ESCALA ATUAL]]))</f>
        <v>1</v>
      </c>
      <c r="Z34" s="45">
        <f>IF(tabJanta[[#This Row],[MOTORISTA]]&lt;&gt;0,15,"")</f>
        <v>15</v>
      </c>
      <c r="AA34" s="4" t="str">
        <f>autocompJanta[[#This Row],[CORRESP LINHA]]</f>
        <v>GOIANIA (GO) X TERESINA (PI) VIA STI</v>
      </c>
    </row>
    <row r="35" spans="3:27" hidden="1" x14ac:dyDescent="0.25">
      <c r="C35" s="129" t="s">
        <v>226</v>
      </c>
      <c r="D35" s="56" t="str">
        <f>IF(tabJanta[[#This Row],[MOTORISTA]]="","",_xlfn.CONCAT(tabJanta[[#This Row],[DATA]],"+",tabJanta[[#This Row],[MOTORISTA]]))</f>
        <v>45890+NILSON CORTEZ MIRANDA - 5636</v>
      </c>
      <c r="E35" s="56" t="str">
        <f>_xlfn.XLOOKUP(autocompJanta[[#This Row],[COMP ESCALA ATUAL]],tabE.Flux[COMP.AT. MOT A],tabE.Flux[LINHA],"NÃO",0,1)</f>
        <v>NÃO</v>
      </c>
      <c r="F35" s="56" t="str">
        <f>_xlfn.XLOOKUP(autocompJanta[[#This Row],[COMP ESCALA ATUAL]],tabE.Flux[COMP.AT. MOT B],tabE.Flux[LINHA],"NÃO",0,1)</f>
        <v>GOIANIA (GO) X SAO LUIS (MA)</v>
      </c>
      <c r="G35" s="61" t="str">
        <f>IF(AND(autocompJanta[[#This Row],[EXISTE MOT A AT]]="NÃO", autocompJanta[[#This Row],[EXISTE MOT B AT]]="NÃO"),"NÃO","SIM")</f>
        <v>SIM</v>
      </c>
      <c r="H35" s="71" t="str">
        <f>IF(autocompJanta[[#This Row],[EXISTE ESCALA ATUAL]]="NÃO",_xlfn.CONCAT(tabJanta[[#This Row],[DATA]]-1,"+",tabJanta[[#This Row],[MOTORISTA]]),"NÃO")</f>
        <v>NÃO</v>
      </c>
      <c r="I35" s="57" t="str">
        <f>IF(autocompJanta[[#This Row],[COMP ESCALA ANTERIOR]]="NÃO","NÃO",_xlfn.XLOOKUP(autocompJanta[[#This Row],[COMP ESCALA ANTERIOR]],tabE.Flux[COMP.AT. MOT A],tabE.Flux[LINHA],"NÃO",0,1))</f>
        <v>NÃO</v>
      </c>
      <c r="J35" s="58" t="str">
        <f>IF(autocompJanta[[#This Row],[COMP ESCALA ANTERIOR]]="NÃO","NÃO",_xlfn.XLOOKUP(autocompJanta[[#This Row],[COMP ESCALA ANTERIOR]],tabE.Flux[COMP.AT. MOT B],tabE.Flux[LINHA],"NÃO",0,1))</f>
        <v>NÃO</v>
      </c>
      <c r="K35" s="62" t="str">
        <f>IF(AND(autocompJanta[[#This Row],[EXISTE MOT A ANT]]="NÃO",autocompJanta[[#This Row],[EXISTE MOT B ANT]]="NÃO"),"NÃO","SIM")</f>
        <v>NÃO</v>
      </c>
      <c r="L35" s="73" t="str">
        <f t="shared" si="0"/>
        <v>45891+NILSON CORTEZ MIRANDA - 5636</v>
      </c>
      <c r="M35" s="59" t="str">
        <f>IF(autocompJanta[[#This Row],[COMP ESCALA POSTERIOR]]="NÃO","NÃO",_xlfn.XLOOKUP(autocompJanta[[#This Row],[COMP ESCALA POSTERIOR]],tabE.Flux[COMP.AT. MOT A],tabE.Flux[LINHA],"NÃO",0,1))</f>
        <v>NÃO</v>
      </c>
      <c r="N35" s="59" t="str">
        <f>IF(autocompJanta[[#This Row],[COMP ESCALA POSTERIOR]]="NÃO","NÃO",_xlfn.XLOOKUP(autocompJanta[[#This Row],[COMP ESCALA POSTERIOR]],tabE.Flux[COMP.AT. MOT B],tabE.Flux[LINHA],"NÃO",0,1))</f>
        <v>NÃO</v>
      </c>
      <c r="O35" s="65" t="str">
        <f>IF(AND(autocompJanta[[#This Row],[EXISTE MOT A POS]]="NÃO",autocompJanta[[#This Row],[EXISTE MOT B POS]]="NÃO"),"NÃO","SIM")</f>
        <v>NÃO</v>
      </c>
      <c r="P35" s="66" t="str" cm="1">
        <f t="array" ref="P3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35" s="75" t="str" cm="1">
        <f t="array" ref="Q3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45890+NILSON CORTEZ MIRANDA - 5636+GOIANIA (GO) X SAO LUIS (MA)</v>
      </c>
      <c r="R35" s="67">
        <f>_xlfn.XLOOKUP(autocompJanta[[#This Row],[COMP ESCALA]],tabE.Flux[COMP. ESCALA MOT B],tabE.Flux[CARRO],
(_xlfn.XLOOKUP(autocompJanta[[#This Row],[COMP ESCALA]],tabE.Flux[COMP. ESCALA MOT A],tabE.Flux[CARRO],"N/E",0,1)),0,1)</f>
        <v>24015</v>
      </c>
      <c r="S35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35" s="127">
        <v>45890</v>
      </c>
      <c r="U35" s="4">
        <f>IF(IFERROR(autocompJanta[[#This Row],[CORRESP. CARRO]],"")="NÃO",(IF(tabJanta[[#This Row],[MOTORISTA]]=0,"","PASSE?")),autocompJanta[[#This Row],[CORRESP. CARRO]])</f>
        <v>24015</v>
      </c>
      <c r="V35" s="126">
        <f>IF(OR(ISERR(autocompJanta[[#This Row],[CORRESP HORARIO]]), autocompJanta[[#This Row],[CORRESP HORARIO]]&lt;&gt;"NÃO"),autocompJanta[[#This Row],[CORRESP HORARIO]],"")</f>
        <v>0.79166666666666663</v>
      </c>
      <c r="W35" s="4" t="s">
        <v>299</v>
      </c>
      <c r="X35" s="4" t="s">
        <v>75</v>
      </c>
      <c r="Y35" s="1">
        <f>IF(tabJanta[[#This Row],[MOTORISTA]]="","",COUNTIF(autocompJanta[COMP ESCALA ATUAL],autocompJanta[[#This Row],[COMP ESCALA ATUAL]]))</f>
        <v>1</v>
      </c>
      <c r="Z35" s="45">
        <f>IF(tabJanta[[#This Row],[MOTORISTA]]&lt;&gt;0,15,"")</f>
        <v>15</v>
      </c>
      <c r="AA35" s="4" t="str">
        <f>autocompJanta[[#This Row],[CORRESP LINHA]]</f>
        <v>GOIANIA (GO) X SAO LUIS (MA)</v>
      </c>
    </row>
    <row r="36" spans="3:27" hidden="1" x14ac:dyDescent="0.25">
      <c r="C36" s="129" t="s">
        <v>226</v>
      </c>
      <c r="D36" s="56" t="str">
        <f>IF(tabJanta[[#This Row],[MOTORISTA]]="","",_xlfn.CONCAT(tabJanta[[#This Row],[DATA]],"+",tabJanta[[#This Row],[MOTORISTA]]))</f>
        <v>45891+PAULO ENEAS FARIAS ARAUJO - 6218</v>
      </c>
      <c r="E36" s="56" t="str">
        <f>_xlfn.XLOOKUP(autocompJanta[[#This Row],[COMP ESCALA ATUAL]],tabE.Flux[COMP.AT. MOT A],tabE.Flux[LINHA],"NÃO",0,1)</f>
        <v>NÃO</v>
      </c>
      <c r="F36" s="56" t="str">
        <f>_xlfn.XLOOKUP(autocompJanta[[#This Row],[COMP ESCALA ATUAL]],tabE.Flux[COMP.AT. MOT B],tabE.Flux[LINHA],"NÃO",0,1)</f>
        <v>IMPERATRIZ (MA) X SÃO LUIS (MA)</v>
      </c>
      <c r="G36" s="61" t="str">
        <f>IF(AND(autocompJanta[[#This Row],[EXISTE MOT A AT]]="NÃO", autocompJanta[[#This Row],[EXISTE MOT B AT]]="NÃO"),"NÃO","SIM")</f>
        <v>SIM</v>
      </c>
      <c r="H36" s="71" t="str">
        <f>IF(autocompJanta[[#This Row],[EXISTE ESCALA ATUAL]]="NÃO",_xlfn.CONCAT(tabJanta[[#This Row],[DATA]]-1,"+",tabJanta[[#This Row],[MOTORISTA]]),"NÃO")</f>
        <v>NÃO</v>
      </c>
      <c r="I36" s="57" t="str">
        <f>IF(autocompJanta[[#This Row],[COMP ESCALA ANTERIOR]]="NÃO","NÃO",_xlfn.XLOOKUP(autocompJanta[[#This Row],[COMP ESCALA ANTERIOR]],tabE.Flux[COMP.AT. MOT A],tabE.Flux[LINHA],"NÃO",0,1))</f>
        <v>NÃO</v>
      </c>
      <c r="J36" s="58" t="str">
        <f>IF(autocompJanta[[#This Row],[COMP ESCALA ANTERIOR]]="NÃO","NÃO",_xlfn.XLOOKUP(autocompJanta[[#This Row],[COMP ESCALA ANTERIOR]],tabE.Flux[COMP.AT. MOT B],tabE.Flux[LINHA],"NÃO",0,1))</f>
        <v>NÃO</v>
      </c>
      <c r="K36" s="62" t="str">
        <f>IF(AND(autocompJanta[[#This Row],[EXISTE MOT A ANT]]="NÃO",autocompJanta[[#This Row],[EXISTE MOT B ANT]]="NÃO"),"NÃO","SIM")</f>
        <v>NÃO</v>
      </c>
      <c r="L36" s="73" t="str">
        <f t="shared" si="0"/>
        <v>45892+PAULO ENEAS FARIAS ARAUJO - 6218</v>
      </c>
      <c r="M36" s="59" t="str">
        <f>IF(autocompJanta[[#This Row],[COMP ESCALA POSTERIOR]]="NÃO","NÃO",_xlfn.XLOOKUP(autocompJanta[[#This Row],[COMP ESCALA POSTERIOR]],tabE.Flux[COMP.AT. MOT A],tabE.Flux[LINHA],"NÃO",0,1))</f>
        <v>NÃO</v>
      </c>
      <c r="N36" s="59" t="str">
        <f>IF(autocompJanta[[#This Row],[COMP ESCALA POSTERIOR]]="NÃO","NÃO",_xlfn.XLOOKUP(autocompJanta[[#This Row],[COMP ESCALA POSTERIOR]],tabE.Flux[COMP.AT. MOT B],tabE.Flux[LINHA],"NÃO",0,1))</f>
        <v>NÃO</v>
      </c>
      <c r="O36" s="65" t="str">
        <f>IF(AND(autocompJanta[[#This Row],[EXISTE MOT A POS]]="NÃO",autocompJanta[[#This Row],[EXISTE MOT B POS]]="NÃO"),"NÃO","SIM")</f>
        <v>NÃO</v>
      </c>
      <c r="P36" s="66" t="str" cm="1">
        <f t="array" ref="P3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IMPERATRIZ (MA) X SÃO LUIS (MA)</v>
      </c>
      <c r="Q36" s="75" t="str" cm="1">
        <f t="array" ref="Q3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45891+PAULO ENEAS FARIAS ARAUJO - 6218+IMPERATRIZ (MA) X SÃO LUIS (MA)</v>
      </c>
      <c r="R36" s="67">
        <f>_xlfn.XLOOKUP(autocompJanta[[#This Row],[COMP ESCALA]],tabE.Flux[COMP. ESCALA MOT B],tabE.Flux[CARRO],
(_xlfn.XLOOKUP(autocompJanta[[#This Row],[COMP ESCALA]],tabE.Flux[COMP. ESCALA MOT A],tabE.Flux[CARRO],"N/E",0,1)),0,1)</f>
        <v>18008</v>
      </c>
      <c r="S36" s="130">
        <f>_xlfn.XLOOKUP(autocompJanta[[#This Row],[COMP ESCALA]],tabE.Flux[COMP. ESCALA MOT A],tabE.Flux[HORARIO],(_xlfn.XLOOKUP(autocompJanta[[#This Row],[COMP ESCALA]],tabE.Flux[COMP. ESCALA MOT B],tabE.Flux[HORARIO],"N/E",0,1)),0,1)</f>
        <v>0.8125</v>
      </c>
      <c r="T36" s="127">
        <v>45891</v>
      </c>
      <c r="U36" s="4">
        <f>IF(IFERROR(autocompJanta[[#This Row],[CORRESP. CARRO]],"")="NÃO",(IF(tabJanta[[#This Row],[MOTORISTA]]=0,"","PASSE?")),autocompJanta[[#This Row],[CORRESP. CARRO]])</f>
        <v>18008</v>
      </c>
      <c r="V36" s="126">
        <f>IF(OR(ISERR(autocompJanta[[#This Row],[CORRESP HORARIO]]), autocompJanta[[#This Row],[CORRESP HORARIO]]&lt;&gt;"NÃO"),autocompJanta[[#This Row],[CORRESP HORARIO]],"")</f>
        <v>0.8125</v>
      </c>
      <c r="W36" s="4" t="s">
        <v>299</v>
      </c>
      <c r="X36" s="4" t="s">
        <v>43</v>
      </c>
      <c r="Y36" s="1">
        <f>IF(tabJanta[[#This Row],[MOTORISTA]]="","",COUNTIF(autocompJanta[COMP ESCALA ATUAL],autocompJanta[[#This Row],[COMP ESCALA ATUAL]]))</f>
        <v>1</v>
      </c>
      <c r="Z36" s="45">
        <f>IF(tabJanta[[#This Row],[MOTORISTA]]&lt;&gt;0,15,"")</f>
        <v>15</v>
      </c>
      <c r="AA36" s="4" t="str">
        <f>autocompJanta[[#This Row],[CORRESP LINHA]]</f>
        <v>IMPERATRIZ (MA) X SÃO LUIS (MA)</v>
      </c>
    </row>
    <row r="37" spans="3:27" hidden="1" x14ac:dyDescent="0.25">
      <c r="C37" s="129" t="s">
        <v>226</v>
      </c>
      <c r="D37" s="56" t="str">
        <f>IF(tabJanta[[#This Row],[MOTORISTA]]="","",_xlfn.CONCAT(tabJanta[[#This Row],[DATA]],"+",tabJanta[[#This Row],[MOTORISTA]]))</f>
        <v>45891+  PAULO MORAES DOS SANTOS- 1534</v>
      </c>
      <c r="E37" s="56" t="str">
        <f>_xlfn.XLOOKUP(autocompJanta[[#This Row],[COMP ESCALA ATUAL]],tabE.Flux[COMP.AT. MOT A],tabE.Flux[LINHA],"NÃO",0,1)</f>
        <v>NÃO</v>
      </c>
      <c r="F37" s="56" t="str">
        <f>_xlfn.XLOOKUP(autocompJanta[[#This Row],[COMP ESCALA ATUAL]],tabE.Flux[COMP.AT. MOT B],tabE.Flux[LINHA],"NÃO",0,1)</f>
        <v>FORTALEZA (CE) X SINOP (MT)</v>
      </c>
      <c r="G37" s="61" t="str">
        <f>IF(AND(autocompJanta[[#This Row],[EXISTE MOT A AT]]="NÃO", autocompJanta[[#This Row],[EXISTE MOT B AT]]="NÃO"),"NÃO","SIM")</f>
        <v>SIM</v>
      </c>
      <c r="H37" s="71" t="str">
        <f>IF(autocompJanta[[#This Row],[EXISTE ESCALA ATUAL]]="NÃO",_xlfn.CONCAT(tabJanta[[#This Row],[DATA]]-1,"+",tabJanta[[#This Row],[MOTORISTA]]),"NÃO")</f>
        <v>NÃO</v>
      </c>
      <c r="I37" s="57" t="str">
        <f>IF(autocompJanta[[#This Row],[COMP ESCALA ANTERIOR]]="NÃO","NÃO",_xlfn.XLOOKUP(autocompJanta[[#This Row],[COMP ESCALA ANTERIOR]],tabE.Flux[COMP.AT. MOT A],tabE.Flux[LINHA],"NÃO",0,1))</f>
        <v>NÃO</v>
      </c>
      <c r="J37" s="58" t="str">
        <f>IF(autocompJanta[[#This Row],[COMP ESCALA ANTERIOR]]="NÃO","NÃO",_xlfn.XLOOKUP(autocompJanta[[#This Row],[COMP ESCALA ANTERIOR]],tabE.Flux[COMP.AT. MOT B],tabE.Flux[LINHA],"NÃO",0,1))</f>
        <v>NÃO</v>
      </c>
      <c r="K37" s="62" t="str">
        <f>IF(AND(autocompJanta[[#This Row],[EXISTE MOT A ANT]]="NÃO",autocompJanta[[#This Row],[EXISTE MOT B ANT]]="NÃO"),"NÃO","SIM")</f>
        <v>NÃO</v>
      </c>
      <c r="L37" s="73" t="str">
        <f t="shared" si="0"/>
        <v>45892+  PAULO MORAES DOS SANTOS- 1534</v>
      </c>
      <c r="M37" s="59" t="str">
        <f>IF(autocompJanta[[#This Row],[COMP ESCALA POSTERIOR]]="NÃO","NÃO",_xlfn.XLOOKUP(autocompJanta[[#This Row],[COMP ESCALA POSTERIOR]],tabE.Flux[COMP.AT. MOT A],tabE.Flux[LINHA],"NÃO",0,1))</f>
        <v>NÃO</v>
      </c>
      <c r="N37" s="59" t="str">
        <f>IF(autocompJanta[[#This Row],[COMP ESCALA POSTERIOR]]="NÃO","NÃO",_xlfn.XLOOKUP(autocompJanta[[#This Row],[COMP ESCALA POSTERIOR]],tabE.Flux[COMP.AT. MOT B],tabE.Flux[LINHA],"NÃO",0,1))</f>
        <v>NÃO</v>
      </c>
      <c r="O37" s="65" t="str">
        <f>IF(AND(autocompJanta[[#This Row],[EXISTE MOT A POS]]="NÃO",autocompJanta[[#This Row],[EXISTE MOT B POS]]="NÃO"),"NÃO","SIM")</f>
        <v>NÃO</v>
      </c>
      <c r="P37" s="66" t="str" cm="1">
        <f t="array" ref="P3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37" s="75" t="str" cm="1">
        <f t="array" ref="Q3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45891+  PAULO MORAES DOS SANTOS- 1534+FORTALEZA (CE) X SINOP (MT)</v>
      </c>
      <c r="R37" s="67">
        <f>_xlfn.XLOOKUP(autocompJanta[[#This Row],[COMP ESCALA]],tabE.Flux[COMP. ESCALA MOT B],tabE.Flux[CARRO],
(_xlfn.XLOOKUP(autocompJanta[[#This Row],[COMP ESCALA]],tabE.Flux[COMP. ESCALA MOT A],tabE.Flux[CARRO],"N/E",0,1)),0,1)</f>
        <v>20018</v>
      </c>
      <c r="S37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37" s="127">
        <v>45891</v>
      </c>
      <c r="U37" s="4">
        <f>IF(IFERROR(autocompJanta[[#This Row],[CORRESP. CARRO]],"")="NÃO",(IF(tabJanta[[#This Row],[MOTORISTA]]=0,"","PASSE?")),autocompJanta[[#This Row],[CORRESP. CARRO]])</f>
        <v>20018</v>
      </c>
      <c r="V37" s="128">
        <f>IF(OR(ISERR(autocompJanta[[#This Row],[CORRESP HORARIO]]), autocompJanta[[#This Row],[CORRESP HORARIO]]&lt;&gt;"NÃO"),autocompJanta[[#This Row],[CORRESP HORARIO]],"")</f>
        <v>0.37708333333333333</v>
      </c>
      <c r="W37" s="4" t="s">
        <v>299</v>
      </c>
      <c r="X37" s="4" t="s">
        <v>183</v>
      </c>
      <c r="Y37" s="4">
        <f>IF(tabJanta[[#This Row],[MOTORISTA]]="","",COUNTIF(autocompJanta[COMP ESCALA ATUAL],autocompJanta[[#This Row],[COMP ESCALA ATUAL]]))</f>
        <v>1</v>
      </c>
      <c r="Z37" s="45">
        <f>IF(tabJanta[[#This Row],[MOTORISTA]]&lt;&gt;0,15,"")</f>
        <v>15</v>
      </c>
      <c r="AA37" s="4" t="str">
        <f>autocompJanta[[#This Row],[CORRESP LINHA]]</f>
        <v>FORTALEZA (CE) X SINOP (MT)</v>
      </c>
    </row>
    <row r="38" spans="3:27" hidden="1" x14ac:dyDescent="0.25">
      <c r="C38" s="129" t="s">
        <v>226</v>
      </c>
      <c r="D38" s="56" t="str">
        <f>IF(tabJanta[[#This Row],[MOTORISTA]]="","",_xlfn.CONCAT(tabJanta[[#This Row],[DATA]],"+",tabJanta[[#This Row],[MOTORISTA]]))</f>
        <v>45891+WASHINGTON ALVES BRITO - 1553</v>
      </c>
      <c r="E38" s="56" t="str">
        <f>_xlfn.XLOOKUP(autocompJanta[[#This Row],[COMP ESCALA ATUAL]],tabE.Flux[COMP.AT. MOT A],tabE.Flux[LINHA],"NÃO",0,1)</f>
        <v>NÃO</v>
      </c>
      <c r="F38" s="56" t="str">
        <f>_xlfn.XLOOKUP(autocompJanta[[#This Row],[COMP ESCALA ATUAL]],tabE.Flux[COMP.AT. MOT B],tabE.Flux[LINHA],"NÃO",0,1)</f>
        <v>NÃO</v>
      </c>
      <c r="G38" s="61" t="str">
        <f>IF(AND(autocompJanta[[#This Row],[EXISTE MOT A AT]]="NÃO", autocompJanta[[#This Row],[EXISTE MOT B AT]]="NÃO"),"NÃO","SIM")</f>
        <v>NÃO</v>
      </c>
      <c r="H38" s="71" t="str">
        <f>IF(autocompJanta[[#This Row],[EXISTE ESCALA ATUAL]]="NÃO",_xlfn.CONCAT(tabJanta[[#This Row],[DATA]]-1,"+",tabJanta[[#This Row],[MOTORISTA]]),"NÃO")</f>
        <v>45890+WASHINGTON ALVES BRITO - 1553</v>
      </c>
      <c r="I38" s="57" t="str">
        <f>IF(autocompJanta[[#This Row],[COMP ESCALA ANTERIOR]]="NÃO","NÃO",_xlfn.XLOOKUP(autocompJanta[[#This Row],[COMP ESCALA ANTERIOR]],tabE.Flux[COMP.AT. MOT A],tabE.Flux[LINHA],"NÃO",0,1))</f>
        <v>NÃO</v>
      </c>
      <c r="J38" s="58" t="str">
        <f>IF(autocompJanta[[#This Row],[COMP ESCALA ANTERIOR]]="NÃO","NÃO",_xlfn.XLOOKUP(autocompJanta[[#This Row],[COMP ESCALA ANTERIOR]],tabE.Flux[COMP.AT. MOT B],tabE.Flux[LINHA],"NÃO",0,1))</f>
        <v>NÃO</v>
      </c>
      <c r="K38" s="62" t="str">
        <f>IF(AND(autocompJanta[[#This Row],[EXISTE MOT A ANT]]="NÃO",autocompJanta[[#This Row],[EXISTE MOT B ANT]]="NÃO"),"NÃO","SIM")</f>
        <v>NÃO</v>
      </c>
      <c r="L38" s="73" t="str">
        <f t="shared" ref="L38:L69" si="1">_xlfn.CONCAT(T38+1,"+",X38)</f>
        <v>45892+WASHINGTON ALVES BRITO - 1553</v>
      </c>
      <c r="M38" s="59" t="str">
        <f>IF(autocompJanta[[#This Row],[COMP ESCALA POSTERIOR]]="NÃO","NÃO",_xlfn.XLOOKUP(autocompJanta[[#This Row],[COMP ESCALA POSTERIOR]],tabE.Flux[COMP.AT. MOT A],tabE.Flux[LINHA],"NÃO",0,1))</f>
        <v>NÃO</v>
      </c>
      <c r="N38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38" s="65" t="str">
        <f>IF(AND(autocompJanta[[#This Row],[EXISTE MOT A POS]]="NÃO",autocompJanta[[#This Row],[EXISTE MOT B POS]]="NÃO"),"NÃO","SIM")</f>
        <v>SIM</v>
      </c>
      <c r="P38" s="66" t="str" cm="1">
        <f t="array" ref="P3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38" s="75" t="str" cm="1">
        <f t="array" ref="Q3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45892+WASHINGTON ALVES BRITO - 1553+GOIANIA (GO) X TERESINA (PI) VIA STI</v>
      </c>
      <c r="R38" s="67">
        <f>_xlfn.XLOOKUP(autocompJanta[[#This Row],[COMP ESCALA]],tabE.Flux[COMP. ESCALA MOT B],tabE.Flux[CARRO],
(_xlfn.XLOOKUP(autocompJanta[[#This Row],[COMP ESCALA]],tabE.Flux[COMP. ESCALA MOT A],tabE.Flux[CARRO],"N/E",0,1)),0,1)</f>
        <v>19008</v>
      </c>
      <c r="S38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38" s="125">
        <v>45891</v>
      </c>
      <c r="U38" s="1">
        <f>IF(IFERROR(autocompJanta[[#This Row],[CORRESP. CARRO]],"")="NÃO",(IF(tabJanta[[#This Row],[MOTORISTA]]=0,"","PASSE?")),autocompJanta[[#This Row],[CORRESP. CARRO]])</f>
        <v>19008</v>
      </c>
      <c r="V38" s="126">
        <f>IF(OR(ISERR(autocompJanta[[#This Row],[CORRESP HORARIO]]), autocompJanta[[#This Row],[CORRESP HORARIO]]&lt;&gt;"NÃO"),autocompJanta[[#This Row],[CORRESP HORARIO]],"")</f>
        <v>0.79861111111111116</v>
      </c>
      <c r="W38" s="1" t="s">
        <v>299</v>
      </c>
      <c r="X38" s="1" t="s">
        <v>201</v>
      </c>
      <c r="Y38" s="1">
        <f>IF(tabJanta[[#This Row],[MOTORISTA]]="","",COUNTIF(autocompJanta[COMP ESCALA ATUAL],autocompJanta[[#This Row],[COMP ESCALA ATUAL]]))</f>
        <v>1</v>
      </c>
      <c r="Z38" s="105">
        <f>IF(tabJanta[[#This Row],[MOTORISTA]]&lt;&gt;0,15,"")</f>
        <v>15</v>
      </c>
      <c r="AA38" s="1" t="str">
        <f>autocompJanta[[#This Row],[CORRESP LINHA]]</f>
        <v>GOIANIA (GO) X TERESINA (PI) VIA STI</v>
      </c>
    </row>
    <row r="39" spans="3:27" hidden="1" x14ac:dyDescent="0.25">
      <c r="C39" s="129" t="s">
        <v>226</v>
      </c>
      <c r="D39" s="56" t="str">
        <f>IF(tabJanta[[#This Row],[MOTORISTA]]="","",_xlfn.CONCAT(tabJanta[[#This Row],[DATA]],"+",tabJanta[[#This Row],[MOTORISTA]]))</f>
        <v>45891+EDIVALDO DE ARAUJO - 6217</v>
      </c>
      <c r="E39" s="56" t="str">
        <f>_xlfn.XLOOKUP(autocompJanta[[#This Row],[COMP ESCALA ATUAL]],tabE.Flux[COMP.AT. MOT A],tabE.Flux[LINHA],"NÃO",0,1)</f>
        <v>NÃO</v>
      </c>
      <c r="F39" s="56" t="str">
        <f>_xlfn.XLOOKUP(autocompJanta[[#This Row],[COMP ESCALA ATUAL]],tabE.Flux[COMP.AT. MOT B],tabE.Flux[LINHA],"NÃO",0,1)</f>
        <v>GOIANIA (GO) X SAO LUIS (MA)</v>
      </c>
      <c r="G39" s="61" t="str">
        <f>IF(AND(autocompJanta[[#This Row],[EXISTE MOT A AT]]="NÃO", autocompJanta[[#This Row],[EXISTE MOT B AT]]="NÃO"),"NÃO","SIM")</f>
        <v>SIM</v>
      </c>
      <c r="H39" s="71" t="str">
        <f>IF(autocompJanta[[#This Row],[EXISTE ESCALA ATUAL]]="NÃO",_xlfn.CONCAT(tabJanta[[#This Row],[DATA]]-1,"+",tabJanta[[#This Row],[MOTORISTA]]),"NÃO")</f>
        <v>NÃO</v>
      </c>
      <c r="I39" s="57" t="str">
        <f>IF(autocompJanta[[#This Row],[COMP ESCALA ANTERIOR]]="NÃO","NÃO",_xlfn.XLOOKUP(autocompJanta[[#This Row],[COMP ESCALA ANTERIOR]],tabE.Flux[COMP.AT. MOT A],tabE.Flux[LINHA],"NÃO",0,1))</f>
        <v>NÃO</v>
      </c>
      <c r="J39" s="58" t="str">
        <f>IF(autocompJanta[[#This Row],[COMP ESCALA ANTERIOR]]="NÃO","NÃO",_xlfn.XLOOKUP(autocompJanta[[#This Row],[COMP ESCALA ANTERIOR]],tabE.Flux[COMP.AT. MOT B],tabE.Flux[LINHA],"NÃO",0,1))</f>
        <v>NÃO</v>
      </c>
      <c r="K39" s="62" t="str">
        <f>IF(AND(autocompJanta[[#This Row],[EXISTE MOT A ANT]]="NÃO",autocompJanta[[#This Row],[EXISTE MOT B ANT]]="NÃO"),"NÃO","SIM")</f>
        <v>NÃO</v>
      </c>
      <c r="L39" s="73" t="str">
        <f t="shared" si="1"/>
        <v>45892+EDIVALDO DE ARAUJO - 6217</v>
      </c>
      <c r="M39" s="59" t="str">
        <f>IF(autocompJanta[[#This Row],[COMP ESCALA POSTERIOR]]="NÃO","NÃO",_xlfn.XLOOKUP(autocompJanta[[#This Row],[COMP ESCALA POSTERIOR]],tabE.Flux[COMP.AT. MOT A],tabE.Flux[LINHA],"NÃO",0,1))</f>
        <v>NÃO</v>
      </c>
      <c r="N39" s="59" t="str">
        <f>IF(autocompJanta[[#This Row],[COMP ESCALA POSTERIOR]]="NÃO","NÃO",_xlfn.XLOOKUP(autocompJanta[[#This Row],[COMP ESCALA POSTERIOR]],tabE.Flux[COMP.AT. MOT B],tabE.Flux[LINHA],"NÃO",0,1))</f>
        <v>NÃO</v>
      </c>
      <c r="O39" s="65" t="str">
        <f>IF(AND(autocompJanta[[#This Row],[EXISTE MOT A POS]]="NÃO",autocompJanta[[#This Row],[EXISTE MOT B POS]]="NÃO"),"NÃO","SIM")</f>
        <v>NÃO</v>
      </c>
      <c r="P39" s="66" t="str" cm="1">
        <f t="array" ref="P3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39" s="75" t="str" cm="1">
        <f t="array" ref="Q3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45891+EDIVALDO DE ARAUJO - 6217+GOIANIA (GO) X SAO LUIS (MA)</v>
      </c>
      <c r="R39" s="67">
        <f>_xlfn.XLOOKUP(autocompJanta[[#This Row],[COMP ESCALA]],tabE.Flux[COMP. ESCALA MOT B],tabE.Flux[CARRO],
(_xlfn.XLOOKUP(autocompJanta[[#This Row],[COMP ESCALA]],tabE.Flux[COMP. ESCALA MOT A],tabE.Flux[CARRO],"N/E",0,1)),0,1)</f>
        <v>19007</v>
      </c>
      <c r="S39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39" s="127">
        <v>45891</v>
      </c>
      <c r="U39" s="4">
        <f>IF(IFERROR(autocompJanta[[#This Row],[CORRESP. CARRO]],"")="NÃO",(IF(tabJanta[[#This Row],[MOTORISTA]]=0,"","PASSE?")),autocompJanta[[#This Row],[CORRESP. CARRO]])</f>
        <v>19007</v>
      </c>
      <c r="V39" s="126">
        <f>IF(OR(ISERR(autocompJanta[[#This Row],[CORRESP HORARIO]]), autocompJanta[[#This Row],[CORRESP HORARIO]]&lt;&gt;"NÃO"),autocompJanta[[#This Row],[CORRESP HORARIO]],"")</f>
        <v>0.47013888888888888</v>
      </c>
      <c r="W39" s="4" t="s">
        <v>299</v>
      </c>
      <c r="X39" s="4" t="s">
        <v>55</v>
      </c>
      <c r="Y39" s="1">
        <f>IF(tabJanta[[#This Row],[MOTORISTA]]="","",COUNTIF(autocompJanta[COMP ESCALA ATUAL],autocompJanta[[#This Row],[COMP ESCALA ATUAL]]))</f>
        <v>1</v>
      </c>
      <c r="Z39" s="45">
        <f>IF(tabJanta[[#This Row],[MOTORISTA]]&lt;&gt;0,15,"")</f>
        <v>15</v>
      </c>
      <c r="AA39" s="4" t="str">
        <f>autocompJanta[[#This Row],[CORRESP LINHA]]</f>
        <v>GOIANIA (GO) X SAO LUIS (MA)</v>
      </c>
    </row>
    <row r="40" spans="3:27" hidden="1" x14ac:dyDescent="0.25">
      <c r="C40" s="129" t="s">
        <v>226</v>
      </c>
      <c r="D40" s="56" t="str">
        <f>IF(tabJanta[[#This Row],[MOTORISTA]]="","",_xlfn.CONCAT(tabJanta[[#This Row],[DATA]],"+",tabJanta[[#This Row],[MOTORISTA]]))</f>
        <v>45891+CARLOS ADRIANO DE SOUZA DO NASCIMENTO - 6222</v>
      </c>
      <c r="E40" s="56" t="str">
        <f>_xlfn.XLOOKUP(autocompJanta[[#This Row],[COMP ESCALA ATUAL]],tabE.Flux[COMP.AT. MOT A],tabE.Flux[LINHA],"NÃO",0,1)</f>
        <v>GOIANIA (GO) X SAO LUIS (MA)</v>
      </c>
      <c r="F40" s="56" t="str">
        <f>_xlfn.XLOOKUP(autocompJanta[[#This Row],[COMP ESCALA ATUAL]],tabE.Flux[COMP.AT. MOT B],tabE.Flux[LINHA],"NÃO",0,1)</f>
        <v>GOIANIA (GO) X SAO LUIS (MA)</v>
      </c>
      <c r="G40" s="61" t="str">
        <f>IF(AND(autocompJanta[[#This Row],[EXISTE MOT A AT]]="NÃO", autocompJanta[[#This Row],[EXISTE MOT B AT]]="NÃO"),"NÃO","SIM")</f>
        <v>SIM</v>
      </c>
      <c r="H40" s="71" t="str">
        <f>IF(autocompJanta[[#This Row],[EXISTE ESCALA ATUAL]]="NÃO",_xlfn.CONCAT(tabJanta[[#This Row],[DATA]]-1,"+",tabJanta[[#This Row],[MOTORISTA]]),"NÃO")</f>
        <v>NÃO</v>
      </c>
      <c r="I40" s="57" t="str">
        <f>IF(autocompJanta[[#This Row],[COMP ESCALA ANTERIOR]]="NÃO","NÃO",_xlfn.XLOOKUP(autocompJanta[[#This Row],[COMP ESCALA ANTERIOR]],tabE.Flux[COMP.AT. MOT A],tabE.Flux[LINHA],"NÃO",0,1))</f>
        <v>NÃO</v>
      </c>
      <c r="J40" s="58" t="str">
        <f>IF(autocompJanta[[#This Row],[COMP ESCALA ANTERIOR]]="NÃO","NÃO",_xlfn.XLOOKUP(autocompJanta[[#This Row],[COMP ESCALA ANTERIOR]],tabE.Flux[COMP.AT. MOT B],tabE.Flux[LINHA],"NÃO",0,1))</f>
        <v>NÃO</v>
      </c>
      <c r="K40" s="62" t="str">
        <f>IF(AND(autocompJanta[[#This Row],[EXISTE MOT A ANT]]="NÃO",autocompJanta[[#This Row],[EXISTE MOT B ANT]]="NÃO"),"NÃO","SIM")</f>
        <v>NÃO</v>
      </c>
      <c r="L40" s="73" t="str">
        <f t="shared" si="1"/>
        <v>45892+CARLOS ADRIANO DE SOUZA DO NASCIMENTO - 6222</v>
      </c>
      <c r="M40" s="59" t="str">
        <f>IF(autocompJanta[[#This Row],[COMP ESCALA POSTERIOR]]="NÃO","NÃO",_xlfn.XLOOKUP(autocompJanta[[#This Row],[COMP ESCALA POSTERIOR]],tabE.Flux[COMP.AT. MOT A],tabE.Flux[LINHA],"NÃO",0,1))</f>
        <v>NÃO</v>
      </c>
      <c r="N40" s="59" t="str">
        <f>IF(autocompJanta[[#This Row],[COMP ESCALA POSTERIOR]]="NÃO","NÃO",_xlfn.XLOOKUP(autocompJanta[[#This Row],[COMP ESCALA POSTERIOR]],tabE.Flux[COMP.AT. MOT B],tabE.Flux[LINHA],"NÃO",0,1))</f>
        <v>NÃO</v>
      </c>
      <c r="O40" s="65" t="str">
        <f>IF(AND(autocompJanta[[#This Row],[EXISTE MOT A POS]]="NÃO",autocompJanta[[#This Row],[EXISTE MOT B POS]]="NÃO"),"NÃO","SIM")</f>
        <v>NÃO</v>
      </c>
      <c r="P40" s="66" t="str" cm="1">
        <f t="array" ref="P4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40" s="75" t="str" cm="1">
        <f t="array" ref="Q4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45891+CARLOS ADRIANO DE SOUZA DO NASCIMENTO - 6222+GOIANIA (GO) X SAO LUIS (MA)</v>
      </c>
      <c r="R40" s="67">
        <f>_xlfn.XLOOKUP(autocompJanta[[#This Row],[COMP ESCALA]],tabE.Flux[COMP. ESCALA MOT B],tabE.Flux[CARRO],
(_xlfn.XLOOKUP(autocompJanta[[#This Row],[COMP ESCALA]],tabE.Flux[COMP. ESCALA MOT A],tabE.Flux[CARRO],"N/E",0,1)),0,1)</f>
        <v>25011</v>
      </c>
      <c r="S40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40" s="127">
        <v>45891</v>
      </c>
      <c r="U40" s="4">
        <f>IF(IFERROR(autocompJanta[[#This Row],[CORRESP. CARRO]],"")="NÃO",(IF(tabJanta[[#This Row],[MOTORISTA]]=0,"","PASSE?")),autocompJanta[[#This Row],[CORRESP. CARRO]])</f>
        <v>25011</v>
      </c>
      <c r="V40" s="126">
        <f>IF(OR(ISERR(autocompJanta[[#This Row],[CORRESP HORARIO]]), autocompJanta[[#This Row],[CORRESP HORARIO]]&lt;&gt;"NÃO"),autocompJanta[[#This Row],[CORRESP HORARIO]],"")</f>
        <v>0.29166666666666669</v>
      </c>
      <c r="W40" s="4" t="s">
        <v>299</v>
      </c>
      <c r="X40" s="4" t="s">
        <v>110</v>
      </c>
      <c r="Y40" s="1">
        <f>IF(tabJanta[[#This Row],[MOTORISTA]]="","",COUNTIF(autocompJanta[COMP ESCALA ATUAL],autocompJanta[[#This Row],[COMP ESCALA ATUAL]]))</f>
        <v>1</v>
      </c>
      <c r="Z40" s="45">
        <f>IF(tabJanta[[#This Row],[MOTORISTA]]&lt;&gt;0,15,"")</f>
        <v>15</v>
      </c>
      <c r="AA40" s="4" t="str">
        <f>autocompJanta[[#This Row],[CORRESP LINHA]]</f>
        <v>GOIANIA (GO) X SAO LUIS (MA)</v>
      </c>
    </row>
    <row r="41" spans="3:27" hidden="1" x14ac:dyDescent="0.25">
      <c r="C41" s="129" t="s">
        <v>226</v>
      </c>
      <c r="D41" s="56" t="str">
        <f>IF(tabJanta[[#This Row],[MOTORISTA]]="","",_xlfn.CONCAT(tabJanta[[#This Row],[DATA]],"+",tabJanta[[#This Row],[MOTORISTA]]))</f>
        <v>45891+RAINERIO COSTA MENDES - 5850</v>
      </c>
      <c r="E41" s="56" t="str">
        <f>_xlfn.XLOOKUP(autocompJanta[[#This Row],[COMP ESCALA ATUAL]],tabE.Flux[COMP.AT. MOT A],tabE.Flux[LINHA],"NÃO",0,1)</f>
        <v>NÃO</v>
      </c>
      <c r="F41" s="56" t="str">
        <f>_xlfn.XLOOKUP(autocompJanta[[#This Row],[COMP ESCALA ATUAL]],tabE.Flux[COMP.AT. MOT B],tabE.Flux[LINHA],"NÃO",0,1)</f>
        <v>GOIANIA (GO) X SAO LUIS (MA)</v>
      </c>
      <c r="G41" s="61" t="str">
        <f>IF(AND(autocompJanta[[#This Row],[EXISTE MOT A AT]]="NÃO", autocompJanta[[#This Row],[EXISTE MOT B AT]]="NÃO"),"NÃO","SIM")</f>
        <v>SIM</v>
      </c>
      <c r="H41" s="71" t="str">
        <f>IF(autocompJanta[[#This Row],[EXISTE ESCALA ATUAL]]="NÃO",_xlfn.CONCAT(tabJanta[[#This Row],[DATA]]-1,"+",tabJanta[[#This Row],[MOTORISTA]]),"NÃO")</f>
        <v>NÃO</v>
      </c>
      <c r="I41" s="57" t="str">
        <f>IF(autocompJanta[[#This Row],[COMP ESCALA ANTERIOR]]="NÃO","NÃO",_xlfn.XLOOKUP(autocompJanta[[#This Row],[COMP ESCALA ANTERIOR]],tabE.Flux[COMP.AT. MOT A],tabE.Flux[LINHA],"NÃO",0,1))</f>
        <v>NÃO</v>
      </c>
      <c r="J41" s="58" t="str">
        <f>IF(autocompJanta[[#This Row],[COMP ESCALA ANTERIOR]]="NÃO","NÃO",_xlfn.XLOOKUP(autocompJanta[[#This Row],[COMP ESCALA ANTERIOR]],tabE.Flux[COMP.AT. MOT B],tabE.Flux[LINHA],"NÃO",0,1))</f>
        <v>NÃO</v>
      </c>
      <c r="K41" s="62" t="str">
        <f>IF(AND(autocompJanta[[#This Row],[EXISTE MOT A ANT]]="NÃO",autocompJanta[[#This Row],[EXISTE MOT B ANT]]="NÃO"),"NÃO","SIM")</f>
        <v>NÃO</v>
      </c>
      <c r="L41" s="73" t="str">
        <f t="shared" si="1"/>
        <v>45892+RAINERIO COSTA MENDES - 5850</v>
      </c>
      <c r="M41" s="59" t="str">
        <f>IF(autocompJanta[[#This Row],[COMP ESCALA POSTERIOR]]="NÃO","NÃO",_xlfn.XLOOKUP(autocompJanta[[#This Row],[COMP ESCALA POSTERIOR]],tabE.Flux[COMP.AT. MOT A],tabE.Flux[LINHA],"NÃO",0,1))</f>
        <v>NÃO</v>
      </c>
      <c r="N41" s="59" t="str">
        <f>IF(autocompJanta[[#This Row],[COMP ESCALA POSTERIOR]]="NÃO","NÃO",_xlfn.XLOOKUP(autocompJanta[[#This Row],[COMP ESCALA POSTERIOR]],tabE.Flux[COMP.AT. MOT B],tabE.Flux[LINHA],"NÃO",0,1))</f>
        <v>NÃO</v>
      </c>
      <c r="O41" s="65" t="str">
        <f>IF(AND(autocompJanta[[#This Row],[EXISTE MOT A POS]]="NÃO",autocompJanta[[#This Row],[EXISTE MOT B POS]]="NÃO"),"NÃO","SIM")</f>
        <v>NÃO</v>
      </c>
      <c r="P41" s="66" t="str" cm="1">
        <f t="array" ref="P4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41" s="75" t="str" cm="1">
        <f t="array" ref="Q4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45891+RAINERIO COSTA MENDES - 5850+GOIANIA (GO) X SAO LUIS (MA)</v>
      </c>
      <c r="R41" s="67">
        <f>_xlfn.XLOOKUP(autocompJanta[[#This Row],[COMP ESCALA]],tabE.Flux[COMP. ESCALA MOT B],tabE.Flux[CARRO],
(_xlfn.XLOOKUP(autocompJanta[[#This Row],[COMP ESCALA]],tabE.Flux[COMP. ESCALA MOT A],tabE.Flux[CARRO],"N/E",0,1)),0,1)</f>
        <v>24004</v>
      </c>
      <c r="S41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41" s="127">
        <v>45891</v>
      </c>
      <c r="U41" s="4">
        <f>IF(IFERROR(autocompJanta[[#This Row],[CORRESP. CARRO]],"")="NÃO",(IF(tabJanta[[#This Row],[MOTORISTA]]=0,"","PASSE?")),autocompJanta[[#This Row],[CORRESP. CARRO]])</f>
        <v>24004</v>
      </c>
      <c r="V41" s="126">
        <f>IF(OR(ISERR(autocompJanta[[#This Row],[CORRESP HORARIO]]), autocompJanta[[#This Row],[CORRESP HORARIO]]&lt;&gt;"NÃO"),autocompJanta[[#This Row],[CORRESP HORARIO]],"")</f>
        <v>0.79166666666666663</v>
      </c>
      <c r="W41" s="4" t="s">
        <v>299</v>
      </c>
      <c r="X41" s="4" t="s">
        <v>108</v>
      </c>
      <c r="Y41" s="1">
        <f>IF(tabJanta[[#This Row],[MOTORISTA]]="","",COUNTIF(autocompJanta[COMP ESCALA ATUAL],autocompJanta[[#This Row],[COMP ESCALA ATUAL]]))</f>
        <v>1</v>
      </c>
      <c r="Z41" s="45">
        <f>IF(tabJanta[[#This Row],[MOTORISTA]]&lt;&gt;0,15,"")</f>
        <v>15</v>
      </c>
      <c r="AA41" s="4" t="str">
        <f>autocompJanta[[#This Row],[CORRESP LINHA]]</f>
        <v>GOIANIA (GO) X SAO LUIS (MA)</v>
      </c>
    </row>
    <row r="42" spans="3:27" hidden="1" x14ac:dyDescent="0.25">
      <c r="C42" s="129" t="s">
        <v>226</v>
      </c>
      <c r="D42" s="56" t="str">
        <f>IF(tabJanta[[#This Row],[MOTORISTA]]="","",_xlfn.CONCAT(tabJanta[[#This Row],[DATA]],"+",tabJanta[[#This Row],[MOTORISTA]]))</f>
        <v>45891+MARCIO RODRIGUES DA COSTA - 5993</v>
      </c>
      <c r="E42" s="56" t="str">
        <f>_xlfn.XLOOKUP(autocompJanta[[#This Row],[COMP ESCALA ATUAL]],tabE.Flux[COMP.AT. MOT A],tabE.Flux[LINHA],"NÃO",0,1)</f>
        <v>NÃO</v>
      </c>
      <c r="F42" s="56" t="str">
        <f>_xlfn.XLOOKUP(autocompJanta[[#This Row],[COMP ESCALA ATUAL]],tabE.Flux[COMP.AT. MOT B],tabE.Flux[LINHA],"NÃO",0,1)</f>
        <v>NÃO</v>
      </c>
      <c r="G42" s="61" t="str">
        <f>IF(AND(autocompJanta[[#This Row],[EXISTE MOT A AT]]="NÃO", autocompJanta[[#This Row],[EXISTE MOT B AT]]="NÃO"),"NÃO","SIM")</f>
        <v>NÃO</v>
      </c>
      <c r="H42" s="71" t="str">
        <f>IF(autocompJanta[[#This Row],[EXISTE ESCALA ATUAL]]="NÃO",_xlfn.CONCAT(tabJanta[[#This Row],[DATA]]-1,"+",tabJanta[[#This Row],[MOTORISTA]]),"NÃO")</f>
        <v>45890+MARCIO RODRIGUES DA COSTA - 5993</v>
      </c>
      <c r="I42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42" s="58" t="str">
        <f>IF(autocompJanta[[#This Row],[COMP ESCALA ANTERIOR]]="NÃO","NÃO",_xlfn.XLOOKUP(autocompJanta[[#This Row],[COMP ESCALA ANTERIOR]],tabE.Flux[COMP.AT. MOT B],tabE.Flux[LINHA],"NÃO",0,1))</f>
        <v>NÃO</v>
      </c>
      <c r="K42" s="62" t="str">
        <f>IF(AND(autocompJanta[[#This Row],[EXISTE MOT A ANT]]="NÃO",autocompJanta[[#This Row],[EXISTE MOT B ANT]]="NÃO"),"NÃO","SIM")</f>
        <v>SIM</v>
      </c>
      <c r="L42" s="73" t="str">
        <f t="shared" si="1"/>
        <v>45892+MARCIO RODRIGUES DA COSTA - 5993</v>
      </c>
      <c r="M42" s="59" t="str">
        <f>IF(autocompJanta[[#This Row],[COMP ESCALA POSTERIOR]]="NÃO","NÃO",_xlfn.XLOOKUP(autocompJanta[[#This Row],[COMP ESCALA POSTERIOR]],tabE.Flux[COMP.AT. MOT A],tabE.Flux[LINHA],"NÃO",0,1))</f>
        <v>NÃO</v>
      </c>
      <c r="N42" s="59" t="str">
        <f>IF(autocompJanta[[#This Row],[COMP ESCALA POSTERIOR]]="NÃO","NÃO",_xlfn.XLOOKUP(autocompJanta[[#This Row],[COMP ESCALA POSTERIOR]],tabE.Flux[COMP.AT. MOT B],tabE.Flux[LINHA],"NÃO",0,1))</f>
        <v>NÃO</v>
      </c>
      <c r="O42" s="65" t="str">
        <f>IF(AND(autocompJanta[[#This Row],[EXISTE MOT A POS]]="NÃO",autocompJanta[[#This Row],[EXISTE MOT B POS]]="NÃO"),"NÃO","SIM")</f>
        <v>NÃO</v>
      </c>
      <c r="P42" s="66" t="str" cm="1">
        <f t="array" ref="P4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42" s="75" t="str" cm="1">
        <f t="array" ref="Q4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45890+MARCIO RODRIGUES DA COSTA - 5993+GOIANIA (GO) X TERESINA (PI) VIA STI</v>
      </c>
      <c r="R42" s="67">
        <f>_xlfn.XLOOKUP(autocompJanta[[#This Row],[COMP ESCALA]],tabE.Flux[COMP. ESCALA MOT B],tabE.Flux[CARRO],
(_xlfn.XLOOKUP(autocompJanta[[#This Row],[COMP ESCALA]],tabE.Flux[COMP. ESCALA MOT A],tabE.Flux[CARRO],"N/E",0,1)),0,1)</f>
        <v>19019</v>
      </c>
      <c r="S42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42" s="127">
        <v>45891</v>
      </c>
      <c r="U42" s="4">
        <f>IF(IFERROR(autocompJanta[[#This Row],[CORRESP. CARRO]],"")="NÃO",(IF(tabJanta[[#This Row],[MOTORISTA]]=0,"","PASSE?")),autocompJanta[[#This Row],[CORRESP. CARRO]])</f>
        <v>19019</v>
      </c>
      <c r="V42" s="126">
        <f>IF(OR(ISERR(autocompJanta[[#This Row],[CORRESP HORARIO]]), autocompJanta[[#This Row],[CORRESP HORARIO]]&lt;&gt;"NÃO"),autocompJanta[[#This Row],[CORRESP HORARIO]],"")</f>
        <v>0.79861111111111116</v>
      </c>
      <c r="W42" s="4" t="s">
        <v>299</v>
      </c>
      <c r="X42" s="4" t="s">
        <v>107</v>
      </c>
      <c r="Y42" s="1">
        <f>IF(tabJanta[[#This Row],[MOTORISTA]]="","",COUNTIF(autocompJanta[COMP ESCALA ATUAL],autocompJanta[[#This Row],[COMP ESCALA ATUAL]]))</f>
        <v>1</v>
      </c>
      <c r="Z42" s="45">
        <f>IF(tabJanta[[#This Row],[MOTORISTA]]&lt;&gt;0,15,"")</f>
        <v>15</v>
      </c>
      <c r="AA42" s="4" t="str">
        <f>autocompJanta[[#This Row],[CORRESP LINHA]]</f>
        <v>GOIANIA (GO) X TERESINA (PI) VIA STI</v>
      </c>
    </row>
    <row r="43" spans="3:27" hidden="1" x14ac:dyDescent="0.25">
      <c r="C43" s="129" t="s">
        <v>226</v>
      </c>
      <c r="D43" s="56" t="str">
        <f>IF(tabJanta[[#This Row],[MOTORISTA]]="","",_xlfn.CONCAT(tabJanta[[#This Row],[DATA]],"+",tabJanta[[#This Row],[MOTORISTA]]))</f>
        <v>45892+PAULO ENEAS FARIAS ARAUJO - 6218</v>
      </c>
      <c r="E43" s="56" t="str">
        <f>_xlfn.XLOOKUP(autocompJanta[[#This Row],[COMP ESCALA ATUAL]],tabE.Flux[COMP.AT. MOT A],tabE.Flux[LINHA],"NÃO",0,1)</f>
        <v>NÃO</v>
      </c>
      <c r="F43" s="56" t="str">
        <f>_xlfn.XLOOKUP(autocompJanta[[#This Row],[COMP ESCALA ATUAL]],tabE.Flux[COMP.AT. MOT B],tabE.Flux[LINHA],"NÃO",0,1)</f>
        <v>NÃO</v>
      </c>
      <c r="G43" s="61" t="str">
        <f>IF(AND(autocompJanta[[#This Row],[EXISTE MOT A AT]]="NÃO", autocompJanta[[#This Row],[EXISTE MOT B AT]]="NÃO"),"NÃO","SIM")</f>
        <v>NÃO</v>
      </c>
      <c r="H43" s="71" t="str">
        <f>IF(autocompJanta[[#This Row],[EXISTE ESCALA ATUAL]]="NÃO",_xlfn.CONCAT(tabJanta[[#This Row],[DATA]]-1,"+",tabJanta[[#This Row],[MOTORISTA]]),"NÃO")</f>
        <v>45891+PAULO ENEAS FARIAS ARAUJO - 6218</v>
      </c>
      <c r="I43" s="57" t="str">
        <f>IF(autocompJanta[[#This Row],[COMP ESCALA ANTERIOR]]="NÃO","NÃO",_xlfn.XLOOKUP(autocompJanta[[#This Row],[COMP ESCALA ANTERIOR]],tabE.Flux[COMP.AT. MOT A],tabE.Flux[LINHA],"NÃO",0,1))</f>
        <v>NÃO</v>
      </c>
      <c r="J43" s="58" t="str">
        <f>IF(autocompJanta[[#This Row],[COMP ESCALA ANTERIOR]]="NÃO","NÃO",_xlfn.XLOOKUP(autocompJanta[[#This Row],[COMP ESCALA ANTERIOR]],tabE.Flux[COMP.AT. MOT B],tabE.Flux[LINHA],"NÃO",0,1))</f>
        <v>IMPERATRIZ (MA) X SÃO LUIS (MA)</v>
      </c>
      <c r="K43" s="62" t="str">
        <f>IF(AND(autocompJanta[[#This Row],[EXISTE MOT A ANT]]="NÃO",autocompJanta[[#This Row],[EXISTE MOT B ANT]]="NÃO"),"NÃO","SIM")</f>
        <v>SIM</v>
      </c>
      <c r="L43" s="73" t="str">
        <f t="shared" si="1"/>
        <v>45893+PAULO ENEAS FARIAS ARAUJO - 6218</v>
      </c>
      <c r="M43" s="59" t="str">
        <f>IF(autocompJanta[[#This Row],[COMP ESCALA POSTERIOR]]="NÃO","NÃO",_xlfn.XLOOKUP(autocompJanta[[#This Row],[COMP ESCALA POSTERIOR]],tabE.Flux[COMP.AT. MOT A],tabE.Flux[LINHA],"NÃO",0,1))</f>
        <v>NÃO</v>
      </c>
      <c r="N43" s="59" t="str">
        <f>IF(autocompJanta[[#This Row],[COMP ESCALA POSTERIOR]]="NÃO","NÃO",_xlfn.XLOOKUP(autocompJanta[[#This Row],[COMP ESCALA POSTERIOR]],tabE.Flux[COMP.AT. MOT B],tabE.Flux[LINHA],"NÃO",0,1))</f>
        <v>GOIANIA (GO) X SAO LUIS (MA)</v>
      </c>
      <c r="O43" s="65" t="str">
        <f>IF(AND(autocompJanta[[#This Row],[EXISTE MOT A POS]]="NÃO",autocompJanta[[#This Row],[EXISTE MOT B POS]]="NÃO"),"NÃO","SIM")</f>
        <v>SIM</v>
      </c>
      <c r="P43" s="66" t="str" cm="1">
        <f t="array" ref="P4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IMPERATRIZ (MA) X SÃO LUIS (MA)</v>
      </c>
      <c r="Q43" s="75" t="str" cm="1">
        <f t="array" ref="Q4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45891+PAULO ENEAS FARIAS ARAUJO - 6218+IMPERATRIZ (MA) X SÃO LUIS (MA)</v>
      </c>
      <c r="R43" s="67">
        <f>_xlfn.XLOOKUP(autocompJanta[[#This Row],[COMP ESCALA]],tabE.Flux[COMP. ESCALA MOT B],tabE.Flux[CARRO],
(_xlfn.XLOOKUP(autocompJanta[[#This Row],[COMP ESCALA]],tabE.Flux[COMP. ESCALA MOT A],tabE.Flux[CARRO],"N/E",0,1)),0,1)</f>
        <v>18008</v>
      </c>
      <c r="S43" s="130">
        <f>_xlfn.XLOOKUP(autocompJanta[[#This Row],[COMP ESCALA]],tabE.Flux[COMP. ESCALA MOT A],tabE.Flux[HORARIO],(_xlfn.XLOOKUP(autocompJanta[[#This Row],[COMP ESCALA]],tabE.Flux[COMP. ESCALA MOT B],tabE.Flux[HORARIO],"N/E",0,1)),0,1)</f>
        <v>0.8125</v>
      </c>
      <c r="T43" s="127">
        <v>45892</v>
      </c>
      <c r="U43" s="4">
        <f>IF(IFERROR(autocompJanta[[#This Row],[CORRESP. CARRO]],"")="NÃO",(IF(tabJanta[[#This Row],[MOTORISTA]]=0,"","PASSE?")),autocompJanta[[#This Row],[CORRESP. CARRO]])</f>
        <v>18008</v>
      </c>
      <c r="V43" s="126">
        <f>IF(OR(ISERR(autocompJanta[[#This Row],[CORRESP HORARIO]]), autocompJanta[[#This Row],[CORRESP HORARIO]]&lt;&gt;"NÃO"),autocompJanta[[#This Row],[CORRESP HORARIO]],"")</f>
        <v>0.8125</v>
      </c>
      <c r="W43" s="4" t="s">
        <v>299</v>
      </c>
      <c r="X43" s="4" t="s">
        <v>43</v>
      </c>
      <c r="Y43" s="1">
        <f>IF(tabJanta[[#This Row],[MOTORISTA]]="","",COUNTIF(autocompJanta[COMP ESCALA ATUAL],autocompJanta[[#This Row],[COMP ESCALA ATUAL]]))</f>
        <v>1</v>
      </c>
      <c r="Z43" s="45">
        <f>IF(tabJanta[[#This Row],[MOTORISTA]]&lt;&gt;0,15,"")</f>
        <v>15</v>
      </c>
      <c r="AA43" s="4" t="str">
        <f>autocompJanta[[#This Row],[CORRESP LINHA]]</f>
        <v>IMPERATRIZ (MA) X SÃO LUIS (MA)</v>
      </c>
    </row>
    <row r="44" spans="3:27" hidden="1" x14ac:dyDescent="0.25">
      <c r="C44" s="129" t="s">
        <v>226</v>
      </c>
      <c r="D44" s="56" t="str">
        <f>IF(tabJanta[[#This Row],[MOTORISTA]]="","",_xlfn.CONCAT(tabJanta[[#This Row],[DATA]],"+",tabJanta[[#This Row],[MOTORISTA]]))</f>
        <v>45892+FRANCISCO DAS CHAGAS DOS SANTOS ANGELO - 5299</v>
      </c>
      <c r="E44" s="56" t="str">
        <f>_xlfn.XLOOKUP(autocompJanta[[#This Row],[COMP ESCALA ATUAL]],tabE.Flux[COMP.AT. MOT A],tabE.Flux[LINHA],"NÃO",0,1)</f>
        <v>NÃO</v>
      </c>
      <c r="F44" s="56" t="str">
        <f>_xlfn.XLOOKUP(autocompJanta[[#This Row],[COMP ESCALA ATUAL]],tabE.Flux[COMP.AT. MOT B],tabE.Flux[LINHA],"NÃO",0,1)</f>
        <v>GOIANIA (GO) X TERESINA (PI) VIA BC</v>
      </c>
      <c r="G44" s="61" t="str">
        <f>IF(AND(autocompJanta[[#This Row],[EXISTE MOT A AT]]="NÃO", autocompJanta[[#This Row],[EXISTE MOT B AT]]="NÃO"),"NÃO","SIM")</f>
        <v>SIM</v>
      </c>
      <c r="H44" s="71" t="str">
        <f>IF(autocompJanta[[#This Row],[EXISTE ESCALA ATUAL]]="NÃO",_xlfn.CONCAT(tabJanta[[#This Row],[DATA]]-1,"+",tabJanta[[#This Row],[MOTORISTA]]),"NÃO")</f>
        <v>NÃO</v>
      </c>
      <c r="I44" s="57" t="str">
        <f>IF(autocompJanta[[#This Row],[COMP ESCALA ANTERIOR]]="NÃO","NÃO",_xlfn.XLOOKUP(autocompJanta[[#This Row],[COMP ESCALA ANTERIOR]],tabE.Flux[COMP.AT. MOT A],tabE.Flux[LINHA],"NÃO",0,1))</f>
        <v>NÃO</v>
      </c>
      <c r="J44" s="58" t="str">
        <f>IF(autocompJanta[[#This Row],[COMP ESCALA ANTERIOR]]="NÃO","NÃO",_xlfn.XLOOKUP(autocompJanta[[#This Row],[COMP ESCALA ANTERIOR]],tabE.Flux[COMP.AT. MOT B],tabE.Flux[LINHA],"NÃO",0,1))</f>
        <v>NÃO</v>
      </c>
      <c r="K44" s="62" t="str">
        <f>IF(AND(autocompJanta[[#This Row],[EXISTE MOT A ANT]]="NÃO",autocompJanta[[#This Row],[EXISTE MOT B ANT]]="NÃO"),"NÃO","SIM")</f>
        <v>NÃO</v>
      </c>
      <c r="L44" s="73" t="str">
        <f t="shared" si="1"/>
        <v>45893+FRANCISCO DAS CHAGAS DOS SANTOS ANGELO - 5299</v>
      </c>
      <c r="M44" s="59" t="str">
        <f>IF(autocompJanta[[#This Row],[COMP ESCALA POSTERIOR]]="NÃO","NÃO",_xlfn.XLOOKUP(autocompJanta[[#This Row],[COMP ESCALA POSTERIOR]],tabE.Flux[COMP.AT. MOT A],tabE.Flux[LINHA],"NÃO",0,1))</f>
        <v>NÃO</v>
      </c>
      <c r="N44" s="59" t="str">
        <f>IF(autocompJanta[[#This Row],[COMP ESCALA POSTERIOR]]="NÃO","NÃO",_xlfn.XLOOKUP(autocompJanta[[#This Row],[COMP ESCALA POSTERIOR]],tabE.Flux[COMP.AT. MOT B],tabE.Flux[LINHA],"NÃO",0,1))</f>
        <v>NÃO</v>
      </c>
      <c r="O44" s="65" t="str">
        <f>IF(AND(autocompJanta[[#This Row],[EXISTE MOT A POS]]="NÃO",autocompJanta[[#This Row],[EXISTE MOT B POS]]="NÃO"),"NÃO","SIM")</f>
        <v>NÃO</v>
      </c>
      <c r="P44" s="66" t="str" cm="1">
        <f t="array" ref="P4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BC</v>
      </c>
      <c r="Q44" s="75" t="str" cm="1">
        <f t="array" ref="Q4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45892+FRANCISCO DAS CHAGAS DOS SANTOS ANGELO - 5299+GOIANIA (GO) X TERESINA (PI) VIA BC</v>
      </c>
      <c r="R44" s="67">
        <f>_xlfn.XLOOKUP(autocompJanta[[#This Row],[COMP ESCALA]],tabE.Flux[COMP. ESCALA MOT B],tabE.Flux[CARRO],
(_xlfn.XLOOKUP(autocompJanta[[#This Row],[COMP ESCALA]],tabE.Flux[COMP. ESCALA MOT A],tabE.Flux[CARRO],"N/E",0,1)),0,1)</f>
        <v>25010</v>
      </c>
      <c r="S44" s="130">
        <f>_xlfn.XLOOKUP(autocompJanta[[#This Row],[COMP ESCALA]],tabE.Flux[COMP. ESCALA MOT A],tabE.Flux[HORARIO],(_xlfn.XLOOKUP(autocompJanta[[#This Row],[COMP ESCALA]],tabE.Flux[COMP. ESCALA MOT B],tabE.Flux[HORARIO],"N/E",0,1)),0,1)</f>
        <v>0.39930555555555558</v>
      </c>
      <c r="T44" s="127">
        <v>45892</v>
      </c>
      <c r="U44" s="4">
        <f>IF(IFERROR(autocompJanta[[#This Row],[CORRESP. CARRO]],"")="NÃO",(IF(tabJanta[[#This Row],[MOTORISTA]]=0,"","PASSE?")),autocompJanta[[#This Row],[CORRESP. CARRO]])</f>
        <v>25010</v>
      </c>
      <c r="V44" s="126">
        <f>IF(OR(ISERR(autocompJanta[[#This Row],[CORRESP HORARIO]]), autocompJanta[[#This Row],[CORRESP HORARIO]]&lt;&gt;"NÃO"),autocompJanta[[#This Row],[CORRESP HORARIO]],"")</f>
        <v>0.39930555555555558</v>
      </c>
      <c r="W44" s="4" t="s">
        <v>299</v>
      </c>
      <c r="X44" s="4" t="s">
        <v>198</v>
      </c>
      <c r="Y44" s="1">
        <f>IF(tabJanta[[#This Row],[MOTORISTA]]="","",COUNTIF(autocompJanta[COMP ESCALA ATUAL],autocompJanta[[#This Row],[COMP ESCALA ATUAL]]))</f>
        <v>1</v>
      </c>
      <c r="Z44" s="45">
        <f>IF(tabJanta[[#This Row],[MOTORISTA]]&lt;&gt;0,15,"")</f>
        <v>15</v>
      </c>
      <c r="AA44" s="4" t="str">
        <f>autocompJanta[[#This Row],[CORRESP LINHA]]</f>
        <v>GOIANIA (GO) X TERESINA (PI) VIA BC</v>
      </c>
    </row>
    <row r="45" spans="3:27" hidden="1" x14ac:dyDescent="0.25">
      <c r="C45" s="129" t="s">
        <v>226</v>
      </c>
      <c r="D45" s="56" t="str">
        <f>IF(tabJanta[[#This Row],[MOTORISTA]]="","",_xlfn.CONCAT(tabJanta[[#This Row],[DATA]],"+",tabJanta[[#This Row],[MOTORISTA]]))</f>
        <v>45892+ESIEL COSTA RODRIGUES - 1749</v>
      </c>
      <c r="E45" s="56" t="str">
        <f>_xlfn.XLOOKUP(autocompJanta[[#This Row],[COMP ESCALA ATUAL]],tabE.Flux[COMP.AT. MOT A],tabE.Flux[LINHA],"NÃO",0,1)</f>
        <v>GOIANIA (GO) X TERESINA (PI) VIA STI</v>
      </c>
      <c r="F45" s="56" t="str">
        <f>_xlfn.XLOOKUP(autocompJanta[[#This Row],[COMP ESCALA ATUAL]],tabE.Flux[COMP.AT. MOT B],tabE.Flux[LINHA],"NÃO",0,1)</f>
        <v>NÃO</v>
      </c>
      <c r="G45" s="61" t="str">
        <f>IF(AND(autocompJanta[[#This Row],[EXISTE MOT A AT]]="NÃO", autocompJanta[[#This Row],[EXISTE MOT B AT]]="NÃO"),"NÃO","SIM")</f>
        <v>SIM</v>
      </c>
      <c r="H45" s="71" t="str">
        <f>IF(autocompJanta[[#This Row],[EXISTE ESCALA ATUAL]]="NÃO",_xlfn.CONCAT(tabJanta[[#This Row],[DATA]]-1,"+",tabJanta[[#This Row],[MOTORISTA]]),"NÃO")</f>
        <v>NÃO</v>
      </c>
      <c r="I45" s="57" t="str">
        <f>IF(autocompJanta[[#This Row],[COMP ESCALA ANTERIOR]]="NÃO","NÃO",_xlfn.XLOOKUP(autocompJanta[[#This Row],[COMP ESCALA ANTERIOR]],tabE.Flux[COMP.AT. MOT A],tabE.Flux[LINHA],"NÃO",0,1))</f>
        <v>NÃO</v>
      </c>
      <c r="J45" s="58" t="str">
        <f>IF(autocompJanta[[#This Row],[COMP ESCALA ANTERIOR]]="NÃO","NÃO",_xlfn.XLOOKUP(autocompJanta[[#This Row],[COMP ESCALA ANTERIOR]],tabE.Flux[COMP.AT. MOT B],tabE.Flux[LINHA],"NÃO",0,1))</f>
        <v>NÃO</v>
      </c>
      <c r="K45" s="62" t="str">
        <f>IF(AND(autocompJanta[[#This Row],[EXISTE MOT A ANT]]="NÃO",autocompJanta[[#This Row],[EXISTE MOT B ANT]]="NÃO"),"NÃO","SIM")</f>
        <v>NÃO</v>
      </c>
      <c r="L45" s="73" t="str">
        <f t="shared" si="1"/>
        <v>45893+ESIEL COSTA RODRIGUES - 1749</v>
      </c>
      <c r="M45" s="59" t="str">
        <f>IF(autocompJanta[[#This Row],[COMP ESCALA POSTERIOR]]="NÃO","NÃO",_xlfn.XLOOKUP(autocompJanta[[#This Row],[COMP ESCALA POSTERIOR]],tabE.Flux[COMP.AT. MOT A],tabE.Flux[LINHA],"NÃO",0,1))</f>
        <v>NÃO</v>
      </c>
      <c r="N45" s="59" t="str">
        <f>IF(autocompJanta[[#This Row],[COMP ESCALA POSTERIOR]]="NÃO","NÃO",_xlfn.XLOOKUP(autocompJanta[[#This Row],[COMP ESCALA POSTERIOR]],tabE.Flux[COMP.AT. MOT B],tabE.Flux[LINHA],"NÃO",0,1))</f>
        <v>NÃO</v>
      </c>
      <c r="O45" s="65" t="str">
        <f>IF(AND(autocompJanta[[#This Row],[EXISTE MOT A POS]]="NÃO",autocompJanta[[#This Row],[EXISTE MOT B POS]]="NÃO"),"NÃO","SIM")</f>
        <v>NÃO</v>
      </c>
      <c r="P45" s="66" t="str" cm="1">
        <f t="array" ref="P4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45" s="75" t="str" cm="1">
        <f t="array" ref="Q4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45892+ESIEL COSTA RODRIGUES - 1749+GOIANIA (GO) X TERESINA (PI) VIA STI</v>
      </c>
      <c r="R45" s="67">
        <f>_xlfn.XLOOKUP(autocompJanta[[#This Row],[COMP ESCALA]],tabE.Flux[COMP. ESCALA MOT B],tabE.Flux[CARRO],
(_xlfn.XLOOKUP(autocompJanta[[#This Row],[COMP ESCALA]],tabE.Flux[COMP. ESCALA MOT A],tabE.Flux[CARRO],"N/E",0,1)),0,1)</f>
        <v>19008</v>
      </c>
      <c r="S45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45" s="127">
        <v>45892</v>
      </c>
      <c r="U45" s="4">
        <f>IF(IFERROR(autocompJanta[[#This Row],[CORRESP. CARRO]],"")="NÃO",(IF(tabJanta[[#This Row],[MOTORISTA]]=0,"","PASSE?")),autocompJanta[[#This Row],[CORRESP. CARRO]])</f>
        <v>19008</v>
      </c>
      <c r="V45" s="126">
        <f>IF(OR(ISERR(autocompJanta[[#This Row],[CORRESP HORARIO]]), autocompJanta[[#This Row],[CORRESP HORARIO]]&lt;&gt;"NÃO"),autocompJanta[[#This Row],[CORRESP HORARIO]],"")</f>
        <v>0.79861111111111116</v>
      </c>
      <c r="W45" s="4" t="s">
        <v>299</v>
      </c>
      <c r="X45" s="4" t="s">
        <v>46</v>
      </c>
      <c r="Y45" s="1">
        <f>IF(tabJanta[[#This Row],[MOTORISTA]]="","",COUNTIF(autocompJanta[COMP ESCALA ATUAL],autocompJanta[[#This Row],[COMP ESCALA ATUAL]]))</f>
        <v>1</v>
      </c>
      <c r="Z45" s="45">
        <f>IF(tabJanta[[#This Row],[MOTORISTA]]&lt;&gt;0,15,"")</f>
        <v>15</v>
      </c>
      <c r="AA45" s="4" t="str">
        <f>autocompJanta[[#This Row],[CORRESP LINHA]]</f>
        <v>GOIANIA (GO) X TERESINA (PI) VIA STI</v>
      </c>
    </row>
    <row r="46" spans="3:27" hidden="1" x14ac:dyDescent="0.25">
      <c r="C46" s="129" t="s">
        <v>226</v>
      </c>
      <c r="D46" s="56" t="str">
        <f>IF(tabJanta[[#This Row],[MOTORISTA]]="","",_xlfn.CONCAT(tabJanta[[#This Row],[DATA]],"+",tabJanta[[#This Row],[MOTORISTA]]))</f>
        <v>45892+JARDEL DE SOUSA OLIVEIRA - 5992</v>
      </c>
      <c r="E46" s="56" t="str">
        <f>_xlfn.XLOOKUP(autocompJanta[[#This Row],[COMP ESCALA ATUAL]],tabE.Flux[COMP.AT. MOT A],tabE.Flux[LINHA],"NÃO",0,1)</f>
        <v>GOIANIA (GO) X SAO LUIS (MA)</v>
      </c>
      <c r="F46" s="56" t="str">
        <f>_xlfn.XLOOKUP(autocompJanta[[#This Row],[COMP ESCALA ATUAL]],tabE.Flux[COMP.AT. MOT B],tabE.Flux[LINHA],"NÃO",0,1)</f>
        <v>NÃO</v>
      </c>
      <c r="G46" s="61" t="str">
        <f>IF(AND(autocompJanta[[#This Row],[EXISTE MOT A AT]]="NÃO", autocompJanta[[#This Row],[EXISTE MOT B AT]]="NÃO"),"NÃO","SIM")</f>
        <v>SIM</v>
      </c>
      <c r="H46" s="71" t="str">
        <f>IF(autocompJanta[[#This Row],[EXISTE ESCALA ATUAL]]="NÃO",_xlfn.CONCAT(tabJanta[[#This Row],[DATA]]-1,"+",tabJanta[[#This Row],[MOTORISTA]]),"NÃO")</f>
        <v>NÃO</v>
      </c>
      <c r="I46" s="57" t="str">
        <f>IF(autocompJanta[[#This Row],[COMP ESCALA ANTERIOR]]="NÃO","NÃO",_xlfn.XLOOKUP(autocompJanta[[#This Row],[COMP ESCALA ANTERIOR]],tabE.Flux[COMP.AT. MOT A],tabE.Flux[LINHA],"NÃO",0,1))</f>
        <v>NÃO</v>
      </c>
      <c r="J46" s="58" t="str">
        <f>IF(autocompJanta[[#This Row],[COMP ESCALA ANTERIOR]]="NÃO","NÃO",_xlfn.XLOOKUP(autocompJanta[[#This Row],[COMP ESCALA ANTERIOR]],tabE.Flux[COMP.AT. MOT B],tabE.Flux[LINHA],"NÃO",0,1))</f>
        <v>NÃO</v>
      </c>
      <c r="K46" s="62" t="str">
        <f>IF(AND(autocompJanta[[#This Row],[EXISTE MOT A ANT]]="NÃO",autocompJanta[[#This Row],[EXISTE MOT B ANT]]="NÃO"),"NÃO","SIM")</f>
        <v>NÃO</v>
      </c>
      <c r="L46" s="73" t="str">
        <f t="shared" si="1"/>
        <v>45893+JARDEL DE SOUSA OLIVEIRA - 5992</v>
      </c>
      <c r="M46" s="59" t="str">
        <f>IF(autocompJanta[[#This Row],[COMP ESCALA POSTERIOR]]="NÃO","NÃO",_xlfn.XLOOKUP(autocompJanta[[#This Row],[COMP ESCALA POSTERIOR]],tabE.Flux[COMP.AT. MOT A],tabE.Flux[LINHA],"NÃO",0,1))</f>
        <v>NÃO</v>
      </c>
      <c r="N46" s="59" t="str">
        <f>IF(autocompJanta[[#This Row],[COMP ESCALA POSTERIOR]]="NÃO","NÃO",_xlfn.XLOOKUP(autocompJanta[[#This Row],[COMP ESCALA POSTERIOR]],tabE.Flux[COMP.AT. MOT B],tabE.Flux[LINHA],"NÃO",0,1))</f>
        <v>IMPERATRIZ (MA) X SÃO LUIS (MA)</v>
      </c>
      <c r="O46" s="65" t="str">
        <f>IF(AND(autocompJanta[[#This Row],[EXISTE MOT A POS]]="NÃO",autocompJanta[[#This Row],[EXISTE MOT B POS]]="NÃO"),"NÃO","SIM")</f>
        <v>SIM</v>
      </c>
      <c r="P46" s="66" t="str" cm="1">
        <f t="array" ref="P4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46" s="75" t="str" cm="1">
        <f t="array" ref="Q4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45892+JARDEL DE SOUSA OLIVEIRA - 5992+GOIANIA (GO) X SAO LUIS (MA)</v>
      </c>
      <c r="R46" s="67">
        <f>_xlfn.XLOOKUP(autocompJanta[[#This Row],[COMP ESCALA]],tabE.Flux[COMP. ESCALA MOT B],tabE.Flux[CARRO],
(_xlfn.XLOOKUP(autocompJanta[[#This Row],[COMP ESCALA]],tabE.Flux[COMP. ESCALA MOT A],tabE.Flux[CARRO],"N/E",0,1)),0,1)</f>
        <v>20013</v>
      </c>
      <c r="S46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46" s="127">
        <v>45892</v>
      </c>
      <c r="U46" s="4">
        <f>IF(IFERROR(autocompJanta[[#This Row],[CORRESP. CARRO]],"")="NÃO",(IF(tabJanta[[#This Row],[MOTORISTA]]=0,"","PASSE?")),autocompJanta[[#This Row],[CORRESP. CARRO]])</f>
        <v>20013</v>
      </c>
      <c r="V46" s="126">
        <f>IF(OR(ISERR(autocompJanta[[#This Row],[CORRESP HORARIO]]), autocompJanta[[#This Row],[CORRESP HORARIO]]&lt;&gt;"NÃO"),autocompJanta[[#This Row],[CORRESP HORARIO]],"")</f>
        <v>0.47013888888888888</v>
      </c>
      <c r="W46" s="4" t="s">
        <v>299</v>
      </c>
      <c r="X46" s="4" t="s">
        <v>150</v>
      </c>
      <c r="Y46" s="1">
        <f>IF(tabJanta[[#This Row],[MOTORISTA]]="","",COUNTIF(autocompJanta[COMP ESCALA ATUAL],autocompJanta[[#This Row],[COMP ESCALA ATUAL]]))</f>
        <v>1</v>
      </c>
      <c r="Z46" s="45">
        <f>IF(tabJanta[[#This Row],[MOTORISTA]]&lt;&gt;0,15,"")</f>
        <v>15</v>
      </c>
      <c r="AA46" s="4" t="str">
        <f>autocompJanta[[#This Row],[CORRESP LINHA]]</f>
        <v>GOIANIA (GO) X SAO LUIS (MA)</v>
      </c>
    </row>
    <row r="47" spans="3:27" hidden="1" x14ac:dyDescent="0.25">
      <c r="C47" s="129" t="s">
        <v>226</v>
      </c>
      <c r="D47" s="56" t="str">
        <f>IF(tabJanta[[#This Row],[MOTORISTA]]="","",_xlfn.CONCAT(tabJanta[[#This Row],[DATA]],"+",tabJanta[[#This Row],[MOTORISTA]]))</f>
        <v>45892+MARCOS ATAIDE SILVA - 1352</v>
      </c>
      <c r="E47" s="56" t="str">
        <f>_xlfn.XLOOKUP(autocompJanta[[#This Row],[COMP ESCALA ATUAL]],tabE.Flux[COMP.AT. MOT A],tabE.Flux[LINHA],"NÃO",0,1)</f>
        <v>GOIANIA (GO) X SAO LUIS (MA)</v>
      </c>
      <c r="F47" s="56" t="str">
        <f>_xlfn.XLOOKUP(autocompJanta[[#This Row],[COMP ESCALA ATUAL]],tabE.Flux[COMP.AT. MOT B],tabE.Flux[LINHA],"NÃO",0,1)</f>
        <v>NÃO</v>
      </c>
      <c r="G47" s="61" t="str">
        <f>IF(AND(autocompJanta[[#This Row],[EXISTE MOT A AT]]="NÃO", autocompJanta[[#This Row],[EXISTE MOT B AT]]="NÃO"),"NÃO","SIM")</f>
        <v>SIM</v>
      </c>
      <c r="H47" s="71" t="str">
        <f>IF(autocompJanta[[#This Row],[EXISTE ESCALA ATUAL]]="NÃO",_xlfn.CONCAT(tabJanta[[#This Row],[DATA]]-1,"+",tabJanta[[#This Row],[MOTORISTA]]),"NÃO")</f>
        <v>NÃO</v>
      </c>
      <c r="I47" s="57" t="str">
        <f>IF(autocompJanta[[#This Row],[COMP ESCALA ANTERIOR]]="NÃO","NÃO",_xlfn.XLOOKUP(autocompJanta[[#This Row],[COMP ESCALA ANTERIOR]],tabE.Flux[COMP.AT. MOT A],tabE.Flux[LINHA],"NÃO",0,1))</f>
        <v>NÃO</v>
      </c>
      <c r="J47" s="58" t="str">
        <f>IF(autocompJanta[[#This Row],[COMP ESCALA ANTERIOR]]="NÃO","NÃO",_xlfn.XLOOKUP(autocompJanta[[#This Row],[COMP ESCALA ANTERIOR]],tabE.Flux[COMP.AT. MOT B],tabE.Flux[LINHA],"NÃO",0,1))</f>
        <v>NÃO</v>
      </c>
      <c r="K47" s="62" t="str">
        <f>IF(AND(autocompJanta[[#This Row],[EXISTE MOT A ANT]]="NÃO",autocompJanta[[#This Row],[EXISTE MOT B ANT]]="NÃO"),"NÃO","SIM")</f>
        <v>NÃO</v>
      </c>
      <c r="L47" s="73" t="str">
        <f t="shared" si="1"/>
        <v>45893+MARCOS ATAIDE SILVA - 1352</v>
      </c>
      <c r="M47" s="59" t="str">
        <f>IF(autocompJanta[[#This Row],[COMP ESCALA POSTERIOR]]="NÃO","NÃO",_xlfn.XLOOKUP(autocompJanta[[#This Row],[COMP ESCALA POSTERIOR]],tabE.Flux[COMP.AT. MOT A],tabE.Flux[LINHA],"NÃO",0,1))</f>
        <v>NÃO</v>
      </c>
      <c r="N47" s="59" t="str">
        <f>IF(autocompJanta[[#This Row],[COMP ESCALA POSTERIOR]]="NÃO","NÃO",_xlfn.XLOOKUP(autocompJanta[[#This Row],[COMP ESCALA POSTERIOR]],tabE.Flux[COMP.AT. MOT B],tabE.Flux[LINHA],"NÃO",0,1))</f>
        <v>GOIANIA (GO) X SAO LUIS (MA)</v>
      </c>
      <c r="O47" s="65" t="str">
        <f>IF(AND(autocompJanta[[#This Row],[EXISTE MOT A POS]]="NÃO",autocompJanta[[#This Row],[EXISTE MOT B POS]]="NÃO"),"NÃO","SIM")</f>
        <v>SIM</v>
      </c>
      <c r="P47" s="66" t="str" cm="1">
        <f t="array" ref="P4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47" s="75" t="str" cm="1">
        <f t="array" ref="Q4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45892+MARCOS ATAIDE SILVA - 1352+GOIANIA (GO) X SAO LUIS (MA)</v>
      </c>
      <c r="R47" s="67">
        <f>_xlfn.XLOOKUP(autocompJanta[[#This Row],[COMP ESCALA]],tabE.Flux[COMP. ESCALA MOT B],tabE.Flux[CARRO],
(_xlfn.XLOOKUP(autocompJanta[[#This Row],[COMP ESCALA]],tabE.Flux[COMP. ESCALA MOT A],tabE.Flux[CARRO],"N/E",0,1)),0,1)</f>
        <v>25006</v>
      </c>
      <c r="S47" s="130">
        <f>_xlfn.XLOOKUP(autocompJanta[[#This Row],[COMP ESCALA]],tabE.Flux[COMP. ESCALA MOT A],tabE.Flux[HORARIO],(_xlfn.XLOOKUP(autocompJanta[[#This Row],[COMP ESCALA]],tabE.Flux[COMP. ESCALA MOT B],tabE.Flux[HORARIO],"N/E",0,1)),0,1)</f>
        <v>0.84375</v>
      </c>
      <c r="T47" s="127">
        <v>45892</v>
      </c>
      <c r="U47" s="4">
        <f>IF(IFERROR(autocompJanta[[#This Row],[CORRESP. CARRO]],"")="NÃO",(IF(tabJanta[[#This Row],[MOTORISTA]]=0,"","PASSE?")),autocompJanta[[#This Row],[CORRESP. CARRO]])</f>
        <v>25006</v>
      </c>
      <c r="V47" s="126">
        <f>IF(OR(ISERR(autocompJanta[[#This Row],[CORRESP HORARIO]]), autocompJanta[[#This Row],[CORRESP HORARIO]]&lt;&gt;"NÃO"),autocompJanta[[#This Row],[CORRESP HORARIO]],"")</f>
        <v>0.84375</v>
      </c>
      <c r="W47" s="4" t="s">
        <v>299</v>
      </c>
      <c r="X47" s="4" t="s">
        <v>113</v>
      </c>
      <c r="Y47" s="1">
        <f>IF(tabJanta[[#This Row],[MOTORISTA]]="","",COUNTIF(autocompJanta[COMP ESCALA ATUAL],autocompJanta[[#This Row],[COMP ESCALA ATUAL]]))</f>
        <v>1</v>
      </c>
      <c r="Z47" s="45">
        <f>IF(tabJanta[[#This Row],[MOTORISTA]]&lt;&gt;0,15,"")</f>
        <v>15</v>
      </c>
      <c r="AA47" s="4" t="str">
        <f>autocompJanta[[#This Row],[CORRESP LINHA]]</f>
        <v>GOIANIA (GO) X SAO LUIS (MA)</v>
      </c>
    </row>
    <row r="48" spans="3:27" hidden="1" x14ac:dyDescent="0.25">
      <c r="C48" s="129" t="s">
        <v>226</v>
      </c>
      <c r="D48" s="56" t="str">
        <f>IF(tabJanta[[#This Row],[MOTORISTA]]="","",_xlfn.CONCAT(tabJanta[[#This Row],[DATA]],"+",tabJanta[[#This Row],[MOTORISTA]]))</f>
        <v>45892+LEANDRO DE OLIVEIRA MELO - 2151</v>
      </c>
      <c r="E48" s="56" t="str">
        <f>_xlfn.XLOOKUP(autocompJanta[[#This Row],[COMP ESCALA ATUAL]],tabE.Flux[COMP.AT. MOT A],tabE.Flux[LINHA],"NÃO",0,1)</f>
        <v>NÃO</v>
      </c>
      <c r="F48" s="56" t="str">
        <f>_xlfn.XLOOKUP(autocompJanta[[#This Row],[COMP ESCALA ATUAL]],tabE.Flux[COMP.AT. MOT B],tabE.Flux[LINHA],"NÃO",0,1)</f>
        <v>NÃO</v>
      </c>
      <c r="G48" s="61" t="str">
        <f>IF(AND(autocompJanta[[#This Row],[EXISTE MOT A AT]]="NÃO", autocompJanta[[#This Row],[EXISTE MOT B AT]]="NÃO"),"NÃO","SIM")</f>
        <v>NÃO</v>
      </c>
      <c r="H48" s="71" t="str">
        <f>IF(autocompJanta[[#This Row],[EXISTE ESCALA ATUAL]]="NÃO",_xlfn.CONCAT(tabJanta[[#This Row],[DATA]]-1,"+",tabJanta[[#This Row],[MOTORISTA]]),"NÃO")</f>
        <v>45891+LEANDRO DE OLIVEIRA MELO - 2151</v>
      </c>
      <c r="I48" s="57" t="str">
        <f>IF(autocompJanta[[#This Row],[COMP ESCALA ANTERIOR]]="NÃO","NÃO",_xlfn.XLOOKUP(autocompJanta[[#This Row],[COMP ESCALA ANTERIOR]],tabE.Flux[COMP.AT. MOT A],tabE.Flux[LINHA],"NÃO",0,1))</f>
        <v>NÃO</v>
      </c>
      <c r="J48" s="58" t="str">
        <f>IF(autocompJanta[[#This Row],[COMP ESCALA ANTERIOR]]="NÃO","NÃO",_xlfn.XLOOKUP(autocompJanta[[#This Row],[COMP ESCALA ANTERIOR]],tabE.Flux[COMP.AT. MOT B],tabE.Flux[LINHA],"NÃO",0,1))</f>
        <v>NÃO</v>
      </c>
      <c r="K48" s="62" t="str">
        <f>IF(AND(autocompJanta[[#This Row],[EXISTE MOT A ANT]]="NÃO",autocompJanta[[#This Row],[EXISTE MOT B ANT]]="NÃO"),"NÃO","SIM")</f>
        <v>NÃO</v>
      </c>
      <c r="L48" s="73" t="str">
        <f t="shared" si="1"/>
        <v>45893+LEANDRO DE OLIVEIRA MELO - 2151</v>
      </c>
      <c r="M48" s="59" t="str">
        <f>IF(autocompJanta[[#This Row],[COMP ESCALA POSTERIOR]]="NÃO","NÃO",_xlfn.XLOOKUP(autocompJanta[[#This Row],[COMP ESCALA POSTERIOR]],tabE.Flux[COMP.AT. MOT A],tabE.Flux[LINHA],"NÃO",0,1))</f>
        <v>FORTALEZA (CE) X SINOP (MT)</v>
      </c>
      <c r="N48" s="59" t="str">
        <f>IF(autocompJanta[[#This Row],[COMP ESCALA POSTERIOR]]="NÃO","NÃO",_xlfn.XLOOKUP(autocompJanta[[#This Row],[COMP ESCALA POSTERIOR]],tabE.Flux[COMP.AT. MOT B],tabE.Flux[LINHA],"NÃO",0,1))</f>
        <v>NÃO</v>
      </c>
      <c r="O48" s="65" t="str">
        <f>IF(AND(autocompJanta[[#This Row],[EXISTE MOT A POS]]="NÃO",autocompJanta[[#This Row],[EXISTE MOT B POS]]="NÃO"),"NÃO","SIM")</f>
        <v>SIM</v>
      </c>
      <c r="P48" s="66" t="str" cm="1">
        <f t="array" ref="P4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48" s="75" t="str" cm="1">
        <f t="array" ref="Q4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45893+LEANDRO DE OLIVEIRA MELO - 2151+FORTALEZA (CE) X SINOP (MT)</v>
      </c>
      <c r="R48" s="67">
        <f>_xlfn.XLOOKUP(autocompJanta[[#This Row],[COMP ESCALA]],tabE.Flux[COMP. ESCALA MOT B],tabE.Flux[CARRO],
(_xlfn.XLOOKUP(autocompJanta[[#This Row],[COMP ESCALA]],tabE.Flux[COMP. ESCALA MOT A],tabE.Flux[CARRO],"N/E",0,1)),0,1)</f>
        <v>19009</v>
      </c>
      <c r="S48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48" s="127">
        <v>45892</v>
      </c>
      <c r="U48" s="4">
        <f>IF(IFERROR(autocompJanta[[#This Row],[CORRESP. CARRO]],"")="NÃO",(IF(tabJanta[[#This Row],[MOTORISTA]]=0,"","PASSE?")),autocompJanta[[#This Row],[CORRESP. CARRO]])</f>
        <v>19009</v>
      </c>
      <c r="V48" s="126">
        <f>IF(OR(ISERR(autocompJanta[[#This Row],[CORRESP HORARIO]]), autocompJanta[[#This Row],[CORRESP HORARIO]]&lt;&gt;"NÃO"),autocompJanta[[#This Row],[CORRESP HORARIO]],"")</f>
        <v>0.37708333333333333</v>
      </c>
      <c r="W48" s="4" t="s">
        <v>299</v>
      </c>
      <c r="X48" s="4" t="s">
        <v>64</v>
      </c>
      <c r="Y48" s="1">
        <f>IF(tabJanta[[#This Row],[MOTORISTA]]="","",COUNTIF(autocompJanta[COMP ESCALA ATUAL],autocompJanta[[#This Row],[COMP ESCALA ATUAL]]))</f>
        <v>1</v>
      </c>
      <c r="Z48" s="45">
        <f>IF(tabJanta[[#This Row],[MOTORISTA]]&lt;&gt;0,15,"")</f>
        <v>15</v>
      </c>
      <c r="AA48" s="4" t="str">
        <f>autocompJanta[[#This Row],[CORRESP LINHA]]</f>
        <v>FORTALEZA (CE) X SINOP (MT)</v>
      </c>
    </row>
    <row r="49" spans="3:27" hidden="1" x14ac:dyDescent="0.25">
      <c r="C49" s="129" t="s">
        <v>226</v>
      </c>
      <c r="D49" s="56" t="str">
        <f>IF(tabJanta[[#This Row],[MOTORISTA]]="","",_xlfn.CONCAT(tabJanta[[#This Row],[DATA]],"+",tabJanta[[#This Row],[MOTORISTA]]))</f>
        <v>45893+PAULO ENEAS FARIAS ARAUJO - 6218</v>
      </c>
      <c r="E49" s="56" t="str">
        <f>_xlfn.XLOOKUP(autocompJanta[[#This Row],[COMP ESCALA ATUAL]],tabE.Flux[COMP.AT. MOT A],tabE.Flux[LINHA],"NÃO",0,1)</f>
        <v>NÃO</v>
      </c>
      <c r="F49" s="56" t="str">
        <f>_xlfn.XLOOKUP(autocompJanta[[#This Row],[COMP ESCALA ATUAL]],tabE.Flux[COMP.AT. MOT B],tabE.Flux[LINHA],"NÃO",0,1)</f>
        <v>GOIANIA (GO) X SAO LUIS (MA)</v>
      </c>
      <c r="G49" s="61" t="str">
        <f>IF(AND(autocompJanta[[#This Row],[EXISTE MOT A AT]]="NÃO", autocompJanta[[#This Row],[EXISTE MOT B AT]]="NÃO"),"NÃO","SIM")</f>
        <v>SIM</v>
      </c>
      <c r="H49" s="71" t="str">
        <f>IF(autocompJanta[[#This Row],[EXISTE ESCALA ATUAL]]="NÃO",_xlfn.CONCAT(tabJanta[[#This Row],[DATA]]-1,"+",tabJanta[[#This Row],[MOTORISTA]]),"NÃO")</f>
        <v>NÃO</v>
      </c>
      <c r="I49" s="57" t="str">
        <f>IF(autocompJanta[[#This Row],[COMP ESCALA ANTERIOR]]="NÃO","NÃO",_xlfn.XLOOKUP(autocompJanta[[#This Row],[COMP ESCALA ANTERIOR]],tabE.Flux[COMP.AT. MOT A],tabE.Flux[LINHA],"NÃO",0,1))</f>
        <v>NÃO</v>
      </c>
      <c r="J49" s="58" t="str">
        <f>IF(autocompJanta[[#This Row],[COMP ESCALA ANTERIOR]]="NÃO","NÃO",_xlfn.XLOOKUP(autocompJanta[[#This Row],[COMP ESCALA ANTERIOR]],tabE.Flux[COMP.AT. MOT B],tabE.Flux[LINHA],"NÃO",0,1))</f>
        <v>NÃO</v>
      </c>
      <c r="K49" s="62" t="str">
        <f>IF(AND(autocompJanta[[#This Row],[EXISTE MOT A ANT]]="NÃO",autocompJanta[[#This Row],[EXISTE MOT B ANT]]="NÃO"),"NÃO","SIM")</f>
        <v>NÃO</v>
      </c>
      <c r="L49" s="73" t="str">
        <f t="shared" si="1"/>
        <v>45894+PAULO ENEAS FARIAS ARAUJO - 6218</v>
      </c>
      <c r="M49" s="59" t="str">
        <f>IF(autocompJanta[[#This Row],[COMP ESCALA POSTERIOR]]="NÃO","NÃO",_xlfn.XLOOKUP(autocompJanta[[#This Row],[COMP ESCALA POSTERIOR]],tabE.Flux[COMP.AT. MOT A],tabE.Flux[LINHA],"NÃO",0,1))</f>
        <v>NÃO</v>
      </c>
      <c r="N49" s="59" t="str">
        <f>IF(autocompJanta[[#This Row],[COMP ESCALA POSTERIOR]]="NÃO","NÃO",_xlfn.XLOOKUP(autocompJanta[[#This Row],[COMP ESCALA POSTERIOR]],tabE.Flux[COMP.AT. MOT B],tabE.Flux[LINHA],"NÃO",0,1))</f>
        <v>NÃO</v>
      </c>
      <c r="O49" s="65" t="str">
        <f>IF(AND(autocompJanta[[#This Row],[EXISTE MOT A POS]]="NÃO",autocompJanta[[#This Row],[EXISTE MOT B POS]]="NÃO"),"NÃO","SIM")</f>
        <v>NÃO</v>
      </c>
      <c r="P49" s="66" t="str" cm="1">
        <f t="array" ref="P4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49" s="75" t="str" cm="1">
        <f t="array" ref="Q4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45893+PAULO ENEAS FARIAS ARAUJO - 6218+GOIANIA (GO) X SAO LUIS (MA)</v>
      </c>
      <c r="R49" s="67">
        <f>_xlfn.XLOOKUP(autocompJanta[[#This Row],[COMP ESCALA]],tabE.Flux[COMP. ESCALA MOT B],tabE.Flux[CARRO],
(_xlfn.XLOOKUP(autocompJanta[[#This Row],[COMP ESCALA]],tabE.Flux[COMP. ESCALA MOT A],tabE.Flux[CARRO],"N/E",0,1)),0,1)</f>
        <v>19015</v>
      </c>
      <c r="S49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49" s="127">
        <v>45893</v>
      </c>
      <c r="U49" s="4">
        <f>IF(IFERROR(autocompJanta[[#This Row],[CORRESP. CARRO]],"")="NÃO",(IF(tabJanta[[#This Row],[MOTORISTA]]=0,"","PASSE?")),autocompJanta[[#This Row],[CORRESP. CARRO]])</f>
        <v>19015</v>
      </c>
      <c r="V49" s="128">
        <f>IF(OR(ISERR(autocompJanta[[#This Row],[CORRESP HORARIO]]), autocompJanta[[#This Row],[CORRESP HORARIO]]&lt;&gt;"NÃO"),autocompJanta[[#This Row],[CORRESP HORARIO]],"")</f>
        <v>0.47013888888888888</v>
      </c>
      <c r="W49" s="4" t="s">
        <v>299</v>
      </c>
      <c r="X49" s="4" t="s">
        <v>43</v>
      </c>
      <c r="Y49" s="4">
        <f>IF(tabJanta[[#This Row],[MOTORISTA]]="","",COUNTIF(autocompJanta[COMP ESCALA ATUAL],autocompJanta[[#This Row],[COMP ESCALA ATUAL]]))</f>
        <v>1</v>
      </c>
      <c r="Z49" s="45">
        <f>IF(tabJanta[[#This Row],[MOTORISTA]]&lt;&gt;0,15,"")</f>
        <v>15</v>
      </c>
      <c r="AA49" s="4" t="str">
        <f>autocompJanta[[#This Row],[CORRESP LINHA]]</f>
        <v>GOIANIA (GO) X SAO LUIS (MA)</v>
      </c>
    </row>
    <row r="50" spans="3:27" hidden="1" x14ac:dyDescent="0.25">
      <c r="C50" s="129" t="s">
        <v>226</v>
      </c>
      <c r="D50" s="56" t="str">
        <f>IF(tabJanta[[#This Row],[MOTORISTA]]="","",_xlfn.CONCAT(tabJanta[[#This Row],[DATA]],"+",tabJanta[[#This Row],[MOTORISTA]]))</f>
        <v>45893+FRANCISCO DAS CHAGAS SILVA - 5656</v>
      </c>
      <c r="E50" s="56" t="str">
        <f>_xlfn.XLOOKUP(autocompJanta[[#This Row],[COMP ESCALA ATUAL]],tabE.Flux[COMP.AT. MOT A],tabE.Flux[LINHA],"NÃO",0,1)</f>
        <v>NÃO</v>
      </c>
      <c r="F50" s="56" t="str">
        <f>_xlfn.XLOOKUP(autocompJanta[[#This Row],[COMP ESCALA ATUAL]],tabE.Flux[COMP.AT. MOT B],tabE.Flux[LINHA],"NÃO",0,1)</f>
        <v>NÃO</v>
      </c>
      <c r="G50" s="61" t="str">
        <f>IF(AND(autocompJanta[[#This Row],[EXISTE MOT A AT]]="NÃO", autocompJanta[[#This Row],[EXISTE MOT B AT]]="NÃO"),"NÃO","SIM")</f>
        <v>NÃO</v>
      </c>
      <c r="H50" s="71" t="str">
        <f>IF(autocompJanta[[#This Row],[EXISTE ESCALA ATUAL]]="NÃO",_xlfn.CONCAT(tabJanta[[#This Row],[DATA]]-1,"+",tabJanta[[#This Row],[MOTORISTA]]),"NÃO")</f>
        <v>45892+FRANCISCO DAS CHAGAS SILVA - 5656</v>
      </c>
      <c r="I50" s="57" t="str">
        <f>IF(autocompJanta[[#This Row],[COMP ESCALA ANTERIOR]]="NÃO","NÃO",_xlfn.XLOOKUP(autocompJanta[[#This Row],[COMP ESCALA ANTERIOR]],tabE.Flux[COMP.AT. MOT A],tabE.Flux[LINHA],"NÃO",0,1))</f>
        <v>NÃO</v>
      </c>
      <c r="J50" s="58" t="str">
        <f>IF(autocompJanta[[#This Row],[COMP ESCALA ANTERIOR]]="NÃO","NÃO",_xlfn.XLOOKUP(autocompJanta[[#This Row],[COMP ESCALA ANTERIOR]],tabE.Flux[COMP.AT. MOT B],tabE.Flux[LINHA],"NÃO",0,1))</f>
        <v>NÃO</v>
      </c>
      <c r="K50" s="62" t="str">
        <f>IF(AND(autocompJanta[[#This Row],[EXISTE MOT A ANT]]="NÃO",autocompJanta[[#This Row],[EXISTE MOT B ANT]]="NÃO"),"NÃO","SIM")</f>
        <v>NÃO</v>
      </c>
      <c r="L50" s="73" t="str">
        <f t="shared" si="1"/>
        <v>45894+FRANCISCO DAS CHAGAS SILVA - 5656</v>
      </c>
      <c r="M50" s="59" t="str">
        <f>IF(autocompJanta[[#This Row],[COMP ESCALA POSTERIOR]]="NÃO","NÃO",_xlfn.XLOOKUP(autocompJanta[[#This Row],[COMP ESCALA POSTERIOR]],tabE.Flux[COMP.AT. MOT A],tabE.Flux[LINHA],"NÃO",0,1))</f>
        <v>NÃO</v>
      </c>
      <c r="N50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50" s="65" t="str">
        <f>IF(AND(autocompJanta[[#This Row],[EXISTE MOT A POS]]="NÃO",autocompJanta[[#This Row],[EXISTE MOT B POS]]="NÃO"),"NÃO","SIM")</f>
        <v>SIM</v>
      </c>
      <c r="P50" s="66" t="str" cm="1">
        <f t="array" ref="P5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50" s="75" t="str" cm="1">
        <f t="array" ref="Q5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45894+FRANCISCO DAS CHAGAS SILVA - 5656+GOIANIA (GO) X TERESINA (PI) VIA STI</v>
      </c>
      <c r="R50" s="67">
        <f>_xlfn.XLOOKUP(autocompJanta[[#This Row],[COMP ESCALA]],tabE.Flux[COMP. ESCALA MOT B],tabE.Flux[CARRO],
(_xlfn.XLOOKUP(autocompJanta[[#This Row],[COMP ESCALA]],tabE.Flux[COMP. ESCALA MOT A],tabE.Flux[CARRO],"N/E",0,1)),0,1)</f>
        <v>17100</v>
      </c>
      <c r="S50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50" s="125">
        <v>45893</v>
      </c>
      <c r="U50" s="1">
        <f>IF(IFERROR(autocompJanta[[#This Row],[CORRESP. CARRO]],"")="NÃO",(IF(tabJanta[[#This Row],[MOTORISTA]]=0,"","PASSE?")),autocompJanta[[#This Row],[CORRESP. CARRO]])</f>
        <v>17100</v>
      </c>
      <c r="V50" s="126">
        <f>IF(OR(ISERR(autocompJanta[[#This Row],[CORRESP HORARIO]]), autocompJanta[[#This Row],[CORRESP HORARIO]]&lt;&gt;"NÃO"),autocompJanta[[#This Row],[CORRESP HORARIO]],"")</f>
        <v>0.79861111111111116</v>
      </c>
      <c r="W50" s="1" t="s">
        <v>299</v>
      </c>
      <c r="X50" s="1" t="s">
        <v>31</v>
      </c>
      <c r="Y50" s="1">
        <f>IF(tabJanta[[#This Row],[MOTORISTA]]="","",COUNTIF(autocompJanta[COMP ESCALA ATUAL],autocompJanta[[#This Row],[COMP ESCALA ATUAL]]))</f>
        <v>1</v>
      </c>
      <c r="Z50" s="105">
        <f>IF(tabJanta[[#This Row],[MOTORISTA]]&lt;&gt;0,15,"")</f>
        <v>15</v>
      </c>
      <c r="AA50" s="1" t="str">
        <f>autocompJanta[[#This Row],[CORRESP LINHA]]</f>
        <v>GOIANIA (GO) X TERESINA (PI) VIA STI</v>
      </c>
    </row>
    <row r="51" spans="3:27" hidden="1" x14ac:dyDescent="0.25">
      <c r="C51" s="129" t="s">
        <v>226</v>
      </c>
      <c r="D51" s="56" t="str">
        <f>IF(tabJanta[[#This Row],[MOTORISTA]]="","",_xlfn.CONCAT(tabJanta[[#This Row],[DATA]],"+",tabJanta[[#This Row],[MOTORISTA]]))</f>
        <v>45893+ESIEL COSTA RODRIGUES - 1749</v>
      </c>
      <c r="E51" s="56" t="str">
        <f>_xlfn.XLOOKUP(autocompJanta[[#This Row],[COMP ESCALA ATUAL]],tabE.Flux[COMP.AT. MOT A],tabE.Flux[LINHA],"NÃO",0,1)</f>
        <v>NÃO</v>
      </c>
      <c r="F51" s="56" t="str">
        <f>_xlfn.XLOOKUP(autocompJanta[[#This Row],[COMP ESCALA ATUAL]],tabE.Flux[COMP.AT. MOT B],tabE.Flux[LINHA],"NÃO",0,1)</f>
        <v>NÃO</v>
      </c>
      <c r="G51" s="61" t="str">
        <f>IF(AND(autocompJanta[[#This Row],[EXISTE MOT A AT]]="NÃO", autocompJanta[[#This Row],[EXISTE MOT B AT]]="NÃO"),"NÃO","SIM")</f>
        <v>NÃO</v>
      </c>
      <c r="H51" s="71" t="str">
        <f>IF(autocompJanta[[#This Row],[EXISTE ESCALA ATUAL]]="NÃO",_xlfn.CONCAT(tabJanta[[#This Row],[DATA]]-1,"+",tabJanta[[#This Row],[MOTORISTA]]),"NÃO")</f>
        <v>45892+ESIEL COSTA RODRIGUES - 1749</v>
      </c>
      <c r="I51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51" s="58" t="str">
        <f>IF(autocompJanta[[#This Row],[COMP ESCALA ANTERIOR]]="NÃO","NÃO",_xlfn.XLOOKUP(autocompJanta[[#This Row],[COMP ESCALA ANTERIOR]],tabE.Flux[COMP.AT. MOT B],tabE.Flux[LINHA],"NÃO",0,1))</f>
        <v>NÃO</v>
      </c>
      <c r="K51" s="62" t="str">
        <f>IF(AND(autocompJanta[[#This Row],[EXISTE MOT A ANT]]="NÃO",autocompJanta[[#This Row],[EXISTE MOT B ANT]]="NÃO"),"NÃO","SIM")</f>
        <v>SIM</v>
      </c>
      <c r="L51" s="73" t="str">
        <f t="shared" si="1"/>
        <v>45894+ESIEL COSTA RODRIGUES - 1749</v>
      </c>
      <c r="M51" s="59" t="str">
        <f>IF(autocompJanta[[#This Row],[COMP ESCALA POSTERIOR]]="NÃO","NÃO",_xlfn.XLOOKUP(autocompJanta[[#This Row],[COMP ESCALA POSTERIOR]],tabE.Flux[COMP.AT. MOT A],tabE.Flux[LINHA],"NÃO",0,1))</f>
        <v>NÃO</v>
      </c>
      <c r="N51" s="59" t="str">
        <f>IF(autocompJanta[[#This Row],[COMP ESCALA POSTERIOR]]="NÃO","NÃO",_xlfn.XLOOKUP(autocompJanta[[#This Row],[COMP ESCALA POSTERIOR]],tabE.Flux[COMP.AT. MOT B],tabE.Flux[LINHA],"NÃO",0,1))</f>
        <v>NÃO</v>
      </c>
      <c r="O51" s="65" t="str">
        <f>IF(AND(autocompJanta[[#This Row],[EXISTE MOT A POS]]="NÃO",autocompJanta[[#This Row],[EXISTE MOT B POS]]="NÃO"),"NÃO","SIM")</f>
        <v>NÃO</v>
      </c>
      <c r="P51" s="66" t="str" cm="1">
        <f t="array" ref="P5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51" s="75" t="str" cm="1">
        <f t="array" ref="Q5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45892+ESIEL COSTA RODRIGUES - 1749+GOIANIA (GO) X TERESINA (PI) VIA STI</v>
      </c>
      <c r="R51" s="67">
        <f>_xlfn.XLOOKUP(autocompJanta[[#This Row],[COMP ESCALA]],tabE.Flux[COMP. ESCALA MOT B],tabE.Flux[CARRO],
(_xlfn.XLOOKUP(autocompJanta[[#This Row],[COMP ESCALA]],tabE.Flux[COMP. ESCALA MOT A],tabE.Flux[CARRO],"N/E",0,1)),0,1)</f>
        <v>19008</v>
      </c>
      <c r="S51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51" s="127">
        <v>45893</v>
      </c>
      <c r="U51" s="4">
        <f>IF(IFERROR(autocompJanta[[#This Row],[CORRESP. CARRO]],"")="NÃO",(IF(tabJanta[[#This Row],[MOTORISTA]]=0,"","PASSE?")),autocompJanta[[#This Row],[CORRESP. CARRO]])</f>
        <v>19008</v>
      </c>
      <c r="V51" s="126">
        <f>IF(OR(ISERR(autocompJanta[[#This Row],[CORRESP HORARIO]]), autocompJanta[[#This Row],[CORRESP HORARIO]]&lt;&gt;"NÃO"),autocompJanta[[#This Row],[CORRESP HORARIO]],"")</f>
        <v>0.79861111111111116</v>
      </c>
      <c r="W51" s="4" t="s">
        <v>299</v>
      </c>
      <c r="X51" s="4" t="s">
        <v>46</v>
      </c>
      <c r="Y51" s="1">
        <f>IF(tabJanta[[#This Row],[MOTORISTA]]="","",COUNTIF(autocompJanta[COMP ESCALA ATUAL],autocompJanta[[#This Row],[COMP ESCALA ATUAL]]))</f>
        <v>1</v>
      </c>
      <c r="Z51" s="45">
        <f>IF(tabJanta[[#This Row],[MOTORISTA]]&lt;&gt;0,15,"")</f>
        <v>15</v>
      </c>
      <c r="AA51" s="4" t="str">
        <f>autocompJanta[[#This Row],[CORRESP LINHA]]</f>
        <v>GOIANIA (GO) X TERESINA (PI) VIA STI</v>
      </c>
    </row>
    <row r="52" spans="3:27" hidden="1" x14ac:dyDescent="0.25">
      <c r="C52" s="129" t="s">
        <v>226</v>
      </c>
      <c r="D52" s="56" t="str">
        <f>IF(tabJanta[[#This Row],[MOTORISTA]]="","",_xlfn.CONCAT(tabJanta[[#This Row],[DATA]],"+",tabJanta[[#This Row],[MOTORISTA]]))</f>
        <v>45893+JAKTAN DE OLIVEIRA RODRIGUES - 5836</v>
      </c>
      <c r="E52" s="56" t="str">
        <f>_xlfn.XLOOKUP(autocompJanta[[#This Row],[COMP ESCALA ATUAL]],tabE.Flux[COMP.AT. MOT A],tabE.Flux[LINHA],"NÃO",0,1)</f>
        <v>GOIANIA (GO) X BELEM (PA)</v>
      </c>
      <c r="F52" s="56" t="str">
        <f>_xlfn.XLOOKUP(autocompJanta[[#This Row],[COMP ESCALA ATUAL]],tabE.Flux[COMP.AT. MOT B],tabE.Flux[LINHA],"NÃO",0,1)</f>
        <v>NÃO</v>
      </c>
      <c r="G52" s="61" t="str">
        <f>IF(AND(autocompJanta[[#This Row],[EXISTE MOT A AT]]="NÃO", autocompJanta[[#This Row],[EXISTE MOT B AT]]="NÃO"),"NÃO","SIM")</f>
        <v>SIM</v>
      </c>
      <c r="H52" s="71" t="str">
        <f>IF(autocompJanta[[#This Row],[EXISTE ESCALA ATUAL]]="NÃO",_xlfn.CONCAT(tabJanta[[#This Row],[DATA]]-1,"+",tabJanta[[#This Row],[MOTORISTA]]),"NÃO")</f>
        <v>NÃO</v>
      </c>
      <c r="I52" s="57" t="str">
        <f>IF(autocompJanta[[#This Row],[COMP ESCALA ANTERIOR]]="NÃO","NÃO",_xlfn.XLOOKUP(autocompJanta[[#This Row],[COMP ESCALA ANTERIOR]],tabE.Flux[COMP.AT. MOT A],tabE.Flux[LINHA],"NÃO",0,1))</f>
        <v>NÃO</v>
      </c>
      <c r="J52" s="58" t="str">
        <f>IF(autocompJanta[[#This Row],[COMP ESCALA ANTERIOR]]="NÃO","NÃO",_xlfn.XLOOKUP(autocompJanta[[#This Row],[COMP ESCALA ANTERIOR]],tabE.Flux[COMP.AT. MOT B],tabE.Flux[LINHA],"NÃO",0,1))</f>
        <v>NÃO</v>
      </c>
      <c r="K52" s="62" t="str">
        <f>IF(AND(autocompJanta[[#This Row],[EXISTE MOT A ANT]]="NÃO",autocompJanta[[#This Row],[EXISTE MOT B ANT]]="NÃO"),"NÃO","SIM")</f>
        <v>NÃO</v>
      </c>
      <c r="L52" s="73" t="str">
        <f t="shared" si="1"/>
        <v>45894+JAKTAN DE OLIVEIRA RODRIGUES - 5836</v>
      </c>
      <c r="M52" s="59" t="str">
        <f>IF(autocompJanta[[#This Row],[COMP ESCALA POSTERIOR]]="NÃO","NÃO",_xlfn.XLOOKUP(autocompJanta[[#This Row],[COMP ESCALA POSTERIOR]],tabE.Flux[COMP.AT. MOT A],tabE.Flux[LINHA],"NÃO",0,1))</f>
        <v>GOIANIA (GO) X BELEM (PA)</v>
      </c>
      <c r="N52" s="59" t="str">
        <f>IF(autocompJanta[[#This Row],[COMP ESCALA POSTERIOR]]="NÃO","NÃO",_xlfn.XLOOKUP(autocompJanta[[#This Row],[COMP ESCALA POSTERIOR]],tabE.Flux[COMP.AT. MOT B],tabE.Flux[LINHA],"NÃO",0,1))</f>
        <v>NÃO</v>
      </c>
      <c r="O52" s="65" t="str">
        <f>IF(AND(autocompJanta[[#This Row],[EXISTE MOT A POS]]="NÃO",autocompJanta[[#This Row],[EXISTE MOT B POS]]="NÃO"),"NÃO","SIM")</f>
        <v>SIM</v>
      </c>
      <c r="P52" s="66" t="str" cm="1">
        <f t="array" ref="P5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BELEM (PA)</v>
      </c>
      <c r="Q52" s="75" t="str" cm="1">
        <f t="array" ref="Q5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45893+JAKTAN DE OLIVEIRA RODRIGUES - 5836+GOIANIA (GO) X BELEM (PA)</v>
      </c>
      <c r="R52" s="67">
        <f>_xlfn.XLOOKUP(autocompJanta[[#This Row],[COMP ESCALA]],tabE.Flux[COMP. ESCALA MOT B],tabE.Flux[CARRO],
(_xlfn.XLOOKUP(autocompJanta[[#This Row],[COMP ESCALA]],tabE.Flux[COMP. ESCALA MOT A],tabE.Flux[CARRO],"N/E",0,1)),0,1)</f>
        <v>19022</v>
      </c>
      <c r="S52" s="130">
        <f>_xlfn.XLOOKUP(autocompJanta[[#This Row],[COMP ESCALA]],tabE.Flux[COMP. ESCALA MOT A],tabE.Flux[HORARIO],(_xlfn.XLOOKUP(autocompJanta[[#This Row],[COMP ESCALA]],tabE.Flux[COMP. ESCALA MOT B],tabE.Flux[HORARIO],"N/E",0,1)),0,1)</f>
        <v>0.38541666666666669</v>
      </c>
      <c r="T52" s="127">
        <v>45893</v>
      </c>
      <c r="U52" s="4">
        <f>IF(IFERROR(autocompJanta[[#This Row],[CORRESP. CARRO]],"")="NÃO",(IF(tabJanta[[#This Row],[MOTORISTA]]=0,"","PASSE?")),autocompJanta[[#This Row],[CORRESP. CARRO]])</f>
        <v>19022</v>
      </c>
      <c r="V52" s="126">
        <f>IF(OR(ISERR(autocompJanta[[#This Row],[CORRESP HORARIO]]), autocompJanta[[#This Row],[CORRESP HORARIO]]&lt;&gt;"NÃO"),autocompJanta[[#This Row],[CORRESP HORARIO]],"")</f>
        <v>0.38541666666666669</v>
      </c>
      <c r="W52" s="4" t="s">
        <v>299</v>
      </c>
      <c r="X52" s="4" t="s">
        <v>59</v>
      </c>
      <c r="Y52" s="1">
        <f>IF(tabJanta[[#This Row],[MOTORISTA]]="","",COUNTIF(autocompJanta[COMP ESCALA ATUAL],autocompJanta[[#This Row],[COMP ESCALA ATUAL]]))</f>
        <v>1</v>
      </c>
      <c r="Z52" s="45">
        <f>IF(tabJanta[[#This Row],[MOTORISTA]]&lt;&gt;0,15,"")</f>
        <v>15</v>
      </c>
      <c r="AA52" s="4" t="str">
        <f>autocompJanta[[#This Row],[CORRESP LINHA]]</f>
        <v>GOIANIA (GO) X BELEM (PA)</v>
      </c>
    </row>
    <row r="53" spans="3:27" hidden="1" x14ac:dyDescent="0.25">
      <c r="C53" s="129" t="s">
        <v>226</v>
      </c>
      <c r="D53" s="56" t="str">
        <f>IF(tabJanta[[#This Row],[MOTORISTA]]="","",_xlfn.CONCAT(tabJanta[[#This Row],[DATA]],"+",tabJanta[[#This Row],[MOTORISTA]]))</f>
        <v>45893+MARCOS ATAIDE SILVA - 1352</v>
      </c>
      <c r="E53" s="56" t="str">
        <f>_xlfn.XLOOKUP(autocompJanta[[#This Row],[COMP ESCALA ATUAL]],tabE.Flux[COMP.AT. MOT A],tabE.Flux[LINHA],"NÃO",0,1)</f>
        <v>NÃO</v>
      </c>
      <c r="F53" s="56" t="str">
        <f>_xlfn.XLOOKUP(autocompJanta[[#This Row],[COMP ESCALA ATUAL]],tabE.Flux[COMP.AT. MOT B],tabE.Flux[LINHA],"NÃO",0,1)</f>
        <v>GOIANIA (GO) X SAO LUIS (MA)</v>
      </c>
      <c r="G53" s="61" t="str">
        <f>IF(AND(autocompJanta[[#This Row],[EXISTE MOT A AT]]="NÃO", autocompJanta[[#This Row],[EXISTE MOT B AT]]="NÃO"),"NÃO","SIM")</f>
        <v>SIM</v>
      </c>
      <c r="H53" s="71" t="str">
        <f>IF(autocompJanta[[#This Row],[EXISTE ESCALA ATUAL]]="NÃO",_xlfn.CONCAT(tabJanta[[#This Row],[DATA]]-1,"+",tabJanta[[#This Row],[MOTORISTA]]),"NÃO")</f>
        <v>NÃO</v>
      </c>
      <c r="I53" s="57" t="str">
        <f>IF(autocompJanta[[#This Row],[COMP ESCALA ANTERIOR]]="NÃO","NÃO",_xlfn.XLOOKUP(autocompJanta[[#This Row],[COMP ESCALA ANTERIOR]],tabE.Flux[COMP.AT. MOT A],tabE.Flux[LINHA],"NÃO",0,1))</f>
        <v>NÃO</v>
      </c>
      <c r="J53" s="58" t="str">
        <f>IF(autocompJanta[[#This Row],[COMP ESCALA ANTERIOR]]="NÃO","NÃO",_xlfn.XLOOKUP(autocompJanta[[#This Row],[COMP ESCALA ANTERIOR]],tabE.Flux[COMP.AT. MOT B],tabE.Flux[LINHA],"NÃO",0,1))</f>
        <v>NÃO</v>
      </c>
      <c r="K53" s="62" t="str">
        <f>IF(AND(autocompJanta[[#This Row],[EXISTE MOT A ANT]]="NÃO",autocompJanta[[#This Row],[EXISTE MOT B ANT]]="NÃO"),"NÃO","SIM")</f>
        <v>NÃO</v>
      </c>
      <c r="L53" s="73" t="str">
        <f t="shared" si="1"/>
        <v>45894+MARCOS ATAIDE SILVA - 1352</v>
      </c>
      <c r="M53" s="59" t="str">
        <f>IF(autocompJanta[[#This Row],[COMP ESCALA POSTERIOR]]="NÃO","NÃO",_xlfn.XLOOKUP(autocompJanta[[#This Row],[COMP ESCALA POSTERIOR]],tabE.Flux[COMP.AT. MOT A],tabE.Flux[LINHA],"NÃO",0,1))</f>
        <v>NÃO</v>
      </c>
      <c r="N53" s="59" t="str">
        <f>IF(autocompJanta[[#This Row],[COMP ESCALA POSTERIOR]]="NÃO","NÃO",_xlfn.XLOOKUP(autocompJanta[[#This Row],[COMP ESCALA POSTERIOR]],tabE.Flux[COMP.AT. MOT B],tabE.Flux[LINHA],"NÃO",0,1))</f>
        <v>NÃO</v>
      </c>
      <c r="O53" s="65" t="str">
        <f>IF(AND(autocompJanta[[#This Row],[EXISTE MOT A POS]]="NÃO",autocompJanta[[#This Row],[EXISTE MOT B POS]]="NÃO"),"NÃO","SIM")</f>
        <v>NÃO</v>
      </c>
      <c r="P53" s="66" t="str" cm="1">
        <f t="array" ref="P5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53" s="75" t="str" cm="1">
        <f t="array" ref="Q5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45893+MARCOS ATAIDE SILVA - 1352+GOIANIA (GO) X SAO LUIS (MA)</v>
      </c>
      <c r="R53" s="67">
        <f>_xlfn.XLOOKUP(autocompJanta[[#This Row],[COMP ESCALA]],tabE.Flux[COMP. ESCALA MOT B],tabE.Flux[CARRO],
(_xlfn.XLOOKUP(autocompJanta[[#This Row],[COMP ESCALA]],tabE.Flux[COMP. ESCALA MOT A],tabE.Flux[CARRO],"N/E",0,1)),0,1)</f>
        <v>25006</v>
      </c>
      <c r="S53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53" s="127">
        <v>45893</v>
      </c>
      <c r="U53" s="4">
        <f>IF(IFERROR(autocompJanta[[#This Row],[CORRESP. CARRO]],"")="NÃO",(IF(tabJanta[[#This Row],[MOTORISTA]]=0,"","PASSE?")),autocompJanta[[#This Row],[CORRESP. CARRO]])</f>
        <v>25006</v>
      </c>
      <c r="V53" s="126">
        <f>IF(OR(ISERR(autocompJanta[[#This Row],[CORRESP HORARIO]]), autocompJanta[[#This Row],[CORRESP HORARIO]]&lt;&gt;"NÃO"),autocompJanta[[#This Row],[CORRESP HORARIO]],"")</f>
        <v>0.79166666666666663</v>
      </c>
      <c r="W53" s="4" t="s">
        <v>299</v>
      </c>
      <c r="X53" s="4" t="s">
        <v>113</v>
      </c>
      <c r="Y53" s="1">
        <f>IF(tabJanta[[#This Row],[MOTORISTA]]="","",COUNTIF(autocompJanta[COMP ESCALA ATUAL],autocompJanta[[#This Row],[COMP ESCALA ATUAL]]))</f>
        <v>1</v>
      </c>
      <c r="Z53" s="45">
        <f>IF(tabJanta[[#This Row],[MOTORISTA]]&lt;&gt;0,15,"")</f>
        <v>15</v>
      </c>
      <c r="AA53" s="4" t="str">
        <f>autocompJanta[[#This Row],[CORRESP LINHA]]</f>
        <v>GOIANIA (GO) X SAO LUIS (MA)</v>
      </c>
    </row>
    <row r="54" spans="3:27" hidden="1" x14ac:dyDescent="0.25">
      <c r="C54" s="129" t="s">
        <v>226</v>
      </c>
      <c r="D54" s="56" t="str">
        <f>IF(tabJanta[[#This Row],[MOTORISTA]]="","",_xlfn.CONCAT(tabJanta[[#This Row],[DATA]],"+",tabJanta[[#This Row],[MOTORISTA]]))</f>
        <v>45893+LEANDRO DE OLIVEIRA MELO - 2151</v>
      </c>
      <c r="E54" s="56" t="str">
        <f>_xlfn.XLOOKUP(autocompJanta[[#This Row],[COMP ESCALA ATUAL]],tabE.Flux[COMP.AT. MOT A],tabE.Flux[LINHA],"NÃO",0,1)</f>
        <v>FORTALEZA (CE) X SINOP (MT)</v>
      </c>
      <c r="F54" s="56" t="str">
        <f>_xlfn.XLOOKUP(autocompJanta[[#This Row],[COMP ESCALA ATUAL]],tabE.Flux[COMP.AT. MOT B],tabE.Flux[LINHA],"NÃO",0,1)</f>
        <v>NÃO</v>
      </c>
      <c r="G54" s="61" t="str">
        <f>IF(AND(autocompJanta[[#This Row],[EXISTE MOT A AT]]="NÃO", autocompJanta[[#This Row],[EXISTE MOT B AT]]="NÃO"),"NÃO","SIM")</f>
        <v>SIM</v>
      </c>
      <c r="H54" s="71" t="str">
        <f>IF(autocompJanta[[#This Row],[EXISTE ESCALA ATUAL]]="NÃO",_xlfn.CONCAT(tabJanta[[#This Row],[DATA]]-1,"+",tabJanta[[#This Row],[MOTORISTA]]),"NÃO")</f>
        <v>NÃO</v>
      </c>
      <c r="I54" s="57" t="str">
        <f>IF(autocompJanta[[#This Row],[COMP ESCALA ANTERIOR]]="NÃO","NÃO",_xlfn.XLOOKUP(autocompJanta[[#This Row],[COMP ESCALA ANTERIOR]],tabE.Flux[COMP.AT. MOT A],tabE.Flux[LINHA],"NÃO",0,1))</f>
        <v>NÃO</v>
      </c>
      <c r="J54" s="58" t="str">
        <f>IF(autocompJanta[[#This Row],[COMP ESCALA ANTERIOR]]="NÃO","NÃO",_xlfn.XLOOKUP(autocompJanta[[#This Row],[COMP ESCALA ANTERIOR]],tabE.Flux[COMP.AT. MOT B],tabE.Flux[LINHA],"NÃO",0,1))</f>
        <v>NÃO</v>
      </c>
      <c r="K54" s="62" t="str">
        <f>IF(AND(autocompJanta[[#This Row],[EXISTE MOT A ANT]]="NÃO",autocompJanta[[#This Row],[EXISTE MOT B ANT]]="NÃO"),"NÃO","SIM")</f>
        <v>NÃO</v>
      </c>
      <c r="L54" s="73" t="str">
        <f t="shared" si="1"/>
        <v>45894+LEANDRO DE OLIVEIRA MELO - 2151</v>
      </c>
      <c r="M54" s="59" t="str">
        <f>IF(autocompJanta[[#This Row],[COMP ESCALA POSTERIOR]]="NÃO","NÃO",_xlfn.XLOOKUP(autocompJanta[[#This Row],[COMP ESCALA POSTERIOR]],tabE.Flux[COMP.AT. MOT A],tabE.Flux[LINHA],"NÃO",0,1))</f>
        <v>NÃO</v>
      </c>
      <c r="N54" s="59" t="str">
        <f>IF(autocompJanta[[#This Row],[COMP ESCALA POSTERIOR]]="NÃO","NÃO",_xlfn.XLOOKUP(autocompJanta[[#This Row],[COMP ESCALA POSTERIOR]],tabE.Flux[COMP.AT. MOT B],tabE.Flux[LINHA],"NÃO",0,1))</f>
        <v>NÃO</v>
      </c>
      <c r="O54" s="65" t="str">
        <f>IF(AND(autocompJanta[[#This Row],[EXISTE MOT A POS]]="NÃO",autocompJanta[[#This Row],[EXISTE MOT B POS]]="NÃO"),"NÃO","SIM")</f>
        <v>NÃO</v>
      </c>
      <c r="P54" s="66" t="str" cm="1">
        <f t="array" ref="P5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54" s="75" t="str" cm="1">
        <f t="array" ref="Q5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45893+LEANDRO DE OLIVEIRA MELO - 2151+FORTALEZA (CE) X SINOP (MT)</v>
      </c>
      <c r="R54" s="67">
        <f>_xlfn.XLOOKUP(autocompJanta[[#This Row],[COMP ESCALA]],tabE.Flux[COMP. ESCALA MOT B],tabE.Flux[CARRO],
(_xlfn.XLOOKUP(autocompJanta[[#This Row],[COMP ESCALA]],tabE.Flux[COMP. ESCALA MOT A],tabE.Flux[CARRO],"N/E",0,1)),0,1)</f>
        <v>19009</v>
      </c>
      <c r="S54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54" s="127">
        <v>45893</v>
      </c>
      <c r="U54" s="4">
        <f>IF(IFERROR(autocompJanta[[#This Row],[CORRESP. CARRO]],"")="NÃO",(IF(tabJanta[[#This Row],[MOTORISTA]]=0,"","PASSE?")),autocompJanta[[#This Row],[CORRESP. CARRO]])</f>
        <v>19009</v>
      </c>
      <c r="V54" s="126">
        <f>IF(OR(ISERR(autocompJanta[[#This Row],[CORRESP HORARIO]]), autocompJanta[[#This Row],[CORRESP HORARIO]]&lt;&gt;"NÃO"),autocompJanta[[#This Row],[CORRESP HORARIO]],"")</f>
        <v>0.37708333333333333</v>
      </c>
      <c r="W54" s="4" t="s">
        <v>299</v>
      </c>
      <c r="X54" s="4" t="s">
        <v>64</v>
      </c>
      <c r="Y54" s="1">
        <f>IF(tabJanta[[#This Row],[MOTORISTA]]="","",COUNTIF(autocompJanta[COMP ESCALA ATUAL],autocompJanta[[#This Row],[COMP ESCALA ATUAL]]))</f>
        <v>1</v>
      </c>
      <c r="Z54" s="45">
        <f>IF(tabJanta[[#This Row],[MOTORISTA]]&lt;&gt;0,15,"")</f>
        <v>15</v>
      </c>
      <c r="AA54" s="4" t="str">
        <f>autocompJanta[[#This Row],[CORRESP LINHA]]</f>
        <v>FORTALEZA (CE) X SINOP (MT)</v>
      </c>
    </row>
    <row r="55" spans="3:27" hidden="1" x14ac:dyDescent="0.25">
      <c r="C55" s="129" t="s">
        <v>226</v>
      </c>
      <c r="D55" s="56" t="str">
        <f>IF(tabJanta[[#This Row],[MOTORISTA]]="","",_xlfn.CONCAT(tabJanta[[#This Row],[DATA]],"+",tabJanta[[#This Row],[MOTORISTA]]))</f>
        <v>45894+JACINTO BATISTA DE SOUSA - 5271</v>
      </c>
      <c r="E55" s="56" t="str">
        <f>_xlfn.XLOOKUP(autocompJanta[[#This Row],[COMP ESCALA ATUAL]],tabE.Flux[COMP.AT. MOT A],tabE.Flux[LINHA],"NÃO",0,1)</f>
        <v>NÃO</v>
      </c>
      <c r="F55" s="56" t="str">
        <f>_xlfn.XLOOKUP(autocompJanta[[#This Row],[COMP ESCALA ATUAL]],tabE.Flux[COMP.AT. MOT B],tabE.Flux[LINHA],"NÃO",0,1)</f>
        <v>FORTALEZA (CE) X SINOP (MT)</v>
      </c>
      <c r="G55" s="61" t="str">
        <f>IF(AND(autocompJanta[[#This Row],[EXISTE MOT A AT]]="NÃO", autocompJanta[[#This Row],[EXISTE MOT B AT]]="NÃO"),"NÃO","SIM")</f>
        <v>SIM</v>
      </c>
      <c r="H55" s="71" t="str">
        <f>IF(autocompJanta[[#This Row],[EXISTE ESCALA ATUAL]]="NÃO",_xlfn.CONCAT(tabJanta[[#This Row],[DATA]]-1,"+",tabJanta[[#This Row],[MOTORISTA]]),"NÃO")</f>
        <v>NÃO</v>
      </c>
      <c r="I55" s="57" t="str">
        <f>IF(autocompJanta[[#This Row],[COMP ESCALA ANTERIOR]]="NÃO","NÃO",_xlfn.XLOOKUP(autocompJanta[[#This Row],[COMP ESCALA ANTERIOR]],tabE.Flux[COMP.AT. MOT A],tabE.Flux[LINHA],"NÃO",0,1))</f>
        <v>NÃO</v>
      </c>
      <c r="J55" s="58" t="str">
        <f>IF(autocompJanta[[#This Row],[COMP ESCALA ANTERIOR]]="NÃO","NÃO",_xlfn.XLOOKUP(autocompJanta[[#This Row],[COMP ESCALA ANTERIOR]],tabE.Flux[COMP.AT. MOT B],tabE.Flux[LINHA],"NÃO",0,1))</f>
        <v>NÃO</v>
      </c>
      <c r="K55" s="62" t="str">
        <f>IF(AND(autocompJanta[[#This Row],[EXISTE MOT A ANT]]="NÃO",autocompJanta[[#This Row],[EXISTE MOT B ANT]]="NÃO"),"NÃO","SIM")</f>
        <v>NÃO</v>
      </c>
      <c r="L55" s="73" t="str">
        <f t="shared" si="1"/>
        <v>45895+JACINTO BATISTA DE SOUSA - 5271</v>
      </c>
      <c r="M55" s="59" t="str">
        <f>IF(autocompJanta[[#This Row],[COMP ESCALA POSTERIOR]]="NÃO","NÃO",_xlfn.XLOOKUP(autocompJanta[[#This Row],[COMP ESCALA POSTERIOR]],tabE.Flux[COMP.AT. MOT A],tabE.Flux[LINHA],"NÃO",0,1))</f>
        <v>NÃO</v>
      </c>
      <c r="N55" s="59" t="str">
        <f>IF(autocompJanta[[#This Row],[COMP ESCALA POSTERIOR]]="NÃO","NÃO",_xlfn.XLOOKUP(autocompJanta[[#This Row],[COMP ESCALA POSTERIOR]],tabE.Flux[COMP.AT. MOT B],tabE.Flux[LINHA],"NÃO",0,1))</f>
        <v>NÃO</v>
      </c>
      <c r="O55" s="65" t="str">
        <f>IF(AND(autocompJanta[[#This Row],[EXISTE MOT A POS]]="NÃO",autocompJanta[[#This Row],[EXISTE MOT B POS]]="NÃO"),"NÃO","SIM")</f>
        <v>NÃO</v>
      </c>
      <c r="P55" s="66" t="str" cm="1">
        <f t="array" ref="P5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55" s="75" t="str" cm="1">
        <f t="array" ref="Q5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45894+JACINTO BATISTA DE SOUSA - 5271+FORTALEZA (CE) X SINOP (MT)</v>
      </c>
      <c r="R55" s="67">
        <f>_xlfn.XLOOKUP(autocompJanta[[#This Row],[COMP ESCALA]],tabE.Flux[COMP. ESCALA MOT B],tabE.Flux[CARRO],
(_xlfn.XLOOKUP(autocompJanta[[#This Row],[COMP ESCALA]],tabE.Flux[COMP. ESCALA MOT A],tabE.Flux[CARRO],"N/E",0,1)),0,1)</f>
        <v>19005</v>
      </c>
      <c r="S55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55" s="127">
        <v>45894</v>
      </c>
      <c r="U55" s="4">
        <f>IF(IFERROR(autocompJanta[[#This Row],[CORRESP. CARRO]],"")="NÃO",(IF(tabJanta[[#This Row],[MOTORISTA]]=0,"","PASSE?")),autocompJanta[[#This Row],[CORRESP. CARRO]])</f>
        <v>19005</v>
      </c>
      <c r="V55" s="126">
        <f>IF(OR(ISERR(autocompJanta[[#This Row],[CORRESP HORARIO]]), autocompJanta[[#This Row],[CORRESP HORARIO]]&lt;&gt;"NÃO"),autocompJanta[[#This Row],[CORRESP HORARIO]],"")</f>
        <v>0.37708333333333333</v>
      </c>
      <c r="W55" s="4" t="s">
        <v>299</v>
      </c>
      <c r="X55" s="4" t="s">
        <v>104</v>
      </c>
      <c r="Y55" s="1">
        <f>IF(tabJanta[[#This Row],[MOTORISTA]]="","",COUNTIF(autocompJanta[COMP ESCALA ATUAL],autocompJanta[[#This Row],[COMP ESCALA ATUAL]]))</f>
        <v>1</v>
      </c>
      <c r="Z55" s="45">
        <f>IF(tabJanta[[#This Row],[MOTORISTA]]&lt;&gt;0,15,"")</f>
        <v>15</v>
      </c>
      <c r="AA55" s="4" t="str">
        <f>autocompJanta[[#This Row],[CORRESP LINHA]]</f>
        <v>FORTALEZA (CE) X SINOP (MT)</v>
      </c>
    </row>
    <row r="56" spans="3:27" hidden="1" x14ac:dyDescent="0.25">
      <c r="C56" s="129" t="s">
        <v>226</v>
      </c>
      <c r="D56" s="56" t="str">
        <f>IF(tabJanta[[#This Row],[MOTORISTA]]="","",_xlfn.CONCAT(tabJanta[[#This Row],[DATA]],"+",tabJanta[[#This Row],[MOTORISTA]]))</f>
        <v>45894+EDIVALDO DE ARAUJO - 6217</v>
      </c>
      <c r="E56" s="56" t="str">
        <f>_xlfn.XLOOKUP(autocompJanta[[#This Row],[COMP ESCALA ATUAL]],tabE.Flux[COMP.AT. MOT A],tabE.Flux[LINHA],"NÃO",0,1)</f>
        <v>NÃO</v>
      </c>
      <c r="F56" s="56" t="str">
        <f>_xlfn.XLOOKUP(autocompJanta[[#This Row],[COMP ESCALA ATUAL]],tabE.Flux[COMP.AT. MOT B],tabE.Flux[LINHA],"NÃO",0,1)</f>
        <v>GOIANIA (GO) X SAO LUIS (MA)</v>
      </c>
      <c r="G56" s="61" t="str">
        <f>IF(AND(autocompJanta[[#This Row],[EXISTE MOT A AT]]="NÃO", autocompJanta[[#This Row],[EXISTE MOT B AT]]="NÃO"),"NÃO","SIM")</f>
        <v>SIM</v>
      </c>
      <c r="H56" s="71" t="str">
        <f>IF(autocompJanta[[#This Row],[EXISTE ESCALA ATUAL]]="NÃO",_xlfn.CONCAT(tabJanta[[#This Row],[DATA]]-1,"+",tabJanta[[#This Row],[MOTORISTA]]),"NÃO")</f>
        <v>NÃO</v>
      </c>
      <c r="I56" s="57" t="str">
        <f>IF(autocompJanta[[#This Row],[COMP ESCALA ANTERIOR]]="NÃO","NÃO",_xlfn.XLOOKUP(autocompJanta[[#This Row],[COMP ESCALA ANTERIOR]],tabE.Flux[COMP.AT. MOT A],tabE.Flux[LINHA],"NÃO",0,1))</f>
        <v>NÃO</v>
      </c>
      <c r="J56" s="58" t="str">
        <f>IF(autocompJanta[[#This Row],[COMP ESCALA ANTERIOR]]="NÃO","NÃO",_xlfn.XLOOKUP(autocompJanta[[#This Row],[COMP ESCALA ANTERIOR]],tabE.Flux[COMP.AT. MOT B],tabE.Flux[LINHA],"NÃO",0,1))</f>
        <v>NÃO</v>
      </c>
      <c r="K56" s="62" t="str">
        <f>IF(AND(autocompJanta[[#This Row],[EXISTE MOT A ANT]]="NÃO",autocompJanta[[#This Row],[EXISTE MOT B ANT]]="NÃO"),"NÃO","SIM")</f>
        <v>NÃO</v>
      </c>
      <c r="L56" s="73" t="str">
        <f t="shared" si="1"/>
        <v>45895+EDIVALDO DE ARAUJO - 6217</v>
      </c>
      <c r="M56" s="59" t="str">
        <f>IF(autocompJanta[[#This Row],[COMP ESCALA POSTERIOR]]="NÃO","NÃO",_xlfn.XLOOKUP(autocompJanta[[#This Row],[COMP ESCALA POSTERIOR]],tabE.Flux[COMP.AT. MOT A],tabE.Flux[LINHA],"NÃO",0,1))</f>
        <v>NÃO</v>
      </c>
      <c r="N56" s="59" t="str">
        <f>IF(autocompJanta[[#This Row],[COMP ESCALA POSTERIOR]]="NÃO","NÃO",_xlfn.XLOOKUP(autocompJanta[[#This Row],[COMP ESCALA POSTERIOR]],tabE.Flux[COMP.AT. MOT B],tabE.Flux[LINHA],"NÃO",0,1))</f>
        <v>NÃO</v>
      </c>
      <c r="O56" s="65" t="str">
        <f>IF(AND(autocompJanta[[#This Row],[EXISTE MOT A POS]]="NÃO",autocompJanta[[#This Row],[EXISTE MOT B POS]]="NÃO"),"NÃO","SIM")</f>
        <v>NÃO</v>
      </c>
      <c r="P56" s="66" t="str" cm="1">
        <f t="array" ref="P5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56" s="75" t="str" cm="1">
        <f t="array" ref="Q5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45894+EDIVALDO DE ARAUJO - 6217+GOIANIA (GO) X SAO LUIS (MA)</v>
      </c>
      <c r="R56" s="67">
        <f>_xlfn.XLOOKUP(autocompJanta[[#This Row],[COMP ESCALA]],tabE.Flux[COMP. ESCALA MOT B],tabE.Flux[CARRO],
(_xlfn.XLOOKUP(autocompJanta[[#This Row],[COMP ESCALA]],tabE.Flux[COMP. ESCALA MOT A],tabE.Flux[CARRO],"N/E",0,1)),0,1)</f>
        <v>19006</v>
      </c>
      <c r="S56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56" s="127">
        <v>45894</v>
      </c>
      <c r="U56" s="4">
        <f>IF(IFERROR(autocompJanta[[#This Row],[CORRESP. CARRO]],"")="NÃO",(IF(tabJanta[[#This Row],[MOTORISTA]]=0,"","PASSE?")),autocompJanta[[#This Row],[CORRESP. CARRO]])</f>
        <v>19006</v>
      </c>
      <c r="V56" s="126">
        <f>IF(OR(ISERR(autocompJanta[[#This Row],[CORRESP HORARIO]]), autocompJanta[[#This Row],[CORRESP HORARIO]]&lt;&gt;"NÃO"),autocompJanta[[#This Row],[CORRESP HORARIO]],"")</f>
        <v>0.47013888888888888</v>
      </c>
      <c r="W56" s="4" t="s">
        <v>299</v>
      </c>
      <c r="X56" s="4" t="s">
        <v>55</v>
      </c>
      <c r="Y56" s="1">
        <f>IF(tabJanta[[#This Row],[MOTORISTA]]="","",COUNTIF(autocompJanta[COMP ESCALA ATUAL],autocompJanta[[#This Row],[COMP ESCALA ATUAL]]))</f>
        <v>1</v>
      </c>
      <c r="Z56" s="45">
        <f>IF(tabJanta[[#This Row],[MOTORISTA]]&lt;&gt;0,15,"")</f>
        <v>15</v>
      </c>
      <c r="AA56" s="4" t="str">
        <f>autocompJanta[[#This Row],[CORRESP LINHA]]</f>
        <v>GOIANIA (GO) X SAO LUIS (MA)</v>
      </c>
    </row>
    <row r="57" spans="3:27" hidden="1" x14ac:dyDescent="0.25">
      <c r="C57" s="129" t="s">
        <v>226</v>
      </c>
      <c r="D57" s="56" t="str">
        <f>IF(tabJanta[[#This Row],[MOTORISTA]]="","",_xlfn.CONCAT(tabJanta[[#This Row],[DATA]],"+",tabJanta[[#This Row],[MOTORISTA]]))</f>
        <v>45894+NILSON CORTEZ MIRANDA - 5636</v>
      </c>
      <c r="E57" s="56" t="str">
        <f>_xlfn.XLOOKUP(autocompJanta[[#This Row],[COMP ESCALA ATUAL]],tabE.Flux[COMP.AT. MOT A],tabE.Flux[LINHA],"NÃO",0,1)</f>
        <v>NÃO</v>
      </c>
      <c r="F57" s="56" t="str">
        <f>_xlfn.XLOOKUP(autocompJanta[[#This Row],[COMP ESCALA ATUAL]],tabE.Flux[COMP.AT. MOT B],tabE.Flux[LINHA],"NÃO",0,1)</f>
        <v>NÃO</v>
      </c>
      <c r="G57" s="61" t="str">
        <f>IF(AND(autocompJanta[[#This Row],[EXISTE MOT A AT]]="NÃO", autocompJanta[[#This Row],[EXISTE MOT B AT]]="NÃO"),"NÃO","SIM")</f>
        <v>NÃO</v>
      </c>
      <c r="H57" s="71" t="str">
        <f>IF(autocompJanta[[#This Row],[EXISTE ESCALA ATUAL]]="NÃO",_xlfn.CONCAT(tabJanta[[#This Row],[DATA]]-1,"+",tabJanta[[#This Row],[MOTORISTA]]),"NÃO")</f>
        <v>45893+NILSON CORTEZ MIRANDA - 5636</v>
      </c>
      <c r="I57" s="57" t="str">
        <f>IF(autocompJanta[[#This Row],[COMP ESCALA ANTERIOR]]="NÃO","NÃO",_xlfn.XLOOKUP(autocompJanta[[#This Row],[COMP ESCALA ANTERIOR]],tabE.Flux[COMP.AT. MOT A],tabE.Flux[LINHA],"NÃO",0,1))</f>
        <v>NÃO</v>
      </c>
      <c r="J57" s="58" t="str">
        <f>IF(autocompJanta[[#This Row],[COMP ESCALA ANTERIOR]]="NÃO","NÃO",_xlfn.XLOOKUP(autocompJanta[[#This Row],[COMP ESCALA ANTERIOR]],tabE.Flux[COMP.AT. MOT B],tabE.Flux[LINHA],"NÃO",0,1))</f>
        <v>NÃO</v>
      </c>
      <c r="K57" s="62" t="str">
        <f>IF(AND(autocompJanta[[#This Row],[EXISTE MOT A ANT]]="NÃO",autocompJanta[[#This Row],[EXISTE MOT B ANT]]="NÃO"),"NÃO","SIM")</f>
        <v>NÃO</v>
      </c>
      <c r="L57" s="73" t="str">
        <f t="shared" si="1"/>
        <v>45895+NILSON CORTEZ MIRANDA - 5636</v>
      </c>
      <c r="M57" s="59" t="str">
        <f>IF(autocompJanta[[#This Row],[COMP ESCALA POSTERIOR]]="NÃO","NÃO",_xlfn.XLOOKUP(autocompJanta[[#This Row],[COMP ESCALA POSTERIOR]],tabE.Flux[COMP.AT. MOT A],tabE.Flux[LINHA],"NÃO",0,1))</f>
        <v>NÃO</v>
      </c>
      <c r="N57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57" s="65" t="str">
        <f>IF(AND(autocompJanta[[#This Row],[EXISTE MOT A POS]]="NÃO",autocompJanta[[#This Row],[EXISTE MOT B POS]]="NÃO"),"NÃO","SIM")</f>
        <v>SIM</v>
      </c>
      <c r="P57" s="66" t="str" cm="1">
        <f t="array" ref="P5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57" s="75" t="str" cm="1">
        <f t="array" ref="Q5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45895+NILSON CORTEZ MIRANDA - 5636+GOIANIA (GO) X TERESINA (PI) VIA STI</v>
      </c>
      <c r="R57" s="67">
        <f>_xlfn.XLOOKUP(autocompJanta[[#This Row],[COMP ESCALA]],tabE.Flux[COMP. ESCALA MOT B],tabE.Flux[CARRO],
(_xlfn.XLOOKUP(autocompJanta[[#This Row],[COMP ESCALA]],tabE.Flux[COMP. ESCALA MOT A],tabE.Flux[CARRO],"N/E",0,1)),0,1)</f>
        <v>19018</v>
      </c>
      <c r="S57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57" s="127">
        <v>45894</v>
      </c>
      <c r="U57" s="4">
        <f>IF(IFERROR(autocompJanta[[#This Row],[CORRESP. CARRO]],"")="NÃO",(IF(tabJanta[[#This Row],[MOTORISTA]]=0,"","PASSE?")),autocompJanta[[#This Row],[CORRESP. CARRO]])</f>
        <v>19018</v>
      </c>
      <c r="V57" s="126">
        <f>IF(OR(ISERR(autocompJanta[[#This Row],[CORRESP HORARIO]]), autocompJanta[[#This Row],[CORRESP HORARIO]]&lt;&gt;"NÃO"),autocompJanta[[#This Row],[CORRESP HORARIO]],"")</f>
        <v>0.79861111111111116</v>
      </c>
      <c r="W57" s="4" t="s">
        <v>299</v>
      </c>
      <c r="X57" s="4" t="s">
        <v>75</v>
      </c>
      <c r="Y57" s="1">
        <f>IF(tabJanta[[#This Row],[MOTORISTA]]="","",COUNTIF(autocompJanta[COMP ESCALA ATUAL],autocompJanta[[#This Row],[COMP ESCALA ATUAL]]))</f>
        <v>1</v>
      </c>
      <c r="Z57" s="45">
        <f>IF(tabJanta[[#This Row],[MOTORISTA]]&lt;&gt;0,15,"")</f>
        <v>15</v>
      </c>
      <c r="AA57" s="4" t="str">
        <f>autocompJanta[[#This Row],[CORRESP LINHA]]</f>
        <v>GOIANIA (GO) X TERESINA (PI) VIA STI</v>
      </c>
    </row>
    <row r="58" spans="3:27" hidden="1" x14ac:dyDescent="0.25">
      <c r="C58" s="129" t="s">
        <v>226</v>
      </c>
      <c r="D58" s="56" t="str">
        <f>IF(tabJanta[[#This Row],[MOTORISTA]]="","",_xlfn.CONCAT(tabJanta[[#This Row],[DATA]],"+",tabJanta[[#This Row],[MOTORISTA]]))</f>
        <v>45894+REINAN JOSE BORGES SOUSA - 1075</v>
      </c>
      <c r="E58" s="56" t="str">
        <f>_xlfn.XLOOKUP(autocompJanta[[#This Row],[COMP ESCALA ATUAL]],tabE.Flux[COMP.AT. MOT A],tabE.Flux[LINHA],"NÃO",0,1)</f>
        <v>NÃO</v>
      </c>
      <c r="F58" s="56" t="str">
        <f>_xlfn.XLOOKUP(autocompJanta[[#This Row],[COMP ESCALA ATUAL]],tabE.Flux[COMP.AT. MOT B],tabE.Flux[LINHA],"NÃO",0,1)</f>
        <v>GOIANIA (GO) X SAO LUIS (MA)</v>
      </c>
      <c r="G58" s="61" t="str">
        <f>IF(AND(autocompJanta[[#This Row],[EXISTE MOT A AT]]="NÃO", autocompJanta[[#This Row],[EXISTE MOT B AT]]="NÃO"),"NÃO","SIM")</f>
        <v>SIM</v>
      </c>
      <c r="H58" s="71" t="str">
        <f>IF(autocompJanta[[#This Row],[EXISTE ESCALA ATUAL]]="NÃO",_xlfn.CONCAT(tabJanta[[#This Row],[DATA]]-1,"+",tabJanta[[#This Row],[MOTORISTA]]),"NÃO")</f>
        <v>NÃO</v>
      </c>
      <c r="I58" s="57" t="str">
        <f>IF(autocompJanta[[#This Row],[COMP ESCALA ANTERIOR]]="NÃO","NÃO",_xlfn.XLOOKUP(autocompJanta[[#This Row],[COMP ESCALA ANTERIOR]],tabE.Flux[COMP.AT. MOT A],tabE.Flux[LINHA],"NÃO",0,1))</f>
        <v>NÃO</v>
      </c>
      <c r="J58" s="58" t="str">
        <f>IF(autocompJanta[[#This Row],[COMP ESCALA ANTERIOR]]="NÃO","NÃO",_xlfn.XLOOKUP(autocompJanta[[#This Row],[COMP ESCALA ANTERIOR]],tabE.Flux[COMP.AT. MOT B],tabE.Flux[LINHA],"NÃO",0,1))</f>
        <v>NÃO</v>
      </c>
      <c r="K58" s="62" t="str">
        <f>IF(AND(autocompJanta[[#This Row],[EXISTE MOT A ANT]]="NÃO",autocompJanta[[#This Row],[EXISTE MOT B ANT]]="NÃO"),"NÃO","SIM")</f>
        <v>NÃO</v>
      </c>
      <c r="L58" s="73" t="str">
        <f t="shared" si="1"/>
        <v>45895+REINAN JOSE BORGES SOUSA - 1075</v>
      </c>
      <c r="M58" s="59" t="str">
        <f>IF(autocompJanta[[#This Row],[COMP ESCALA POSTERIOR]]="NÃO","NÃO",_xlfn.XLOOKUP(autocompJanta[[#This Row],[COMP ESCALA POSTERIOR]],tabE.Flux[COMP.AT. MOT A],tabE.Flux[LINHA],"NÃO",0,1))</f>
        <v>NÃO</v>
      </c>
      <c r="N58" s="59" t="str">
        <f>IF(autocompJanta[[#This Row],[COMP ESCALA POSTERIOR]]="NÃO","NÃO",_xlfn.XLOOKUP(autocompJanta[[#This Row],[COMP ESCALA POSTERIOR]],tabE.Flux[COMP.AT. MOT B],tabE.Flux[LINHA],"NÃO",0,1))</f>
        <v>GOIANIA (GO) X SAO LUIS (MA)</v>
      </c>
      <c r="O58" s="65" t="str">
        <f>IF(AND(autocompJanta[[#This Row],[EXISTE MOT A POS]]="NÃO",autocompJanta[[#This Row],[EXISTE MOT B POS]]="NÃO"),"NÃO","SIM")</f>
        <v>SIM</v>
      </c>
      <c r="P58" s="66" t="str" cm="1">
        <f t="array" ref="P5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58" s="75" t="str" cm="1">
        <f t="array" ref="Q5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45894+REINAN JOSE BORGES SOUSA - 1075+GOIANIA (GO) X SAO LUIS (MA)</v>
      </c>
      <c r="R58" s="67">
        <f>_xlfn.XLOOKUP(autocompJanta[[#This Row],[COMP ESCALA]],tabE.Flux[COMP. ESCALA MOT B],tabE.Flux[CARRO],
(_xlfn.XLOOKUP(autocompJanta[[#This Row],[COMP ESCALA]],tabE.Flux[COMP. ESCALA MOT A],tabE.Flux[CARRO],"N/E",0,1)),0,1)</f>
        <v>24005</v>
      </c>
      <c r="S58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58" s="127">
        <v>45894</v>
      </c>
      <c r="U58" s="4">
        <f>IF(IFERROR(autocompJanta[[#This Row],[CORRESP. CARRO]],"")="NÃO",(IF(tabJanta[[#This Row],[MOTORISTA]]=0,"","PASSE?")),autocompJanta[[#This Row],[CORRESP. CARRO]])</f>
        <v>24005</v>
      </c>
      <c r="V58" s="126">
        <f>IF(OR(ISERR(autocompJanta[[#This Row],[CORRESP HORARIO]]), autocompJanta[[#This Row],[CORRESP HORARIO]]&lt;&gt;"NÃO"),autocompJanta[[#This Row],[CORRESP HORARIO]],"")</f>
        <v>0.79166666666666663</v>
      </c>
      <c r="W58" s="4" t="s">
        <v>299</v>
      </c>
      <c r="X58" s="4" t="s">
        <v>84</v>
      </c>
      <c r="Y58" s="1">
        <f>IF(tabJanta[[#This Row],[MOTORISTA]]="","",COUNTIF(autocompJanta[COMP ESCALA ATUAL],autocompJanta[[#This Row],[COMP ESCALA ATUAL]]))</f>
        <v>1</v>
      </c>
      <c r="Z58" s="45">
        <f>IF(tabJanta[[#This Row],[MOTORISTA]]&lt;&gt;0,15,"")</f>
        <v>15</v>
      </c>
      <c r="AA58" s="4" t="str">
        <f>autocompJanta[[#This Row],[CORRESP LINHA]]</f>
        <v>GOIANIA (GO) X SAO LUIS (MA)</v>
      </c>
    </row>
    <row r="59" spans="3:27" hidden="1" x14ac:dyDescent="0.25">
      <c r="C59" s="129" t="s">
        <v>226</v>
      </c>
      <c r="D59" s="56" t="str">
        <f>IF(tabJanta[[#This Row],[MOTORISTA]]="","",_xlfn.CONCAT(tabJanta[[#This Row],[DATA]],"+",tabJanta[[#This Row],[MOTORISTA]]))</f>
        <v>45895+KAYLSON KLEYTON DA SILVA COSTA - 6224</v>
      </c>
      <c r="E59" s="56" t="str">
        <f>_xlfn.XLOOKUP(autocompJanta[[#This Row],[COMP ESCALA ATUAL]],tabE.Flux[COMP.AT. MOT A],tabE.Flux[LINHA],"NÃO",0,1)</f>
        <v>GOIANIA (GO) X SAO LUIS (MA)</v>
      </c>
      <c r="F59" s="56" t="str">
        <f>_xlfn.XLOOKUP(autocompJanta[[#This Row],[COMP ESCALA ATUAL]],tabE.Flux[COMP.AT. MOT B],tabE.Flux[LINHA],"NÃO",0,1)</f>
        <v>GOIANIA (GO) X SAO LUIS (MA)</v>
      </c>
      <c r="G59" s="61" t="str">
        <f>IF(AND(autocompJanta[[#This Row],[EXISTE MOT A AT]]="NÃO", autocompJanta[[#This Row],[EXISTE MOT B AT]]="NÃO"),"NÃO","SIM")</f>
        <v>SIM</v>
      </c>
      <c r="H59" s="71" t="str">
        <f>IF(autocompJanta[[#This Row],[EXISTE ESCALA ATUAL]]="NÃO",_xlfn.CONCAT(tabJanta[[#This Row],[DATA]]-1,"+",tabJanta[[#This Row],[MOTORISTA]]),"NÃO")</f>
        <v>NÃO</v>
      </c>
      <c r="I59" s="57" t="str">
        <f>IF(autocompJanta[[#This Row],[COMP ESCALA ANTERIOR]]="NÃO","NÃO",_xlfn.XLOOKUP(autocompJanta[[#This Row],[COMP ESCALA ANTERIOR]],tabE.Flux[COMP.AT. MOT A],tabE.Flux[LINHA],"NÃO",0,1))</f>
        <v>NÃO</v>
      </c>
      <c r="J59" s="58" t="str">
        <f>IF(autocompJanta[[#This Row],[COMP ESCALA ANTERIOR]]="NÃO","NÃO",_xlfn.XLOOKUP(autocompJanta[[#This Row],[COMP ESCALA ANTERIOR]],tabE.Flux[COMP.AT. MOT B],tabE.Flux[LINHA],"NÃO",0,1))</f>
        <v>NÃO</v>
      </c>
      <c r="K59" s="62" t="str">
        <f>IF(AND(autocompJanta[[#This Row],[EXISTE MOT A ANT]]="NÃO",autocompJanta[[#This Row],[EXISTE MOT B ANT]]="NÃO"),"NÃO","SIM")</f>
        <v>NÃO</v>
      </c>
      <c r="L59" s="73" t="str">
        <f t="shared" si="1"/>
        <v>45896+KAYLSON KLEYTON DA SILVA COSTA - 6224</v>
      </c>
      <c r="M59" s="59" t="str">
        <f>IF(autocompJanta[[#This Row],[COMP ESCALA POSTERIOR]]="NÃO","NÃO",_xlfn.XLOOKUP(autocompJanta[[#This Row],[COMP ESCALA POSTERIOR]],tabE.Flux[COMP.AT. MOT A],tabE.Flux[LINHA],"NÃO",0,1))</f>
        <v>NÃO</v>
      </c>
      <c r="N59" s="59" t="str">
        <f>IF(autocompJanta[[#This Row],[COMP ESCALA POSTERIOR]]="NÃO","NÃO",_xlfn.XLOOKUP(autocompJanta[[#This Row],[COMP ESCALA POSTERIOR]],tabE.Flux[COMP.AT. MOT B],tabE.Flux[LINHA],"NÃO",0,1))</f>
        <v>NÃO</v>
      </c>
      <c r="O59" s="65" t="str">
        <f>IF(AND(autocompJanta[[#This Row],[EXISTE MOT A POS]]="NÃO",autocompJanta[[#This Row],[EXISTE MOT B POS]]="NÃO"),"NÃO","SIM")</f>
        <v>NÃO</v>
      </c>
      <c r="P59" s="66" t="str" cm="1">
        <f t="array" ref="P5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59" s="75" t="str" cm="1">
        <f t="array" ref="Q5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45895+KAYLSON KLEYTON DA SILVA COSTA - 6224+GOIANIA (GO) X SAO LUIS (MA)</v>
      </c>
      <c r="R59" s="67">
        <f>_xlfn.XLOOKUP(autocompJanta[[#This Row],[COMP ESCALA]],tabE.Flux[COMP. ESCALA MOT B],tabE.Flux[CARRO],
(_xlfn.XLOOKUP(autocompJanta[[#This Row],[COMP ESCALA]],tabE.Flux[COMP. ESCALA MOT A],tabE.Flux[CARRO],"N/E",0,1)),0,1)</f>
        <v>24001</v>
      </c>
      <c r="S59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59" s="127">
        <v>45895</v>
      </c>
      <c r="U59" s="4">
        <f>IF(IFERROR(autocompJanta[[#This Row],[CORRESP. CARRO]],"")="NÃO",(IF(tabJanta[[#This Row],[MOTORISTA]]=0,"","PASSE?")),autocompJanta[[#This Row],[CORRESP. CARRO]])</f>
        <v>24001</v>
      </c>
      <c r="V59" s="126">
        <f>IF(OR(ISERR(autocompJanta[[#This Row],[CORRESP HORARIO]]), autocompJanta[[#This Row],[CORRESP HORARIO]]&lt;&gt;"NÃO"),autocompJanta[[#This Row],[CORRESP HORARIO]],"")</f>
        <v>0.29166666666666669</v>
      </c>
      <c r="W59" s="4" t="s">
        <v>299</v>
      </c>
      <c r="X59" s="4" t="s">
        <v>80</v>
      </c>
      <c r="Y59" s="1">
        <f>IF(tabJanta[[#This Row],[MOTORISTA]]="","",COUNTIF(autocompJanta[COMP ESCALA ATUAL],autocompJanta[[#This Row],[COMP ESCALA ATUAL]]))</f>
        <v>1</v>
      </c>
      <c r="Z59" s="45">
        <f>IF(tabJanta[[#This Row],[MOTORISTA]]&lt;&gt;0,15,"")</f>
        <v>15</v>
      </c>
      <c r="AA59" s="4" t="str">
        <f>autocompJanta[[#This Row],[CORRESP LINHA]]</f>
        <v>GOIANIA (GO) X SAO LUIS (MA)</v>
      </c>
    </row>
    <row r="60" spans="3:27" hidden="1" x14ac:dyDescent="0.25">
      <c r="C60" s="129" t="s">
        <v>226</v>
      </c>
      <c r="D60" s="56" t="str">
        <f>IF(tabJanta[[#This Row],[MOTORISTA]]="","",_xlfn.CONCAT(tabJanta[[#This Row],[DATA]],"+",tabJanta[[#This Row],[MOTORISTA]]))</f>
        <v>45895+JOSE POLICARPO DE SOUSA NETO - 1472</v>
      </c>
      <c r="E60" s="56" t="str">
        <f>_xlfn.XLOOKUP(autocompJanta[[#This Row],[COMP ESCALA ATUAL]],tabE.Flux[COMP.AT. MOT A],tabE.Flux[LINHA],"NÃO",0,1)</f>
        <v>NÃO</v>
      </c>
      <c r="F60" s="56" t="str">
        <f>_xlfn.XLOOKUP(autocompJanta[[#This Row],[COMP ESCALA ATUAL]],tabE.Flux[COMP.AT. MOT B],tabE.Flux[LINHA],"NÃO",0,1)</f>
        <v>NÃO</v>
      </c>
      <c r="G60" s="61" t="str">
        <f>IF(AND(autocompJanta[[#This Row],[EXISTE MOT A AT]]="NÃO", autocompJanta[[#This Row],[EXISTE MOT B AT]]="NÃO"),"NÃO","SIM")</f>
        <v>NÃO</v>
      </c>
      <c r="H60" s="71" t="str">
        <f>IF(autocompJanta[[#This Row],[EXISTE ESCALA ATUAL]]="NÃO",_xlfn.CONCAT(tabJanta[[#This Row],[DATA]]-1,"+",tabJanta[[#This Row],[MOTORISTA]]),"NÃO")</f>
        <v>45894+JOSE POLICARPO DE SOUSA NETO - 1472</v>
      </c>
      <c r="I60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60" s="58" t="str">
        <f>IF(autocompJanta[[#This Row],[COMP ESCALA ANTERIOR]]="NÃO","NÃO",_xlfn.XLOOKUP(autocompJanta[[#This Row],[COMP ESCALA ANTERIOR]],tabE.Flux[COMP.AT. MOT B],tabE.Flux[LINHA],"NÃO",0,1))</f>
        <v>NÃO</v>
      </c>
      <c r="K60" s="62" t="str">
        <f>IF(AND(autocompJanta[[#This Row],[EXISTE MOT A ANT]]="NÃO",autocompJanta[[#This Row],[EXISTE MOT B ANT]]="NÃO"),"NÃO","SIM")</f>
        <v>SIM</v>
      </c>
      <c r="L60" s="73" t="str">
        <f t="shared" si="1"/>
        <v>45896+JOSE POLICARPO DE SOUSA NETO - 1472</v>
      </c>
      <c r="M60" s="59" t="str">
        <f>IF(autocompJanta[[#This Row],[COMP ESCALA POSTERIOR]]="NÃO","NÃO",_xlfn.XLOOKUP(autocompJanta[[#This Row],[COMP ESCALA POSTERIOR]],tabE.Flux[COMP.AT. MOT A],tabE.Flux[LINHA],"NÃO",0,1))</f>
        <v>NÃO</v>
      </c>
      <c r="N60" s="59" t="str">
        <f>IF(autocompJanta[[#This Row],[COMP ESCALA POSTERIOR]]="NÃO","NÃO",_xlfn.XLOOKUP(autocompJanta[[#This Row],[COMP ESCALA POSTERIOR]],tabE.Flux[COMP.AT. MOT B],tabE.Flux[LINHA],"NÃO",0,1))</f>
        <v>NÃO</v>
      </c>
      <c r="O60" s="65" t="str">
        <f>IF(AND(autocompJanta[[#This Row],[EXISTE MOT A POS]]="NÃO",autocompJanta[[#This Row],[EXISTE MOT B POS]]="NÃO"),"NÃO","SIM")</f>
        <v>NÃO</v>
      </c>
      <c r="P60" s="66" t="str" cm="1">
        <f t="array" ref="P6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60" s="75" t="str" cm="1">
        <f t="array" ref="Q6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45894+JOSE POLICARPO DE SOUSA NETO - 1472+GOIANIA (GO) X TERESINA (PI) VIA STI</v>
      </c>
      <c r="R60" s="67">
        <f>_xlfn.XLOOKUP(autocompJanta[[#This Row],[COMP ESCALA]],tabE.Flux[COMP. ESCALA MOT B],tabE.Flux[CARRO],
(_xlfn.XLOOKUP(autocompJanta[[#This Row],[COMP ESCALA]],tabE.Flux[COMP. ESCALA MOT A],tabE.Flux[CARRO],"N/E",0,1)),0,1)</f>
        <v>17100</v>
      </c>
      <c r="S60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60" s="127">
        <v>45895</v>
      </c>
      <c r="U60" s="4">
        <f>IF(IFERROR(autocompJanta[[#This Row],[CORRESP. CARRO]],"")="NÃO",(IF(tabJanta[[#This Row],[MOTORISTA]]=0,"","PASSE?")),autocompJanta[[#This Row],[CORRESP. CARRO]])</f>
        <v>17100</v>
      </c>
      <c r="V60" s="126">
        <f>IF(OR(ISERR(autocompJanta[[#This Row],[CORRESP HORARIO]]), autocompJanta[[#This Row],[CORRESP HORARIO]]&lt;&gt;"NÃO"),autocompJanta[[#This Row],[CORRESP HORARIO]],"")</f>
        <v>0.79861111111111116</v>
      </c>
      <c r="W60" s="4" t="s">
        <v>299</v>
      </c>
      <c r="X60" s="4" t="s">
        <v>54</v>
      </c>
      <c r="Y60" s="1">
        <f>IF(tabJanta[[#This Row],[MOTORISTA]]="","",COUNTIF(autocompJanta[COMP ESCALA ATUAL],autocompJanta[[#This Row],[COMP ESCALA ATUAL]]))</f>
        <v>1</v>
      </c>
      <c r="Z60" s="45">
        <f>IF(tabJanta[[#This Row],[MOTORISTA]]&lt;&gt;0,15,"")</f>
        <v>15</v>
      </c>
      <c r="AA60" s="4" t="str">
        <f>autocompJanta[[#This Row],[CORRESP LINHA]]</f>
        <v>GOIANIA (GO) X TERESINA (PI) VIA STI</v>
      </c>
    </row>
    <row r="61" spans="3:27" hidden="1" x14ac:dyDescent="0.25">
      <c r="C61" s="129" t="s">
        <v>226</v>
      </c>
      <c r="D61" s="56" t="str">
        <f>IF(tabJanta[[#This Row],[MOTORISTA]]="","",_xlfn.CONCAT(tabJanta[[#This Row],[DATA]],"+",tabJanta[[#This Row],[MOTORISTA]]))</f>
        <v>45895+MARCIO DE SOUSA BRASILEIRO - 5828</v>
      </c>
      <c r="E61" s="56" t="str">
        <f>_xlfn.XLOOKUP(autocompJanta[[#This Row],[COMP ESCALA ATUAL]],tabE.Flux[COMP.AT. MOT A],tabE.Flux[LINHA],"NÃO",0,1)</f>
        <v>NÃO</v>
      </c>
      <c r="F61" s="56" t="str">
        <f>_xlfn.XLOOKUP(autocompJanta[[#This Row],[COMP ESCALA ATUAL]],tabE.Flux[COMP.AT. MOT B],tabE.Flux[LINHA],"NÃO",0,1)</f>
        <v>NÃO</v>
      </c>
      <c r="G61" s="61" t="str">
        <f>IF(AND(autocompJanta[[#This Row],[EXISTE MOT A AT]]="NÃO", autocompJanta[[#This Row],[EXISTE MOT B AT]]="NÃO"),"NÃO","SIM")</f>
        <v>NÃO</v>
      </c>
      <c r="H61" s="71" t="str">
        <f>IF(autocompJanta[[#This Row],[EXISTE ESCALA ATUAL]]="NÃO",_xlfn.CONCAT(tabJanta[[#This Row],[DATA]]-1,"+",tabJanta[[#This Row],[MOTORISTA]]),"NÃO")</f>
        <v>45894+MARCIO DE SOUSA BRASILEIRO - 5828</v>
      </c>
      <c r="I61" s="57" t="str">
        <f>IF(autocompJanta[[#This Row],[COMP ESCALA ANTERIOR]]="NÃO","NÃO",_xlfn.XLOOKUP(autocompJanta[[#This Row],[COMP ESCALA ANTERIOR]],tabE.Flux[COMP.AT. MOT A],tabE.Flux[LINHA],"NÃO",0,1))</f>
        <v>NÃO</v>
      </c>
      <c r="J61" s="58" t="str">
        <f>IF(autocompJanta[[#This Row],[COMP ESCALA ANTERIOR]]="NÃO","NÃO",_xlfn.XLOOKUP(autocompJanta[[#This Row],[COMP ESCALA ANTERIOR]],tabE.Flux[COMP.AT. MOT B],tabE.Flux[LINHA],"NÃO",0,1))</f>
        <v>NÃO</v>
      </c>
      <c r="K61" s="62" t="str">
        <f>IF(AND(autocompJanta[[#This Row],[EXISTE MOT A ANT]]="NÃO",autocompJanta[[#This Row],[EXISTE MOT B ANT]]="NÃO"),"NÃO","SIM")</f>
        <v>NÃO</v>
      </c>
      <c r="L61" s="73" t="str">
        <f t="shared" si="1"/>
        <v>45896+MARCIO DE SOUSA BRASILEIRO - 5828</v>
      </c>
      <c r="M61" s="59" t="str">
        <f>IF(autocompJanta[[#This Row],[COMP ESCALA POSTERIOR]]="NÃO","NÃO",_xlfn.XLOOKUP(autocompJanta[[#This Row],[COMP ESCALA POSTERIOR]],tabE.Flux[COMP.AT. MOT A],tabE.Flux[LINHA],"NÃO",0,1))</f>
        <v>NÃO</v>
      </c>
      <c r="N61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61" s="65" t="str">
        <f>IF(AND(autocompJanta[[#This Row],[EXISTE MOT A POS]]="NÃO",autocompJanta[[#This Row],[EXISTE MOT B POS]]="NÃO"),"NÃO","SIM")</f>
        <v>SIM</v>
      </c>
      <c r="P61" s="66" t="str" cm="1">
        <f t="array" ref="P6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61" s="75" t="str" cm="1">
        <f t="array" ref="Q6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45896+MARCIO DE SOUSA BRASILEIRO - 5828+GOIANIA (GO) X TERESINA (PI) VIA STI</v>
      </c>
      <c r="R61" s="67">
        <f>_xlfn.XLOOKUP(autocompJanta[[#This Row],[COMP ESCALA]],tabE.Flux[COMP. ESCALA MOT B],tabE.Flux[CARRO],
(_xlfn.XLOOKUP(autocompJanta[[#This Row],[COMP ESCALA]],tabE.Flux[COMP. ESCALA MOT A],tabE.Flux[CARRO],"N/E",0,1)),0,1)</f>
        <v>15800</v>
      </c>
      <c r="S61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61" s="127">
        <v>45895</v>
      </c>
      <c r="U61" s="4">
        <f>IF(IFERROR(autocompJanta[[#This Row],[CORRESP. CARRO]],"")="NÃO",(IF(tabJanta[[#This Row],[MOTORISTA]]=0,"","PASSE?")),autocompJanta[[#This Row],[CORRESP. CARRO]])</f>
        <v>15800</v>
      </c>
      <c r="V61" s="126">
        <f>IF(OR(ISERR(autocompJanta[[#This Row],[CORRESP HORARIO]]), autocompJanta[[#This Row],[CORRESP HORARIO]]&lt;&gt;"NÃO"),autocompJanta[[#This Row],[CORRESP HORARIO]],"")</f>
        <v>0.79861111111111116</v>
      </c>
      <c r="W61" s="4" t="s">
        <v>299</v>
      </c>
      <c r="X61" s="4" t="s">
        <v>129</v>
      </c>
      <c r="Y61" s="1">
        <f>IF(tabJanta[[#This Row],[MOTORISTA]]="","",COUNTIF(autocompJanta[COMP ESCALA ATUAL],autocompJanta[[#This Row],[COMP ESCALA ATUAL]]))</f>
        <v>1</v>
      </c>
      <c r="Z61" s="45">
        <f>IF(tabJanta[[#This Row],[MOTORISTA]]&lt;&gt;0,15,"")</f>
        <v>15</v>
      </c>
      <c r="AA61" s="4" t="str">
        <f>autocompJanta[[#This Row],[CORRESP LINHA]]</f>
        <v>GOIANIA (GO) X TERESINA (PI) VIA STI</v>
      </c>
    </row>
    <row r="62" spans="3:27" hidden="1" x14ac:dyDescent="0.25">
      <c r="C62" s="129" t="s">
        <v>226</v>
      </c>
      <c r="D62" s="56" t="str">
        <f>IF(tabJanta[[#This Row],[MOTORISTA]]="","",_xlfn.CONCAT(tabJanta[[#This Row],[DATA]],"+",tabJanta[[#This Row],[MOTORISTA]]))</f>
        <v>45896+ALTEMAR DO NASCIMENTO LIMA - 6225</v>
      </c>
      <c r="E62" s="56" t="str">
        <f>_xlfn.XLOOKUP(autocompJanta[[#This Row],[COMP ESCALA ATUAL]],tabE.Flux[COMP.AT. MOT A],tabE.Flux[LINHA],"NÃO",0,1)</f>
        <v>NÃO</v>
      </c>
      <c r="F62" s="56" t="str">
        <f>_xlfn.XLOOKUP(autocompJanta[[#This Row],[COMP ESCALA ATUAL]],tabE.Flux[COMP.AT. MOT B],tabE.Flux[LINHA],"NÃO",0,1)</f>
        <v>GOIANIA (GO) X SAO LUIS (MA)</v>
      </c>
      <c r="G62" s="61" t="str">
        <f>IF(AND(autocompJanta[[#This Row],[EXISTE MOT A AT]]="NÃO", autocompJanta[[#This Row],[EXISTE MOT B AT]]="NÃO"),"NÃO","SIM")</f>
        <v>SIM</v>
      </c>
      <c r="H62" s="71" t="str">
        <f>IF(autocompJanta[[#This Row],[EXISTE ESCALA ATUAL]]="NÃO",_xlfn.CONCAT(tabJanta[[#This Row],[DATA]]-1,"+",tabJanta[[#This Row],[MOTORISTA]]),"NÃO")</f>
        <v>NÃO</v>
      </c>
      <c r="I62" s="57" t="str">
        <f>IF(autocompJanta[[#This Row],[COMP ESCALA ANTERIOR]]="NÃO","NÃO",_xlfn.XLOOKUP(autocompJanta[[#This Row],[COMP ESCALA ANTERIOR]],tabE.Flux[COMP.AT. MOT A],tabE.Flux[LINHA],"NÃO",0,1))</f>
        <v>NÃO</v>
      </c>
      <c r="J62" s="58" t="str">
        <f>IF(autocompJanta[[#This Row],[COMP ESCALA ANTERIOR]]="NÃO","NÃO",_xlfn.XLOOKUP(autocompJanta[[#This Row],[COMP ESCALA ANTERIOR]],tabE.Flux[COMP.AT. MOT B],tabE.Flux[LINHA],"NÃO",0,1))</f>
        <v>NÃO</v>
      </c>
      <c r="K62" s="62" t="str">
        <f>IF(AND(autocompJanta[[#This Row],[EXISTE MOT A ANT]]="NÃO",autocompJanta[[#This Row],[EXISTE MOT B ANT]]="NÃO"),"NÃO","SIM")</f>
        <v>NÃO</v>
      </c>
      <c r="L62" s="73" t="str">
        <f t="shared" si="1"/>
        <v>45897+ALTEMAR DO NASCIMENTO LIMA - 6225</v>
      </c>
      <c r="M62" s="59" t="str">
        <f>IF(autocompJanta[[#This Row],[COMP ESCALA POSTERIOR]]="NÃO","NÃO",_xlfn.XLOOKUP(autocompJanta[[#This Row],[COMP ESCALA POSTERIOR]],tabE.Flux[COMP.AT. MOT A],tabE.Flux[LINHA],"NÃO",0,1))</f>
        <v>NÃO</v>
      </c>
      <c r="N62" s="59" t="str">
        <f>IF(autocompJanta[[#This Row],[COMP ESCALA POSTERIOR]]="NÃO","NÃO",_xlfn.XLOOKUP(autocompJanta[[#This Row],[COMP ESCALA POSTERIOR]],tabE.Flux[COMP.AT. MOT B],tabE.Flux[LINHA],"NÃO",0,1))</f>
        <v>NÃO</v>
      </c>
      <c r="O62" s="65" t="str">
        <f>IF(AND(autocompJanta[[#This Row],[EXISTE MOT A POS]]="NÃO",autocompJanta[[#This Row],[EXISTE MOT B POS]]="NÃO"),"NÃO","SIM")</f>
        <v>NÃO</v>
      </c>
      <c r="P62" s="66" t="str" cm="1">
        <f t="array" ref="P6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62" s="75" t="str" cm="1">
        <f t="array" ref="Q6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45896+ALTEMAR DO NASCIMENTO LIMA - 6225+GOIANIA (GO) X SAO LUIS (MA)</v>
      </c>
      <c r="R62" s="67">
        <f>_xlfn.XLOOKUP(autocompJanta[[#This Row],[COMP ESCALA]],tabE.Flux[COMP. ESCALA MOT B],tabE.Flux[CARRO],
(_xlfn.XLOOKUP(autocompJanta[[#This Row],[COMP ESCALA]],tabE.Flux[COMP. ESCALA MOT A],tabE.Flux[CARRO],"N/E",0,1)),0,1)</f>
        <v>19024</v>
      </c>
      <c r="S62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62" s="127">
        <v>45896</v>
      </c>
      <c r="U62" s="4">
        <f>IF(IFERROR(autocompJanta[[#This Row],[CORRESP. CARRO]],"")="NÃO",(IF(tabJanta[[#This Row],[MOTORISTA]]=0,"","PASSE?")),autocompJanta[[#This Row],[CORRESP. CARRO]])</f>
        <v>19024</v>
      </c>
      <c r="V62" s="128">
        <f>IF(OR(ISERR(autocompJanta[[#This Row],[CORRESP HORARIO]]), autocompJanta[[#This Row],[CORRESP HORARIO]]&lt;&gt;"NÃO"),autocompJanta[[#This Row],[CORRESP HORARIO]],"")</f>
        <v>0.47013888888888888</v>
      </c>
      <c r="W62" s="4" t="s">
        <v>299</v>
      </c>
      <c r="X62" s="4" t="s">
        <v>57</v>
      </c>
      <c r="Y62" s="4">
        <f>IF(tabJanta[[#This Row],[MOTORISTA]]="","",COUNTIF(autocompJanta[COMP ESCALA ATUAL],autocompJanta[[#This Row],[COMP ESCALA ATUAL]]))</f>
        <v>1</v>
      </c>
      <c r="Z62" s="45">
        <f>IF(tabJanta[[#This Row],[MOTORISTA]]&lt;&gt;0,15,"")</f>
        <v>15</v>
      </c>
      <c r="AA62" s="4" t="str">
        <f>autocompJanta[[#This Row],[CORRESP LINHA]]</f>
        <v>GOIANIA (GO) X SAO LUIS (MA)</v>
      </c>
    </row>
    <row r="63" spans="3:27" hidden="1" x14ac:dyDescent="0.25">
      <c r="C63" s="129" t="s">
        <v>226</v>
      </c>
      <c r="D63" s="56" t="str">
        <f>IF(tabJanta[[#This Row],[MOTORISTA]]="","",_xlfn.CONCAT(tabJanta[[#This Row],[DATA]],"+",tabJanta[[#This Row],[MOTORISTA]]))</f>
        <v>45896+KEITH NOLAN CARNEIRO BARBOSA - 5653</v>
      </c>
      <c r="E63" s="56" t="str">
        <f>_xlfn.XLOOKUP(autocompJanta[[#This Row],[COMP ESCALA ATUAL]],tabE.Flux[COMP.AT. MOT A],tabE.Flux[LINHA],"NÃO",0,1)</f>
        <v>NÃO</v>
      </c>
      <c r="F63" s="56" t="str">
        <f>_xlfn.XLOOKUP(autocompJanta[[#This Row],[COMP ESCALA ATUAL]],tabE.Flux[COMP.AT. MOT B],tabE.Flux[LINHA],"NÃO",0,1)</f>
        <v>NÃO</v>
      </c>
      <c r="G63" s="61" t="str">
        <f>IF(AND(autocompJanta[[#This Row],[EXISTE MOT A AT]]="NÃO", autocompJanta[[#This Row],[EXISTE MOT B AT]]="NÃO"),"NÃO","SIM")</f>
        <v>NÃO</v>
      </c>
      <c r="H63" s="71" t="str">
        <f>IF(autocompJanta[[#This Row],[EXISTE ESCALA ATUAL]]="NÃO",_xlfn.CONCAT(tabJanta[[#This Row],[DATA]]-1,"+",tabJanta[[#This Row],[MOTORISTA]]),"NÃO")</f>
        <v>45895+KEITH NOLAN CARNEIRO BARBOSA - 5653</v>
      </c>
      <c r="I63" s="57" t="str">
        <f>IF(autocompJanta[[#This Row],[COMP ESCALA ANTERIOR]]="NÃO","NÃO",_xlfn.XLOOKUP(autocompJanta[[#This Row],[COMP ESCALA ANTERIOR]],tabE.Flux[COMP.AT. MOT A],tabE.Flux[LINHA],"NÃO",0,1))</f>
        <v>NÃO</v>
      </c>
      <c r="J63" s="58" t="str">
        <f>IF(autocompJanta[[#This Row],[COMP ESCALA ANTERIOR]]="NÃO","NÃO",_xlfn.XLOOKUP(autocompJanta[[#This Row],[COMP ESCALA ANTERIOR]],tabE.Flux[COMP.AT. MOT B],tabE.Flux[LINHA],"NÃO",0,1))</f>
        <v>NÃO</v>
      </c>
      <c r="K63" s="62" t="str">
        <f>IF(AND(autocompJanta[[#This Row],[EXISTE MOT A ANT]]="NÃO",autocompJanta[[#This Row],[EXISTE MOT B ANT]]="NÃO"),"NÃO","SIM")</f>
        <v>NÃO</v>
      </c>
      <c r="L63" s="73" t="str">
        <f t="shared" si="1"/>
        <v>45897+KEITH NOLAN CARNEIRO BARBOSA - 5653</v>
      </c>
      <c r="M63" s="59" t="str">
        <f>IF(autocompJanta[[#This Row],[COMP ESCALA POSTERIOR]]="NÃO","NÃO",_xlfn.XLOOKUP(autocompJanta[[#This Row],[COMP ESCALA POSTERIOR]],tabE.Flux[COMP.AT. MOT A],tabE.Flux[LINHA],"NÃO",0,1))</f>
        <v>NÃO</v>
      </c>
      <c r="N63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63" s="65" t="str">
        <f>IF(AND(autocompJanta[[#This Row],[EXISTE MOT A POS]]="NÃO",autocompJanta[[#This Row],[EXISTE MOT B POS]]="NÃO"),"NÃO","SIM")</f>
        <v>SIM</v>
      </c>
      <c r="P63" s="66" t="str" cm="1">
        <f t="array" ref="P6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63" s="75" t="str" cm="1">
        <f t="array" ref="Q6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45897+KEITH NOLAN CARNEIRO BARBOSA - 5653+GOIANIA (GO) X TERESINA (PI) VIA STI</v>
      </c>
      <c r="R63" s="67">
        <f>_xlfn.XLOOKUP(autocompJanta[[#This Row],[COMP ESCALA]],tabE.Flux[COMP. ESCALA MOT B],tabE.Flux[CARRO],
(_xlfn.XLOOKUP(autocompJanta[[#This Row],[COMP ESCALA]],tabE.Flux[COMP. ESCALA MOT A],tabE.Flux[CARRO],"N/E",0,1)),0,1)</f>
        <v>15600</v>
      </c>
      <c r="S63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63" s="125">
        <v>45896</v>
      </c>
      <c r="U63" s="1">
        <f>IF(IFERROR(autocompJanta[[#This Row],[CORRESP. CARRO]],"")="NÃO",(IF(tabJanta[[#This Row],[MOTORISTA]]=0,"","PASSE?")),autocompJanta[[#This Row],[CORRESP. CARRO]])</f>
        <v>15600</v>
      </c>
      <c r="V63" s="126">
        <f>IF(OR(ISERR(autocompJanta[[#This Row],[CORRESP HORARIO]]), autocompJanta[[#This Row],[CORRESP HORARIO]]&lt;&gt;"NÃO"),autocompJanta[[#This Row],[CORRESP HORARIO]],"")</f>
        <v>0.79861111111111116</v>
      </c>
      <c r="W63" s="1" t="s">
        <v>299</v>
      </c>
      <c r="X63" s="1" t="s">
        <v>122</v>
      </c>
      <c r="Y63" s="1">
        <f>IF(tabJanta[[#This Row],[MOTORISTA]]="","",COUNTIF(autocompJanta[COMP ESCALA ATUAL],autocompJanta[[#This Row],[COMP ESCALA ATUAL]]))</f>
        <v>1</v>
      </c>
      <c r="Z63" s="105">
        <f>IF(tabJanta[[#This Row],[MOTORISTA]]&lt;&gt;0,15,"")</f>
        <v>15</v>
      </c>
      <c r="AA63" s="1" t="str">
        <f>autocompJanta[[#This Row],[CORRESP LINHA]]</f>
        <v>GOIANIA (GO) X TERESINA (PI) VIA STI</v>
      </c>
    </row>
    <row r="64" spans="3:27" hidden="1" x14ac:dyDescent="0.25">
      <c r="C64" s="129" t="s">
        <v>226</v>
      </c>
      <c r="D64" s="56" t="str">
        <f>IF(tabJanta[[#This Row],[MOTORISTA]]="","",_xlfn.CONCAT(tabJanta[[#This Row],[DATA]],"+",tabJanta[[#This Row],[MOTORISTA]]))</f>
        <v>45896+PAULO ENEAS FARIAS ARAUJO - 6218</v>
      </c>
      <c r="E64" s="56" t="str">
        <f>_xlfn.XLOOKUP(autocompJanta[[#This Row],[COMP ESCALA ATUAL]],tabE.Flux[COMP.AT. MOT A],tabE.Flux[LINHA],"NÃO",0,1)</f>
        <v>GOIANIA (GO) X SAO LUIS (MA)</v>
      </c>
      <c r="F64" s="56" t="str">
        <f>_xlfn.XLOOKUP(autocompJanta[[#This Row],[COMP ESCALA ATUAL]],tabE.Flux[COMP.AT. MOT B],tabE.Flux[LINHA],"NÃO",0,1)</f>
        <v>GOIANIA (GO) X SAO LUIS (MA)</v>
      </c>
      <c r="G64" s="61" t="str">
        <f>IF(AND(autocompJanta[[#This Row],[EXISTE MOT A AT]]="NÃO", autocompJanta[[#This Row],[EXISTE MOT B AT]]="NÃO"),"NÃO","SIM")</f>
        <v>SIM</v>
      </c>
      <c r="H64" s="71" t="str">
        <f>IF(autocompJanta[[#This Row],[EXISTE ESCALA ATUAL]]="NÃO",_xlfn.CONCAT(tabJanta[[#This Row],[DATA]]-1,"+",tabJanta[[#This Row],[MOTORISTA]]),"NÃO")</f>
        <v>NÃO</v>
      </c>
      <c r="I64" s="57" t="str">
        <f>IF(autocompJanta[[#This Row],[COMP ESCALA ANTERIOR]]="NÃO","NÃO",_xlfn.XLOOKUP(autocompJanta[[#This Row],[COMP ESCALA ANTERIOR]],tabE.Flux[COMP.AT. MOT A],tabE.Flux[LINHA],"NÃO",0,1))</f>
        <v>NÃO</v>
      </c>
      <c r="J64" s="58" t="str">
        <f>IF(autocompJanta[[#This Row],[COMP ESCALA ANTERIOR]]="NÃO","NÃO",_xlfn.XLOOKUP(autocompJanta[[#This Row],[COMP ESCALA ANTERIOR]],tabE.Flux[COMP.AT. MOT B],tabE.Flux[LINHA],"NÃO",0,1))</f>
        <v>NÃO</v>
      </c>
      <c r="K64" s="62" t="str">
        <f>IF(AND(autocompJanta[[#This Row],[EXISTE MOT A ANT]]="NÃO",autocompJanta[[#This Row],[EXISTE MOT B ANT]]="NÃO"),"NÃO","SIM")</f>
        <v>NÃO</v>
      </c>
      <c r="L64" s="73" t="str">
        <f t="shared" si="1"/>
        <v>45897+PAULO ENEAS FARIAS ARAUJO - 6218</v>
      </c>
      <c r="M64" s="59" t="str">
        <f>IF(autocompJanta[[#This Row],[COMP ESCALA POSTERIOR]]="NÃO","NÃO",_xlfn.XLOOKUP(autocompJanta[[#This Row],[COMP ESCALA POSTERIOR]],tabE.Flux[COMP.AT. MOT A],tabE.Flux[LINHA],"NÃO",0,1))</f>
        <v>NÃO</v>
      </c>
      <c r="N64" s="59" t="str">
        <f>IF(autocompJanta[[#This Row],[COMP ESCALA POSTERIOR]]="NÃO","NÃO",_xlfn.XLOOKUP(autocompJanta[[#This Row],[COMP ESCALA POSTERIOR]],tabE.Flux[COMP.AT. MOT B],tabE.Flux[LINHA],"NÃO",0,1))</f>
        <v>NÃO</v>
      </c>
      <c r="O64" s="65" t="str">
        <f>IF(AND(autocompJanta[[#This Row],[EXISTE MOT A POS]]="NÃO",autocompJanta[[#This Row],[EXISTE MOT B POS]]="NÃO"),"NÃO","SIM")</f>
        <v>NÃO</v>
      </c>
      <c r="P64" s="66" t="str" cm="1">
        <f t="array" ref="P6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64" s="75" t="str" cm="1">
        <f t="array" ref="Q6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45896+PAULO ENEAS FARIAS ARAUJO - 6218+GOIANIA (GO) X SAO LUIS (MA)</v>
      </c>
      <c r="R64" s="67">
        <f>_xlfn.XLOOKUP(autocompJanta[[#This Row],[COMP ESCALA]],tabE.Flux[COMP. ESCALA MOT B],tabE.Flux[CARRO],
(_xlfn.XLOOKUP(autocompJanta[[#This Row],[COMP ESCALA]],tabE.Flux[COMP. ESCALA MOT A],tabE.Flux[CARRO],"N/E",0,1)),0,1)</f>
        <v>25006</v>
      </c>
      <c r="S64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64" s="127">
        <v>45896</v>
      </c>
      <c r="U64" s="4">
        <f>IF(IFERROR(autocompJanta[[#This Row],[CORRESP. CARRO]],"")="NÃO",(IF(tabJanta[[#This Row],[MOTORISTA]]=0,"","PASSE?")),autocompJanta[[#This Row],[CORRESP. CARRO]])</f>
        <v>25006</v>
      </c>
      <c r="V64" s="126">
        <f>IF(OR(ISERR(autocompJanta[[#This Row],[CORRESP HORARIO]]), autocompJanta[[#This Row],[CORRESP HORARIO]]&lt;&gt;"NÃO"),autocompJanta[[#This Row],[CORRESP HORARIO]],"")</f>
        <v>0.29166666666666669</v>
      </c>
      <c r="W64" s="4" t="s">
        <v>299</v>
      </c>
      <c r="X64" s="4" t="s">
        <v>43</v>
      </c>
      <c r="Y64" s="1">
        <f>IF(tabJanta[[#This Row],[MOTORISTA]]="","",COUNTIF(autocompJanta[COMP ESCALA ATUAL],autocompJanta[[#This Row],[COMP ESCALA ATUAL]]))</f>
        <v>1</v>
      </c>
      <c r="Z64" s="45">
        <f>IF(tabJanta[[#This Row],[MOTORISTA]]&lt;&gt;0,15,"")</f>
        <v>15</v>
      </c>
      <c r="AA64" s="4" t="str">
        <f>autocompJanta[[#This Row],[CORRESP LINHA]]</f>
        <v>GOIANIA (GO) X SAO LUIS (MA)</v>
      </c>
    </row>
    <row r="65" spans="3:27" hidden="1" x14ac:dyDescent="0.25">
      <c r="C65" s="129" t="s">
        <v>226</v>
      </c>
      <c r="D65" s="56" t="str">
        <f>IF(tabJanta[[#This Row],[MOTORISTA]]="","",_xlfn.CONCAT(tabJanta[[#This Row],[DATA]],"+",tabJanta[[#This Row],[MOTORISTA]]))</f>
        <v>45896+JOAO FERREIRA COSTA - 5545</v>
      </c>
      <c r="E65" s="56" t="str">
        <f>_xlfn.XLOOKUP(autocompJanta[[#This Row],[COMP ESCALA ATUAL]],tabE.Flux[COMP.AT. MOT A],tabE.Flux[LINHA],"NÃO",0,1)</f>
        <v>NÃO</v>
      </c>
      <c r="F65" s="56" t="str">
        <f>_xlfn.XLOOKUP(autocompJanta[[#This Row],[COMP ESCALA ATUAL]],tabE.Flux[COMP.AT. MOT B],tabE.Flux[LINHA],"NÃO",0,1)</f>
        <v>GOIANIA (GO) X SAO LUIS (MA)</v>
      </c>
      <c r="G65" s="61" t="str">
        <f>IF(AND(autocompJanta[[#This Row],[EXISTE MOT A AT]]="NÃO", autocompJanta[[#This Row],[EXISTE MOT B AT]]="NÃO"),"NÃO","SIM")</f>
        <v>SIM</v>
      </c>
      <c r="H65" s="71" t="str">
        <f>IF(autocompJanta[[#This Row],[EXISTE ESCALA ATUAL]]="NÃO",_xlfn.CONCAT(tabJanta[[#This Row],[DATA]]-1,"+",tabJanta[[#This Row],[MOTORISTA]]),"NÃO")</f>
        <v>NÃO</v>
      </c>
      <c r="I65" s="57" t="str">
        <f>IF(autocompJanta[[#This Row],[COMP ESCALA ANTERIOR]]="NÃO","NÃO",_xlfn.XLOOKUP(autocompJanta[[#This Row],[COMP ESCALA ANTERIOR]],tabE.Flux[COMP.AT. MOT A],tabE.Flux[LINHA],"NÃO",0,1))</f>
        <v>NÃO</v>
      </c>
      <c r="J65" s="58" t="str">
        <f>IF(autocompJanta[[#This Row],[COMP ESCALA ANTERIOR]]="NÃO","NÃO",_xlfn.XLOOKUP(autocompJanta[[#This Row],[COMP ESCALA ANTERIOR]],tabE.Flux[COMP.AT. MOT B],tabE.Flux[LINHA],"NÃO",0,1))</f>
        <v>NÃO</v>
      </c>
      <c r="K65" s="62" t="str">
        <f>IF(AND(autocompJanta[[#This Row],[EXISTE MOT A ANT]]="NÃO",autocompJanta[[#This Row],[EXISTE MOT B ANT]]="NÃO"),"NÃO","SIM")</f>
        <v>NÃO</v>
      </c>
      <c r="L65" s="73" t="str">
        <f t="shared" si="1"/>
        <v>45897+JOAO FERREIRA COSTA - 5545</v>
      </c>
      <c r="M65" s="59" t="str">
        <f>IF(autocompJanta[[#This Row],[COMP ESCALA POSTERIOR]]="NÃO","NÃO",_xlfn.XLOOKUP(autocompJanta[[#This Row],[COMP ESCALA POSTERIOR]],tabE.Flux[COMP.AT. MOT A],tabE.Flux[LINHA],"NÃO",0,1))</f>
        <v>NÃO</v>
      </c>
      <c r="N65" s="59" t="str">
        <f>IF(autocompJanta[[#This Row],[COMP ESCALA POSTERIOR]]="NÃO","NÃO",_xlfn.XLOOKUP(autocompJanta[[#This Row],[COMP ESCALA POSTERIOR]],tabE.Flux[COMP.AT. MOT B],tabE.Flux[LINHA],"NÃO",0,1))</f>
        <v>NÃO</v>
      </c>
      <c r="O65" s="65" t="str">
        <f>IF(AND(autocompJanta[[#This Row],[EXISTE MOT A POS]]="NÃO",autocompJanta[[#This Row],[EXISTE MOT B POS]]="NÃO"),"NÃO","SIM")</f>
        <v>NÃO</v>
      </c>
      <c r="P65" s="66" t="str" cm="1">
        <f t="array" ref="P6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65" s="75" t="str" cm="1">
        <f t="array" ref="Q6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45896+JOAO FERREIRA COSTA - 5545+GOIANIA (GO) X SAO LUIS (MA)</v>
      </c>
      <c r="R65" s="67">
        <f>_xlfn.XLOOKUP(autocompJanta[[#This Row],[COMP ESCALA]],tabE.Flux[COMP. ESCALA MOT B],tabE.Flux[CARRO],
(_xlfn.XLOOKUP(autocompJanta[[#This Row],[COMP ESCALA]],tabE.Flux[COMP. ESCALA MOT A],tabE.Flux[CARRO],"N/E",0,1)),0,1)</f>
        <v>24001</v>
      </c>
      <c r="S65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65" s="127">
        <v>45896</v>
      </c>
      <c r="U65" s="4">
        <f>IF(IFERROR(autocompJanta[[#This Row],[CORRESP. CARRO]],"")="NÃO",(IF(tabJanta[[#This Row],[MOTORISTA]]=0,"","PASSE?")),autocompJanta[[#This Row],[CORRESP. CARRO]])</f>
        <v>24001</v>
      </c>
      <c r="V65" s="126">
        <f>IF(OR(ISERR(autocompJanta[[#This Row],[CORRESP HORARIO]]), autocompJanta[[#This Row],[CORRESP HORARIO]]&lt;&gt;"NÃO"),autocompJanta[[#This Row],[CORRESP HORARIO]],"")</f>
        <v>0.79166666666666663</v>
      </c>
      <c r="W65" s="4" t="s">
        <v>299</v>
      </c>
      <c r="X65" s="4" t="s">
        <v>61</v>
      </c>
      <c r="Y65" s="1">
        <f>IF(tabJanta[[#This Row],[MOTORISTA]]="","",COUNTIF(autocompJanta[COMP ESCALA ATUAL],autocompJanta[[#This Row],[COMP ESCALA ATUAL]]))</f>
        <v>1</v>
      </c>
      <c r="Z65" s="45">
        <f>IF(tabJanta[[#This Row],[MOTORISTA]]&lt;&gt;0,15,"")</f>
        <v>15</v>
      </c>
      <c r="AA65" s="4" t="str">
        <f>autocompJanta[[#This Row],[CORRESP LINHA]]</f>
        <v>GOIANIA (GO) X SAO LUIS (MA)</v>
      </c>
    </row>
    <row r="66" spans="3:27" hidden="1" x14ac:dyDescent="0.25">
      <c r="C66" s="129" t="s">
        <v>226</v>
      </c>
      <c r="D66" s="56" t="str">
        <f>IF(tabJanta[[#This Row],[MOTORISTA]]="","",_xlfn.CONCAT(tabJanta[[#This Row],[DATA]],"+",tabJanta[[#This Row],[MOTORISTA]]))</f>
        <v>45896+WESLEY SILVA PAIVA - 5638</v>
      </c>
      <c r="E66" s="56" t="str">
        <f>_xlfn.XLOOKUP(autocompJanta[[#This Row],[COMP ESCALA ATUAL]],tabE.Flux[COMP.AT. MOT A],tabE.Flux[LINHA],"NÃO",0,1)</f>
        <v>NÃO</v>
      </c>
      <c r="F66" s="56" t="str">
        <f>_xlfn.XLOOKUP(autocompJanta[[#This Row],[COMP ESCALA ATUAL]],tabE.Flux[COMP.AT. MOT B],tabE.Flux[LINHA],"NÃO",0,1)</f>
        <v>NÃO</v>
      </c>
      <c r="G66" s="61" t="str">
        <f>IF(AND(autocompJanta[[#This Row],[EXISTE MOT A AT]]="NÃO", autocompJanta[[#This Row],[EXISTE MOT B AT]]="NÃO"),"NÃO","SIM")</f>
        <v>NÃO</v>
      </c>
      <c r="H66" s="71" t="str">
        <f>IF(autocompJanta[[#This Row],[EXISTE ESCALA ATUAL]]="NÃO",_xlfn.CONCAT(tabJanta[[#This Row],[DATA]]-1,"+",tabJanta[[#This Row],[MOTORISTA]]),"NÃO")</f>
        <v>45895+WESLEY SILVA PAIVA - 5638</v>
      </c>
      <c r="I66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66" s="58" t="str">
        <f>IF(autocompJanta[[#This Row],[COMP ESCALA ANTERIOR]]="NÃO","NÃO",_xlfn.XLOOKUP(autocompJanta[[#This Row],[COMP ESCALA ANTERIOR]],tabE.Flux[COMP.AT. MOT B],tabE.Flux[LINHA],"NÃO",0,1))</f>
        <v>NÃO</v>
      </c>
      <c r="K66" s="62" t="str">
        <f>IF(AND(autocompJanta[[#This Row],[EXISTE MOT A ANT]]="NÃO",autocompJanta[[#This Row],[EXISTE MOT B ANT]]="NÃO"),"NÃO","SIM")</f>
        <v>SIM</v>
      </c>
      <c r="L66" s="73" t="str">
        <f t="shared" si="1"/>
        <v>45897+WESLEY SILVA PAIVA - 5638</v>
      </c>
      <c r="M66" s="59" t="str">
        <f>IF(autocompJanta[[#This Row],[COMP ESCALA POSTERIOR]]="NÃO","NÃO",_xlfn.XLOOKUP(autocompJanta[[#This Row],[COMP ESCALA POSTERIOR]],tabE.Flux[COMP.AT. MOT A],tabE.Flux[LINHA],"NÃO",0,1))</f>
        <v>NÃO</v>
      </c>
      <c r="N66" s="59" t="str">
        <f>IF(autocompJanta[[#This Row],[COMP ESCALA POSTERIOR]]="NÃO","NÃO",_xlfn.XLOOKUP(autocompJanta[[#This Row],[COMP ESCALA POSTERIOR]],tabE.Flux[COMP.AT. MOT B],tabE.Flux[LINHA],"NÃO",0,1))</f>
        <v>NÃO</v>
      </c>
      <c r="O66" s="65" t="str">
        <f>IF(AND(autocompJanta[[#This Row],[EXISTE MOT A POS]]="NÃO",autocompJanta[[#This Row],[EXISTE MOT B POS]]="NÃO"),"NÃO","SIM")</f>
        <v>NÃO</v>
      </c>
      <c r="P66" s="66" t="str" cm="1">
        <f t="array" ref="P6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66" s="75" t="str" cm="1">
        <f t="array" ref="Q6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45895+WESLEY SILVA PAIVA - 5638+GOIANIA (GO) X TERESINA (PI) VIA STI</v>
      </c>
      <c r="R66" s="67">
        <f>_xlfn.XLOOKUP(autocompJanta[[#This Row],[COMP ESCALA]],tabE.Flux[COMP. ESCALA MOT B],tabE.Flux[CARRO],
(_xlfn.XLOOKUP(autocompJanta[[#This Row],[COMP ESCALA]],tabE.Flux[COMP. ESCALA MOT A],tabE.Flux[CARRO],"N/E",0,1)),0,1)</f>
        <v>19018</v>
      </c>
      <c r="S66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66" s="127">
        <v>45896</v>
      </c>
      <c r="U66" s="4">
        <f>IF(IFERROR(autocompJanta[[#This Row],[CORRESP. CARRO]],"")="NÃO",(IF(tabJanta[[#This Row],[MOTORISTA]]=0,"","PASSE?")),autocompJanta[[#This Row],[CORRESP. CARRO]])</f>
        <v>19018</v>
      </c>
      <c r="V66" s="126">
        <f>IF(OR(ISERR(autocompJanta[[#This Row],[CORRESP HORARIO]]), autocompJanta[[#This Row],[CORRESP HORARIO]]&lt;&gt;"NÃO"),autocompJanta[[#This Row],[CORRESP HORARIO]],"")</f>
        <v>0.79861111111111116</v>
      </c>
      <c r="W66" s="4" t="s">
        <v>299</v>
      </c>
      <c r="X66" s="4" t="s">
        <v>112</v>
      </c>
      <c r="Y66" s="1">
        <f>IF(tabJanta[[#This Row],[MOTORISTA]]="","",COUNTIF(autocompJanta[COMP ESCALA ATUAL],autocompJanta[[#This Row],[COMP ESCALA ATUAL]]))</f>
        <v>1</v>
      </c>
      <c r="Z66" s="45">
        <f>IF(tabJanta[[#This Row],[MOTORISTA]]&lt;&gt;0,15,"")</f>
        <v>15</v>
      </c>
      <c r="AA66" s="4" t="str">
        <f>autocompJanta[[#This Row],[CORRESP LINHA]]</f>
        <v>GOIANIA (GO) X TERESINA (PI) VIA STI</v>
      </c>
    </row>
    <row r="67" spans="3:27" hidden="1" x14ac:dyDescent="0.25">
      <c r="C67" s="129" t="s">
        <v>226</v>
      </c>
      <c r="D67" s="56" t="str">
        <f>IF(tabJanta[[#This Row],[MOTORISTA]]="","",_xlfn.CONCAT(tabJanta[[#This Row],[DATA]],"+",tabJanta[[#This Row],[MOTORISTA]]))</f>
        <v>45896+ANTONIO RAMIRO WEBER - 5452</v>
      </c>
      <c r="E67" s="56" t="str">
        <f>_xlfn.XLOOKUP(autocompJanta[[#This Row],[COMP ESCALA ATUAL]],tabE.Flux[COMP.AT. MOT A],tabE.Flux[LINHA],"NÃO",0,1)</f>
        <v>GOIANIA (GO) X SAO LUIS (MA)</v>
      </c>
      <c r="F67" s="56" t="str">
        <f>_xlfn.XLOOKUP(autocompJanta[[#This Row],[COMP ESCALA ATUAL]],tabE.Flux[COMP.AT. MOT B],tabE.Flux[LINHA],"NÃO",0,1)</f>
        <v>NÃO</v>
      </c>
      <c r="G67" s="61" t="str">
        <f>IF(AND(autocompJanta[[#This Row],[EXISTE MOT A AT]]="NÃO", autocompJanta[[#This Row],[EXISTE MOT B AT]]="NÃO"),"NÃO","SIM")</f>
        <v>SIM</v>
      </c>
      <c r="H67" s="71" t="str">
        <f>IF(autocompJanta[[#This Row],[EXISTE ESCALA ATUAL]]="NÃO",_xlfn.CONCAT(tabJanta[[#This Row],[DATA]]-1,"+",tabJanta[[#This Row],[MOTORISTA]]),"NÃO")</f>
        <v>NÃO</v>
      </c>
      <c r="I67" s="57" t="str">
        <f>IF(autocompJanta[[#This Row],[COMP ESCALA ANTERIOR]]="NÃO","NÃO",_xlfn.XLOOKUP(autocompJanta[[#This Row],[COMP ESCALA ANTERIOR]],tabE.Flux[COMP.AT. MOT A],tabE.Flux[LINHA],"NÃO",0,1))</f>
        <v>NÃO</v>
      </c>
      <c r="J67" s="58" t="str">
        <f>IF(autocompJanta[[#This Row],[COMP ESCALA ANTERIOR]]="NÃO","NÃO",_xlfn.XLOOKUP(autocompJanta[[#This Row],[COMP ESCALA ANTERIOR]],tabE.Flux[COMP.AT. MOT B],tabE.Flux[LINHA],"NÃO",0,1))</f>
        <v>NÃO</v>
      </c>
      <c r="K67" s="62" t="str">
        <f>IF(AND(autocompJanta[[#This Row],[EXISTE MOT A ANT]]="NÃO",autocompJanta[[#This Row],[EXISTE MOT B ANT]]="NÃO"),"NÃO","SIM")</f>
        <v>NÃO</v>
      </c>
      <c r="L67" s="73" t="str">
        <f t="shared" si="1"/>
        <v>45897+ANTONIO RAMIRO WEBER - 5452</v>
      </c>
      <c r="M67" s="59" t="str">
        <f>IF(autocompJanta[[#This Row],[COMP ESCALA POSTERIOR]]="NÃO","NÃO",_xlfn.XLOOKUP(autocompJanta[[#This Row],[COMP ESCALA POSTERIOR]],tabE.Flux[COMP.AT. MOT A],tabE.Flux[LINHA],"NÃO",0,1))</f>
        <v>NÃO</v>
      </c>
      <c r="N67" s="59" t="str">
        <f>IF(autocompJanta[[#This Row],[COMP ESCALA POSTERIOR]]="NÃO","NÃO",_xlfn.XLOOKUP(autocompJanta[[#This Row],[COMP ESCALA POSTERIOR]],tabE.Flux[COMP.AT. MOT B],tabE.Flux[LINHA],"NÃO",0,1))</f>
        <v>GOIANIA (GO) X SAO LUIS (MA)</v>
      </c>
      <c r="O67" s="65" t="str">
        <f>IF(AND(autocompJanta[[#This Row],[EXISTE MOT A POS]]="NÃO",autocompJanta[[#This Row],[EXISTE MOT B POS]]="NÃO"),"NÃO","SIM")</f>
        <v>SIM</v>
      </c>
      <c r="P67" s="66" t="str" cm="1">
        <f t="array" ref="P6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67" s="75" t="str" cm="1">
        <f t="array" ref="Q6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45896+ANTONIO RAMIRO WEBER - 5452+GOIANIA (GO) X SAO LUIS (MA)</v>
      </c>
      <c r="R67" s="67">
        <f>_xlfn.XLOOKUP(autocompJanta[[#This Row],[COMP ESCALA]],tabE.Flux[COMP. ESCALA MOT B],tabE.Flux[CARRO],
(_xlfn.XLOOKUP(autocompJanta[[#This Row],[COMP ESCALA]],tabE.Flux[COMP. ESCALA MOT A],tabE.Flux[CARRO],"N/E",0,1)),0,1)</f>
        <v>19024</v>
      </c>
      <c r="S67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67" s="127">
        <v>45896</v>
      </c>
      <c r="U67" s="4">
        <f>IF(IFERROR(autocompJanta[[#This Row],[CORRESP. CARRO]],"")="NÃO",(IF(tabJanta[[#This Row],[MOTORISTA]]=0,"","PASSE?")),autocompJanta[[#This Row],[CORRESP. CARRO]])</f>
        <v>19024</v>
      </c>
      <c r="V67" s="126">
        <f>IF(OR(ISERR(autocompJanta[[#This Row],[CORRESP HORARIO]]), autocompJanta[[#This Row],[CORRESP HORARIO]]&lt;&gt;"NÃO"),autocompJanta[[#This Row],[CORRESP HORARIO]],"")</f>
        <v>0.47013888888888888</v>
      </c>
      <c r="W67" s="4" t="s">
        <v>299</v>
      </c>
      <c r="X67" s="4" t="s">
        <v>79</v>
      </c>
      <c r="Y67" s="1">
        <f>IF(tabJanta[[#This Row],[MOTORISTA]]="","",COUNTIF(autocompJanta[COMP ESCALA ATUAL],autocompJanta[[#This Row],[COMP ESCALA ATUAL]]))</f>
        <v>1</v>
      </c>
      <c r="Z67" s="45">
        <f>IF(tabJanta[[#This Row],[MOTORISTA]]&lt;&gt;0,15,"")</f>
        <v>15</v>
      </c>
      <c r="AA67" s="4" t="str">
        <f>autocompJanta[[#This Row],[CORRESP LINHA]]</f>
        <v>GOIANIA (GO) X SAO LUIS (MA)</v>
      </c>
    </row>
    <row r="68" spans="3:27" hidden="1" x14ac:dyDescent="0.25">
      <c r="C68" s="129" t="s">
        <v>226</v>
      </c>
      <c r="D68" s="56" t="str">
        <f>IF(tabJanta[[#This Row],[MOTORISTA]]="","",_xlfn.CONCAT(tabJanta[[#This Row],[DATA]],"+",tabJanta[[#This Row],[MOTORISTA]]))</f>
        <v>45897+EDIVALDO DE ARAUJO - 6217</v>
      </c>
      <c r="E68" s="56" t="str">
        <f>_xlfn.XLOOKUP(autocompJanta[[#This Row],[COMP ESCALA ATUAL]],tabE.Flux[COMP.AT. MOT A],tabE.Flux[LINHA],"NÃO",0,1)</f>
        <v>GOIANIA (GO) X SAO LUIS (MA)</v>
      </c>
      <c r="F68" s="56" t="str">
        <f>_xlfn.XLOOKUP(autocompJanta[[#This Row],[COMP ESCALA ATUAL]],tabE.Flux[COMP.AT. MOT B],tabE.Flux[LINHA],"NÃO",0,1)</f>
        <v>GOIANIA (GO) X SAO LUIS (MA)</v>
      </c>
      <c r="G68" s="61" t="str">
        <f>IF(AND(autocompJanta[[#This Row],[EXISTE MOT A AT]]="NÃO", autocompJanta[[#This Row],[EXISTE MOT B AT]]="NÃO"),"NÃO","SIM")</f>
        <v>SIM</v>
      </c>
      <c r="H68" s="71" t="str">
        <f>IF(autocompJanta[[#This Row],[EXISTE ESCALA ATUAL]]="NÃO",_xlfn.CONCAT(tabJanta[[#This Row],[DATA]]-1,"+",tabJanta[[#This Row],[MOTORISTA]]),"NÃO")</f>
        <v>NÃO</v>
      </c>
      <c r="I68" s="57" t="str">
        <f>IF(autocompJanta[[#This Row],[COMP ESCALA ANTERIOR]]="NÃO","NÃO",_xlfn.XLOOKUP(autocompJanta[[#This Row],[COMP ESCALA ANTERIOR]],tabE.Flux[COMP.AT. MOT A],tabE.Flux[LINHA],"NÃO",0,1))</f>
        <v>NÃO</v>
      </c>
      <c r="J68" s="58" t="str">
        <f>IF(autocompJanta[[#This Row],[COMP ESCALA ANTERIOR]]="NÃO","NÃO",_xlfn.XLOOKUP(autocompJanta[[#This Row],[COMP ESCALA ANTERIOR]],tabE.Flux[COMP.AT. MOT B],tabE.Flux[LINHA],"NÃO",0,1))</f>
        <v>NÃO</v>
      </c>
      <c r="K68" s="62" t="str">
        <f>IF(AND(autocompJanta[[#This Row],[EXISTE MOT A ANT]]="NÃO",autocompJanta[[#This Row],[EXISTE MOT B ANT]]="NÃO"),"NÃO","SIM")</f>
        <v>NÃO</v>
      </c>
      <c r="L68" s="73" t="str">
        <f t="shared" si="1"/>
        <v>45898+EDIVALDO DE ARAUJO - 6217</v>
      </c>
      <c r="M68" s="59" t="str">
        <f>IF(autocompJanta[[#This Row],[COMP ESCALA POSTERIOR]]="NÃO","NÃO",_xlfn.XLOOKUP(autocompJanta[[#This Row],[COMP ESCALA POSTERIOR]],tabE.Flux[COMP.AT. MOT A],tabE.Flux[LINHA],"NÃO",0,1))</f>
        <v>NÃO</v>
      </c>
      <c r="N68" s="59" t="str">
        <f>IF(autocompJanta[[#This Row],[COMP ESCALA POSTERIOR]]="NÃO","NÃO",_xlfn.XLOOKUP(autocompJanta[[#This Row],[COMP ESCALA POSTERIOR]],tabE.Flux[COMP.AT. MOT B],tabE.Flux[LINHA],"NÃO",0,1))</f>
        <v>NÃO</v>
      </c>
      <c r="O68" s="65" t="str">
        <f>IF(AND(autocompJanta[[#This Row],[EXISTE MOT A POS]]="NÃO",autocompJanta[[#This Row],[EXISTE MOT B POS]]="NÃO"),"NÃO","SIM")</f>
        <v>NÃO</v>
      </c>
      <c r="P68" s="66" t="str" cm="1">
        <f t="array" ref="P6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68" s="75" t="str" cm="1">
        <f t="array" ref="Q6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45897+EDIVALDO DE ARAUJO - 6217+GOIANIA (GO) X SAO LUIS (MA)</v>
      </c>
      <c r="R68" s="67">
        <f>_xlfn.XLOOKUP(autocompJanta[[#This Row],[COMP ESCALA]],tabE.Flux[COMP. ESCALA MOT B],tabE.Flux[CARRO],
(_xlfn.XLOOKUP(autocompJanta[[#This Row],[COMP ESCALA]],tabE.Flux[COMP. ESCALA MOT A],tabE.Flux[CARRO],"N/E",0,1)),0,1)</f>
        <v>24004</v>
      </c>
      <c r="S68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68" s="127">
        <v>45897</v>
      </c>
      <c r="U68" s="4">
        <f>IF(IFERROR(autocompJanta[[#This Row],[CORRESP. CARRO]],"")="NÃO",(IF(tabJanta[[#This Row],[MOTORISTA]]=0,"","PASSE?")),autocompJanta[[#This Row],[CORRESP. CARRO]])</f>
        <v>24004</v>
      </c>
      <c r="V68" s="126">
        <f>IF(OR(ISERR(autocompJanta[[#This Row],[CORRESP HORARIO]]), autocompJanta[[#This Row],[CORRESP HORARIO]]&lt;&gt;"NÃO"),autocompJanta[[#This Row],[CORRESP HORARIO]],"")</f>
        <v>0.29166666666666669</v>
      </c>
      <c r="W68" s="4" t="s">
        <v>299</v>
      </c>
      <c r="X68" s="4" t="s">
        <v>55</v>
      </c>
      <c r="Y68" s="1">
        <f>IF(tabJanta[[#This Row],[MOTORISTA]]="","",COUNTIF(autocompJanta[COMP ESCALA ATUAL],autocompJanta[[#This Row],[COMP ESCALA ATUAL]]))</f>
        <v>1</v>
      </c>
      <c r="Z68" s="45">
        <f>IF(tabJanta[[#This Row],[MOTORISTA]]&lt;&gt;0,15,"")</f>
        <v>15</v>
      </c>
      <c r="AA68" s="4" t="str">
        <f>autocompJanta[[#This Row],[CORRESP LINHA]]</f>
        <v>GOIANIA (GO) X SAO LUIS (MA)</v>
      </c>
    </row>
    <row r="69" spans="3:27" hidden="1" x14ac:dyDescent="0.25">
      <c r="C69" s="129" t="s">
        <v>226</v>
      </c>
      <c r="D69" s="56" t="str">
        <f>IF(tabJanta[[#This Row],[MOTORISTA]]="","",_xlfn.CONCAT(tabJanta[[#This Row],[DATA]],"+",tabJanta[[#This Row],[MOTORISTA]]))</f>
        <v>45897+MARCOS AUGUSTO SILVA ROCHA - 5268</v>
      </c>
      <c r="E69" s="56" t="str">
        <f>_xlfn.XLOOKUP(autocompJanta[[#This Row],[COMP ESCALA ATUAL]],tabE.Flux[COMP.AT. MOT A],tabE.Flux[LINHA],"NÃO",0,1)</f>
        <v>NÃO</v>
      </c>
      <c r="F69" s="56" t="str">
        <f>_xlfn.XLOOKUP(autocompJanta[[#This Row],[COMP ESCALA ATUAL]],tabE.Flux[COMP.AT. MOT B],tabE.Flux[LINHA],"NÃO",0,1)</f>
        <v>FORTALEZA (CE) X SINOP (MT)</v>
      </c>
      <c r="G69" s="61" t="str">
        <f>IF(AND(autocompJanta[[#This Row],[EXISTE MOT A AT]]="NÃO", autocompJanta[[#This Row],[EXISTE MOT B AT]]="NÃO"),"NÃO","SIM")</f>
        <v>SIM</v>
      </c>
      <c r="H69" s="71" t="str">
        <f>IF(autocompJanta[[#This Row],[EXISTE ESCALA ATUAL]]="NÃO",_xlfn.CONCAT(tabJanta[[#This Row],[DATA]]-1,"+",tabJanta[[#This Row],[MOTORISTA]]),"NÃO")</f>
        <v>NÃO</v>
      </c>
      <c r="I69" s="57" t="str">
        <f>IF(autocompJanta[[#This Row],[COMP ESCALA ANTERIOR]]="NÃO","NÃO",_xlfn.XLOOKUP(autocompJanta[[#This Row],[COMP ESCALA ANTERIOR]],tabE.Flux[COMP.AT. MOT A],tabE.Flux[LINHA],"NÃO",0,1))</f>
        <v>NÃO</v>
      </c>
      <c r="J69" s="58" t="str">
        <f>IF(autocompJanta[[#This Row],[COMP ESCALA ANTERIOR]]="NÃO","NÃO",_xlfn.XLOOKUP(autocompJanta[[#This Row],[COMP ESCALA ANTERIOR]],tabE.Flux[COMP.AT. MOT B],tabE.Flux[LINHA],"NÃO",0,1))</f>
        <v>NÃO</v>
      </c>
      <c r="K69" s="62" t="str">
        <f>IF(AND(autocompJanta[[#This Row],[EXISTE MOT A ANT]]="NÃO",autocompJanta[[#This Row],[EXISTE MOT B ANT]]="NÃO"),"NÃO","SIM")</f>
        <v>NÃO</v>
      </c>
      <c r="L69" s="73" t="str">
        <f t="shared" si="1"/>
        <v>45898+MARCOS AUGUSTO SILVA ROCHA - 5268</v>
      </c>
      <c r="M69" s="59" t="str">
        <f>IF(autocompJanta[[#This Row],[COMP ESCALA POSTERIOR]]="NÃO","NÃO",_xlfn.XLOOKUP(autocompJanta[[#This Row],[COMP ESCALA POSTERIOR]],tabE.Flux[COMP.AT. MOT A],tabE.Flux[LINHA],"NÃO",0,1))</f>
        <v>NÃO</v>
      </c>
      <c r="N69" s="59" t="str">
        <f>IF(autocompJanta[[#This Row],[COMP ESCALA POSTERIOR]]="NÃO","NÃO",_xlfn.XLOOKUP(autocompJanta[[#This Row],[COMP ESCALA POSTERIOR]],tabE.Flux[COMP.AT. MOT B],tabE.Flux[LINHA],"NÃO",0,1))</f>
        <v>NÃO</v>
      </c>
      <c r="O69" s="65" t="str">
        <f>IF(AND(autocompJanta[[#This Row],[EXISTE MOT A POS]]="NÃO",autocompJanta[[#This Row],[EXISTE MOT B POS]]="NÃO"),"NÃO","SIM")</f>
        <v>NÃO</v>
      </c>
      <c r="P69" s="66" t="str" cm="1">
        <f t="array" ref="P6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69" s="75" t="str" cm="1">
        <f t="array" ref="Q6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45897+MARCOS AUGUSTO SILVA ROCHA - 5268+FORTALEZA (CE) X SINOP (MT)</v>
      </c>
      <c r="R69" s="67">
        <f>_xlfn.XLOOKUP(autocompJanta[[#This Row],[COMP ESCALA]],tabE.Flux[COMP. ESCALA MOT B],tabE.Flux[CARRO],
(_xlfn.XLOOKUP(autocompJanta[[#This Row],[COMP ESCALA]],tabE.Flux[COMP. ESCALA MOT A],tabE.Flux[CARRO],"N/E",0,1)),0,1)</f>
        <v>19003</v>
      </c>
      <c r="S69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69" s="127">
        <v>45897</v>
      </c>
      <c r="U69" s="4">
        <f>IF(IFERROR(autocompJanta[[#This Row],[CORRESP. CARRO]],"")="NÃO",(IF(tabJanta[[#This Row],[MOTORISTA]]=0,"","PASSE?")),autocompJanta[[#This Row],[CORRESP. CARRO]])</f>
        <v>19003</v>
      </c>
      <c r="V69" s="128">
        <f>IF(OR(ISERR(autocompJanta[[#This Row],[CORRESP HORARIO]]), autocompJanta[[#This Row],[CORRESP HORARIO]]&lt;&gt;"NÃO"),autocompJanta[[#This Row],[CORRESP HORARIO]],"")</f>
        <v>0.37708333333333333</v>
      </c>
      <c r="W69" s="4" t="s">
        <v>299</v>
      </c>
      <c r="X69" s="4" t="s">
        <v>221</v>
      </c>
      <c r="Y69" s="4">
        <f>IF(tabJanta[[#This Row],[MOTORISTA]]="","",COUNTIF(autocompJanta[COMP ESCALA ATUAL],autocompJanta[[#This Row],[COMP ESCALA ATUAL]]))</f>
        <v>1</v>
      </c>
      <c r="Z69" s="45">
        <f>IF(tabJanta[[#This Row],[MOTORISTA]]&lt;&gt;0,15,"")</f>
        <v>15</v>
      </c>
      <c r="AA69" s="4" t="str">
        <f>autocompJanta[[#This Row],[CORRESP LINHA]]</f>
        <v>FORTALEZA (CE) X SINOP (MT)</v>
      </c>
    </row>
    <row r="70" spans="3:27" hidden="1" x14ac:dyDescent="0.25">
      <c r="C70" s="129" t="s">
        <v>226</v>
      </c>
      <c r="D70" s="56" t="str">
        <f>IF(tabJanta[[#This Row],[MOTORISTA]]="","",_xlfn.CONCAT(tabJanta[[#This Row],[DATA]],"+",tabJanta[[#This Row],[MOTORISTA]]))</f>
        <v>45897+GENIVAN LEAL TEIXEIRA - 5302</v>
      </c>
      <c r="E70" s="56" t="str">
        <f>_xlfn.XLOOKUP(autocompJanta[[#This Row],[COMP ESCALA ATUAL]],tabE.Flux[COMP.AT. MOT A],tabE.Flux[LINHA],"NÃO",0,1)</f>
        <v>NÃO</v>
      </c>
      <c r="F70" s="56" t="str">
        <f>_xlfn.XLOOKUP(autocompJanta[[#This Row],[COMP ESCALA ATUAL]],tabE.Flux[COMP.AT. MOT B],tabE.Flux[LINHA],"NÃO",0,1)</f>
        <v>NÃO</v>
      </c>
      <c r="G70" s="61" t="str">
        <f>IF(AND(autocompJanta[[#This Row],[EXISTE MOT A AT]]="NÃO", autocompJanta[[#This Row],[EXISTE MOT B AT]]="NÃO"),"NÃO","SIM")</f>
        <v>NÃO</v>
      </c>
      <c r="H70" s="71" t="str">
        <f>IF(autocompJanta[[#This Row],[EXISTE ESCALA ATUAL]]="NÃO",_xlfn.CONCAT(tabJanta[[#This Row],[DATA]]-1,"+",tabJanta[[#This Row],[MOTORISTA]]),"NÃO")</f>
        <v>45896+GENIVAN LEAL TEIXEIRA - 5302</v>
      </c>
      <c r="I70" s="57" t="str">
        <f>IF(autocompJanta[[#This Row],[COMP ESCALA ANTERIOR]]="NÃO","NÃO",_xlfn.XLOOKUP(autocompJanta[[#This Row],[COMP ESCALA ANTERIOR]],tabE.Flux[COMP.AT. MOT A],tabE.Flux[LINHA],"NÃO",0,1))</f>
        <v>NÃO</v>
      </c>
      <c r="J70" s="58" t="str">
        <f>IF(autocompJanta[[#This Row],[COMP ESCALA ANTERIOR]]="NÃO","NÃO",_xlfn.XLOOKUP(autocompJanta[[#This Row],[COMP ESCALA ANTERIOR]],tabE.Flux[COMP.AT. MOT B],tabE.Flux[LINHA],"NÃO",0,1))</f>
        <v>NÃO</v>
      </c>
      <c r="K70" s="62" t="str">
        <f>IF(AND(autocompJanta[[#This Row],[EXISTE MOT A ANT]]="NÃO",autocompJanta[[#This Row],[EXISTE MOT B ANT]]="NÃO"),"NÃO","SIM")</f>
        <v>NÃO</v>
      </c>
      <c r="L70" s="73" t="str">
        <f t="shared" ref="L70:L90" si="2">_xlfn.CONCAT(T70+1,"+",X70)</f>
        <v>45898+GENIVAN LEAL TEIXEIRA - 5302</v>
      </c>
      <c r="M70" s="59" t="str">
        <f>IF(autocompJanta[[#This Row],[COMP ESCALA POSTERIOR]]="NÃO","NÃO",_xlfn.XLOOKUP(autocompJanta[[#This Row],[COMP ESCALA POSTERIOR]],tabE.Flux[COMP.AT. MOT A],tabE.Flux[LINHA],"NÃO",0,1))</f>
        <v>NÃO</v>
      </c>
      <c r="N70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70" s="65" t="str">
        <f>IF(AND(autocompJanta[[#This Row],[EXISTE MOT A POS]]="NÃO",autocompJanta[[#This Row],[EXISTE MOT B POS]]="NÃO"),"NÃO","SIM")</f>
        <v>SIM</v>
      </c>
      <c r="P70" s="66" t="str" cm="1">
        <f t="array" ref="P7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70" s="75" t="str" cm="1">
        <f t="array" ref="Q7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45898+GENIVAN LEAL TEIXEIRA - 5302+GOIANIA (GO) X TERESINA (PI) VIA STI</v>
      </c>
      <c r="R70" s="67">
        <f>_xlfn.XLOOKUP(autocompJanta[[#This Row],[COMP ESCALA]],tabE.Flux[COMP. ESCALA MOT B],tabE.Flux[CARRO],
(_xlfn.XLOOKUP(autocompJanta[[#This Row],[COMP ESCALA]],tabE.Flux[COMP. ESCALA MOT A],tabE.Flux[CARRO],"N/E",0,1)),0,1)</f>
        <v>20018</v>
      </c>
      <c r="S70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70" s="125">
        <v>45897</v>
      </c>
      <c r="U70" s="1">
        <f>IF(IFERROR(autocompJanta[[#This Row],[CORRESP. CARRO]],"")="NÃO",(IF(tabJanta[[#This Row],[MOTORISTA]]=0,"","PASSE?")),autocompJanta[[#This Row],[CORRESP. CARRO]])</f>
        <v>20018</v>
      </c>
      <c r="V70" s="126">
        <f>IF(OR(ISERR(autocompJanta[[#This Row],[CORRESP HORARIO]]), autocompJanta[[#This Row],[CORRESP HORARIO]]&lt;&gt;"NÃO"),autocompJanta[[#This Row],[CORRESP HORARIO]],"")</f>
        <v>0.79861111111111116</v>
      </c>
      <c r="W70" s="1" t="s">
        <v>299</v>
      </c>
      <c r="X70" s="1" t="s">
        <v>38</v>
      </c>
      <c r="Y70" s="1">
        <f>IF(tabJanta[[#This Row],[MOTORISTA]]="","",COUNTIF(autocompJanta[COMP ESCALA ATUAL],autocompJanta[[#This Row],[COMP ESCALA ATUAL]]))</f>
        <v>1</v>
      </c>
      <c r="Z70" s="105">
        <f>IF(tabJanta[[#This Row],[MOTORISTA]]&lt;&gt;0,15,"")</f>
        <v>15</v>
      </c>
      <c r="AA70" s="1" t="str">
        <f>autocompJanta[[#This Row],[CORRESP LINHA]]</f>
        <v>GOIANIA (GO) X TERESINA (PI) VIA STI</v>
      </c>
    </row>
    <row r="71" spans="3:27" hidden="1" x14ac:dyDescent="0.25">
      <c r="C71" s="129" t="s">
        <v>226</v>
      </c>
      <c r="D71" s="56" t="str">
        <f>IF(tabJanta[[#This Row],[MOTORISTA]]="","",_xlfn.CONCAT(tabJanta[[#This Row],[DATA]],"+",tabJanta[[#This Row],[MOTORISTA]]))</f>
        <v>45897+IZALMIR RODRIGUES COELHO - 958</v>
      </c>
      <c r="E71" s="56" t="str">
        <f>_xlfn.XLOOKUP(autocompJanta[[#This Row],[COMP ESCALA ATUAL]],tabE.Flux[COMP.AT. MOT A],tabE.Flux[LINHA],"NÃO",0,1)</f>
        <v>NÃO</v>
      </c>
      <c r="F71" s="56" t="str">
        <f>_xlfn.XLOOKUP(autocompJanta[[#This Row],[COMP ESCALA ATUAL]],tabE.Flux[COMP.AT. MOT B],tabE.Flux[LINHA],"NÃO",0,1)</f>
        <v>NÃO</v>
      </c>
      <c r="G71" s="61" t="str">
        <f>IF(AND(autocompJanta[[#This Row],[EXISTE MOT A AT]]="NÃO", autocompJanta[[#This Row],[EXISTE MOT B AT]]="NÃO"),"NÃO","SIM")</f>
        <v>NÃO</v>
      </c>
      <c r="H71" s="71" t="str">
        <f>IF(autocompJanta[[#This Row],[EXISTE ESCALA ATUAL]]="NÃO",_xlfn.CONCAT(tabJanta[[#This Row],[DATA]]-1,"+",tabJanta[[#This Row],[MOTORISTA]]),"NÃO")</f>
        <v>45896+IZALMIR RODRIGUES COELHO - 958</v>
      </c>
      <c r="I71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71" s="58" t="str">
        <f>IF(autocompJanta[[#This Row],[COMP ESCALA ANTERIOR]]="NÃO","NÃO",_xlfn.XLOOKUP(autocompJanta[[#This Row],[COMP ESCALA ANTERIOR]],tabE.Flux[COMP.AT. MOT B],tabE.Flux[LINHA],"NÃO",0,1))</f>
        <v>NÃO</v>
      </c>
      <c r="K71" s="62" t="str">
        <f>IF(AND(autocompJanta[[#This Row],[EXISTE MOT A ANT]]="NÃO",autocompJanta[[#This Row],[EXISTE MOT B ANT]]="NÃO"),"NÃO","SIM")</f>
        <v>SIM</v>
      </c>
      <c r="L71" s="73" t="str">
        <f t="shared" si="2"/>
        <v>45898+IZALMIR RODRIGUES COELHO - 958</v>
      </c>
      <c r="M71" s="59" t="str">
        <f>IF(autocompJanta[[#This Row],[COMP ESCALA POSTERIOR]]="NÃO","NÃO",_xlfn.XLOOKUP(autocompJanta[[#This Row],[COMP ESCALA POSTERIOR]],tabE.Flux[COMP.AT. MOT A],tabE.Flux[LINHA],"NÃO",0,1))</f>
        <v>NÃO</v>
      </c>
      <c r="N71" s="59" t="str">
        <f>IF(autocompJanta[[#This Row],[COMP ESCALA POSTERIOR]]="NÃO","NÃO",_xlfn.XLOOKUP(autocompJanta[[#This Row],[COMP ESCALA POSTERIOR]],tabE.Flux[COMP.AT. MOT B],tabE.Flux[LINHA],"NÃO",0,1))</f>
        <v>NÃO</v>
      </c>
      <c r="O71" s="65" t="str">
        <f>IF(AND(autocompJanta[[#This Row],[EXISTE MOT A POS]]="NÃO",autocompJanta[[#This Row],[EXISTE MOT B POS]]="NÃO"),"NÃO","SIM")</f>
        <v>NÃO</v>
      </c>
      <c r="P71" s="66" t="str" cm="1">
        <f t="array" ref="P7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71" s="75" t="str" cm="1">
        <f t="array" ref="Q7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45896+IZALMIR RODRIGUES COELHO - 958+GOIANIA (GO) X TERESINA (PI) VIA STI</v>
      </c>
      <c r="R71" s="67">
        <f>_xlfn.XLOOKUP(autocompJanta[[#This Row],[COMP ESCALA]],tabE.Flux[COMP. ESCALA MOT B],tabE.Flux[CARRO],
(_xlfn.XLOOKUP(autocompJanta[[#This Row],[COMP ESCALA]],tabE.Flux[COMP. ESCALA MOT A],tabE.Flux[CARRO],"N/E",0,1)),0,1)</f>
        <v>15800</v>
      </c>
      <c r="S71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71" s="127">
        <v>45897</v>
      </c>
      <c r="U71" s="4">
        <f>IF(IFERROR(autocompJanta[[#This Row],[CORRESP. CARRO]],"")="NÃO",(IF(tabJanta[[#This Row],[MOTORISTA]]=0,"","PASSE?")),autocompJanta[[#This Row],[CORRESP. CARRO]])</f>
        <v>15800</v>
      </c>
      <c r="V71" s="126">
        <f>IF(OR(ISERR(autocompJanta[[#This Row],[CORRESP HORARIO]]), autocompJanta[[#This Row],[CORRESP HORARIO]]&lt;&gt;"NÃO"),autocompJanta[[#This Row],[CORRESP HORARIO]],"")</f>
        <v>0.79861111111111116</v>
      </c>
      <c r="W71" s="4" t="s">
        <v>299</v>
      </c>
      <c r="X71" s="4" t="s">
        <v>83</v>
      </c>
      <c r="Y71" s="1">
        <f>IF(tabJanta[[#This Row],[MOTORISTA]]="","",COUNTIF(autocompJanta[COMP ESCALA ATUAL],autocompJanta[[#This Row],[COMP ESCALA ATUAL]]))</f>
        <v>1</v>
      </c>
      <c r="Z71" s="45">
        <f>IF(tabJanta[[#This Row],[MOTORISTA]]&lt;&gt;0,15,"")</f>
        <v>15</v>
      </c>
      <c r="AA71" s="4" t="str">
        <f>autocompJanta[[#This Row],[CORRESP LINHA]]</f>
        <v>GOIANIA (GO) X TERESINA (PI) VIA STI</v>
      </c>
    </row>
    <row r="72" spans="3:27" hidden="1" x14ac:dyDescent="0.25">
      <c r="C72" s="129" t="s">
        <v>226</v>
      </c>
      <c r="D72" s="56" t="str">
        <f>IF(tabJanta[[#This Row],[MOTORISTA]]="","",_xlfn.CONCAT(tabJanta[[#This Row],[DATA]],"+",tabJanta[[#This Row],[MOTORISTA]]))</f>
        <v>45897+ELIEZIO JOSE DOS SANTOS - 2645</v>
      </c>
      <c r="E72" s="56" t="str">
        <f>_xlfn.XLOOKUP(autocompJanta[[#This Row],[COMP ESCALA ATUAL]],tabE.Flux[COMP.AT. MOT A],tabE.Flux[LINHA],"NÃO",0,1)</f>
        <v>NÃO</v>
      </c>
      <c r="F72" s="56" t="str">
        <f>_xlfn.XLOOKUP(autocompJanta[[#This Row],[COMP ESCALA ATUAL]],tabE.Flux[COMP.AT. MOT B],tabE.Flux[LINHA],"NÃO",0,1)</f>
        <v>GOIANIA (GO) X SAO LUIS (MA)</v>
      </c>
      <c r="G72" s="61" t="str">
        <f>IF(AND(autocompJanta[[#This Row],[EXISTE MOT A AT]]="NÃO", autocompJanta[[#This Row],[EXISTE MOT B AT]]="NÃO"),"NÃO","SIM")</f>
        <v>SIM</v>
      </c>
      <c r="H72" s="71" t="str">
        <f>IF(autocompJanta[[#This Row],[EXISTE ESCALA ATUAL]]="NÃO",_xlfn.CONCAT(tabJanta[[#This Row],[DATA]]-1,"+",tabJanta[[#This Row],[MOTORISTA]]),"NÃO")</f>
        <v>NÃO</v>
      </c>
      <c r="I72" s="57" t="str">
        <f>IF(autocompJanta[[#This Row],[COMP ESCALA ANTERIOR]]="NÃO","NÃO",_xlfn.XLOOKUP(autocompJanta[[#This Row],[COMP ESCALA ANTERIOR]],tabE.Flux[COMP.AT. MOT A],tabE.Flux[LINHA],"NÃO",0,1))</f>
        <v>NÃO</v>
      </c>
      <c r="J72" s="58" t="str">
        <f>IF(autocompJanta[[#This Row],[COMP ESCALA ANTERIOR]]="NÃO","NÃO",_xlfn.XLOOKUP(autocompJanta[[#This Row],[COMP ESCALA ANTERIOR]],tabE.Flux[COMP.AT. MOT B],tabE.Flux[LINHA],"NÃO",0,1))</f>
        <v>NÃO</v>
      </c>
      <c r="K72" s="62" t="str">
        <f>IF(AND(autocompJanta[[#This Row],[EXISTE MOT A ANT]]="NÃO",autocompJanta[[#This Row],[EXISTE MOT B ANT]]="NÃO"),"NÃO","SIM")</f>
        <v>NÃO</v>
      </c>
      <c r="L72" s="73" t="str">
        <f t="shared" si="2"/>
        <v>45898+ELIEZIO JOSE DOS SANTOS - 2645</v>
      </c>
      <c r="M72" s="59" t="str">
        <f>IF(autocompJanta[[#This Row],[COMP ESCALA POSTERIOR]]="NÃO","NÃO",_xlfn.XLOOKUP(autocompJanta[[#This Row],[COMP ESCALA POSTERIOR]],tabE.Flux[COMP.AT. MOT A],tabE.Flux[LINHA],"NÃO",0,1))</f>
        <v>NÃO</v>
      </c>
      <c r="N72" s="59" t="str">
        <f>IF(autocompJanta[[#This Row],[COMP ESCALA POSTERIOR]]="NÃO","NÃO",_xlfn.XLOOKUP(autocompJanta[[#This Row],[COMP ESCALA POSTERIOR]],tabE.Flux[COMP.AT. MOT B],tabE.Flux[LINHA],"NÃO",0,1))</f>
        <v>NÃO</v>
      </c>
      <c r="O72" s="65" t="str">
        <f>IF(AND(autocompJanta[[#This Row],[EXISTE MOT A POS]]="NÃO",autocompJanta[[#This Row],[EXISTE MOT B POS]]="NÃO"),"NÃO","SIM")</f>
        <v>NÃO</v>
      </c>
      <c r="P72" s="66" t="str" cm="1">
        <f t="array" ref="P7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72" s="75" t="str" cm="1">
        <f t="array" ref="Q7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45897+ELIEZIO JOSE DOS SANTOS - 2645+GOIANIA (GO) X SAO LUIS (MA)</v>
      </c>
      <c r="R72" s="67">
        <f>_xlfn.XLOOKUP(autocompJanta[[#This Row],[COMP ESCALA]],tabE.Flux[COMP. ESCALA MOT B],tabE.Flux[CARRO],
(_xlfn.XLOOKUP(autocompJanta[[#This Row],[COMP ESCALA]],tabE.Flux[COMP. ESCALA MOT A],tabE.Flux[CARRO],"N/E",0,1)),0,1)</f>
        <v>25006</v>
      </c>
      <c r="S72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72" s="127">
        <v>45897</v>
      </c>
      <c r="U72" s="4">
        <f>IF(IFERROR(autocompJanta[[#This Row],[CORRESP. CARRO]],"")="NÃO",(IF(tabJanta[[#This Row],[MOTORISTA]]=0,"","PASSE?")),autocompJanta[[#This Row],[CORRESP. CARRO]])</f>
        <v>25006</v>
      </c>
      <c r="V72" s="126">
        <f>IF(OR(ISERR(autocompJanta[[#This Row],[CORRESP HORARIO]]), autocompJanta[[#This Row],[CORRESP HORARIO]]&lt;&gt;"NÃO"),autocompJanta[[#This Row],[CORRESP HORARIO]],"")</f>
        <v>0.79166666666666663</v>
      </c>
      <c r="W72" s="4" t="s">
        <v>299</v>
      </c>
      <c r="X72" s="4" t="s">
        <v>53</v>
      </c>
      <c r="Y72" s="1">
        <f>IF(tabJanta[[#This Row],[MOTORISTA]]="","",COUNTIF(autocompJanta[COMP ESCALA ATUAL],autocompJanta[[#This Row],[COMP ESCALA ATUAL]]))</f>
        <v>1</v>
      </c>
      <c r="Z72" s="45">
        <f>IF(tabJanta[[#This Row],[MOTORISTA]]&lt;&gt;0,15,"")</f>
        <v>15</v>
      </c>
      <c r="AA72" s="4" t="str">
        <f>autocompJanta[[#This Row],[CORRESP LINHA]]</f>
        <v>GOIANIA (GO) X SAO LUIS (MA)</v>
      </c>
    </row>
    <row r="73" spans="3:27" hidden="1" x14ac:dyDescent="0.25">
      <c r="C73" s="129" t="s">
        <v>226</v>
      </c>
      <c r="D73" s="56" t="str">
        <f>IF(tabJanta[[#This Row],[MOTORISTA]]="","",_xlfn.CONCAT(tabJanta[[#This Row],[DATA]],"+",tabJanta[[#This Row],[MOTORISTA]]))</f>
        <v>45897+RONNE RODRIGUES DE SOUSA - 5025</v>
      </c>
      <c r="E73" s="56" t="str">
        <f>_xlfn.XLOOKUP(autocompJanta[[#This Row],[COMP ESCALA ATUAL]],tabE.Flux[COMP.AT. MOT A],tabE.Flux[LINHA],"NÃO",0,1)</f>
        <v>FORTALEZA (CE) X SINOP (MT)</v>
      </c>
      <c r="F73" s="56" t="str">
        <f>_xlfn.XLOOKUP(autocompJanta[[#This Row],[COMP ESCALA ATUAL]],tabE.Flux[COMP.AT. MOT B],tabE.Flux[LINHA],"NÃO",0,1)</f>
        <v>NÃO</v>
      </c>
      <c r="G73" s="61" t="str">
        <f>IF(AND(autocompJanta[[#This Row],[EXISTE MOT A AT]]="NÃO", autocompJanta[[#This Row],[EXISTE MOT B AT]]="NÃO"),"NÃO","SIM")</f>
        <v>SIM</v>
      </c>
      <c r="H73" s="71" t="str">
        <f>IF(autocompJanta[[#This Row],[EXISTE ESCALA ATUAL]]="NÃO",_xlfn.CONCAT(tabJanta[[#This Row],[DATA]]-1,"+",tabJanta[[#This Row],[MOTORISTA]]),"NÃO")</f>
        <v>NÃO</v>
      </c>
      <c r="I73" s="57" t="str">
        <f>IF(autocompJanta[[#This Row],[COMP ESCALA ANTERIOR]]="NÃO","NÃO",_xlfn.XLOOKUP(autocompJanta[[#This Row],[COMP ESCALA ANTERIOR]],tabE.Flux[COMP.AT. MOT A],tabE.Flux[LINHA],"NÃO",0,1))</f>
        <v>NÃO</v>
      </c>
      <c r="J73" s="58" t="str">
        <f>IF(autocompJanta[[#This Row],[COMP ESCALA ANTERIOR]]="NÃO","NÃO",_xlfn.XLOOKUP(autocompJanta[[#This Row],[COMP ESCALA ANTERIOR]],tabE.Flux[COMP.AT. MOT B],tabE.Flux[LINHA],"NÃO",0,1))</f>
        <v>NÃO</v>
      </c>
      <c r="K73" s="62" t="str">
        <f>IF(AND(autocompJanta[[#This Row],[EXISTE MOT A ANT]]="NÃO",autocompJanta[[#This Row],[EXISTE MOT B ANT]]="NÃO"),"NÃO","SIM")</f>
        <v>NÃO</v>
      </c>
      <c r="L73" s="73" t="str">
        <f t="shared" si="2"/>
        <v>45898+RONNE RODRIGUES DE SOUSA - 5025</v>
      </c>
      <c r="M73" s="59" t="str">
        <f>IF(autocompJanta[[#This Row],[COMP ESCALA POSTERIOR]]="NÃO","NÃO",_xlfn.XLOOKUP(autocompJanta[[#This Row],[COMP ESCALA POSTERIOR]],tabE.Flux[COMP.AT. MOT A],tabE.Flux[LINHA],"NÃO",0,1))</f>
        <v>NÃO</v>
      </c>
      <c r="N73" s="59" t="str">
        <f>IF(autocompJanta[[#This Row],[COMP ESCALA POSTERIOR]]="NÃO","NÃO",_xlfn.XLOOKUP(autocompJanta[[#This Row],[COMP ESCALA POSTERIOR]],tabE.Flux[COMP.AT. MOT B],tabE.Flux[LINHA],"NÃO",0,1))</f>
        <v>NÃO</v>
      </c>
      <c r="O73" s="65" t="str">
        <f>IF(AND(autocompJanta[[#This Row],[EXISTE MOT A POS]]="NÃO",autocompJanta[[#This Row],[EXISTE MOT B POS]]="NÃO"),"NÃO","SIM")</f>
        <v>NÃO</v>
      </c>
      <c r="P73" s="66" t="str" cm="1">
        <f t="array" ref="P7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73" s="75" t="str" cm="1">
        <f t="array" ref="Q7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45897+RONNE RODRIGUES DE SOUSA - 5025+FORTALEZA (CE) X SINOP (MT)</v>
      </c>
      <c r="R73" s="67">
        <f>_xlfn.XLOOKUP(autocompJanta[[#This Row],[COMP ESCALA]],tabE.Flux[COMP. ESCALA MOT B],tabE.Flux[CARRO],
(_xlfn.XLOOKUP(autocompJanta[[#This Row],[COMP ESCALA]],tabE.Flux[COMP. ESCALA MOT A],tabE.Flux[CARRO],"N/E",0,1)),0,1)</f>
        <v>19003</v>
      </c>
      <c r="S73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73" s="127">
        <v>45897</v>
      </c>
      <c r="U73" s="4">
        <f>IF(IFERROR(autocompJanta[[#This Row],[CORRESP. CARRO]],"")="NÃO",(IF(tabJanta[[#This Row],[MOTORISTA]]=0,"","PASSE?")),autocompJanta[[#This Row],[CORRESP. CARRO]])</f>
        <v>19003</v>
      </c>
      <c r="V73" s="126">
        <f>IF(OR(ISERR(autocompJanta[[#This Row],[CORRESP HORARIO]]), autocompJanta[[#This Row],[CORRESP HORARIO]]&lt;&gt;"NÃO"),autocompJanta[[#This Row],[CORRESP HORARIO]],"")</f>
        <v>0.37708333333333333</v>
      </c>
      <c r="W73" s="4" t="s">
        <v>299</v>
      </c>
      <c r="X73" s="4" t="s">
        <v>85</v>
      </c>
      <c r="Y73" s="1">
        <f>IF(tabJanta[[#This Row],[MOTORISTA]]="","",COUNTIF(autocompJanta[COMP ESCALA ATUAL],autocompJanta[[#This Row],[COMP ESCALA ATUAL]]))</f>
        <v>1</v>
      </c>
      <c r="Z73" s="45">
        <f>IF(tabJanta[[#This Row],[MOTORISTA]]&lt;&gt;0,15,"")</f>
        <v>15</v>
      </c>
      <c r="AA73" s="4" t="str">
        <f>autocompJanta[[#This Row],[CORRESP LINHA]]</f>
        <v>FORTALEZA (CE) X SINOP (MT)</v>
      </c>
    </row>
    <row r="74" spans="3:27" hidden="1" x14ac:dyDescent="0.25">
      <c r="C74" s="129" t="s">
        <v>226</v>
      </c>
      <c r="D74" s="56" t="str">
        <f>IF(tabJanta[[#This Row],[MOTORISTA]]="","",_xlfn.CONCAT(tabJanta[[#This Row],[DATA]],"+",tabJanta[[#This Row],[MOTORISTA]]))</f>
        <v>45898+ANTONIO MARQUES NETO DOS SANTOS - 1738</v>
      </c>
      <c r="E74" s="56" t="str">
        <f>_xlfn.XLOOKUP(autocompJanta[[#This Row],[COMP ESCALA ATUAL]],tabE.Flux[COMP.AT. MOT A],tabE.Flux[LINHA],"NÃO",0,1)</f>
        <v>NÃO</v>
      </c>
      <c r="F74" s="56" t="str">
        <f>_xlfn.XLOOKUP(autocompJanta[[#This Row],[COMP ESCALA ATUAL]],tabE.Flux[COMP.AT. MOT B],tabE.Flux[LINHA],"NÃO",0,1)</f>
        <v>GOIANIA (GO) X SAO LUIS (MA)</v>
      </c>
      <c r="G74" s="61" t="str">
        <f>IF(AND(autocompJanta[[#This Row],[EXISTE MOT A AT]]="NÃO", autocompJanta[[#This Row],[EXISTE MOT B AT]]="NÃO"),"NÃO","SIM")</f>
        <v>SIM</v>
      </c>
      <c r="H74" s="71" t="str">
        <f>IF(autocompJanta[[#This Row],[EXISTE ESCALA ATUAL]]="NÃO",_xlfn.CONCAT(tabJanta[[#This Row],[DATA]]-1,"+",tabJanta[[#This Row],[MOTORISTA]]),"NÃO")</f>
        <v>NÃO</v>
      </c>
      <c r="I74" s="57" t="str">
        <f>IF(autocompJanta[[#This Row],[COMP ESCALA ANTERIOR]]="NÃO","NÃO",_xlfn.XLOOKUP(autocompJanta[[#This Row],[COMP ESCALA ANTERIOR]],tabE.Flux[COMP.AT. MOT A],tabE.Flux[LINHA],"NÃO",0,1))</f>
        <v>NÃO</v>
      </c>
      <c r="J74" s="58" t="str">
        <f>IF(autocompJanta[[#This Row],[COMP ESCALA ANTERIOR]]="NÃO","NÃO",_xlfn.XLOOKUP(autocompJanta[[#This Row],[COMP ESCALA ANTERIOR]],tabE.Flux[COMP.AT. MOT B],tabE.Flux[LINHA],"NÃO",0,1))</f>
        <v>NÃO</v>
      </c>
      <c r="K74" s="62" t="str">
        <f>IF(AND(autocompJanta[[#This Row],[EXISTE MOT A ANT]]="NÃO",autocompJanta[[#This Row],[EXISTE MOT B ANT]]="NÃO"),"NÃO","SIM")</f>
        <v>NÃO</v>
      </c>
      <c r="L74" s="73" t="str">
        <f t="shared" si="2"/>
        <v>45899+ANTONIO MARQUES NETO DOS SANTOS - 1738</v>
      </c>
      <c r="M74" s="59" t="str">
        <f>IF(autocompJanta[[#This Row],[COMP ESCALA POSTERIOR]]="NÃO","NÃO",_xlfn.XLOOKUP(autocompJanta[[#This Row],[COMP ESCALA POSTERIOR]],tabE.Flux[COMP.AT. MOT A],tabE.Flux[LINHA],"NÃO",0,1))</f>
        <v>NÃO</v>
      </c>
      <c r="N74" s="59" t="str">
        <f>IF(autocompJanta[[#This Row],[COMP ESCALA POSTERIOR]]="NÃO","NÃO",_xlfn.XLOOKUP(autocompJanta[[#This Row],[COMP ESCALA POSTERIOR]],tabE.Flux[COMP.AT. MOT B],tabE.Flux[LINHA],"NÃO",0,1))</f>
        <v>NÃO</v>
      </c>
      <c r="O74" s="65" t="str">
        <f>IF(AND(autocompJanta[[#This Row],[EXISTE MOT A POS]]="NÃO",autocompJanta[[#This Row],[EXISTE MOT B POS]]="NÃO"),"NÃO","SIM")</f>
        <v>NÃO</v>
      </c>
      <c r="P74" s="66" t="str" cm="1">
        <f t="array" ref="P7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74" s="75" t="str" cm="1">
        <f t="array" ref="Q7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45898+ANTONIO MARQUES NETO DOS SANTOS - 1738+GOIANIA (GO) X SAO LUIS (MA)</v>
      </c>
      <c r="R74" s="67">
        <f>_xlfn.XLOOKUP(autocompJanta[[#This Row],[COMP ESCALA]],tabE.Flux[COMP. ESCALA MOT B],tabE.Flux[CARRO],
(_xlfn.XLOOKUP(autocompJanta[[#This Row],[COMP ESCALA]],tabE.Flux[COMP. ESCALA MOT A],tabE.Flux[CARRO],"N/E",0,1)),0,1)</f>
        <v>24004</v>
      </c>
      <c r="S74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74" s="127">
        <v>45898</v>
      </c>
      <c r="U74" s="4">
        <f>IF(IFERROR(autocompJanta[[#This Row],[CORRESP. CARRO]],"")="NÃO",(IF(tabJanta[[#This Row],[MOTORISTA]]=0,"","PASSE?")),autocompJanta[[#This Row],[CORRESP. CARRO]])</f>
        <v>24004</v>
      </c>
      <c r="V74" s="126">
        <f>IF(OR(ISERR(autocompJanta[[#This Row],[CORRESP HORARIO]]), autocompJanta[[#This Row],[CORRESP HORARIO]]&lt;&gt;"NÃO"),autocompJanta[[#This Row],[CORRESP HORARIO]],"")</f>
        <v>0.79166666666666663</v>
      </c>
      <c r="W74" s="4" t="s">
        <v>299</v>
      </c>
      <c r="X74" s="4" t="s">
        <v>73</v>
      </c>
      <c r="Y74" s="1">
        <f>IF(tabJanta[[#This Row],[MOTORISTA]]="","",COUNTIF(autocompJanta[COMP ESCALA ATUAL],autocompJanta[[#This Row],[COMP ESCALA ATUAL]]))</f>
        <v>1</v>
      </c>
      <c r="Z74" s="45">
        <f>IF(tabJanta[[#This Row],[MOTORISTA]]&lt;&gt;0,15,"")</f>
        <v>15</v>
      </c>
      <c r="AA74" s="4" t="str">
        <f>autocompJanta[[#This Row],[CORRESP LINHA]]</f>
        <v>GOIANIA (GO) X SAO LUIS (MA)</v>
      </c>
    </row>
    <row r="75" spans="3:27" hidden="1" x14ac:dyDescent="0.25">
      <c r="C75" s="129" t="s">
        <v>226</v>
      </c>
      <c r="D75" s="56" t="str">
        <f>IF(tabJanta[[#This Row],[MOTORISTA]]="","",_xlfn.CONCAT(tabJanta[[#This Row],[DATA]],"+",tabJanta[[#This Row],[MOTORISTA]]))</f>
        <v>45898+KAYLSON KLEYTON DA SILVA COSTA - 6224</v>
      </c>
      <c r="E75" s="56" t="str">
        <f>_xlfn.XLOOKUP(autocompJanta[[#This Row],[COMP ESCALA ATUAL]],tabE.Flux[COMP.AT. MOT A],tabE.Flux[LINHA],"NÃO",0,1)</f>
        <v>NÃO</v>
      </c>
      <c r="F75" s="56" t="str">
        <f>_xlfn.XLOOKUP(autocompJanta[[#This Row],[COMP ESCALA ATUAL]],tabE.Flux[COMP.AT. MOT B],tabE.Flux[LINHA],"NÃO",0,1)</f>
        <v>GOIANIA (GO) X SAO LUIS (MA)</v>
      </c>
      <c r="G75" s="61" t="str">
        <f>IF(AND(autocompJanta[[#This Row],[EXISTE MOT A AT]]="NÃO", autocompJanta[[#This Row],[EXISTE MOT B AT]]="NÃO"),"NÃO","SIM")</f>
        <v>SIM</v>
      </c>
      <c r="H75" s="71" t="str">
        <f>IF(autocompJanta[[#This Row],[EXISTE ESCALA ATUAL]]="NÃO",_xlfn.CONCAT(tabJanta[[#This Row],[DATA]]-1,"+",tabJanta[[#This Row],[MOTORISTA]]),"NÃO")</f>
        <v>NÃO</v>
      </c>
      <c r="I75" s="57" t="str">
        <f>IF(autocompJanta[[#This Row],[COMP ESCALA ANTERIOR]]="NÃO","NÃO",_xlfn.XLOOKUP(autocompJanta[[#This Row],[COMP ESCALA ANTERIOR]],tabE.Flux[COMP.AT. MOT A],tabE.Flux[LINHA],"NÃO",0,1))</f>
        <v>NÃO</v>
      </c>
      <c r="J75" s="58" t="str">
        <f>IF(autocompJanta[[#This Row],[COMP ESCALA ANTERIOR]]="NÃO","NÃO",_xlfn.XLOOKUP(autocompJanta[[#This Row],[COMP ESCALA ANTERIOR]],tabE.Flux[COMP.AT. MOT B],tabE.Flux[LINHA],"NÃO",0,1))</f>
        <v>NÃO</v>
      </c>
      <c r="K75" s="62" t="str">
        <f>IF(AND(autocompJanta[[#This Row],[EXISTE MOT A ANT]]="NÃO",autocompJanta[[#This Row],[EXISTE MOT B ANT]]="NÃO"),"NÃO","SIM")</f>
        <v>NÃO</v>
      </c>
      <c r="L75" s="73" t="str">
        <f t="shared" si="2"/>
        <v>45899+KAYLSON KLEYTON DA SILVA COSTA - 6224</v>
      </c>
      <c r="M75" s="59" t="str">
        <f>IF(autocompJanta[[#This Row],[COMP ESCALA POSTERIOR]]="NÃO","NÃO",_xlfn.XLOOKUP(autocompJanta[[#This Row],[COMP ESCALA POSTERIOR]],tabE.Flux[COMP.AT. MOT A],tabE.Flux[LINHA],"NÃO",0,1))</f>
        <v>NÃO</v>
      </c>
      <c r="N75" s="59" t="str">
        <f>IF(autocompJanta[[#This Row],[COMP ESCALA POSTERIOR]]="NÃO","NÃO",_xlfn.XLOOKUP(autocompJanta[[#This Row],[COMP ESCALA POSTERIOR]],tabE.Flux[COMP.AT. MOT B],tabE.Flux[LINHA],"NÃO",0,1))</f>
        <v>NÃO</v>
      </c>
      <c r="O75" s="65" t="str">
        <f>IF(AND(autocompJanta[[#This Row],[EXISTE MOT A POS]]="NÃO",autocompJanta[[#This Row],[EXISTE MOT B POS]]="NÃO"),"NÃO","SIM")</f>
        <v>NÃO</v>
      </c>
      <c r="P75" s="66" t="str" cm="1">
        <f t="array" ref="P7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75" s="75" t="str" cm="1">
        <f t="array" ref="Q7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45898+KAYLSON KLEYTON DA SILVA COSTA - 6224+GOIANIA (GO) X SAO LUIS (MA)</v>
      </c>
      <c r="R75" s="67">
        <f>_xlfn.XLOOKUP(autocompJanta[[#This Row],[COMP ESCALA]],tabE.Flux[COMP. ESCALA MOT B],tabE.Flux[CARRO],
(_xlfn.XLOOKUP(autocompJanta[[#This Row],[COMP ESCALA]],tabE.Flux[COMP. ESCALA MOT A],tabE.Flux[CARRO],"N/E",0,1)),0,1)</f>
        <v>19019</v>
      </c>
      <c r="S75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75" s="127">
        <v>45898</v>
      </c>
      <c r="U75" s="4">
        <f>IF(IFERROR(autocompJanta[[#This Row],[CORRESP. CARRO]],"")="NÃO",(IF(tabJanta[[#This Row],[MOTORISTA]]=0,"","PASSE?")),autocompJanta[[#This Row],[CORRESP. CARRO]])</f>
        <v>19019</v>
      </c>
      <c r="V75" s="126">
        <f>IF(OR(ISERR(autocompJanta[[#This Row],[CORRESP HORARIO]]), autocompJanta[[#This Row],[CORRESP HORARIO]]&lt;&gt;"NÃO"),autocompJanta[[#This Row],[CORRESP HORARIO]],"")</f>
        <v>0.47013888888888888</v>
      </c>
      <c r="W75" s="4" t="s">
        <v>299</v>
      </c>
      <c r="X75" s="4" t="s">
        <v>80</v>
      </c>
      <c r="Y75" s="1">
        <f>IF(tabJanta[[#This Row],[MOTORISTA]]="","",COUNTIF(autocompJanta[COMP ESCALA ATUAL],autocompJanta[[#This Row],[COMP ESCALA ATUAL]]))</f>
        <v>1</v>
      </c>
      <c r="Z75" s="45">
        <f>IF(tabJanta[[#This Row],[MOTORISTA]]&lt;&gt;0,15,"")</f>
        <v>15</v>
      </c>
      <c r="AA75" s="4" t="str">
        <f>autocompJanta[[#This Row],[CORRESP LINHA]]</f>
        <v>GOIANIA (GO) X SAO LUIS (MA)</v>
      </c>
    </row>
    <row r="76" spans="3:27" hidden="1" x14ac:dyDescent="0.25">
      <c r="C76" s="129" t="s">
        <v>226</v>
      </c>
      <c r="D76" s="56" t="str">
        <f>IF(tabJanta[[#This Row],[MOTORISTA]]="","",_xlfn.CONCAT(tabJanta[[#This Row],[DATA]],"+",tabJanta[[#This Row],[MOTORISTA]]))</f>
        <v>45898+RAIMUNDO COSTA SILVA - 6226</v>
      </c>
      <c r="E76" s="56" t="str">
        <f>_xlfn.XLOOKUP(autocompJanta[[#This Row],[COMP ESCALA ATUAL]],tabE.Flux[COMP.AT. MOT A],tabE.Flux[LINHA],"NÃO",0,1)</f>
        <v>GOIANIA (GO) X SAO LUIS (MA)</v>
      </c>
      <c r="F76" s="56" t="str">
        <f>_xlfn.XLOOKUP(autocompJanta[[#This Row],[COMP ESCALA ATUAL]],tabE.Flux[COMP.AT. MOT B],tabE.Flux[LINHA],"NÃO",0,1)</f>
        <v>GOIANIA (GO) X SAO LUIS (MA)</v>
      </c>
      <c r="G76" s="61" t="str">
        <f>IF(AND(autocompJanta[[#This Row],[EXISTE MOT A AT]]="NÃO", autocompJanta[[#This Row],[EXISTE MOT B AT]]="NÃO"),"NÃO","SIM")</f>
        <v>SIM</v>
      </c>
      <c r="H76" s="71" t="str">
        <f>IF(autocompJanta[[#This Row],[EXISTE ESCALA ATUAL]]="NÃO",_xlfn.CONCAT(tabJanta[[#This Row],[DATA]]-1,"+",tabJanta[[#This Row],[MOTORISTA]]),"NÃO")</f>
        <v>NÃO</v>
      </c>
      <c r="I76" s="57" t="str">
        <f>IF(autocompJanta[[#This Row],[COMP ESCALA ANTERIOR]]="NÃO","NÃO",_xlfn.XLOOKUP(autocompJanta[[#This Row],[COMP ESCALA ANTERIOR]],tabE.Flux[COMP.AT. MOT A],tabE.Flux[LINHA],"NÃO",0,1))</f>
        <v>NÃO</v>
      </c>
      <c r="J76" s="58" t="str">
        <f>IF(autocompJanta[[#This Row],[COMP ESCALA ANTERIOR]]="NÃO","NÃO",_xlfn.XLOOKUP(autocompJanta[[#This Row],[COMP ESCALA ANTERIOR]],tabE.Flux[COMP.AT. MOT B],tabE.Flux[LINHA],"NÃO",0,1))</f>
        <v>NÃO</v>
      </c>
      <c r="K76" s="62" t="str">
        <f>IF(AND(autocompJanta[[#This Row],[EXISTE MOT A ANT]]="NÃO",autocompJanta[[#This Row],[EXISTE MOT B ANT]]="NÃO"),"NÃO","SIM")</f>
        <v>NÃO</v>
      </c>
      <c r="L76" s="73" t="str">
        <f t="shared" si="2"/>
        <v>45899+RAIMUNDO COSTA SILVA - 6226</v>
      </c>
      <c r="M76" s="59" t="str">
        <f>IF(autocompJanta[[#This Row],[COMP ESCALA POSTERIOR]]="NÃO","NÃO",_xlfn.XLOOKUP(autocompJanta[[#This Row],[COMP ESCALA POSTERIOR]],tabE.Flux[COMP.AT. MOT A],tabE.Flux[LINHA],"NÃO",0,1))</f>
        <v>NÃO</v>
      </c>
      <c r="N76" s="59" t="str">
        <f>IF(autocompJanta[[#This Row],[COMP ESCALA POSTERIOR]]="NÃO","NÃO",_xlfn.XLOOKUP(autocompJanta[[#This Row],[COMP ESCALA POSTERIOR]],tabE.Flux[COMP.AT. MOT B],tabE.Flux[LINHA],"NÃO",0,1))</f>
        <v>NÃO</v>
      </c>
      <c r="O76" s="65" t="str">
        <f>IF(AND(autocompJanta[[#This Row],[EXISTE MOT A POS]]="NÃO",autocompJanta[[#This Row],[EXISTE MOT B POS]]="NÃO"),"NÃO","SIM")</f>
        <v>NÃO</v>
      </c>
      <c r="P76" s="66" t="str" cm="1">
        <f t="array" ref="P7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76" s="75" t="str" cm="1">
        <f t="array" ref="Q7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45898+RAIMUNDO COSTA SILVA - 6226+GOIANIA (GO) X SAO LUIS (MA)</v>
      </c>
      <c r="R76" s="67">
        <f>_xlfn.XLOOKUP(autocompJanta[[#This Row],[COMP ESCALA]],tabE.Flux[COMP. ESCALA MOT B],tabE.Flux[CARRO],
(_xlfn.XLOOKUP(autocompJanta[[#This Row],[COMP ESCALA]],tabE.Flux[COMP. ESCALA MOT A],tabE.Flux[CARRO],"N/E",0,1)),0,1)</f>
        <v>24014</v>
      </c>
      <c r="S76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76" s="127">
        <v>45898</v>
      </c>
      <c r="U76" s="4">
        <f>IF(IFERROR(autocompJanta[[#This Row],[CORRESP. CARRO]],"")="NÃO",(IF(tabJanta[[#This Row],[MOTORISTA]]=0,"","PASSE?")),autocompJanta[[#This Row],[CORRESP. CARRO]])</f>
        <v>24014</v>
      </c>
      <c r="V76" s="126">
        <f>IF(OR(ISERR(autocompJanta[[#This Row],[CORRESP HORARIO]]), autocompJanta[[#This Row],[CORRESP HORARIO]]&lt;&gt;"NÃO"),autocompJanta[[#This Row],[CORRESP HORARIO]],"")</f>
        <v>0.29166666666666669</v>
      </c>
      <c r="W76" s="4" t="s">
        <v>299</v>
      </c>
      <c r="X76" s="4" t="s">
        <v>45</v>
      </c>
      <c r="Y76" s="1">
        <f>IF(tabJanta[[#This Row],[MOTORISTA]]="","",COUNTIF(autocompJanta[COMP ESCALA ATUAL],autocompJanta[[#This Row],[COMP ESCALA ATUAL]]))</f>
        <v>1</v>
      </c>
      <c r="Z76" s="45">
        <f>IF(tabJanta[[#This Row],[MOTORISTA]]&lt;&gt;0,15,"")</f>
        <v>15</v>
      </c>
      <c r="AA76" s="4" t="str">
        <f>autocompJanta[[#This Row],[CORRESP LINHA]]</f>
        <v>GOIANIA (GO) X SAO LUIS (MA)</v>
      </c>
    </row>
    <row r="77" spans="3:27" hidden="1" x14ac:dyDescent="0.25">
      <c r="C77" s="129" t="s">
        <v>226</v>
      </c>
      <c r="D77" s="56" t="str">
        <f>IF(tabJanta[[#This Row],[MOTORISTA]]="","",_xlfn.CONCAT(tabJanta[[#This Row],[DATA]],"+",tabJanta[[#This Row],[MOTORISTA]]))</f>
        <v>45898+FRANCISCO CARLOS MELO - 5306</v>
      </c>
      <c r="E77" s="56" t="str">
        <f>_xlfn.XLOOKUP(autocompJanta[[#This Row],[COMP ESCALA ATUAL]],tabE.Flux[COMP.AT. MOT A],tabE.Flux[LINHA],"NÃO",0,1)</f>
        <v>NÃO</v>
      </c>
      <c r="F77" s="56" t="str">
        <f>_xlfn.XLOOKUP(autocompJanta[[#This Row],[COMP ESCALA ATUAL]],tabE.Flux[COMP.AT. MOT B],tabE.Flux[LINHA],"NÃO",0,1)</f>
        <v>NÃO</v>
      </c>
      <c r="G77" s="61" t="str">
        <f>IF(AND(autocompJanta[[#This Row],[EXISTE MOT A AT]]="NÃO", autocompJanta[[#This Row],[EXISTE MOT B AT]]="NÃO"),"NÃO","SIM")</f>
        <v>NÃO</v>
      </c>
      <c r="H77" s="71" t="str">
        <f>IF(autocompJanta[[#This Row],[EXISTE ESCALA ATUAL]]="NÃO",_xlfn.CONCAT(tabJanta[[#This Row],[DATA]]-1,"+",tabJanta[[#This Row],[MOTORISTA]]),"NÃO")</f>
        <v>45897+FRANCISCO CARLOS MELO - 5306</v>
      </c>
      <c r="I77" s="57" t="str">
        <f>IF(autocompJanta[[#This Row],[COMP ESCALA ANTERIOR]]="NÃO","NÃO",_xlfn.XLOOKUP(autocompJanta[[#This Row],[COMP ESCALA ANTERIOR]],tabE.Flux[COMP.AT. MOT A],tabE.Flux[LINHA],"NÃO",0,1))</f>
        <v>NÃO</v>
      </c>
      <c r="J77" s="58" t="str">
        <f>IF(autocompJanta[[#This Row],[COMP ESCALA ANTERIOR]]="NÃO","NÃO",_xlfn.XLOOKUP(autocompJanta[[#This Row],[COMP ESCALA ANTERIOR]],tabE.Flux[COMP.AT. MOT B],tabE.Flux[LINHA],"NÃO",0,1))</f>
        <v>NÃO</v>
      </c>
      <c r="K77" s="62" t="str">
        <f>IF(AND(autocompJanta[[#This Row],[EXISTE MOT A ANT]]="NÃO",autocompJanta[[#This Row],[EXISTE MOT B ANT]]="NÃO"),"NÃO","SIM")</f>
        <v>NÃO</v>
      </c>
      <c r="L77" s="73" t="str">
        <f t="shared" si="2"/>
        <v>45899+FRANCISCO CARLOS MELO - 5306</v>
      </c>
      <c r="M77" s="59" t="str">
        <f>IF(autocompJanta[[#This Row],[COMP ESCALA POSTERIOR]]="NÃO","NÃO",_xlfn.XLOOKUP(autocompJanta[[#This Row],[COMP ESCALA POSTERIOR]],tabE.Flux[COMP.AT. MOT A],tabE.Flux[LINHA],"NÃO",0,1))</f>
        <v>NÃO</v>
      </c>
      <c r="N77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77" s="65" t="str">
        <f>IF(AND(autocompJanta[[#This Row],[EXISTE MOT A POS]]="NÃO",autocompJanta[[#This Row],[EXISTE MOT B POS]]="NÃO"),"NÃO","SIM")</f>
        <v>SIM</v>
      </c>
      <c r="P77" s="66" t="str" cm="1">
        <f t="array" ref="P7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77" s="75" t="str" cm="1">
        <f t="array" ref="Q7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45899+FRANCISCO CARLOS MELO - 5306+GOIANIA (GO) X TERESINA (PI) VIA STI</v>
      </c>
      <c r="R77" s="67">
        <f>_xlfn.XLOOKUP(autocompJanta[[#This Row],[COMP ESCALA]],tabE.Flux[COMP. ESCALA MOT B],tabE.Flux[CARRO],
(_xlfn.XLOOKUP(autocompJanta[[#This Row],[COMP ESCALA]],tabE.Flux[COMP. ESCALA MOT A],tabE.Flux[CARRO],"N/E",0,1)),0,1)</f>
        <v>17300</v>
      </c>
      <c r="S77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77" s="127">
        <v>45898</v>
      </c>
      <c r="U77" s="4">
        <f>IF(IFERROR(autocompJanta[[#This Row],[CORRESP. CARRO]],"")="NÃO",(IF(tabJanta[[#This Row],[MOTORISTA]]=0,"","PASSE?")),autocompJanta[[#This Row],[CORRESP. CARRO]])</f>
        <v>17300</v>
      </c>
      <c r="V77" s="126">
        <f>IF(OR(ISERR(autocompJanta[[#This Row],[CORRESP HORARIO]]), autocompJanta[[#This Row],[CORRESP HORARIO]]&lt;&gt;"NÃO"),autocompJanta[[#This Row],[CORRESP HORARIO]],"")</f>
        <v>0.79861111111111116</v>
      </c>
      <c r="W77" s="4" t="s">
        <v>299</v>
      </c>
      <c r="X77" s="4" t="s">
        <v>142</v>
      </c>
      <c r="Y77" s="1">
        <f>IF(tabJanta[[#This Row],[MOTORISTA]]="","",COUNTIF(autocompJanta[COMP ESCALA ATUAL],autocompJanta[[#This Row],[COMP ESCALA ATUAL]]))</f>
        <v>1</v>
      </c>
      <c r="Z77" s="45">
        <f>IF(tabJanta[[#This Row],[MOTORISTA]]&lt;&gt;0,15,"")</f>
        <v>15</v>
      </c>
      <c r="AA77" s="4" t="str">
        <f>autocompJanta[[#This Row],[CORRESP LINHA]]</f>
        <v>GOIANIA (GO) X TERESINA (PI) VIA STI</v>
      </c>
    </row>
    <row r="78" spans="3:27" hidden="1" x14ac:dyDescent="0.25">
      <c r="C78" s="129" t="s">
        <v>226</v>
      </c>
      <c r="D78" s="56" t="str">
        <f>IF(tabJanta[[#This Row],[MOTORISTA]]="","",_xlfn.CONCAT(tabJanta[[#This Row],[DATA]],"+",tabJanta[[#This Row],[MOTORISTA]]))</f>
        <v>45898+PAULO ENEAS FARIAS ARAUJO - 6218</v>
      </c>
      <c r="E78" s="56" t="str">
        <f>_xlfn.XLOOKUP(autocompJanta[[#This Row],[COMP ESCALA ATUAL]],tabE.Flux[COMP.AT. MOT A],tabE.Flux[LINHA],"NÃO",0,1)</f>
        <v>NÃO</v>
      </c>
      <c r="F78" s="56" t="str">
        <f>_xlfn.XLOOKUP(autocompJanta[[#This Row],[COMP ESCALA ATUAL]],tabE.Flux[COMP.AT. MOT B],tabE.Flux[LINHA],"NÃO",0,1)</f>
        <v>IMPERATRIZ (MA) X SÃO LUIS (MA)</v>
      </c>
      <c r="G78" s="61" t="str">
        <f>IF(AND(autocompJanta[[#This Row],[EXISTE MOT A AT]]="NÃO", autocompJanta[[#This Row],[EXISTE MOT B AT]]="NÃO"),"NÃO","SIM")</f>
        <v>SIM</v>
      </c>
      <c r="H78" s="71" t="str">
        <f>IF(autocompJanta[[#This Row],[EXISTE ESCALA ATUAL]]="NÃO",_xlfn.CONCAT(tabJanta[[#This Row],[DATA]]-1,"+",tabJanta[[#This Row],[MOTORISTA]]),"NÃO")</f>
        <v>NÃO</v>
      </c>
      <c r="I78" s="57" t="str">
        <f>IF(autocompJanta[[#This Row],[COMP ESCALA ANTERIOR]]="NÃO","NÃO",_xlfn.XLOOKUP(autocompJanta[[#This Row],[COMP ESCALA ANTERIOR]],tabE.Flux[COMP.AT. MOT A],tabE.Flux[LINHA],"NÃO",0,1))</f>
        <v>NÃO</v>
      </c>
      <c r="J78" s="58" t="str">
        <f>IF(autocompJanta[[#This Row],[COMP ESCALA ANTERIOR]]="NÃO","NÃO",_xlfn.XLOOKUP(autocompJanta[[#This Row],[COMP ESCALA ANTERIOR]],tabE.Flux[COMP.AT. MOT B],tabE.Flux[LINHA],"NÃO",0,1))</f>
        <v>NÃO</v>
      </c>
      <c r="K78" s="62" t="str">
        <f>IF(AND(autocompJanta[[#This Row],[EXISTE MOT A ANT]]="NÃO",autocompJanta[[#This Row],[EXISTE MOT B ANT]]="NÃO"),"NÃO","SIM")</f>
        <v>NÃO</v>
      </c>
      <c r="L78" s="73" t="str">
        <f t="shared" si="2"/>
        <v>45899+PAULO ENEAS FARIAS ARAUJO - 6218</v>
      </c>
      <c r="M78" s="59" t="str">
        <f>IF(autocompJanta[[#This Row],[COMP ESCALA POSTERIOR]]="NÃO","NÃO",_xlfn.XLOOKUP(autocompJanta[[#This Row],[COMP ESCALA POSTERIOR]],tabE.Flux[COMP.AT. MOT A],tabE.Flux[LINHA],"NÃO",0,1))</f>
        <v>NÃO</v>
      </c>
      <c r="N78" s="59" t="str">
        <f>IF(autocompJanta[[#This Row],[COMP ESCALA POSTERIOR]]="NÃO","NÃO",_xlfn.XLOOKUP(autocompJanta[[#This Row],[COMP ESCALA POSTERIOR]],tabE.Flux[COMP.AT. MOT B],tabE.Flux[LINHA],"NÃO",0,1))</f>
        <v>NÃO</v>
      </c>
      <c r="O78" s="65" t="str">
        <f>IF(AND(autocompJanta[[#This Row],[EXISTE MOT A POS]]="NÃO",autocompJanta[[#This Row],[EXISTE MOT B POS]]="NÃO"),"NÃO","SIM")</f>
        <v>NÃO</v>
      </c>
      <c r="P78" s="66" t="str" cm="1">
        <f t="array" ref="P7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IMPERATRIZ (MA) X SÃO LUIS (MA)</v>
      </c>
      <c r="Q78" s="75" t="str" cm="1">
        <f t="array" ref="Q7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45898+PAULO ENEAS FARIAS ARAUJO - 6218+IMPERATRIZ (MA) X SÃO LUIS (MA)</v>
      </c>
      <c r="R78" s="67">
        <f>_xlfn.XLOOKUP(autocompJanta[[#This Row],[COMP ESCALA]],tabE.Flux[COMP. ESCALA MOT B],tabE.Flux[CARRO],
(_xlfn.XLOOKUP(autocompJanta[[#This Row],[COMP ESCALA]],tabE.Flux[COMP. ESCALA MOT A],tabE.Flux[CARRO],"N/E",0,1)),0,1)</f>
        <v>19021</v>
      </c>
      <c r="S78" s="130">
        <f>_xlfn.XLOOKUP(autocompJanta[[#This Row],[COMP ESCALA]],tabE.Flux[COMP. ESCALA MOT A],tabE.Flux[HORARIO],(_xlfn.XLOOKUP(autocompJanta[[#This Row],[COMP ESCALA]],tabE.Flux[COMP. ESCALA MOT B],tabE.Flux[HORARIO],"N/E",0,1)),0,1)</f>
        <v>0.8125</v>
      </c>
      <c r="T78" s="127">
        <v>45898</v>
      </c>
      <c r="U78" s="4">
        <f>IF(IFERROR(autocompJanta[[#This Row],[CORRESP. CARRO]],"")="NÃO",(IF(tabJanta[[#This Row],[MOTORISTA]]=0,"","PASSE?")),autocompJanta[[#This Row],[CORRESP. CARRO]])</f>
        <v>19021</v>
      </c>
      <c r="V78" s="126">
        <f>IF(OR(ISERR(autocompJanta[[#This Row],[CORRESP HORARIO]]), autocompJanta[[#This Row],[CORRESP HORARIO]]&lt;&gt;"NÃO"),autocompJanta[[#This Row],[CORRESP HORARIO]],"")</f>
        <v>0.8125</v>
      </c>
      <c r="W78" s="4" t="s">
        <v>299</v>
      </c>
      <c r="X78" s="4" t="s">
        <v>43</v>
      </c>
      <c r="Y78" s="1">
        <f>IF(tabJanta[[#This Row],[MOTORISTA]]="","",COUNTIF(autocompJanta[COMP ESCALA ATUAL],autocompJanta[[#This Row],[COMP ESCALA ATUAL]]))</f>
        <v>1</v>
      </c>
      <c r="Z78" s="45">
        <f>IF(tabJanta[[#This Row],[MOTORISTA]]&lt;&gt;0,15,"")</f>
        <v>15</v>
      </c>
      <c r="AA78" s="4" t="str">
        <f>autocompJanta[[#This Row],[CORRESP LINHA]]</f>
        <v>IMPERATRIZ (MA) X SÃO LUIS (MA)</v>
      </c>
    </row>
    <row r="79" spans="3:27" hidden="1" x14ac:dyDescent="0.25">
      <c r="C79" s="129" t="s">
        <v>226</v>
      </c>
      <c r="D79" s="56" t="str">
        <f>IF(tabJanta[[#This Row],[MOTORISTA]]="","",_xlfn.CONCAT(tabJanta[[#This Row],[DATA]],"+",tabJanta[[#This Row],[MOTORISTA]]))</f>
        <v>45899+PEDRO PAULO DO NASCIMENTO DO CARMO - 2559</v>
      </c>
      <c r="E79" s="56" t="str">
        <f>_xlfn.XLOOKUP(autocompJanta[[#This Row],[COMP ESCALA ATUAL]],tabE.Flux[COMP.AT. MOT A],tabE.Flux[LINHA],"NÃO",0,1)</f>
        <v>NÃO</v>
      </c>
      <c r="F79" s="56" t="str">
        <f>_xlfn.XLOOKUP(autocompJanta[[#This Row],[COMP ESCALA ATUAL]],tabE.Flux[COMP.AT. MOT B],tabE.Flux[LINHA],"NÃO",0,1)</f>
        <v>FORTALEZA (CE) X SINOP (MT)</v>
      </c>
      <c r="G79" s="61" t="str">
        <f>IF(AND(autocompJanta[[#This Row],[EXISTE MOT A AT]]="NÃO", autocompJanta[[#This Row],[EXISTE MOT B AT]]="NÃO"),"NÃO","SIM")</f>
        <v>SIM</v>
      </c>
      <c r="H79" s="71" t="str">
        <f>IF(autocompJanta[[#This Row],[EXISTE ESCALA ATUAL]]="NÃO",_xlfn.CONCAT(tabJanta[[#This Row],[DATA]]-1,"+",tabJanta[[#This Row],[MOTORISTA]]),"NÃO")</f>
        <v>NÃO</v>
      </c>
      <c r="I79" s="57" t="str">
        <f>IF(autocompJanta[[#This Row],[COMP ESCALA ANTERIOR]]="NÃO","NÃO",_xlfn.XLOOKUP(autocompJanta[[#This Row],[COMP ESCALA ANTERIOR]],tabE.Flux[COMP.AT. MOT A],tabE.Flux[LINHA],"NÃO",0,1))</f>
        <v>NÃO</v>
      </c>
      <c r="J79" s="58" t="str">
        <f>IF(autocompJanta[[#This Row],[COMP ESCALA ANTERIOR]]="NÃO","NÃO",_xlfn.XLOOKUP(autocompJanta[[#This Row],[COMP ESCALA ANTERIOR]],tabE.Flux[COMP.AT. MOT B],tabE.Flux[LINHA],"NÃO",0,1))</f>
        <v>NÃO</v>
      </c>
      <c r="K79" s="62" t="str">
        <f>IF(AND(autocompJanta[[#This Row],[EXISTE MOT A ANT]]="NÃO",autocompJanta[[#This Row],[EXISTE MOT B ANT]]="NÃO"),"NÃO","SIM")</f>
        <v>NÃO</v>
      </c>
      <c r="L79" s="73" t="str">
        <f t="shared" si="2"/>
        <v>45900+PEDRO PAULO DO NASCIMENTO DO CARMO - 2559</v>
      </c>
      <c r="M79" s="59" t="str">
        <f>IF(autocompJanta[[#This Row],[COMP ESCALA POSTERIOR]]="NÃO","NÃO",_xlfn.XLOOKUP(autocompJanta[[#This Row],[COMP ESCALA POSTERIOR]],tabE.Flux[COMP.AT. MOT A],tabE.Flux[LINHA],"NÃO",0,1))</f>
        <v>NÃO</v>
      </c>
      <c r="N79" s="59" t="str">
        <f>IF(autocompJanta[[#This Row],[COMP ESCALA POSTERIOR]]="NÃO","NÃO",_xlfn.XLOOKUP(autocompJanta[[#This Row],[COMP ESCALA POSTERIOR]],tabE.Flux[COMP.AT. MOT B],tabE.Flux[LINHA],"NÃO",0,1))</f>
        <v>NÃO</v>
      </c>
      <c r="O79" s="65" t="str">
        <f>IF(AND(autocompJanta[[#This Row],[EXISTE MOT A POS]]="NÃO",autocompJanta[[#This Row],[EXISTE MOT B POS]]="NÃO"),"NÃO","SIM")</f>
        <v>NÃO</v>
      </c>
      <c r="P79" s="66" t="str" cm="1">
        <f t="array" ref="P7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79" s="75" t="str" cm="1">
        <f t="array" ref="Q7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45899+PEDRO PAULO DO NASCIMENTO DO CARMO - 2559+FORTALEZA (CE) X SINOP (MT)</v>
      </c>
      <c r="R79" s="67">
        <f>_xlfn.XLOOKUP(autocompJanta[[#This Row],[COMP ESCALA]],tabE.Flux[COMP. ESCALA MOT B],tabE.Flux[CARRO],
(_xlfn.XLOOKUP(autocompJanta[[#This Row],[COMP ESCALA]],tabE.Flux[COMP. ESCALA MOT A],tabE.Flux[CARRO],"N/E",0,1)),0,1)</f>
        <v>19022</v>
      </c>
      <c r="S79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79" s="127">
        <v>45899</v>
      </c>
      <c r="U79" s="4">
        <f>IF(IFERROR(autocompJanta[[#This Row],[CORRESP. CARRO]],"")="NÃO",(IF(tabJanta[[#This Row],[MOTORISTA]]=0,"","PASSE?")),autocompJanta[[#This Row],[CORRESP. CARRO]])</f>
        <v>19022</v>
      </c>
      <c r="V79" s="126">
        <f>IF(OR(ISERR(autocompJanta[[#This Row],[CORRESP HORARIO]]), autocompJanta[[#This Row],[CORRESP HORARIO]]&lt;&gt;"NÃO"),autocompJanta[[#This Row],[CORRESP HORARIO]],"")</f>
        <v>0.37708333333333333</v>
      </c>
      <c r="W79" s="4" t="s">
        <v>299</v>
      </c>
      <c r="X79" s="4" t="s">
        <v>175</v>
      </c>
      <c r="Y79" s="1">
        <f>IF(tabJanta[[#This Row],[MOTORISTA]]="","",COUNTIF(autocompJanta[COMP ESCALA ATUAL],autocompJanta[[#This Row],[COMP ESCALA ATUAL]]))</f>
        <v>1</v>
      </c>
      <c r="Z79" s="45">
        <f>IF(tabJanta[[#This Row],[MOTORISTA]]&lt;&gt;0,15,"")</f>
        <v>15</v>
      </c>
      <c r="AA79" s="4" t="str">
        <f>autocompJanta[[#This Row],[CORRESP LINHA]]</f>
        <v>FORTALEZA (CE) X SINOP (MT)</v>
      </c>
    </row>
    <row r="80" spans="3:27" hidden="1" x14ac:dyDescent="0.25">
      <c r="C80" s="129" t="s">
        <v>226</v>
      </c>
      <c r="D80" s="56" t="str">
        <f>IF(tabJanta[[#This Row],[MOTORISTA]]="","",_xlfn.CONCAT(tabJanta[[#This Row],[DATA]],"+",tabJanta[[#This Row],[MOTORISTA]]))</f>
        <v>45899+ALTEMAR DO NASCIMENTO LIMA - 6225</v>
      </c>
      <c r="E80" s="56" t="str">
        <f>_xlfn.XLOOKUP(autocompJanta[[#This Row],[COMP ESCALA ATUAL]],tabE.Flux[COMP.AT. MOT A],tabE.Flux[LINHA],"NÃO",0,1)</f>
        <v>NÃO</v>
      </c>
      <c r="F80" s="56" t="str">
        <f>_xlfn.XLOOKUP(autocompJanta[[#This Row],[COMP ESCALA ATUAL]],tabE.Flux[COMP.AT. MOT B],tabE.Flux[LINHA],"NÃO",0,1)</f>
        <v>GOIANIA (GO) X SAO LUIS (MA)</v>
      </c>
      <c r="G80" s="61" t="str">
        <f>IF(AND(autocompJanta[[#This Row],[EXISTE MOT A AT]]="NÃO", autocompJanta[[#This Row],[EXISTE MOT B AT]]="NÃO"),"NÃO","SIM")</f>
        <v>SIM</v>
      </c>
      <c r="H80" s="71" t="str">
        <f>IF(autocompJanta[[#This Row],[EXISTE ESCALA ATUAL]]="NÃO",_xlfn.CONCAT(tabJanta[[#This Row],[DATA]]-1,"+",tabJanta[[#This Row],[MOTORISTA]]),"NÃO")</f>
        <v>NÃO</v>
      </c>
      <c r="I80" s="57" t="str">
        <f>IF(autocompJanta[[#This Row],[COMP ESCALA ANTERIOR]]="NÃO","NÃO",_xlfn.XLOOKUP(autocompJanta[[#This Row],[COMP ESCALA ANTERIOR]],tabE.Flux[COMP.AT. MOT A],tabE.Flux[LINHA],"NÃO",0,1))</f>
        <v>NÃO</v>
      </c>
      <c r="J80" s="58" t="str">
        <f>IF(autocompJanta[[#This Row],[COMP ESCALA ANTERIOR]]="NÃO","NÃO",_xlfn.XLOOKUP(autocompJanta[[#This Row],[COMP ESCALA ANTERIOR]],tabE.Flux[COMP.AT. MOT B],tabE.Flux[LINHA],"NÃO",0,1))</f>
        <v>NÃO</v>
      </c>
      <c r="K80" s="62" t="str">
        <f>IF(AND(autocompJanta[[#This Row],[EXISTE MOT A ANT]]="NÃO",autocompJanta[[#This Row],[EXISTE MOT B ANT]]="NÃO"),"NÃO","SIM")</f>
        <v>NÃO</v>
      </c>
      <c r="L80" s="73" t="str">
        <f t="shared" si="2"/>
        <v>45900+ALTEMAR DO NASCIMENTO LIMA - 6225</v>
      </c>
      <c r="M80" s="59" t="str">
        <f>IF(autocompJanta[[#This Row],[COMP ESCALA POSTERIOR]]="NÃO","NÃO",_xlfn.XLOOKUP(autocompJanta[[#This Row],[COMP ESCALA POSTERIOR]],tabE.Flux[COMP.AT. MOT A],tabE.Flux[LINHA],"NÃO",0,1))</f>
        <v>NÃO</v>
      </c>
      <c r="N80" s="59" t="str">
        <f>IF(autocompJanta[[#This Row],[COMP ESCALA POSTERIOR]]="NÃO","NÃO",_xlfn.XLOOKUP(autocompJanta[[#This Row],[COMP ESCALA POSTERIOR]],tabE.Flux[COMP.AT. MOT B],tabE.Flux[LINHA],"NÃO",0,1))</f>
        <v>NÃO</v>
      </c>
      <c r="O80" s="65" t="str">
        <f>IF(AND(autocompJanta[[#This Row],[EXISTE MOT A POS]]="NÃO",autocompJanta[[#This Row],[EXISTE MOT B POS]]="NÃO"),"NÃO","SIM")</f>
        <v>NÃO</v>
      </c>
      <c r="P80" s="66" t="str" cm="1">
        <f t="array" ref="P8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80" s="75" t="str" cm="1">
        <f t="array" ref="Q8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45899+ALTEMAR DO NASCIMENTO LIMA - 6225+GOIANIA (GO) X SAO LUIS (MA)</v>
      </c>
      <c r="R80" s="67">
        <f>_xlfn.XLOOKUP(autocompJanta[[#This Row],[COMP ESCALA]],tabE.Flux[COMP. ESCALA MOT B],tabE.Flux[CARRO],
(_xlfn.XLOOKUP(autocompJanta[[#This Row],[COMP ESCALA]],tabE.Flux[COMP. ESCALA MOT A],tabE.Flux[CARRO],"N/E",0,1)),0,1)</f>
        <v>20013</v>
      </c>
      <c r="S80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80" s="127">
        <v>45899</v>
      </c>
      <c r="U80" s="4">
        <f>IF(IFERROR(autocompJanta[[#This Row],[CORRESP. CARRO]],"")="NÃO",(IF(tabJanta[[#This Row],[MOTORISTA]]=0,"","PASSE?")),autocompJanta[[#This Row],[CORRESP. CARRO]])</f>
        <v>20013</v>
      </c>
      <c r="V80" s="126">
        <f>IF(OR(ISERR(autocompJanta[[#This Row],[CORRESP HORARIO]]), autocompJanta[[#This Row],[CORRESP HORARIO]]&lt;&gt;"NÃO"),autocompJanta[[#This Row],[CORRESP HORARIO]],"")</f>
        <v>0.47013888888888888</v>
      </c>
      <c r="W80" s="4" t="s">
        <v>299</v>
      </c>
      <c r="X80" s="4" t="s">
        <v>57</v>
      </c>
      <c r="Y80" s="1">
        <f>IF(tabJanta[[#This Row],[MOTORISTA]]="","",COUNTIF(autocompJanta[COMP ESCALA ATUAL],autocompJanta[[#This Row],[COMP ESCALA ATUAL]]))</f>
        <v>1</v>
      </c>
      <c r="Z80" s="45">
        <f>IF(tabJanta[[#This Row],[MOTORISTA]]&lt;&gt;0,15,"")</f>
        <v>15</v>
      </c>
      <c r="AA80" s="4" t="str">
        <f>autocompJanta[[#This Row],[CORRESP LINHA]]</f>
        <v>GOIANIA (GO) X SAO LUIS (MA)</v>
      </c>
    </row>
    <row r="81" spans="3:27" hidden="1" x14ac:dyDescent="0.25">
      <c r="C81" s="129" t="s">
        <v>226</v>
      </c>
      <c r="D81" s="56" t="str">
        <f>IF(tabJanta[[#This Row],[MOTORISTA]]="","",_xlfn.CONCAT(tabJanta[[#This Row],[DATA]],"+",tabJanta[[#This Row],[MOTORISTA]]))</f>
        <v>45899+FABIO MOREIRA DOS SANTOS - 3073</v>
      </c>
      <c r="E81" s="56" t="str">
        <f>_xlfn.XLOOKUP(autocompJanta[[#This Row],[COMP ESCALA ATUAL]],tabE.Flux[COMP.AT. MOT A],tabE.Flux[LINHA],"NÃO",0,1)</f>
        <v>NÃO</v>
      </c>
      <c r="F81" s="56" t="str">
        <f>_xlfn.XLOOKUP(autocompJanta[[#This Row],[COMP ESCALA ATUAL]],tabE.Flux[COMP.AT. MOT B],tabE.Flux[LINHA],"NÃO",0,1)</f>
        <v>GOIANIA (GO) X SAO LUIS (MA)</v>
      </c>
      <c r="G81" s="61" t="str">
        <f>IF(AND(autocompJanta[[#This Row],[EXISTE MOT A AT]]="NÃO", autocompJanta[[#This Row],[EXISTE MOT B AT]]="NÃO"),"NÃO","SIM")</f>
        <v>SIM</v>
      </c>
      <c r="H81" s="71" t="str">
        <f>IF(autocompJanta[[#This Row],[EXISTE ESCALA ATUAL]]="NÃO",_xlfn.CONCAT(tabJanta[[#This Row],[DATA]]-1,"+",tabJanta[[#This Row],[MOTORISTA]]),"NÃO")</f>
        <v>NÃO</v>
      </c>
      <c r="I81" s="57" t="str">
        <f>IF(autocompJanta[[#This Row],[COMP ESCALA ANTERIOR]]="NÃO","NÃO",_xlfn.XLOOKUP(autocompJanta[[#This Row],[COMP ESCALA ANTERIOR]],tabE.Flux[COMP.AT. MOT A],tabE.Flux[LINHA],"NÃO",0,1))</f>
        <v>NÃO</v>
      </c>
      <c r="J81" s="58" t="str">
        <f>IF(autocompJanta[[#This Row],[COMP ESCALA ANTERIOR]]="NÃO","NÃO",_xlfn.XLOOKUP(autocompJanta[[#This Row],[COMP ESCALA ANTERIOR]],tabE.Flux[COMP.AT. MOT B],tabE.Flux[LINHA],"NÃO",0,1))</f>
        <v>NÃO</v>
      </c>
      <c r="K81" s="62" t="str">
        <f>IF(AND(autocompJanta[[#This Row],[EXISTE MOT A ANT]]="NÃO",autocompJanta[[#This Row],[EXISTE MOT B ANT]]="NÃO"),"NÃO","SIM")</f>
        <v>NÃO</v>
      </c>
      <c r="L81" s="73" t="str">
        <f t="shared" si="2"/>
        <v>45900+FABIO MOREIRA DOS SANTOS - 3073</v>
      </c>
      <c r="M81" s="59" t="str">
        <f>IF(autocompJanta[[#This Row],[COMP ESCALA POSTERIOR]]="NÃO","NÃO",_xlfn.XLOOKUP(autocompJanta[[#This Row],[COMP ESCALA POSTERIOR]],tabE.Flux[COMP.AT. MOT A],tabE.Flux[LINHA],"NÃO",0,1))</f>
        <v>NÃO</v>
      </c>
      <c r="N81" s="59" t="str">
        <f>IF(autocompJanta[[#This Row],[COMP ESCALA POSTERIOR]]="NÃO","NÃO",_xlfn.XLOOKUP(autocompJanta[[#This Row],[COMP ESCALA POSTERIOR]],tabE.Flux[COMP.AT. MOT B],tabE.Flux[LINHA],"NÃO",0,1))</f>
        <v>NÃO</v>
      </c>
      <c r="O81" s="65" t="str">
        <f>IF(AND(autocompJanta[[#This Row],[EXISTE MOT A POS]]="NÃO",autocompJanta[[#This Row],[EXISTE MOT B POS]]="NÃO"),"NÃO","SIM")</f>
        <v>NÃO</v>
      </c>
      <c r="P81" s="66" t="str" cm="1">
        <f t="array" ref="P8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81" s="75" t="str" cm="1">
        <f t="array" ref="Q8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45899+FABIO MOREIRA DOS SANTOS - 3073+GOIANIA (GO) X SAO LUIS (MA)</v>
      </c>
      <c r="R81" s="67">
        <f>_xlfn.XLOOKUP(autocompJanta[[#This Row],[COMP ESCALA]],tabE.Flux[COMP. ESCALA MOT B],tabE.Flux[CARRO],
(_xlfn.XLOOKUP(autocompJanta[[#This Row],[COMP ESCALA]],tabE.Flux[COMP. ESCALA MOT A],tabE.Flux[CARRO],"N/E",0,1)),0,1)</f>
        <v>19015</v>
      </c>
      <c r="S81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81" s="127">
        <v>45899</v>
      </c>
      <c r="U81" s="4">
        <f>IF(IFERROR(autocompJanta[[#This Row],[CORRESP. CARRO]],"")="NÃO",(IF(tabJanta[[#This Row],[MOTORISTA]]=0,"","PASSE?")),autocompJanta[[#This Row],[CORRESP. CARRO]])</f>
        <v>19015</v>
      </c>
      <c r="V81" s="126">
        <f>IF(OR(ISERR(autocompJanta[[#This Row],[CORRESP HORARIO]]), autocompJanta[[#This Row],[CORRESP HORARIO]]&lt;&gt;"NÃO"),autocompJanta[[#This Row],[CORRESP HORARIO]],"")</f>
        <v>0.29166666666666669</v>
      </c>
      <c r="W81" s="4" t="s">
        <v>299</v>
      </c>
      <c r="X81" s="4" t="s">
        <v>50</v>
      </c>
      <c r="Y81" s="1">
        <f>IF(tabJanta[[#This Row],[MOTORISTA]]="","",COUNTIF(autocompJanta[COMP ESCALA ATUAL],autocompJanta[[#This Row],[COMP ESCALA ATUAL]]))</f>
        <v>1</v>
      </c>
      <c r="Z81" s="45">
        <f>IF(tabJanta[[#This Row],[MOTORISTA]]&lt;&gt;0,15,"")</f>
        <v>15</v>
      </c>
      <c r="AA81" s="4" t="str">
        <f>autocompJanta[[#This Row],[CORRESP LINHA]]</f>
        <v>GOIANIA (GO) X SAO LUIS (MA)</v>
      </c>
    </row>
    <row r="82" spans="3:27" hidden="1" x14ac:dyDescent="0.25">
      <c r="C82" s="129" t="s">
        <v>226</v>
      </c>
      <c r="D82" s="56" t="str">
        <f>IF(tabJanta[[#This Row],[MOTORISTA]]="","",_xlfn.CONCAT(tabJanta[[#This Row],[DATA]],"+",tabJanta[[#This Row],[MOTORISTA]]))</f>
        <v>45899+JARDEL DE SOUSA OLIVEIRA - 5992</v>
      </c>
      <c r="E82" s="56" t="str">
        <f>_xlfn.XLOOKUP(autocompJanta[[#This Row],[COMP ESCALA ATUAL]],tabE.Flux[COMP.AT. MOT A],tabE.Flux[LINHA],"NÃO",0,1)</f>
        <v>NÃO</v>
      </c>
      <c r="F82" s="56" t="str">
        <f>_xlfn.XLOOKUP(autocompJanta[[#This Row],[COMP ESCALA ATUAL]],tabE.Flux[COMP.AT. MOT B],tabE.Flux[LINHA],"NÃO",0,1)</f>
        <v>NÃO</v>
      </c>
      <c r="G82" s="61" t="str">
        <f>IF(AND(autocompJanta[[#This Row],[EXISTE MOT A AT]]="NÃO", autocompJanta[[#This Row],[EXISTE MOT B AT]]="NÃO"),"NÃO","SIM")</f>
        <v>NÃO</v>
      </c>
      <c r="H82" s="71" t="str">
        <f>IF(autocompJanta[[#This Row],[EXISTE ESCALA ATUAL]]="NÃO",_xlfn.CONCAT(tabJanta[[#This Row],[DATA]]-1,"+",tabJanta[[#This Row],[MOTORISTA]]),"NÃO")</f>
        <v>45898+JARDEL DE SOUSA OLIVEIRA - 5992</v>
      </c>
      <c r="I82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82" s="58" t="str">
        <f>IF(autocompJanta[[#This Row],[COMP ESCALA ANTERIOR]]="NÃO","NÃO",_xlfn.XLOOKUP(autocompJanta[[#This Row],[COMP ESCALA ANTERIOR]],tabE.Flux[COMP.AT. MOT B],tabE.Flux[LINHA],"NÃO",0,1))</f>
        <v>NÃO</v>
      </c>
      <c r="K82" s="62" t="str">
        <f>IF(AND(autocompJanta[[#This Row],[EXISTE MOT A ANT]]="NÃO",autocompJanta[[#This Row],[EXISTE MOT B ANT]]="NÃO"),"NÃO","SIM")</f>
        <v>SIM</v>
      </c>
      <c r="L82" s="73" t="str">
        <f t="shared" si="2"/>
        <v>45900+JARDEL DE SOUSA OLIVEIRA - 5992</v>
      </c>
      <c r="M82" s="59" t="str">
        <f>IF(autocompJanta[[#This Row],[COMP ESCALA POSTERIOR]]="NÃO","NÃO",_xlfn.XLOOKUP(autocompJanta[[#This Row],[COMP ESCALA POSTERIOR]],tabE.Flux[COMP.AT. MOT A],tabE.Flux[LINHA],"NÃO",0,1))</f>
        <v>NÃO</v>
      </c>
      <c r="N82" s="59" t="str">
        <f>IF(autocompJanta[[#This Row],[COMP ESCALA POSTERIOR]]="NÃO","NÃO",_xlfn.XLOOKUP(autocompJanta[[#This Row],[COMP ESCALA POSTERIOR]],tabE.Flux[COMP.AT. MOT B],tabE.Flux[LINHA],"NÃO",0,1))</f>
        <v>NÃO</v>
      </c>
      <c r="O82" s="65" t="str">
        <f>IF(AND(autocompJanta[[#This Row],[EXISTE MOT A POS]]="NÃO",autocompJanta[[#This Row],[EXISTE MOT B POS]]="NÃO"),"NÃO","SIM")</f>
        <v>NÃO</v>
      </c>
      <c r="P82" s="66" t="str" cm="1">
        <f t="array" ref="P8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82" s="75" t="str" cm="1">
        <f t="array" ref="Q8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45898+JARDEL DE SOUSA OLIVEIRA - 5992+GOIANIA (GO) X TERESINA (PI) VIA STI</v>
      </c>
      <c r="R82" s="67">
        <f>_xlfn.XLOOKUP(autocompJanta[[#This Row],[COMP ESCALA]],tabE.Flux[COMP. ESCALA MOT B],tabE.Flux[CARRO],
(_xlfn.XLOOKUP(autocompJanta[[#This Row],[COMP ESCALA]],tabE.Flux[COMP. ESCALA MOT A],tabE.Flux[CARRO],"N/E",0,1)),0,1)</f>
        <v>20018</v>
      </c>
      <c r="S82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82" s="127">
        <v>45899</v>
      </c>
      <c r="U82" s="4">
        <f>IF(IFERROR(autocompJanta[[#This Row],[CORRESP. CARRO]],"")="NÃO",(IF(tabJanta[[#This Row],[MOTORISTA]]=0,"","PASSE?")),autocompJanta[[#This Row],[CORRESP. CARRO]])</f>
        <v>20018</v>
      </c>
      <c r="V82" s="126">
        <f>IF(OR(ISERR(autocompJanta[[#This Row],[CORRESP HORARIO]]), autocompJanta[[#This Row],[CORRESP HORARIO]]&lt;&gt;"NÃO"),autocompJanta[[#This Row],[CORRESP HORARIO]],"")</f>
        <v>0.79861111111111116</v>
      </c>
      <c r="W82" s="4" t="s">
        <v>299</v>
      </c>
      <c r="X82" s="4" t="s">
        <v>150</v>
      </c>
      <c r="Y82" s="1">
        <f>IF(tabJanta[[#This Row],[MOTORISTA]]="","",COUNTIF(autocompJanta[COMP ESCALA ATUAL],autocompJanta[[#This Row],[COMP ESCALA ATUAL]]))</f>
        <v>1</v>
      </c>
      <c r="Z82" s="45">
        <f>IF(tabJanta[[#This Row],[MOTORISTA]]&lt;&gt;0,15,"")</f>
        <v>15</v>
      </c>
      <c r="AA82" s="4" t="str">
        <f>autocompJanta[[#This Row],[CORRESP LINHA]]</f>
        <v>GOIANIA (GO) X TERESINA (PI) VIA STI</v>
      </c>
    </row>
    <row r="83" spans="3:27" hidden="1" x14ac:dyDescent="0.25">
      <c r="C83" s="129" t="s">
        <v>226</v>
      </c>
      <c r="D83" s="56" t="str">
        <f>IF(tabJanta[[#This Row],[MOTORISTA]]="","",_xlfn.CONCAT(tabJanta[[#This Row],[DATA]],"+",tabJanta[[#This Row],[MOTORISTA]]))</f>
        <v>45899+LAUCEANDO DA SILVA ROCHA - 6220</v>
      </c>
      <c r="E83" s="56" t="str">
        <f>_xlfn.XLOOKUP(autocompJanta[[#This Row],[COMP ESCALA ATUAL]],tabE.Flux[COMP.AT. MOT A],tabE.Flux[LINHA],"NÃO",0,1)</f>
        <v>GOIANIA (GO) X SAO LUIS (MA)</v>
      </c>
      <c r="F83" s="56" t="str">
        <f>_xlfn.XLOOKUP(autocompJanta[[#This Row],[COMP ESCALA ATUAL]],tabE.Flux[COMP.AT. MOT B],tabE.Flux[LINHA],"NÃO",0,1)</f>
        <v>GOIANIA (GO) X SAO LUIS (MA)</v>
      </c>
      <c r="G83" s="61" t="str">
        <f>IF(AND(autocompJanta[[#This Row],[EXISTE MOT A AT]]="NÃO", autocompJanta[[#This Row],[EXISTE MOT B AT]]="NÃO"),"NÃO","SIM")</f>
        <v>SIM</v>
      </c>
      <c r="H83" s="71" t="str">
        <f>IF(autocompJanta[[#This Row],[EXISTE ESCALA ATUAL]]="NÃO",_xlfn.CONCAT(tabJanta[[#This Row],[DATA]]-1,"+",tabJanta[[#This Row],[MOTORISTA]]),"NÃO")</f>
        <v>NÃO</v>
      </c>
      <c r="I83" s="57" t="str">
        <f>IF(autocompJanta[[#This Row],[COMP ESCALA ANTERIOR]]="NÃO","NÃO",_xlfn.XLOOKUP(autocompJanta[[#This Row],[COMP ESCALA ANTERIOR]],tabE.Flux[COMP.AT. MOT A],tabE.Flux[LINHA],"NÃO",0,1))</f>
        <v>NÃO</v>
      </c>
      <c r="J83" s="58" t="str">
        <f>IF(autocompJanta[[#This Row],[COMP ESCALA ANTERIOR]]="NÃO","NÃO",_xlfn.XLOOKUP(autocompJanta[[#This Row],[COMP ESCALA ANTERIOR]],tabE.Flux[COMP.AT. MOT B],tabE.Flux[LINHA],"NÃO",0,1))</f>
        <v>NÃO</v>
      </c>
      <c r="K83" s="62" t="str">
        <f>IF(AND(autocompJanta[[#This Row],[EXISTE MOT A ANT]]="NÃO",autocompJanta[[#This Row],[EXISTE MOT B ANT]]="NÃO"),"NÃO","SIM")</f>
        <v>NÃO</v>
      </c>
      <c r="L83" s="73" t="str">
        <f t="shared" si="2"/>
        <v>45900+LAUCEANDO DA SILVA ROCHA - 6220</v>
      </c>
      <c r="M83" s="59" t="str">
        <f>IF(autocompJanta[[#This Row],[COMP ESCALA POSTERIOR]]="NÃO","NÃO",_xlfn.XLOOKUP(autocompJanta[[#This Row],[COMP ESCALA POSTERIOR]],tabE.Flux[COMP.AT. MOT A],tabE.Flux[LINHA],"NÃO",0,1))</f>
        <v>NÃO</v>
      </c>
      <c r="N83" s="59" t="str">
        <f>IF(autocompJanta[[#This Row],[COMP ESCALA POSTERIOR]]="NÃO","NÃO",_xlfn.XLOOKUP(autocompJanta[[#This Row],[COMP ESCALA POSTERIOR]],tabE.Flux[COMP.AT. MOT B],tabE.Flux[LINHA],"NÃO",0,1))</f>
        <v>NÃO</v>
      </c>
      <c r="O83" s="65" t="str">
        <f>IF(AND(autocompJanta[[#This Row],[EXISTE MOT A POS]]="NÃO",autocompJanta[[#This Row],[EXISTE MOT B POS]]="NÃO"),"NÃO","SIM")</f>
        <v>NÃO</v>
      </c>
      <c r="P83" s="66" t="str" cm="1">
        <f t="array" ref="P8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83" s="75" t="str" cm="1">
        <f t="array" ref="Q8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45899+LAUCEANDO DA SILVA ROCHA - 6220+GOIANIA (GO) X SAO LUIS (MA)</v>
      </c>
      <c r="R83" s="67">
        <f>_xlfn.XLOOKUP(autocompJanta[[#This Row],[COMP ESCALA]],tabE.Flux[COMP. ESCALA MOT B],tabE.Flux[CARRO],
(_xlfn.XLOOKUP(autocompJanta[[#This Row],[COMP ESCALA]],tabE.Flux[COMP. ESCALA MOT A],tabE.Flux[CARRO],"N/E",0,1)),0,1)</f>
        <v>24006</v>
      </c>
      <c r="S83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83" s="127">
        <v>45899</v>
      </c>
      <c r="U83" s="4">
        <f>IF(IFERROR(autocompJanta[[#This Row],[CORRESP. CARRO]],"")="NÃO",(IF(tabJanta[[#This Row],[MOTORISTA]]=0,"","PASSE?")),autocompJanta[[#This Row],[CORRESP. CARRO]])</f>
        <v>24006</v>
      </c>
      <c r="V83" s="126">
        <f>IF(OR(ISERR(autocompJanta[[#This Row],[CORRESP HORARIO]]), autocompJanta[[#This Row],[CORRESP HORARIO]]&lt;&gt;"NÃO"),autocompJanta[[#This Row],[CORRESP HORARIO]],"")</f>
        <v>0.29166666666666669</v>
      </c>
      <c r="W83" s="4" t="s">
        <v>299</v>
      </c>
      <c r="X83" s="4" t="s">
        <v>86</v>
      </c>
      <c r="Y83" s="1">
        <f>IF(tabJanta[[#This Row],[MOTORISTA]]="","",COUNTIF(autocompJanta[COMP ESCALA ATUAL],autocompJanta[[#This Row],[COMP ESCALA ATUAL]]))</f>
        <v>1</v>
      </c>
      <c r="Z83" s="45">
        <f>IF(tabJanta[[#This Row],[MOTORISTA]]&lt;&gt;0,15,"")</f>
        <v>15</v>
      </c>
      <c r="AA83" s="4" t="str">
        <f>autocompJanta[[#This Row],[CORRESP LINHA]]</f>
        <v>GOIANIA (GO) X SAO LUIS (MA)</v>
      </c>
    </row>
    <row r="84" spans="3:27" hidden="1" x14ac:dyDescent="0.25">
      <c r="C84" s="129" t="s">
        <v>226</v>
      </c>
      <c r="D84" s="56" t="str">
        <f>IF(tabJanta[[#This Row],[MOTORISTA]]="","",_xlfn.CONCAT(tabJanta[[#This Row],[DATA]],"+",tabJanta[[#This Row],[MOTORISTA]]))</f>
        <v>45899+MANOEL MESSIAS SILVA DOS SANTOS - 1833</v>
      </c>
      <c r="E84" s="56" t="str">
        <f>_xlfn.XLOOKUP(autocompJanta[[#This Row],[COMP ESCALA ATUAL]],tabE.Flux[COMP.AT. MOT A],tabE.Flux[LINHA],"NÃO",0,1)</f>
        <v>NÃO</v>
      </c>
      <c r="F84" s="56" t="str">
        <f>_xlfn.XLOOKUP(autocompJanta[[#This Row],[COMP ESCALA ATUAL]],tabE.Flux[COMP.AT. MOT B],tabE.Flux[LINHA],"NÃO",0,1)</f>
        <v>NÃO</v>
      </c>
      <c r="G84" s="61" t="str">
        <f>IF(AND(autocompJanta[[#This Row],[EXISTE MOT A AT]]="NÃO", autocompJanta[[#This Row],[EXISTE MOT B AT]]="NÃO"),"NÃO","SIM")</f>
        <v>NÃO</v>
      </c>
      <c r="H84" s="71" t="str">
        <f>IF(autocompJanta[[#This Row],[EXISTE ESCALA ATUAL]]="NÃO",_xlfn.CONCAT(tabJanta[[#This Row],[DATA]]-1,"+",tabJanta[[#This Row],[MOTORISTA]]),"NÃO")</f>
        <v>45898+MANOEL MESSIAS SILVA DOS SANTOS - 1833</v>
      </c>
      <c r="I84" s="57" t="str">
        <f>IF(autocompJanta[[#This Row],[COMP ESCALA ANTERIOR]]="NÃO","NÃO",_xlfn.XLOOKUP(autocompJanta[[#This Row],[COMP ESCALA ANTERIOR]],tabE.Flux[COMP.AT. MOT A],tabE.Flux[LINHA],"NÃO",0,1))</f>
        <v>FORTALEZA (CE) X SINOP (MT)</v>
      </c>
      <c r="J84" s="58" t="str">
        <f>IF(autocompJanta[[#This Row],[COMP ESCALA ANTERIOR]]="NÃO","NÃO",_xlfn.XLOOKUP(autocompJanta[[#This Row],[COMP ESCALA ANTERIOR]],tabE.Flux[COMP.AT. MOT B],tabE.Flux[LINHA],"NÃO",0,1))</f>
        <v>NÃO</v>
      </c>
      <c r="K84" s="62" t="str">
        <f>IF(AND(autocompJanta[[#This Row],[EXISTE MOT A ANT]]="NÃO",autocompJanta[[#This Row],[EXISTE MOT B ANT]]="NÃO"),"NÃO","SIM")</f>
        <v>SIM</v>
      </c>
      <c r="L84" s="73" t="str">
        <f t="shared" si="2"/>
        <v>45900+MANOEL MESSIAS SILVA DOS SANTOS - 1833</v>
      </c>
      <c r="M84" s="59" t="str">
        <f>IF(autocompJanta[[#This Row],[COMP ESCALA POSTERIOR]]="NÃO","NÃO",_xlfn.XLOOKUP(autocompJanta[[#This Row],[COMP ESCALA POSTERIOR]],tabE.Flux[COMP.AT. MOT A],tabE.Flux[LINHA],"NÃO",0,1))</f>
        <v>NÃO</v>
      </c>
      <c r="N84" s="59" t="str">
        <f>IF(autocompJanta[[#This Row],[COMP ESCALA POSTERIOR]]="NÃO","NÃO",_xlfn.XLOOKUP(autocompJanta[[#This Row],[COMP ESCALA POSTERIOR]],tabE.Flux[COMP.AT. MOT B],tabE.Flux[LINHA],"NÃO",0,1))</f>
        <v>NÃO</v>
      </c>
      <c r="O84" s="65" t="str">
        <f>IF(AND(autocompJanta[[#This Row],[EXISTE MOT A POS]]="NÃO",autocompJanta[[#This Row],[EXISTE MOT B POS]]="NÃO"),"NÃO","SIM")</f>
        <v>NÃO</v>
      </c>
      <c r="P84" s="66" t="str" cm="1">
        <f t="array" ref="P8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84" s="75" t="str" cm="1">
        <f t="array" ref="Q8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45898+MANOEL MESSIAS SILVA DOS SANTOS - 1833+FORTALEZA (CE) X SINOP (MT)</v>
      </c>
      <c r="R84" s="67">
        <f>_xlfn.XLOOKUP(autocompJanta[[#This Row],[COMP ESCALA]],tabE.Flux[COMP. ESCALA MOT B],tabE.Flux[CARRO],
(_xlfn.XLOOKUP(autocompJanta[[#This Row],[COMP ESCALA]],tabE.Flux[COMP. ESCALA MOT A],tabE.Flux[CARRO],"N/E",0,1)),0,1)</f>
        <v>19020</v>
      </c>
      <c r="S84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84" s="127">
        <v>45899</v>
      </c>
      <c r="U84" s="4">
        <f>IF(IFERROR(autocompJanta[[#This Row],[CORRESP. CARRO]],"")="NÃO",(IF(tabJanta[[#This Row],[MOTORISTA]]=0,"","PASSE?")),autocompJanta[[#This Row],[CORRESP. CARRO]])</f>
        <v>19020</v>
      </c>
      <c r="V84" s="126">
        <f>IF(OR(ISERR(autocompJanta[[#This Row],[CORRESP HORARIO]]), autocompJanta[[#This Row],[CORRESP HORARIO]]&lt;&gt;"NÃO"),autocompJanta[[#This Row],[CORRESP HORARIO]],"")</f>
        <v>0.37708333333333333</v>
      </c>
      <c r="W84" s="4" t="s">
        <v>299</v>
      </c>
      <c r="X84" s="4" t="s">
        <v>173</v>
      </c>
      <c r="Y84" s="1">
        <f>IF(tabJanta[[#This Row],[MOTORISTA]]="","",COUNTIF(autocompJanta[COMP ESCALA ATUAL],autocompJanta[[#This Row],[COMP ESCALA ATUAL]]))</f>
        <v>1</v>
      </c>
      <c r="Z84" s="45">
        <f>IF(tabJanta[[#This Row],[MOTORISTA]]&lt;&gt;0,15,"")</f>
        <v>15</v>
      </c>
      <c r="AA84" s="4" t="str">
        <f>autocompJanta[[#This Row],[CORRESP LINHA]]</f>
        <v>FORTALEZA (CE) X SINOP (MT)</v>
      </c>
    </row>
    <row r="85" spans="3:27" hidden="1" x14ac:dyDescent="0.25">
      <c r="C85" s="129" t="s">
        <v>226</v>
      </c>
      <c r="D85" s="56" t="str">
        <f>IF(tabJanta[[#This Row],[MOTORISTA]]="","",_xlfn.CONCAT(tabJanta[[#This Row],[DATA]],"+",tabJanta[[#This Row],[MOTORISTA]]))</f>
        <v>45900+EDIVALDO DE ARAUJO - 6217</v>
      </c>
      <c r="E85" s="56" t="str">
        <f>_xlfn.XLOOKUP(autocompJanta[[#This Row],[COMP ESCALA ATUAL]],tabE.Flux[COMP.AT. MOT A],tabE.Flux[LINHA],"NÃO",0,1)</f>
        <v>NÃO</v>
      </c>
      <c r="F85" s="56" t="str">
        <f>_xlfn.XLOOKUP(autocompJanta[[#This Row],[COMP ESCALA ATUAL]],tabE.Flux[COMP.AT. MOT B],tabE.Flux[LINHA],"NÃO",0,1)</f>
        <v>GOIANIA (GO) X SAO LUIS (MA)</v>
      </c>
      <c r="G85" s="61" t="str">
        <f>IF(AND(autocompJanta[[#This Row],[EXISTE MOT A AT]]="NÃO", autocompJanta[[#This Row],[EXISTE MOT B AT]]="NÃO"),"NÃO","SIM")</f>
        <v>SIM</v>
      </c>
      <c r="H85" s="71" t="str">
        <f>IF(autocompJanta[[#This Row],[EXISTE ESCALA ATUAL]]="NÃO",_xlfn.CONCAT(tabJanta[[#This Row],[DATA]]-1,"+",tabJanta[[#This Row],[MOTORISTA]]),"NÃO")</f>
        <v>NÃO</v>
      </c>
      <c r="I85" s="57" t="str">
        <f>IF(autocompJanta[[#This Row],[COMP ESCALA ANTERIOR]]="NÃO","NÃO",_xlfn.XLOOKUP(autocompJanta[[#This Row],[COMP ESCALA ANTERIOR]],tabE.Flux[COMP.AT. MOT A],tabE.Flux[LINHA],"NÃO",0,1))</f>
        <v>NÃO</v>
      </c>
      <c r="J85" s="58" t="str">
        <f>IF(autocompJanta[[#This Row],[COMP ESCALA ANTERIOR]]="NÃO","NÃO",_xlfn.XLOOKUP(autocompJanta[[#This Row],[COMP ESCALA ANTERIOR]],tabE.Flux[COMP.AT. MOT B],tabE.Flux[LINHA],"NÃO",0,1))</f>
        <v>NÃO</v>
      </c>
      <c r="K85" s="62" t="str">
        <f>IF(AND(autocompJanta[[#This Row],[EXISTE MOT A ANT]]="NÃO",autocompJanta[[#This Row],[EXISTE MOT B ANT]]="NÃO"),"NÃO","SIM")</f>
        <v>NÃO</v>
      </c>
      <c r="L85" s="73" t="str">
        <f t="shared" si="2"/>
        <v>45901+EDIVALDO DE ARAUJO - 6217</v>
      </c>
      <c r="M85" s="59" t="str">
        <f>IF(autocompJanta[[#This Row],[COMP ESCALA POSTERIOR]]="NÃO","NÃO",_xlfn.XLOOKUP(autocompJanta[[#This Row],[COMP ESCALA POSTERIOR]],tabE.Flux[COMP.AT. MOT A],tabE.Flux[LINHA],"NÃO",0,1))</f>
        <v>NÃO</v>
      </c>
      <c r="N85" s="59" t="str">
        <f>IF(autocompJanta[[#This Row],[COMP ESCALA POSTERIOR]]="NÃO","NÃO",_xlfn.XLOOKUP(autocompJanta[[#This Row],[COMP ESCALA POSTERIOR]],tabE.Flux[COMP.AT. MOT B],tabE.Flux[LINHA],"NÃO",0,1))</f>
        <v>NÃO</v>
      </c>
      <c r="O85" s="65" t="str">
        <f>IF(AND(autocompJanta[[#This Row],[EXISTE MOT A POS]]="NÃO",autocompJanta[[#This Row],[EXISTE MOT B POS]]="NÃO"),"NÃO","SIM")</f>
        <v>NÃO</v>
      </c>
      <c r="P85" s="66" t="str" cm="1">
        <f t="array" ref="P8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85" s="75" t="str" cm="1">
        <f t="array" ref="Q8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45900+EDIVALDO DE ARAUJO - 6217+GOIANIA (GO) X SAO LUIS (MA)</v>
      </c>
      <c r="R85" s="67">
        <f>_xlfn.XLOOKUP(autocompJanta[[#This Row],[COMP ESCALA]],tabE.Flux[COMP. ESCALA MOT B],tabE.Flux[CARRO],
(_xlfn.XLOOKUP(autocompJanta[[#This Row],[COMP ESCALA]],tabE.Flux[COMP. ESCALA MOT A],tabE.Flux[CARRO],"N/E",0,1)),0,1)</f>
        <v>19007</v>
      </c>
      <c r="S85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85" s="127">
        <v>45900</v>
      </c>
      <c r="U85" s="4">
        <f>IF(IFERROR(autocompJanta[[#This Row],[CORRESP. CARRO]],"")="NÃO",(IF(tabJanta[[#This Row],[MOTORISTA]]=0,"","PASSE?")),autocompJanta[[#This Row],[CORRESP. CARRO]])</f>
        <v>19007</v>
      </c>
      <c r="V85" s="126">
        <f>IF(OR(ISERR(autocompJanta[[#This Row],[CORRESP HORARIO]]), autocompJanta[[#This Row],[CORRESP HORARIO]]&lt;&gt;"NÃO"),autocompJanta[[#This Row],[CORRESP HORARIO]],"")</f>
        <v>0.47013888888888888</v>
      </c>
      <c r="W85" s="4" t="s">
        <v>299</v>
      </c>
      <c r="X85" s="4" t="s">
        <v>55</v>
      </c>
      <c r="Y85" s="1">
        <f>IF(tabJanta[[#This Row],[MOTORISTA]]="","",COUNTIF(autocompJanta[COMP ESCALA ATUAL],autocompJanta[[#This Row],[COMP ESCALA ATUAL]]))</f>
        <v>1</v>
      </c>
      <c r="Z85" s="45">
        <f>IF(tabJanta[[#This Row],[MOTORISTA]]&lt;&gt;0,15,"")</f>
        <v>15</v>
      </c>
      <c r="AA85" s="4" t="str">
        <f>autocompJanta[[#This Row],[CORRESP LINHA]]</f>
        <v>GOIANIA (GO) X SAO LUIS (MA)</v>
      </c>
    </row>
    <row r="86" spans="3:27" hidden="1" x14ac:dyDescent="0.25">
      <c r="C86" s="129" t="s">
        <v>226</v>
      </c>
      <c r="D86" s="56" t="str">
        <f>IF(tabJanta[[#This Row],[MOTORISTA]]="","",_xlfn.CONCAT(tabJanta[[#This Row],[DATA]],"+",tabJanta[[#This Row],[MOTORISTA]]))</f>
        <v>45900+CARLOS ADRIANO DE SOUZA DO NASCIMENTO - 6222</v>
      </c>
      <c r="E86" s="56" t="str">
        <f>_xlfn.XLOOKUP(autocompJanta[[#This Row],[COMP ESCALA ATUAL]],tabE.Flux[COMP.AT. MOT A],tabE.Flux[LINHA],"NÃO",0,1)</f>
        <v>NÃO</v>
      </c>
      <c r="F86" s="56" t="str">
        <f>_xlfn.XLOOKUP(autocompJanta[[#This Row],[COMP ESCALA ATUAL]],tabE.Flux[COMP.AT. MOT B],tabE.Flux[LINHA],"NÃO",0,1)</f>
        <v>GOIANIA (GO) X SAO LUIS (MA)</v>
      </c>
      <c r="G86" s="61" t="str">
        <f>IF(AND(autocompJanta[[#This Row],[EXISTE MOT A AT]]="NÃO", autocompJanta[[#This Row],[EXISTE MOT B AT]]="NÃO"),"NÃO","SIM")</f>
        <v>SIM</v>
      </c>
      <c r="H86" s="71" t="str">
        <f>IF(autocompJanta[[#This Row],[EXISTE ESCALA ATUAL]]="NÃO",_xlfn.CONCAT(tabJanta[[#This Row],[DATA]]-1,"+",tabJanta[[#This Row],[MOTORISTA]]),"NÃO")</f>
        <v>NÃO</v>
      </c>
      <c r="I86" s="57" t="str">
        <f>IF(autocompJanta[[#This Row],[COMP ESCALA ANTERIOR]]="NÃO","NÃO",_xlfn.XLOOKUP(autocompJanta[[#This Row],[COMP ESCALA ANTERIOR]],tabE.Flux[COMP.AT. MOT A],tabE.Flux[LINHA],"NÃO",0,1))</f>
        <v>NÃO</v>
      </c>
      <c r="J86" s="58" t="str">
        <f>IF(autocompJanta[[#This Row],[COMP ESCALA ANTERIOR]]="NÃO","NÃO",_xlfn.XLOOKUP(autocompJanta[[#This Row],[COMP ESCALA ANTERIOR]],tabE.Flux[COMP.AT. MOT B],tabE.Flux[LINHA],"NÃO",0,1))</f>
        <v>NÃO</v>
      </c>
      <c r="K86" s="62" t="str">
        <f>IF(AND(autocompJanta[[#This Row],[EXISTE MOT A ANT]]="NÃO",autocompJanta[[#This Row],[EXISTE MOT B ANT]]="NÃO"),"NÃO","SIM")</f>
        <v>NÃO</v>
      </c>
      <c r="L86" s="73" t="str">
        <f t="shared" si="2"/>
        <v>45901+CARLOS ADRIANO DE SOUZA DO NASCIMENTO - 6222</v>
      </c>
      <c r="M86" s="59" t="str">
        <f>IF(autocompJanta[[#This Row],[COMP ESCALA POSTERIOR]]="NÃO","NÃO",_xlfn.XLOOKUP(autocompJanta[[#This Row],[COMP ESCALA POSTERIOR]],tabE.Flux[COMP.AT. MOT A],tabE.Flux[LINHA],"NÃO",0,1))</f>
        <v>NÃO</v>
      </c>
      <c r="N86" s="59" t="str">
        <f>IF(autocompJanta[[#This Row],[COMP ESCALA POSTERIOR]]="NÃO","NÃO",_xlfn.XLOOKUP(autocompJanta[[#This Row],[COMP ESCALA POSTERIOR]],tabE.Flux[COMP.AT. MOT B],tabE.Flux[LINHA],"NÃO",0,1))</f>
        <v>NÃO</v>
      </c>
      <c r="O86" s="65" t="str">
        <f>IF(AND(autocompJanta[[#This Row],[EXISTE MOT A POS]]="NÃO",autocompJanta[[#This Row],[EXISTE MOT B POS]]="NÃO"),"NÃO","SIM")</f>
        <v>NÃO</v>
      </c>
      <c r="P86" s="66" t="str" cm="1">
        <f t="array" ref="P8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86" s="75" t="str" cm="1">
        <f t="array" ref="Q8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45900+CARLOS ADRIANO DE SOUZA DO NASCIMENTO - 6222+GOIANIA (GO) X SAO LUIS (MA)</v>
      </c>
      <c r="R86" s="67">
        <f>_xlfn.XLOOKUP(autocompJanta[[#This Row],[COMP ESCALA]],tabE.Flux[COMP. ESCALA MOT B],tabE.Flux[CARRO],
(_xlfn.XLOOKUP(autocompJanta[[#This Row],[COMP ESCALA]],tabE.Flux[COMP. ESCALA MOT A],tabE.Flux[CARRO],"N/E",0,1)),0,1)</f>
        <v>24003</v>
      </c>
      <c r="S86" s="130">
        <f>_xlfn.XLOOKUP(autocompJanta[[#This Row],[COMP ESCALA]],tabE.Flux[COMP. ESCALA MOT A],tabE.Flux[HORARIO],(_xlfn.XLOOKUP(autocompJanta[[#This Row],[COMP ESCALA]],tabE.Flux[COMP. ESCALA MOT B],tabE.Flux[HORARIO],"N/E",0,1)),0,1)</f>
        <v>0.84375</v>
      </c>
      <c r="T86" s="127">
        <v>45900</v>
      </c>
      <c r="U86" s="4">
        <f>IF(IFERROR(autocompJanta[[#This Row],[CORRESP. CARRO]],"")="NÃO",(IF(tabJanta[[#This Row],[MOTORISTA]]=0,"","PASSE?")),autocompJanta[[#This Row],[CORRESP. CARRO]])</f>
        <v>24003</v>
      </c>
      <c r="V86" s="126">
        <f>IF(OR(ISERR(autocompJanta[[#This Row],[CORRESP HORARIO]]), autocompJanta[[#This Row],[CORRESP HORARIO]]&lt;&gt;"NÃO"),autocompJanta[[#This Row],[CORRESP HORARIO]],"")</f>
        <v>0.84375</v>
      </c>
      <c r="W86" s="4" t="s">
        <v>299</v>
      </c>
      <c r="X86" s="4" t="s">
        <v>110</v>
      </c>
      <c r="Y86" s="1">
        <f>IF(tabJanta[[#This Row],[MOTORISTA]]="","",COUNTIF(autocompJanta[COMP ESCALA ATUAL],autocompJanta[[#This Row],[COMP ESCALA ATUAL]]))</f>
        <v>1</v>
      </c>
      <c r="Z86" s="45">
        <f>IF(tabJanta[[#This Row],[MOTORISTA]]&lt;&gt;0,15,"")</f>
        <v>15</v>
      </c>
      <c r="AA86" s="4" t="str">
        <f>autocompJanta[[#This Row],[CORRESP LINHA]]</f>
        <v>GOIANIA (GO) X SAO LUIS (MA)</v>
      </c>
    </row>
    <row r="87" spans="3:27" hidden="1" x14ac:dyDescent="0.25">
      <c r="C87" s="129" t="s">
        <v>226</v>
      </c>
      <c r="D87" s="56" t="str">
        <f>IF(tabJanta[[#This Row],[MOTORISTA]]="","",_xlfn.CONCAT(tabJanta[[#This Row],[DATA]],"+",tabJanta[[#This Row],[MOTORISTA]]))</f>
        <v>45900+RAIMUNDO FERNANDES RIBEIRO - 907</v>
      </c>
      <c r="E87" s="56" t="str">
        <f>_xlfn.XLOOKUP(autocompJanta[[#This Row],[COMP ESCALA ATUAL]],tabE.Flux[COMP.AT. MOT A],tabE.Flux[LINHA],"NÃO",0,1)</f>
        <v>NÃO</v>
      </c>
      <c r="F87" s="56" t="str">
        <f>_xlfn.XLOOKUP(autocompJanta[[#This Row],[COMP ESCALA ATUAL]],tabE.Flux[COMP.AT. MOT B],tabE.Flux[LINHA],"NÃO",0,1)</f>
        <v>IMPERATRIZ (MA) X SÃO LUIS (MA)</v>
      </c>
      <c r="G87" s="61" t="str">
        <f>IF(AND(autocompJanta[[#This Row],[EXISTE MOT A AT]]="NÃO", autocompJanta[[#This Row],[EXISTE MOT B AT]]="NÃO"),"NÃO","SIM")</f>
        <v>SIM</v>
      </c>
      <c r="H87" s="71" t="str">
        <f>IF(autocompJanta[[#This Row],[EXISTE ESCALA ATUAL]]="NÃO",_xlfn.CONCAT(tabJanta[[#This Row],[DATA]]-1,"+",tabJanta[[#This Row],[MOTORISTA]]),"NÃO")</f>
        <v>NÃO</v>
      </c>
      <c r="I87" s="57" t="str">
        <f>IF(autocompJanta[[#This Row],[COMP ESCALA ANTERIOR]]="NÃO","NÃO",_xlfn.XLOOKUP(autocompJanta[[#This Row],[COMP ESCALA ANTERIOR]],tabE.Flux[COMP.AT. MOT A],tabE.Flux[LINHA],"NÃO",0,1))</f>
        <v>NÃO</v>
      </c>
      <c r="J87" s="58" t="str">
        <f>IF(autocompJanta[[#This Row],[COMP ESCALA ANTERIOR]]="NÃO","NÃO",_xlfn.XLOOKUP(autocompJanta[[#This Row],[COMP ESCALA ANTERIOR]],tabE.Flux[COMP.AT. MOT B],tabE.Flux[LINHA],"NÃO",0,1))</f>
        <v>NÃO</v>
      </c>
      <c r="K87" s="62" t="str">
        <f>IF(AND(autocompJanta[[#This Row],[EXISTE MOT A ANT]]="NÃO",autocompJanta[[#This Row],[EXISTE MOT B ANT]]="NÃO"),"NÃO","SIM")</f>
        <v>NÃO</v>
      </c>
      <c r="L87" s="73" t="str">
        <f t="shared" si="2"/>
        <v>45901+RAIMUNDO FERNANDES RIBEIRO - 907</v>
      </c>
      <c r="M87" s="59" t="str">
        <f>IF(autocompJanta[[#This Row],[COMP ESCALA POSTERIOR]]="NÃO","NÃO",_xlfn.XLOOKUP(autocompJanta[[#This Row],[COMP ESCALA POSTERIOR]],tabE.Flux[COMP.AT. MOT A],tabE.Flux[LINHA],"NÃO",0,1))</f>
        <v>NÃO</v>
      </c>
      <c r="N87" s="59" t="str">
        <f>IF(autocompJanta[[#This Row],[COMP ESCALA POSTERIOR]]="NÃO","NÃO",_xlfn.XLOOKUP(autocompJanta[[#This Row],[COMP ESCALA POSTERIOR]],tabE.Flux[COMP.AT. MOT B],tabE.Flux[LINHA],"NÃO",0,1))</f>
        <v>GOIANIA (GO) X BELEM (PA)</v>
      </c>
      <c r="O87" s="65" t="str">
        <f>IF(AND(autocompJanta[[#This Row],[EXISTE MOT A POS]]="NÃO",autocompJanta[[#This Row],[EXISTE MOT B POS]]="NÃO"),"NÃO","SIM")</f>
        <v>SIM</v>
      </c>
      <c r="P87" s="66" t="str" cm="1">
        <f t="array" ref="P8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IMPERATRIZ (MA) X SÃO LUIS (MA)</v>
      </c>
      <c r="Q87" s="75" t="str" cm="1">
        <f t="array" ref="Q8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45900+RAIMUNDO FERNANDES RIBEIRO - 907+IMPERATRIZ (MA) X SÃO LUIS (MA)</v>
      </c>
      <c r="R87" s="67">
        <f>_xlfn.XLOOKUP(autocompJanta[[#This Row],[COMP ESCALA]],tabE.Flux[COMP. ESCALA MOT B],tabE.Flux[CARRO],
(_xlfn.XLOOKUP(autocompJanta[[#This Row],[COMP ESCALA]],tabE.Flux[COMP. ESCALA MOT A],tabE.Flux[CARRO],"N/E",0,1)),0,1)</f>
        <v>19019</v>
      </c>
      <c r="S87" s="130">
        <f>_xlfn.XLOOKUP(autocompJanta[[#This Row],[COMP ESCALA]],tabE.Flux[COMP. ESCALA MOT A],tabE.Flux[HORARIO],(_xlfn.XLOOKUP(autocompJanta[[#This Row],[COMP ESCALA]],tabE.Flux[COMP. ESCALA MOT B],tabE.Flux[HORARIO],"N/E",0,1)),0,1)</f>
        <v>0.79513888888888884</v>
      </c>
      <c r="T87" s="127">
        <v>45900</v>
      </c>
      <c r="U87" s="4">
        <f>IF(IFERROR(autocompJanta[[#This Row],[CORRESP. CARRO]],"")="NÃO",(IF(tabJanta[[#This Row],[MOTORISTA]]=0,"","PASSE?")),autocompJanta[[#This Row],[CORRESP. CARRO]])</f>
        <v>19019</v>
      </c>
      <c r="V87" s="126">
        <f>IF(OR(ISERR(autocompJanta[[#This Row],[CORRESP HORARIO]]), autocompJanta[[#This Row],[CORRESP HORARIO]]&lt;&gt;"NÃO"),autocompJanta[[#This Row],[CORRESP HORARIO]],"")</f>
        <v>0.79513888888888884</v>
      </c>
      <c r="W87" s="4" t="s">
        <v>299</v>
      </c>
      <c r="X87" s="4" t="s">
        <v>143</v>
      </c>
      <c r="Y87" s="1">
        <f>IF(tabJanta[[#This Row],[MOTORISTA]]="","",COUNTIF(autocompJanta[COMP ESCALA ATUAL],autocompJanta[[#This Row],[COMP ESCALA ATUAL]]))</f>
        <v>1</v>
      </c>
      <c r="Z87" s="45">
        <f>IF(tabJanta[[#This Row],[MOTORISTA]]&lt;&gt;0,15,"")</f>
        <v>15</v>
      </c>
      <c r="AA87" s="4" t="str">
        <f>autocompJanta[[#This Row],[CORRESP LINHA]]</f>
        <v>IMPERATRIZ (MA) X SÃO LUIS (MA)</v>
      </c>
    </row>
    <row r="88" spans="3:27" hidden="1" x14ac:dyDescent="0.25">
      <c r="C88" s="129" t="s">
        <v>226</v>
      </c>
      <c r="D88" s="56" t="str">
        <f>IF(tabJanta[[#This Row],[MOTORISTA]]="","",_xlfn.CONCAT(tabJanta[[#This Row],[DATA]],"+",tabJanta[[#This Row],[MOTORISTA]]))</f>
        <v>45900+ESIEL COSTA RODRIGUES - 1749</v>
      </c>
      <c r="E88" s="56" t="str">
        <f>_xlfn.XLOOKUP(autocompJanta[[#This Row],[COMP ESCALA ATUAL]],tabE.Flux[COMP.AT. MOT A],tabE.Flux[LINHA],"NÃO",0,1)</f>
        <v>NÃO</v>
      </c>
      <c r="F88" s="56" t="str">
        <f>_xlfn.XLOOKUP(autocompJanta[[#This Row],[COMP ESCALA ATUAL]],tabE.Flux[COMP.AT. MOT B],tabE.Flux[LINHA],"NÃO",0,1)</f>
        <v>GOIANIA (GO) X SAO LUIS (MA)</v>
      </c>
      <c r="G88" s="61" t="str">
        <f>IF(AND(autocompJanta[[#This Row],[EXISTE MOT A AT]]="NÃO", autocompJanta[[#This Row],[EXISTE MOT B AT]]="NÃO"),"NÃO","SIM")</f>
        <v>SIM</v>
      </c>
      <c r="H88" s="71" t="str">
        <f>IF(autocompJanta[[#This Row],[EXISTE ESCALA ATUAL]]="NÃO",_xlfn.CONCAT(tabJanta[[#This Row],[DATA]]-1,"+",tabJanta[[#This Row],[MOTORISTA]]),"NÃO")</f>
        <v>NÃO</v>
      </c>
      <c r="I88" s="57" t="str">
        <f>IF(autocompJanta[[#This Row],[COMP ESCALA ANTERIOR]]="NÃO","NÃO",_xlfn.XLOOKUP(autocompJanta[[#This Row],[COMP ESCALA ANTERIOR]],tabE.Flux[COMP.AT. MOT A],tabE.Flux[LINHA],"NÃO",0,1))</f>
        <v>NÃO</v>
      </c>
      <c r="J88" s="58" t="str">
        <f>IF(autocompJanta[[#This Row],[COMP ESCALA ANTERIOR]]="NÃO","NÃO",_xlfn.XLOOKUP(autocompJanta[[#This Row],[COMP ESCALA ANTERIOR]],tabE.Flux[COMP.AT. MOT B],tabE.Flux[LINHA],"NÃO",0,1))</f>
        <v>NÃO</v>
      </c>
      <c r="K88" s="62" t="str">
        <f>IF(AND(autocompJanta[[#This Row],[EXISTE MOT A ANT]]="NÃO",autocompJanta[[#This Row],[EXISTE MOT B ANT]]="NÃO"),"NÃO","SIM")</f>
        <v>NÃO</v>
      </c>
      <c r="L88" s="73" t="str">
        <f t="shared" si="2"/>
        <v>45901+ESIEL COSTA RODRIGUES - 1749</v>
      </c>
      <c r="M88" s="59" t="str">
        <f>IF(autocompJanta[[#This Row],[COMP ESCALA POSTERIOR]]="NÃO","NÃO",_xlfn.XLOOKUP(autocompJanta[[#This Row],[COMP ESCALA POSTERIOR]],tabE.Flux[COMP.AT. MOT A],tabE.Flux[LINHA],"NÃO",0,1))</f>
        <v>FORTALEZA (CE) X SINOP (MT)</v>
      </c>
      <c r="N88" s="59" t="str">
        <f>IF(autocompJanta[[#This Row],[COMP ESCALA POSTERIOR]]="NÃO","NÃO",_xlfn.XLOOKUP(autocompJanta[[#This Row],[COMP ESCALA POSTERIOR]],tabE.Flux[COMP.AT. MOT B],tabE.Flux[LINHA],"NÃO",0,1))</f>
        <v>NÃO</v>
      </c>
      <c r="O88" s="65" t="str">
        <f>IF(AND(autocompJanta[[#This Row],[EXISTE MOT A POS]]="NÃO",autocompJanta[[#This Row],[EXISTE MOT B POS]]="NÃO"),"NÃO","SIM")</f>
        <v>SIM</v>
      </c>
      <c r="P88" s="66" t="str" cm="1">
        <f t="array" ref="P8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88" s="75" t="str" cm="1">
        <f t="array" ref="Q8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45900+ESIEL COSTA RODRIGUES - 1749+GOIANIA (GO) X SAO LUIS (MA)</v>
      </c>
      <c r="R88" s="67">
        <f>_xlfn.XLOOKUP(autocompJanta[[#This Row],[COMP ESCALA]],tabE.Flux[COMP. ESCALA MOT B],tabE.Flux[CARRO],
(_xlfn.XLOOKUP(autocompJanta[[#This Row],[COMP ESCALA]],tabE.Flux[COMP. ESCALA MOT A],tabE.Flux[CARRO],"N/E",0,1)),0,1)</f>
        <v>24006</v>
      </c>
      <c r="S88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88" s="127">
        <v>45900</v>
      </c>
      <c r="U88" s="4">
        <f>IF(IFERROR(autocompJanta[[#This Row],[CORRESP. CARRO]],"")="NÃO",(IF(tabJanta[[#This Row],[MOTORISTA]]=0,"","PASSE?")),autocompJanta[[#This Row],[CORRESP. CARRO]])</f>
        <v>24006</v>
      </c>
      <c r="V88" s="126">
        <f>IF(OR(ISERR(autocompJanta[[#This Row],[CORRESP HORARIO]]), autocompJanta[[#This Row],[CORRESP HORARIO]]&lt;&gt;"NÃO"),autocompJanta[[#This Row],[CORRESP HORARIO]],"")</f>
        <v>0.79166666666666663</v>
      </c>
      <c r="W88" s="4" t="s">
        <v>299</v>
      </c>
      <c r="X88" s="4" t="s">
        <v>46</v>
      </c>
      <c r="Y88" s="1">
        <f>IF(tabJanta[[#This Row],[MOTORISTA]]="","",COUNTIF(autocompJanta[COMP ESCALA ATUAL],autocompJanta[[#This Row],[COMP ESCALA ATUAL]]))</f>
        <v>1</v>
      </c>
      <c r="Z88" s="45">
        <f>IF(tabJanta[[#This Row],[MOTORISTA]]&lt;&gt;0,15,"")</f>
        <v>15</v>
      </c>
      <c r="AA88" s="4" t="str">
        <f>autocompJanta[[#This Row],[CORRESP LINHA]]</f>
        <v>GOIANIA (GO) X SAO LUIS (MA)</v>
      </c>
    </row>
    <row r="89" spans="3:27" hidden="1" x14ac:dyDescent="0.25">
      <c r="C89" s="129" t="s">
        <v>226</v>
      </c>
      <c r="D89" s="56" t="str">
        <f>IF(tabJanta[[#This Row],[MOTORISTA]]="","",_xlfn.CONCAT(tabJanta[[#This Row],[DATA]],"+",tabJanta[[#This Row],[MOTORISTA]]))</f>
        <v>45900+AELSON PEREIRA DO NASCIMENTO - 5682</v>
      </c>
      <c r="E89" s="56" t="str">
        <f>_xlfn.XLOOKUP(autocompJanta[[#This Row],[COMP ESCALA ATUAL]],tabE.Flux[COMP.AT. MOT A],tabE.Flux[LINHA],"NÃO",0,1)</f>
        <v>NÃO</v>
      </c>
      <c r="F89" s="56" t="str">
        <f>_xlfn.XLOOKUP(autocompJanta[[#This Row],[COMP ESCALA ATUAL]],tabE.Flux[COMP.AT. MOT B],tabE.Flux[LINHA],"NÃO",0,1)</f>
        <v>NÃO</v>
      </c>
      <c r="G89" s="61" t="str">
        <f>IF(AND(autocompJanta[[#This Row],[EXISTE MOT A AT]]="NÃO", autocompJanta[[#This Row],[EXISTE MOT B AT]]="NÃO"),"NÃO","SIM")</f>
        <v>NÃO</v>
      </c>
      <c r="H89" s="71" t="str">
        <f>IF(autocompJanta[[#This Row],[EXISTE ESCALA ATUAL]]="NÃO",_xlfn.CONCAT(tabJanta[[#This Row],[DATA]]-1,"+",tabJanta[[#This Row],[MOTORISTA]]),"NÃO")</f>
        <v>45899+AELSON PEREIRA DO NASCIMENTO - 5682</v>
      </c>
      <c r="I89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89" s="58" t="str">
        <f>IF(autocompJanta[[#This Row],[COMP ESCALA ANTERIOR]]="NÃO","NÃO",_xlfn.XLOOKUP(autocompJanta[[#This Row],[COMP ESCALA ANTERIOR]],tabE.Flux[COMP.AT. MOT B],tabE.Flux[LINHA],"NÃO",0,1))</f>
        <v>NÃO</v>
      </c>
      <c r="K89" s="62" t="str">
        <f>IF(AND(autocompJanta[[#This Row],[EXISTE MOT A ANT]]="NÃO",autocompJanta[[#This Row],[EXISTE MOT B ANT]]="NÃO"),"NÃO","SIM")</f>
        <v>SIM</v>
      </c>
      <c r="L89" s="73" t="str">
        <f t="shared" si="2"/>
        <v>45901+AELSON PEREIRA DO NASCIMENTO - 5682</v>
      </c>
      <c r="M89" s="59" t="str">
        <f>IF(autocompJanta[[#This Row],[COMP ESCALA POSTERIOR]]="NÃO","NÃO",_xlfn.XLOOKUP(autocompJanta[[#This Row],[COMP ESCALA POSTERIOR]],tabE.Flux[COMP.AT. MOT A],tabE.Flux[LINHA],"NÃO",0,1))</f>
        <v>NÃO</v>
      </c>
      <c r="N89" s="59" t="str">
        <f>IF(autocompJanta[[#This Row],[COMP ESCALA POSTERIOR]]="NÃO","NÃO",_xlfn.XLOOKUP(autocompJanta[[#This Row],[COMP ESCALA POSTERIOR]],tabE.Flux[COMP.AT. MOT B],tabE.Flux[LINHA],"NÃO",0,1))</f>
        <v>NÃO</v>
      </c>
      <c r="O89" s="65" t="str">
        <f>IF(AND(autocompJanta[[#This Row],[EXISTE MOT A POS]]="NÃO",autocompJanta[[#This Row],[EXISTE MOT B POS]]="NÃO"),"NÃO","SIM")</f>
        <v>NÃO</v>
      </c>
      <c r="P89" s="66" t="str" cm="1">
        <f t="array" ref="P8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89" s="75" t="str" cm="1">
        <f t="array" ref="Q8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45899+AELSON PEREIRA DO NASCIMENTO - 5682+GOIANIA (GO) X TERESINA (PI) VIA STI</v>
      </c>
      <c r="R89" s="67">
        <f>_xlfn.XLOOKUP(autocompJanta[[#This Row],[COMP ESCALA]],tabE.Flux[COMP. ESCALA MOT B],tabE.Flux[CARRO],
(_xlfn.XLOOKUP(autocompJanta[[#This Row],[COMP ESCALA]],tabE.Flux[COMP. ESCALA MOT A],tabE.Flux[CARRO],"N/E",0,1)),0,1)</f>
        <v>17300</v>
      </c>
      <c r="S89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89" s="127">
        <v>45900</v>
      </c>
      <c r="U89" s="4">
        <f>IF(IFERROR(autocompJanta[[#This Row],[CORRESP. CARRO]],"")="NÃO",(IF(tabJanta[[#This Row],[MOTORISTA]]=0,"","PASSE?")),autocompJanta[[#This Row],[CORRESP. CARRO]])</f>
        <v>17300</v>
      </c>
      <c r="V89" s="126">
        <f>IF(OR(ISERR(autocompJanta[[#This Row],[CORRESP HORARIO]]), autocompJanta[[#This Row],[CORRESP HORARIO]]&lt;&gt;"NÃO"),autocompJanta[[#This Row],[CORRESP HORARIO]],"")</f>
        <v>0.79861111111111116</v>
      </c>
      <c r="W89" s="4" t="s">
        <v>299</v>
      </c>
      <c r="X89" s="4" t="s">
        <v>88</v>
      </c>
      <c r="Y89" s="1">
        <f>IF(tabJanta[[#This Row],[MOTORISTA]]="","",COUNTIF(autocompJanta[COMP ESCALA ATUAL],autocompJanta[[#This Row],[COMP ESCALA ATUAL]]))</f>
        <v>1</v>
      </c>
      <c r="Z89" s="45">
        <f>IF(tabJanta[[#This Row],[MOTORISTA]]&lt;&gt;0,15,"")</f>
        <v>15</v>
      </c>
      <c r="AA89" s="4" t="str">
        <f>autocompJanta[[#This Row],[CORRESP LINHA]]</f>
        <v>GOIANIA (GO) X TERESINA (PI) VIA STI</v>
      </c>
    </row>
    <row r="90" spans="3:27" ht="15" hidden="1" customHeight="1" x14ac:dyDescent="0.25">
      <c r="C90" s="129" t="s">
        <v>226</v>
      </c>
      <c r="D90" s="145" t="str">
        <f>IF(tabJanta[[#This Row],[MOTORISTA]]="","",_xlfn.CONCAT(tabJanta[[#This Row],[DATA]],"+",tabJanta[[#This Row],[MOTORISTA]]))</f>
        <v>45901+JACINTO BATISTA DE SOUSA - 5271</v>
      </c>
      <c r="E90" s="145" t="str">
        <f>_xlfn.XLOOKUP(autocompJanta[[#This Row],[COMP ESCALA ATUAL]],tabE.Flux[COMP.AT. MOT A],tabE.Flux[LINHA],"NÃO",0,1)</f>
        <v>NÃO</v>
      </c>
      <c r="F90" s="145" t="str">
        <f>_xlfn.XLOOKUP(autocompJanta[[#This Row],[COMP ESCALA ATUAL]],tabE.Flux[COMP.AT. MOT B],tabE.Flux[LINHA],"NÃO",0,1)</f>
        <v>FORTALEZA (CE) X SINOP (MT)</v>
      </c>
      <c r="G90" s="146" t="str">
        <f>IF(AND(autocompJanta[[#This Row],[EXISTE MOT A AT]]="NÃO", autocompJanta[[#This Row],[EXISTE MOT B AT]]="NÃO"),"NÃO","SIM")</f>
        <v>SIM</v>
      </c>
      <c r="H90" s="147" t="str">
        <f>IF(autocompJanta[[#This Row],[EXISTE ESCALA ATUAL]]="NÃO",_xlfn.CONCAT(tabJanta[[#This Row],[DATA]]-1,"+",tabJanta[[#This Row],[MOTORISTA]]),"NÃO")</f>
        <v>NÃO</v>
      </c>
      <c r="I90" s="147" t="str">
        <f>IF(autocompJanta[[#This Row],[COMP ESCALA ANTERIOR]]="NÃO","NÃO",_xlfn.XLOOKUP(autocompJanta[[#This Row],[COMP ESCALA ANTERIOR]],tabE.Flux[COMP.AT. MOT A],tabE.Flux[LINHA],"NÃO",0,1))</f>
        <v>NÃO</v>
      </c>
      <c r="J90" s="148" t="str">
        <f>IF(autocompJanta[[#This Row],[COMP ESCALA ANTERIOR]]="NÃO","NÃO",_xlfn.XLOOKUP(autocompJanta[[#This Row],[COMP ESCALA ANTERIOR]],tabE.Flux[COMP.AT. MOT B],tabE.Flux[LINHA],"NÃO",0,1))</f>
        <v>NÃO</v>
      </c>
      <c r="K90" s="149" t="str">
        <f>IF(AND(autocompJanta[[#This Row],[EXISTE MOT A ANT]]="NÃO",autocompJanta[[#This Row],[EXISTE MOT B ANT]]="NÃO"),"NÃO","SIM")</f>
        <v>NÃO</v>
      </c>
      <c r="L90" s="150" t="str">
        <f t="shared" si="2"/>
        <v>45902+JACINTO BATISTA DE SOUSA - 5271</v>
      </c>
      <c r="M90" s="150" t="str">
        <f>IF(autocompJanta[[#This Row],[COMP ESCALA POSTERIOR]]="NÃO","NÃO",_xlfn.XLOOKUP(autocompJanta[[#This Row],[COMP ESCALA POSTERIOR]],tabE.Flux[COMP.AT. MOT A],tabE.Flux[LINHA],"NÃO",0,1))</f>
        <v>NÃO</v>
      </c>
      <c r="N90" s="150" t="str">
        <f>IF(autocompJanta[[#This Row],[COMP ESCALA POSTERIOR]]="NÃO","NÃO",_xlfn.XLOOKUP(autocompJanta[[#This Row],[COMP ESCALA POSTERIOR]],tabE.Flux[COMP.AT. MOT B],tabE.Flux[LINHA],"NÃO",0,1))</f>
        <v>NÃO</v>
      </c>
      <c r="O90" s="151" t="str">
        <f>IF(AND(autocompJanta[[#This Row],[EXISTE MOT A POS]]="NÃO",autocompJanta[[#This Row],[EXISTE MOT B POS]]="NÃO"),"NÃO","SIM")</f>
        <v>NÃO</v>
      </c>
      <c r="P90" s="152" t="str" cm="1">
        <f t="array" ref="P9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90" s="153" t="str" cm="1">
        <f t="array" ref="Q9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45901+JACINTO BATISTA DE SOUSA - 5271+FORTALEZA (CE) X SINOP (MT)</v>
      </c>
      <c r="R90" s="154">
        <f>_xlfn.XLOOKUP(autocompJanta[[#This Row],[COMP ESCALA]],tabE.Flux[COMP. ESCALA MOT B],tabE.Flux[CARRO],
(_xlfn.XLOOKUP(autocompJanta[[#This Row],[COMP ESCALA]],tabE.Flux[COMP. ESCALA MOT A],tabE.Flux[CARRO],"N/E",0,1)),0,1)</f>
        <v>19008</v>
      </c>
      <c r="S90" s="155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90" s="127">
        <v>45901</v>
      </c>
      <c r="U90" s="4">
        <f>IF(IFERROR(autocompJanta[[#This Row],[CORRESP. CARRO]],"")="NÃO",(IF(tabJanta[[#This Row],[MOTORISTA]]=0,"","PASSE?")),autocompJanta[[#This Row],[CORRESP. CARRO]])</f>
        <v>19008</v>
      </c>
      <c r="V90" s="128">
        <f>IF(OR(ISERR(autocompJanta[[#This Row],[CORRESP HORARIO]]), autocompJanta[[#This Row],[CORRESP HORARIO]]&lt;&gt;"NÃO"),autocompJanta[[#This Row],[CORRESP HORARIO]],"")</f>
        <v>0.37708333333333333</v>
      </c>
      <c r="W90" s="4" t="s">
        <v>299</v>
      </c>
      <c r="X90" s="4" t="s">
        <v>104</v>
      </c>
      <c r="Y90" s="4">
        <f>IF(tabJanta[[#This Row],[MOTORISTA]]="","",COUNTIF(autocompJanta[COMP ESCALA ATUAL],autocompJanta[[#This Row],[COMP ESCALA ATUAL]]))</f>
        <v>1</v>
      </c>
      <c r="Z90" s="45">
        <f>IF(tabJanta[[#This Row],[MOTORISTA]]&lt;&gt;0,15,"")</f>
        <v>15</v>
      </c>
      <c r="AA90" s="4" t="str">
        <f>autocompJanta[[#This Row],[CORRESP LINHA]]</f>
        <v>FORTALEZA (CE) X SINOP (MT)</v>
      </c>
    </row>
    <row r="91" spans="3:27" ht="15" hidden="1" customHeight="1" x14ac:dyDescent="0.25">
      <c r="C91" s="129" t="s">
        <v>226</v>
      </c>
      <c r="D91" s="56" t="str">
        <f>IF(tabJanta[[#This Row],[MOTORISTA]]="","",_xlfn.CONCAT(tabJanta[[#This Row],[DATA]],"+",tabJanta[[#This Row],[MOTORISTA]]))</f>
        <v>45901+DAVID ALVES PEREIRA - 5300</v>
      </c>
      <c r="E91" s="56" t="str">
        <f>_xlfn.XLOOKUP(autocompJanta[[#This Row],[COMP ESCALA ATUAL]],tabE.Flux[COMP.AT. MOT A],tabE.Flux[LINHA],"NÃO",0,1)</f>
        <v>NÃO</v>
      </c>
      <c r="F91" s="56" t="str">
        <f>_xlfn.XLOOKUP(autocompJanta[[#This Row],[COMP ESCALA ATUAL]],tabE.Flux[COMP.AT. MOT B],tabE.Flux[LINHA],"NÃO",0,1)</f>
        <v>NÃO</v>
      </c>
      <c r="G91" s="61" t="str">
        <f>IF(AND(autocompJanta[[#This Row],[EXISTE MOT A AT]]="NÃO", autocompJanta[[#This Row],[EXISTE MOT B AT]]="NÃO"),"NÃO","SIM")</f>
        <v>NÃO</v>
      </c>
      <c r="H91" s="57" t="str">
        <f>IF(autocompJanta[[#This Row],[EXISTE ESCALA ATUAL]]="NÃO",_xlfn.CONCAT(tabJanta[[#This Row],[DATA]]-1,"+",tabJanta[[#This Row],[MOTORISTA]]),"NÃO")</f>
        <v>45900+DAVID ALVES PEREIRA - 5300</v>
      </c>
      <c r="I91" s="57" t="str">
        <f>IF(autocompJanta[[#This Row],[COMP ESCALA ANTERIOR]]="NÃO","NÃO",_xlfn.XLOOKUP(autocompJanta[[#This Row],[COMP ESCALA ANTERIOR]],tabE.Flux[COMP.AT. MOT A],tabE.Flux[LINHA],"NÃO",0,1))</f>
        <v>NÃO</v>
      </c>
      <c r="J91" s="58" t="str">
        <f>IF(autocompJanta[[#This Row],[COMP ESCALA ANTERIOR]]="NÃO","NÃO",_xlfn.XLOOKUP(autocompJanta[[#This Row],[COMP ESCALA ANTERIOR]],tabE.Flux[COMP.AT. MOT B],tabE.Flux[LINHA],"NÃO",0,1))</f>
        <v>NÃO</v>
      </c>
      <c r="K91" s="62" t="str">
        <f>IF(AND(autocompJanta[[#This Row],[EXISTE MOT A ANT]]="NÃO",autocompJanta[[#This Row],[EXISTE MOT B ANT]]="NÃO"),"NÃO","SIM")</f>
        <v>NÃO</v>
      </c>
      <c r="L91" s="59" t="str">
        <f t="shared" ref="L91:L122" si="3">_xlfn.CONCAT(T91+1,"+",X91)</f>
        <v>45902+DAVID ALVES PEREIRA - 5300</v>
      </c>
      <c r="M91" s="59" t="str">
        <f>IF(autocompJanta[[#This Row],[COMP ESCALA POSTERIOR]]="NÃO","NÃO",_xlfn.XLOOKUP(autocompJanta[[#This Row],[COMP ESCALA POSTERIOR]],tabE.Flux[COMP.AT. MOT A],tabE.Flux[LINHA],"NÃO",0,1))</f>
        <v>NÃO</v>
      </c>
      <c r="N91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91" s="65" t="str">
        <f>IF(AND(autocompJanta[[#This Row],[EXISTE MOT A POS]]="NÃO",autocompJanta[[#This Row],[EXISTE MOT B POS]]="NÃO"),"NÃO","SIM")</f>
        <v>SIM</v>
      </c>
      <c r="P91" s="66" t="str" cm="1">
        <f t="array" ref="P9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91" s="103" t="str" cm="1">
        <f t="array" ref="Q9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45902+DAVID ALVES PEREIRA - 5300+GOIANIA (GO) X TERESINA (PI) VIA STI</v>
      </c>
      <c r="R91" s="67">
        <f>_xlfn.XLOOKUP(autocompJanta[[#This Row],[COMP ESCALA]],tabE.Flux[COMP. ESCALA MOT B],tabE.Flux[CARRO],
(_xlfn.XLOOKUP(autocompJanta[[#This Row],[COMP ESCALA]],tabE.Flux[COMP. ESCALA MOT A],tabE.Flux[CARRO],"N/E",0,1)),0,1)</f>
        <v>20016</v>
      </c>
      <c r="S91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91" s="127">
        <v>45901</v>
      </c>
      <c r="U91" s="4">
        <f>IF(IFERROR(autocompJanta[[#This Row],[CORRESP. CARRO]],"")="NÃO",(IF(tabJanta[[#This Row],[MOTORISTA]]=0,"","PASSE?")),autocompJanta[[#This Row],[CORRESP. CARRO]])</f>
        <v>20016</v>
      </c>
      <c r="V91" s="128">
        <f>IF(OR(ISERR(autocompJanta[[#This Row],[CORRESP HORARIO]]), autocompJanta[[#This Row],[CORRESP HORARIO]]&lt;&gt;"NÃO"),autocompJanta[[#This Row],[CORRESP HORARIO]],"")</f>
        <v>0.79861111111111116</v>
      </c>
      <c r="W91" s="4" t="s">
        <v>299</v>
      </c>
      <c r="X91" s="4" t="s">
        <v>197</v>
      </c>
      <c r="Y91" s="4">
        <f>IF(tabJanta[[#This Row],[MOTORISTA]]="","",COUNTIF(autocompJanta[COMP ESCALA ATUAL],autocompJanta[[#This Row],[COMP ESCALA ATUAL]]))</f>
        <v>1</v>
      </c>
      <c r="Z91" s="45">
        <f>IF(tabJanta[[#This Row],[MOTORISTA]]&lt;&gt;0,15,"")</f>
        <v>15</v>
      </c>
      <c r="AA91" s="4" t="str">
        <f>autocompJanta[[#This Row],[CORRESP LINHA]]</f>
        <v>GOIANIA (GO) X TERESINA (PI) VIA STI</v>
      </c>
    </row>
    <row r="92" spans="3:27" ht="15" hidden="1" customHeight="1" x14ac:dyDescent="0.25">
      <c r="C92" s="129" t="s">
        <v>226</v>
      </c>
      <c r="D92" s="56" t="str">
        <f>IF(tabJanta[[#This Row],[MOTORISTA]]="","",_xlfn.CONCAT(tabJanta[[#This Row],[DATA]],"+",tabJanta[[#This Row],[MOTORISTA]]))</f>
        <v>45901+PAULO ENEAS FARIAS ARAUJO - 6218</v>
      </c>
      <c r="E92" s="56" t="str">
        <f>_xlfn.XLOOKUP(autocompJanta[[#This Row],[COMP ESCALA ATUAL]],tabE.Flux[COMP.AT. MOT A],tabE.Flux[LINHA],"NÃO",0,1)</f>
        <v>NÃO</v>
      </c>
      <c r="F92" s="56" t="str">
        <f>_xlfn.XLOOKUP(autocompJanta[[#This Row],[COMP ESCALA ATUAL]],tabE.Flux[COMP.AT. MOT B],tabE.Flux[LINHA],"NÃO",0,1)</f>
        <v>GOIANIA (GO) X SAO LUIS (MA)</v>
      </c>
      <c r="G92" s="61" t="str">
        <f>IF(AND(autocompJanta[[#This Row],[EXISTE MOT A AT]]="NÃO", autocompJanta[[#This Row],[EXISTE MOT B AT]]="NÃO"),"NÃO","SIM")</f>
        <v>SIM</v>
      </c>
      <c r="H92" s="57" t="str">
        <f>IF(autocompJanta[[#This Row],[EXISTE ESCALA ATUAL]]="NÃO",_xlfn.CONCAT(tabJanta[[#This Row],[DATA]]-1,"+",tabJanta[[#This Row],[MOTORISTA]]),"NÃO")</f>
        <v>NÃO</v>
      </c>
      <c r="I92" s="57" t="str">
        <f>IF(autocompJanta[[#This Row],[COMP ESCALA ANTERIOR]]="NÃO","NÃO",_xlfn.XLOOKUP(autocompJanta[[#This Row],[COMP ESCALA ANTERIOR]],tabE.Flux[COMP.AT. MOT A],tabE.Flux[LINHA],"NÃO",0,1))</f>
        <v>NÃO</v>
      </c>
      <c r="J92" s="58" t="str">
        <f>IF(autocompJanta[[#This Row],[COMP ESCALA ANTERIOR]]="NÃO","NÃO",_xlfn.XLOOKUP(autocompJanta[[#This Row],[COMP ESCALA ANTERIOR]],tabE.Flux[COMP.AT. MOT B],tabE.Flux[LINHA],"NÃO",0,1))</f>
        <v>NÃO</v>
      </c>
      <c r="K92" s="62" t="str">
        <f>IF(AND(autocompJanta[[#This Row],[EXISTE MOT A ANT]]="NÃO",autocompJanta[[#This Row],[EXISTE MOT B ANT]]="NÃO"),"NÃO","SIM")</f>
        <v>NÃO</v>
      </c>
      <c r="L92" s="59" t="str">
        <f t="shared" si="3"/>
        <v>45902+PAULO ENEAS FARIAS ARAUJO - 6218</v>
      </c>
      <c r="M92" s="59" t="str">
        <f>IF(autocompJanta[[#This Row],[COMP ESCALA POSTERIOR]]="NÃO","NÃO",_xlfn.XLOOKUP(autocompJanta[[#This Row],[COMP ESCALA POSTERIOR]],tabE.Flux[COMP.AT. MOT A],tabE.Flux[LINHA],"NÃO",0,1))</f>
        <v>NÃO</v>
      </c>
      <c r="N92" s="59" t="str">
        <f>IF(autocompJanta[[#This Row],[COMP ESCALA POSTERIOR]]="NÃO","NÃO",_xlfn.XLOOKUP(autocompJanta[[#This Row],[COMP ESCALA POSTERIOR]],tabE.Flux[COMP.AT. MOT B],tabE.Flux[LINHA],"NÃO",0,1))</f>
        <v>NÃO</v>
      </c>
      <c r="O92" s="65" t="str">
        <f>IF(AND(autocompJanta[[#This Row],[EXISTE MOT A POS]]="NÃO",autocompJanta[[#This Row],[EXISTE MOT B POS]]="NÃO"),"NÃO","SIM")</f>
        <v>NÃO</v>
      </c>
      <c r="P92" s="66" t="str" cm="1">
        <f t="array" ref="P9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92" s="103" t="str" cm="1">
        <f t="array" ref="Q9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45901+PAULO ENEAS FARIAS ARAUJO - 6218+GOIANIA (GO) X SAO LUIS (MA)</v>
      </c>
      <c r="R92" s="67">
        <f>_xlfn.XLOOKUP(autocompJanta[[#This Row],[COMP ESCALA]],tabE.Flux[COMP. ESCALA MOT B],tabE.Flux[CARRO],
(_xlfn.XLOOKUP(autocompJanta[[#This Row],[COMP ESCALA]],tabE.Flux[COMP. ESCALA MOT A],tabE.Flux[CARRO],"N/E",0,1)),0,1)</f>
        <v>20014</v>
      </c>
      <c r="S92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92" s="127">
        <v>45901</v>
      </c>
      <c r="U92" s="4">
        <f>IF(IFERROR(autocompJanta[[#This Row],[CORRESP. CARRO]],"")="NÃO",(IF(tabJanta[[#This Row],[MOTORISTA]]=0,"","PASSE?")),autocompJanta[[#This Row],[CORRESP. CARRO]])</f>
        <v>20014</v>
      </c>
      <c r="V92" s="128">
        <f>IF(OR(ISERR(autocompJanta[[#This Row],[CORRESP HORARIO]]), autocompJanta[[#This Row],[CORRESP HORARIO]]&lt;&gt;"NÃO"),autocompJanta[[#This Row],[CORRESP HORARIO]],"")</f>
        <v>0.47013888888888888</v>
      </c>
      <c r="W92" s="4" t="s">
        <v>299</v>
      </c>
      <c r="X92" s="4" t="s">
        <v>43</v>
      </c>
      <c r="Y92" s="4">
        <f>IF(tabJanta[[#This Row],[MOTORISTA]]="","",COUNTIF(autocompJanta[COMP ESCALA ATUAL],autocompJanta[[#This Row],[COMP ESCALA ATUAL]]))</f>
        <v>1</v>
      </c>
      <c r="Z92" s="45">
        <f>IF(tabJanta[[#This Row],[MOTORISTA]]&lt;&gt;0,15,"")</f>
        <v>15</v>
      </c>
      <c r="AA92" s="4" t="str">
        <f>autocompJanta[[#This Row],[CORRESP LINHA]]</f>
        <v>GOIANIA (GO) X SAO LUIS (MA)</v>
      </c>
    </row>
    <row r="93" spans="3:27" ht="15" hidden="1" customHeight="1" x14ac:dyDescent="0.25">
      <c r="C93" s="129" t="s">
        <v>226</v>
      </c>
      <c r="D93" s="56" t="str">
        <f>IF(tabJanta[[#This Row],[MOTORISTA]]="","",_xlfn.CONCAT(tabJanta[[#This Row],[DATA]],"+",tabJanta[[#This Row],[MOTORISTA]]))</f>
        <v>45901+LEANDRO DE OLIVEIRA MELO - 2151</v>
      </c>
      <c r="E93" s="56" t="str">
        <f>_xlfn.XLOOKUP(autocompJanta[[#This Row],[COMP ESCALA ATUAL]],tabE.Flux[COMP.AT. MOT A],tabE.Flux[LINHA],"NÃO",0,1)</f>
        <v>FORTALEZA (CE) X SINOP (MT)</v>
      </c>
      <c r="F93" s="56" t="str">
        <f>_xlfn.XLOOKUP(autocompJanta[[#This Row],[COMP ESCALA ATUAL]],tabE.Flux[COMP.AT. MOT B],tabE.Flux[LINHA],"NÃO",0,1)</f>
        <v>NÃO</v>
      </c>
      <c r="G93" s="61" t="str">
        <f>IF(AND(autocompJanta[[#This Row],[EXISTE MOT A AT]]="NÃO", autocompJanta[[#This Row],[EXISTE MOT B AT]]="NÃO"),"NÃO","SIM")</f>
        <v>SIM</v>
      </c>
      <c r="H93" s="57" t="str">
        <f>IF(autocompJanta[[#This Row],[EXISTE ESCALA ATUAL]]="NÃO",_xlfn.CONCAT(tabJanta[[#This Row],[DATA]]-1,"+",tabJanta[[#This Row],[MOTORISTA]]),"NÃO")</f>
        <v>NÃO</v>
      </c>
      <c r="I93" s="57" t="str">
        <f>IF(autocompJanta[[#This Row],[COMP ESCALA ANTERIOR]]="NÃO","NÃO",_xlfn.XLOOKUP(autocompJanta[[#This Row],[COMP ESCALA ANTERIOR]],tabE.Flux[COMP.AT. MOT A],tabE.Flux[LINHA],"NÃO",0,1))</f>
        <v>NÃO</v>
      </c>
      <c r="J93" s="58" t="str">
        <f>IF(autocompJanta[[#This Row],[COMP ESCALA ANTERIOR]]="NÃO","NÃO",_xlfn.XLOOKUP(autocompJanta[[#This Row],[COMP ESCALA ANTERIOR]],tabE.Flux[COMP.AT. MOT B],tabE.Flux[LINHA],"NÃO",0,1))</f>
        <v>NÃO</v>
      </c>
      <c r="K93" s="62" t="str">
        <f>IF(AND(autocompJanta[[#This Row],[EXISTE MOT A ANT]]="NÃO",autocompJanta[[#This Row],[EXISTE MOT B ANT]]="NÃO"),"NÃO","SIM")</f>
        <v>NÃO</v>
      </c>
      <c r="L93" s="59" t="str">
        <f t="shared" si="3"/>
        <v>45902+LEANDRO DE OLIVEIRA MELO - 2151</v>
      </c>
      <c r="M93" s="59" t="str">
        <f>IF(autocompJanta[[#This Row],[COMP ESCALA POSTERIOR]]="NÃO","NÃO",_xlfn.XLOOKUP(autocompJanta[[#This Row],[COMP ESCALA POSTERIOR]],tabE.Flux[COMP.AT. MOT A],tabE.Flux[LINHA],"NÃO",0,1))</f>
        <v>NÃO</v>
      </c>
      <c r="N93" s="59" t="str">
        <f>IF(autocompJanta[[#This Row],[COMP ESCALA POSTERIOR]]="NÃO","NÃO",_xlfn.XLOOKUP(autocompJanta[[#This Row],[COMP ESCALA POSTERIOR]],tabE.Flux[COMP.AT. MOT B],tabE.Flux[LINHA],"NÃO",0,1))</f>
        <v>NÃO</v>
      </c>
      <c r="O93" s="65" t="str">
        <f>IF(AND(autocompJanta[[#This Row],[EXISTE MOT A POS]]="NÃO",autocompJanta[[#This Row],[EXISTE MOT B POS]]="NÃO"),"NÃO","SIM")</f>
        <v>NÃO</v>
      </c>
      <c r="P93" s="66" t="str" cm="1">
        <f t="array" ref="P9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93" s="103" t="str" cm="1">
        <f t="array" ref="Q9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45901+LEANDRO DE OLIVEIRA MELO - 2151+FORTALEZA (CE) X SINOP (MT)</v>
      </c>
      <c r="R93" s="67">
        <f>_xlfn.XLOOKUP(autocompJanta[[#This Row],[COMP ESCALA]],tabE.Flux[COMP. ESCALA MOT B],tabE.Flux[CARRO],
(_xlfn.XLOOKUP(autocompJanta[[#This Row],[COMP ESCALA]],tabE.Flux[COMP. ESCALA MOT A],tabE.Flux[CARRO],"N/E",0,1)),0,1)</f>
        <v>19008</v>
      </c>
      <c r="S93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93" s="127">
        <v>45901</v>
      </c>
      <c r="U93" s="4">
        <f>IF(IFERROR(autocompJanta[[#This Row],[CORRESP. CARRO]],"")="NÃO",(IF(tabJanta[[#This Row],[MOTORISTA]]=0,"","PASSE?")),autocompJanta[[#This Row],[CORRESP. CARRO]])</f>
        <v>19008</v>
      </c>
      <c r="V93" s="128">
        <f>IF(OR(ISERR(autocompJanta[[#This Row],[CORRESP HORARIO]]), autocompJanta[[#This Row],[CORRESP HORARIO]]&lt;&gt;"NÃO"),autocompJanta[[#This Row],[CORRESP HORARIO]],"")</f>
        <v>0.37708333333333333</v>
      </c>
      <c r="W93" s="4" t="s">
        <v>299</v>
      </c>
      <c r="X93" s="4" t="s">
        <v>64</v>
      </c>
      <c r="Y93" s="4">
        <f>IF(tabJanta[[#This Row],[MOTORISTA]]="","",COUNTIF(autocompJanta[COMP ESCALA ATUAL],autocompJanta[[#This Row],[COMP ESCALA ATUAL]]))</f>
        <v>1</v>
      </c>
      <c r="Z93" s="45">
        <f>IF(tabJanta[[#This Row],[MOTORISTA]]&lt;&gt;0,15,"")</f>
        <v>15</v>
      </c>
      <c r="AA93" s="4" t="str">
        <f>autocompJanta[[#This Row],[CORRESP LINHA]]</f>
        <v>FORTALEZA (CE) X SINOP (MT)</v>
      </c>
    </row>
    <row r="94" spans="3:27" ht="15" hidden="1" customHeight="1" x14ac:dyDescent="0.25">
      <c r="C94" s="129" t="s">
        <v>226</v>
      </c>
      <c r="D94" s="56" t="str">
        <f>IF(tabJanta[[#This Row],[MOTORISTA]]="","",_xlfn.CONCAT(tabJanta[[#This Row],[DATA]],"+",tabJanta[[#This Row],[MOTORISTA]]))</f>
        <v>45902+DANYLSON BATISTA SANTANA - 5829</v>
      </c>
      <c r="E94" s="56" t="str">
        <f>_xlfn.XLOOKUP(autocompJanta[[#This Row],[COMP ESCALA ATUAL]],tabE.Flux[COMP.AT. MOT A],tabE.Flux[LINHA],"NÃO",0,1)</f>
        <v>NÃO</v>
      </c>
      <c r="F94" s="56" t="str">
        <f>_xlfn.XLOOKUP(autocompJanta[[#This Row],[COMP ESCALA ATUAL]],tabE.Flux[COMP.AT. MOT B],tabE.Flux[LINHA],"NÃO",0,1)</f>
        <v>FORTALEZA (CE) X SINOP (MT)</v>
      </c>
      <c r="G94" s="61" t="str">
        <f>IF(AND(autocompJanta[[#This Row],[EXISTE MOT A AT]]="NÃO", autocompJanta[[#This Row],[EXISTE MOT B AT]]="NÃO"),"NÃO","SIM")</f>
        <v>SIM</v>
      </c>
      <c r="H94" s="57" t="str">
        <f>IF(autocompJanta[[#This Row],[EXISTE ESCALA ATUAL]]="NÃO",_xlfn.CONCAT(tabJanta[[#This Row],[DATA]]-1,"+",tabJanta[[#This Row],[MOTORISTA]]),"NÃO")</f>
        <v>NÃO</v>
      </c>
      <c r="I94" s="57" t="str">
        <f>IF(autocompJanta[[#This Row],[COMP ESCALA ANTERIOR]]="NÃO","NÃO",_xlfn.XLOOKUP(autocompJanta[[#This Row],[COMP ESCALA ANTERIOR]],tabE.Flux[COMP.AT. MOT A],tabE.Flux[LINHA],"NÃO",0,1))</f>
        <v>NÃO</v>
      </c>
      <c r="J94" s="58" t="str">
        <f>IF(autocompJanta[[#This Row],[COMP ESCALA ANTERIOR]]="NÃO","NÃO",_xlfn.XLOOKUP(autocompJanta[[#This Row],[COMP ESCALA ANTERIOR]],tabE.Flux[COMP.AT. MOT B],tabE.Flux[LINHA],"NÃO",0,1))</f>
        <v>NÃO</v>
      </c>
      <c r="K94" s="62" t="str">
        <f>IF(AND(autocompJanta[[#This Row],[EXISTE MOT A ANT]]="NÃO",autocompJanta[[#This Row],[EXISTE MOT B ANT]]="NÃO"),"NÃO","SIM")</f>
        <v>NÃO</v>
      </c>
      <c r="L94" s="59" t="str">
        <f t="shared" si="3"/>
        <v>45903+DANYLSON BATISTA SANTANA - 5829</v>
      </c>
      <c r="M94" s="59" t="str">
        <f>IF(autocompJanta[[#This Row],[COMP ESCALA POSTERIOR]]="NÃO","NÃO",_xlfn.XLOOKUP(autocompJanta[[#This Row],[COMP ESCALA POSTERIOR]],tabE.Flux[COMP.AT. MOT A],tabE.Flux[LINHA],"NÃO",0,1))</f>
        <v>NÃO</v>
      </c>
      <c r="N94" s="59" t="str">
        <f>IF(autocompJanta[[#This Row],[COMP ESCALA POSTERIOR]]="NÃO","NÃO",_xlfn.XLOOKUP(autocompJanta[[#This Row],[COMP ESCALA POSTERIOR]],tabE.Flux[COMP.AT. MOT B],tabE.Flux[LINHA],"NÃO",0,1))</f>
        <v>NÃO</v>
      </c>
      <c r="O94" s="65" t="str">
        <f>IF(AND(autocompJanta[[#This Row],[EXISTE MOT A POS]]="NÃO",autocompJanta[[#This Row],[EXISTE MOT B POS]]="NÃO"),"NÃO","SIM")</f>
        <v>NÃO</v>
      </c>
      <c r="P94" s="66" t="str" cm="1">
        <f t="array" ref="P9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94" s="103" t="str" cm="1">
        <f t="array" ref="Q9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45902+DANYLSON BATISTA SANTANA - 5829+FORTALEZA (CE) X SINOP (MT)</v>
      </c>
      <c r="R94" s="67">
        <f>_xlfn.XLOOKUP(autocompJanta[[#This Row],[COMP ESCALA]],tabE.Flux[COMP. ESCALA MOT B],tabE.Flux[CARRO],
(_xlfn.XLOOKUP(autocompJanta[[#This Row],[COMP ESCALA]],tabE.Flux[COMP. ESCALA MOT A],tabE.Flux[CARRO],"N/E",0,1)),0,1)</f>
        <v>19011</v>
      </c>
      <c r="S94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94" s="127">
        <v>45902</v>
      </c>
      <c r="U94" s="4">
        <f>IF(IFERROR(autocompJanta[[#This Row],[CORRESP. CARRO]],"")="NÃO",(IF(tabJanta[[#This Row],[MOTORISTA]]=0,"","PASSE?")),autocompJanta[[#This Row],[CORRESP. CARRO]])</f>
        <v>19011</v>
      </c>
      <c r="V94" s="128">
        <f>IF(OR(ISERR(autocompJanta[[#This Row],[CORRESP HORARIO]]), autocompJanta[[#This Row],[CORRESP HORARIO]]&lt;&gt;"NÃO"),autocompJanta[[#This Row],[CORRESP HORARIO]],"")</f>
        <v>0.37708333333333333</v>
      </c>
      <c r="W94" s="4" t="s">
        <v>299</v>
      </c>
      <c r="X94" s="4" t="s">
        <v>60</v>
      </c>
      <c r="Y94" s="4">
        <f>IF(tabJanta[[#This Row],[MOTORISTA]]="","",COUNTIF(autocompJanta[COMP ESCALA ATUAL],autocompJanta[[#This Row],[COMP ESCALA ATUAL]]))</f>
        <v>1</v>
      </c>
      <c r="Z94" s="45">
        <f>IF(tabJanta[[#This Row],[MOTORISTA]]&lt;&gt;0,15,"")</f>
        <v>15</v>
      </c>
      <c r="AA94" s="4" t="str">
        <f>autocompJanta[[#This Row],[CORRESP LINHA]]</f>
        <v>FORTALEZA (CE) X SINOP (MT)</v>
      </c>
    </row>
    <row r="95" spans="3:27" ht="15" hidden="1" customHeight="1" x14ac:dyDescent="0.25">
      <c r="C95" s="129" t="s">
        <v>226</v>
      </c>
      <c r="D95" s="56" t="str">
        <f>IF(tabJanta[[#This Row],[MOTORISTA]]="","",_xlfn.CONCAT(tabJanta[[#This Row],[DATA]],"+",tabJanta[[#This Row],[MOTORISTA]]))</f>
        <v>45902+JOSE POLICARPO DE SOUSA NETO - 1472</v>
      </c>
      <c r="E95" s="56" t="str">
        <f>_xlfn.XLOOKUP(autocompJanta[[#This Row],[COMP ESCALA ATUAL]],tabE.Flux[COMP.AT. MOT A],tabE.Flux[LINHA],"NÃO",0,1)</f>
        <v>NÃO</v>
      </c>
      <c r="F95" s="56" t="str">
        <f>_xlfn.XLOOKUP(autocompJanta[[#This Row],[COMP ESCALA ATUAL]],tabE.Flux[COMP.AT. MOT B],tabE.Flux[LINHA],"NÃO",0,1)</f>
        <v>GOIANIA (GO) X SAO LUIS (MA)</v>
      </c>
      <c r="G95" s="61" t="str">
        <f>IF(AND(autocompJanta[[#This Row],[EXISTE MOT A AT]]="NÃO", autocompJanta[[#This Row],[EXISTE MOT B AT]]="NÃO"),"NÃO","SIM")</f>
        <v>SIM</v>
      </c>
      <c r="H95" s="57" t="str">
        <f>IF(autocompJanta[[#This Row],[EXISTE ESCALA ATUAL]]="NÃO",_xlfn.CONCAT(tabJanta[[#This Row],[DATA]]-1,"+",tabJanta[[#This Row],[MOTORISTA]]),"NÃO")</f>
        <v>NÃO</v>
      </c>
      <c r="I95" s="57" t="str">
        <f>IF(autocompJanta[[#This Row],[COMP ESCALA ANTERIOR]]="NÃO","NÃO",_xlfn.XLOOKUP(autocompJanta[[#This Row],[COMP ESCALA ANTERIOR]],tabE.Flux[COMP.AT. MOT A],tabE.Flux[LINHA],"NÃO",0,1))</f>
        <v>NÃO</v>
      </c>
      <c r="J95" s="58" t="str">
        <f>IF(autocompJanta[[#This Row],[COMP ESCALA ANTERIOR]]="NÃO","NÃO",_xlfn.XLOOKUP(autocompJanta[[#This Row],[COMP ESCALA ANTERIOR]],tabE.Flux[COMP.AT. MOT B],tabE.Flux[LINHA],"NÃO",0,1))</f>
        <v>NÃO</v>
      </c>
      <c r="K95" s="62" t="str">
        <f>IF(AND(autocompJanta[[#This Row],[EXISTE MOT A ANT]]="NÃO",autocompJanta[[#This Row],[EXISTE MOT B ANT]]="NÃO"),"NÃO","SIM")</f>
        <v>NÃO</v>
      </c>
      <c r="L95" s="59" t="str">
        <f t="shared" si="3"/>
        <v>45903+JOSE POLICARPO DE SOUSA NETO - 1472</v>
      </c>
      <c r="M95" s="59" t="str">
        <f>IF(autocompJanta[[#This Row],[COMP ESCALA POSTERIOR]]="NÃO","NÃO",_xlfn.XLOOKUP(autocompJanta[[#This Row],[COMP ESCALA POSTERIOR]],tabE.Flux[COMP.AT. MOT A],tabE.Flux[LINHA],"NÃO",0,1))</f>
        <v>NÃO</v>
      </c>
      <c r="N95" s="59" t="str">
        <f>IF(autocompJanta[[#This Row],[COMP ESCALA POSTERIOR]]="NÃO","NÃO",_xlfn.XLOOKUP(autocompJanta[[#This Row],[COMP ESCALA POSTERIOR]],tabE.Flux[COMP.AT. MOT B],tabE.Flux[LINHA],"NÃO",0,1))</f>
        <v>NÃO</v>
      </c>
      <c r="O95" s="65" t="str">
        <f>IF(AND(autocompJanta[[#This Row],[EXISTE MOT A POS]]="NÃO",autocompJanta[[#This Row],[EXISTE MOT B POS]]="NÃO"),"NÃO","SIM")</f>
        <v>NÃO</v>
      </c>
      <c r="P95" s="66" t="str" cm="1">
        <f t="array" ref="P9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95" s="103" t="str" cm="1">
        <f t="array" ref="Q9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45902+JOSE POLICARPO DE SOUSA NETO - 1472+GOIANIA (GO) X SAO LUIS (MA)</v>
      </c>
      <c r="R95" s="67">
        <f>_xlfn.XLOOKUP(autocompJanta[[#This Row],[COMP ESCALA]],tabE.Flux[COMP. ESCALA MOT B],tabE.Flux[CARRO],
(_xlfn.XLOOKUP(autocompJanta[[#This Row],[COMP ESCALA]],tabE.Flux[COMP. ESCALA MOT A],tabE.Flux[CARRO],"N/E",0,1)),0,1)</f>
        <v>24005</v>
      </c>
      <c r="S95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95" s="127">
        <v>45902</v>
      </c>
      <c r="U95" s="4">
        <f>IF(IFERROR(autocompJanta[[#This Row],[CORRESP. CARRO]],"")="NÃO",(IF(tabJanta[[#This Row],[MOTORISTA]]=0,"","PASSE?")),autocompJanta[[#This Row],[CORRESP. CARRO]])</f>
        <v>24005</v>
      </c>
      <c r="V95" s="128">
        <f>IF(OR(ISERR(autocompJanta[[#This Row],[CORRESP HORARIO]]), autocompJanta[[#This Row],[CORRESP HORARIO]]&lt;&gt;"NÃO"),autocompJanta[[#This Row],[CORRESP HORARIO]],"")</f>
        <v>0.79166666666666663</v>
      </c>
      <c r="W95" s="4" t="s">
        <v>299</v>
      </c>
      <c r="X95" s="4" t="s">
        <v>54</v>
      </c>
      <c r="Y95" s="4">
        <f>IF(tabJanta[[#This Row],[MOTORISTA]]="","",COUNTIF(autocompJanta[COMP ESCALA ATUAL],autocompJanta[[#This Row],[COMP ESCALA ATUAL]]))</f>
        <v>1</v>
      </c>
      <c r="Z95" s="45">
        <f>IF(tabJanta[[#This Row],[MOTORISTA]]&lt;&gt;0,15,"")</f>
        <v>15</v>
      </c>
      <c r="AA95" s="4" t="str">
        <f>autocompJanta[[#This Row],[CORRESP LINHA]]</f>
        <v>GOIANIA (GO) X SAO LUIS (MA)</v>
      </c>
    </row>
    <row r="96" spans="3:27" ht="15" hidden="1" customHeight="1" x14ac:dyDescent="0.25">
      <c r="C96" s="129" t="s">
        <v>226</v>
      </c>
      <c r="D96" s="56" t="str">
        <f>IF(tabJanta[[#This Row],[MOTORISTA]]="","",_xlfn.CONCAT(tabJanta[[#This Row],[DATA]],"+",tabJanta[[#This Row],[MOTORISTA]]))</f>
        <v>45902+FRANCISCO RAIMUNDO VIANA DE SOUSA - 5314</v>
      </c>
      <c r="E96" s="56" t="str">
        <f>_xlfn.XLOOKUP(autocompJanta[[#This Row],[COMP ESCALA ATUAL]],tabE.Flux[COMP.AT. MOT A],tabE.Flux[LINHA],"NÃO",0,1)</f>
        <v>NÃO</v>
      </c>
      <c r="F96" s="56" t="str">
        <f>_xlfn.XLOOKUP(autocompJanta[[#This Row],[COMP ESCALA ATUAL]],tabE.Flux[COMP.AT. MOT B],tabE.Flux[LINHA],"NÃO",0,1)</f>
        <v>NÃO</v>
      </c>
      <c r="G96" s="61" t="str">
        <f>IF(AND(autocompJanta[[#This Row],[EXISTE MOT A AT]]="NÃO", autocompJanta[[#This Row],[EXISTE MOT B AT]]="NÃO"),"NÃO","SIM")</f>
        <v>NÃO</v>
      </c>
      <c r="H96" s="57" t="str">
        <f>IF(autocompJanta[[#This Row],[EXISTE ESCALA ATUAL]]="NÃO",_xlfn.CONCAT(tabJanta[[#This Row],[DATA]]-1,"+",tabJanta[[#This Row],[MOTORISTA]]),"NÃO")</f>
        <v>45901+FRANCISCO RAIMUNDO VIANA DE SOUSA - 5314</v>
      </c>
      <c r="I96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96" s="58" t="str">
        <f>IF(autocompJanta[[#This Row],[COMP ESCALA ANTERIOR]]="NÃO","NÃO",_xlfn.XLOOKUP(autocompJanta[[#This Row],[COMP ESCALA ANTERIOR]],tabE.Flux[COMP.AT. MOT B],tabE.Flux[LINHA],"NÃO",0,1))</f>
        <v>NÃO</v>
      </c>
      <c r="K96" s="62" t="str">
        <f>IF(AND(autocompJanta[[#This Row],[EXISTE MOT A ANT]]="NÃO",autocompJanta[[#This Row],[EXISTE MOT B ANT]]="NÃO"),"NÃO","SIM")</f>
        <v>SIM</v>
      </c>
      <c r="L96" s="59" t="str">
        <f t="shared" si="3"/>
        <v>45903+FRANCISCO RAIMUNDO VIANA DE SOUSA - 5314</v>
      </c>
      <c r="M96" s="59" t="str">
        <f>IF(autocompJanta[[#This Row],[COMP ESCALA POSTERIOR]]="NÃO","NÃO",_xlfn.XLOOKUP(autocompJanta[[#This Row],[COMP ESCALA POSTERIOR]],tabE.Flux[COMP.AT. MOT A],tabE.Flux[LINHA],"NÃO",0,1))</f>
        <v>NÃO</v>
      </c>
      <c r="N96" s="59" t="str">
        <f>IF(autocompJanta[[#This Row],[COMP ESCALA POSTERIOR]]="NÃO","NÃO",_xlfn.XLOOKUP(autocompJanta[[#This Row],[COMP ESCALA POSTERIOR]],tabE.Flux[COMP.AT. MOT B],tabE.Flux[LINHA],"NÃO",0,1))</f>
        <v>NÃO</v>
      </c>
      <c r="O96" s="65" t="str">
        <f>IF(AND(autocompJanta[[#This Row],[EXISTE MOT A POS]]="NÃO",autocompJanta[[#This Row],[EXISTE MOT B POS]]="NÃO"),"NÃO","SIM")</f>
        <v>NÃO</v>
      </c>
      <c r="P96" s="66" t="str" cm="1">
        <f t="array" ref="P9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96" s="103" t="str" cm="1">
        <f t="array" ref="Q9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45901+FRANCISCO RAIMUNDO VIANA DE SOUSA - 5314+GOIANIA (GO) X TERESINA (PI) VIA STI</v>
      </c>
      <c r="R96" s="67">
        <f>_xlfn.XLOOKUP(autocompJanta[[#This Row],[COMP ESCALA]],tabE.Flux[COMP. ESCALA MOT B],tabE.Flux[CARRO],
(_xlfn.XLOOKUP(autocompJanta[[#This Row],[COMP ESCALA]],tabE.Flux[COMP. ESCALA MOT A],tabE.Flux[CARRO],"N/E",0,1)),0,1)</f>
        <v>19024</v>
      </c>
      <c r="S96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96" s="127">
        <v>45902</v>
      </c>
      <c r="U96" s="4">
        <f>IF(IFERROR(autocompJanta[[#This Row],[CORRESP. CARRO]],"")="NÃO",(IF(tabJanta[[#This Row],[MOTORISTA]]=0,"","PASSE?")),autocompJanta[[#This Row],[CORRESP. CARRO]])</f>
        <v>19024</v>
      </c>
      <c r="V96" s="128">
        <f>IF(OR(ISERR(autocompJanta[[#This Row],[CORRESP HORARIO]]), autocompJanta[[#This Row],[CORRESP HORARIO]]&lt;&gt;"NÃO"),autocompJanta[[#This Row],[CORRESP HORARIO]],"")</f>
        <v>0.79861111111111116</v>
      </c>
      <c r="W96" s="4" t="s">
        <v>299</v>
      </c>
      <c r="X96" s="4" t="s">
        <v>87</v>
      </c>
      <c r="Y96" s="4">
        <f>IF(tabJanta[[#This Row],[MOTORISTA]]="","",COUNTIF(autocompJanta[COMP ESCALA ATUAL],autocompJanta[[#This Row],[COMP ESCALA ATUAL]]))</f>
        <v>1</v>
      </c>
      <c r="Z96" s="45">
        <f>IF(tabJanta[[#This Row],[MOTORISTA]]&lt;&gt;0,15,"")</f>
        <v>15</v>
      </c>
      <c r="AA96" s="4" t="str">
        <f>autocompJanta[[#This Row],[CORRESP LINHA]]</f>
        <v>GOIANIA (GO) X TERESINA (PI) VIA STI</v>
      </c>
    </row>
    <row r="97" spans="3:27" ht="15" hidden="1" customHeight="1" x14ac:dyDescent="0.25">
      <c r="C97" s="129" t="s">
        <v>226</v>
      </c>
      <c r="D97" s="56" t="str">
        <f>IF(tabJanta[[#This Row],[MOTORISTA]]="","",_xlfn.CONCAT(tabJanta[[#This Row],[DATA]],"+",tabJanta[[#This Row],[MOTORISTA]]))</f>
        <v>45903+LAUCEANDO DA SILVA ROCHA - 6220</v>
      </c>
      <c r="E97" s="56" t="str">
        <f>_xlfn.XLOOKUP(autocompJanta[[#This Row],[COMP ESCALA ATUAL]],tabE.Flux[COMP.AT. MOT A],tabE.Flux[LINHA],"NÃO",0,1)</f>
        <v>NÃO</v>
      </c>
      <c r="F97" s="56" t="str">
        <f>_xlfn.XLOOKUP(autocompJanta[[#This Row],[COMP ESCALA ATUAL]],tabE.Flux[COMP.AT. MOT B],tabE.Flux[LINHA],"NÃO",0,1)</f>
        <v>NÃO</v>
      </c>
      <c r="G97" s="61" t="str">
        <f>IF(AND(autocompJanta[[#This Row],[EXISTE MOT A AT]]="NÃO", autocompJanta[[#This Row],[EXISTE MOT B AT]]="NÃO"),"NÃO","SIM")</f>
        <v>NÃO</v>
      </c>
      <c r="H97" s="57" t="str">
        <f>IF(autocompJanta[[#This Row],[EXISTE ESCALA ATUAL]]="NÃO",_xlfn.CONCAT(tabJanta[[#This Row],[DATA]]-1,"+",tabJanta[[#This Row],[MOTORISTA]]),"NÃO")</f>
        <v>45902+LAUCEANDO DA SILVA ROCHA - 6220</v>
      </c>
      <c r="I97" s="57" t="str">
        <f>IF(autocompJanta[[#This Row],[COMP ESCALA ANTERIOR]]="NÃO","NÃO",_xlfn.XLOOKUP(autocompJanta[[#This Row],[COMP ESCALA ANTERIOR]],tabE.Flux[COMP.AT. MOT A],tabE.Flux[LINHA],"NÃO",0,1))</f>
        <v>GOIANIA (GO) X SAO LUIS (MA)</v>
      </c>
      <c r="J97" s="58" t="str">
        <f>IF(autocompJanta[[#This Row],[COMP ESCALA ANTERIOR]]="NÃO","NÃO",_xlfn.XLOOKUP(autocompJanta[[#This Row],[COMP ESCALA ANTERIOR]],tabE.Flux[COMP.AT. MOT B],tabE.Flux[LINHA],"NÃO",0,1))</f>
        <v>GOIANIA (GO) X SAO LUIS (MA)</v>
      </c>
      <c r="K97" s="62" t="str">
        <f>IF(AND(autocompJanta[[#This Row],[EXISTE MOT A ANT]]="NÃO",autocompJanta[[#This Row],[EXISTE MOT B ANT]]="NÃO"),"NÃO","SIM")</f>
        <v>SIM</v>
      </c>
      <c r="L97" s="59" t="str">
        <f t="shared" si="3"/>
        <v>45904+LAUCEANDO DA SILVA ROCHA - 6220</v>
      </c>
      <c r="M97" s="59" t="str">
        <f>IF(autocompJanta[[#This Row],[COMP ESCALA POSTERIOR]]="NÃO","NÃO",_xlfn.XLOOKUP(autocompJanta[[#This Row],[COMP ESCALA POSTERIOR]],tabE.Flux[COMP.AT. MOT A],tabE.Flux[LINHA],"NÃO",0,1))</f>
        <v>GOIANIA (GO) X SAO LUIS (MA)</v>
      </c>
      <c r="N97" s="59" t="str">
        <f>IF(autocompJanta[[#This Row],[COMP ESCALA POSTERIOR]]="NÃO","NÃO",_xlfn.XLOOKUP(autocompJanta[[#This Row],[COMP ESCALA POSTERIOR]],tabE.Flux[COMP.AT. MOT B],tabE.Flux[LINHA],"NÃO",0,1))</f>
        <v>NÃO</v>
      </c>
      <c r="O97" s="65" t="str">
        <f>IF(AND(autocompJanta[[#This Row],[EXISTE MOT A POS]]="NÃO",autocompJanta[[#This Row],[EXISTE MOT B POS]]="NÃO"),"NÃO","SIM")</f>
        <v>SIM</v>
      </c>
      <c r="P97" s="66" t="str" cm="1">
        <f t="array" ref="P9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97" s="103" t="str" cm="1">
        <f t="array" ref="Q9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45902+LAUCEANDO DA SILVA ROCHA - 6220+GOIANIA (GO) X SAO LUIS (MA)</v>
      </c>
      <c r="R97" s="67">
        <f>_xlfn.XLOOKUP(autocompJanta[[#This Row],[COMP ESCALA]],tabE.Flux[COMP. ESCALA MOT B],tabE.Flux[CARRO],
(_xlfn.XLOOKUP(autocompJanta[[#This Row],[COMP ESCALA]],tabE.Flux[COMP. ESCALA MOT A],tabE.Flux[CARRO],"N/E",0,1)),0,1)</f>
        <v>24014</v>
      </c>
      <c r="S97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97" s="127">
        <v>45903</v>
      </c>
      <c r="U97" s="4">
        <f>IF(IFERROR(autocompJanta[[#This Row],[CORRESP. CARRO]],"")="NÃO",(IF(tabJanta[[#This Row],[MOTORISTA]]=0,"","PASSE?")),autocompJanta[[#This Row],[CORRESP. CARRO]])</f>
        <v>24014</v>
      </c>
      <c r="V97" s="128">
        <f>IF(OR(ISERR(autocompJanta[[#This Row],[CORRESP HORARIO]]), autocompJanta[[#This Row],[CORRESP HORARIO]]&lt;&gt;"NÃO"),autocompJanta[[#This Row],[CORRESP HORARIO]],"")</f>
        <v>0.29166666666666669</v>
      </c>
      <c r="W97" s="4" t="s">
        <v>299</v>
      </c>
      <c r="X97" s="4" t="s">
        <v>86</v>
      </c>
      <c r="Y97" s="4">
        <f>IF(tabJanta[[#This Row],[MOTORISTA]]="","",COUNTIF(autocompJanta[COMP ESCALA ATUAL],autocompJanta[[#This Row],[COMP ESCALA ATUAL]]))</f>
        <v>1</v>
      </c>
      <c r="Z97" s="45">
        <f>IF(tabJanta[[#This Row],[MOTORISTA]]&lt;&gt;0,15,"")</f>
        <v>15</v>
      </c>
      <c r="AA97" s="4" t="str">
        <f>autocompJanta[[#This Row],[CORRESP LINHA]]</f>
        <v>GOIANIA (GO) X SAO LUIS (MA)</v>
      </c>
    </row>
    <row r="98" spans="3:27" ht="15" hidden="1" customHeight="1" x14ac:dyDescent="0.25">
      <c r="C98" s="129" t="s">
        <v>226</v>
      </c>
      <c r="D98" s="56" t="str">
        <f>IF(tabJanta[[#This Row],[MOTORISTA]]="","",_xlfn.CONCAT(tabJanta[[#This Row],[DATA]],"+",tabJanta[[#This Row],[MOTORISTA]]))</f>
        <v>45903+DANIEL PEREIRA DA ROCHA - 5298</v>
      </c>
      <c r="E98" s="56" t="str">
        <f>_xlfn.XLOOKUP(autocompJanta[[#This Row],[COMP ESCALA ATUAL]],tabE.Flux[COMP.AT. MOT A],tabE.Flux[LINHA],"NÃO",0,1)</f>
        <v>NÃO</v>
      </c>
      <c r="F98" s="56" t="str">
        <f>_xlfn.XLOOKUP(autocompJanta[[#This Row],[COMP ESCALA ATUAL]],tabE.Flux[COMP.AT. MOT B],tabE.Flux[LINHA],"NÃO",0,1)</f>
        <v>GOIANIA (GO) X TERESINA (PI) VIA STI</v>
      </c>
      <c r="G98" s="61" t="str">
        <f>IF(AND(autocompJanta[[#This Row],[EXISTE MOT A AT]]="NÃO", autocompJanta[[#This Row],[EXISTE MOT B AT]]="NÃO"),"NÃO","SIM")</f>
        <v>SIM</v>
      </c>
      <c r="H98" s="57" t="str">
        <f>IF(autocompJanta[[#This Row],[EXISTE ESCALA ATUAL]]="NÃO",_xlfn.CONCAT(tabJanta[[#This Row],[DATA]]-1,"+",tabJanta[[#This Row],[MOTORISTA]]),"NÃO")</f>
        <v>NÃO</v>
      </c>
      <c r="I98" s="57" t="str">
        <f>IF(autocompJanta[[#This Row],[COMP ESCALA ANTERIOR]]="NÃO","NÃO",_xlfn.XLOOKUP(autocompJanta[[#This Row],[COMP ESCALA ANTERIOR]],tabE.Flux[COMP.AT. MOT A],tabE.Flux[LINHA],"NÃO",0,1))</f>
        <v>NÃO</v>
      </c>
      <c r="J98" s="58" t="str">
        <f>IF(autocompJanta[[#This Row],[COMP ESCALA ANTERIOR]]="NÃO","NÃO",_xlfn.XLOOKUP(autocompJanta[[#This Row],[COMP ESCALA ANTERIOR]],tabE.Flux[COMP.AT. MOT B],tabE.Flux[LINHA],"NÃO",0,1))</f>
        <v>NÃO</v>
      </c>
      <c r="K98" s="62" t="str">
        <f>IF(AND(autocompJanta[[#This Row],[EXISTE MOT A ANT]]="NÃO",autocompJanta[[#This Row],[EXISTE MOT B ANT]]="NÃO"),"NÃO","SIM")</f>
        <v>NÃO</v>
      </c>
      <c r="L98" s="59" t="str">
        <f t="shared" si="3"/>
        <v>45904+DANIEL PEREIRA DA ROCHA - 5298</v>
      </c>
      <c r="M98" s="59" t="str">
        <f>IF(autocompJanta[[#This Row],[COMP ESCALA POSTERIOR]]="NÃO","NÃO",_xlfn.XLOOKUP(autocompJanta[[#This Row],[COMP ESCALA POSTERIOR]],tabE.Flux[COMP.AT. MOT A],tabE.Flux[LINHA],"NÃO",0,1))</f>
        <v>NÃO</v>
      </c>
      <c r="N98" s="59" t="str">
        <f>IF(autocompJanta[[#This Row],[COMP ESCALA POSTERIOR]]="NÃO","NÃO",_xlfn.XLOOKUP(autocompJanta[[#This Row],[COMP ESCALA POSTERIOR]],tabE.Flux[COMP.AT. MOT B],tabE.Flux[LINHA],"NÃO",0,1))</f>
        <v>NÃO</v>
      </c>
      <c r="O98" s="65" t="str">
        <f>IF(AND(autocompJanta[[#This Row],[EXISTE MOT A POS]]="NÃO",autocompJanta[[#This Row],[EXISTE MOT B POS]]="NÃO"),"NÃO","SIM")</f>
        <v>NÃO</v>
      </c>
      <c r="P98" s="66" t="str" cm="1">
        <f t="array" ref="P9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98" s="103" t="str" cm="1">
        <f t="array" ref="Q9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45903+DANIEL PEREIRA DA ROCHA - 5298+GOIANIA (GO) X TERESINA (PI) VIA STI</v>
      </c>
      <c r="R98" s="67">
        <f>_xlfn.XLOOKUP(autocompJanta[[#This Row],[COMP ESCALA]],tabE.Flux[COMP. ESCALA MOT B],tabE.Flux[CARRO],
(_xlfn.XLOOKUP(autocompJanta[[#This Row],[COMP ESCALA]],tabE.Flux[COMP. ESCALA MOT A],tabE.Flux[CARRO],"N/E",0,1)),0,1)</f>
        <v>17700</v>
      </c>
      <c r="S98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98" s="127">
        <v>45903</v>
      </c>
      <c r="U98" s="4">
        <f>IF(IFERROR(autocompJanta[[#This Row],[CORRESP. CARRO]],"")="NÃO",(IF(tabJanta[[#This Row],[MOTORISTA]]=0,"","PASSE?")),autocompJanta[[#This Row],[CORRESP. CARRO]])</f>
        <v>17700</v>
      </c>
      <c r="V98" s="128">
        <f>IF(OR(ISERR(autocompJanta[[#This Row],[CORRESP HORARIO]]), autocompJanta[[#This Row],[CORRESP HORARIO]]&lt;&gt;"NÃO"),autocompJanta[[#This Row],[CORRESP HORARIO]],"")</f>
        <v>0.79861111111111116</v>
      </c>
      <c r="W98" s="4" t="s">
        <v>299</v>
      </c>
      <c r="X98" s="4" t="s">
        <v>184</v>
      </c>
      <c r="Y98" s="4">
        <f>IF(tabJanta[[#This Row],[MOTORISTA]]="","",COUNTIF(autocompJanta[COMP ESCALA ATUAL],autocompJanta[[#This Row],[COMP ESCALA ATUAL]]))</f>
        <v>1</v>
      </c>
      <c r="Z98" s="45">
        <f>IF(tabJanta[[#This Row],[MOTORISTA]]&lt;&gt;0,15,"")</f>
        <v>15</v>
      </c>
      <c r="AA98" s="4" t="str">
        <f>autocompJanta[[#This Row],[CORRESP LINHA]]</f>
        <v>GOIANIA (GO) X TERESINA (PI) VIA STI</v>
      </c>
    </row>
    <row r="99" spans="3:27" ht="15" hidden="1" customHeight="1" x14ac:dyDescent="0.25">
      <c r="C99" s="129" t="s">
        <v>226</v>
      </c>
      <c r="D99" s="56" t="str">
        <f>IF(tabJanta[[#This Row],[MOTORISTA]]="","",_xlfn.CONCAT(tabJanta[[#This Row],[DATA]],"+",tabJanta[[#This Row],[MOTORISTA]]))</f>
        <v>45903+WASHINGTON ALVES BRITO - 1553</v>
      </c>
      <c r="E99" s="56" t="str">
        <f>_xlfn.XLOOKUP(autocompJanta[[#This Row],[COMP ESCALA ATUAL]],tabE.Flux[COMP.AT. MOT A],tabE.Flux[LINHA],"NÃO",0,1)</f>
        <v>NÃO</v>
      </c>
      <c r="F99" s="56" t="str">
        <f>_xlfn.XLOOKUP(autocompJanta[[#This Row],[COMP ESCALA ATUAL]],tabE.Flux[COMP.AT. MOT B],tabE.Flux[LINHA],"NÃO",0,1)</f>
        <v>FORTALEZA (CE) X SINOP (MT)</v>
      </c>
      <c r="G99" s="61" t="str">
        <f>IF(AND(autocompJanta[[#This Row],[EXISTE MOT A AT]]="NÃO", autocompJanta[[#This Row],[EXISTE MOT B AT]]="NÃO"),"NÃO","SIM")</f>
        <v>SIM</v>
      </c>
      <c r="H99" s="57" t="str">
        <f>IF(autocompJanta[[#This Row],[EXISTE ESCALA ATUAL]]="NÃO",_xlfn.CONCAT(tabJanta[[#This Row],[DATA]]-1,"+",tabJanta[[#This Row],[MOTORISTA]]),"NÃO")</f>
        <v>NÃO</v>
      </c>
      <c r="I99" s="57" t="str">
        <f>IF(autocompJanta[[#This Row],[COMP ESCALA ANTERIOR]]="NÃO","NÃO",_xlfn.XLOOKUP(autocompJanta[[#This Row],[COMP ESCALA ANTERIOR]],tabE.Flux[COMP.AT. MOT A],tabE.Flux[LINHA],"NÃO",0,1))</f>
        <v>NÃO</v>
      </c>
      <c r="J99" s="58" t="str">
        <f>IF(autocompJanta[[#This Row],[COMP ESCALA ANTERIOR]]="NÃO","NÃO",_xlfn.XLOOKUP(autocompJanta[[#This Row],[COMP ESCALA ANTERIOR]],tabE.Flux[COMP.AT. MOT B],tabE.Flux[LINHA],"NÃO",0,1))</f>
        <v>NÃO</v>
      </c>
      <c r="K99" s="62" t="str">
        <f>IF(AND(autocompJanta[[#This Row],[EXISTE MOT A ANT]]="NÃO",autocompJanta[[#This Row],[EXISTE MOT B ANT]]="NÃO"),"NÃO","SIM")</f>
        <v>NÃO</v>
      </c>
      <c r="L99" s="59" t="str">
        <f t="shared" si="3"/>
        <v>45904+WASHINGTON ALVES BRITO - 1553</v>
      </c>
      <c r="M99" s="59" t="str">
        <f>IF(autocompJanta[[#This Row],[COMP ESCALA POSTERIOR]]="NÃO","NÃO",_xlfn.XLOOKUP(autocompJanta[[#This Row],[COMP ESCALA POSTERIOR]],tabE.Flux[COMP.AT. MOT A],tabE.Flux[LINHA],"NÃO",0,1))</f>
        <v>NÃO</v>
      </c>
      <c r="N99" s="59" t="str">
        <f>IF(autocompJanta[[#This Row],[COMP ESCALA POSTERIOR]]="NÃO","NÃO",_xlfn.XLOOKUP(autocompJanta[[#This Row],[COMP ESCALA POSTERIOR]],tabE.Flux[COMP.AT. MOT B],tabE.Flux[LINHA],"NÃO",0,1))</f>
        <v>NÃO</v>
      </c>
      <c r="O99" s="65" t="str">
        <f>IF(AND(autocompJanta[[#This Row],[EXISTE MOT A POS]]="NÃO",autocompJanta[[#This Row],[EXISTE MOT B POS]]="NÃO"),"NÃO","SIM")</f>
        <v>NÃO</v>
      </c>
      <c r="P99" s="66" t="str" cm="1">
        <f t="array" ref="P9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99" s="103" t="str" cm="1">
        <f t="array" ref="Q9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45903+WASHINGTON ALVES BRITO - 1553+FORTALEZA (CE) X SINOP (MT)</v>
      </c>
      <c r="R99" s="67">
        <f>_xlfn.XLOOKUP(autocompJanta[[#This Row],[COMP ESCALA]],tabE.Flux[COMP. ESCALA MOT B],tabE.Flux[CARRO],
(_xlfn.XLOOKUP(autocompJanta[[#This Row],[COMP ESCALA]],tabE.Flux[COMP. ESCALA MOT A],tabE.Flux[CARRO],"N/E",0,1)),0,1)</f>
        <v>19020</v>
      </c>
      <c r="S99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99" s="127">
        <v>45903</v>
      </c>
      <c r="U99" s="4">
        <f>IF(IFERROR(autocompJanta[[#This Row],[CORRESP. CARRO]],"")="NÃO",(IF(tabJanta[[#This Row],[MOTORISTA]]=0,"","PASSE?")),autocompJanta[[#This Row],[CORRESP. CARRO]])</f>
        <v>19020</v>
      </c>
      <c r="V99" s="128">
        <f>IF(OR(ISERR(autocompJanta[[#This Row],[CORRESP HORARIO]]), autocompJanta[[#This Row],[CORRESP HORARIO]]&lt;&gt;"NÃO"),autocompJanta[[#This Row],[CORRESP HORARIO]],"")</f>
        <v>0.37708333333333333</v>
      </c>
      <c r="W99" s="4" t="s">
        <v>299</v>
      </c>
      <c r="X99" s="4" t="s">
        <v>201</v>
      </c>
      <c r="Y99" s="4">
        <f>IF(tabJanta[[#This Row],[MOTORISTA]]="","",COUNTIF(autocompJanta[COMP ESCALA ATUAL],autocompJanta[[#This Row],[COMP ESCALA ATUAL]]))</f>
        <v>1</v>
      </c>
      <c r="Z99" s="45">
        <f>IF(tabJanta[[#This Row],[MOTORISTA]]&lt;&gt;0,15,"")</f>
        <v>15</v>
      </c>
      <c r="AA99" s="4" t="str">
        <f>autocompJanta[[#This Row],[CORRESP LINHA]]</f>
        <v>FORTALEZA (CE) X SINOP (MT)</v>
      </c>
    </row>
    <row r="100" spans="3:27" ht="15" hidden="1" customHeight="1" x14ac:dyDescent="0.25">
      <c r="C100" s="129" t="s">
        <v>226</v>
      </c>
      <c r="D100" s="56" t="str">
        <f>IF(tabJanta[[#This Row],[MOTORISTA]]="","",_xlfn.CONCAT(tabJanta[[#This Row],[DATA]],"+",tabJanta[[#This Row],[MOTORISTA]]))</f>
        <v>45903+RICHARD SOUSA DA SILVA - 1271</v>
      </c>
      <c r="E100" s="56" t="str">
        <f>_xlfn.XLOOKUP(autocompJanta[[#This Row],[COMP ESCALA ATUAL]],tabE.Flux[COMP.AT. MOT A],tabE.Flux[LINHA],"NÃO",0,1)</f>
        <v>NÃO</v>
      </c>
      <c r="F100" s="56" t="str">
        <f>_xlfn.XLOOKUP(autocompJanta[[#This Row],[COMP ESCALA ATUAL]],tabE.Flux[COMP.AT. MOT B],tabE.Flux[LINHA],"NÃO",0,1)</f>
        <v>NÃO</v>
      </c>
      <c r="G100" s="61" t="str">
        <f>IF(AND(autocompJanta[[#This Row],[EXISTE MOT A AT]]="NÃO", autocompJanta[[#This Row],[EXISTE MOT B AT]]="NÃO"),"NÃO","SIM")</f>
        <v>NÃO</v>
      </c>
      <c r="H100" s="57" t="str">
        <f>IF(autocompJanta[[#This Row],[EXISTE ESCALA ATUAL]]="NÃO",_xlfn.CONCAT(tabJanta[[#This Row],[DATA]]-1,"+",tabJanta[[#This Row],[MOTORISTA]]),"NÃO")</f>
        <v>45902+RICHARD SOUSA DA SILVA - 1271</v>
      </c>
      <c r="I100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00" s="58" t="str">
        <f>IF(autocompJanta[[#This Row],[COMP ESCALA ANTERIOR]]="NÃO","NÃO",_xlfn.XLOOKUP(autocompJanta[[#This Row],[COMP ESCALA ANTERIOR]],tabE.Flux[COMP.AT. MOT B],tabE.Flux[LINHA],"NÃO",0,1))</f>
        <v>NÃO</v>
      </c>
      <c r="K100" s="62" t="str">
        <f>IF(AND(autocompJanta[[#This Row],[EXISTE MOT A ANT]]="NÃO",autocompJanta[[#This Row],[EXISTE MOT B ANT]]="NÃO"),"NÃO","SIM")</f>
        <v>SIM</v>
      </c>
      <c r="L100" s="59" t="str">
        <f t="shared" si="3"/>
        <v>45904+RICHARD SOUSA DA SILVA - 1271</v>
      </c>
      <c r="M100" s="59" t="str">
        <f>IF(autocompJanta[[#This Row],[COMP ESCALA POSTERIOR]]="NÃO","NÃO",_xlfn.XLOOKUP(autocompJanta[[#This Row],[COMP ESCALA POSTERIOR]],tabE.Flux[COMP.AT. MOT A],tabE.Flux[LINHA],"NÃO",0,1))</f>
        <v>NÃO</v>
      </c>
      <c r="N100" s="59" t="str">
        <f>IF(autocompJanta[[#This Row],[COMP ESCALA POSTERIOR]]="NÃO","NÃO",_xlfn.XLOOKUP(autocompJanta[[#This Row],[COMP ESCALA POSTERIOR]],tabE.Flux[COMP.AT. MOT B],tabE.Flux[LINHA],"NÃO",0,1))</f>
        <v>NÃO</v>
      </c>
      <c r="O100" s="65" t="str">
        <f>IF(AND(autocompJanta[[#This Row],[EXISTE MOT A POS]]="NÃO",autocompJanta[[#This Row],[EXISTE MOT B POS]]="NÃO"),"NÃO","SIM")</f>
        <v>NÃO</v>
      </c>
      <c r="P100" s="66" t="str" cm="1">
        <f t="array" ref="P10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00" s="103" t="str" cm="1">
        <f t="array" ref="Q10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45902+RICHARD SOUSA DA SILVA - 1271+GOIANIA (GO) X TERESINA (PI) VIA STI</v>
      </c>
      <c r="R100" s="67">
        <f>_xlfn.XLOOKUP(autocompJanta[[#This Row],[COMP ESCALA]],tabE.Flux[COMP. ESCALA MOT B],tabE.Flux[CARRO],
(_xlfn.XLOOKUP(autocompJanta[[#This Row],[COMP ESCALA]],tabE.Flux[COMP. ESCALA MOT A],tabE.Flux[CARRO],"N/E",0,1)),0,1)</f>
        <v>20016</v>
      </c>
      <c r="S100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00" s="127">
        <v>45903</v>
      </c>
      <c r="U100" s="4">
        <f>IF(IFERROR(autocompJanta[[#This Row],[CORRESP. CARRO]],"")="NÃO",(IF(tabJanta[[#This Row],[MOTORISTA]]=0,"","PASSE?")),autocompJanta[[#This Row],[CORRESP. CARRO]])</f>
        <v>20016</v>
      </c>
      <c r="V100" s="128">
        <f>IF(OR(ISERR(autocompJanta[[#This Row],[CORRESP HORARIO]]), autocompJanta[[#This Row],[CORRESP HORARIO]]&lt;&gt;"NÃO"),autocompJanta[[#This Row],[CORRESP HORARIO]],"")</f>
        <v>0.79861111111111116</v>
      </c>
      <c r="W100" s="4" t="s">
        <v>299</v>
      </c>
      <c r="X100" s="4" t="s">
        <v>56</v>
      </c>
      <c r="Y100" s="4">
        <f>IF(tabJanta[[#This Row],[MOTORISTA]]="","",COUNTIF(autocompJanta[COMP ESCALA ATUAL],autocompJanta[[#This Row],[COMP ESCALA ATUAL]]))</f>
        <v>1</v>
      </c>
      <c r="Z100" s="45">
        <f>IF(tabJanta[[#This Row],[MOTORISTA]]&lt;&gt;0,15,"")</f>
        <v>15</v>
      </c>
      <c r="AA100" s="4" t="str">
        <f>autocompJanta[[#This Row],[CORRESP LINHA]]</f>
        <v>GOIANIA (GO) X TERESINA (PI) VIA STI</v>
      </c>
    </row>
    <row r="101" spans="3:27" ht="15" hidden="1" customHeight="1" x14ac:dyDescent="0.25">
      <c r="C101" s="129" t="s">
        <v>226</v>
      </c>
      <c r="D101" s="56" t="str">
        <f>IF(tabJanta[[#This Row],[MOTORISTA]]="","",_xlfn.CONCAT(tabJanta[[#This Row],[DATA]],"+",tabJanta[[#This Row],[MOTORISTA]]))</f>
        <v>45903+EDIVALDO DE ARAUJO - 6217</v>
      </c>
      <c r="E101" s="56" t="str">
        <f>_xlfn.XLOOKUP(autocompJanta[[#This Row],[COMP ESCALA ATUAL]],tabE.Flux[COMP.AT. MOT A],tabE.Flux[LINHA],"NÃO",0,1)</f>
        <v>NÃO</v>
      </c>
      <c r="F101" s="56" t="str">
        <f>_xlfn.XLOOKUP(autocompJanta[[#This Row],[COMP ESCALA ATUAL]],tabE.Flux[COMP.AT. MOT B],tabE.Flux[LINHA],"NÃO",0,1)</f>
        <v>GOIANIA (GO) X SAO LUIS (MA)</v>
      </c>
      <c r="G101" s="61" t="str">
        <f>IF(AND(autocompJanta[[#This Row],[EXISTE MOT A AT]]="NÃO", autocompJanta[[#This Row],[EXISTE MOT B AT]]="NÃO"),"NÃO","SIM")</f>
        <v>SIM</v>
      </c>
      <c r="H101" s="57" t="str">
        <f>IF(autocompJanta[[#This Row],[EXISTE ESCALA ATUAL]]="NÃO",_xlfn.CONCAT(tabJanta[[#This Row],[DATA]]-1,"+",tabJanta[[#This Row],[MOTORISTA]]),"NÃO")</f>
        <v>NÃO</v>
      </c>
      <c r="I101" s="57" t="str">
        <f>IF(autocompJanta[[#This Row],[COMP ESCALA ANTERIOR]]="NÃO","NÃO",_xlfn.XLOOKUP(autocompJanta[[#This Row],[COMP ESCALA ANTERIOR]],tabE.Flux[COMP.AT. MOT A],tabE.Flux[LINHA],"NÃO",0,1))</f>
        <v>NÃO</v>
      </c>
      <c r="J101" s="58" t="str">
        <f>IF(autocompJanta[[#This Row],[COMP ESCALA ANTERIOR]]="NÃO","NÃO",_xlfn.XLOOKUP(autocompJanta[[#This Row],[COMP ESCALA ANTERIOR]],tabE.Flux[COMP.AT. MOT B],tabE.Flux[LINHA],"NÃO",0,1))</f>
        <v>NÃO</v>
      </c>
      <c r="K101" s="62" t="str">
        <f>IF(AND(autocompJanta[[#This Row],[EXISTE MOT A ANT]]="NÃO",autocompJanta[[#This Row],[EXISTE MOT B ANT]]="NÃO"),"NÃO","SIM")</f>
        <v>NÃO</v>
      </c>
      <c r="L101" s="59" t="str">
        <f t="shared" si="3"/>
        <v>45904+EDIVALDO DE ARAUJO - 6217</v>
      </c>
      <c r="M101" s="59" t="str">
        <f>IF(autocompJanta[[#This Row],[COMP ESCALA POSTERIOR]]="NÃO","NÃO",_xlfn.XLOOKUP(autocompJanta[[#This Row],[COMP ESCALA POSTERIOR]],tabE.Flux[COMP.AT. MOT A],tabE.Flux[LINHA],"NÃO",0,1))</f>
        <v>NÃO</v>
      </c>
      <c r="N101" s="59" t="str">
        <f>IF(autocompJanta[[#This Row],[COMP ESCALA POSTERIOR]]="NÃO","NÃO",_xlfn.XLOOKUP(autocompJanta[[#This Row],[COMP ESCALA POSTERIOR]],tabE.Flux[COMP.AT. MOT B],tabE.Flux[LINHA],"NÃO",0,1))</f>
        <v>NÃO</v>
      </c>
      <c r="O101" s="65" t="str">
        <f>IF(AND(autocompJanta[[#This Row],[EXISTE MOT A POS]]="NÃO",autocompJanta[[#This Row],[EXISTE MOT B POS]]="NÃO"),"NÃO","SIM")</f>
        <v>NÃO</v>
      </c>
      <c r="P101" s="66" t="str" cm="1">
        <f t="array" ref="P10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01" s="103" t="str" cm="1">
        <f t="array" ref="Q10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45903+EDIVALDO DE ARAUJO - 6217+GOIANIA (GO) X SAO LUIS (MA)</v>
      </c>
      <c r="R101" s="67">
        <f>_xlfn.XLOOKUP(autocompJanta[[#This Row],[COMP ESCALA]],tabE.Flux[COMP. ESCALA MOT B],tabE.Flux[CARRO],
(_xlfn.XLOOKUP(autocompJanta[[#This Row],[COMP ESCALA]],tabE.Flux[COMP. ESCALA MOT A],tabE.Flux[CARRO],"N/E",0,1)),0,1)</f>
        <v>19015</v>
      </c>
      <c r="S101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01" s="127">
        <v>45903</v>
      </c>
      <c r="U101" s="4">
        <f>IF(IFERROR(autocompJanta[[#This Row],[CORRESP. CARRO]],"")="NÃO",(IF(tabJanta[[#This Row],[MOTORISTA]]=0,"","PASSE?")),autocompJanta[[#This Row],[CORRESP. CARRO]])</f>
        <v>19015</v>
      </c>
      <c r="V101" s="128">
        <f>IF(OR(ISERR(autocompJanta[[#This Row],[CORRESP HORARIO]]), autocompJanta[[#This Row],[CORRESP HORARIO]]&lt;&gt;"NÃO"),autocompJanta[[#This Row],[CORRESP HORARIO]],"")</f>
        <v>0.47013888888888888</v>
      </c>
      <c r="W101" s="4" t="s">
        <v>299</v>
      </c>
      <c r="X101" s="4" t="s">
        <v>55</v>
      </c>
      <c r="Y101" s="4">
        <f>IF(tabJanta[[#This Row],[MOTORISTA]]="","",COUNTIF(autocompJanta[COMP ESCALA ATUAL],autocompJanta[[#This Row],[COMP ESCALA ATUAL]]))</f>
        <v>1</v>
      </c>
      <c r="Z101" s="45">
        <f>IF(tabJanta[[#This Row],[MOTORISTA]]&lt;&gt;0,15,"")</f>
        <v>15</v>
      </c>
      <c r="AA101" s="4" t="str">
        <f>autocompJanta[[#This Row],[CORRESP LINHA]]</f>
        <v>GOIANIA (GO) X SAO LUIS (MA)</v>
      </c>
    </row>
    <row r="102" spans="3:27" ht="15" hidden="1" customHeight="1" x14ac:dyDescent="0.25">
      <c r="C102" s="129" t="s">
        <v>226</v>
      </c>
      <c r="D102" s="56" t="str">
        <f>IF(tabJanta[[#This Row],[MOTORISTA]]="","",_xlfn.CONCAT(tabJanta[[#This Row],[DATA]],"+",tabJanta[[#This Row],[MOTORISTA]]))</f>
        <v>45904+RAIMUNDO COSTA SILVA - 6226</v>
      </c>
      <c r="E102" s="56" t="str">
        <f>_xlfn.XLOOKUP(autocompJanta[[#This Row],[COMP ESCALA ATUAL]],tabE.Flux[COMP.AT. MOT A],tabE.Flux[LINHA],"NÃO",0,1)</f>
        <v>NÃO</v>
      </c>
      <c r="F102" s="56" t="str">
        <f>_xlfn.XLOOKUP(autocompJanta[[#This Row],[COMP ESCALA ATUAL]],tabE.Flux[COMP.AT. MOT B],tabE.Flux[LINHA],"NÃO",0,1)</f>
        <v>GOIANIA (GO) X SAO LUIS (MA)</v>
      </c>
      <c r="G102" s="61" t="str">
        <f>IF(AND(autocompJanta[[#This Row],[EXISTE MOT A AT]]="NÃO", autocompJanta[[#This Row],[EXISTE MOT B AT]]="NÃO"),"NÃO","SIM")</f>
        <v>SIM</v>
      </c>
      <c r="H102" s="57" t="str">
        <f>IF(autocompJanta[[#This Row],[EXISTE ESCALA ATUAL]]="NÃO",_xlfn.CONCAT(tabJanta[[#This Row],[DATA]]-1,"+",tabJanta[[#This Row],[MOTORISTA]]),"NÃO")</f>
        <v>NÃO</v>
      </c>
      <c r="I102" s="57" t="str">
        <f>IF(autocompJanta[[#This Row],[COMP ESCALA ANTERIOR]]="NÃO","NÃO",_xlfn.XLOOKUP(autocompJanta[[#This Row],[COMP ESCALA ANTERIOR]],tabE.Flux[COMP.AT. MOT A],tabE.Flux[LINHA],"NÃO",0,1))</f>
        <v>NÃO</v>
      </c>
      <c r="J102" s="58" t="str">
        <f>IF(autocompJanta[[#This Row],[COMP ESCALA ANTERIOR]]="NÃO","NÃO",_xlfn.XLOOKUP(autocompJanta[[#This Row],[COMP ESCALA ANTERIOR]],tabE.Flux[COMP.AT. MOT B],tabE.Flux[LINHA],"NÃO",0,1))</f>
        <v>NÃO</v>
      </c>
      <c r="K102" s="62" t="str">
        <f>IF(AND(autocompJanta[[#This Row],[EXISTE MOT A ANT]]="NÃO",autocompJanta[[#This Row],[EXISTE MOT B ANT]]="NÃO"),"NÃO","SIM")</f>
        <v>NÃO</v>
      </c>
      <c r="L102" s="59" t="str">
        <f t="shared" si="3"/>
        <v>45905+RAIMUNDO COSTA SILVA - 6226</v>
      </c>
      <c r="M102" s="59" t="str">
        <f>IF(autocompJanta[[#This Row],[COMP ESCALA POSTERIOR]]="NÃO","NÃO",_xlfn.XLOOKUP(autocompJanta[[#This Row],[COMP ESCALA POSTERIOR]],tabE.Flux[COMP.AT. MOT A],tabE.Flux[LINHA],"NÃO",0,1))</f>
        <v>NÃO</v>
      </c>
      <c r="N102" s="59" t="str">
        <f>IF(autocompJanta[[#This Row],[COMP ESCALA POSTERIOR]]="NÃO","NÃO",_xlfn.XLOOKUP(autocompJanta[[#This Row],[COMP ESCALA POSTERIOR]],tabE.Flux[COMP.AT. MOT B],tabE.Flux[LINHA],"NÃO",0,1))</f>
        <v>NÃO</v>
      </c>
      <c r="O102" s="65" t="str">
        <f>IF(AND(autocompJanta[[#This Row],[EXISTE MOT A POS]]="NÃO",autocompJanta[[#This Row],[EXISTE MOT B POS]]="NÃO"),"NÃO","SIM")</f>
        <v>NÃO</v>
      </c>
      <c r="P102" s="66" t="str" cm="1">
        <f t="array" ref="P10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02" s="103" t="str" cm="1">
        <f t="array" ref="Q10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45904+RAIMUNDO COSTA SILVA - 6226+GOIANIA (GO) X SAO LUIS (MA)</v>
      </c>
      <c r="R102" s="67">
        <f>_xlfn.XLOOKUP(autocompJanta[[#This Row],[COMP ESCALA]],tabE.Flux[COMP. ESCALA MOT B],tabE.Flux[CARRO],
(_xlfn.XLOOKUP(autocompJanta[[#This Row],[COMP ESCALA]],tabE.Flux[COMP. ESCALA MOT A],tabE.Flux[CARRO],"N/E",0,1)),0,1)</f>
        <v>15600</v>
      </c>
      <c r="S102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02" s="127">
        <v>45904</v>
      </c>
      <c r="U102" s="4">
        <f>IF(IFERROR(autocompJanta[[#This Row],[CORRESP. CARRO]],"")="NÃO",(IF(tabJanta[[#This Row],[MOTORISTA]]=0,"","PASSE?")),autocompJanta[[#This Row],[CORRESP. CARRO]])</f>
        <v>15600</v>
      </c>
      <c r="V102" s="128">
        <f>IF(OR(ISERR(autocompJanta[[#This Row],[CORRESP HORARIO]]), autocompJanta[[#This Row],[CORRESP HORARIO]]&lt;&gt;"NÃO"),autocompJanta[[#This Row],[CORRESP HORARIO]],"")</f>
        <v>0.47013888888888888</v>
      </c>
      <c r="W102" s="4" t="s">
        <v>299</v>
      </c>
      <c r="X102" s="4" t="s">
        <v>45</v>
      </c>
      <c r="Y102" s="4">
        <f>IF(tabJanta[[#This Row],[MOTORISTA]]="","",COUNTIF(autocompJanta[COMP ESCALA ATUAL],autocompJanta[[#This Row],[COMP ESCALA ATUAL]]))</f>
        <v>1</v>
      </c>
      <c r="Z102" s="45">
        <f>IF(tabJanta[[#This Row],[MOTORISTA]]&lt;&gt;0,15,"")</f>
        <v>15</v>
      </c>
      <c r="AA102" s="4" t="str">
        <f>autocompJanta[[#This Row],[CORRESP LINHA]]</f>
        <v>GOIANIA (GO) X SAO LUIS (MA)</v>
      </c>
    </row>
    <row r="103" spans="3:27" ht="15" hidden="1" customHeight="1" x14ac:dyDescent="0.25">
      <c r="C103" s="129" t="s">
        <v>226</v>
      </c>
      <c r="D103" s="56" t="str">
        <f>IF(tabJanta[[#This Row],[MOTORISTA]]="","",_xlfn.CONCAT(tabJanta[[#This Row],[DATA]],"+",tabJanta[[#This Row],[MOTORISTA]]))</f>
        <v>45904+JEFFERSON CARDOSO DOS SANTOS - 5837</v>
      </c>
      <c r="E103" s="56" t="str">
        <f>_xlfn.XLOOKUP(autocompJanta[[#This Row],[COMP ESCALA ATUAL]],tabE.Flux[COMP.AT. MOT A],tabE.Flux[LINHA],"NÃO",0,1)</f>
        <v>NÃO</v>
      </c>
      <c r="F103" s="56" t="str">
        <f>_xlfn.XLOOKUP(autocompJanta[[#This Row],[COMP ESCALA ATUAL]],tabE.Flux[COMP.AT. MOT B],tabE.Flux[LINHA],"NÃO",0,1)</f>
        <v>NÃO</v>
      </c>
      <c r="G103" s="61" t="str">
        <f>IF(AND(autocompJanta[[#This Row],[EXISTE MOT A AT]]="NÃO", autocompJanta[[#This Row],[EXISTE MOT B AT]]="NÃO"),"NÃO","SIM")</f>
        <v>NÃO</v>
      </c>
      <c r="H103" s="57" t="str">
        <f>IF(autocompJanta[[#This Row],[EXISTE ESCALA ATUAL]]="NÃO",_xlfn.CONCAT(tabJanta[[#This Row],[DATA]]-1,"+",tabJanta[[#This Row],[MOTORISTA]]),"NÃO")</f>
        <v>45903+JEFFERSON CARDOSO DOS SANTOS - 5837</v>
      </c>
      <c r="I103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03" s="58" t="str">
        <f>IF(autocompJanta[[#This Row],[COMP ESCALA ANTERIOR]]="NÃO","NÃO",_xlfn.XLOOKUP(autocompJanta[[#This Row],[COMP ESCALA ANTERIOR]],tabE.Flux[COMP.AT. MOT B],tabE.Flux[LINHA],"NÃO",0,1))</f>
        <v>NÃO</v>
      </c>
      <c r="K103" s="62" t="str">
        <f>IF(AND(autocompJanta[[#This Row],[EXISTE MOT A ANT]]="NÃO",autocompJanta[[#This Row],[EXISTE MOT B ANT]]="NÃO"),"NÃO","SIM")</f>
        <v>SIM</v>
      </c>
      <c r="L103" s="59" t="str">
        <f t="shared" si="3"/>
        <v>45905+JEFFERSON CARDOSO DOS SANTOS - 5837</v>
      </c>
      <c r="M103" s="59" t="str">
        <f>IF(autocompJanta[[#This Row],[COMP ESCALA POSTERIOR]]="NÃO","NÃO",_xlfn.XLOOKUP(autocompJanta[[#This Row],[COMP ESCALA POSTERIOR]],tabE.Flux[COMP.AT. MOT A],tabE.Flux[LINHA],"NÃO",0,1))</f>
        <v>NÃO</v>
      </c>
      <c r="N103" s="59" t="str">
        <f>IF(autocompJanta[[#This Row],[COMP ESCALA POSTERIOR]]="NÃO","NÃO",_xlfn.XLOOKUP(autocompJanta[[#This Row],[COMP ESCALA POSTERIOR]],tabE.Flux[COMP.AT. MOT B],tabE.Flux[LINHA],"NÃO",0,1))</f>
        <v>NÃO</v>
      </c>
      <c r="O103" s="65" t="str">
        <f>IF(AND(autocompJanta[[#This Row],[EXISTE MOT A POS]]="NÃO",autocompJanta[[#This Row],[EXISTE MOT B POS]]="NÃO"),"NÃO","SIM")</f>
        <v>NÃO</v>
      </c>
      <c r="P103" s="66" t="str" cm="1">
        <f t="array" ref="P10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03" s="103" t="str" cm="1">
        <f t="array" ref="Q10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45903+JEFFERSON CARDOSO DOS SANTOS - 5837+GOIANIA (GO) X TERESINA (PI) VIA STI</v>
      </c>
      <c r="R103" s="67">
        <f>_xlfn.XLOOKUP(autocompJanta[[#This Row],[COMP ESCALA]],tabE.Flux[COMP. ESCALA MOT B],tabE.Flux[CARRO],
(_xlfn.XLOOKUP(autocompJanta[[#This Row],[COMP ESCALA]],tabE.Flux[COMP. ESCALA MOT A],tabE.Flux[CARRO],"N/E",0,1)),0,1)</f>
        <v>17700</v>
      </c>
      <c r="S103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03" s="127">
        <v>45904</v>
      </c>
      <c r="U103" s="4">
        <f>IF(IFERROR(autocompJanta[[#This Row],[CORRESP. CARRO]],"")="NÃO",(IF(tabJanta[[#This Row],[MOTORISTA]]=0,"","PASSE?")),autocompJanta[[#This Row],[CORRESP. CARRO]])</f>
        <v>17700</v>
      </c>
      <c r="V103" s="128">
        <f>IF(OR(ISERR(autocompJanta[[#This Row],[CORRESP HORARIO]]), autocompJanta[[#This Row],[CORRESP HORARIO]]&lt;&gt;"NÃO"),autocompJanta[[#This Row],[CORRESP HORARIO]],"")</f>
        <v>0.79861111111111116</v>
      </c>
      <c r="W103" s="4" t="s">
        <v>299</v>
      </c>
      <c r="X103" s="4" t="s">
        <v>30</v>
      </c>
      <c r="Y103" s="4">
        <f>IF(tabJanta[[#This Row],[MOTORISTA]]="","",COUNTIF(autocompJanta[COMP ESCALA ATUAL],autocompJanta[[#This Row],[COMP ESCALA ATUAL]]))</f>
        <v>1</v>
      </c>
      <c r="Z103" s="45">
        <f>IF(tabJanta[[#This Row],[MOTORISTA]]&lt;&gt;0,15,"")</f>
        <v>15</v>
      </c>
      <c r="AA103" s="4" t="str">
        <f>autocompJanta[[#This Row],[CORRESP LINHA]]</f>
        <v>GOIANIA (GO) X TERESINA (PI) VIA STI</v>
      </c>
    </row>
    <row r="104" spans="3:27" ht="15" hidden="1" customHeight="1" x14ac:dyDescent="0.25">
      <c r="C104" s="129" t="s">
        <v>226</v>
      </c>
      <c r="D104" s="56" t="str">
        <f>IF(tabJanta[[#This Row],[MOTORISTA]]="","",_xlfn.CONCAT(tabJanta[[#This Row],[DATA]],"+",tabJanta[[#This Row],[MOTORISTA]]))</f>
        <v>45904+KAYLSON KLEYTON DA SILVA COSTA - 6224</v>
      </c>
      <c r="E104" s="56" t="str">
        <f>_xlfn.XLOOKUP(autocompJanta[[#This Row],[COMP ESCALA ATUAL]],tabE.Flux[COMP.AT. MOT A],tabE.Flux[LINHA],"NÃO",0,1)</f>
        <v>GOIANIA (GO) X SAO LUIS (MA)</v>
      </c>
      <c r="F104" s="56" t="str">
        <f>_xlfn.XLOOKUP(autocompJanta[[#This Row],[COMP ESCALA ATUAL]],tabE.Flux[COMP.AT. MOT B],tabE.Flux[LINHA],"NÃO",0,1)</f>
        <v>GOIANIA (GO) X SAO LUIS (MA)</v>
      </c>
      <c r="G104" s="61" t="str">
        <f>IF(AND(autocompJanta[[#This Row],[EXISTE MOT A AT]]="NÃO", autocompJanta[[#This Row],[EXISTE MOT B AT]]="NÃO"),"NÃO","SIM")</f>
        <v>SIM</v>
      </c>
      <c r="H104" s="57" t="str">
        <f>IF(autocompJanta[[#This Row],[EXISTE ESCALA ATUAL]]="NÃO",_xlfn.CONCAT(tabJanta[[#This Row],[DATA]]-1,"+",tabJanta[[#This Row],[MOTORISTA]]),"NÃO")</f>
        <v>NÃO</v>
      </c>
      <c r="I104" s="57" t="str">
        <f>IF(autocompJanta[[#This Row],[COMP ESCALA ANTERIOR]]="NÃO","NÃO",_xlfn.XLOOKUP(autocompJanta[[#This Row],[COMP ESCALA ANTERIOR]],tabE.Flux[COMP.AT. MOT A],tabE.Flux[LINHA],"NÃO",0,1))</f>
        <v>NÃO</v>
      </c>
      <c r="J104" s="58" t="str">
        <f>IF(autocompJanta[[#This Row],[COMP ESCALA ANTERIOR]]="NÃO","NÃO",_xlfn.XLOOKUP(autocompJanta[[#This Row],[COMP ESCALA ANTERIOR]],tabE.Flux[COMP.AT. MOT B],tabE.Flux[LINHA],"NÃO",0,1))</f>
        <v>NÃO</v>
      </c>
      <c r="K104" s="62" t="str">
        <f>IF(AND(autocompJanta[[#This Row],[EXISTE MOT A ANT]]="NÃO",autocompJanta[[#This Row],[EXISTE MOT B ANT]]="NÃO"),"NÃO","SIM")</f>
        <v>NÃO</v>
      </c>
      <c r="L104" s="59" t="str">
        <f t="shared" si="3"/>
        <v>45905+KAYLSON KLEYTON DA SILVA COSTA - 6224</v>
      </c>
      <c r="M104" s="59" t="str">
        <f>IF(autocompJanta[[#This Row],[COMP ESCALA POSTERIOR]]="NÃO","NÃO",_xlfn.XLOOKUP(autocompJanta[[#This Row],[COMP ESCALA POSTERIOR]],tabE.Flux[COMP.AT. MOT A],tabE.Flux[LINHA],"NÃO",0,1))</f>
        <v>NÃO</v>
      </c>
      <c r="N104" s="59" t="str">
        <f>IF(autocompJanta[[#This Row],[COMP ESCALA POSTERIOR]]="NÃO","NÃO",_xlfn.XLOOKUP(autocompJanta[[#This Row],[COMP ESCALA POSTERIOR]],tabE.Flux[COMP.AT. MOT B],tabE.Flux[LINHA],"NÃO",0,1))</f>
        <v>NÃO</v>
      </c>
      <c r="O104" s="65" t="str">
        <f>IF(AND(autocompJanta[[#This Row],[EXISTE MOT A POS]]="NÃO",autocompJanta[[#This Row],[EXISTE MOT B POS]]="NÃO"),"NÃO","SIM")</f>
        <v>NÃO</v>
      </c>
      <c r="P104" s="66" t="str" cm="1">
        <f t="array" ref="P10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04" s="103" t="str" cm="1">
        <f t="array" ref="Q10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45904+KAYLSON KLEYTON DA SILVA COSTA - 6224+GOIANIA (GO) X SAO LUIS (MA)</v>
      </c>
      <c r="R104" s="67">
        <f>_xlfn.XLOOKUP(autocompJanta[[#This Row],[COMP ESCALA]],tabE.Flux[COMP. ESCALA MOT B],tabE.Flux[CARRO],
(_xlfn.XLOOKUP(autocompJanta[[#This Row],[COMP ESCALA]],tabE.Flux[COMP. ESCALA MOT A],tabE.Flux[CARRO],"N/E",0,1)),0,1)</f>
        <v>24003</v>
      </c>
      <c r="S104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04" s="127">
        <v>45904</v>
      </c>
      <c r="U104" s="4">
        <f>IF(IFERROR(autocompJanta[[#This Row],[CORRESP. CARRO]],"")="NÃO",(IF(tabJanta[[#This Row],[MOTORISTA]]=0,"","PASSE?")),autocompJanta[[#This Row],[CORRESP. CARRO]])</f>
        <v>24003</v>
      </c>
      <c r="V104" s="128">
        <f>IF(OR(ISERR(autocompJanta[[#This Row],[CORRESP HORARIO]]), autocompJanta[[#This Row],[CORRESP HORARIO]]&lt;&gt;"NÃO"),autocompJanta[[#This Row],[CORRESP HORARIO]],"")</f>
        <v>0.29166666666666669</v>
      </c>
      <c r="W104" s="4" t="s">
        <v>299</v>
      </c>
      <c r="X104" s="4" t="s">
        <v>80</v>
      </c>
      <c r="Y104" s="4">
        <f>IF(tabJanta[[#This Row],[MOTORISTA]]="","",COUNTIF(autocompJanta[COMP ESCALA ATUAL],autocompJanta[[#This Row],[COMP ESCALA ATUAL]]))</f>
        <v>1</v>
      </c>
      <c r="Z104" s="45">
        <f>IF(tabJanta[[#This Row],[MOTORISTA]]&lt;&gt;0,15,"")</f>
        <v>15</v>
      </c>
      <c r="AA104" s="4" t="str">
        <f>autocompJanta[[#This Row],[CORRESP LINHA]]</f>
        <v>GOIANIA (GO) X SAO LUIS (MA)</v>
      </c>
    </row>
    <row r="105" spans="3:27" ht="15" hidden="1" customHeight="1" x14ac:dyDescent="0.25">
      <c r="C105" s="129" t="s">
        <v>226</v>
      </c>
      <c r="D105" s="56" t="str">
        <f>IF(tabJanta[[#This Row],[MOTORISTA]]="","",_xlfn.CONCAT(tabJanta[[#This Row],[DATA]],"+",tabJanta[[#This Row],[MOTORISTA]]))</f>
        <v>45904+JOSE ALVES DA ROCHA - 5035</v>
      </c>
      <c r="E105" s="56" t="str">
        <f>_xlfn.XLOOKUP(autocompJanta[[#This Row],[COMP ESCALA ATUAL]],tabE.Flux[COMP.AT. MOT A],tabE.Flux[LINHA],"NÃO",0,1)</f>
        <v>NÃO</v>
      </c>
      <c r="F105" s="56" t="str">
        <f>_xlfn.XLOOKUP(autocompJanta[[#This Row],[COMP ESCALA ATUAL]],tabE.Flux[COMP.AT. MOT B],tabE.Flux[LINHA],"NÃO",0,1)</f>
        <v>GOIANIA (GO) X SAO LUIS (MA)</v>
      </c>
      <c r="G105" s="61" t="str">
        <f>IF(AND(autocompJanta[[#This Row],[EXISTE MOT A AT]]="NÃO", autocompJanta[[#This Row],[EXISTE MOT B AT]]="NÃO"),"NÃO","SIM")</f>
        <v>SIM</v>
      </c>
      <c r="H105" s="57" t="str">
        <f>IF(autocompJanta[[#This Row],[EXISTE ESCALA ATUAL]]="NÃO",_xlfn.CONCAT(tabJanta[[#This Row],[DATA]]-1,"+",tabJanta[[#This Row],[MOTORISTA]]),"NÃO")</f>
        <v>NÃO</v>
      </c>
      <c r="I105" s="57" t="str">
        <f>IF(autocompJanta[[#This Row],[COMP ESCALA ANTERIOR]]="NÃO","NÃO",_xlfn.XLOOKUP(autocompJanta[[#This Row],[COMP ESCALA ANTERIOR]],tabE.Flux[COMP.AT. MOT A],tabE.Flux[LINHA],"NÃO",0,1))</f>
        <v>NÃO</v>
      </c>
      <c r="J105" s="58" t="str">
        <f>IF(autocompJanta[[#This Row],[COMP ESCALA ANTERIOR]]="NÃO","NÃO",_xlfn.XLOOKUP(autocompJanta[[#This Row],[COMP ESCALA ANTERIOR]],tabE.Flux[COMP.AT. MOT B],tabE.Flux[LINHA],"NÃO",0,1))</f>
        <v>NÃO</v>
      </c>
      <c r="K105" s="62" t="str">
        <f>IF(AND(autocompJanta[[#This Row],[EXISTE MOT A ANT]]="NÃO",autocompJanta[[#This Row],[EXISTE MOT B ANT]]="NÃO"),"NÃO","SIM")</f>
        <v>NÃO</v>
      </c>
      <c r="L105" s="59" t="str">
        <f t="shared" si="3"/>
        <v>45905+JOSE ALVES DA ROCHA - 5035</v>
      </c>
      <c r="M105" s="59" t="str">
        <f>IF(autocompJanta[[#This Row],[COMP ESCALA POSTERIOR]]="NÃO","NÃO",_xlfn.XLOOKUP(autocompJanta[[#This Row],[COMP ESCALA POSTERIOR]],tabE.Flux[COMP.AT. MOT A],tabE.Flux[LINHA],"NÃO",0,1))</f>
        <v>NÃO</v>
      </c>
      <c r="N105" s="59" t="str">
        <f>IF(autocompJanta[[#This Row],[COMP ESCALA POSTERIOR]]="NÃO","NÃO",_xlfn.XLOOKUP(autocompJanta[[#This Row],[COMP ESCALA POSTERIOR]],tabE.Flux[COMP.AT. MOT B],tabE.Flux[LINHA],"NÃO",0,1))</f>
        <v>NÃO</v>
      </c>
      <c r="O105" s="65" t="str">
        <f>IF(AND(autocompJanta[[#This Row],[EXISTE MOT A POS]]="NÃO",autocompJanta[[#This Row],[EXISTE MOT B POS]]="NÃO"),"NÃO","SIM")</f>
        <v>NÃO</v>
      </c>
      <c r="P105" s="66" t="str" cm="1">
        <f t="array" ref="P10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05" s="103" t="str" cm="1">
        <f t="array" ref="Q10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45904+JOSE ALVES DA ROCHA - 5035+GOIANIA (GO) X SAO LUIS (MA)</v>
      </c>
      <c r="R105" s="67">
        <f>_xlfn.XLOOKUP(autocompJanta[[#This Row],[COMP ESCALA]],tabE.Flux[COMP. ESCALA MOT B],tabE.Flux[CARRO],
(_xlfn.XLOOKUP(autocompJanta[[#This Row],[COMP ESCALA]],tabE.Flux[COMP. ESCALA MOT A],tabE.Flux[CARRO],"N/E",0,1)),0,1)</f>
        <v>24006</v>
      </c>
      <c r="S105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05" s="127">
        <v>45904</v>
      </c>
      <c r="U105" s="4">
        <f>IF(IFERROR(autocompJanta[[#This Row],[CORRESP. CARRO]],"")="NÃO",(IF(tabJanta[[#This Row],[MOTORISTA]]=0,"","PASSE?")),autocompJanta[[#This Row],[CORRESP. CARRO]])</f>
        <v>24006</v>
      </c>
      <c r="V105" s="128">
        <f>IF(OR(ISERR(autocompJanta[[#This Row],[CORRESP HORARIO]]), autocompJanta[[#This Row],[CORRESP HORARIO]]&lt;&gt;"NÃO"),autocompJanta[[#This Row],[CORRESP HORARIO]],"")</f>
        <v>0.79166666666666663</v>
      </c>
      <c r="W105" s="4" t="s">
        <v>299</v>
      </c>
      <c r="X105" s="4" t="s">
        <v>91</v>
      </c>
      <c r="Y105" s="4">
        <f>IF(tabJanta[[#This Row],[MOTORISTA]]="","",COUNTIF(autocompJanta[COMP ESCALA ATUAL],autocompJanta[[#This Row],[COMP ESCALA ATUAL]]))</f>
        <v>1</v>
      </c>
      <c r="Z105" s="45">
        <f>IF(tabJanta[[#This Row],[MOTORISTA]]&lt;&gt;0,15,"")</f>
        <v>15</v>
      </c>
      <c r="AA105" s="4" t="str">
        <f>autocompJanta[[#This Row],[CORRESP LINHA]]</f>
        <v>GOIANIA (GO) X SAO LUIS (MA)</v>
      </c>
    </row>
    <row r="106" spans="3:27" ht="15" hidden="1" customHeight="1" x14ac:dyDescent="0.25">
      <c r="C106" s="129" t="s">
        <v>226</v>
      </c>
      <c r="D106" s="56" t="str">
        <f>IF(tabJanta[[#This Row],[MOTORISTA]]="","",_xlfn.CONCAT(tabJanta[[#This Row],[DATA]],"+",tabJanta[[#This Row],[MOTORISTA]]))</f>
        <v>45904+ADAIL DA SILVA DOS SANTOS - 1103</v>
      </c>
      <c r="E106" s="56" t="str">
        <f>_xlfn.XLOOKUP(autocompJanta[[#This Row],[COMP ESCALA ATUAL]],tabE.Flux[COMP.AT. MOT A],tabE.Flux[LINHA],"NÃO",0,1)</f>
        <v>NÃO</v>
      </c>
      <c r="F106" s="56" t="str">
        <f>_xlfn.XLOOKUP(autocompJanta[[#This Row],[COMP ESCALA ATUAL]],tabE.Flux[COMP.AT. MOT B],tabE.Flux[LINHA],"NÃO",0,1)</f>
        <v>NÃO</v>
      </c>
      <c r="G106" s="61" t="str">
        <f>IF(AND(autocompJanta[[#This Row],[EXISTE MOT A AT]]="NÃO", autocompJanta[[#This Row],[EXISTE MOT B AT]]="NÃO"),"NÃO","SIM")</f>
        <v>NÃO</v>
      </c>
      <c r="H106" s="57" t="str">
        <f>IF(autocompJanta[[#This Row],[EXISTE ESCALA ATUAL]]="NÃO",_xlfn.CONCAT(tabJanta[[#This Row],[DATA]]-1,"+",tabJanta[[#This Row],[MOTORISTA]]),"NÃO")</f>
        <v>45903+ADAIL DA SILVA DOS SANTOS - 1103</v>
      </c>
      <c r="I106" s="57" t="str">
        <f>IF(autocompJanta[[#This Row],[COMP ESCALA ANTERIOR]]="NÃO","NÃO",_xlfn.XLOOKUP(autocompJanta[[#This Row],[COMP ESCALA ANTERIOR]],tabE.Flux[COMP.AT. MOT A],tabE.Flux[LINHA],"NÃO",0,1))</f>
        <v>NÃO</v>
      </c>
      <c r="J106" s="58" t="str">
        <f>IF(autocompJanta[[#This Row],[COMP ESCALA ANTERIOR]]="NÃO","NÃO",_xlfn.XLOOKUP(autocompJanta[[#This Row],[COMP ESCALA ANTERIOR]],tabE.Flux[COMP.AT. MOT B],tabE.Flux[LINHA],"NÃO",0,1))</f>
        <v>NÃO</v>
      </c>
      <c r="K106" s="62" t="str">
        <f>IF(AND(autocompJanta[[#This Row],[EXISTE MOT A ANT]]="NÃO",autocompJanta[[#This Row],[EXISTE MOT B ANT]]="NÃO"),"NÃO","SIM")</f>
        <v>NÃO</v>
      </c>
      <c r="L106" s="59" t="str">
        <f t="shared" si="3"/>
        <v>45905+ADAIL DA SILVA DOS SANTOS - 1103</v>
      </c>
      <c r="M106" s="59" t="str">
        <f>IF(autocompJanta[[#This Row],[COMP ESCALA POSTERIOR]]="NÃO","NÃO",_xlfn.XLOOKUP(autocompJanta[[#This Row],[COMP ESCALA POSTERIOR]],tabE.Flux[COMP.AT. MOT A],tabE.Flux[LINHA],"NÃO",0,1))</f>
        <v>NÃO</v>
      </c>
      <c r="N106" s="59" t="str">
        <f>IF(autocompJanta[[#This Row],[COMP ESCALA POSTERIOR]]="NÃO","NÃO",_xlfn.XLOOKUP(autocompJanta[[#This Row],[COMP ESCALA POSTERIOR]],tabE.Flux[COMP.AT. MOT B],tabE.Flux[LINHA],"NÃO",0,1))</f>
        <v>NÃO</v>
      </c>
      <c r="O106" s="65" t="str">
        <f>IF(AND(autocompJanta[[#This Row],[EXISTE MOT A POS]]="NÃO",autocompJanta[[#This Row],[EXISTE MOT B POS]]="NÃO"),"NÃO","SIM")</f>
        <v>NÃO</v>
      </c>
      <c r="P106" s="66" t="str" cm="1">
        <f t="array" ref="P10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106" s="103" t="str" cm="1">
        <f t="array" ref="Q10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106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106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106" s="127">
        <v>45904</v>
      </c>
      <c r="U106" s="4">
        <v>19020</v>
      </c>
      <c r="V106" s="128" t="s">
        <v>316</v>
      </c>
      <c r="W106" s="4" t="s">
        <v>316</v>
      </c>
      <c r="X106" s="4" t="s">
        <v>317</v>
      </c>
      <c r="Y106" s="4">
        <f>IF(tabJanta[[#This Row],[MOTORISTA]]="","",COUNTIF(autocompJanta[COMP ESCALA ATUAL],autocompJanta[[#This Row],[COMP ESCALA ATUAL]]))</f>
        <v>1</v>
      </c>
      <c r="Z106" s="45">
        <f>IF(tabJanta[[#This Row],[MOTORISTA]]&lt;&gt;0,15,"")</f>
        <v>15</v>
      </c>
      <c r="AA106" s="4" t="str">
        <f>autocompJanta[[#This Row],[CORRESP LINHA]]</f>
        <v>NÃO ENCONTRADO</v>
      </c>
    </row>
    <row r="107" spans="3:27" ht="15" hidden="1" customHeight="1" x14ac:dyDescent="0.25">
      <c r="C107" s="129" t="s">
        <v>226</v>
      </c>
      <c r="D107" s="56" t="str">
        <f>IF(tabJanta[[#This Row],[MOTORISTA]]="","",_xlfn.CONCAT(tabJanta[[#This Row],[DATA]],"+",tabJanta[[#This Row],[MOTORISTA]]))</f>
        <v>45904+FRANCISCO BRITO "NALDO"</v>
      </c>
      <c r="E107" s="56" t="str">
        <f>_xlfn.XLOOKUP(autocompJanta[[#This Row],[COMP ESCALA ATUAL]],tabE.Flux[COMP.AT. MOT A],tabE.Flux[LINHA],"NÃO",0,1)</f>
        <v>NÃO</v>
      </c>
      <c r="F107" s="56" t="str">
        <f>_xlfn.XLOOKUP(autocompJanta[[#This Row],[COMP ESCALA ATUAL]],tabE.Flux[COMP.AT. MOT B],tabE.Flux[LINHA],"NÃO",0,1)</f>
        <v>NÃO</v>
      </c>
      <c r="G107" s="61" t="str">
        <f>IF(AND(autocompJanta[[#This Row],[EXISTE MOT A AT]]="NÃO", autocompJanta[[#This Row],[EXISTE MOT B AT]]="NÃO"),"NÃO","SIM")</f>
        <v>NÃO</v>
      </c>
      <c r="H107" s="57" t="str">
        <f>IF(autocompJanta[[#This Row],[EXISTE ESCALA ATUAL]]="NÃO",_xlfn.CONCAT(tabJanta[[#This Row],[DATA]]-1,"+",tabJanta[[#This Row],[MOTORISTA]]),"NÃO")</f>
        <v>45903+FRANCISCO BRITO "NALDO"</v>
      </c>
      <c r="I107" s="57" t="str">
        <f>IF(autocompJanta[[#This Row],[COMP ESCALA ANTERIOR]]="NÃO","NÃO",_xlfn.XLOOKUP(autocompJanta[[#This Row],[COMP ESCALA ANTERIOR]],tabE.Flux[COMP.AT. MOT A],tabE.Flux[LINHA],"NÃO",0,1))</f>
        <v>NÃO</v>
      </c>
      <c r="J107" s="58" t="str">
        <f>IF(autocompJanta[[#This Row],[COMP ESCALA ANTERIOR]]="NÃO","NÃO",_xlfn.XLOOKUP(autocompJanta[[#This Row],[COMP ESCALA ANTERIOR]],tabE.Flux[COMP.AT. MOT B],tabE.Flux[LINHA],"NÃO",0,1))</f>
        <v>NÃO</v>
      </c>
      <c r="K107" s="62" t="str">
        <f>IF(AND(autocompJanta[[#This Row],[EXISTE MOT A ANT]]="NÃO",autocompJanta[[#This Row],[EXISTE MOT B ANT]]="NÃO"),"NÃO","SIM")</f>
        <v>NÃO</v>
      </c>
      <c r="L107" s="59" t="str">
        <f t="shared" si="3"/>
        <v>45905+FRANCISCO BRITO "NALDO"</v>
      </c>
      <c r="M107" s="59" t="str">
        <f>IF(autocompJanta[[#This Row],[COMP ESCALA POSTERIOR]]="NÃO","NÃO",_xlfn.XLOOKUP(autocompJanta[[#This Row],[COMP ESCALA POSTERIOR]],tabE.Flux[COMP.AT. MOT A],tabE.Flux[LINHA],"NÃO",0,1))</f>
        <v>NÃO</v>
      </c>
      <c r="N107" s="59" t="str">
        <f>IF(autocompJanta[[#This Row],[COMP ESCALA POSTERIOR]]="NÃO","NÃO",_xlfn.XLOOKUP(autocompJanta[[#This Row],[COMP ESCALA POSTERIOR]],tabE.Flux[COMP.AT. MOT B],tabE.Flux[LINHA],"NÃO",0,1))</f>
        <v>NÃO</v>
      </c>
      <c r="O107" s="65" t="str">
        <f>IF(AND(autocompJanta[[#This Row],[EXISTE MOT A POS]]="NÃO",autocompJanta[[#This Row],[EXISTE MOT B POS]]="NÃO"),"NÃO","SIM")</f>
        <v>NÃO</v>
      </c>
      <c r="P107" s="66" t="str" cm="1">
        <f t="array" ref="P10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107" s="103" t="str" cm="1">
        <f t="array" ref="Q10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107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107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107" s="127">
        <v>45904</v>
      </c>
      <c r="U107" s="4">
        <v>19020</v>
      </c>
      <c r="V107" s="128" t="s">
        <v>316</v>
      </c>
      <c r="W107" s="4" t="s">
        <v>316</v>
      </c>
      <c r="X107" s="4" t="s">
        <v>318</v>
      </c>
      <c r="Y107" s="4">
        <f>IF(tabJanta[[#This Row],[MOTORISTA]]="","",COUNTIF(autocompJanta[COMP ESCALA ATUAL],autocompJanta[[#This Row],[COMP ESCALA ATUAL]]))</f>
        <v>1</v>
      </c>
      <c r="Z107" s="45">
        <f>IF(tabJanta[[#This Row],[MOTORISTA]]&lt;&gt;0,15,"")</f>
        <v>15</v>
      </c>
      <c r="AA107" s="4" t="str">
        <f>autocompJanta[[#This Row],[CORRESP LINHA]]</f>
        <v>NÃO ENCONTRADO</v>
      </c>
    </row>
    <row r="108" spans="3:27" ht="15" hidden="1" customHeight="1" x14ac:dyDescent="0.25">
      <c r="C108" s="129" t="s">
        <v>226</v>
      </c>
      <c r="D108" s="56" t="str">
        <f>IF(tabJanta[[#This Row],[MOTORISTA]]="","",_xlfn.CONCAT(tabJanta[[#This Row],[DATA]],"+",tabJanta[[#This Row],[MOTORISTA]]))</f>
        <v>45905+LAUCEANDO DA SILVA ROCHA - 6220</v>
      </c>
      <c r="E108" s="56" t="str">
        <f>_xlfn.XLOOKUP(autocompJanta[[#This Row],[COMP ESCALA ATUAL]],tabE.Flux[COMP.AT. MOT A],tabE.Flux[LINHA],"NÃO",0,1)</f>
        <v>NÃO</v>
      </c>
      <c r="F108" s="56" t="str">
        <f>_xlfn.XLOOKUP(autocompJanta[[#This Row],[COMP ESCALA ATUAL]],tabE.Flux[COMP.AT. MOT B],tabE.Flux[LINHA],"NÃO",0,1)</f>
        <v>GOIANIA (GO) X SAO LUIS (MA)</v>
      </c>
      <c r="G108" s="61" t="str">
        <f>IF(AND(autocompJanta[[#This Row],[EXISTE MOT A AT]]="NÃO", autocompJanta[[#This Row],[EXISTE MOT B AT]]="NÃO"),"NÃO","SIM")</f>
        <v>SIM</v>
      </c>
      <c r="H108" s="57" t="str">
        <f>IF(autocompJanta[[#This Row],[EXISTE ESCALA ATUAL]]="NÃO",_xlfn.CONCAT(tabJanta[[#This Row],[DATA]]-1,"+",tabJanta[[#This Row],[MOTORISTA]]),"NÃO")</f>
        <v>NÃO</v>
      </c>
      <c r="I108" s="57" t="str">
        <f>IF(autocompJanta[[#This Row],[COMP ESCALA ANTERIOR]]="NÃO","NÃO",_xlfn.XLOOKUP(autocompJanta[[#This Row],[COMP ESCALA ANTERIOR]],tabE.Flux[COMP.AT. MOT A],tabE.Flux[LINHA],"NÃO",0,1))</f>
        <v>NÃO</v>
      </c>
      <c r="J108" s="58" t="str">
        <f>IF(autocompJanta[[#This Row],[COMP ESCALA ANTERIOR]]="NÃO","NÃO",_xlfn.XLOOKUP(autocompJanta[[#This Row],[COMP ESCALA ANTERIOR]],tabE.Flux[COMP.AT. MOT B],tabE.Flux[LINHA],"NÃO",0,1))</f>
        <v>NÃO</v>
      </c>
      <c r="K108" s="62" t="str">
        <f>IF(AND(autocompJanta[[#This Row],[EXISTE MOT A ANT]]="NÃO",autocompJanta[[#This Row],[EXISTE MOT B ANT]]="NÃO"),"NÃO","SIM")</f>
        <v>NÃO</v>
      </c>
      <c r="L108" s="59" t="str">
        <f t="shared" si="3"/>
        <v>45906+LAUCEANDO DA SILVA ROCHA - 6220</v>
      </c>
      <c r="M108" s="59" t="str">
        <f>IF(autocompJanta[[#This Row],[COMP ESCALA POSTERIOR]]="NÃO","NÃO",_xlfn.XLOOKUP(autocompJanta[[#This Row],[COMP ESCALA POSTERIOR]],tabE.Flux[COMP.AT. MOT A],tabE.Flux[LINHA],"NÃO",0,1))</f>
        <v>NÃO</v>
      </c>
      <c r="N108" s="59" t="str">
        <f>IF(autocompJanta[[#This Row],[COMP ESCALA POSTERIOR]]="NÃO","NÃO",_xlfn.XLOOKUP(autocompJanta[[#This Row],[COMP ESCALA POSTERIOR]],tabE.Flux[COMP.AT. MOT B],tabE.Flux[LINHA],"NÃO",0,1))</f>
        <v>NÃO</v>
      </c>
      <c r="O108" s="65" t="str">
        <f>IF(AND(autocompJanta[[#This Row],[EXISTE MOT A POS]]="NÃO",autocompJanta[[#This Row],[EXISTE MOT B POS]]="NÃO"),"NÃO","SIM")</f>
        <v>NÃO</v>
      </c>
      <c r="P108" s="66" t="str" cm="1">
        <f t="array" ref="P10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08" s="103" t="str" cm="1">
        <f t="array" ref="Q10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45905+LAUCEANDO DA SILVA ROCHA - 6220+GOIANIA (GO) X SAO LUIS (MA)</v>
      </c>
      <c r="R108" s="67">
        <f>_xlfn.XLOOKUP(autocompJanta[[#This Row],[COMP ESCALA]],tabE.Flux[COMP. ESCALA MOT B],tabE.Flux[CARRO],
(_xlfn.XLOOKUP(autocompJanta[[#This Row],[COMP ESCALA]],tabE.Flux[COMP. ESCALA MOT A],tabE.Flux[CARRO],"N/E",0,1)),0,1)</f>
        <v>20018</v>
      </c>
      <c r="S108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08" s="127">
        <v>45905</v>
      </c>
      <c r="U108" s="4">
        <f>IF(IFERROR(autocompJanta[[#This Row],[CORRESP. CARRO]],"")="NÃO",(IF(tabJanta[[#This Row],[MOTORISTA]]=0,"","PASSE?")),autocompJanta[[#This Row],[CORRESP. CARRO]])</f>
        <v>20018</v>
      </c>
      <c r="V108" s="128">
        <f>IF(OR(ISERR(autocompJanta[[#This Row],[CORRESP HORARIO]]), autocompJanta[[#This Row],[CORRESP HORARIO]]&lt;&gt;"NÃO"),autocompJanta[[#This Row],[CORRESP HORARIO]],"")</f>
        <v>0.47013888888888888</v>
      </c>
      <c r="W108" s="4" t="s">
        <v>299</v>
      </c>
      <c r="X108" s="4" t="s">
        <v>86</v>
      </c>
      <c r="Y108" s="4">
        <f>IF(tabJanta[[#This Row],[MOTORISTA]]="","",COUNTIF(autocompJanta[COMP ESCALA ATUAL],autocompJanta[[#This Row],[COMP ESCALA ATUAL]]))</f>
        <v>1</v>
      </c>
      <c r="Z108" s="45">
        <f>IF(tabJanta[[#This Row],[MOTORISTA]]&lt;&gt;0,15,"")</f>
        <v>15</v>
      </c>
      <c r="AA108" s="4" t="str">
        <f>autocompJanta[[#This Row],[CORRESP LINHA]]</f>
        <v>GOIANIA (GO) X SAO LUIS (MA)</v>
      </c>
    </row>
    <row r="109" spans="3:27" ht="15" hidden="1" customHeight="1" x14ac:dyDescent="0.25">
      <c r="C109" s="129" t="s">
        <v>226</v>
      </c>
      <c r="D109" s="56" t="str">
        <f>IF(tabJanta[[#This Row],[MOTORISTA]]="","",_xlfn.CONCAT(tabJanta[[#This Row],[DATA]],"+",tabJanta[[#This Row],[MOTORISTA]]))</f>
        <v>45905+MARCOS ANTONIO ALVES DE SOUSA - 5278</v>
      </c>
      <c r="E109" s="56" t="str">
        <f>_xlfn.XLOOKUP(autocompJanta[[#This Row],[COMP ESCALA ATUAL]],tabE.Flux[COMP.AT. MOT A],tabE.Flux[LINHA],"NÃO",0,1)</f>
        <v>NÃO</v>
      </c>
      <c r="F109" s="56" t="str">
        <f>_xlfn.XLOOKUP(autocompJanta[[#This Row],[COMP ESCALA ATUAL]],tabE.Flux[COMP.AT. MOT B],tabE.Flux[LINHA],"NÃO",0,1)</f>
        <v>FORTALEZA (CE) X SINOP (MT)</v>
      </c>
      <c r="G109" s="61" t="str">
        <f>IF(AND(autocompJanta[[#This Row],[EXISTE MOT A AT]]="NÃO", autocompJanta[[#This Row],[EXISTE MOT B AT]]="NÃO"),"NÃO","SIM")</f>
        <v>SIM</v>
      </c>
      <c r="H109" s="57" t="str">
        <f>IF(autocompJanta[[#This Row],[EXISTE ESCALA ATUAL]]="NÃO",_xlfn.CONCAT(tabJanta[[#This Row],[DATA]]-1,"+",tabJanta[[#This Row],[MOTORISTA]]),"NÃO")</f>
        <v>NÃO</v>
      </c>
      <c r="I109" s="57" t="str">
        <f>IF(autocompJanta[[#This Row],[COMP ESCALA ANTERIOR]]="NÃO","NÃO",_xlfn.XLOOKUP(autocompJanta[[#This Row],[COMP ESCALA ANTERIOR]],tabE.Flux[COMP.AT. MOT A],tabE.Flux[LINHA],"NÃO",0,1))</f>
        <v>NÃO</v>
      </c>
      <c r="J109" s="58" t="str">
        <f>IF(autocompJanta[[#This Row],[COMP ESCALA ANTERIOR]]="NÃO","NÃO",_xlfn.XLOOKUP(autocompJanta[[#This Row],[COMP ESCALA ANTERIOR]],tabE.Flux[COMP.AT. MOT B],tabE.Flux[LINHA],"NÃO",0,1))</f>
        <v>NÃO</v>
      </c>
      <c r="K109" s="62" t="str">
        <f>IF(AND(autocompJanta[[#This Row],[EXISTE MOT A ANT]]="NÃO",autocompJanta[[#This Row],[EXISTE MOT B ANT]]="NÃO"),"NÃO","SIM")</f>
        <v>NÃO</v>
      </c>
      <c r="L109" s="59" t="str">
        <f t="shared" si="3"/>
        <v>45906+MARCOS ANTONIO ALVES DE SOUSA - 5278</v>
      </c>
      <c r="M109" s="59" t="str">
        <f>IF(autocompJanta[[#This Row],[COMP ESCALA POSTERIOR]]="NÃO","NÃO",_xlfn.XLOOKUP(autocompJanta[[#This Row],[COMP ESCALA POSTERIOR]],tabE.Flux[COMP.AT. MOT A],tabE.Flux[LINHA],"NÃO",0,1))</f>
        <v>NÃO</v>
      </c>
      <c r="N109" s="59" t="str">
        <f>IF(autocompJanta[[#This Row],[COMP ESCALA POSTERIOR]]="NÃO","NÃO",_xlfn.XLOOKUP(autocompJanta[[#This Row],[COMP ESCALA POSTERIOR]],tabE.Flux[COMP.AT. MOT B],tabE.Flux[LINHA],"NÃO",0,1))</f>
        <v>NÃO</v>
      </c>
      <c r="O109" s="65" t="str">
        <f>IF(AND(autocompJanta[[#This Row],[EXISTE MOT A POS]]="NÃO",autocompJanta[[#This Row],[EXISTE MOT B POS]]="NÃO"),"NÃO","SIM")</f>
        <v>NÃO</v>
      </c>
      <c r="P109" s="66" t="str" cm="1">
        <f t="array" ref="P10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09" s="103" t="str" cm="1">
        <f t="array" ref="Q10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45905+MARCOS ANTONIO ALVES DE SOUSA - 5278+FORTALEZA (CE) X SINOP (MT)</v>
      </c>
      <c r="R109" s="67">
        <f>_xlfn.XLOOKUP(autocompJanta[[#This Row],[COMP ESCALA]],tabE.Flux[COMP. ESCALA MOT B],tabE.Flux[CARRO],
(_xlfn.XLOOKUP(autocompJanta[[#This Row],[COMP ESCALA]],tabE.Flux[COMP. ESCALA MOT A],tabE.Flux[CARRO],"N/E",0,1)),0,1)</f>
        <v>19003</v>
      </c>
      <c r="S109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09" s="127">
        <v>45905</v>
      </c>
      <c r="U109" s="4">
        <f>IF(IFERROR(autocompJanta[[#This Row],[CORRESP. CARRO]],"")="NÃO",(IF(tabJanta[[#This Row],[MOTORISTA]]=0,"","PASSE?")),autocompJanta[[#This Row],[CORRESP. CARRO]])</f>
        <v>19003</v>
      </c>
      <c r="V109" s="128">
        <f>IF(OR(ISERR(autocompJanta[[#This Row],[CORRESP HORARIO]]), autocompJanta[[#This Row],[CORRESP HORARIO]]&lt;&gt;"NÃO"),autocompJanta[[#This Row],[CORRESP HORARIO]],"")</f>
        <v>0.37708333333333333</v>
      </c>
      <c r="W109" s="4" t="s">
        <v>299</v>
      </c>
      <c r="X109" s="4" t="s">
        <v>210</v>
      </c>
      <c r="Y109" s="4">
        <f>IF(tabJanta[[#This Row],[MOTORISTA]]="","",COUNTIF(autocompJanta[COMP ESCALA ATUAL],autocompJanta[[#This Row],[COMP ESCALA ATUAL]]))</f>
        <v>1</v>
      </c>
      <c r="Z109" s="45">
        <f>IF(tabJanta[[#This Row],[MOTORISTA]]&lt;&gt;0,15,"")</f>
        <v>15</v>
      </c>
      <c r="AA109" s="4" t="str">
        <f>autocompJanta[[#This Row],[CORRESP LINHA]]</f>
        <v>FORTALEZA (CE) X SINOP (MT)</v>
      </c>
    </row>
    <row r="110" spans="3:27" ht="15" hidden="1" customHeight="1" x14ac:dyDescent="0.25">
      <c r="C110" s="129" t="s">
        <v>226</v>
      </c>
      <c r="D110" s="56" t="str">
        <f>IF(tabJanta[[#This Row],[MOTORISTA]]="","",_xlfn.CONCAT(tabJanta[[#This Row],[DATA]],"+",tabJanta[[#This Row],[MOTORISTA]]))</f>
        <v>45905+ALTEMAR DO NASCIMENTO LIMA - 6225</v>
      </c>
      <c r="E110" s="56" t="str">
        <f>_xlfn.XLOOKUP(autocompJanta[[#This Row],[COMP ESCALA ATUAL]],tabE.Flux[COMP.AT. MOT A],tabE.Flux[LINHA],"NÃO",0,1)</f>
        <v>GOIANIA (GO) X SAO LUIS (MA)</v>
      </c>
      <c r="F110" s="56" t="str">
        <f>_xlfn.XLOOKUP(autocompJanta[[#This Row],[COMP ESCALA ATUAL]],tabE.Flux[COMP.AT. MOT B],tabE.Flux[LINHA],"NÃO",0,1)</f>
        <v>GOIANIA (GO) X SAO LUIS (MA)</v>
      </c>
      <c r="G110" s="61" t="str">
        <f>IF(AND(autocompJanta[[#This Row],[EXISTE MOT A AT]]="NÃO", autocompJanta[[#This Row],[EXISTE MOT B AT]]="NÃO"),"NÃO","SIM")</f>
        <v>SIM</v>
      </c>
      <c r="H110" s="57" t="str">
        <f>IF(autocompJanta[[#This Row],[EXISTE ESCALA ATUAL]]="NÃO",_xlfn.CONCAT(tabJanta[[#This Row],[DATA]]-1,"+",tabJanta[[#This Row],[MOTORISTA]]),"NÃO")</f>
        <v>NÃO</v>
      </c>
      <c r="I110" s="57" t="str">
        <f>IF(autocompJanta[[#This Row],[COMP ESCALA ANTERIOR]]="NÃO","NÃO",_xlfn.XLOOKUP(autocompJanta[[#This Row],[COMP ESCALA ANTERIOR]],tabE.Flux[COMP.AT. MOT A],tabE.Flux[LINHA],"NÃO",0,1))</f>
        <v>NÃO</v>
      </c>
      <c r="J110" s="58" t="str">
        <f>IF(autocompJanta[[#This Row],[COMP ESCALA ANTERIOR]]="NÃO","NÃO",_xlfn.XLOOKUP(autocompJanta[[#This Row],[COMP ESCALA ANTERIOR]],tabE.Flux[COMP.AT. MOT B],tabE.Flux[LINHA],"NÃO",0,1))</f>
        <v>NÃO</v>
      </c>
      <c r="K110" s="62" t="str">
        <f>IF(AND(autocompJanta[[#This Row],[EXISTE MOT A ANT]]="NÃO",autocompJanta[[#This Row],[EXISTE MOT B ANT]]="NÃO"),"NÃO","SIM")</f>
        <v>NÃO</v>
      </c>
      <c r="L110" s="59" t="str">
        <f t="shared" si="3"/>
        <v>45906+ALTEMAR DO NASCIMENTO LIMA - 6225</v>
      </c>
      <c r="M110" s="59" t="str">
        <f>IF(autocompJanta[[#This Row],[COMP ESCALA POSTERIOR]]="NÃO","NÃO",_xlfn.XLOOKUP(autocompJanta[[#This Row],[COMP ESCALA POSTERIOR]],tabE.Flux[COMP.AT. MOT A],tabE.Flux[LINHA],"NÃO",0,1))</f>
        <v>NÃO</v>
      </c>
      <c r="N110" s="59" t="str">
        <f>IF(autocompJanta[[#This Row],[COMP ESCALA POSTERIOR]]="NÃO","NÃO",_xlfn.XLOOKUP(autocompJanta[[#This Row],[COMP ESCALA POSTERIOR]],tabE.Flux[COMP.AT. MOT B],tabE.Flux[LINHA],"NÃO",0,1))</f>
        <v>NÃO</v>
      </c>
      <c r="O110" s="65" t="str">
        <f>IF(AND(autocompJanta[[#This Row],[EXISTE MOT A POS]]="NÃO",autocompJanta[[#This Row],[EXISTE MOT B POS]]="NÃO"),"NÃO","SIM")</f>
        <v>NÃO</v>
      </c>
      <c r="P110" s="66" t="str" cm="1">
        <f t="array" ref="P11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10" s="103" t="str" cm="1">
        <f t="array" ref="Q11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45905+ALTEMAR DO NASCIMENTO LIMA - 6225+GOIANIA (GO) X SAO LUIS (MA)</v>
      </c>
      <c r="R110" s="67">
        <f>_xlfn.XLOOKUP(autocompJanta[[#This Row],[COMP ESCALA]],tabE.Flux[COMP. ESCALA MOT B],tabE.Flux[CARRO],
(_xlfn.XLOOKUP(autocompJanta[[#This Row],[COMP ESCALA]],tabE.Flux[COMP. ESCALA MOT A],tabE.Flux[CARRO],"N/E",0,1)),0,1)</f>
        <v>24005</v>
      </c>
      <c r="S110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10" s="127">
        <v>45905</v>
      </c>
      <c r="U110" s="4">
        <f>IF(IFERROR(autocompJanta[[#This Row],[CORRESP. CARRO]],"")="NÃO",(IF(tabJanta[[#This Row],[MOTORISTA]]=0,"","PASSE?")),autocompJanta[[#This Row],[CORRESP. CARRO]])</f>
        <v>24005</v>
      </c>
      <c r="V110" s="128">
        <f>IF(OR(ISERR(autocompJanta[[#This Row],[CORRESP HORARIO]]), autocompJanta[[#This Row],[CORRESP HORARIO]]&lt;&gt;"NÃO"),autocompJanta[[#This Row],[CORRESP HORARIO]],"")</f>
        <v>0.29166666666666669</v>
      </c>
      <c r="W110" s="4" t="s">
        <v>299</v>
      </c>
      <c r="X110" s="4" t="s">
        <v>57</v>
      </c>
      <c r="Y110" s="4">
        <f>IF(tabJanta[[#This Row],[MOTORISTA]]="","",COUNTIF(autocompJanta[COMP ESCALA ATUAL],autocompJanta[[#This Row],[COMP ESCALA ATUAL]]))</f>
        <v>1</v>
      </c>
      <c r="Z110" s="45">
        <f>IF(tabJanta[[#This Row],[MOTORISTA]]&lt;&gt;0,15,"")</f>
        <v>15</v>
      </c>
      <c r="AA110" s="4" t="str">
        <f>autocompJanta[[#This Row],[CORRESP LINHA]]</f>
        <v>GOIANIA (GO) X SAO LUIS (MA)</v>
      </c>
    </row>
    <row r="111" spans="3:27" ht="15" hidden="1" customHeight="1" x14ac:dyDescent="0.25">
      <c r="C111" s="129" t="s">
        <v>226</v>
      </c>
      <c r="D111" s="56" t="str">
        <f>IF(tabJanta[[#This Row],[MOTORISTA]]="","",_xlfn.CONCAT(tabJanta[[#This Row],[DATA]],"+",tabJanta[[#This Row],[MOTORISTA]]))</f>
        <v>45905+FRANCISCO RAIMUNDO VIANA DE SOUSA - 5314</v>
      </c>
      <c r="E111" s="56" t="str">
        <f>_xlfn.XLOOKUP(autocompJanta[[#This Row],[COMP ESCALA ATUAL]],tabE.Flux[COMP.AT. MOT A],tabE.Flux[LINHA],"NÃO",0,1)</f>
        <v>NÃO</v>
      </c>
      <c r="F111" s="56" t="str">
        <f>_xlfn.XLOOKUP(autocompJanta[[#This Row],[COMP ESCALA ATUAL]],tabE.Flux[COMP.AT. MOT B],tabE.Flux[LINHA],"NÃO",0,1)</f>
        <v>GOIANIA (GO) X SAO LUIS (MA)</v>
      </c>
      <c r="G111" s="61" t="str">
        <f>IF(AND(autocompJanta[[#This Row],[EXISTE MOT A AT]]="NÃO", autocompJanta[[#This Row],[EXISTE MOT B AT]]="NÃO"),"NÃO","SIM")</f>
        <v>SIM</v>
      </c>
      <c r="H111" s="57" t="str">
        <f>IF(autocompJanta[[#This Row],[EXISTE ESCALA ATUAL]]="NÃO",_xlfn.CONCAT(tabJanta[[#This Row],[DATA]]-1,"+",tabJanta[[#This Row],[MOTORISTA]]),"NÃO")</f>
        <v>NÃO</v>
      </c>
      <c r="I111" s="57" t="str">
        <f>IF(autocompJanta[[#This Row],[COMP ESCALA ANTERIOR]]="NÃO","NÃO",_xlfn.XLOOKUP(autocompJanta[[#This Row],[COMP ESCALA ANTERIOR]],tabE.Flux[COMP.AT. MOT A],tabE.Flux[LINHA],"NÃO",0,1))</f>
        <v>NÃO</v>
      </c>
      <c r="J111" s="58" t="str">
        <f>IF(autocompJanta[[#This Row],[COMP ESCALA ANTERIOR]]="NÃO","NÃO",_xlfn.XLOOKUP(autocompJanta[[#This Row],[COMP ESCALA ANTERIOR]],tabE.Flux[COMP.AT. MOT B],tabE.Flux[LINHA],"NÃO",0,1))</f>
        <v>NÃO</v>
      </c>
      <c r="K111" s="62" t="str">
        <f>IF(AND(autocompJanta[[#This Row],[EXISTE MOT A ANT]]="NÃO",autocompJanta[[#This Row],[EXISTE MOT B ANT]]="NÃO"),"NÃO","SIM")</f>
        <v>NÃO</v>
      </c>
      <c r="L111" s="59" t="str">
        <f t="shared" si="3"/>
        <v>45906+FRANCISCO RAIMUNDO VIANA DE SOUSA - 5314</v>
      </c>
      <c r="M111" s="59" t="str">
        <f>IF(autocompJanta[[#This Row],[COMP ESCALA POSTERIOR]]="NÃO","NÃO",_xlfn.XLOOKUP(autocompJanta[[#This Row],[COMP ESCALA POSTERIOR]],tabE.Flux[COMP.AT. MOT A],tabE.Flux[LINHA],"NÃO",0,1))</f>
        <v>NÃO</v>
      </c>
      <c r="N111" s="59" t="str">
        <f>IF(autocompJanta[[#This Row],[COMP ESCALA POSTERIOR]]="NÃO","NÃO",_xlfn.XLOOKUP(autocompJanta[[#This Row],[COMP ESCALA POSTERIOR]],tabE.Flux[COMP.AT. MOT B],tabE.Flux[LINHA],"NÃO",0,1))</f>
        <v>NÃO</v>
      </c>
      <c r="O111" s="65" t="str">
        <f>IF(AND(autocompJanta[[#This Row],[EXISTE MOT A POS]]="NÃO",autocompJanta[[#This Row],[EXISTE MOT B POS]]="NÃO"),"NÃO","SIM")</f>
        <v>NÃO</v>
      </c>
      <c r="P111" s="66" t="str" cm="1">
        <f t="array" ref="P11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11" s="103" t="str" cm="1">
        <f t="array" ref="Q11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45905+FRANCISCO RAIMUNDO VIANA DE SOUSA - 5314+GOIANIA (GO) X SAO LUIS (MA)</v>
      </c>
      <c r="R111" s="67">
        <f>_xlfn.XLOOKUP(autocompJanta[[#This Row],[COMP ESCALA]],tabE.Flux[COMP. ESCALA MOT B],tabE.Flux[CARRO],
(_xlfn.XLOOKUP(autocompJanta[[#This Row],[COMP ESCALA]],tabE.Flux[COMP. ESCALA MOT A],tabE.Flux[CARRO],"N/E",0,1)),0,1)</f>
        <v>24003</v>
      </c>
      <c r="S111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11" s="127">
        <v>45905</v>
      </c>
      <c r="U111" s="4">
        <f>IF(IFERROR(autocompJanta[[#This Row],[CORRESP. CARRO]],"")="NÃO",(IF(tabJanta[[#This Row],[MOTORISTA]]=0,"","PASSE?")),autocompJanta[[#This Row],[CORRESP. CARRO]])</f>
        <v>24003</v>
      </c>
      <c r="V111" s="128">
        <f>IF(OR(ISERR(autocompJanta[[#This Row],[CORRESP HORARIO]]), autocompJanta[[#This Row],[CORRESP HORARIO]]&lt;&gt;"NÃO"),autocompJanta[[#This Row],[CORRESP HORARIO]],"")</f>
        <v>0.79166666666666663</v>
      </c>
      <c r="W111" s="4" t="s">
        <v>299</v>
      </c>
      <c r="X111" s="4" t="s">
        <v>87</v>
      </c>
      <c r="Y111" s="4">
        <f>IF(tabJanta[[#This Row],[MOTORISTA]]="","",COUNTIF(autocompJanta[COMP ESCALA ATUAL],autocompJanta[[#This Row],[COMP ESCALA ATUAL]]))</f>
        <v>1</v>
      </c>
      <c r="Z111" s="45">
        <f>IF(tabJanta[[#This Row],[MOTORISTA]]&lt;&gt;0,15,"")</f>
        <v>15</v>
      </c>
      <c r="AA111" s="4" t="str">
        <f>autocompJanta[[#This Row],[CORRESP LINHA]]</f>
        <v>GOIANIA (GO) X SAO LUIS (MA)</v>
      </c>
    </row>
    <row r="112" spans="3:27" ht="15" hidden="1" customHeight="1" x14ac:dyDescent="0.25">
      <c r="C112" s="129" t="s">
        <v>226</v>
      </c>
      <c r="D112" s="56" t="str">
        <f>IF(tabJanta[[#This Row],[MOTORISTA]]="","",_xlfn.CONCAT(tabJanta[[#This Row],[DATA]],"+",tabJanta[[#This Row],[MOTORISTA]]))</f>
        <v>45905+EDIVALDO DE ARAUJO - 6217</v>
      </c>
      <c r="E112" s="56" t="str">
        <f>_xlfn.XLOOKUP(autocompJanta[[#This Row],[COMP ESCALA ATUAL]],tabE.Flux[COMP.AT. MOT A],tabE.Flux[LINHA],"NÃO",0,1)</f>
        <v>NÃO</v>
      </c>
      <c r="F112" s="56" t="str">
        <f>_xlfn.XLOOKUP(autocompJanta[[#This Row],[COMP ESCALA ATUAL]],tabE.Flux[COMP.AT. MOT B],tabE.Flux[LINHA],"NÃO",0,1)</f>
        <v>IMPERATRIZ (MA) X SÃO LUIS (MA)</v>
      </c>
      <c r="G112" s="61" t="str">
        <f>IF(AND(autocompJanta[[#This Row],[EXISTE MOT A AT]]="NÃO", autocompJanta[[#This Row],[EXISTE MOT B AT]]="NÃO"),"NÃO","SIM")</f>
        <v>SIM</v>
      </c>
      <c r="H112" s="57" t="str">
        <f>IF(autocompJanta[[#This Row],[EXISTE ESCALA ATUAL]]="NÃO",_xlfn.CONCAT(tabJanta[[#This Row],[DATA]]-1,"+",tabJanta[[#This Row],[MOTORISTA]]),"NÃO")</f>
        <v>NÃO</v>
      </c>
      <c r="I112" s="57" t="str">
        <f>IF(autocompJanta[[#This Row],[COMP ESCALA ANTERIOR]]="NÃO","NÃO",_xlfn.XLOOKUP(autocompJanta[[#This Row],[COMP ESCALA ANTERIOR]],tabE.Flux[COMP.AT. MOT A],tabE.Flux[LINHA],"NÃO",0,1))</f>
        <v>NÃO</v>
      </c>
      <c r="J112" s="58" t="str">
        <f>IF(autocompJanta[[#This Row],[COMP ESCALA ANTERIOR]]="NÃO","NÃO",_xlfn.XLOOKUP(autocompJanta[[#This Row],[COMP ESCALA ANTERIOR]],tabE.Flux[COMP.AT. MOT B],tabE.Flux[LINHA],"NÃO",0,1))</f>
        <v>NÃO</v>
      </c>
      <c r="K112" s="62" t="str">
        <f>IF(AND(autocompJanta[[#This Row],[EXISTE MOT A ANT]]="NÃO",autocompJanta[[#This Row],[EXISTE MOT B ANT]]="NÃO"),"NÃO","SIM")</f>
        <v>NÃO</v>
      </c>
      <c r="L112" s="59" t="str">
        <f t="shared" si="3"/>
        <v>45906+EDIVALDO DE ARAUJO - 6217</v>
      </c>
      <c r="M112" s="59" t="str">
        <f>IF(autocompJanta[[#This Row],[COMP ESCALA POSTERIOR]]="NÃO","NÃO",_xlfn.XLOOKUP(autocompJanta[[#This Row],[COMP ESCALA POSTERIOR]],tabE.Flux[COMP.AT. MOT A],tabE.Flux[LINHA],"NÃO",0,1))</f>
        <v>NÃO</v>
      </c>
      <c r="N112" s="59" t="str">
        <f>IF(autocompJanta[[#This Row],[COMP ESCALA POSTERIOR]]="NÃO","NÃO",_xlfn.XLOOKUP(autocompJanta[[#This Row],[COMP ESCALA POSTERIOR]],tabE.Flux[COMP.AT. MOT B],tabE.Flux[LINHA],"NÃO",0,1))</f>
        <v>NÃO</v>
      </c>
      <c r="O112" s="65" t="str">
        <f>IF(AND(autocompJanta[[#This Row],[EXISTE MOT A POS]]="NÃO",autocompJanta[[#This Row],[EXISTE MOT B POS]]="NÃO"),"NÃO","SIM")</f>
        <v>NÃO</v>
      </c>
      <c r="P112" s="66" t="str" cm="1">
        <f t="array" ref="P11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IMPERATRIZ (MA) X SÃO LUIS (MA)</v>
      </c>
      <c r="Q112" s="103" t="str" cm="1">
        <f t="array" ref="Q11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45905+EDIVALDO DE ARAUJO - 6217+IMPERATRIZ (MA) X SÃO LUIS (MA)</v>
      </c>
      <c r="R112" s="67">
        <f>_xlfn.XLOOKUP(autocompJanta[[#This Row],[COMP ESCALA]],tabE.Flux[COMP. ESCALA MOT B],tabE.Flux[CARRO],
(_xlfn.XLOOKUP(autocompJanta[[#This Row],[COMP ESCALA]],tabE.Flux[COMP. ESCALA MOT A],tabE.Flux[CARRO],"N/E",0,1)),0,1)</f>
        <v>18008</v>
      </c>
      <c r="S112" s="130">
        <f>_xlfn.XLOOKUP(autocompJanta[[#This Row],[COMP ESCALA]],tabE.Flux[COMP. ESCALA MOT A],tabE.Flux[HORARIO],(_xlfn.XLOOKUP(autocompJanta[[#This Row],[COMP ESCALA]],tabE.Flux[COMP. ESCALA MOT B],tabE.Flux[HORARIO],"N/E",0,1)),0,1)</f>
        <v>0.8125</v>
      </c>
      <c r="T112" s="127">
        <v>45905</v>
      </c>
      <c r="U112" s="4">
        <f>IF(IFERROR(autocompJanta[[#This Row],[CORRESP. CARRO]],"")="NÃO",(IF(tabJanta[[#This Row],[MOTORISTA]]=0,"","PASSE?")),autocompJanta[[#This Row],[CORRESP. CARRO]])</f>
        <v>18008</v>
      </c>
      <c r="V112" s="128">
        <f>IF(OR(ISERR(autocompJanta[[#This Row],[CORRESP HORARIO]]), autocompJanta[[#This Row],[CORRESP HORARIO]]&lt;&gt;"NÃO"),autocompJanta[[#This Row],[CORRESP HORARIO]],"")</f>
        <v>0.8125</v>
      </c>
      <c r="W112" s="4" t="s">
        <v>299</v>
      </c>
      <c r="X112" s="4" t="s">
        <v>55</v>
      </c>
      <c r="Y112" s="4">
        <f>IF(tabJanta[[#This Row],[MOTORISTA]]="","",COUNTIF(autocompJanta[COMP ESCALA ATUAL],autocompJanta[[#This Row],[COMP ESCALA ATUAL]]))</f>
        <v>1</v>
      </c>
      <c r="Z112" s="45">
        <f>IF(tabJanta[[#This Row],[MOTORISTA]]&lt;&gt;0,15,"")</f>
        <v>15</v>
      </c>
      <c r="AA112" s="4" t="str">
        <f>autocompJanta[[#This Row],[CORRESP LINHA]]</f>
        <v>IMPERATRIZ (MA) X SÃO LUIS (MA)</v>
      </c>
    </row>
    <row r="113" spans="3:27" ht="15" hidden="1" customHeight="1" x14ac:dyDescent="0.25">
      <c r="C113" s="129" t="s">
        <v>226</v>
      </c>
      <c r="D113" s="56" t="str">
        <f>IF(tabJanta[[#This Row],[MOTORISTA]]="","",_xlfn.CONCAT(tabJanta[[#This Row],[DATA]],"+",tabJanta[[#This Row],[MOTORISTA]]))</f>
        <v>45905+FRANCISCO ALVES DA PAZ JUNIOR - 1247</v>
      </c>
      <c r="E113" s="56" t="str">
        <f>_xlfn.XLOOKUP(autocompJanta[[#This Row],[COMP ESCALA ATUAL]],tabE.Flux[COMP.AT. MOT A],tabE.Flux[LINHA],"NÃO",0,1)</f>
        <v>NÃO</v>
      </c>
      <c r="F113" s="56" t="str">
        <f>_xlfn.XLOOKUP(autocompJanta[[#This Row],[COMP ESCALA ATUAL]],tabE.Flux[COMP.AT. MOT B],tabE.Flux[LINHA],"NÃO",0,1)</f>
        <v>NÃO</v>
      </c>
      <c r="G113" s="61" t="str">
        <f>IF(AND(autocompJanta[[#This Row],[EXISTE MOT A AT]]="NÃO", autocompJanta[[#This Row],[EXISTE MOT B AT]]="NÃO"),"NÃO","SIM")</f>
        <v>NÃO</v>
      </c>
      <c r="H113" s="57" t="str">
        <f>IF(autocompJanta[[#This Row],[EXISTE ESCALA ATUAL]]="NÃO",_xlfn.CONCAT(tabJanta[[#This Row],[DATA]]-1,"+",tabJanta[[#This Row],[MOTORISTA]]),"NÃO")</f>
        <v>45904+FRANCISCO ALVES DA PAZ JUNIOR - 1247</v>
      </c>
      <c r="I113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13" s="58" t="str">
        <f>IF(autocompJanta[[#This Row],[COMP ESCALA ANTERIOR]]="NÃO","NÃO",_xlfn.XLOOKUP(autocompJanta[[#This Row],[COMP ESCALA ANTERIOR]],tabE.Flux[COMP.AT. MOT B],tabE.Flux[LINHA],"NÃO",0,1))</f>
        <v>NÃO</v>
      </c>
      <c r="K113" s="62" t="str">
        <f>IF(AND(autocompJanta[[#This Row],[EXISTE MOT A ANT]]="NÃO",autocompJanta[[#This Row],[EXISTE MOT B ANT]]="NÃO"),"NÃO","SIM")</f>
        <v>SIM</v>
      </c>
      <c r="L113" s="59" t="str">
        <f t="shared" si="3"/>
        <v>45906+FRANCISCO ALVES DA PAZ JUNIOR - 1247</v>
      </c>
      <c r="M113" s="59" t="str">
        <f>IF(autocompJanta[[#This Row],[COMP ESCALA POSTERIOR]]="NÃO","NÃO",_xlfn.XLOOKUP(autocompJanta[[#This Row],[COMP ESCALA POSTERIOR]],tabE.Flux[COMP.AT. MOT A],tabE.Flux[LINHA],"NÃO",0,1))</f>
        <v>NÃO</v>
      </c>
      <c r="N113" s="59" t="str">
        <f>IF(autocompJanta[[#This Row],[COMP ESCALA POSTERIOR]]="NÃO","NÃO",_xlfn.XLOOKUP(autocompJanta[[#This Row],[COMP ESCALA POSTERIOR]],tabE.Flux[COMP.AT. MOT B],tabE.Flux[LINHA],"NÃO",0,1))</f>
        <v>NÃO</v>
      </c>
      <c r="O113" s="65" t="str">
        <f>IF(AND(autocompJanta[[#This Row],[EXISTE MOT A POS]]="NÃO",autocompJanta[[#This Row],[EXISTE MOT B POS]]="NÃO"),"NÃO","SIM")</f>
        <v>NÃO</v>
      </c>
      <c r="P113" s="66" t="str" cm="1">
        <f t="array" ref="P11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13" s="103" t="str" cm="1">
        <f t="array" ref="Q11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45904+FRANCISCO ALVES DA PAZ JUNIOR - 1247+GOIANIA (GO) X TERESINA (PI) VIA STI</v>
      </c>
      <c r="R113" s="67">
        <f>_xlfn.XLOOKUP(autocompJanta[[#This Row],[COMP ESCALA]],tabE.Flux[COMP. ESCALA MOT B],tabE.Flux[CARRO],
(_xlfn.XLOOKUP(autocompJanta[[#This Row],[COMP ESCALA]],tabE.Flux[COMP. ESCALA MOT A],tabE.Flux[CARRO],"N/E",0,1)),0,1)</f>
        <v>19012</v>
      </c>
      <c r="S113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13" s="127">
        <v>45905</v>
      </c>
      <c r="U113" s="4">
        <f>IF(IFERROR(autocompJanta[[#This Row],[CORRESP. CARRO]],"")="NÃO",(IF(tabJanta[[#This Row],[MOTORISTA]]=0,"","PASSE?")),autocompJanta[[#This Row],[CORRESP. CARRO]])</f>
        <v>19012</v>
      </c>
      <c r="V113" s="128">
        <f>IF(OR(ISERR(autocompJanta[[#This Row],[CORRESP HORARIO]]), autocompJanta[[#This Row],[CORRESP HORARIO]]&lt;&gt;"NÃO"),autocompJanta[[#This Row],[CORRESP HORARIO]],"")</f>
        <v>0.79861111111111116</v>
      </c>
      <c r="W113" s="4" t="s">
        <v>299</v>
      </c>
      <c r="X113" s="4" t="s">
        <v>144</v>
      </c>
      <c r="Y113" s="4">
        <f>IF(tabJanta[[#This Row],[MOTORISTA]]="","",COUNTIF(autocompJanta[COMP ESCALA ATUAL],autocompJanta[[#This Row],[COMP ESCALA ATUAL]]))</f>
        <v>1</v>
      </c>
      <c r="Z113" s="45">
        <f>IF(tabJanta[[#This Row],[MOTORISTA]]&lt;&gt;0,15,"")</f>
        <v>15</v>
      </c>
      <c r="AA113" s="4" t="str">
        <f>autocompJanta[[#This Row],[CORRESP LINHA]]</f>
        <v>GOIANIA (GO) X TERESINA (PI) VIA STI</v>
      </c>
    </row>
    <row r="114" spans="3:27" ht="15" hidden="1" customHeight="1" x14ac:dyDescent="0.25">
      <c r="C114" s="129" t="s">
        <v>226</v>
      </c>
      <c r="D114" s="56" t="str">
        <f>IF(tabJanta[[#This Row],[MOTORISTA]]="","",_xlfn.CONCAT(tabJanta[[#This Row],[DATA]],"+",tabJanta[[#This Row],[MOTORISTA]]))</f>
        <v>45905+PEDRO PAULO DO NASCIMENTO DO CARMO - 2559</v>
      </c>
      <c r="E114" s="56" t="str">
        <f>_xlfn.XLOOKUP(autocompJanta[[#This Row],[COMP ESCALA ATUAL]],tabE.Flux[COMP.AT. MOT A],tabE.Flux[LINHA],"NÃO",0,1)</f>
        <v>NÃO</v>
      </c>
      <c r="F114" s="56" t="str">
        <f>_xlfn.XLOOKUP(autocompJanta[[#This Row],[COMP ESCALA ATUAL]],tabE.Flux[COMP.AT. MOT B],tabE.Flux[LINHA],"NÃO",0,1)</f>
        <v>NÃO</v>
      </c>
      <c r="G114" s="61" t="str">
        <f>IF(AND(autocompJanta[[#This Row],[EXISTE MOT A AT]]="NÃO", autocompJanta[[#This Row],[EXISTE MOT B AT]]="NÃO"),"NÃO","SIM")</f>
        <v>NÃO</v>
      </c>
      <c r="H114" s="57" t="str">
        <f>IF(autocompJanta[[#This Row],[EXISTE ESCALA ATUAL]]="NÃO",_xlfn.CONCAT(tabJanta[[#This Row],[DATA]]-1,"+",tabJanta[[#This Row],[MOTORISTA]]),"NÃO")</f>
        <v>45904+PEDRO PAULO DO NASCIMENTO DO CARMO - 2559</v>
      </c>
      <c r="I114" s="57" t="str">
        <f>IF(autocompJanta[[#This Row],[COMP ESCALA ANTERIOR]]="NÃO","NÃO",_xlfn.XLOOKUP(autocompJanta[[#This Row],[COMP ESCALA ANTERIOR]],tabE.Flux[COMP.AT. MOT A],tabE.Flux[LINHA],"NÃO",0,1))</f>
        <v>NÃO</v>
      </c>
      <c r="J114" s="58" t="str">
        <f>IF(autocompJanta[[#This Row],[COMP ESCALA ANTERIOR]]="NÃO","NÃO",_xlfn.XLOOKUP(autocompJanta[[#This Row],[COMP ESCALA ANTERIOR]],tabE.Flux[COMP.AT. MOT B],tabE.Flux[LINHA],"NÃO",0,1))</f>
        <v>NÃO</v>
      </c>
      <c r="K114" s="62" t="str">
        <f>IF(AND(autocompJanta[[#This Row],[EXISTE MOT A ANT]]="NÃO",autocompJanta[[#This Row],[EXISTE MOT B ANT]]="NÃO"),"NÃO","SIM")</f>
        <v>NÃO</v>
      </c>
      <c r="L114" s="59" t="str">
        <f t="shared" si="3"/>
        <v>45906+PEDRO PAULO DO NASCIMENTO DO CARMO - 2559</v>
      </c>
      <c r="M114" s="59" t="str">
        <f>IF(autocompJanta[[#This Row],[COMP ESCALA POSTERIOR]]="NÃO","NÃO",_xlfn.XLOOKUP(autocompJanta[[#This Row],[COMP ESCALA POSTERIOR]],tabE.Flux[COMP.AT. MOT A],tabE.Flux[LINHA],"NÃO",0,1))</f>
        <v>NÃO</v>
      </c>
      <c r="N114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114" s="65" t="str">
        <f>IF(AND(autocompJanta[[#This Row],[EXISTE MOT A POS]]="NÃO",autocompJanta[[#This Row],[EXISTE MOT B POS]]="NÃO"),"NÃO","SIM")</f>
        <v>SIM</v>
      </c>
      <c r="P114" s="66" t="str" cm="1">
        <f t="array" ref="P11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14" s="103" t="str" cm="1">
        <f t="array" ref="Q11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45906+PEDRO PAULO DO NASCIMENTO DO CARMO - 2559+GOIANIA (GO) X TERESINA (PI) VIA STI</v>
      </c>
      <c r="R114" s="67">
        <f>_xlfn.XLOOKUP(autocompJanta[[#This Row],[COMP ESCALA]],tabE.Flux[COMP. ESCALA MOT B],tabE.Flux[CARRO],
(_xlfn.XLOOKUP(autocompJanta[[#This Row],[COMP ESCALA]],tabE.Flux[COMP. ESCALA MOT A],tabE.Flux[CARRO],"N/E",0,1)),0,1)</f>
        <v>19017</v>
      </c>
      <c r="S114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14" s="127">
        <v>45905</v>
      </c>
      <c r="U114" s="4">
        <f>IF(IFERROR(autocompJanta[[#This Row],[CORRESP. CARRO]],"")="NÃO",(IF(tabJanta[[#This Row],[MOTORISTA]]=0,"","PASSE?")),autocompJanta[[#This Row],[CORRESP. CARRO]])</f>
        <v>19017</v>
      </c>
      <c r="V114" s="128">
        <f>IF(OR(ISERR(autocompJanta[[#This Row],[CORRESP HORARIO]]), autocompJanta[[#This Row],[CORRESP HORARIO]]&lt;&gt;"NÃO"),autocompJanta[[#This Row],[CORRESP HORARIO]],"")</f>
        <v>0.79861111111111116</v>
      </c>
      <c r="W114" s="4" t="s">
        <v>299</v>
      </c>
      <c r="X114" s="4" t="s">
        <v>175</v>
      </c>
      <c r="Y114" s="4">
        <f>IF(tabJanta[[#This Row],[MOTORISTA]]="","",COUNTIF(autocompJanta[COMP ESCALA ATUAL],autocompJanta[[#This Row],[COMP ESCALA ATUAL]]))</f>
        <v>1</v>
      </c>
      <c r="Z114" s="45">
        <f>IF(tabJanta[[#This Row],[MOTORISTA]]&lt;&gt;0,15,"")</f>
        <v>15</v>
      </c>
      <c r="AA114" s="4" t="str">
        <f>autocompJanta[[#This Row],[CORRESP LINHA]]</f>
        <v>GOIANIA (GO) X TERESINA (PI) VIA STI</v>
      </c>
    </row>
    <row r="115" spans="3:27" ht="15" hidden="1" customHeight="1" x14ac:dyDescent="0.25">
      <c r="C115" s="129" t="s">
        <v>226</v>
      </c>
      <c r="D115" s="56" t="str">
        <f>IF(tabJanta[[#This Row],[MOTORISTA]]="","",_xlfn.CONCAT(tabJanta[[#This Row],[DATA]],"+",tabJanta[[#This Row],[MOTORISTA]]))</f>
        <v>45906+RAIMUNDO FERNANDES RIBEIRO - 907</v>
      </c>
      <c r="E115" s="56" t="str">
        <f>_xlfn.XLOOKUP(autocompJanta[[#This Row],[COMP ESCALA ATUAL]],tabE.Flux[COMP.AT. MOT A],tabE.Flux[LINHA],"NÃO",0,1)</f>
        <v>NÃO</v>
      </c>
      <c r="F115" s="56" t="str">
        <f>_xlfn.XLOOKUP(autocompJanta[[#This Row],[COMP ESCALA ATUAL]],tabE.Flux[COMP.AT. MOT B],tabE.Flux[LINHA],"NÃO",0,1)</f>
        <v>NÃO</v>
      </c>
      <c r="G115" s="61" t="str">
        <f>IF(AND(autocompJanta[[#This Row],[EXISTE MOT A AT]]="NÃO", autocompJanta[[#This Row],[EXISTE MOT B AT]]="NÃO"),"NÃO","SIM")</f>
        <v>NÃO</v>
      </c>
      <c r="H115" s="57" t="str">
        <f>IF(autocompJanta[[#This Row],[EXISTE ESCALA ATUAL]]="NÃO",_xlfn.CONCAT(tabJanta[[#This Row],[DATA]]-1,"+",tabJanta[[#This Row],[MOTORISTA]]),"NÃO")</f>
        <v>45905+RAIMUNDO FERNANDES RIBEIRO - 907</v>
      </c>
      <c r="I115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15" s="58" t="str">
        <f>IF(autocompJanta[[#This Row],[COMP ESCALA ANTERIOR]]="NÃO","NÃO",_xlfn.XLOOKUP(autocompJanta[[#This Row],[COMP ESCALA ANTERIOR]],tabE.Flux[COMP.AT. MOT B],tabE.Flux[LINHA],"NÃO",0,1))</f>
        <v>NÃO</v>
      </c>
      <c r="K115" s="62" t="str">
        <f>IF(AND(autocompJanta[[#This Row],[EXISTE MOT A ANT]]="NÃO",autocompJanta[[#This Row],[EXISTE MOT B ANT]]="NÃO"),"NÃO","SIM")</f>
        <v>SIM</v>
      </c>
      <c r="L115" s="59" t="str">
        <f t="shared" si="3"/>
        <v>45907+RAIMUNDO FERNANDES RIBEIRO - 907</v>
      </c>
      <c r="M115" s="59" t="str">
        <f>IF(autocompJanta[[#This Row],[COMP ESCALA POSTERIOR]]="NÃO","NÃO",_xlfn.XLOOKUP(autocompJanta[[#This Row],[COMP ESCALA POSTERIOR]],tabE.Flux[COMP.AT. MOT A],tabE.Flux[LINHA],"NÃO",0,1))</f>
        <v>NÃO</v>
      </c>
      <c r="N115" s="59" t="str">
        <f>IF(autocompJanta[[#This Row],[COMP ESCALA POSTERIOR]]="NÃO","NÃO",_xlfn.XLOOKUP(autocompJanta[[#This Row],[COMP ESCALA POSTERIOR]],tabE.Flux[COMP.AT. MOT B],tabE.Flux[LINHA],"NÃO",0,1))</f>
        <v>NÃO</v>
      </c>
      <c r="O115" s="65" t="str">
        <f>IF(AND(autocompJanta[[#This Row],[EXISTE MOT A POS]]="NÃO",autocompJanta[[#This Row],[EXISTE MOT B POS]]="NÃO"),"NÃO","SIM")</f>
        <v>NÃO</v>
      </c>
      <c r="P115" s="66" t="str" cm="1">
        <f t="array" ref="P11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15" s="103" t="str" cm="1">
        <f t="array" ref="Q11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45905+RAIMUNDO FERNANDES RIBEIRO - 907+GOIANIA (GO) X TERESINA (PI) VIA STI</v>
      </c>
      <c r="R115" s="67">
        <f>_xlfn.XLOOKUP(autocompJanta[[#This Row],[COMP ESCALA]],tabE.Flux[COMP. ESCALA MOT B],tabE.Flux[CARRO],
(_xlfn.XLOOKUP(autocompJanta[[#This Row],[COMP ESCALA]],tabE.Flux[COMP. ESCALA MOT A],tabE.Flux[CARRO],"N/E",0,1)),0,1)</f>
        <v>17100</v>
      </c>
      <c r="S115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15" s="127">
        <v>45906</v>
      </c>
      <c r="U115" s="4">
        <f>IF(IFERROR(autocompJanta[[#This Row],[CORRESP. CARRO]],"")="NÃO",(IF(tabJanta[[#This Row],[MOTORISTA]]=0,"","PASSE?")),autocompJanta[[#This Row],[CORRESP. CARRO]])</f>
        <v>17100</v>
      </c>
      <c r="V115" s="128">
        <f>IF(OR(ISERR(autocompJanta[[#This Row],[CORRESP HORARIO]]), autocompJanta[[#This Row],[CORRESP HORARIO]]&lt;&gt;"NÃO"),autocompJanta[[#This Row],[CORRESP HORARIO]],"")</f>
        <v>0.79861111111111116</v>
      </c>
      <c r="W115" s="4" t="s">
        <v>299</v>
      </c>
      <c r="X115" s="4" t="s">
        <v>143</v>
      </c>
      <c r="Y115" s="4">
        <f>IF(tabJanta[[#This Row],[MOTORISTA]]="","",COUNTIF(autocompJanta[COMP ESCALA ATUAL],autocompJanta[[#This Row],[COMP ESCALA ATUAL]]))</f>
        <v>1</v>
      </c>
      <c r="Z115" s="45">
        <f>IF(tabJanta[[#This Row],[MOTORISTA]]&lt;&gt;0,15,"")</f>
        <v>15</v>
      </c>
      <c r="AA115" s="4" t="str">
        <f>autocompJanta[[#This Row],[CORRESP LINHA]]</f>
        <v>GOIANIA (GO) X TERESINA (PI) VIA STI</v>
      </c>
    </row>
    <row r="116" spans="3:27" ht="15" hidden="1" customHeight="1" x14ac:dyDescent="0.25">
      <c r="C116" s="129" t="s">
        <v>226</v>
      </c>
      <c r="D116" s="56" t="str">
        <f>IF(tabJanta[[#This Row],[MOTORISTA]]="","",_xlfn.CONCAT(tabJanta[[#This Row],[DATA]],"+",tabJanta[[#This Row],[MOTORISTA]]))</f>
        <v>45906+ANTONIO LEONESIO CAMPELO DA SILVA - 5303</v>
      </c>
      <c r="E116" s="56" t="str">
        <f>_xlfn.XLOOKUP(autocompJanta[[#This Row],[COMP ESCALA ATUAL]],tabE.Flux[COMP.AT. MOT A],tabE.Flux[LINHA],"NÃO",0,1)</f>
        <v>NÃO</v>
      </c>
      <c r="F116" s="56" t="str">
        <f>_xlfn.XLOOKUP(autocompJanta[[#This Row],[COMP ESCALA ATUAL]],tabE.Flux[COMP.AT. MOT B],tabE.Flux[LINHA],"NÃO",0,1)</f>
        <v>FORTALEZA (CE) X SINOP (MT)</v>
      </c>
      <c r="G116" s="61" t="str">
        <f>IF(AND(autocompJanta[[#This Row],[EXISTE MOT A AT]]="NÃO", autocompJanta[[#This Row],[EXISTE MOT B AT]]="NÃO"),"NÃO","SIM")</f>
        <v>SIM</v>
      </c>
      <c r="H116" s="57" t="str">
        <f>IF(autocompJanta[[#This Row],[EXISTE ESCALA ATUAL]]="NÃO",_xlfn.CONCAT(tabJanta[[#This Row],[DATA]]-1,"+",tabJanta[[#This Row],[MOTORISTA]]),"NÃO")</f>
        <v>NÃO</v>
      </c>
      <c r="I116" s="57" t="str">
        <f>IF(autocompJanta[[#This Row],[COMP ESCALA ANTERIOR]]="NÃO","NÃO",_xlfn.XLOOKUP(autocompJanta[[#This Row],[COMP ESCALA ANTERIOR]],tabE.Flux[COMP.AT. MOT A],tabE.Flux[LINHA],"NÃO",0,1))</f>
        <v>NÃO</v>
      </c>
      <c r="J116" s="58" t="str">
        <f>IF(autocompJanta[[#This Row],[COMP ESCALA ANTERIOR]]="NÃO","NÃO",_xlfn.XLOOKUP(autocompJanta[[#This Row],[COMP ESCALA ANTERIOR]],tabE.Flux[COMP.AT. MOT B],tabE.Flux[LINHA],"NÃO",0,1))</f>
        <v>NÃO</v>
      </c>
      <c r="K116" s="62" t="str">
        <f>IF(AND(autocompJanta[[#This Row],[EXISTE MOT A ANT]]="NÃO",autocompJanta[[#This Row],[EXISTE MOT B ANT]]="NÃO"),"NÃO","SIM")</f>
        <v>NÃO</v>
      </c>
      <c r="L116" s="59" t="str">
        <f t="shared" si="3"/>
        <v>45907+ANTONIO LEONESIO CAMPELO DA SILVA - 5303</v>
      </c>
      <c r="M116" s="59" t="str">
        <f>IF(autocompJanta[[#This Row],[COMP ESCALA POSTERIOR]]="NÃO","NÃO",_xlfn.XLOOKUP(autocompJanta[[#This Row],[COMP ESCALA POSTERIOR]],tabE.Flux[COMP.AT. MOT A],tabE.Flux[LINHA],"NÃO",0,1))</f>
        <v>NÃO</v>
      </c>
      <c r="N116" s="59" t="str">
        <f>IF(autocompJanta[[#This Row],[COMP ESCALA POSTERIOR]]="NÃO","NÃO",_xlfn.XLOOKUP(autocompJanta[[#This Row],[COMP ESCALA POSTERIOR]],tabE.Flux[COMP.AT. MOT B],tabE.Flux[LINHA],"NÃO",0,1))</f>
        <v>NÃO</v>
      </c>
      <c r="O116" s="65" t="str">
        <f>IF(AND(autocompJanta[[#This Row],[EXISTE MOT A POS]]="NÃO",autocompJanta[[#This Row],[EXISTE MOT B POS]]="NÃO"),"NÃO","SIM")</f>
        <v>NÃO</v>
      </c>
      <c r="P116" s="66" t="str" cm="1">
        <f t="array" ref="P11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16" s="103" t="str" cm="1">
        <f t="array" ref="Q11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45906+ANTONIO LEONESIO CAMPELO DA SILVA - 5303+FORTALEZA (CE) X SINOP (MT)</v>
      </c>
      <c r="R116" s="67">
        <f>_xlfn.XLOOKUP(autocompJanta[[#This Row],[COMP ESCALA]],tabE.Flux[COMP. ESCALA MOT B],tabE.Flux[CARRO],
(_xlfn.XLOOKUP(autocompJanta[[#This Row],[COMP ESCALA]],tabE.Flux[COMP. ESCALA MOT A],tabE.Flux[CARRO],"N/E",0,1)),0,1)</f>
        <v>19009</v>
      </c>
      <c r="S116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16" s="127">
        <v>45906</v>
      </c>
      <c r="U116" s="4">
        <f>IF(IFERROR(autocompJanta[[#This Row],[CORRESP. CARRO]],"")="NÃO",(IF(tabJanta[[#This Row],[MOTORISTA]]=0,"","PASSE?")),autocompJanta[[#This Row],[CORRESP. CARRO]])</f>
        <v>19009</v>
      </c>
      <c r="V116" s="128">
        <f>IF(OR(ISERR(autocompJanta[[#This Row],[CORRESP HORARIO]]), autocompJanta[[#This Row],[CORRESP HORARIO]]&lt;&gt;"NÃO"),autocompJanta[[#This Row],[CORRESP HORARIO]],"")</f>
        <v>0.37708333333333333</v>
      </c>
      <c r="W116" s="4" t="s">
        <v>299</v>
      </c>
      <c r="X116" s="4" t="s">
        <v>111</v>
      </c>
      <c r="Y116" s="4">
        <f>IF(tabJanta[[#This Row],[MOTORISTA]]="","",COUNTIF(autocompJanta[COMP ESCALA ATUAL],autocompJanta[[#This Row],[COMP ESCALA ATUAL]]))</f>
        <v>1</v>
      </c>
      <c r="Z116" s="45">
        <f>IF(tabJanta[[#This Row],[MOTORISTA]]&lt;&gt;0,15,"")</f>
        <v>15</v>
      </c>
      <c r="AA116" s="4" t="str">
        <f>autocompJanta[[#This Row],[CORRESP LINHA]]</f>
        <v>FORTALEZA (CE) X SINOP (MT)</v>
      </c>
    </row>
    <row r="117" spans="3:27" ht="15" hidden="1" customHeight="1" x14ac:dyDescent="0.25">
      <c r="C117" s="129" t="s">
        <v>226</v>
      </c>
      <c r="D117" s="56" t="str">
        <f>IF(tabJanta[[#This Row],[MOTORISTA]]="","",_xlfn.CONCAT(tabJanta[[#This Row],[DATA]],"+",tabJanta[[#This Row],[MOTORISTA]]))</f>
        <v>45906+JOAO FLAVIO DE SOUSA SILVA - 5270</v>
      </c>
      <c r="E117" s="56" t="str">
        <f>_xlfn.XLOOKUP(autocompJanta[[#This Row],[COMP ESCALA ATUAL]],tabE.Flux[COMP.AT. MOT A],tabE.Flux[LINHA],"NÃO",0,1)</f>
        <v>NÃO</v>
      </c>
      <c r="F117" s="56" t="str">
        <f>_xlfn.XLOOKUP(autocompJanta[[#This Row],[COMP ESCALA ATUAL]],tabE.Flux[COMP.AT. MOT B],tabE.Flux[LINHA],"NÃO",0,1)</f>
        <v>NÃO</v>
      </c>
      <c r="G117" s="61" t="str">
        <f>IF(AND(autocompJanta[[#This Row],[EXISTE MOT A AT]]="NÃO", autocompJanta[[#This Row],[EXISTE MOT B AT]]="NÃO"),"NÃO","SIM")</f>
        <v>NÃO</v>
      </c>
      <c r="H117" s="57" t="str">
        <f>IF(autocompJanta[[#This Row],[EXISTE ESCALA ATUAL]]="NÃO",_xlfn.CONCAT(tabJanta[[#This Row],[DATA]]-1,"+",tabJanta[[#This Row],[MOTORISTA]]),"NÃO")</f>
        <v>45905+JOAO FLAVIO DE SOUSA SILVA - 5270</v>
      </c>
      <c r="I117" s="57" t="str">
        <f>IF(autocompJanta[[#This Row],[COMP ESCALA ANTERIOR]]="NÃO","NÃO",_xlfn.XLOOKUP(autocompJanta[[#This Row],[COMP ESCALA ANTERIOR]],tabE.Flux[COMP.AT. MOT A],tabE.Flux[LINHA],"NÃO",0,1))</f>
        <v>NÃO</v>
      </c>
      <c r="J117" s="58" t="str">
        <f>IF(autocompJanta[[#This Row],[COMP ESCALA ANTERIOR]]="NÃO","NÃO",_xlfn.XLOOKUP(autocompJanta[[#This Row],[COMP ESCALA ANTERIOR]],tabE.Flux[COMP.AT. MOT B],tabE.Flux[LINHA],"NÃO",0,1))</f>
        <v>NÃO</v>
      </c>
      <c r="K117" s="62" t="str">
        <f>IF(AND(autocompJanta[[#This Row],[EXISTE MOT A ANT]]="NÃO",autocompJanta[[#This Row],[EXISTE MOT B ANT]]="NÃO"),"NÃO","SIM")</f>
        <v>NÃO</v>
      </c>
      <c r="L117" s="59" t="str">
        <f t="shared" si="3"/>
        <v>45907+JOAO FLAVIO DE SOUSA SILVA - 5270</v>
      </c>
      <c r="M117" s="59" t="str">
        <f>IF(autocompJanta[[#This Row],[COMP ESCALA POSTERIOR]]="NÃO","NÃO",_xlfn.XLOOKUP(autocompJanta[[#This Row],[COMP ESCALA POSTERIOR]],tabE.Flux[COMP.AT. MOT A],tabE.Flux[LINHA],"NÃO",0,1))</f>
        <v>NÃO</v>
      </c>
      <c r="N117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117" s="65" t="str">
        <f>IF(AND(autocompJanta[[#This Row],[EXISTE MOT A POS]]="NÃO",autocompJanta[[#This Row],[EXISTE MOT B POS]]="NÃO"),"NÃO","SIM")</f>
        <v>SIM</v>
      </c>
      <c r="P117" s="66" t="str" cm="1">
        <f t="array" ref="P11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17" s="103" t="str" cm="1">
        <f t="array" ref="Q11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45907+JOAO FLAVIO DE SOUSA SILVA - 5270+GOIANIA (GO) X TERESINA (PI) VIA STI</v>
      </c>
      <c r="R117" s="67">
        <f>_xlfn.XLOOKUP(autocompJanta[[#This Row],[COMP ESCALA]],tabE.Flux[COMP. ESCALA MOT B],tabE.Flux[CARRO],
(_xlfn.XLOOKUP(autocompJanta[[#This Row],[COMP ESCALA]],tabE.Flux[COMP. ESCALA MOT A],tabE.Flux[CARRO],"N/E",0,1)),0,1)</f>
        <v>19001</v>
      </c>
      <c r="S117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17" s="127">
        <v>45906</v>
      </c>
      <c r="U117" s="4">
        <f>IF(IFERROR(autocompJanta[[#This Row],[CORRESP. CARRO]],"")="NÃO",(IF(tabJanta[[#This Row],[MOTORISTA]]=0,"","PASSE?")),autocompJanta[[#This Row],[CORRESP. CARRO]])</f>
        <v>19001</v>
      </c>
      <c r="V117" s="128">
        <f>IF(OR(ISERR(autocompJanta[[#This Row],[CORRESP HORARIO]]), autocompJanta[[#This Row],[CORRESP HORARIO]]&lt;&gt;"NÃO"),autocompJanta[[#This Row],[CORRESP HORARIO]],"")</f>
        <v>0.79861111111111116</v>
      </c>
      <c r="W117" s="4" t="s">
        <v>299</v>
      </c>
      <c r="X117" s="4" t="s">
        <v>222</v>
      </c>
      <c r="Y117" s="4">
        <f>IF(tabJanta[[#This Row],[MOTORISTA]]="","",COUNTIF(autocompJanta[COMP ESCALA ATUAL],autocompJanta[[#This Row],[COMP ESCALA ATUAL]]))</f>
        <v>1</v>
      </c>
      <c r="Z117" s="45">
        <f>IF(tabJanta[[#This Row],[MOTORISTA]]&lt;&gt;0,15,"")</f>
        <v>15</v>
      </c>
      <c r="AA117" s="4" t="str">
        <f>autocompJanta[[#This Row],[CORRESP LINHA]]</f>
        <v>GOIANIA (GO) X TERESINA (PI) VIA STI</v>
      </c>
    </row>
    <row r="118" spans="3:27" ht="15" hidden="1" customHeight="1" x14ac:dyDescent="0.25">
      <c r="C118" s="129" t="s">
        <v>226</v>
      </c>
      <c r="D118" s="56" t="str">
        <f>IF(tabJanta[[#This Row],[MOTORISTA]]="","",_xlfn.CONCAT(tabJanta[[#This Row],[DATA]],"+",tabJanta[[#This Row],[MOTORISTA]]))</f>
        <v>45906+CARLOS ADRIANO DE SOUZA DO NASCIMENTO - 6222</v>
      </c>
      <c r="E118" s="56" t="str">
        <f>_xlfn.XLOOKUP(autocompJanta[[#This Row],[COMP ESCALA ATUAL]],tabE.Flux[COMP.AT. MOT A],tabE.Flux[LINHA],"NÃO",0,1)</f>
        <v>GOIANIA (GO) X SAO LUIS (MA)</v>
      </c>
      <c r="F118" s="56" t="str">
        <f>_xlfn.XLOOKUP(autocompJanta[[#This Row],[COMP ESCALA ATUAL]],tabE.Flux[COMP.AT. MOT B],tabE.Flux[LINHA],"NÃO",0,1)</f>
        <v>GOIANIA (GO) X SAO LUIS (MA)</v>
      </c>
      <c r="G118" s="61" t="str">
        <f>IF(AND(autocompJanta[[#This Row],[EXISTE MOT A AT]]="NÃO", autocompJanta[[#This Row],[EXISTE MOT B AT]]="NÃO"),"NÃO","SIM")</f>
        <v>SIM</v>
      </c>
      <c r="H118" s="57" t="str">
        <f>IF(autocompJanta[[#This Row],[EXISTE ESCALA ATUAL]]="NÃO",_xlfn.CONCAT(tabJanta[[#This Row],[DATA]]-1,"+",tabJanta[[#This Row],[MOTORISTA]]),"NÃO")</f>
        <v>NÃO</v>
      </c>
      <c r="I118" s="57" t="str">
        <f>IF(autocompJanta[[#This Row],[COMP ESCALA ANTERIOR]]="NÃO","NÃO",_xlfn.XLOOKUP(autocompJanta[[#This Row],[COMP ESCALA ANTERIOR]],tabE.Flux[COMP.AT. MOT A],tabE.Flux[LINHA],"NÃO",0,1))</f>
        <v>NÃO</v>
      </c>
      <c r="J118" s="58" t="str">
        <f>IF(autocompJanta[[#This Row],[COMP ESCALA ANTERIOR]]="NÃO","NÃO",_xlfn.XLOOKUP(autocompJanta[[#This Row],[COMP ESCALA ANTERIOR]],tabE.Flux[COMP.AT. MOT B],tabE.Flux[LINHA],"NÃO",0,1))</f>
        <v>NÃO</v>
      </c>
      <c r="K118" s="62" t="str">
        <f>IF(AND(autocompJanta[[#This Row],[EXISTE MOT A ANT]]="NÃO",autocompJanta[[#This Row],[EXISTE MOT B ANT]]="NÃO"),"NÃO","SIM")</f>
        <v>NÃO</v>
      </c>
      <c r="L118" s="59" t="str">
        <f t="shared" si="3"/>
        <v>45907+CARLOS ADRIANO DE SOUZA DO NASCIMENTO - 6222</v>
      </c>
      <c r="M118" s="59" t="str">
        <f>IF(autocompJanta[[#This Row],[COMP ESCALA POSTERIOR]]="NÃO","NÃO",_xlfn.XLOOKUP(autocompJanta[[#This Row],[COMP ESCALA POSTERIOR]],tabE.Flux[COMP.AT. MOT A],tabE.Flux[LINHA],"NÃO",0,1))</f>
        <v>NÃO</v>
      </c>
      <c r="N118" s="59" t="str">
        <f>IF(autocompJanta[[#This Row],[COMP ESCALA POSTERIOR]]="NÃO","NÃO",_xlfn.XLOOKUP(autocompJanta[[#This Row],[COMP ESCALA POSTERIOR]],tabE.Flux[COMP.AT. MOT B],tabE.Flux[LINHA],"NÃO",0,1))</f>
        <v>NÃO</v>
      </c>
      <c r="O118" s="65" t="str">
        <f>IF(AND(autocompJanta[[#This Row],[EXISTE MOT A POS]]="NÃO",autocompJanta[[#This Row],[EXISTE MOT B POS]]="NÃO"),"NÃO","SIM")</f>
        <v>NÃO</v>
      </c>
      <c r="P118" s="66" t="str" cm="1">
        <f t="array" ref="P11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18" s="103" t="str" cm="1">
        <f t="array" ref="Q11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45906+CARLOS ADRIANO DE SOUZA DO NASCIMENTO - 6222+GOIANIA (GO) X SAO LUIS (MA)</v>
      </c>
      <c r="R118" s="67">
        <f>_xlfn.XLOOKUP(autocompJanta[[#This Row],[COMP ESCALA]],tabE.Flux[COMP. ESCALA MOT B],tabE.Flux[CARRO],
(_xlfn.XLOOKUP(autocompJanta[[#This Row],[COMP ESCALA]],tabE.Flux[COMP. ESCALA MOT A],tabE.Flux[CARRO],"N/E",0,1)),0,1)</f>
        <v>24014</v>
      </c>
      <c r="S118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18" s="127">
        <v>45906</v>
      </c>
      <c r="U118" s="4">
        <f>IF(IFERROR(autocompJanta[[#This Row],[CORRESP. CARRO]],"")="NÃO",(IF(tabJanta[[#This Row],[MOTORISTA]]=0,"","PASSE?")),autocompJanta[[#This Row],[CORRESP. CARRO]])</f>
        <v>24014</v>
      </c>
      <c r="V118" s="128">
        <f>IF(OR(ISERR(autocompJanta[[#This Row],[CORRESP HORARIO]]), autocompJanta[[#This Row],[CORRESP HORARIO]]&lt;&gt;"NÃO"),autocompJanta[[#This Row],[CORRESP HORARIO]],"")</f>
        <v>0.29166666666666669</v>
      </c>
      <c r="W118" s="4" t="s">
        <v>299</v>
      </c>
      <c r="X118" s="4" t="s">
        <v>110</v>
      </c>
      <c r="Y118" s="4">
        <f>IF(tabJanta[[#This Row],[MOTORISTA]]="","",COUNTIF(autocompJanta[COMP ESCALA ATUAL],autocompJanta[[#This Row],[COMP ESCALA ATUAL]]))</f>
        <v>1</v>
      </c>
      <c r="Z118" s="45">
        <f>IF(tabJanta[[#This Row],[MOTORISTA]]&lt;&gt;0,15,"")</f>
        <v>15</v>
      </c>
      <c r="AA118" s="4" t="str">
        <f>autocompJanta[[#This Row],[CORRESP LINHA]]</f>
        <v>GOIANIA (GO) X SAO LUIS (MA)</v>
      </c>
    </row>
    <row r="119" spans="3:27" ht="15" hidden="1" customHeight="1" x14ac:dyDescent="0.25">
      <c r="C119" s="129" t="s">
        <v>226</v>
      </c>
      <c r="D119" s="56" t="str">
        <f>IF(tabJanta[[#This Row],[MOTORISTA]]="","",_xlfn.CONCAT(tabJanta[[#This Row],[DATA]],"+",tabJanta[[#This Row],[MOTORISTA]]))</f>
        <v>45906+PAULO ENEAS FARIAS ARAUJO - 6218</v>
      </c>
      <c r="E119" s="56" t="str">
        <f>_xlfn.XLOOKUP(autocompJanta[[#This Row],[COMP ESCALA ATUAL]],tabE.Flux[COMP.AT. MOT A],tabE.Flux[LINHA],"NÃO",0,1)</f>
        <v>NÃO</v>
      </c>
      <c r="F119" s="56" t="str">
        <f>_xlfn.XLOOKUP(autocompJanta[[#This Row],[COMP ESCALA ATUAL]],tabE.Flux[COMP.AT. MOT B],tabE.Flux[LINHA],"NÃO",0,1)</f>
        <v>GOIANIA (GO) X SAO LUIS (MA)</v>
      </c>
      <c r="G119" s="61" t="str">
        <f>IF(AND(autocompJanta[[#This Row],[EXISTE MOT A AT]]="NÃO", autocompJanta[[#This Row],[EXISTE MOT B AT]]="NÃO"),"NÃO","SIM")</f>
        <v>SIM</v>
      </c>
      <c r="H119" s="57" t="str">
        <f>IF(autocompJanta[[#This Row],[EXISTE ESCALA ATUAL]]="NÃO",_xlfn.CONCAT(tabJanta[[#This Row],[DATA]]-1,"+",tabJanta[[#This Row],[MOTORISTA]]),"NÃO")</f>
        <v>NÃO</v>
      </c>
      <c r="I119" s="57" t="str">
        <f>IF(autocompJanta[[#This Row],[COMP ESCALA ANTERIOR]]="NÃO","NÃO",_xlfn.XLOOKUP(autocompJanta[[#This Row],[COMP ESCALA ANTERIOR]],tabE.Flux[COMP.AT. MOT A],tabE.Flux[LINHA],"NÃO",0,1))</f>
        <v>NÃO</v>
      </c>
      <c r="J119" s="58" t="str">
        <f>IF(autocompJanta[[#This Row],[COMP ESCALA ANTERIOR]]="NÃO","NÃO",_xlfn.XLOOKUP(autocompJanta[[#This Row],[COMP ESCALA ANTERIOR]],tabE.Flux[COMP.AT. MOT B],tabE.Flux[LINHA],"NÃO",0,1))</f>
        <v>NÃO</v>
      </c>
      <c r="K119" s="62" t="str">
        <f>IF(AND(autocompJanta[[#This Row],[EXISTE MOT A ANT]]="NÃO",autocompJanta[[#This Row],[EXISTE MOT B ANT]]="NÃO"),"NÃO","SIM")</f>
        <v>NÃO</v>
      </c>
      <c r="L119" s="59" t="str">
        <f t="shared" si="3"/>
        <v>45907+PAULO ENEAS FARIAS ARAUJO - 6218</v>
      </c>
      <c r="M119" s="59" t="str">
        <f>IF(autocompJanta[[#This Row],[COMP ESCALA POSTERIOR]]="NÃO","NÃO",_xlfn.XLOOKUP(autocompJanta[[#This Row],[COMP ESCALA POSTERIOR]],tabE.Flux[COMP.AT. MOT A],tabE.Flux[LINHA],"NÃO",0,1))</f>
        <v>IMPERATRIZ (MA) X SÃO LUIS (MA)</v>
      </c>
      <c r="N119" s="59" t="str">
        <f>IF(autocompJanta[[#This Row],[COMP ESCALA POSTERIOR]]="NÃO","NÃO",_xlfn.XLOOKUP(autocompJanta[[#This Row],[COMP ESCALA POSTERIOR]],tabE.Flux[COMP.AT. MOT B],tabE.Flux[LINHA],"NÃO",0,1))</f>
        <v>NÃO</v>
      </c>
      <c r="O119" s="65" t="str">
        <f>IF(AND(autocompJanta[[#This Row],[EXISTE MOT A POS]]="NÃO",autocompJanta[[#This Row],[EXISTE MOT B POS]]="NÃO"),"NÃO","SIM")</f>
        <v>SIM</v>
      </c>
      <c r="P119" s="66" t="str" cm="1">
        <f t="array" ref="P11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19" s="103" t="str" cm="1">
        <f t="array" ref="Q11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45906+PAULO ENEAS FARIAS ARAUJO - 6218+GOIANIA (GO) X SAO LUIS (MA)</v>
      </c>
      <c r="R119" s="67">
        <f>_xlfn.XLOOKUP(autocompJanta[[#This Row],[COMP ESCALA]],tabE.Flux[COMP. ESCALA MOT B],tabE.Flux[CARRO],
(_xlfn.XLOOKUP(autocompJanta[[#This Row],[COMP ESCALA]],tabE.Flux[COMP. ESCALA MOT A],tabE.Flux[CARRO],"N/E",0,1)),0,1)</f>
        <v>19007</v>
      </c>
      <c r="S119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19" s="127">
        <v>45906</v>
      </c>
      <c r="U119" s="4">
        <f>IF(IFERROR(autocompJanta[[#This Row],[CORRESP. CARRO]],"")="NÃO",(IF(tabJanta[[#This Row],[MOTORISTA]]=0,"","PASSE?")),autocompJanta[[#This Row],[CORRESP. CARRO]])</f>
        <v>19007</v>
      </c>
      <c r="V119" s="128">
        <f>IF(OR(ISERR(autocompJanta[[#This Row],[CORRESP HORARIO]]), autocompJanta[[#This Row],[CORRESP HORARIO]]&lt;&gt;"NÃO"),autocompJanta[[#This Row],[CORRESP HORARIO]],"")</f>
        <v>0.47013888888888888</v>
      </c>
      <c r="W119" s="4" t="s">
        <v>299</v>
      </c>
      <c r="X119" s="4" t="s">
        <v>43</v>
      </c>
      <c r="Y119" s="4">
        <f>IF(tabJanta[[#This Row],[MOTORISTA]]="","",COUNTIF(autocompJanta[COMP ESCALA ATUAL],autocompJanta[[#This Row],[COMP ESCALA ATUAL]]))</f>
        <v>1</v>
      </c>
      <c r="Z119" s="45">
        <f>IF(tabJanta[[#This Row],[MOTORISTA]]&lt;&gt;0,15,"")</f>
        <v>15</v>
      </c>
      <c r="AA119" s="4" t="str">
        <f>autocompJanta[[#This Row],[CORRESP LINHA]]</f>
        <v>GOIANIA (GO) X SAO LUIS (MA)</v>
      </c>
    </row>
    <row r="120" spans="3:27" ht="15" hidden="1" customHeight="1" x14ac:dyDescent="0.25">
      <c r="C120" s="129" t="s">
        <v>226</v>
      </c>
      <c r="D120" s="56" t="str">
        <f>IF(tabJanta[[#This Row],[MOTORISTA]]="","",_xlfn.CONCAT(tabJanta[[#This Row],[DATA]],"+",tabJanta[[#This Row],[MOTORISTA]]))</f>
        <v>45906+FABIO MOREIRA DOS SANTOS - 3073</v>
      </c>
      <c r="E120" s="56" t="str">
        <f>_xlfn.XLOOKUP(autocompJanta[[#This Row],[COMP ESCALA ATUAL]],tabE.Flux[COMP.AT. MOT A],tabE.Flux[LINHA],"NÃO",0,1)</f>
        <v>GOIANIA (GO) X SAO LUIS (MA)</v>
      </c>
      <c r="F120" s="56" t="str">
        <f>_xlfn.XLOOKUP(autocompJanta[[#This Row],[COMP ESCALA ATUAL]],tabE.Flux[COMP.AT. MOT B],tabE.Flux[LINHA],"NÃO",0,1)</f>
        <v>NÃO</v>
      </c>
      <c r="G120" s="61" t="str">
        <f>IF(AND(autocompJanta[[#This Row],[EXISTE MOT A AT]]="NÃO", autocompJanta[[#This Row],[EXISTE MOT B AT]]="NÃO"),"NÃO","SIM")</f>
        <v>SIM</v>
      </c>
      <c r="H120" s="57" t="str">
        <f>IF(autocompJanta[[#This Row],[EXISTE ESCALA ATUAL]]="NÃO",_xlfn.CONCAT(tabJanta[[#This Row],[DATA]]-1,"+",tabJanta[[#This Row],[MOTORISTA]]),"NÃO")</f>
        <v>NÃO</v>
      </c>
      <c r="I120" s="57" t="str">
        <f>IF(autocompJanta[[#This Row],[COMP ESCALA ANTERIOR]]="NÃO","NÃO",_xlfn.XLOOKUP(autocompJanta[[#This Row],[COMP ESCALA ANTERIOR]],tabE.Flux[COMP.AT. MOT A],tabE.Flux[LINHA],"NÃO",0,1))</f>
        <v>NÃO</v>
      </c>
      <c r="J120" s="58" t="str">
        <f>IF(autocompJanta[[#This Row],[COMP ESCALA ANTERIOR]]="NÃO","NÃO",_xlfn.XLOOKUP(autocompJanta[[#This Row],[COMP ESCALA ANTERIOR]],tabE.Flux[COMP.AT. MOT B],tabE.Flux[LINHA],"NÃO",0,1))</f>
        <v>NÃO</v>
      </c>
      <c r="K120" s="62" t="str">
        <f>IF(AND(autocompJanta[[#This Row],[EXISTE MOT A ANT]]="NÃO",autocompJanta[[#This Row],[EXISTE MOT B ANT]]="NÃO"),"NÃO","SIM")</f>
        <v>NÃO</v>
      </c>
      <c r="L120" s="59" t="str">
        <f t="shared" si="3"/>
        <v>45907+FABIO MOREIRA DOS SANTOS - 3073</v>
      </c>
      <c r="M120" s="59" t="str">
        <f>IF(autocompJanta[[#This Row],[COMP ESCALA POSTERIOR]]="NÃO","NÃO",_xlfn.XLOOKUP(autocompJanta[[#This Row],[COMP ESCALA POSTERIOR]],tabE.Flux[COMP.AT. MOT A],tabE.Flux[LINHA],"NÃO",0,1))</f>
        <v>NÃO</v>
      </c>
      <c r="N120" s="59" t="str">
        <f>IF(autocompJanta[[#This Row],[COMP ESCALA POSTERIOR]]="NÃO","NÃO",_xlfn.XLOOKUP(autocompJanta[[#This Row],[COMP ESCALA POSTERIOR]],tabE.Flux[COMP.AT. MOT B],tabE.Flux[LINHA],"NÃO",0,1))</f>
        <v>IMPERATRIZ (MA) X SÃO LUIS (MA)</v>
      </c>
      <c r="O120" s="65" t="str">
        <f>IF(AND(autocompJanta[[#This Row],[EXISTE MOT A POS]]="NÃO",autocompJanta[[#This Row],[EXISTE MOT B POS]]="NÃO"),"NÃO","SIM")</f>
        <v>SIM</v>
      </c>
      <c r="P120" s="66" t="str" cm="1">
        <f t="array" ref="P12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20" s="103" t="str" cm="1">
        <f t="array" ref="Q12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45906+FABIO MOREIRA DOS SANTOS - 3073+GOIANIA (GO) X SAO LUIS (MA)</v>
      </c>
      <c r="R120" s="67">
        <f>_xlfn.XLOOKUP(autocompJanta[[#This Row],[COMP ESCALA]],tabE.Flux[COMP. ESCALA MOT B],tabE.Flux[CARRO],
(_xlfn.XLOOKUP(autocompJanta[[#This Row],[COMP ESCALA]],tabE.Flux[COMP. ESCALA MOT A],tabE.Flux[CARRO],"N/E",0,1)),0,1)</f>
        <v>19007</v>
      </c>
      <c r="S120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20" s="127">
        <v>45906</v>
      </c>
      <c r="U120" s="4">
        <f>IF(IFERROR(autocompJanta[[#This Row],[CORRESP. CARRO]],"")="NÃO",(IF(tabJanta[[#This Row],[MOTORISTA]]=0,"","PASSE?")),autocompJanta[[#This Row],[CORRESP. CARRO]])</f>
        <v>19007</v>
      </c>
      <c r="V120" s="128">
        <f>IF(OR(ISERR(autocompJanta[[#This Row],[CORRESP HORARIO]]), autocompJanta[[#This Row],[CORRESP HORARIO]]&lt;&gt;"NÃO"),autocompJanta[[#This Row],[CORRESP HORARIO]],"")</f>
        <v>0.47013888888888888</v>
      </c>
      <c r="W120" s="4" t="s">
        <v>299</v>
      </c>
      <c r="X120" s="4" t="s">
        <v>50</v>
      </c>
      <c r="Y120" s="4">
        <f>IF(tabJanta[[#This Row],[MOTORISTA]]="","",COUNTIF(autocompJanta[COMP ESCALA ATUAL],autocompJanta[[#This Row],[COMP ESCALA ATUAL]]))</f>
        <v>1</v>
      </c>
      <c r="Z120" s="45">
        <f>IF(tabJanta[[#This Row],[MOTORISTA]]&lt;&gt;0,15,"")</f>
        <v>15</v>
      </c>
      <c r="AA120" s="4" t="str">
        <f>autocompJanta[[#This Row],[CORRESP LINHA]]</f>
        <v>GOIANIA (GO) X SAO LUIS (MA)</v>
      </c>
    </row>
    <row r="121" spans="3:27" ht="15" hidden="1" customHeight="1" x14ac:dyDescent="0.25">
      <c r="C121" s="129" t="s">
        <v>226</v>
      </c>
      <c r="D121" s="56" t="str">
        <f>IF(tabJanta[[#This Row],[MOTORISTA]]="","",_xlfn.CONCAT(tabJanta[[#This Row],[DATA]],"+",tabJanta[[#This Row],[MOTORISTA]]))</f>
        <v>45907+RAIMUNDO COSTA SILVA - 6226</v>
      </c>
      <c r="E121" s="56" t="str">
        <f>_xlfn.XLOOKUP(autocompJanta[[#This Row],[COMP ESCALA ATUAL]],tabE.Flux[COMP.AT. MOT A],tabE.Flux[LINHA],"NÃO",0,1)</f>
        <v>NÃO</v>
      </c>
      <c r="F121" s="56" t="str">
        <f>_xlfn.XLOOKUP(autocompJanta[[#This Row],[COMP ESCALA ATUAL]],tabE.Flux[COMP.AT. MOT B],tabE.Flux[LINHA],"NÃO",0,1)</f>
        <v>GOIANIA (GO) X SAO LUIS (MA)</v>
      </c>
      <c r="G121" s="61" t="str">
        <f>IF(AND(autocompJanta[[#This Row],[EXISTE MOT A AT]]="NÃO", autocompJanta[[#This Row],[EXISTE MOT B AT]]="NÃO"),"NÃO","SIM")</f>
        <v>SIM</v>
      </c>
      <c r="H121" s="57" t="str">
        <f>IF(autocompJanta[[#This Row],[EXISTE ESCALA ATUAL]]="NÃO",_xlfn.CONCAT(tabJanta[[#This Row],[DATA]]-1,"+",tabJanta[[#This Row],[MOTORISTA]]),"NÃO")</f>
        <v>NÃO</v>
      </c>
      <c r="I121" s="57" t="str">
        <f>IF(autocompJanta[[#This Row],[COMP ESCALA ANTERIOR]]="NÃO","NÃO",_xlfn.XLOOKUP(autocompJanta[[#This Row],[COMP ESCALA ANTERIOR]],tabE.Flux[COMP.AT. MOT A],tabE.Flux[LINHA],"NÃO",0,1))</f>
        <v>NÃO</v>
      </c>
      <c r="J121" s="58" t="str">
        <f>IF(autocompJanta[[#This Row],[COMP ESCALA ANTERIOR]]="NÃO","NÃO",_xlfn.XLOOKUP(autocompJanta[[#This Row],[COMP ESCALA ANTERIOR]],tabE.Flux[COMP.AT. MOT B],tabE.Flux[LINHA],"NÃO",0,1))</f>
        <v>NÃO</v>
      </c>
      <c r="K121" s="62" t="str">
        <f>IF(AND(autocompJanta[[#This Row],[EXISTE MOT A ANT]]="NÃO",autocompJanta[[#This Row],[EXISTE MOT B ANT]]="NÃO"),"NÃO","SIM")</f>
        <v>NÃO</v>
      </c>
      <c r="L121" s="59" t="str">
        <f t="shared" si="3"/>
        <v>45908+RAIMUNDO COSTA SILVA - 6226</v>
      </c>
      <c r="M121" s="59" t="str">
        <f>IF(autocompJanta[[#This Row],[COMP ESCALA POSTERIOR]]="NÃO","NÃO",_xlfn.XLOOKUP(autocompJanta[[#This Row],[COMP ESCALA POSTERIOR]],tabE.Flux[COMP.AT. MOT A],tabE.Flux[LINHA],"NÃO",0,1))</f>
        <v>NÃO</v>
      </c>
      <c r="N121" s="59" t="str">
        <f>IF(autocompJanta[[#This Row],[COMP ESCALA POSTERIOR]]="NÃO","NÃO",_xlfn.XLOOKUP(autocompJanta[[#This Row],[COMP ESCALA POSTERIOR]],tabE.Flux[COMP.AT. MOT B],tabE.Flux[LINHA],"NÃO",0,1))</f>
        <v>NÃO</v>
      </c>
      <c r="O121" s="65" t="str">
        <f>IF(AND(autocompJanta[[#This Row],[EXISTE MOT A POS]]="NÃO",autocompJanta[[#This Row],[EXISTE MOT B POS]]="NÃO"),"NÃO","SIM")</f>
        <v>NÃO</v>
      </c>
      <c r="P121" s="66" t="str" cm="1">
        <f t="array" ref="P12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21" s="103" t="str" cm="1">
        <f t="array" ref="Q12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45907+RAIMUNDO COSTA SILVA - 6226+GOIANIA (GO) X SAO LUIS (MA)</v>
      </c>
      <c r="R121" s="67">
        <f>_xlfn.XLOOKUP(autocompJanta[[#This Row],[COMP ESCALA]],tabE.Flux[COMP. ESCALA MOT B],tabE.Flux[CARRO],
(_xlfn.XLOOKUP(autocompJanta[[#This Row],[COMP ESCALA]],tabE.Flux[COMP. ESCALA MOT A],tabE.Flux[CARRO],"N/E",0,1)),0,1)</f>
        <v>24016</v>
      </c>
      <c r="S121" s="130">
        <f>_xlfn.XLOOKUP(autocompJanta[[#This Row],[COMP ESCALA]],tabE.Flux[COMP. ESCALA MOT A],tabE.Flux[HORARIO],(_xlfn.XLOOKUP(autocompJanta[[#This Row],[COMP ESCALA]],tabE.Flux[COMP. ESCALA MOT B],tabE.Flux[HORARIO],"N/E",0,1)),0,1)</f>
        <v>0.84375</v>
      </c>
      <c r="T121" s="127">
        <v>45907</v>
      </c>
      <c r="U121" s="4">
        <f>IF(IFERROR(autocompJanta[[#This Row],[CORRESP. CARRO]],"")="NÃO",(IF(tabJanta[[#This Row],[MOTORISTA]]=0,"","PASSE?")),autocompJanta[[#This Row],[CORRESP. CARRO]])</f>
        <v>24016</v>
      </c>
      <c r="V121" s="128">
        <f>IF(OR(ISERR(autocompJanta[[#This Row],[CORRESP HORARIO]]), autocompJanta[[#This Row],[CORRESP HORARIO]]&lt;&gt;"NÃO"),autocompJanta[[#This Row],[CORRESP HORARIO]],"")</f>
        <v>0.84375</v>
      </c>
      <c r="W121" s="4" t="s">
        <v>299</v>
      </c>
      <c r="X121" s="4" t="s">
        <v>45</v>
      </c>
      <c r="Y121" s="4">
        <f>IF(tabJanta[[#This Row],[MOTORISTA]]="","",COUNTIF(autocompJanta[COMP ESCALA ATUAL],autocompJanta[[#This Row],[COMP ESCALA ATUAL]]))</f>
        <v>1</v>
      </c>
      <c r="Z121" s="45">
        <f>IF(tabJanta[[#This Row],[MOTORISTA]]&lt;&gt;0,15,"")</f>
        <v>15</v>
      </c>
      <c r="AA121" s="4" t="str">
        <f>autocompJanta[[#This Row],[CORRESP LINHA]]</f>
        <v>GOIANIA (GO) X SAO LUIS (MA)</v>
      </c>
    </row>
    <row r="122" spans="3:27" ht="15" hidden="1" customHeight="1" x14ac:dyDescent="0.25">
      <c r="C122" s="129" t="s">
        <v>226</v>
      </c>
      <c r="D122" s="56" t="str">
        <f>IF(tabJanta[[#This Row],[MOTORISTA]]="","",_xlfn.CONCAT(tabJanta[[#This Row],[DATA]],"+",tabJanta[[#This Row],[MOTORISTA]]))</f>
        <v>45907+NILSON CORTEZ MIRANDA - 5636</v>
      </c>
      <c r="E122" s="56" t="str">
        <f>_xlfn.XLOOKUP(autocompJanta[[#This Row],[COMP ESCALA ATUAL]],tabE.Flux[COMP.AT. MOT A],tabE.Flux[LINHA],"NÃO",0,1)</f>
        <v>NÃO</v>
      </c>
      <c r="F122" s="56" t="str">
        <f>_xlfn.XLOOKUP(autocompJanta[[#This Row],[COMP ESCALA ATUAL]],tabE.Flux[COMP.AT. MOT B],tabE.Flux[LINHA],"NÃO",0,1)</f>
        <v>NÃO</v>
      </c>
      <c r="G122" s="61" t="str">
        <f>IF(AND(autocompJanta[[#This Row],[EXISTE MOT A AT]]="NÃO", autocompJanta[[#This Row],[EXISTE MOT B AT]]="NÃO"),"NÃO","SIM")</f>
        <v>NÃO</v>
      </c>
      <c r="H122" s="57" t="str">
        <f>IF(autocompJanta[[#This Row],[EXISTE ESCALA ATUAL]]="NÃO",_xlfn.CONCAT(tabJanta[[#This Row],[DATA]]-1,"+",tabJanta[[#This Row],[MOTORISTA]]),"NÃO")</f>
        <v>45906+NILSON CORTEZ MIRANDA - 5636</v>
      </c>
      <c r="I122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22" s="58" t="str">
        <f>IF(autocompJanta[[#This Row],[COMP ESCALA ANTERIOR]]="NÃO","NÃO",_xlfn.XLOOKUP(autocompJanta[[#This Row],[COMP ESCALA ANTERIOR]],tabE.Flux[COMP.AT. MOT B],tabE.Flux[LINHA],"NÃO",0,1))</f>
        <v>NÃO</v>
      </c>
      <c r="K122" s="62" t="str">
        <f>IF(AND(autocompJanta[[#This Row],[EXISTE MOT A ANT]]="NÃO",autocompJanta[[#This Row],[EXISTE MOT B ANT]]="NÃO"),"NÃO","SIM")</f>
        <v>SIM</v>
      </c>
      <c r="L122" s="59" t="str">
        <f t="shared" si="3"/>
        <v>45908+NILSON CORTEZ MIRANDA - 5636</v>
      </c>
      <c r="M122" s="59" t="str">
        <f>IF(autocompJanta[[#This Row],[COMP ESCALA POSTERIOR]]="NÃO","NÃO",_xlfn.XLOOKUP(autocompJanta[[#This Row],[COMP ESCALA POSTERIOR]],tabE.Flux[COMP.AT. MOT A],tabE.Flux[LINHA],"NÃO",0,1))</f>
        <v>NÃO</v>
      </c>
      <c r="N122" s="59" t="str">
        <f>IF(autocompJanta[[#This Row],[COMP ESCALA POSTERIOR]]="NÃO","NÃO",_xlfn.XLOOKUP(autocompJanta[[#This Row],[COMP ESCALA POSTERIOR]],tabE.Flux[COMP.AT. MOT B],tabE.Flux[LINHA],"NÃO",0,1))</f>
        <v>NÃO</v>
      </c>
      <c r="O122" s="65" t="str">
        <f>IF(AND(autocompJanta[[#This Row],[EXISTE MOT A POS]]="NÃO",autocompJanta[[#This Row],[EXISTE MOT B POS]]="NÃO"),"NÃO","SIM")</f>
        <v>NÃO</v>
      </c>
      <c r="P122" s="66" t="str" cm="1">
        <f t="array" ref="P12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22" s="103" t="str" cm="1">
        <f t="array" ref="Q12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45906+NILSON CORTEZ MIRANDA - 5636+GOIANIA (GO) X TERESINA (PI) VIA STI</v>
      </c>
      <c r="R122" s="67">
        <f>_xlfn.XLOOKUP(autocompJanta[[#This Row],[COMP ESCALA]],tabE.Flux[COMP. ESCALA MOT B],tabE.Flux[CARRO],
(_xlfn.XLOOKUP(autocompJanta[[#This Row],[COMP ESCALA]],tabE.Flux[COMP. ESCALA MOT A],tabE.Flux[CARRO],"N/E",0,1)),0,1)</f>
        <v>19017</v>
      </c>
      <c r="S122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22" s="127">
        <v>45907</v>
      </c>
      <c r="U122" s="4">
        <f>IF(IFERROR(autocompJanta[[#This Row],[CORRESP. CARRO]],"")="NÃO",(IF(tabJanta[[#This Row],[MOTORISTA]]=0,"","PASSE?")),autocompJanta[[#This Row],[CORRESP. CARRO]])</f>
        <v>19017</v>
      </c>
      <c r="V122" s="128">
        <f>IF(OR(ISERR(autocompJanta[[#This Row],[CORRESP HORARIO]]), autocompJanta[[#This Row],[CORRESP HORARIO]]&lt;&gt;"NÃO"),autocompJanta[[#This Row],[CORRESP HORARIO]],"")</f>
        <v>0.79861111111111116</v>
      </c>
      <c r="W122" s="4" t="s">
        <v>299</v>
      </c>
      <c r="X122" s="4" t="s">
        <v>75</v>
      </c>
      <c r="Y122" s="4">
        <f>IF(tabJanta[[#This Row],[MOTORISTA]]="","",COUNTIF(autocompJanta[COMP ESCALA ATUAL],autocompJanta[[#This Row],[COMP ESCALA ATUAL]]))</f>
        <v>1</v>
      </c>
      <c r="Z122" s="45">
        <f>IF(tabJanta[[#This Row],[MOTORISTA]]&lt;&gt;0,15,"")</f>
        <v>15</v>
      </c>
      <c r="AA122" s="4" t="str">
        <f>autocompJanta[[#This Row],[CORRESP LINHA]]</f>
        <v>GOIANIA (GO) X TERESINA (PI) VIA STI</v>
      </c>
    </row>
    <row r="123" spans="3:27" ht="15" hidden="1" customHeight="1" x14ac:dyDescent="0.25">
      <c r="C123" s="129" t="s">
        <v>226</v>
      </c>
      <c r="D123" s="56" t="str">
        <f>IF(tabJanta[[#This Row],[MOTORISTA]]="","",_xlfn.CONCAT(tabJanta[[#This Row],[DATA]],"+",tabJanta[[#This Row],[MOTORISTA]]))</f>
        <v>45907+KAYLSON KLEYTON DA SILVA COSTA - 6224</v>
      </c>
      <c r="E123" s="56" t="str">
        <f>_xlfn.XLOOKUP(autocompJanta[[#This Row],[COMP ESCALA ATUAL]],tabE.Flux[COMP.AT. MOT A],tabE.Flux[LINHA],"NÃO",0,1)</f>
        <v>NÃO</v>
      </c>
      <c r="F123" s="56" t="str">
        <f>_xlfn.XLOOKUP(autocompJanta[[#This Row],[COMP ESCALA ATUAL]],tabE.Flux[COMP.AT. MOT B],tabE.Flux[LINHA],"NÃO",0,1)</f>
        <v>GOIANIA (GO) X SAO LUIS (MA)</v>
      </c>
      <c r="G123" s="61" t="str">
        <f>IF(AND(autocompJanta[[#This Row],[EXISTE MOT A AT]]="NÃO", autocompJanta[[#This Row],[EXISTE MOT B AT]]="NÃO"),"NÃO","SIM")</f>
        <v>SIM</v>
      </c>
      <c r="H123" s="57" t="str">
        <f>IF(autocompJanta[[#This Row],[EXISTE ESCALA ATUAL]]="NÃO",_xlfn.CONCAT(tabJanta[[#This Row],[DATA]]-1,"+",tabJanta[[#This Row],[MOTORISTA]]),"NÃO")</f>
        <v>NÃO</v>
      </c>
      <c r="I123" s="57" t="str">
        <f>IF(autocompJanta[[#This Row],[COMP ESCALA ANTERIOR]]="NÃO","NÃO",_xlfn.XLOOKUP(autocompJanta[[#This Row],[COMP ESCALA ANTERIOR]],tabE.Flux[COMP.AT. MOT A],tabE.Flux[LINHA],"NÃO",0,1))</f>
        <v>NÃO</v>
      </c>
      <c r="J123" s="58" t="str">
        <f>IF(autocompJanta[[#This Row],[COMP ESCALA ANTERIOR]]="NÃO","NÃO",_xlfn.XLOOKUP(autocompJanta[[#This Row],[COMP ESCALA ANTERIOR]],tabE.Flux[COMP.AT. MOT B],tabE.Flux[LINHA],"NÃO",0,1))</f>
        <v>NÃO</v>
      </c>
      <c r="K123" s="62" t="str">
        <f>IF(AND(autocompJanta[[#This Row],[EXISTE MOT A ANT]]="NÃO",autocompJanta[[#This Row],[EXISTE MOT B ANT]]="NÃO"),"NÃO","SIM")</f>
        <v>NÃO</v>
      </c>
      <c r="L123" s="59" t="str">
        <f t="shared" ref="L123:L140" si="4">_xlfn.CONCAT(T123+1,"+",X123)</f>
        <v>45908+KAYLSON KLEYTON DA SILVA COSTA - 6224</v>
      </c>
      <c r="M123" s="59" t="str">
        <f>IF(autocompJanta[[#This Row],[COMP ESCALA POSTERIOR]]="NÃO","NÃO",_xlfn.XLOOKUP(autocompJanta[[#This Row],[COMP ESCALA POSTERIOR]],tabE.Flux[COMP.AT. MOT A],tabE.Flux[LINHA],"NÃO",0,1))</f>
        <v>NÃO</v>
      </c>
      <c r="N123" s="59" t="str">
        <f>IF(autocompJanta[[#This Row],[COMP ESCALA POSTERIOR]]="NÃO","NÃO",_xlfn.XLOOKUP(autocompJanta[[#This Row],[COMP ESCALA POSTERIOR]],tabE.Flux[COMP.AT. MOT B],tabE.Flux[LINHA],"NÃO",0,1))</f>
        <v>NÃO</v>
      </c>
      <c r="O123" s="65" t="str">
        <f>IF(AND(autocompJanta[[#This Row],[EXISTE MOT A POS]]="NÃO",autocompJanta[[#This Row],[EXISTE MOT B POS]]="NÃO"),"NÃO","SIM")</f>
        <v>NÃO</v>
      </c>
      <c r="P123" s="66" t="str" cm="1">
        <f t="array" ref="P12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23" s="103" t="str" cm="1">
        <f t="array" ref="Q12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45907+KAYLSON KLEYTON DA SILVA COSTA - 6224+GOIANIA (GO) X SAO LUIS (MA)</v>
      </c>
      <c r="R123" s="67">
        <f>_xlfn.XLOOKUP(autocompJanta[[#This Row],[COMP ESCALA]],tabE.Flux[COMP. ESCALA MOT B],tabE.Flux[CARRO],
(_xlfn.XLOOKUP(autocompJanta[[#This Row],[COMP ESCALA]],tabE.Flux[COMP. ESCALA MOT A],tabE.Flux[CARRO],"N/E",0,1)),0,1)</f>
        <v>20019</v>
      </c>
      <c r="S123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23" s="127">
        <v>45907</v>
      </c>
      <c r="U123" s="4">
        <f>IF(IFERROR(autocompJanta[[#This Row],[CORRESP. CARRO]],"")="NÃO",(IF(tabJanta[[#This Row],[MOTORISTA]]=0,"","PASSE?")),autocompJanta[[#This Row],[CORRESP. CARRO]])</f>
        <v>20019</v>
      </c>
      <c r="V123" s="128">
        <f>IF(OR(ISERR(autocompJanta[[#This Row],[CORRESP HORARIO]]), autocompJanta[[#This Row],[CORRESP HORARIO]]&lt;&gt;"NÃO"),autocompJanta[[#This Row],[CORRESP HORARIO]],"")</f>
        <v>0.47013888888888888</v>
      </c>
      <c r="W123" s="4" t="s">
        <v>299</v>
      </c>
      <c r="X123" s="4" t="s">
        <v>80</v>
      </c>
      <c r="Y123" s="4">
        <f>IF(tabJanta[[#This Row],[MOTORISTA]]="","",COUNTIF(autocompJanta[COMP ESCALA ATUAL],autocompJanta[[#This Row],[COMP ESCALA ATUAL]]))</f>
        <v>1</v>
      </c>
      <c r="Z123" s="45">
        <f>IF(tabJanta[[#This Row],[MOTORISTA]]&lt;&gt;0,15,"")</f>
        <v>15</v>
      </c>
      <c r="AA123" s="4" t="str">
        <f>autocompJanta[[#This Row],[CORRESP LINHA]]</f>
        <v>GOIANIA (GO) X SAO LUIS (MA)</v>
      </c>
    </row>
    <row r="124" spans="3:27" ht="15" hidden="1" customHeight="1" x14ac:dyDescent="0.25">
      <c r="C124" s="129" t="s">
        <v>226</v>
      </c>
      <c r="D124" s="56" t="str">
        <f>IF(tabJanta[[#This Row],[MOTORISTA]]="","",_xlfn.CONCAT(tabJanta[[#This Row],[DATA]],"+",tabJanta[[#This Row],[MOTORISTA]]))</f>
        <v>45907+FRANCISCO PESSOA DE CARVALHO - 5276</v>
      </c>
      <c r="E124" s="56" t="str">
        <f>_xlfn.XLOOKUP(autocompJanta[[#This Row],[COMP ESCALA ATUAL]],tabE.Flux[COMP.AT. MOT A],tabE.Flux[LINHA],"NÃO",0,1)</f>
        <v>NÃO</v>
      </c>
      <c r="F124" s="56" t="str">
        <f>_xlfn.XLOOKUP(autocompJanta[[#This Row],[COMP ESCALA ATUAL]],tabE.Flux[COMP.AT. MOT B],tabE.Flux[LINHA],"NÃO",0,1)</f>
        <v>NÃO</v>
      </c>
      <c r="G124" s="61" t="str">
        <f>IF(AND(autocompJanta[[#This Row],[EXISTE MOT A AT]]="NÃO", autocompJanta[[#This Row],[EXISTE MOT B AT]]="NÃO"),"NÃO","SIM")</f>
        <v>NÃO</v>
      </c>
      <c r="H124" s="57" t="str">
        <f>IF(autocompJanta[[#This Row],[EXISTE ESCALA ATUAL]]="NÃO",_xlfn.CONCAT(tabJanta[[#This Row],[DATA]]-1,"+",tabJanta[[#This Row],[MOTORISTA]]),"NÃO")</f>
        <v>45906+FRANCISCO PESSOA DE CARVALHO - 5276</v>
      </c>
      <c r="I124" s="57" t="str">
        <f>IF(autocompJanta[[#This Row],[COMP ESCALA ANTERIOR]]="NÃO","NÃO",_xlfn.XLOOKUP(autocompJanta[[#This Row],[COMP ESCALA ANTERIOR]],tabE.Flux[COMP.AT. MOT A],tabE.Flux[LINHA],"NÃO",0,1))</f>
        <v>NÃO</v>
      </c>
      <c r="J124" s="58" t="str">
        <f>IF(autocompJanta[[#This Row],[COMP ESCALA ANTERIOR]]="NÃO","NÃO",_xlfn.XLOOKUP(autocompJanta[[#This Row],[COMP ESCALA ANTERIOR]],tabE.Flux[COMP.AT. MOT B],tabE.Flux[LINHA],"NÃO",0,1))</f>
        <v>NÃO</v>
      </c>
      <c r="K124" s="62" t="str">
        <f>IF(AND(autocompJanta[[#This Row],[EXISTE MOT A ANT]]="NÃO",autocompJanta[[#This Row],[EXISTE MOT B ANT]]="NÃO"),"NÃO","SIM")</f>
        <v>NÃO</v>
      </c>
      <c r="L124" s="59" t="str">
        <f t="shared" si="4"/>
        <v>45908+FRANCISCO PESSOA DE CARVALHO - 5276</v>
      </c>
      <c r="M124" s="59" t="str">
        <f>IF(autocompJanta[[#This Row],[COMP ESCALA POSTERIOR]]="NÃO","NÃO",_xlfn.XLOOKUP(autocompJanta[[#This Row],[COMP ESCALA POSTERIOR]],tabE.Flux[COMP.AT. MOT A],tabE.Flux[LINHA],"NÃO",0,1))</f>
        <v>NÃO</v>
      </c>
      <c r="N124" s="59" t="str">
        <f>IF(autocompJanta[[#This Row],[COMP ESCALA POSTERIOR]]="NÃO","NÃO",_xlfn.XLOOKUP(autocompJanta[[#This Row],[COMP ESCALA POSTERIOR]],tabE.Flux[COMP.AT. MOT B],tabE.Flux[LINHA],"NÃO",0,1))</f>
        <v>NÃO</v>
      </c>
      <c r="O124" s="65" t="str">
        <f>IF(AND(autocompJanta[[#This Row],[EXISTE MOT A POS]]="NÃO",autocompJanta[[#This Row],[EXISTE MOT B POS]]="NÃO"),"NÃO","SIM")</f>
        <v>NÃO</v>
      </c>
      <c r="P124" s="66" t="str" cm="1">
        <f t="array" ref="P12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124" s="103" t="str" cm="1">
        <f t="array" ref="Q12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124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124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124" s="127">
        <v>45907</v>
      </c>
      <c r="U124" s="4" t="str">
        <f>IF(IFERROR(autocompJanta[[#This Row],[CORRESP. CARRO]],"")="NÃO",(IF(tabJanta[[#This Row],[MOTORISTA]]=0,"","PASSE?")),autocompJanta[[#This Row],[CORRESP. CARRO]])</f>
        <v>N/E</v>
      </c>
      <c r="V124" s="128" t="str">
        <f>IF(OR(ISERR(autocompJanta[[#This Row],[CORRESP HORARIO]]), autocompJanta[[#This Row],[CORRESP HORARIO]]&lt;&gt;"NÃO"),autocompJanta[[#This Row],[CORRESP HORARIO]],"")</f>
        <v>N/E</v>
      </c>
      <c r="W124" s="4" t="s">
        <v>299</v>
      </c>
      <c r="X124" s="4" t="s">
        <v>188</v>
      </c>
      <c r="Y124" s="4">
        <f>IF(tabJanta[[#This Row],[MOTORISTA]]="","",COUNTIF(autocompJanta[COMP ESCALA ATUAL],autocompJanta[[#This Row],[COMP ESCALA ATUAL]]))</f>
        <v>1</v>
      </c>
      <c r="Z124" s="45">
        <f>IF(tabJanta[[#This Row],[MOTORISTA]]&lt;&gt;0,15,"")</f>
        <v>15</v>
      </c>
      <c r="AA124" s="4" t="str">
        <f>autocompJanta[[#This Row],[CORRESP LINHA]]</f>
        <v>NÃO ENCONTRADO</v>
      </c>
    </row>
    <row r="125" spans="3:27" ht="15" hidden="1" customHeight="1" x14ac:dyDescent="0.25">
      <c r="C125" s="129" t="s">
        <v>226</v>
      </c>
      <c r="D125" s="56" t="str">
        <f>IF(tabJanta[[#This Row],[MOTORISTA]]="","",_xlfn.CONCAT(tabJanta[[#This Row],[DATA]],"+",tabJanta[[#This Row],[MOTORISTA]]))</f>
        <v>45908+CLODOALDO PEREIRA DE LIMA - 4067</v>
      </c>
      <c r="E125" s="56" t="str">
        <f>_xlfn.XLOOKUP(autocompJanta[[#This Row],[COMP ESCALA ATUAL]],tabE.Flux[COMP.AT. MOT A],tabE.Flux[LINHA],"NÃO",0,1)</f>
        <v>NÃO</v>
      </c>
      <c r="F125" s="56" t="str">
        <f>_xlfn.XLOOKUP(autocompJanta[[#This Row],[COMP ESCALA ATUAL]],tabE.Flux[COMP.AT. MOT B],tabE.Flux[LINHA],"NÃO",0,1)</f>
        <v>GOIANIA (GO) X SAO LUIS (MA)</v>
      </c>
      <c r="G125" s="61" t="str">
        <f>IF(AND(autocompJanta[[#This Row],[EXISTE MOT A AT]]="NÃO", autocompJanta[[#This Row],[EXISTE MOT B AT]]="NÃO"),"NÃO","SIM")</f>
        <v>SIM</v>
      </c>
      <c r="H125" s="57" t="str">
        <f>IF(autocompJanta[[#This Row],[EXISTE ESCALA ATUAL]]="NÃO",_xlfn.CONCAT(tabJanta[[#This Row],[DATA]]-1,"+",tabJanta[[#This Row],[MOTORISTA]]),"NÃO")</f>
        <v>NÃO</v>
      </c>
      <c r="I125" s="57" t="str">
        <f>IF(autocompJanta[[#This Row],[COMP ESCALA ANTERIOR]]="NÃO","NÃO",_xlfn.XLOOKUP(autocompJanta[[#This Row],[COMP ESCALA ANTERIOR]],tabE.Flux[COMP.AT. MOT A],tabE.Flux[LINHA],"NÃO",0,1))</f>
        <v>NÃO</v>
      </c>
      <c r="J125" s="58" t="str">
        <f>IF(autocompJanta[[#This Row],[COMP ESCALA ANTERIOR]]="NÃO","NÃO",_xlfn.XLOOKUP(autocompJanta[[#This Row],[COMP ESCALA ANTERIOR]],tabE.Flux[COMP.AT. MOT B],tabE.Flux[LINHA],"NÃO",0,1))</f>
        <v>NÃO</v>
      </c>
      <c r="K125" s="62" t="str">
        <f>IF(AND(autocompJanta[[#This Row],[EXISTE MOT A ANT]]="NÃO",autocompJanta[[#This Row],[EXISTE MOT B ANT]]="NÃO"),"NÃO","SIM")</f>
        <v>NÃO</v>
      </c>
      <c r="L125" s="59" t="str">
        <f t="shared" si="4"/>
        <v>45909+CLODOALDO PEREIRA DE LIMA - 4067</v>
      </c>
      <c r="M125" s="59" t="str">
        <f>IF(autocompJanta[[#This Row],[COMP ESCALA POSTERIOR]]="NÃO","NÃO",_xlfn.XLOOKUP(autocompJanta[[#This Row],[COMP ESCALA POSTERIOR]],tabE.Flux[COMP.AT. MOT A],tabE.Flux[LINHA],"NÃO",0,1))</f>
        <v>NÃO</v>
      </c>
      <c r="N125" s="59" t="str">
        <f>IF(autocompJanta[[#This Row],[COMP ESCALA POSTERIOR]]="NÃO","NÃO",_xlfn.XLOOKUP(autocompJanta[[#This Row],[COMP ESCALA POSTERIOR]],tabE.Flux[COMP.AT. MOT B],tabE.Flux[LINHA],"NÃO",0,1))</f>
        <v>NÃO</v>
      </c>
      <c r="O125" s="65" t="str">
        <f>IF(AND(autocompJanta[[#This Row],[EXISTE MOT A POS]]="NÃO",autocompJanta[[#This Row],[EXISTE MOT B POS]]="NÃO"),"NÃO","SIM")</f>
        <v>NÃO</v>
      </c>
      <c r="P125" s="66" t="str" cm="1">
        <f t="array" ref="P12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25" s="103" t="str" cm="1">
        <f t="array" ref="Q12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45908+CLODOALDO PEREIRA DE LIMA - 4067+GOIANIA (GO) X SAO LUIS (MA)</v>
      </c>
      <c r="R125" s="67">
        <f>_xlfn.XLOOKUP(autocompJanta[[#This Row],[COMP ESCALA]],tabE.Flux[COMP. ESCALA MOT B],tabE.Flux[CARRO],
(_xlfn.XLOOKUP(autocompJanta[[#This Row],[COMP ESCALA]],tabE.Flux[COMP. ESCALA MOT A],tabE.Flux[CARRO],"N/E",0,1)),0,1)</f>
        <v>24016</v>
      </c>
      <c r="S125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25" s="127">
        <v>45908</v>
      </c>
      <c r="U125" s="4">
        <f>IF(IFERROR(autocompJanta[[#This Row],[CORRESP. CARRO]],"")="NÃO",(IF(tabJanta[[#This Row],[MOTORISTA]]=0,"","PASSE?")),autocompJanta[[#This Row],[CORRESP. CARRO]])</f>
        <v>24016</v>
      </c>
      <c r="V125" s="128">
        <f>IF(OR(ISERR(autocompJanta[[#This Row],[CORRESP HORARIO]]), autocompJanta[[#This Row],[CORRESP HORARIO]]&lt;&gt;"NÃO"),autocompJanta[[#This Row],[CORRESP HORARIO]],"")</f>
        <v>0.79166666666666663</v>
      </c>
      <c r="W125" s="4" t="s">
        <v>299</v>
      </c>
      <c r="X125" s="4" t="s">
        <v>109</v>
      </c>
      <c r="Y125" s="4">
        <f>IF(tabJanta[[#This Row],[MOTORISTA]]="","",COUNTIF(autocompJanta[COMP ESCALA ATUAL],autocompJanta[[#This Row],[COMP ESCALA ATUAL]]))</f>
        <v>1</v>
      </c>
      <c r="Z125" s="45">
        <f>IF(tabJanta[[#This Row],[MOTORISTA]]&lt;&gt;0,15,"")</f>
        <v>15</v>
      </c>
      <c r="AA125" s="4" t="str">
        <f>autocompJanta[[#This Row],[CORRESP LINHA]]</f>
        <v>GOIANIA (GO) X SAO LUIS (MA)</v>
      </c>
    </row>
    <row r="126" spans="3:27" ht="15" hidden="1" customHeight="1" x14ac:dyDescent="0.25">
      <c r="C126" s="129" t="s">
        <v>226</v>
      </c>
      <c r="D126" s="56" t="str">
        <f>IF(tabJanta[[#This Row],[MOTORISTA]]="","",_xlfn.CONCAT(tabJanta[[#This Row],[DATA]],"+",tabJanta[[#This Row],[MOTORISTA]]))</f>
        <v>45908+GENIVAN LEAL TEIXEIRA - 5302</v>
      </c>
      <c r="E126" s="56" t="str">
        <f>_xlfn.XLOOKUP(autocompJanta[[#This Row],[COMP ESCALA ATUAL]],tabE.Flux[COMP.AT. MOT A],tabE.Flux[LINHA],"NÃO",0,1)</f>
        <v>NÃO</v>
      </c>
      <c r="F126" s="56" t="str">
        <f>_xlfn.XLOOKUP(autocompJanta[[#This Row],[COMP ESCALA ATUAL]],tabE.Flux[COMP.AT. MOT B],tabE.Flux[LINHA],"NÃO",0,1)</f>
        <v>NÃO</v>
      </c>
      <c r="G126" s="61" t="str">
        <f>IF(AND(autocompJanta[[#This Row],[EXISTE MOT A AT]]="NÃO", autocompJanta[[#This Row],[EXISTE MOT B AT]]="NÃO"),"NÃO","SIM")</f>
        <v>NÃO</v>
      </c>
      <c r="H126" s="57" t="str">
        <f>IF(autocompJanta[[#This Row],[EXISTE ESCALA ATUAL]]="NÃO",_xlfn.CONCAT(tabJanta[[#This Row],[DATA]]-1,"+",tabJanta[[#This Row],[MOTORISTA]]),"NÃO")</f>
        <v>45907+GENIVAN LEAL TEIXEIRA - 5302</v>
      </c>
      <c r="I126" s="57" t="str">
        <f>IF(autocompJanta[[#This Row],[COMP ESCALA ANTERIOR]]="NÃO","NÃO",_xlfn.XLOOKUP(autocompJanta[[#This Row],[COMP ESCALA ANTERIOR]],tabE.Flux[COMP.AT. MOT A],tabE.Flux[LINHA],"NÃO",0,1))</f>
        <v>NÃO</v>
      </c>
      <c r="J126" s="58" t="str">
        <f>IF(autocompJanta[[#This Row],[COMP ESCALA ANTERIOR]]="NÃO","NÃO",_xlfn.XLOOKUP(autocompJanta[[#This Row],[COMP ESCALA ANTERIOR]],tabE.Flux[COMP.AT. MOT B],tabE.Flux[LINHA],"NÃO",0,1))</f>
        <v>NÃO</v>
      </c>
      <c r="K126" s="62" t="str">
        <f>IF(AND(autocompJanta[[#This Row],[EXISTE MOT A ANT]]="NÃO",autocompJanta[[#This Row],[EXISTE MOT B ANT]]="NÃO"),"NÃO","SIM")</f>
        <v>NÃO</v>
      </c>
      <c r="L126" s="59" t="str">
        <f t="shared" si="4"/>
        <v>45909+GENIVAN LEAL TEIXEIRA - 5302</v>
      </c>
      <c r="M126" s="59" t="str">
        <f>IF(autocompJanta[[#This Row],[COMP ESCALA POSTERIOR]]="NÃO","NÃO",_xlfn.XLOOKUP(autocompJanta[[#This Row],[COMP ESCALA POSTERIOR]],tabE.Flux[COMP.AT. MOT A],tabE.Flux[LINHA],"NÃO",0,1))</f>
        <v>NÃO</v>
      </c>
      <c r="N126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126" s="65" t="str">
        <f>IF(AND(autocompJanta[[#This Row],[EXISTE MOT A POS]]="NÃO",autocompJanta[[#This Row],[EXISTE MOT B POS]]="NÃO"),"NÃO","SIM")</f>
        <v>SIM</v>
      </c>
      <c r="P126" s="66" t="str" cm="1">
        <f t="array" ref="P12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26" s="103" t="str" cm="1">
        <f t="array" ref="Q12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45909+GENIVAN LEAL TEIXEIRA - 5302+GOIANIA (GO) X TERESINA (PI) VIA STI</v>
      </c>
      <c r="R126" s="67">
        <f>_xlfn.XLOOKUP(autocompJanta[[#This Row],[COMP ESCALA]],tabE.Flux[COMP. ESCALA MOT B],tabE.Flux[CARRO],
(_xlfn.XLOOKUP(autocompJanta[[#This Row],[COMP ESCALA]],tabE.Flux[COMP. ESCALA MOT A],tabE.Flux[CARRO],"N/E",0,1)),0,1)</f>
        <v>19016</v>
      </c>
      <c r="S126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26" s="127">
        <v>45908</v>
      </c>
      <c r="U126" s="4">
        <f>IF(IFERROR(autocompJanta[[#This Row],[CORRESP. CARRO]],"")="NÃO",(IF(tabJanta[[#This Row],[MOTORISTA]]=0,"","PASSE?")),autocompJanta[[#This Row],[CORRESP. CARRO]])</f>
        <v>19016</v>
      </c>
      <c r="V126" s="128">
        <f>IF(OR(ISERR(autocompJanta[[#This Row],[CORRESP HORARIO]]), autocompJanta[[#This Row],[CORRESP HORARIO]]&lt;&gt;"NÃO"),autocompJanta[[#This Row],[CORRESP HORARIO]],"")</f>
        <v>0.79861111111111116</v>
      </c>
      <c r="W126" s="4" t="s">
        <v>299</v>
      </c>
      <c r="X126" s="4" t="s">
        <v>38</v>
      </c>
      <c r="Y126" s="4">
        <f>IF(tabJanta[[#This Row],[MOTORISTA]]="","",COUNTIF(autocompJanta[COMP ESCALA ATUAL],autocompJanta[[#This Row],[COMP ESCALA ATUAL]]))</f>
        <v>1</v>
      </c>
      <c r="Z126" s="45">
        <f>IF(tabJanta[[#This Row],[MOTORISTA]]&lt;&gt;0,15,"")</f>
        <v>15</v>
      </c>
      <c r="AA126" s="4" t="str">
        <f>autocompJanta[[#This Row],[CORRESP LINHA]]</f>
        <v>GOIANIA (GO) X TERESINA (PI) VIA STI</v>
      </c>
    </row>
    <row r="127" spans="3:27" ht="15" hidden="1" customHeight="1" x14ac:dyDescent="0.25">
      <c r="C127" s="129" t="s">
        <v>226</v>
      </c>
      <c r="D127" s="56" t="str">
        <f>IF(tabJanta[[#This Row],[MOTORISTA]]="","",_xlfn.CONCAT(tabJanta[[#This Row],[DATA]],"+",tabJanta[[#This Row],[MOTORISTA]]))</f>
        <v>45908+ALTEMAR DO NASCIMENTO LIMA - 6225</v>
      </c>
      <c r="E127" s="56" t="str">
        <f>_xlfn.XLOOKUP(autocompJanta[[#This Row],[COMP ESCALA ATUAL]],tabE.Flux[COMP.AT. MOT A],tabE.Flux[LINHA],"NÃO",0,1)</f>
        <v>NÃO</v>
      </c>
      <c r="F127" s="56" t="str">
        <f>_xlfn.XLOOKUP(autocompJanta[[#This Row],[COMP ESCALA ATUAL]],tabE.Flux[COMP.AT. MOT B],tabE.Flux[LINHA],"NÃO",0,1)</f>
        <v>GOIANIA (GO) X SAO LUIS (MA)</v>
      </c>
      <c r="G127" s="61" t="str">
        <f>IF(AND(autocompJanta[[#This Row],[EXISTE MOT A AT]]="NÃO", autocompJanta[[#This Row],[EXISTE MOT B AT]]="NÃO"),"NÃO","SIM")</f>
        <v>SIM</v>
      </c>
      <c r="H127" s="57" t="str">
        <f>IF(autocompJanta[[#This Row],[EXISTE ESCALA ATUAL]]="NÃO",_xlfn.CONCAT(tabJanta[[#This Row],[DATA]]-1,"+",tabJanta[[#This Row],[MOTORISTA]]),"NÃO")</f>
        <v>NÃO</v>
      </c>
      <c r="I127" s="57" t="str">
        <f>IF(autocompJanta[[#This Row],[COMP ESCALA ANTERIOR]]="NÃO","NÃO",_xlfn.XLOOKUP(autocompJanta[[#This Row],[COMP ESCALA ANTERIOR]],tabE.Flux[COMP.AT. MOT A],tabE.Flux[LINHA],"NÃO",0,1))</f>
        <v>NÃO</v>
      </c>
      <c r="J127" s="58" t="str">
        <f>IF(autocompJanta[[#This Row],[COMP ESCALA ANTERIOR]]="NÃO","NÃO",_xlfn.XLOOKUP(autocompJanta[[#This Row],[COMP ESCALA ANTERIOR]],tabE.Flux[COMP.AT. MOT B],tabE.Flux[LINHA],"NÃO",0,1))</f>
        <v>NÃO</v>
      </c>
      <c r="K127" s="62" t="str">
        <f>IF(AND(autocompJanta[[#This Row],[EXISTE MOT A ANT]]="NÃO",autocompJanta[[#This Row],[EXISTE MOT B ANT]]="NÃO"),"NÃO","SIM")</f>
        <v>NÃO</v>
      </c>
      <c r="L127" s="59" t="str">
        <f t="shared" si="4"/>
        <v>45909+ALTEMAR DO NASCIMENTO LIMA - 6225</v>
      </c>
      <c r="M127" s="59" t="str">
        <f>IF(autocompJanta[[#This Row],[COMP ESCALA POSTERIOR]]="NÃO","NÃO",_xlfn.XLOOKUP(autocompJanta[[#This Row],[COMP ESCALA POSTERIOR]],tabE.Flux[COMP.AT. MOT A],tabE.Flux[LINHA],"NÃO",0,1))</f>
        <v>NÃO</v>
      </c>
      <c r="N127" s="59" t="str">
        <f>IF(autocompJanta[[#This Row],[COMP ESCALA POSTERIOR]]="NÃO","NÃO",_xlfn.XLOOKUP(autocompJanta[[#This Row],[COMP ESCALA POSTERIOR]],tabE.Flux[COMP.AT. MOT B],tabE.Flux[LINHA],"NÃO",0,1))</f>
        <v>NÃO</v>
      </c>
      <c r="O127" s="65" t="str">
        <f>IF(AND(autocompJanta[[#This Row],[EXISTE MOT A POS]]="NÃO",autocompJanta[[#This Row],[EXISTE MOT B POS]]="NÃO"),"NÃO","SIM")</f>
        <v>NÃO</v>
      </c>
      <c r="P127" s="66" t="str" cm="1">
        <f t="array" ref="P12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27" s="103" t="str" cm="1">
        <f t="array" ref="Q12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45908+ALTEMAR DO NASCIMENTO LIMA - 6225+GOIANIA (GO) X SAO LUIS (MA)</v>
      </c>
      <c r="R127" s="67">
        <f>_xlfn.XLOOKUP(autocompJanta[[#This Row],[COMP ESCALA]],tabE.Flux[COMP. ESCALA MOT B],tabE.Flux[CARRO],
(_xlfn.XLOOKUP(autocompJanta[[#This Row],[COMP ESCALA]],tabE.Flux[COMP. ESCALA MOT A],tabE.Flux[CARRO],"N/E",0,1)),0,1)</f>
        <v>19019</v>
      </c>
      <c r="S127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27" s="127">
        <v>45908</v>
      </c>
      <c r="U127" s="4">
        <f>IF(IFERROR(autocompJanta[[#This Row],[CORRESP. CARRO]],"")="NÃO",(IF(tabJanta[[#This Row],[MOTORISTA]]=0,"","PASSE?")),autocompJanta[[#This Row],[CORRESP. CARRO]])</f>
        <v>19019</v>
      </c>
      <c r="V127" s="128">
        <f>IF(OR(ISERR(autocompJanta[[#This Row],[CORRESP HORARIO]]), autocompJanta[[#This Row],[CORRESP HORARIO]]&lt;&gt;"NÃO"),autocompJanta[[#This Row],[CORRESP HORARIO]],"")</f>
        <v>0.47013888888888888</v>
      </c>
      <c r="W127" s="4" t="s">
        <v>299</v>
      </c>
      <c r="X127" s="4" t="s">
        <v>57</v>
      </c>
      <c r="Y127" s="4">
        <f>IF(tabJanta[[#This Row],[MOTORISTA]]="","",COUNTIF(autocompJanta[COMP ESCALA ATUAL],autocompJanta[[#This Row],[COMP ESCALA ATUAL]]))</f>
        <v>1</v>
      </c>
      <c r="Z127" s="45">
        <f>IF(tabJanta[[#This Row],[MOTORISTA]]&lt;&gt;0,15,"")</f>
        <v>15</v>
      </c>
      <c r="AA127" s="4" t="str">
        <f>autocompJanta[[#This Row],[CORRESP LINHA]]</f>
        <v>GOIANIA (GO) X SAO LUIS (MA)</v>
      </c>
    </row>
    <row r="128" spans="3:27" ht="15" hidden="1" customHeight="1" x14ac:dyDescent="0.25">
      <c r="C128" s="129" t="s">
        <v>226</v>
      </c>
      <c r="D128" s="56" t="str">
        <f>IF(tabJanta[[#This Row],[MOTORISTA]]="","",_xlfn.CONCAT(tabJanta[[#This Row],[DATA]],"+",tabJanta[[#This Row],[MOTORISTA]]))</f>
        <v>45908+FELIPE MORAIS MELO - 3077</v>
      </c>
      <c r="E128" s="56" t="str">
        <f>_xlfn.XLOOKUP(autocompJanta[[#This Row],[COMP ESCALA ATUAL]],tabE.Flux[COMP.AT. MOT A],tabE.Flux[LINHA],"NÃO",0,1)</f>
        <v>NÃO</v>
      </c>
      <c r="F128" s="56" t="str">
        <f>_xlfn.XLOOKUP(autocompJanta[[#This Row],[COMP ESCALA ATUAL]],tabE.Flux[COMP.AT. MOT B],tabE.Flux[LINHA],"NÃO",0,1)</f>
        <v>NÃO</v>
      </c>
      <c r="G128" s="61" t="str">
        <f>IF(AND(autocompJanta[[#This Row],[EXISTE MOT A AT]]="NÃO", autocompJanta[[#This Row],[EXISTE MOT B AT]]="NÃO"),"NÃO","SIM")</f>
        <v>NÃO</v>
      </c>
      <c r="H128" s="57" t="str">
        <f>IF(autocompJanta[[#This Row],[EXISTE ESCALA ATUAL]]="NÃO",_xlfn.CONCAT(tabJanta[[#This Row],[DATA]]-1,"+",tabJanta[[#This Row],[MOTORISTA]]),"NÃO")</f>
        <v>45907+FELIPE MORAIS MELO - 3077</v>
      </c>
      <c r="I128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28" s="58" t="str">
        <f>IF(autocompJanta[[#This Row],[COMP ESCALA ANTERIOR]]="NÃO","NÃO",_xlfn.XLOOKUP(autocompJanta[[#This Row],[COMP ESCALA ANTERIOR]],tabE.Flux[COMP.AT. MOT B],tabE.Flux[LINHA],"NÃO",0,1))</f>
        <v>NÃO</v>
      </c>
      <c r="K128" s="62" t="str">
        <f>IF(AND(autocompJanta[[#This Row],[EXISTE MOT A ANT]]="NÃO",autocompJanta[[#This Row],[EXISTE MOT B ANT]]="NÃO"),"NÃO","SIM")</f>
        <v>SIM</v>
      </c>
      <c r="L128" s="59" t="str">
        <f t="shared" si="4"/>
        <v>45909+FELIPE MORAIS MELO - 3077</v>
      </c>
      <c r="M128" s="59" t="str">
        <f>IF(autocompJanta[[#This Row],[COMP ESCALA POSTERIOR]]="NÃO","NÃO",_xlfn.XLOOKUP(autocompJanta[[#This Row],[COMP ESCALA POSTERIOR]],tabE.Flux[COMP.AT. MOT A],tabE.Flux[LINHA],"NÃO",0,1))</f>
        <v>NÃO</v>
      </c>
      <c r="N128" s="59" t="str">
        <f>IF(autocompJanta[[#This Row],[COMP ESCALA POSTERIOR]]="NÃO","NÃO",_xlfn.XLOOKUP(autocompJanta[[#This Row],[COMP ESCALA POSTERIOR]],tabE.Flux[COMP.AT. MOT B],tabE.Flux[LINHA],"NÃO",0,1))</f>
        <v>NÃO</v>
      </c>
      <c r="O128" s="65" t="str">
        <f>IF(AND(autocompJanta[[#This Row],[EXISTE MOT A POS]]="NÃO",autocompJanta[[#This Row],[EXISTE MOT B POS]]="NÃO"),"NÃO","SIM")</f>
        <v>NÃO</v>
      </c>
      <c r="P128" s="66" t="str" cm="1">
        <f t="array" ref="P12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28" s="103" t="str" cm="1">
        <f t="array" ref="Q12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45907+FELIPE MORAIS MELO - 3077+GOIANIA (GO) X TERESINA (PI) VIA STI</v>
      </c>
      <c r="R128" s="67">
        <f>_xlfn.XLOOKUP(autocompJanta[[#This Row],[COMP ESCALA]],tabE.Flux[COMP. ESCALA MOT B],tabE.Flux[CARRO],
(_xlfn.XLOOKUP(autocompJanta[[#This Row],[COMP ESCALA]],tabE.Flux[COMP. ESCALA MOT A],tabE.Flux[CARRO],"N/E",0,1)),0,1)</f>
        <v>19001</v>
      </c>
      <c r="S128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28" s="127">
        <v>45908</v>
      </c>
      <c r="U128" s="4">
        <f>IF(IFERROR(autocompJanta[[#This Row],[CORRESP. CARRO]],"")="NÃO",(IF(tabJanta[[#This Row],[MOTORISTA]]=0,"","PASSE?")),autocompJanta[[#This Row],[CORRESP. CARRO]])</f>
        <v>19001</v>
      </c>
      <c r="V128" s="128">
        <f>IF(OR(ISERR(autocompJanta[[#This Row],[CORRESP HORARIO]]), autocompJanta[[#This Row],[CORRESP HORARIO]]&lt;&gt;"NÃO"),autocompJanta[[#This Row],[CORRESP HORARIO]],"")</f>
        <v>0.79861111111111116</v>
      </c>
      <c r="W128" s="4" t="s">
        <v>299</v>
      </c>
      <c r="X128" s="4" t="s">
        <v>78</v>
      </c>
      <c r="Y128" s="4">
        <f>IF(tabJanta[[#This Row],[MOTORISTA]]="","",COUNTIF(autocompJanta[COMP ESCALA ATUAL],autocompJanta[[#This Row],[COMP ESCALA ATUAL]]))</f>
        <v>1</v>
      </c>
      <c r="Z128" s="45">
        <f>IF(tabJanta[[#This Row],[MOTORISTA]]&lt;&gt;0,15,"")</f>
        <v>15</v>
      </c>
      <c r="AA128" s="4" t="str">
        <f>autocompJanta[[#This Row],[CORRESP LINHA]]</f>
        <v>GOIANIA (GO) X TERESINA (PI) VIA STI</v>
      </c>
    </row>
    <row r="129" spans="3:27" ht="15" hidden="1" customHeight="1" x14ac:dyDescent="0.25">
      <c r="C129" s="129" t="s">
        <v>226</v>
      </c>
      <c r="D129" s="56" t="str">
        <f>IF(tabJanta[[#This Row],[MOTORISTA]]="","",_xlfn.CONCAT(tabJanta[[#This Row],[DATA]],"+",tabJanta[[#This Row],[MOTORISTA]]))</f>
        <v>45908+LEANDRO DE OLIVEIRA MELO - 2151</v>
      </c>
      <c r="E129" s="56" t="str">
        <f>_xlfn.XLOOKUP(autocompJanta[[#This Row],[COMP ESCALA ATUAL]],tabE.Flux[COMP.AT. MOT A],tabE.Flux[LINHA],"NÃO",0,1)</f>
        <v>GOIANIA (GO) X SAO LUIS (MA)</v>
      </c>
      <c r="F129" s="56" t="str">
        <f>_xlfn.XLOOKUP(autocompJanta[[#This Row],[COMP ESCALA ATUAL]],tabE.Flux[COMP.AT. MOT B],tabE.Flux[LINHA],"NÃO",0,1)</f>
        <v>NÃO</v>
      </c>
      <c r="G129" s="61" t="str">
        <f>IF(AND(autocompJanta[[#This Row],[EXISTE MOT A AT]]="NÃO", autocompJanta[[#This Row],[EXISTE MOT B AT]]="NÃO"),"NÃO","SIM")</f>
        <v>SIM</v>
      </c>
      <c r="H129" s="57" t="str">
        <f>IF(autocompJanta[[#This Row],[EXISTE ESCALA ATUAL]]="NÃO",_xlfn.CONCAT(tabJanta[[#This Row],[DATA]]-1,"+",tabJanta[[#This Row],[MOTORISTA]]),"NÃO")</f>
        <v>NÃO</v>
      </c>
      <c r="I129" s="57" t="str">
        <f>IF(autocompJanta[[#This Row],[COMP ESCALA ANTERIOR]]="NÃO","NÃO",_xlfn.XLOOKUP(autocompJanta[[#This Row],[COMP ESCALA ANTERIOR]],tabE.Flux[COMP.AT. MOT A],tabE.Flux[LINHA],"NÃO",0,1))</f>
        <v>NÃO</v>
      </c>
      <c r="J129" s="58" t="str">
        <f>IF(autocompJanta[[#This Row],[COMP ESCALA ANTERIOR]]="NÃO","NÃO",_xlfn.XLOOKUP(autocompJanta[[#This Row],[COMP ESCALA ANTERIOR]],tabE.Flux[COMP.AT. MOT B],tabE.Flux[LINHA],"NÃO",0,1))</f>
        <v>NÃO</v>
      </c>
      <c r="K129" s="62" t="str">
        <f>IF(AND(autocompJanta[[#This Row],[EXISTE MOT A ANT]]="NÃO",autocompJanta[[#This Row],[EXISTE MOT B ANT]]="NÃO"),"NÃO","SIM")</f>
        <v>NÃO</v>
      </c>
      <c r="L129" s="59" t="str">
        <f t="shared" si="4"/>
        <v>45909+LEANDRO DE OLIVEIRA MELO - 2151</v>
      </c>
      <c r="M129" s="59" t="str">
        <f>IF(autocompJanta[[#This Row],[COMP ESCALA POSTERIOR]]="NÃO","NÃO",_xlfn.XLOOKUP(autocompJanta[[#This Row],[COMP ESCALA POSTERIOR]],tabE.Flux[COMP.AT. MOT A],tabE.Flux[LINHA],"NÃO",0,1))</f>
        <v>NÃO</v>
      </c>
      <c r="N129" s="59" t="str">
        <f>IF(autocompJanta[[#This Row],[COMP ESCALA POSTERIOR]]="NÃO","NÃO",_xlfn.XLOOKUP(autocompJanta[[#This Row],[COMP ESCALA POSTERIOR]],tabE.Flux[COMP.AT. MOT B],tabE.Flux[LINHA],"NÃO",0,1))</f>
        <v>GOIANIA (GO) X SAO LUIS (MA)</v>
      </c>
      <c r="O129" s="65" t="str">
        <f>IF(AND(autocompJanta[[#This Row],[EXISTE MOT A POS]]="NÃO",autocompJanta[[#This Row],[EXISTE MOT B POS]]="NÃO"),"NÃO","SIM")</f>
        <v>SIM</v>
      </c>
      <c r="P129" s="66" t="str" cm="1">
        <f t="array" ref="P12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29" s="103" t="str" cm="1">
        <f t="array" ref="Q12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45908+LEANDRO DE OLIVEIRA MELO - 2151+GOIANIA (GO) X SAO LUIS (MA)</v>
      </c>
      <c r="R129" s="67">
        <f>_xlfn.XLOOKUP(autocompJanta[[#This Row],[COMP ESCALA]],tabE.Flux[COMP. ESCALA MOT B],tabE.Flux[CARRO],
(_xlfn.XLOOKUP(autocompJanta[[#This Row],[COMP ESCALA]],tabE.Flux[COMP. ESCALA MOT A],tabE.Flux[CARRO],"N/E",0,1)),0,1)</f>
        <v>19019</v>
      </c>
      <c r="S129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29" s="127">
        <v>45908</v>
      </c>
      <c r="U129" s="4">
        <f>IF(IFERROR(autocompJanta[[#This Row],[CORRESP. CARRO]],"")="NÃO",(IF(tabJanta[[#This Row],[MOTORISTA]]=0,"","PASSE?")),autocompJanta[[#This Row],[CORRESP. CARRO]])</f>
        <v>19019</v>
      </c>
      <c r="V129" s="128">
        <f>IF(OR(ISERR(autocompJanta[[#This Row],[CORRESP HORARIO]]), autocompJanta[[#This Row],[CORRESP HORARIO]]&lt;&gt;"NÃO"),autocompJanta[[#This Row],[CORRESP HORARIO]],"")</f>
        <v>0.47013888888888888</v>
      </c>
      <c r="W129" s="4" t="s">
        <v>299</v>
      </c>
      <c r="X129" s="4" t="s">
        <v>64</v>
      </c>
      <c r="Y129" s="4">
        <f>IF(tabJanta[[#This Row],[MOTORISTA]]="","",COUNTIF(autocompJanta[COMP ESCALA ATUAL],autocompJanta[[#This Row],[COMP ESCALA ATUAL]]))</f>
        <v>1</v>
      </c>
      <c r="Z129" s="45">
        <f>IF(tabJanta[[#This Row],[MOTORISTA]]&lt;&gt;0,15,"")</f>
        <v>15</v>
      </c>
      <c r="AA129" s="4" t="str">
        <f>autocompJanta[[#This Row],[CORRESP LINHA]]</f>
        <v>GOIANIA (GO) X SAO LUIS (MA)</v>
      </c>
    </row>
    <row r="130" spans="3:27" ht="15" hidden="1" customHeight="1" x14ac:dyDescent="0.25">
      <c r="C130" s="129" t="s">
        <v>226</v>
      </c>
      <c r="D130" s="56" t="str">
        <f>IF(tabJanta[[#This Row],[MOTORISTA]]="","",_xlfn.CONCAT(tabJanta[[#This Row],[DATA]],"+",tabJanta[[#This Row],[MOTORISTA]]))</f>
        <v>45908+EDIVALDO DE ARAUJO - 6217</v>
      </c>
      <c r="E130" s="56" t="str">
        <f>_xlfn.XLOOKUP(autocompJanta[[#This Row],[COMP ESCALA ATUAL]],tabE.Flux[COMP.AT. MOT A],tabE.Flux[LINHA],"NÃO",0,1)</f>
        <v>GOIANIA (GO) X SAO LUIS (MA)</v>
      </c>
      <c r="F130" s="56" t="str">
        <f>_xlfn.XLOOKUP(autocompJanta[[#This Row],[COMP ESCALA ATUAL]],tabE.Flux[COMP.AT. MOT B],tabE.Flux[LINHA],"NÃO",0,1)</f>
        <v>GOIANIA (GO) X SAO LUIS (MA)</v>
      </c>
      <c r="G130" s="61" t="str">
        <f>IF(AND(autocompJanta[[#This Row],[EXISTE MOT A AT]]="NÃO", autocompJanta[[#This Row],[EXISTE MOT B AT]]="NÃO"),"NÃO","SIM")</f>
        <v>SIM</v>
      </c>
      <c r="H130" s="57" t="str">
        <f>IF(autocompJanta[[#This Row],[EXISTE ESCALA ATUAL]]="NÃO",_xlfn.CONCAT(tabJanta[[#This Row],[DATA]]-1,"+",tabJanta[[#This Row],[MOTORISTA]]),"NÃO")</f>
        <v>NÃO</v>
      </c>
      <c r="I130" s="57" t="str">
        <f>IF(autocompJanta[[#This Row],[COMP ESCALA ANTERIOR]]="NÃO","NÃO",_xlfn.XLOOKUP(autocompJanta[[#This Row],[COMP ESCALA ANTERIOR]],tabE.Flux[COMP.AT. MOT A],tabE.Flux[LINHA],"NÃO",0,1))</f>
        <v>NÃO</v>
      </c>
      <c r="J130" s="58" t="str">
        <f>IF(autocompJanta[[#This Row],[COMP ESCALA ANTERIOR]]="NÃO","NÃO",_xlfn.XLOOKUP(autocompJanta[[#This Row],[COMP ESCALA ANTERIOR]],tabE.Flux[COMP.AT. MOT B],tabE.Flux[LINHA],"NÃO",0,1))</f>
        <v>NÃO</v>
      </c>
      <c r="K130" s="62" t="str">
        <f>IF(AND(autocompJanta[[#This Row],[EXISTE MOT A ANT]]="NÃO",autocompJanta[[#This Row],[EXISTE MOT B ANT]]="NÃO"),"NÃO","SIM")</f>
        <v>NÃO</v>
      </c>
      <c r="L130" s="59" t="str">
        <f t="shared" si="4"/>
        <v>45909+EDIVALDO DE ARAUJO - 6217</v>
      </c>
      <c r="M130" s="59" t="str">
        <f>IF(autocompJanta[[#This Row],[COMP ESCALA POSTERIOR]]="NÃO","NÃO",_xlfn.XLOOKUP(autocompJanta[[#This Row],[COMP ESCALA POSTERIOR]],tabE.Flux[COMP.AT. MOT A],tabE.Flux[LINHA],"NÃO",0,1))</f>
        <v>NÃO</v>
      </c>
      <c r="N130" s="59" t="str">
        <f>IF(autocompJanta[[#This Row],[COMP ESCALA POSTERIOR]]="NÃO","NÃO",_xlfn.XLOOKUP(autocompJanta[[#This Row],[COMP ESCALA POSTERIOR]],tabE.Flux[COMP.AT. MOT B],tabE.Flux[LINHA],"NÃO",0,1))</f>
        <v>NÃO</v>
      </c>
      <c r="O130" s="65" t="str">
        <f>IF(AND(autocompJanta[[#This Row],[EXISTE MOT A POS]]="NÃO",autocompJanta[[#This Row],[EXISTE MOT B POS]]="NÃO"),"NÃO","SIM")</f>
        <v>NÃO</v>
      </c>
      <c r="P130" s="66" t="str" cm="1">
        <f t="array" ref="P13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30" s="103" t="str" cm="1">
        <f t="array" ref="Q13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45908+EDIVALDO DE ARAUJO - 6217+GOIANIA (GO) X SAO LUIS (MA)</v>
      </c>
      <c r="R130" s="67">
        <f>_xlfn.XLOOKUP(autocompJanta[[#This Row],[COMP ESCALA]],tabE.Flux[COMP. ESCALA MOT B],tabE.Flux[CARRO],
(_xlfn.XLOOKUP(autocompJanta[[#This Row],[COMP ESCALA]],tabE.Flux[COMP. ESCALA MOT A],tabE.Flux[CARRO],"N/E",0,1)),0,1)</f>
        <v>24015</v>
      </c>
      <c r="S130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30" s="127">
        <v>45908</v>
      </c>
      <c r="U130" s="4">
        <f>IF(IFERROR(autocompJanta[[#This Row],[CORRESP. CARRO]],"")="NÃO",(IF(tabJanta[[#This Row],[MOTORISTA]]=0,"","PASSE?")),autocompJanta[[#This Row],[CORRESP. CARRO]])</f>
        <v>24015</v>
      </c>
      <c r="V130" s="128">
        <f>IF(OR(ISERR(autocompJanta[[#This Row],[CORRESP HORARIO]]), autocompJanta[[#This Row],[CORRESP HORARIO]]&lt;&gt;"NÃO"),autocompJanta[[#This Row],[CORRESP HORARIO]],"")</f>
        <v>0.29166666666666669</v>
      </c>
      <c r="W130" s="4" t="s">
        <v>299</v>
      </c>
      <c r="X130" s="4" t="s">
        <v>55</v>
      </c>
      <c r="Y130" s="4">
        <f>IF(tabJanta[[#This Row],[MOTORISTA]]="","",COUNTIF(autocompJanta[COMP ESCALA ATUAL],autocompJanta[[#This Row],[COMP ESCALA ATUAL]]))</f>
        <v>1</v>
      </c>
      <c r="Z130" s="45">
        <f>IF(tabJanta[[#This Row],[MOTORISTA]]&lt;&gt;0,15,"")</f>
        <v>15</v>
      </c>
      <c r="AA130" s="4" t="str">
        <f>autocompJanta[[#This Row],[CORRESP LINHA]]</f>
        <v>GOIANIA (GO) X SAO LUIS (MA)</v>
      </c>
    </row>
    <row r="131" spans="3:27" ht="15" hidden="1" customHeight="1" x14ac:dyDescent="0.25">
      <c r="C131" s="129" t="s">
        <v>226</v>
      </c>
      <c r="D131" s="56" t="str">
        <f>IF(tabJanta[[#This Row],[MOTORISTA]]="","",_xlfn.CONCAT(tabJanta[[#This Row],[DATA]],"+",tabJanta[[#This Row],[MOTORISTA]]))</f>
        <v>45909+MARCIO DE SOUSA BRASILEIRO - 5828</v>
      </c>
      <c r="E131" s="56" t="str">
        <f>_xlfn.XLOOKUP(autocompJanta[[#This Row],[COMP ESCALA ATUAL]],tabE.Flux[COMP.AT. MOT A],tabE.Flux[LINHA],"NÃO",0,1)</f>
        <v>NÃO</v>
      </c>
      <c r="F131" s="56" t="str">
        <f>_xlfn.XLOOKUP(autocompJanta[[#This Row],[COMP ESCALA ATUAL]],tabE.Flux[COMP.AT. MOT B],tabE.Flux[LINHA],"NÃO",0,1)</f>
        <v>NÃO</v>
      </c>
      <c r="G131" s="61" t="str">
        <f>IF(AND(autocompJanta[[#This Row],[EXISTE MOT A AT]]="NÃO", autocompJanta[[#This Row],[EXISTE MOT B AT]]="NÃO"),"NÃO","SIM")</f>
        <v>NÃO</v>
      </c>
      <c r="H131" s="57" t="str">
        <f>IF(autocompJanta[[#This Row],[EXISTE ESCALA ATUAL]]="NÃO",_xlfn.CONCAT(tabJanta[[#This Row],[DATA]]-1,"+",tabJanta[[#This Row],[MOTORISTA]]),"NÃO")</f>
        <v>45908+MARCIO DE SOUSA BRASILEIRO - 5828</v>
      </c>
      <c r="I131" s="57" t="str">
        <f>IF(autocompJanta[[#This Row],[COMP ESCALA ANTERIOR]]="NÃO","NÃO",_xlfn.XLOOKUP(autocompJanta[[#This Row],[COMP ESCALA ANTERIOR]],tabE.Flux[COMP.AT. MOT A],tabE.Flux[LINHA],"NÃO",0,1))</f>
        <v>NÃO</v>
      </c>
      <c r="J131" s="58" t="str">
        <f>IF(autocompJanta[[#This Row],[COMP ESCALA ANTERIOR]]="NÃO","NÃO",_xlfn.XLOOKUP(autocompJanta[[#This Row],[COMP ESCALA ANTERIOR]],tabE.Flux[COMP.AT. MOT B],tabE.Flux[LINHA],"NÃO",0,1))</f>
        <v>NÃO</v>
      </c>
      <c r="K131" s="62" t="str">
        <f>IF(AND(autocompJanta[[#This Row],[EXISTE MOT A ANT]]="NÃO",autocompJanta[[#This Row],[EXISTE MOT B ANT]]="NÃO"),"NÃO","SIM")</f>
        <v>NÃO</v>
      </c>
      <c r="L131" s="59" t="str">
        <f t="shared" si="4"/>
        <v>45910+MARCIO DE SOUSA BRASILEIRO - 5828</v>
      </c>
      <c r="M131" s="59" t="str">
        <f>IF(autocompJanta[[#This Row],[COMP ESCALA POSTERIOR]]="NÃO","NÃO",_xlfn.XLOOKUP(autocompJanta[[#This Row],[COMP ESCALA POSTERIOR]],tabE.Flux[COMP.AT. MOT A],tabE.Flux[LINHA],"NÃO",0,1))</f>
        <v>NÃO</v>
      </c>
      <c r="N131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131" s="65" t="str">
        <f>IF(AND(autocompJanta[[#This Row],[EXISTE MOT A POS]]="NÃO",autocompJanta[[#This Row],[EXISTE MOT B POS]]="NÃO"),"NÃO","SIM")</f>
        <v>SIM</v>
      </c>
      <c r="P131" s="66" t="str" cm="1">
        <f t="array" ref="P13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31" s="103" t="str" cm="1">
        <f t="array" ref="Q13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45910+MARCIO DE SOUSA BRASILEIRO - 5828+GOIANIA (GO) X TERESINA (PI) VIA STI</v>
      </c>
      <c r="R131" s="67">
        <f>_xlfn.XLOOKUP(autocompJanta[[#This Row],[COMP ESCALA]],tabE.Flux[COMP. ESCALA MOT B],tabE.Flux[CARRO],
(_xlfn.XLOOKUP(autocompJanta[[#This Row],[COMP ESCALA]],tabE.Flux[COMP. ESCALA MOT A],tabE.Flux[CARRO],"N/E",0,1)),0,1)</f>
        <v>19026</v>
      </c>
      <c r="S131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31" s="127">
        <v>45909</v>
      </c>
      <c r="U131" s="4">
        <f>IF(IFERROR(autocompJanta[[#This Row],[CORRESP. CARRO]],"")="NÃO",(IF(tabJanta[[#This Row],[MOTORISTA]]=0,"","PASSE?")),autocompJanta[[#This Row],[CORRESP. CARRO]])</f>
        <v>19026</v>
      </c>
      <c r="V131" s="128">
        <f>IF(OR(ISERR(autocompJanta[[#This Row],[CORRESP HORARIO]]), autocompJanta[[#This Row],[CORRESP HORARIO]]&lt;&gt;"NÃO"),autocompJanta[[#This Row],[CORRESP HORARIO]],"")</f>
        <v>0.79861111111111116</v>
      </c>
      <c r="W131" s="4" t="s">
        <v>299</v>
      </c>
      <c r="X131" s="4" t="s">
        <v>129</v>
      </c>
      <c r="Y131" s="4">
        <f>IF(tabJanta[[#This Row],[MOTORISTA]]="","",COUNTIF(autocompJanta[COMP ESCALA ATUAL],autocompJanta[[#This Row],[COMP ESCALA ATUAL]]))</f>
        <v>1</v>
      </c>
      <c r="Z131" s="45">
        <f>IF(tabJanta[[#This Row],[MOTORISTA]]&lt;&gt;0,15,"")</f>
        <v>15</v>
      </c>
      <c r="AA131" s="4" t="str">
        <f>autocompJanta[[#This Row],[CORRESP LINHA]]</f>
        <v>GOIANIA (GO) X TERESINA (PI) VIA STI</v>
      </c>
    </row>
    <row r="132" spans="3:27" ht="15" hidden="1" customHeight="1" x14ac:dyDescent="0.25">
      <c r="C132" s="129" t="s">
        <v>226</v>
      </c>
      <c r="D132" s="56" t="str">
        <f>IF(tabJanta[[#This Row],[MOTORISTA]]="","",_xlfn.CONCAT(tabJanta[[#This Row],[DATA]],"+",tabJanta[[#This Row],[MOTORISTA]]))</f>
        <v>45909+CARLOS ADRIANO DE SOUZA DO NASCIMENTO - 6222</v>
      </c>
      <c r="E132" s="56" t="str">
        <f>_xlfn.XLOOKUP(autocompJanta[[#This Row],[COMP ESCALA ATUAL]],tabE.Flux[COMP.AT. MOT A],tabE.Flux[LINHA],"NÃO",0,1)</f>
        <v>GOIANIA (GO) X SAO LUIS (MA)</v>
      </c>
      <c r="F132" s="56" t="str">
        <f>_xlfn.XLOOKUP(autocompJanta[[#This Row],[COMP ESCALA ATUAL]],tabE.Flux[COMP.AT. MOT B],tabE.Flux[LINHA],"NÃO",0,1)</f>
        <v>GOIANIA (GO) X SAO LUIS (MA)</v>
      </c>
      <c r="G132" s="61" t="str">
        <f>IF(AND(autocompJanta[[#This Row],[EXISTE MOT A AT]]="NÃO", autocompJanta[[#This Row],[EXISTE MOT B AT]]="NÃO"),"NÃO","SIM")</f>
        <v>SIM</v>
      </c>
      <c r="H132" s="57" t="str">
        <f>IF(autocompJanta[[#This Row],[EXISTE ESCALA ATUAL]]="NÃO",_xlfn.CONCAT(tabJanta[[#This Row],[DATA]]-1,"+",tabJanta[[#This Row],[MOTORISTA]]),"NÃO")</f>
        <v>NÃO</v>
      </c>
      <c r="I132" s="57" t="str">
        <f>IF(autocompJanta[[#This Row],[COMP ESCALA ANTERIOR]]="NÃO","NÃO",_xlfn.XLOOKUP(autocompJanta[[#This Row],[COMP ESCALA ANTERIOR]],tabE.Flux[COMP.AT. MOT A],tabE.Flux[LINHA],"NÃO",0,1))</f>
        <v>NÃO</v>
      </c>
      <c r="J132" s="58" t="str">
        <f>IF(autocompJanta[[#This Row],[COMP ESCALA ANTERIOR]]="NÃO","NÃO",_xlfn.XLOOKUP(autocompJanta[[#This Row],[COMP ESCALA ANTERIOR]],tabE.Flux[COMP.AT. MOT B],tabE.Flux[LINHA],"NÃO",0,1))</f>
        <v>NÃO</v>
      </c>
      <c r="K132" s="62" t="str">
        <f>IF(AND(autocompJanta[[#This Row],[EXISTE MOT A ANT]]="NÃO",autocompJanta[[#This Row],[EXISTE MOT B ANT]]="NÃO"),"NÃO","SIM")</f>
        <v>NÃO</v>
      </c>
      <c r="L132" s="59" t="str">
        <f t="shared" si="4"/>
        <v>45910+CARLOS ADRIANO DE SOUZA DO NASCIMENTO - 6222</v>
      </c>
      <c r="M132" s="59" t="str">
        <f>IF(autocompJanta[[#This Row],[COMP ESCALA POSTERIOR]]="NÃO","NÃO",_xlfn.XLOOKUP(autocompJanta[[#This Row],[COMP ESCALA POSTERIOR]],tabE.Flux[COMP.AT. MOT A],tabE.Flux[LINHA],"NÃO",0,1))</f>
        <v>NÃO</v>
      </c>
      <c r="N132" s="59" t="str">
        <f>IF(autocompJanta[[#This Row],[COMP ESCALA POSTERIOR]]="NÃO","NÃO",_xlfn.XLOOKUP(autocompJanta[[#This Row],[COMP ESCALA POSTERIOR]],tabE.Flux[COMP.AT. MOT B],tabE.Flux[LINHA],"NÃO",0,1))</f>
        <v>NÃO</v>
      </c>
      <c r="O132" s="65" t="str">
        <f>IF(AND(autocompJanta[[#This Row],[EXISTE MOT A POS]]="NÃO",autocompJanta[[#This Row],[EXISTE MOT B POS]]="NÃO"),"NÃO","SIM")</f>
        <v>NÃO</v>
      </c>
      <c r="P132" s="66" t="str" cm="1">
        <f t="array" ref="P13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32" s="103" t="str" cm="1">
        <f t="array" ref="Q13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45909+CARLOS ADRIANO DE SOUZA DO NASCIMENTO - 6222+GOIANIA (GO) X SAO LUIS (MA)</v>
      </c>
      <c r="R132" s="67">
        <f>_xlfn.XLOOKUP(autocompJanta[[#This Row],[COMP ESCALA]],tabE.Flux[COMP. ESCALA MOT B],tabE.Flux[CARRO],
(_xlfn.XLOOKUP(autocompJanta[[#This Row],[COMP ESCALA]],tabE.Flux[COMP. ESCALA MOT A],tabE.Flux[CARRO],"N/E",0,1)),0,1)</f>
        <v>24001</v>
      </c>
      <c r="S132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32" s="127">
        <v>45909</v>
      </c>
      <c r="U132" s="4">
        <f>IF(IFERROR(autocompJanta[[#This Row],[CORRESP. CARRO]],"")="NÃO",(IF(tabJanta[[#This Row],[MOTORISTA]]=0,"","PASSE?")),autocompJanta[[#This Row],[CORRESP. CARRO]])</f>
        <v>24001</v>
      </c>
      <c r="V132" s="128">
        <f>IF(OR(ISERR(autocompJanta[[#This Row],[CORRESP HORARIO]]), autocompJanta[[#This Row],[CORRESP HORARIO]]&lt;&gt;"NÃO"),autocompJanta[[#This Row],[CORRESP HORARIO]],"")</f>
        <v>0.29166666666666669</v>
      </c>
      <c r="W132" s="4" t="s">
        <v>299</v>
      </c>
      <c r="X132" s="4" t="s">
        <v>110</v>
      </c>
      <c r="Y132" s="4">
        <f>IF(tabJanta[[#This Row],[MOTORISTA]]="","",COUNTIF(autocompJanta[COMP ESCALA ATUAL],autocompJanta[[#This Row],[COMP ESCALA ATUAL]]))</f>
        <v>1</v>
      </c>
      <c r="Z132" s="45">
        <f>IF(tabJanta[[#This Row],[MOTORISTA]]&lt;&gt;0,15,"")</f>
        <v>15</v>
      </c>
      <c r="AA132" s="4" t="str">
        <f>autocompJanta[[#This Row],[CORRESP LINHA]]</f>
        <v>GOIANIA (GO) X SAO LUIS (MA)</v>
      </c>
    </row>
    <row r="133" spans="3:27" ht="15" hidden="1" customHeight="1" x14ac:dyDescent="0.25">
      <c r="C133" s="129" t="s">
        <v>226</v>
      </c>
      <c r="D133" s="56" t="str">
        <f>IF(tabJanta[[#This Row],[MOTORISTA]]="","",_xlfn.CONCAT(tabJanta[[#This Row],[DATA]],"+",tabJanta[[#This Row],[MOTORISTA]]))</f>
        <v>45909+DANIEL PEREIRA DA ROCHA - 5298</v>
      </c>
      <c r="E133" s="56" t="str">
        <f>_xlfn.XLOOKUP(autocompJanta[[#This Row],[COMP ESCALA ATUAL]],tabE.Flux[COMP.AT. MOT A],tabE.Flux[LINHA],"NÃO",0,1)</f>
        <v>NÃO</v>
      </c>
      <c r="F133" s="56" t="str">
        <f>_xlfn.XLOOKUP(autocompJanta[[#This Row],[COMP ESCALA ATUAL]],tabE.Flux[COMP.AT. MOT B],tabE.Flux[LINHA],"NÃO",0,1)</f>
        <v>FORTALEZA (CE) X SINOP (MT)</v>
      </c>
      <c r="G133" s="61" t="str">
        <f>IF(AND(autocompJanta[[#This Row],[EXISTE MOT A AT]]="NÃO", autocompJanta[[#This Row],[EXISTE MOT B AT]]="NÃO"),"NÃO","SIM")</f>
        <v>SIM</v>
      </c>
      <c r="H133" s="57" t="str">
        <f>IF(autocompJanta[[#This Row],[EXISTE ESCALA ATUAL]]="NÃO",_xlfn.CONCAT(tabJanta[[#This Row],[DATA]]-1,"+",tabJanta[[#This Row],[MOTORISTA]]),"NÃO")</f>
        <v>NÃO</v>
      </c>
      <c r="I133" s="57" t="str">
        <f>IF(autocompJanta[[#This Row],[COMP ESCALA ANTERIOR]]="NÃO","NÃO",_xlfn.XLOOKUP(autocompJanta[[#This Row],[COMP ESCALA ANTERIOR]],tabE.Flux[COMP.AT. MOT A],tabE.Flux[LINHA],"NÃO",0,1))</f>
        <v>NÃO</v>
      </c>
      <c r="J133" s="58" t="str">
        <f>IF(autocompJanta[[#This Row],[COMP ESCALA ANTERIOR]]="NÃO","NÃO",_xlfn.XLOOKUP(autocompJanta[[#This Row],[COMP ESCALA ANTERIOR]],tabE.Flux[COMP.AT. MOT B],tabE.Flux[LINHA],"NÃO",0,1))</f>
        <v>NÃO</v>
      </c>
      <c r="K133" s="62" t="str">
        <f>IF(AND(autocompJanta[[#This Row],[EXISTE MOT A ANT]]="NÃO",autocompJanta[[#This Row],[EXISTE MOT B ANT]]="NÃO"),"NÃO","SIM")</f>
        <v>NÃO</v>
      </c>
      <c r="L133" s="59" t="str">
        <f t="shared" si="4"/>
        <v>45910+DANIEL PEREIRA DA ROCHA - 5298</v>
      </c>
      <c r="M133" s="59" t="str">
        <f>IF(autocompJanta[[#This Row],[COMP ESCALA POSTERIOR]]="NÃO","NÃO",_xlfn.XLOOKUP(autocompJanta[[#This Row],[COMP ESCALA POSTERIOR]],tabE.Flux[COMP.AT. MOT A],tabE.Flux[LINHA],"NÃO",0,1))</f>
        <v>NÃO</v>
      </c>
      <c r="N133" s="59" t="str">
        <f>IF(autocompJanta[[#This Row],[COMP ESCALA POSTERIOR]]="NÃO","NÃO",_xlfn.XLOOKUP(autocompJanta[[#This Row],[COMP ESCALA POSTERIOR]],tabE.Flux[COMP.AT. MOT B],tabE.Flux[LINHA],"NÃO",0,1))</f>
        <v>NÃO</v>
      </c>
      <c r="O133" s="65" t="str">
        <f>IF(AND(autocompJanta[[#This Row],[EXISTE MOT A POS]]="NÃO",autocompJanta[[#This Row],[EXISTE MOT B POS]]="NÃO"),"NÃO","SIM")</f>
        <v>NÃO</v>
      </c>
      <c r="P133" s="66" t="str" cm="1">
        <f t="array" ref="P13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33" s="103" t="str" cm="1">
        <f t="array" ref="Q13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45909+DANIEL PEREIRA DA ROCHA - 5298+FORTALEZA (CE) X SINOP (MT)</v>
      </c>
      <c r="R133" s="67">
        <f>_xlfn.XLOOKUP(autocompJanta[[#This Row],[COMP ESCALA]],tabE.Flux[COMP. ESCALA MOT B],tabE.Flux[CARRO],
(_xlfn.XLOOKUP(autocompJanta[[#This Row],[COMP ESCALA]],tabE.Flux[COMP. ESCALA MOT A],tabE.Flux[CARRO],"N/E",0,1)),0,1)</f>
        <v>19006</v>
      </c>
      <c r="S133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33" s="127">
        <v>45909</v>
      </c>
      <c r="U133" s="4">
        <f>IF(IFERROR(autocompJanta[[#This Row],[CORRESP. CARRO]],"")="NÃO",(IF(tabJanta[[#This Row],[MOTORISTA]]=0,"","PASSE?")),autocompJanta[[#This Row],[CORRESP. CARRO]])</f>
        <v>19006</v>
      </c>
      <c r="V133" s="128">
        <f>IF(OR(ISERR(autocompJanta[[#This Row],[CORRESP HORARIO]]), autocompJanta[[#This Row],[CORRESP HORARIO]]&lt;&gt;"NÃO"),autocompJanta[[#This Row],[CORRESP HORARIO]],"")</f>
        <v>0.37708333333333333</v>
      </c>
      <c r="W133" s="4" t="s">
        <v>299</v>
      </c>
      <c r="X133" s="4" t="s">
        <v>184</v>
      </c>
      <c r="Y133" s="4">
        <f>IF(tabJanta[[#This Row],[MOTORISTA]]="","",COUNTIF(autocompJanta[COMP ESCALA ATUAL],autocompJanta[[#This Row],[COMP ESCALA ATUAL]]))</f>
        <v>1</v>
      </c>
      <c r="Z133" s="45">
        <f>IF(tabJanta[[#This Row],[MOTORISTA]]&lt;&gt;0,15,"")</f>
        <v>15</v>
      </c>
      <c r="AA133" s="4" t="str">
        <f>autocompJanta[[#This Row],[CORRESP LINHA]]</f>
        <v>FORTALEZA (CE) X SINOP (MT)</v>
      </c>
    </row>
    <row r="134" spans="3:27" ht="15" hidden="1" customHeight="1" x14ac:dyDescent="0.25">
      <c r="C134" s="129" t="s">
        <v>226</v>
      </c>
      <c r="D134" s="56" t="str">
        <f>IF(tabJanta[[#This Row],[MOTORISTA]]="","",_xlfn.CONCAT(tabJanta[[#This Row],[DATA]],"+",tabJanta[[#This Row],[MOTORISTA]]))</f>
        <v>45909+JOSE HAILTON PEREIRA DOS SANTOS - 6018</v>
      </c>
      <c r="E134" s="56" t="str">
        <f>_xlfn.XLOOKUP(autocompJanta[[#This Row],[COMP ESCALA ATUAL]],tabE.Flux[COMP.AT. MOT A],tabE.Flux[LINHA],"NÃO",0,1)</f>
        <v>NÃO</v>
      </c>
      <c r="F134" s="56" t="str">
        <f>_xlfn.XLOOKUP(autocompJanta[[#This Row],[COMP ESCALA ATUAL]],tabE.Flux[COMP.AT. MOT B],tabE.Flux[LINHA],"NÃO",0,1)</f>
        <v>NÃO</v>
      </c>
      <c r="G134" s="61" t="str">
        <f>IF(AND(autocompJanta[[#This Row],[EXISTE MOT A AT]]="NÃO", autocompJanta[[#This Row],[EXISTE MOT B AT]]="NÃO"),"NÃO","SIM")</f>
        <v>NÃO</v>
      </c>
      <c r="H134" s="57" t="str">
        <f>IF(autocompJanta[[#This Row],[EXISTE ESCALA ATUAL]]="NÃO",_xlfn.CONCAT(tabJanta[[#This Row],[DATA]]-1,"+",tabJanta[[#This Row],[MOTORISTA]]),"NÃO")</f>
        <v>45908+JOSE HAILTON PEREIRA DOS SANTOS - 6018</v>
      </c>
      <c r="I134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34" s="58" t="str">
        <f>IF(autocompJanta[[#This Row],[COMP ESCALA ANTERIOR]]="NÃO","NÃO",_xlfn.XLOOKUP(autocompJanta[[#This Row],[COMP ESCALA ANTERIOR]],tabE.Flux[COMP.AT. MOT B],tabE.Flux[LINHA],"NÃO",0,1))</f>
        <v>NÃO</v>
      </c>
      <c r="K134" s="62" t="str">
        <f>IF(AND(autocompJanta[[#This Row],[EXISTE MOT A ANT]]="NÃO",autocompJanta[[#This Row],[EXISTE MOT B ANT]]="NÃO"),"NÃO","SIM")</f>
        <v>SIM</v>
      </c>
      <c r="L134" s="59" t="str">
        <f t="shared" si="4"/>
        <v>45910+JOSE HAILTON PEREIRA DOS SANTOS - 6018</v>
      </c>
      <c r="M134" s="59" t="str">
        <f>IF(autocompJanta[[#This Row],[COMP ESCALA POSTERIOR]]="NÃO","NÃO",_xlfn.XLOOKUP(autocompJanta[[#This Row],[COMP ESCALA POSTERIOR]],tabE.Flux[COMP.AT. MOT A],tabE.Flux[LINHA],"NÃO",0,1))</f>
        <v>NÃO</v>
      </c>
      <c r="N134" s="59" t="str">
        <f>IF(autocompJanta[[#This Row],[COMP ESCALA POSTERIOR]]="NÃO","NÃO",_xlfn.XLOOKUP(autocompJanta[[#This Row],[COMP ESCALA POSTERIOR]],tabE.Flux[COMP.AT. MOT B],tabE.Flux[LINHA],"NÃO",0,1))</f>
        <v>NÃO</v>
      </c>
      <c r="O134" s="65" t="str">
        <f>IF(AND(autocompJanta[[#This Row],[EXISTE MOT A POS]]="NÃO",autocompJanta[[#This Row],[EXISTE MOT B POS]]="NÃO"),"NÃO","SIM")</f>
        <v>NÃO</v>
      </c>
      <c r="P134" s="66" t="str" cm="1">
        <f t="array" ref="P13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34" s="103" t="str" cm="1">
        <f t="array" ref="Q13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45908+JOSE HAILTON PEREIRA DOS SANTOS - 6018+GOIANIA (GO) X TERESINA (PI) VIA STI</v>
      </c>
      <c r="R134" s="67">
        <f>_xlfn.XLOOKUP(autocompJanta[[#This Row],[COMP ESCALA]],tabE.Flux[COMP. ESCALA MOT B],tabE.Flux[CARRO],
(_xlfn.XLOOKUP(autocompJanta[[#This Row],[COMP ESCALA]],tabE.Flux[COMP. ESCALA MOT A],tabE.Flux[CARRO],"N/E",0,1)),0,1)</f>
        <v>19015</v>
      </c>
      <c r="S134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34" s="127">
        <v>45909</v>
      </c>
      <c r="U134" s="4">
        <f>IF(IFERROR(autocompJanta[[#This Row],[CORRESP. CARRO]],"")="NÃO",(IF(tabJanta[[#This Row],[MOTORISTA]]=0,"","PASSE?")),autocompJanta[[#This Row],[CORRESP. CARRO]])</f>
        <v>19015</v>
      </c>
      <c r="V134" s="128">
        <f>IF(OR(ISERR(autocompJanta[[#This Row],[CORRESP HORARIO]]), autocompJanta[[#This Row],[CORRESP HORARIO]]&lt;&gt;"NÃO"),autocompJanta[[#This Row],[CORRESP HORARIO]],"")</f>
        <v>0.79861111111111116</v>
      </c>
      <c r="W134" s="4" t="s">
        <v>299</v>
      </c>
      <c r="X134" s="4" t="s">
        <v>141</v>
      </c>
      <c r="Y134" s="4">
        <f>IF(tabJanta[[#This Row],[MOTORISTA]]="","",COUNTIF(autocompJanta[COMP ESCALA ATUAL],autocompJanta[[#This Row],[COMP ESCALA ATUAL]]))</f>
        <v>1</v>
      </c>
      <c r="Z134" s="45">
        <f>IF(tabJanta[[#This Row],[MOTORISTA]]&lt;&gt;0,15,"")</f>
        <v>15</v>
      </c>
      <c r="AA134" s="4" t="str">
        <f>autocompJanta[[#This Row],[CORRESP LINHA]]</f>
        <v>GOIANIA (GO) X TERESINA (PI) VIA STI</v>
      </c>
    </row>
    <row r="135" spans="3:27" ht="15" hidden="1" customHeight="1" x14ac:dyDescent="0.25">
      <c r="C135" s="129" t="s">
        <v>226</v>
      </c>
      <c r="D135" s="56" t="str">
        <f>IF(tabJanta[[#This Row],[MOTORISTA]]="","",_xlfn.CONCAT(tabJanta[[#This Row],[DATA]],"+",tabJanta[[#This Row],[MOTORISTA]]))</f>
        <v>45909+MARCIO RODRIGUES DA COSTA - 5993</v>
      </c>
      <c r="E135" s="56" t="str">
        <f>_xlfn.XLOOKUP(autocompJanta[[#This Row],[COMP ESCALA ATUAL]],tabE.Flux[COMP.AT. MOT A],tabE.Flux[LINHA],"NÃO",0,1)</f>
        <v>NÃO</v>
      </c>
      <c r="F135" s="56" t="str">
        <f>_xlfn.XLOOKUP(autocompJanta[[#This Row],[COMP ESCALA ATUAL]],tabE.Flux[COMP.AT. MOT B],tabE.Flux[LINHA],"NÃO",0,1)</f>
        <v>GOIANIA (GO) X SAO LUIS (MA)</v>
      </c>
      <c r="G135" s="61" t="str">
        <f>IF(AND(autocompJanta[[#This Row],[EXISTE MOT A AT]]="NÃO", autocompJanta[[#This Row],[EXISTE MOT B AT]]="NÃO"),"NÃO","SIM")</f>
        <v>SIM</v>
      </c>
      <c r="H135" s="57" t="str">
        <f>IF(autocompJanta[[#This Row],[EXISTE ESCALA ATUAL]]="NÃO",_xlfn.CONCAT(tabJanta[[#This Row],[DATA]]-1,"+",tabJanta[[#This Row],[MOTORISTA]]),"NÃO")</f>
        <v>NÃO</v>
      </c>
      <c r="I135" s="57" t="str">
        <f>IF(autocompJanta[[#This Row],[COMP ESCALA ANTERIOR]]="NÃO","NÃO",_xlfn.XLOOKUP(autocompJanta[[#This Row],[COMP ESCALA ANTERIOR]],tabE.Flux[COMP.AT. MOT A],tabE.Flux[LINHA],"NÃO",0,1))</f>
        <v>NÃO</v>
      </c>
      <c r="J135" s="58" t="str">
        <f>IF(autocompJanta[[#This Row],[COMP ESCALA ANTERIOR]]="NÃO","NÃO",_xlfn.XLOOKUP(autocompJanta[[#This Row],[COMP ESCALA ANTERIOR]],tabE.Flux[COMP.AT. MOT B],tabE.Flux[LINHA],"NÃO",0,1))</f>
        <v>NÃO</v>
      </c>
      <c r="K135" s="62" t="str">
        <f>IF(AND(autocompJanta[[#This Row],[EXISTE MOT A ANT]]="NÃO",autocompJanta[[#This Row],[EXISTE MOT B ANT]]="NÃO"),"NÃO","SIM")</f>
        <v>NÃO</v>
      </c>
      <c r="L135" s="59" t="str">
        <f t="shared" si="4"/>
        <v>45910+MARCIO RODRIGUES DA COSTA - 5993</v>
      </c>
      <c r="M135" s="59" t="str">
        <f>IF(autocompJanta[[#This Row],[COMP ESCALA POSTERIOR]]="NÃO","NÃO",_xlfn.XLOOKUP(autocompJanta[[#This Row],[COMP ESCALA POSTERIOR]],tabE.Flux[COMP.AT. MOT A],tabE.Flux[LINHA],"NÃO",0,1))</f>
        <v>NÃO</v>
      </c>
      <c r="N135" s="59" t="str">
        <f>IF(autocompJanta[[#This Row],[COMP ESCALA POSTERIOR]]="NÃO","NÃO",_xlfn.XLOOKUP(autocompJanta[[#This Row],[COMP ESCALA POSTERIOR]],tabE.Flux[COMP.AT. MOT B],tabE.Flux[LINHA],"NÃO",0,1))</f>
        <v>NÃO</v>
      </c>
      <c r="O135" s="65" t="str">
        <f>IF(AND(autocompJanta[[#This Row],[EXISTE MOT A POS]]="NÃO",autocompJanta[[#This Row],[EXISTE MOT B POS]]="NÃO"),"NÃO","SIM")</f>
        <v>NÃO</v>
      </c>
      <c r="P135" s="66" t="str" cm="1">
        <f t="array" ref="P13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35" s="103" t="str" cm="1">
        <f t="array" ref="Q13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45909+MARCIO RODRIGUES DA COSTA - 5993+GOIANIA (GO) X SAO LUIS (MA)</v>
      </c>
      <c r="R135" s="67">
        <f>_xlfn.XLOOKUP(autocompJanta[[#This Row],[COMP ESCALA]],tabE.Flux[COMP. ESCALA MOT B],tabE.Flux[CARRO],
(_xlfn.XLOOKUP(autocompJanta[[#This Row],[COMP ESCALA]],tabE.Flux[COMP. ESCALA MOT A],tabE.Flux[CARRO],"N/E",0,1)),0,1)</f>
        <v>24015</v>
      </c>
      <c r="S135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35" s="127">
        <v>45909</v>
      </c>
      <c r="U135" s="4">
        <f>IF(IFERROR(autocompJanta[[#This Row],[CORRESP. CARRO]],"")="NÃO",(IF(tabJanta[[#This Row],[MOTORISTA]]=0,"","PASSE?")),autocompJanta[[#This Row],[CORRESP. CARRO]])</f>
        <v>24015</v>
      </c>
      <c r="V135" s="128">
        <f>IF(OR(ISERR(autocompJanta[[#This Row],[CORRESP HORARIO]]), autocompJanta[[#This Row],[CORRESP HORARIO]]&lt;&gt;"NÃO"),autocompJanta[[#This Row],[CORRESP HORARIO]],"")</f>
        <v>0.79166666666666663</v>
      </c>
      <c r="W135" s="4" t="s">
        <v>299</v>
      </c>
      <c r="X135" s="4" t="s">
        <v>107</v>
      </c>
      <c r="Y135" s="4">
        <f>IF(tabJanta[[#This Row],[MOTORISTA]]="","",COUNTIF(autocompJanta[COMP ESCALA ATUAL],autocompJanta[[#This Row],[COMP ESCALA ATUAL]]))</f>
        <v>1</v>
      </c>
      <c r="Z135" s="45">
        <f>IF(tabJanta[[#This Row],[MOTORISTA]]&lt;&gt;0,15,"")</f>
        <v>15</v>
      </c>
      <c r="AA135" s="4" t="str">
        <f>autocompJanta[[#This Row],[CORRESP LINHA]]</f>
        <v>GOIANIA (GO) X SAO LUIS (MA)</v>
      </c>
    </row>
    <row r="136" spans="3:27" ht="15" hidden="1" customHeight="1" x14ac:dyDescent="0.25">
      <c r="C136" s="129" t="s">
        <v>226</v>
      </c>
      <c r="D136" s="56" t="str">
        <f>IF(tabJanta[[#This Row],[MOTORISTA]]="","",_xlfn.CONCAT(tabJanta[[#This Row],[DATA]],"+",tabJanta[[#This Row],[MOTORISTA]]))</f>
        <v>45910+KAYLSON KLEYTON DA SILVA COSTA - 6224</v>
      </c>
      <c r="E136" s="56" t="str">
        <f>_xlfn.XLOOKUP(autocompJanta[[#This Row],[COMP ESCALA ATUAL]],tabE.Flux[COMP.AT. MOT A],tabE.Flux[LINHA],"NÃO",0,1)</f>
        <v>NÃO</v>
      </c>
      <c r="F136" s="56" t="str">
        <f>_xlfn.XLOOKUP(autocompJanta[[#This Row],[COMP ESCALA ATUAL]],tabE.Flux[COMP.AT. MOT B],tabE.Flux[LINHA],"NÃO",0,1)</f>
        <v>GOIANIA (GO) X SAO LUIS (MA)</v>
      </c>
      <c r="G136" s="61" t="str">
        <f>IF(AND(autocompJanta[[#This Row],[EXISTE MOT A AT]]="NÃO", autocompJanta[[#This Row],[EXISTE MOT B AT]]="NÃO"),"NÃO","SIM")</f>
        <v>SIM</v>
      </c>
      <c r="H136" s="57" t="str">
        <f>IF(autocompJanta[[#This Row],[EXISTE ESCALA ATUAL]]="NÃO",_xlfn.CONCAT(tabJanta[[#This Row],[DATA]]-1,"+",tabJanta[[#This Row],[MOTORISTA]]),"NÃO")</f>
        <v>NÃO</v>
      </c>
      <c r="I136" s="57" t="str">
        <f>IF(autocompJanta[[#This Row],[COMP ESCALA ANTERIOR]]="NÃO","NÃO",_xlfn.XLOOKUP(autocompJanta[[#This Row],[COMP ESCALA ANTERIOR]],tabE.Flux[COMP.AT. MOT A],tabE.Flux[LINHA],"NÃO",0,1))</f>
        <v>NÃO</v>
      </c>
      <c r="J136" s="58" t="str">
        <f>IF(autocompJanta[[#This Row],[COMP ESCALA ANTERIOR]]="NÃO","NÃO",_xlfn.XLOOKUP(autocompJanta[[#This Row],[COMP ESCALA ANTERIOR]],tabE.Flux[COMP.AT. MOT B],tabE.Flux[LINHA],"NÃO",0,1))</f>
        <v>NÃO</v>
      </c>
      <c r="K136" s="62" t="str">
        <f>IF(AND(autocompJanta[[#This Row],[EXISTE MOT A ANT]]="NÃO",autocompJanta[[#This Row],[EXISTE MOT B ANT]]="NÃO"),"NÃO","SIM")</f>
        <v>NÃO</v>
      </c>
      <c r="L136" s="59" t="str">
        <f t="shared" si="4"/>
        <v>45911+KAYLSON KLEYTON DA SILVA COSTA - 6224</v>
      </c>
      <c r="M136" s="59" t="str">
        <f>IF(autocompJanta[[#This Row],[COMP ESCALA POSTERIOR]]="NÃO","NÃO",_xlfn.XLOOKUP(autocompJanta[[#This Row],[COMP ESCALA POSTERIOR]],tabE.Flux[COMP.AT. MOT A],tabE.Flux[LINHA],"NÃO",0,1))</f>
        <v>NÃO</v>
      </c>
      <c r="N136" s="59" t="str">
        <f>IF(autocompJanta[[#This Row],[COMP ESCALA POSTERIOR]]="NÃO","NÃO",_xlfn.XLOOKUP(autocompJanta[[#This Row],[COMP ESCALA POSTERIOR]],tabE.Flux[COMP.AT. MOT B],tabE.Flux[LINHA],"NÃO",0,1))</f>
        <v>NÃO</v>
      </c>
      <c r="O136" s="65" t="str">
        <f>IF(AND(autocompJanta[[#This Row],[EXISTE MOT A POS]]="NÃO",autocompJanta[[#This Row],[EXISTE MOT B POS]]="NÃO"),"NÃO","SIM")</f>
        <v>NÃO</v>
      </c>
      <c r="P136" s="66" t="str" cm="1">
        <f t="array" ref="P13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36" s="103" t="str" cm="1">
        <f t="array" ref="Q13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45910+KAYLSON KLEYTON DA SILVA COSTA - 6224+GOIANIA (GO) X SAO LUIS (MA)</v>
      </c>
      <c r="R136" s="67">
        <f>_xlfn.XLOOKUP(autocompJanta[[#This Row],[COMP ESCALA]],tabE.Flux[COMP. ESCALA MOT B],tabE.Flux[CARRO],
(_xlfn.XLOOKUP(autocompJanta[[#This Row],[COMP ESCALA]],tabE.Flux[COMP. ESCALA MOT A],tabE.Flux[CARRO],"N/E",0,1)),0,1)</f>
        <v>19011</v>
      </c>
      <c r="S136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36" s="127">
        <v>45910</v>
      </c>
      <c r="U136" s="4">
        <f>IF(IFERROR(autocompJanta[[#This Row],[CORRESP. CARRO]],"")="NÃO",(IF(tabJanta[[#This Row],[MOTORISTA]]=0,"","PASSE?")),autocompJanta[[#This Row],[CORRESP. CARRO]])</f>
        <v>19011</v>
      </c>
      <c r="V136" s="128">
        <f>IF(OR(ISERR(autocompJanta[[#This Row],[CORRESP HORARIO]]), autocompJanta[[#This Row],[CORRESP HORARIO]]&lt;&gt;"NÃO"),autocompJanta[[#This Row],[CORRESP HORARIO]],"")</f>
        <v>0.47013888888888888</v>
      </c>
      <c r="W136" s="4" t="s">
        <v>299</v>
      </c>
      <c r="X136" s="4" t="s">
        <v>80</v>
      </c>
      <c r="Y136" s="4">
        <f>IF(tabJanta[[#This Row],[MOTORISTA]]="","",COUNTIF(autocompJanta[COMP ESCALA ATUAL],autocompJanta[[#This Row],[COMP ESCALA ATUAL]]))</f>
        <v>1</v>
      </c>
      <c r="Z136" s="45">
        <f>IF(tabJanta[[#This Row],[MOTORISTA]]&lt;&gt;0,15,"")</f>
        <v>15</v>
      </c>
      <c r="AA136" s="4" t="str">
        <f>autocompJanta[[#This Row],[CORRESP LINHA]]</f>
        <v>GOIANIA (GO) X SAO LUIS (MA)</v>
      </c>
    </row>
    <row r="137" spans="3:27" ht="15" hidden="1" customHeight="1" x14ac:dyDescent="0.25">
      <c r="C137" s="129" t="s">
        <v>226</v>
      </c>
      <c r="D137" s="56" t="str">
        <f>IF(tabJanta[[#This Row],[MOTORISTA]]="","",_xlfn.CONCAT(tabJanta[[#This Row],[DATA]],"+",tabJanta[[#This Row],[MOTORISTA]]))</f>
        <v>45910+JOSE POLICARPO DE SOUSA NETO - 1472</v>
      </c>
      <c r="E137" s="56" t="str">
        <f>_xlfn.XLOOKUP(autocompJanta[[#This Row],[COMP ESCALA ATUAL]],tabE.Flux[COMP.AT. MOT A],tabE.Flux[LINHA],"NÃO",0,1)</f>
        <v>NÃO</v>
      </c>
      <c r="F137" s="56" t="str">
        <f>_xlfn.XLOOKUP(autocompJanta[[#This Row],[COMP ESCALA ATUAL]],tabE.Flux[COMP.AT. MOT B],tabE.Flux[LINHA],"NÃO",0,1)</f>
        <v>NÃO</v>
      </c>
      <c r="G137" s="61" t="str">
        <f>IF(AND(autocompJanta[[#This Row],[EXISTE MOT A AT]]="NÃO", autocompJanta[[#This Row],[EXISTE MOT B AT]]="NÃO"),"NÃO","SIM")</f>
        <v>NÃO</v>
      </c>
      <c r="H137" s="57" t="str">
        <f>IF(autocompJanta[[#This Row],[EXISTE ESCALA ATUAL]]="NÃO",_xlfn.CONCAT(tabJanta[[#This Row],[DATA]]-1,"+",tabJanta[[#This Row],[MOTORISTA]]),"NÃO")</f>
        <v>45909+JOSE POLICARPO DE SOUSA NETO - 1472</v>
      </c>
      <c r="I137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37" s="58" t="str">
        <f>IF(autocompJanta[[#This Row],[COMP ESCALA ANTERIOR]]="NÃO","NÃO",_xlfn.XLOOKUP(autocompJanta[[#This Row],[COMP ESCALA ANTERIOR]],tabE.Flux[COMP.AT. MOT B],tabE.Flux[LINHA],"NÃO",0,1))</f>
        <v>NÃO</v>
      </c>
      <c r="K137" s="62" t="str">
        <f>IF(AND(autocompJanta[[#This Row],[EXISTE MOT A ANT]]="NÃO",autocompJanta[[#This Row],[EXISTE MOT B ANT]]="NÃO"),"NÃO","SIM")</f>
        <v>SIM</v>
      </c>
      <c r="L137" s="59" t="str">
        <f t="shared" si="4"/>
        <v>45911+JOSE POLICARPO DE SOUSA NETO - 1472</v>
      </c>
      <c r="M137" s="59" t="str">
        <f>IF(autocompJanta[[#This Row],[COMP ESCALA POSTERIOR]]="NÃO","NÃO",_xlfn.XLOOKUP(autocompJanta[[#This Row],[COMP ESCALA POSTERIOR]],tabE.Flux[COMP.AT. MOT A],tabE.Flux[LINHA],"NÃO",0,1))</f>
        <v>NÃO</v>
      </c>
      <c r="N137" s="59" t="str">
        <f>IF(autocompJanta[[#This Row],[COMP ESCALA POSTERIOR]]="NÃO","NÃO",_xlfn.XLOOKUP(autocompJanta[[#This Row],[COMP ESCALA POSTERIOR]],tabE.Flux[COMP.AT. MOT B],tabE.Flux[LINHA],"NÃO",0,1))</f>
        <v>NÃO</v>
      </c>
      <c r="O137" s="65" t="str">
        <f>IF(AND(autocompJanta[[#This Row],[EXISTE MOT A POS]]="NÃO",autocompJanta[[#This Row],[EXISTE MOT B POS]]="NÃO"),"NÃO","SIM")</f>
        <v>NÃO</v>
      </c>
      <c r="P137" s="66" t="str" cm="1">
        <f t="array" ref="P13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37" s="103" t="str" cm="1">
        <f t="array" ref="Q13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45909+JOSE POLICARPO DE SOUSA NETO - 1472+GOIANIA (GO) X TERESINA (PI) VIA STI</v>
      </c>
      <c r="R137" s="67">
        <f>_xlfn.XLOOKUP(autocompJanta[[#This Row],[COMP ESCALA]],tabE.Flux[COMP. ESCALA MOT B],tabE.Flux[CARRO],
(_xlfn.XLOOKUP(autocompJanta[[#This Row],[COMP ESCALA]],tabE.Flux[COMP. ESCALA MOT A],tabE.Flux[CARRO],"N/E",0,1)),0,1)</f>
        <v>19016</v>
      </c>
      <c r="S137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37" s="127">
        <v>45910</v>
      </c>
      <c r="U137" s="4">
        <f>IF(IFERROR(autocompJanta[[#This Row],[CORRESP. CARRO]],"")="NÃO",(IF(tabJanta[[#This Row],[MOTORISTA]]=0,"","PASSE?")),autocompJanta[[#This Row],[CORRESP. CARRO]])</f>
        <v>19016</v>
      </c>
      <c r="V137" s="128">
        <f>IF(OR(ISERR(autocompJanta[[#This Row],[CORRESP HORARIO]]), autocompJanta[[#This Row],[CORRESP HORARIO]]&lt;&gt;"NÃO"),autocompJanta[[#This Row],[CORRESP HORARIO]],"")</f>
        <v>0.79861111111111116</v>
      </c>
      <c r="W137" s="4" t="s">
        <v>299</v>
      </c>
      <c r="X137" s="4" t="s">
        <v>54</v>
      </c>
      <c r="Y137" s="4">
        <f>IF(tabJanta[[#This Row],[MOTORISTA]]="","",COUNTIF(autocompJanta[COMP ESCALA ATUAL],autocompJanta[[#This Row],[COMP ESCALA ATUAL]]))</f>
        <v>1</v>
      </c>
      <c r="Z137" s="45">
        <f>IF(tabJanta[[#This Row],[MOTORISTA]]&lt;&gt;0,15,"")</f>
        <v>15</v>
      </c>
      <c r="AA137" s="4" t="str">
        <f>autocompJanta[[#This Row],[CORRESP LINHA]]</f>
        <v>GOIANIA (GO) X TERESINA (PI) VIA STI</v>
      </c>
    </row>
    <row r="138" spans="3:27" ht="15" hidden="1" customHeight="1" x14ac:dyDescent="0.25">
      <c r="C138" s="129" t="s">
        <v>226</v>
      </c>
      <c r="D138" s="56" t="str">
        <f>IF(tabJanta[[#This Row],[MOTORISTA]]="","",_xlfn.CONCAT(tabJanta[[#This Row],[DATA]],"+",tabJanta[[#This Row],[MOTORISTA]]))</f>
        <v>45910+PAULO ENEAS FARIAS ARAUJO - 6218</v>
      </c>
      <c r="E138" s="56" t="str">
        <f>_xlfn.XLOOKUP(autocompJanta[[#This Row],[COMP ESCALA ATUAL]],tabE.Flux[COMP.AT. MOT A],tabE.Flux[LINHA],"NÃO",0,1)</f>
        <v>GOIANIA (GO) X SAO LUIS (MA)</v>
      </c>
      <c r="F138" s="56" t="str">
        <f>_xlfn.XLOOKUP(autocompJanta[[#This Row],[COMP ESCALA ATUAL]],tabE.Flux[COMP.AT. MOT B],tabE.Flux[LINHA],"NÃO",0,1)</f>
        <v>GOIANIA (GO) X SAO LUIS (MA)</v>
      </c>
      <c r="G138" s="61" t="str">
        <f>IF(AND(autocompJanta[[#This Row],[EXISTE MOT A AT]]="NÃO", autocompJanta[[#This Row],[EXISTE MOT B AT]]="NÃO"),"NÃO","SIM")</f>
        <v>SIM</v>
      </c>
      <c r="H138" s="57" t="str">
        <f>IF(autocompJanta[[#This Row],[EXISTE ESCALA ATUAL]]="NÃO",_xlfn.CONCAT(tabJanta[[#This Row],[DATA]]-1,"+",tabJanta[[#This Row],[MOTORISTA]]),"NÃO")</f>
        <v>NÃO</v>
      </c>
      <c r="I138" s="57" t="str">
        <f>IF(autocompJanta[[#This Row],[COMP ESCALA ANTERIOR]]="NÃO","NÃO",_xlfn.XLOOKUP(autocompJanta[[#This Row],[COMP ESCALA ANTERIOR]],tabE.Flux[COMP.AT. MOT A],tabE.Flux[LINHA],"NÃO",0,1))</f>
        <v>NÃO</v>
      </c>
      <c r="J138" s="58" t="str">
        <f>IF(autocompJanta[[#This Row],[COMP ESCALA ANTERIOR]]="NÃO","NÃO",_xlfn.XLOOKUP(autocompJanta[[#This Row],[COMP ESCALA ANTERIOR]],tabE.Flux[COMP.AT. MOT B],tabE.Flux[LINHA],"NÃO",0,1))</f>
        <v>NÃO</v>
      </c>
      <c r="K138" s="62" t="str">
        <f>IF(AND(autocompJanta[[#This Row],[EXISTE MOT A ANT]]="NÃO",autocompJanta[[#This Row],[EXISTE MOT B ANT]]="NÃO"),"NÃO","SIM")</f>
        <v>NÃO</v>
      </c>
      <c r="L138" s="59" t="str">
        <f t="shared" si="4"/>
        <v>45911+PAULO ENEAS FARIAS ARAUJO - 6218</v>
      </c>
      <c r="M138" s="59" t="str">
        <f>IF(autocompJanta[[#This Row],[COMP ESCALA POSTERIOR]]="NÃO","NÃO",_xlfn.XLOOKUP(autocompJanta[[#This Row],[COMP ESCALA POSTERIOR]],tabE.Flux[COMP.AT. MOT A],tabE.Flux[LINHA],"NÃO",0,1))</f>
        <v>NÃO</v>
      </c>
      <c r="N138" s="59" t="str">
        <f>IF(autocompJanta[[#This Row],[COMP ESCALA POSTERIOR]]="NÃO","NÃO",_xlfn.XLOOKUP(autocompJanta[[#This Row],[COMP ESCALA POSTERIOR]],tabE.Flux[COMP.AT. MOT B],tabE.Flux[LINHA],"NÃO",0,1))</f>
        <v>NÃO</v>
      </c>
      <c r="O138" s="65" t="str">
        <f>IF(AND(autocompJanta[[#This Row],[EXISTE MOT A POS]]="NÃO",autocompJanta[[#This Row],[EXISTE MOT B POS]]="NÃO"),"NÃO","SIM")</f>
        <v>NÃO</v>
      </c>
      <c r="P138" s="66" t="str" cm="1">
        <f t="array" ref="P13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38" s="103" t="str" cm="1">
        <f t="array" ref="Q13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45910+PAULO ENEAS FARIAS ARAUJO - 6218+GOIANIA (GO) X SAO LUIS (MA)</v>
      </c>
      <c r="R138" s="67">
        <f>_xlfn.XLOOKUP(autocompJanta[[#This Row],[COMP ESCALA]],tabE.Flux[COMP. ESCALA MOT B],tabE.Flux[CARRO],
(_xlfn.XLOOKUP(autocompJanta[[#This Row],[COMP ESCALA]],tabE.Flux[COMP. ESCALA MOT A],tabE.Flux[CARRO],"N/E",0,1)),0,1)</f>
        <v>24013</v>
      </c>
      <c r="S138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38" s="127">
        <v>45910</v>
      </c>
      <c r="U138" s="4">
        <f>IF(IFERROR(autocompJanta[[#This Row],[CORRESP. CARRO]],"")="NÃO",(IF(tabJanta[[#This Row],[MOTORISTA]]=0,"","PASSE?")),autocompJanta[[#This Row],[CORRESP. CARRO]])</f>
        <v>24013</v>
      </c>
      <c r="V138" s="128">
        <f>IF(OR(ISERR(autocompJanta[[#This Row],[CORRESP HORARIO]]), autocompJanta[[#This Row],[CORRESP HORARIO]]&lt;&gt;"NÃO"),autocompJanta[[#This Row],[CORRESP HORARIO]],"")</f>
        <v>0.29166666666666669</v>
      </c>
      <c r="W138" s="4" t="s">
        <v>299</v>
      </c>
      <c r="X138" s="4" t="s">
        <v>43</v>
      </c>
      <c r="Y138" s="4">
        <f>IF(tabJanta[[#This Row],[MOTORISTA]]="","",COUNTIF(autocompJanta[COMP ESCALA ATUAL],autocompJanta[[#This Row],[COMP ESCALA ATUAL]]))</f>
        <v>1</v>
      </c>
      <c r="Z138" s="45">
        <f>IF(tabJanta[[#This Row],[MOTORISTA]]&lt;&gt;0,15,"")</f>
        <v>15</v>
      </c>
      <c r="AA138" s="4" t="str">
        <f>autocompJanta[[#This Row],[CORRESP LINHA]]</f>
        <v>GOIANIA (GO) X SAO LUIS (MA)</v>
      </c>
    </row>
    <row r="139" spans="3:27" ht="15" hidden="1" customHeight="1" x14ac:dyDescent="0.25">
      <c r="C139" s="129" t="s">
        <v>226</v>
      </c>
      <c r="D139" s="56" t="str">
        <f>IF(tabJanta[[#This Row],[MOTORISTA]]="","",_xlfn.CONCAT(tabJanta[[#This Row],[DATA]],"+",tabJanta[[#This Row],[MOTORISTA]]))</f>
        <v>45910+MARCOS ATAIDE SILVA - 1352</v>
      </c>
      <c r="E139" s="56" t="str">
        <f>_xlfn.XLOOKUP(autocompJanta[[#This Row],[COMP ESCALA ATUAL]],tabE.Flux[COMP.AT. MOT A],tabE.Flux[LINHA],"NÃO",0,1)</f>
        <v>NÃO</v>
      </c>
      <c r="F139" s="56" t="str">
        <f>_xlfn.XLOOKUP(autocompJanta[[#This Row],[COMP ESCALA ATUAL]],tabE.Flux[COMP.AT. MOT B],tabE.Flux[LINHA],"NÃO",0,1)</f>
        <v>GOIANIA (GO) X SAO LUIS (MA)</v>
      </c>
      <c r="G139" s="61" t="str">
        <f>IF(AND(autocompJanta[[#This Row],[EXISTE MOT A AT]]="NÃO", autocompJanta[[#This Row],[EXISTE MOT B AT]]="NÃO"),"NÃO","SIM")</f>
        <v>SIM</v>
      </c>
      <c r="H139" s="57" t="str">
        <f>IF(autocompJanta[[#This Row],[EXISTE ESCALA ATUAL]]="NÃO",_xlfn.CONCAT(tabJanta[[#This Row],[DATA]]-1,"+",tabJanta[[#This Row],[MOTORISTA]]),"NÃO")</f>
        <v>NÃO</v>
      </c>
      <c r="I139" s="57" t="str">
        <f>IF(autocompJanta[[#This Row],[COMP ESCALA ANTERIOR]]="NÃO","NÃO",_xlfn.XLOOKUP(autocompJanta[[#This Row],[COMP ESCALA ANTERIOR]],tabE.Flux[COMP.AT. MOT A],tabE.Flux[LINHA],"NÃO",0,1))</f>
        <v>NÃO</v>
      </c>
      <c r="J139" s="58" t="str">
        <f>IF(autocompJanta[[#This Row],[COMP ESCALA ANTERIOR]]="NÃO","NÃO",_xlfn.XLOOKUP(autocompJanta[[#This Row],[COMP ESCALA ANTERIOR]],tabE.Flux[COMP.AT. MOT B],tabE.Flux[LINHA],"NÃO",0,1))</f>
        <v>NÃO</v>
      </c>
      <c r="K139" s="62" t="str">
        <f>IF(AND(autocompJanta[[#This Row],[EXISTE MOT A ANT]]="NÃO",autocompJanta[[#This Row],[EXISTE MOT B ANT]]="NÃO"),"NÃO","SIM")</f>
        <v>NÃO</v>
      </c>
      <c r="L139" s="59" t="str">
        <f t="shared" si="4"/>
        <v>45911+MARCOS ATAIDE SILVA - 1352</v>
      </c>
      <c r="M139" s="59" t="str">
        <f>IF(autocompJanta[[#This Row],[COMP ESCALA POSTERIOR]]="NÃO","NÃO",_xlfn.XLOOKUP(autocompJanta[[#This Row],[COMP ESCALA POSTERIOR]],tabE.Flux[COMP.AT. MOT A],tabE.Flux[LINHA],"NÃO",0,1))</f>
        <v>NÃO</v>
      </c>
      <c r="N139" s="59" t="str">
        <f>IF(autocompJanta[[#This Row],[COMP ESCALA POSTERIOR]]="NÃO","NÃO",_xlfn.XLOOKUP(autocompJanta[[#This Row],[COMP ESCALA POSTERIOR]],tabE.Flux[COMP.AT. MOT B],tabE.Flux[LINHA],"NÃO",0,1))</f>
        <v>NÃO</v>
      </c>
      <c r="O139" s="65" t="str">
        <f>IF(AND(autocompJanta[[#This Row],[EXISTE MOT A POS]]="NÃO",autocompJanta[[#This Row],[EXISTE MOT B POS]]="NÃO"),"NÃO","SIM")</f>
        <v>NÃO</v>
      </c>
      <c r="P139" s="66" t="str" cm="1">
        <f t="array" ref="P13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39" s="103" t="str" cm="1">
        <f t="array" ref="Q13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45910+MARCOS ATAIDE SILVA - 1352+GOIANIA (GO) X SAO LUIS (MA)</v>
      </c>
      <c r="R139" s="67">
        <f>_xlfn.XLOOKUP(autocompJanta[[#This Row],[COMP ESCALA]],tabE.Flux[COMP. ESCALA MOT B],tabE.Flux[CARRO],
(_xlfn.XLOOKUP(autocompJanta[[#This Row],[COMP ESCALA]],tabE.Flux[COMP. ESCALA MOT A],tabE.Flux[CARRO],"N/E",0,1)),0,1)</f>
        <v>24001</v>
      </c>
      <c r="S139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39" s="127">
        <v>45910</v>
      </c>
      <c r="U139" s="4">
        <f>IF(IFERROR(autocompJanta[[#This Row],[CORRESP. CARRO]],"")="NÃO",(IF(tabJanta[[#This Row],[MOTORISTA]]=0,"","PASSE?")),autocompJanta[[#This Row],[CORRESP. CARRO]])</f>
        <v>24001</v>
      </c>
      <c r="V139" s="128">
        <f>IF(OR(ISERR(autocompJanta[[#This Row],[CORRESP HORARIO]]), autocompJanta[[#This Row],[CORRESP HORARIO]]&lt;&gt;"NÃO"),autocompJanta[[#This Row],[CORRESP HORARIO]],"")</f>
        <v>0.79166666666666663</v>
      </c>
      <c r="W139" s="4" t="s">
        <v>299</v>
      </c>
      <c r="X139" s="4" t="s">
        <v>113</v>
      </c>
      <c r="Y139" s="4">
        <f>IF(tabJanta[[#This Row],[MOTORISTA]]="","",COUNTIF(autocompJanta[COMP ESCALA ATUAL],autocompJanta[[#This Row],[COMP ESCALA ATUAL]]))</f>
        <v>1</v>
      </c>
      <c r="Z139" s="45">
        <f>IF(tabJanta[[#This Row],[MOTORISTA]]&lt;&gt;0,15,"")</f>
        <v>15</v>
      </c>
      <c r="AA139" s="4" t="str">
        <f>autocompJanta[[#This Row],[CORRESP LINHA]]</f>
        <v>GOIANIA (GO) X SAO LUIS (MA)</v>
      </c>
    </row>
    <row r="140" spans="3:27" ht="15" hidden="1" customHeight="1" x14ac:dyDescent="0.25">
      <c r="C140" s="129" t="s">
        <v>226</v>
      </c>
      <c r="D140" s="56" t="str">
        <f>IF(tabJanta[[#This Row],[MOTORISTA]]="","",_xlfn.CONCAT(tabJanta[[#This Row],[DATA]],"+",tabJanta[[#This Row],[MOTORISTA]]))</f>
        <v>45910+ANTONIO RAMIRO WEBER - 5452</v>
      </c>
      <c r="E140" s="56" t="str">
        <f>_xlfn.XLOOKUP(autocompJanta[[#This Row],[COMP ESCALA ATUAL]],tabE.Flux[COMP.AT. MOT A],tabE.Flux[LINHA],"NÃO",0,1)</f>
        <v>GOIANIA (GO) X TERESINA (PI) VIA STI</v>
      </c>
      <c r="F140" s="56" t="str">
        <f>_xlfn.XLOOKUP(autocompJanta[[#This Row],[COMP ESCALA ATUAL]],tabE.Flux[COMP.AT. MOT B],tabE.Flux[LINHA],"NÃO",0,1)</f>
        <v>NÃO</v>
      </c>
      <c r="G140" s="61" t="str">
        <f>IF(AND(autocompJanta[[#This Row],[EXISTE MOT A AT]]="NÃO", autocompJanta[[#This Row],[EXISTE MOT B AT]]="NÃO"),"NÃO","SIM")</f>
        <v>SIM</v>
      </c>
      <c r="H140" s="57" t="str">
        <f>IF(autocompJanta[[#This Row],[EXISTE ESCALA ATUAL]]="NÃO",_xlfn.CONCAT(tabJanta[[#This Row],[DATA]]-1,"+",tabJanta[[#This Row],[MOTORISTA]]),"NÃO")</f>
        <v>NÃO</v>
      </c>
      <c r="I140" s="57" t="str">
        <f>IF(autocompJanta[[#This Row],[COMP ESCALA ANTERIOR]]="NÃO","NÃO",_xlfn.XLOOKUP(autocompJanta[[#This Row],[COMP ESCALA ANTERIOR]],tabE.Flux[COMP.AT. MOT A],tabE.Flux[LINHA],"NÃO",0,1))</f>
        <v>NÃO</v>
      </c>
      <c r="J140" s="58" t="str">
        <f>IF(autocompJanta[[#This Row],[COMP ESCALA ANTERIOR]]="NÃO","NÃO",_xlfn.XLOOKUP(autocompJanta[[#This Row],[COMP ESCALA ANTERIOR]],tabE.Flux[COMP.AT. MOT B],tabE.Flux[LINHA],"NÃO",0,1))</f>
        <v>NÃO</v>
      </c>
      <c r="K140" s="62" t="str">
        <f>IF(AND(autocompJanta[[#This Row],[EXISTE MOT A ANT]]="NÃO",autocompJanta[[#This Row],[EXISTE MOT B ANT]]="NÃO"),"NÃO","SIM")</f>
        <v>NÃO</v>
      </c>
      <c r="L140" s="59" t="str">
        <f t="shared" si="4"/>
        <v>45911+ANTONIO RAMIRO WEBER - 5452</v>
      </c>
      <c r="M140" s="59" t="str">
        <f>IF(autocompJanta[[#This Row],[COMP ESCALA POSTERIOR]]="NÃO","NÃO",_xlfn.XLOOKUP(autocompJanta[[#This Row],[COMP ESCALA POSTERIOR]],tabE.Flux[COMP.AT. MOT A],tabE.Flux[LINHA],"NÃO",0,1))</f>
        <v>NÃO</v>
      </c>
      <c r="N140" s="59" t="str">
        <f>IF(autocompJanta[[#This Row],[COMP ESCALA POSTERIOR]]="NÃO","NÃO",_xlfn.XLOOKUP(autocompJanta[[#This Row],[COMP ESCALA POSTERIOR]],tabE.Flux[COMP.AT. MOT B],tabE.Flux[LINHA],"NÃO",0,1))</f>
        <v>NÃO</v>
      </c>
      <c r="O140" s="65" t="str">
        <f>IF(AND(autocompJanta[[#This Row],[EXISTE MOT A POS]]="NÃO",autocompJanta[[#This Row],[EXISTE MOT B POS]]="NÃO"),"NÃO","SIM")</f>
        <v>NÃO</v>
      </c>
      <c r="P140" s="66" t="str" cm="1">
        <f t="array" ref="P14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40" s="103" t="str" cm="1">
        <f t="array" ref="Q14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45910+ANTONIO RAMIRO WEBER - 5452+GOIANIA (GO) X TERESINA (PI) VIA STI</v>
      </c>
      <c r="R140" s="67">
        <f>_xlfn.XLOOKUP(autocompJanta[[#This Row],[COMP ESCALA]],tabE.Flux[COMP. ESCALA MOT B],tabE.Flux[CARRO],
(_xlfn.XLOOKUP(autocompJanta[[#This Row],[COMP ESCALA]],tabE.Flux[COMP. ESCALA MOT A],tabE.Flux[CARRO],"N/E",0,1)),0,1)</f>
        <v>19026</v>
      </c>
      <c r="S140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40" s="127">
        <v>45910</v>
      </c>
      <c r="U140" s="4">
        <f>IF(IFERROR(autocompJanta[[#This Row],[CORRESP. CARRO]],"")="NÃO",(IF(tabJanta[[#This Row],[MOTORISTA]]=0,"","PASSE?")),autocompJanta[[#This Row],[CORRESP. CARRO]])</f>
        <v>19026</v>
      </c>
      <c r="V140" s="128">
        <f>IF(OR(ISERR(autocompJanta[[#This Row],[CORRESP HORARIO]]), autocompJanta[[#This Row],[CORRESP HORARIO]]&lt;&gt;"NÃO"),autocompJanta[[#This Row],[CORRESP HORARIO]],"")</f>
        <v>0.79861111111111116</v>
      </c>
      <c r="W140" s="4" t="s">
        <v>299</v>
      </c>
      <c r="X140" s="4" t="s">
        <v>79</v>
      </c>
      <c r="Y140" s="4">
        <f>IF(tabJanta[[#This Row],[MOTORISTA]]="","",COUNTIF(autocompJanta[COMP ESCALA ATUAL],autocompJanta[[#This Row],[COMP ESCALA ATUAL]]))</f>
        <v>1</v>
      </c>
      <c r="Z140" s="45">
        <f>IF(tabJanta[[#This Row],[MOTORISTA]]&lt;&gt;0,15,"")</f>
        <v>15</v>
      </c>
      <c r="AA140" s="4" t="str">
        <f>autocompJanta[[#This Row],[CORRESP LINHA]]</f>
        <v>GOIANIA (GO) X TERESINA (PI) VIA STI</v>
      </c>
    </row>
    <row r="141" spans="3:27" ht="15" hidden="1" customHeight="1" x14ac:dyDescent="0.25">
      <c r="C141" s="129" t="s">
        <v>226</v>
      </c>
      <c r="D141" s="56" t="str">
        <f>IF(tabJanta[[#This Row],[MOTORISTA]]="","",_xlfn.CONCAT(tabJanta[[#This Row],[DATA]],"+",tabJanta[[#This Row],[MOTORISTA]]))</f>
        <v>45911+WESLEY SILVA PAIVA - 5638</v>
      </c>
      <c r="E141" s="56" t="str">
        <f>_xlfn.XLOOKUP(autocompJanta[[#This Row],[COMP ESCALA ATUAL]],tabE.Flux[COMP.AT. MOT A],tabE.Flux[LINHA],"NÃO",0,1)</f>
        <v>NÃO</v>
      </c>
      <c r="F141" s="56" t="str">
        <f>_xlfn.XLOOKUP(autocompJanta[[#This Row],[COMP ESCALA ATUAL]],tabE.Flux[COMP.AT. MOT B],tabE.Flux[LINHA],"NÃO",0,1)</f>
        <v>GOIANIA (GO) X SAO LUIS (MA)</v>
      </c>
      <c r="G141" s="61" t="str">
        <f>IF(AND(autocompJanta[[#This Row],[EXISTE MOT A AT]]="NÃO", autocompJanta[[#This Row],[EXISTE MOT B AT]]="NÃO"),"NÃO","SIM")</f>
        <v>SIM</v>
      </c>
      <c r="H141" s="57" t="str">
        <f>IF(autocompJanta[[#This Row],[EXISTE ESCALA ATUAL]]="NÃO",_xlfn.CONCAT(tabJanta[[#This Row],[DATA]]-1,"+",tabJanta[[#This Row],[MOTORISTA]]),"NÃO")</f>
        <v>NÃO</v>
      </c>
      <c r="I141" s="57" t="str">
        <f>IF(autocompJanta[[#This Row],[COMP ESCALA ANTERIOR]]="NÃO","NÃO",_xlfn.XLOOKUP(autocompJanta[[#This Row],[COMP ESCALA ANTERIOR]],tabE.Flux[COMP.AT. MOT A],tabE.Flux[LINHA],"NÃO",0,1))</f>
        <v>NÃO</v>
      </c>
      <c r="J141" s="58" t="str">
        <f>IF(autocompJanta[[#This Row],[COMP ESCALA ANTERIOR]]="NÃO","NÃO",_xlfn.XLOOKUP(autocompJanta[[#This Row],[COMP ESCALA ANTERIOR]],tabE.Flux[COMP.AT. MOT B],tabE.Flux[LINHA],"NÃO",0,1))</f>
        <v>NÃO</v>
      </c>
      <c r="K141" s="62" t="str">
        <f>IF(AND(autocompJanta[[#This Row],[EXISTE MOT A ANT]]="NÃO",autocompJanta[[#This Row],[EXISTE MOT B ANT]]="NÃO"),"NÃO","SIM")</f>
        <v>NÃO</v>
      </c>
      <c r="L141" s="59" t="str">
        <f t="shared" ref="L141:L155" si="5">_xlfn.CONCAT(T141+1,"+",X141)</f>
        <v>45912+WESLEY SILVA PAIVA - 5638</v>
      </c>
      <c r="M141" s="59" t="str">
        <f>IF(autocompJanta[[#This Row],[COMP ESCALA POSTERIOR]]="NÃO","NÃO",_xlfn.XLOOKUP(autocompJanta[[#This Row],[COMP ESCALA POSTERIOR]],tabE.Flux[COMP.AT. MOT A],tabE.Flux[LINHA],"NÃO",0,1))</f>
        <v>NÃO</v>
      </c>
      <c r="N141" s="59" t="str">
        <f>IF(autocompJanta[[#This Row],[COMP ESCALA POSTERIOR]]="NÃO","NÃO",_xlfn.XLOOKUP(autocompJanta[[#This Row],[COMP ESCALA POSTERIOR]],tabE.Flux[COMP.AT. MOT B],tabE.Flux[LINHA],"NÃO",0,1))</f>
        <v>NÃO</v>
      </c>
      <c r="O141" s="65" t="str">
        <f>IF(AND(autocompJanta[[#This Row],[EXISTE MOT A POS]]="NÃO",autocompJanta[[#This Row],[EXISTE MOT B POS]]="NÃO"),"NÃO","SIM")</f>
        <v>NÃO</v>
      </c>
      <c r="P141" s="66" t="str" cm="1">
        <f t="array" ref="P14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41" s="103" t="str" cm="1">
        <f t="array" ref="Q14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45911+WESLEY SILVA PAIVA - 5638+GOIANIA (GO) X SAO LUIS (MA)</v>
      </c>
      <c r="R141" s="67">
        <f>_xlfn.XLOOKUP(autocompJanta[[#This Row],[COMP ESCALA]],tabE.Flux[COMP. ESCALA MOT B],tabE.Flux[CARRO],
(_xlfn.XLOOKUP(autocompJanta[[#This Row],[COMP ESCALA]],tabE.Flux[COMP. ESCALA MOT A],tabE.Flux[CARRO],"N/E",0,1)),0,1)</f>
        <v>24013</v>
      </c>
      <c r="S141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41" s="127">
        <v>45911</v>
      </c>
      <c r="U141" s="4">
        <f>IF(IFERROR(autocompJanta[[#This Row],[CORRESP. CARRO]],"")="NÃO",(IF(tabJanta[[#This Row],[MOTORISTA]]=0,"","PASSE?")),autocompJanta[[#This Row],[CORRESP. CARRO]])</f>
        <v>24013</v>
      </c>
      <c r="V141" s="128">
        <f>IF(OR(ISERR(autocompJanta[[#This Row],[CORRESP HORARIO]]), autocompJanta[[#This Row],[CORRESP HORARIO]]&lt;&gt;"NÃO"),autocompJanta[[#This Row],[CORRESP HORARIO]],"")</f>
        <v>0.79166666666666663</v>
      </c>
      <c r="W141" s="4" t="s">
        <v>299</v>
      </c>
      <c r="X141" s="4" t="s">
        <v>112</v>
      </c>
      <c r="Y141" s="4">
        <f>IF(tabJanta[[#This Row],[MOTORISTA]]="","",COUNTIF(autocompJanta[COMP ESCALA ATUAL],autocompJanta[[#This Row],[COMP ESCALA ATUAL]]))</f>
        <v>1</v>
      </c>
      <c r="Z141" s="45">
        <f>IF(tabJanta[[#This Row],[MOTORISTA]]&lt;&gt;0,15,"")</f>
        <v>15</v>
      </c>
      <c r="AA141" s="4" t="str">
        <f>autocompJanta[[#This Row],[CORRESP LINHA]]</f>
        <v>GOIANIA (GO) X SAO LUIS (MA)</v>
      </c>
    </row>
    <row r="142" spans="3:27" ht="15" hidden="1" customHeight="1" x14ac:dyDescent="0.25">
      <c r="C142" s="129" t="s">
        <v>226</v>
      </c>
      <c r="D142" s="56" t="str">
        <f>IF(tabJanta[[#This Row],[MOTORISTA]]="","",_xlfn.CONCAT(tabJanta[[#This Row],[DATA]],"+",tabJanta[[#This Row],[MOTORISTA]]))</f>
        <v>45911+RAIMUNDO COSTA SILVA - 6226</v>
      </c>
      <c r="E142" s="56" t="str">
        <f>_xlfn.XLOOKUP(autocompJanta[[#This Row],[COMP ESCALA ATUAL]],tabE.Flux[COMP.AT. MOT A],tabE.Flux[LINHA],"NÃO",0,1)</f>
        <v>NÃO</v>
      </c>
      <c r="F142" s="56" t="str">
        <f>_xlfn.XLOOKUP(autocompJanta[[#This Row],[COMP ESCALA ATUAL]],tabE.Flux[COMP.AT. MOT B],tabE.Flux[LINHA],"NÃO",0,1)</f>
        <v>GOIANIA (GO) X SAO LUIS (MA)</v>
      </c>
      <c r="G142" s="61" t="str">
        <f>IF(AND(autocompJanta[[#This Row],[EXISTE MOT A AT]]="NÃO", autocompJanta[[#This Row],[EXISTE MOT B AT]]="NÃO"),"NÃO","SIM")</f>
        <v>SIM</v>
      </c>
      <c r="H142" s="57" t="str">
        <f>IF(autocompJanta[[#This Row],[EXISTE ESCALA ATUAL]]="NÃO",_xlfn.CONCAT(tabJanta[[#This Row],[DATA]]-1,"+",tabJanta[[#This Row],[MOTORISTA]]),"NÃO")</f>
        <v>NÃO</v>
      </c>
      <c r="I142" s="57" t="str">
        <f>IF(autocompJanta[[#This Row],[COMP ESCALA ANTERIOR]]="NÃO","NÃO",_xlfn.XLOOKUP(autocompJanta[[#This Row],[COMP ESCALA ANTERIOR]],tabE.Flux[COMP.AT. MOT A],tabE.Flux[LINHA],"NÃO",0,1))</f>
        <v>NÃO</v>
      </c>
      <c r="J142" s="58" t="str">
        <f>IF(autocompJanta[[#This Row],[COMP ESCALA ANTERIOR]]="NÃO","NÃO",_xlfn.XLOOKUP(autocompJanta[[#This Row],[COMP ESCALA ANTERIOR]],tabE.Flux[COMP.AT. MOT B],tabE.Flux[LINHA],"NÃO",0,1))</f>
        <v>NÃO</v>
      </c>
      <c r="K142" s="62" t="str">
        <f>IF(AND(autocompJanta[[#This Row],[EXISTE MOT A ANT]]="NÃO",autocompJanta[[#This Row],[EXISTE MOT B ANT]]="NÃO"),"NÃO","SIM")</f>
        <v>NÃO</v>
      </c>
      <c r="L142" s="59" t="str">
        <f t="shared" si="5"/>
        <v>45912+RAIMUNDO COSTA SILVA - 6226</v>
      </c>
      <c r="M142" s="59" t="str">
        <f>IF(autocompJanta[[#This Row],[COMP ESCALA POSTERIOR]]="NÃO","NÃO",_xlfn.XLOOKUP(autocompJanta[[#This Row],[COMP ESCALA POSTERIOR]],tabE.Flux[COMP.AT. MOT A],tabE.Flux[LINHA],"NÃO",0,1))</f>
        <v>NÃO</v>
      </c>
      <c r="N142" s="59" t="str">
        <f>IF(autocompJanta[[#This Row],[COMP ESCALA POSTERIOR]]="NÃO","NÃO",_xlfn.XLOOKUP(autocompJanta[[#This Row],[COMP ESCALA POSTERIOR]],tabE.Flux[COMP.AT. MOT B],tabE.Flux[LINHA],"NÃO",0,1))</f>
        <v>NÃO</v>
      </c>
      <c r="O142" s="65" t="str">
        <f>IF(AND(autocompJanta[[#This Row],[EXISTE MOT A POS]]="NÃO",autocompJanta[[#This Row],[EXISTE MOT B POS]]="NÃO"),"NÃO","SIM")</f>
        <v>NÃO</v>
      </c>
      <c r="P142" s="66" t="str" cm="1">
        <f t="array" ref="P14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42" s="103" t="str" cm="1">
        <f t="array" ref="Q14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45911+RAIMUNDO COSTA SILVA - 6226+GOIANIA (GO) X SAO LUIS (MA)</v>
      </c>
      <c r="R142" s="67">
        <f>_xlfn.XLOOKUP(autocompJanta[[#This Row],[COMP ESCALA]],tabE.Flux[COMP. ESCALA MOT B],tabE.Flux[CARRO],
(_xlfn.XLOOKUP(autocompJanta[[#This Row],[COMP ESCALA]],tabE.Flux[COMP. ESCALA MOT A],tabE.Flux[CARRO],"N/E",0,1)),0,1)</f>
        <v>20017</v>
      </c>
      <c r="S142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42" s="127">
        <v>45911</v>
      </c>
      <c r="U142" s="4">
        <f>IF(IFERROR(autocompJanta[[#This Row],[CORRESP. CARRO]],"")="NÃO",(IF(tabJanta[[#This Row],[MOTORISTA]]=0,"","PASSE?")),autocompJanta[[#This Row],[CORRESP. CARRO]])</f>
        <v>20017</v>
      </c>
      <c r="V142" s="128">
        <f>IF(OR(ISERR(autocompJanta[[#This Row],[CORRESP HORARIO]]), autocompJanta[[#This Row],[CORRESP HORARIO]]&lt;&gt;"NÃO"),autocompJanta[[#This Row],[CORRESP HORARIO]],"")</f>
        <v>0.47013888888888888</v>
      </c>
      <c r="W142" s="4" t="s">
        <v>299</v>
      </c>
      <c r="X142" s="4" t="s">
        <v>45</v>
      </c>
      <c r="Y142" s="4">
        <f>IF(tabJanta[[#This Row],[MOTORISTA]]="","",COUNTIF(autocompJanta[COMP ESCALA ATUAL],autocompJanta[[#This Row],[COMP ESCALA ATUAL]]))</f>
        <v>1</v>
      </c>
      <c r="Z142" s="45">
        <f>IF(tabJanta[[#This Row],[MOTORISTA]]&lt;&gt;0,15,"")</f>
        <v>15</v>
      </c>
      <c r="AA142" s="4" t="str">
        <f>autocompJanta[[#This Row],[CORRESP LINHA]]</f>
        <v>GOIANIA (GO) X SAO LUIS (MA)</v>
      </c>
    </row>
    <row r="143" spans="3:27" ht="15" hidden="1" customHeight="1" x14ac:dyDescent="0.25">
      <c r="C143" s="129" t="s">
        <v>226</v>
      </c>
      <c r="D143" s="56" t="str">
        <f>IF(tabJanta[[#This Row],[MOTORISTA]]="","",_xlfn.CONCAT(tabJanta[[#This Row],[DATA]],"+",tabJanta[[#This Row],[MOTORISTA]]))</f>
        <v>45912+RICHARD SOUSA DA SILVA - 1271</v>
      </c>
      <c r="E143" s="56" t="str">
        <f>_xlfn.XLOOKUP(autocompJanta[[#This Row],[COMP ESCALA ATUAL]],tabE.Flux[COMP.AT. MOT A],tabE.Flux[LINHA],"NÃO",0,1)</f>
        <v>NÃO</v>
      </c>
      <c r="F143" s="56" t="str">
        <f>_xlfn.XLOOKUP(autocompJanta[[#This Row],[COMP ESCALA ATUAL]],tabE.Flux[COMP.AT. MOT B],tabE.Flux[LINHA],"NÃO",0,1)</f>
        <v>GOIANIA (GO) X SAO LUIS (MA)</v>
      </c>
      <c r="G143" s="61" t="str">
        <f>IF(AND(autocompJanta[[#This Row],[EXISTE MOT A AT]]="NÃO", autocompJanta[[#This Row],[EXISTE MOT B AT]]="NÃO"),"NÃO","SIM")</f>
        <v>SIM</v>
      </c>
      <c r="H143" s="57" t="str">
        <f>IF(autocompJanta[[#This Row],[EXISTE ESCALA ATUAL]]="NÃO",_xlfn.CONCAT(tabJanta[[#This Row],[DATA]]-1,"+",tabJanta[[#This Row],[MOTORISTA]]),"NÃO")</f>
        <v>NÃO</v>
      </c>
      <c r="I143" s="57" t="str">
        <f>IF(autocompJanta[[#This Row],[COMP ESCALA ANTERIOR]]="NÃO","NÃO",_xlfn.XLOOKUP(autocompJanta[[#This Row],[COMP ESCALA ANTERIOR]],tabE.Flux[COMP.AT. MOT A],tabE.Flux[LINHA],"NÃO",0,1))</f>
        <v>NÃO</v>
      </c>
      <c r="J143" s="58" t="str">
        <f>IF(autocompJanta[[#This Row],[COMP ESCALA ANTERIOR]]="NÃO","NÃO",_xlfn.XLOOKUP(autocompJanta[[#This Row],[COMP ESCALA ANTERIOR]],tabE.Flux[COMP.AT. MOT B],tabE.Flux[LINHA],"NÃO",0,1))</f>
        <v>NÃO</v>
      </c>
      <c r="K143" s="62" t="str">
        <f>IF(AND(autocompJanta[[#This Row],[EXISTE MOT A ANT]]="NÃO",autocompJanta[[#This Row],[EXISTE MOT B ANT]]="NÃO"),"NÃO","SIM")</f>
        <v>NÃO</v>
      </c>
      <c r="L143" s="59" t="str">
        <f t="shared" si="5"/>
        <v>45913+RICHARD SOUSA DA SILVA - 1271</v>
      </c>
      <c r="M143" s="59" t="str">
        <f>IF(autocompJanta[[#This Row],[COMP ESCALA POSTERIOR]]="NÃO","NÃO",_xlfn.XLOOKUP(autocompJanta[[#This Row],[COMP ESCALA POSTERIOR]],tabE.Flux[COMP.AT. MOT A],tabE.Flux[LINHA],"NÃO",0,1))</f>
        <v>NÃO</v>
      </c>
      <c r="N143" s="59" t="str">
        <f>IF(autocompJanta[[#This Row],[COMP ESCALA POSTERIOR]]="NÃO","NÃO",_xlfn.XLOOKUP(autocompJanta[[#This Row],[COMP ESCALA POSTERIOR]],tabE.Flux[COMP.AT. MOT B],tabE.Flux[LINHA],"NÃO",0,1))</f>
        <v>NÃO</v>
      </c>
      <c r="O143" s="65" t="str">
        <f>IF(AND(autocompJanta[[#This Row],[EXISTE MOT A POS]]="NÃO",autocompJanta[[#This Row],[EXISTE MOT B POS]]="NÃO"),"NÃO","SIM")</f>
        <v>NÃO</v>
      </c>
      <c r="P143" s="66" t="str" cm="1">
        <f t="array" ref="P14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43" s="103" t="str" cm="1">
        <f t="array" ref="Q14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45912+RICHARD SOUSA DA SILVA - 1271+GOIANIA (GO) X SAO LUIS (MA)</v>
      </c>
      <c r="R143" s="67">
        <f>_xlfn.XLOOKUP(autocompJanta[[#This Row],[COMP ESCALA]],tabE.Flux[COMP. ESCALA MOT B],tabE.Flux[CARRO],
(_xlfn.XLOOKUP(autocompJanta[[#This Row],[COMP ESCALA]],tabE.Flux[COMP. ESCALA MOT A],tabE.Flux[CARRO],"N/E",0,1)),0,1)</f>
        <v>24012</v>
      </c>
      <c r="S143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43" s="127">
        <v>45912</v>
      </c>
      <c r="U143" s="4">
        <f>IF(IFERROR(autocompJanta[[#This Row],[CORRESP. CARRO]],"")="NÃO",(IF(tabJanta[[#This Row],[MOTORISTA]]=0,"","PASSE?")),autocompJanta[[#This Row],[CORRESP. CARRO]])</f>
        <v>24012</v>
      </c>
      <c r="V143" s="128">
        <f>IF(OR(ISERR(autocompJanta[[#This Row],[CORRESP HORARIO]]), autocompJanta[[#This Row],[CORRESP HORARIO]]&lt;&gt;"NÃO"),autocompJanta[[#This Row],[CORRESP HORARIO]],"")</f>
        <v>0.79166666666666663</v>
      </c>
      <c r="W143" s="4" t="s">
        <v>299</v>
      </c>
      <c r="X143" s="4" t="s">
        <v>56</v>
      </c>
      <c r="Y143" s="4">
        <f>IF(tabJanta[[#This Row],[MOTORISTA]]="","",COUNTIF(autocompJanta[COMP ESCALA ATUAL],autocompJanta[[#This Row],[COMP ESCALA ATUAL]]))</f>
        <v>1</v>
      </c>
      <c r="Z143" s="45">
        <f>IF(tabJanta[[#This Row],[MOTORISTA]]&lt;&gt;0,15,"")</f>
        <v>15</v>
      </c>
      <c r="AA143" s="4" t="str">
        <f>autocompJanta[[#This Row],[CORRESP LINHA]]</f>
        <v>GOIANIA (GO) X SAO LUIS (MA)</v>
      </c>
    </row>
    <row r="144" spans="3:27" ht="15" hidden="1" customHeight="1" x14ac:dyDescent="0.25">
      <c r="C144" s="129" t="s">
        <v>226</v>
      </c>
      <c r="D144" s="56" t="str">
        <f>IF(tabJanta[[#This Row],[MOTORISTA]]="","",_xlfn.CONCAT(tabJanta[[#This Row],[DATA]],"+",tabJanta[[#This Row],[MOTORISTA]]))</f>
        <v>45912+FRANCISCO PESSOA DE CARVALHO - 5276</v>
      </c>
      <c r="E144" s="56" t="str">
        <f>_xlfn.XLOOKUP(autocompJanta[[#This Row],[COMP ESCALA ATUAL]],tabE.Flux[COMP.AT. MOT A],tabE.Flux[LINHA],"NÃO",0,1)</f>
        <v>NÃO</v>
      </c>
      <c r="F144" s="56" t="str">
        <f>_xlfn.XLOOKUP(autocompJanta[[#This Row],[COMP ESCALA ATUAL]],tabE.Flux[COMP.AT. MOT B],tabE.Flux[LINHA],"NÃO",0,1)</f>
        <v>FORTALEZA (CE) X SINOP (MT)</v>
      </c>
      <c r="G144" s="61" t="str">
        <f>IF(AND(autocompJanta[[#This Row],[EXISTE MOT A AT]]="NÃO", autocompJanta[[#This Row],[EXISTE MOT B AT]]="NÃO"),"NÃO","SIM")</f>
        <v>SIM</v>
      </c>
      <c r="H144" s="57" t="str">
        <f>IF(autocompJanta[[#This Row],[EXISTE ESCALA ATUAL]]="NÃO",_xlfn.CONCAT(tabJanta[[#This Row],[DATA]]-1,"+",tabJanta[[#This Row],[MOTORISTA]]),"NÃO")</f>
        <v>NÃO</v>
      </c>
      <c r="I144" s="57" t="str">
        <f>IF(autocompJanta[[#This Row],[COMP ESCALA ANTERIOR]]="NÃO","NÃO",_xlfn.XLOOKUP(autocompJanta[[#This Row],[COMP ESCALA ANTERIOR]],tabE.Flux[COMP.AT. MOT A],tabE.Flux[LINHA],"NÃO",0,1))</f>
        <v>NÃO</v>
      </c>
      <c r="J144" s="58" t="str">
        <f>IF(autocompJanta[[#This Row],[COMP ESCALA ANTERIOR]]="NÃO","NÃO",_xlfn.XLOOKUP(autocompJanta[[#This Row],[COMP ESCALA ANTERIOR]],tabE.Flux[COMP.AT. MOT B],tabE.Flux[LINHA],"NÃO",0,1))</f>
        <v>NÃO</v>
      </c>
      <c r="K144" s="62" t="str">
        <f>IF(AND(autocompJanta[[#This Row],[EXISTE MOT A ANT]]="NÃO",autocompJanta[[#This Row],[EXISTE MOT B ANT]]="NÃO"),"NÃO","SIM")</f>
        <v>NÃO</v>
      </c>
      <c r="L144" s="59" t="str">
        <f t="shared" si="5"/>
        <v>45913+FRANCISCO PESSOA DE CARVALHO - 5276</v>
      </c>
      <c r="M144" s="59" t="str">
        <f>IF(autocompJanta[[#This Row],[COMP ESCALA POSTERIOR]]="NÃO","NÃO",_xlfn.XLOOKUP(autocompJanta[[#This Row],[COMP ESCALA POSTERIOR]],tabE.Flux[COMP.AT. MOT A],tabE.Flux[LINHA],"NÃO",0,1))</f>
        <v>NÃO</v>
      </c>
      <c r="N144" s="59" t="str">
        <f>IF(autocompJanta[[#This Row],[COMP ESCALA POSTERIOR]]="NÃO","NÃO",_xlfn.XLOOKUP(autocompJanta[[#This Row],[COMP ESCALA POSTERIOR]],tabE.Flux[COMP.AT. MOT B],tabE.Flux[LINHA],"NÃO",0,1))</f>
        <v>NÃO</v>
      </c>
      <c r="O144" s="65" t="str">
        <f>IF(AND(autocompJanta[[#This Row],[EXISTE MOT A POS]]="NÃO",autocompJanta[[#This Row],[EXISTE MOT B POS]]="NÃO"),"NÃO","SIM")</f>
        <v>NÃO</v>
      </c>
      <c r="P144" s="66" t="str" cm="1">
        <f t="array" ref="P14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44" s="103" t="str" cm="1">
        <f t="array" ref="Q14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45912+FRANCISCO PESSOA DE CARVALHO - 5276+FORTALEZA (CE) X SINOP (MT)</v>
      </c>
      <c r="R144" s="67">
        <f>_xlfn.XLOOKUP(autocompJanta[[#This Row],[COMP ESCALA]],tabE.Flux[COMP. ESCALA MOT B],tabE.Flux[CARRO],
(_xlfn.XLOOKUP(autocompJanta[[#This Row],[COMP ESCALA]],tabE.Flux[COMP. ESCALA MOT A],tabE.Flux[CARRO],"N/E",0,1)),0,1)</f>
        <v>19014</v>
      </c>
      <c r="S144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44" s="127">
        <v>45912</v>
      </c>
      <c r="U144" s="4">
        <f>IF(IFERROR(autocompJanta[[#This Row],[CORRESP. CARRO]],"")="NÃO",(IF(tabJanta[[#This Row],[MOTORISTA]]=0,"","PASSE?")),autocompJanta[[#This Row],[CORRESP. CARRO]])</f>
        <v>19014</v>
      </c>
      <c r="V144" s="128">
        <f>IF(OR(ISERR(autocompJanta[[#This Row],[CORRESP HORARIO]]), autocompJanta[[#This Row],[CORRESP HORARIO]]&lt;&gt;"NÃO"),autocompJanta[[#This Row],[CORRESP HORARIO]],"")</f>
        <v>0.37708333333333333</v>
      </c>
      <c r="W144" s="4" t="s">
        <v>299</v>
      </c>
      <c r="X144" s="4" t="s">
        <v>188</v>
      </c>
      <c r="Y144" s="4">
        <f>IF(tabJanta[[#This Row],[MOTORISTA]]="","",COUNTIF(autocompJanta[COMP ESCALA ATUAL],autocompJanta[[#This Row],[COMP ESCALA ATUAL]]))</f>
        <v>1</v>
      </c>
      <c r="Z144" s="45">
        <f>IF(tabJanta[[#This Row],[MOTORISTA]]&lt;&gt;0,15,"")</f>
        <v>15</v>
      </c>
      <c r="AA144" s="4" t="str">
        <f>autocompJanta[[#This Row],[CORRESP LINHA]]</f>
        <v>FORTALEZA (CE) X SINOP (MT)</v>
      </c>
    </row>
    <row r="145" spans="3:27" ht="15" hidden="1" customHeight="1" x14ac:dyDescent="0.25">
      <c r="C145" s="129" t="s">
        <v>226</v>
      </c>
      <c r="D145" s="56" t="str">
        <f>IF(tabJanta[[#This Row],[MOTORISTA]]="","",_xlfn.CONCAT(tabJanta[[#This Row],[DATA]],"+",tabJanta[[#This Row],[MOTORISTA]]))</f>
        <v>45912+EDIMILSON LUIS FRANÇA - 5442</v>
      </c>
      <c r="E145" s="56" t="str">
        <f>_xlfn.XLOOKUP(autocompJanta[[#This Row],[COMP ESCALA ATUAL]],tabE.Flux[COMP.AT. MOT A],tabE.Flux[LINHA],"NÃO",0,1)</f>
        <v>NÃO</v>
      </c>
      <c r="F145" s="56" t="str">
        <f>_xlfn.XLOOKUP(autocompJanta[[#This Row],[COMP ESCALA ATUAL]],tabE.Flux[COMP.AT. MOT B],tabE.Flux[LINHA],"NÃO",0,1)</f>
        <v>NÃO</v>
      </c>
      <c r="G145" s="61" t="str">
        <f>IF(AND(autocompJanta[[#This Row],[EXISTE MOT A AT]]="NÃO", autocompJanta[[#This Row],[EXISTE MOT B AT]]="NÃO"),"NÃO","SIM")</f>
        <v>NÃO</v>
      </c>
      <c r="H145" s="57" t="str">
        <f>IF(autocompJanta[[#This Row],[EXISTE ESCALA ATUAL]]="NÃO",_xlfn.CONCAT(tabJanta[[#This Row],[DATA]]-1,"+",tabJanta[[#This Row],[MOTORISTA]]),"NÃO")</f>
        <v>45911+EDIMILSON LUIS FRANÇA - 5442</v>
      </c>
      <c r="I145" s="57" t="str">
        <f>IF(autocompJanta[[#This Row],[COMP ESCALA ANTERIOR]]="NÃO","NÃO",_xlfn.XLOOKUP(autocompJanta[[#This Row],[COMP ESCALA ANTERIOR]],tabE.Flux[COMP.AT. MOT A],tabE.Flux[LINHA],"NÃO",0,1))</f>
        <v>NÃO</v>
      </c>
      <c r="J145" s="58" t="str">
        <f>IF(autocompJanta[[#This Row],[COMP ESCALA ANTERIOR]]="NÃO","NÃO",_xlfn.XLOOKUP(autocompJanta[[#This Row],[COMP ESCALA ANTERIOR]],tabE.Flux[COMP.AT. MOT B],tabE.Flux[LINHA],"NÃO",0,1))</f>
        <v>NÃO</v>
      </c>
      <c r="K145" s="62" t="str">
        <f>IF(AND(autocompJanta[[#This Row],[EXISTE MOT A ANT]]="NÃO",autocompJanta[[#This Row],[EXISTE MOT B ANT]]="NÃO"),"NÃO","SIM")</f>
        <v>NÃO</v>
      </c>
      <c r="L145" s="59" t="str">
        <f t="shared" si="5"/>
        <v>45913+EDIMILSON LUIS FRANÇA - 5442</v>
      </c>
      <c r="M145" s="59" t="str">
        <f>IF(autocompJanta[[#This Row],[COMP ESCALA POSTERIOR]]="NÃO","NÃO",_xlfn.XLOOKUP(autocompJanta[[#This Row],[COMP ESCALA POSTERIOR]],tabE.Flux[COMP.AT. MOT A],tabE.Flux[LINHA],"NÃO",0,1))</f>
        <v>NÃO</v>
      </c>
      <c r="N145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145" s="65" t="str">
        <f>IF(AND(autocompJanta[[#This Row],[EXISTE MOT A POS]]="NÃO",autocompJanta[[#This Row],[EXISTE MOT B POS]]="NÃO"),"NÃO","SIM")</f>
        <v>SIM</v>
      </c>
      <c r="P145" s="66" t="str" cm="1">
        <f t="array" ref="P14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45" s="103" t="str" cm="1">
        <f t="array" ref="Q14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45913+EDIMILSON LUIS FRANÇA - 5442+GOIANIA (GO) X TERESINA (PI) VIA STI</v>
      </c>
      <c r="R145" s="67">
        <f>_xlfn.XLOOKUP(autocompJanta[[#This Row],[COMP ESCALA]],tabE.Flux[COMP. ESCALA MOT B],tabE.Flux[CARRO],
(_xlfn.XLOOKUP(autocompJanta[[#This Row],[COMP ESCALA]],tabE.Flux[COMP. ESCALA MOT A],tabE.Flux[CARRO],"N/E",0,1)),0,1)</f>
        <v>19024</v>
      </c>
      <c r="S145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45" s="127">
        <v>45912</v>
      </c>
      <c r="U145" s="4">
        <f>IF(IFERROR(autocompJanta[[#This Row],[CORRESP. CARRO]],"")="NÃO",(IF(tabJanta[[#This Row],[MOTORISTA]]=0,"","PASSE?")),autocompJanta[[#This Row],[CORRESP. CARRO]])</f>
        <v>19024</v>
      </c>
      <c r="V145" s="128">
        <f>IF(OR(ISERR(autocompJanta[[#This Row],[CORRESP HORARIO]]), autocompJanta[[#This Row],[CORRESP HORARIO]]&lt;&gt;"NÃO"),autocompJanta[[#This Row],[CORRESP HORARIO]],"")</f>
        <v>0.79861111111111116</v>
      </c>
      <c r="W145" s="4" t="s">
        <v>299</v>
      </c>
      <c r="X145" s="4" t="s">
        <v>89</v>
      </c>
      <c r="Y145" s="4">
        <f>IF(tabJanta[[#This Row],[MOTORISTA]]="","",COUNTIF(autocompJanta[COMP ESCALA ATUAL],autocompJanta[[#This Row],[COMP ESCALA ATUAL]]))</f>
        <v>1</v>
      </c>
      <c r="Z145" s="45">
        <f>IF(tabJanta[[#This Row],[MOTORISTA]]&lt;&gt;0,15,"")</f>
        <v>15</v>
      </c>
      <c r="AA145" s="4" t="str">
        <f>autocompJanta[[#This Row],[CORRESP LINHA]]</f>
        <v>GOIANIA (GO) X TERESINA (PI) VIA STI</v>
      </c>
    </row>
    <row r="146" spans="3:27" ht="15" hidden="1" customHeight="1" x14ac:dyDescent="0.25">
      <c r="C146" s="129" t="s">
        <v>226</v>
      </c>
      <c r="D146" s="56" t="str">
        <f>IF(tabJanta[[#This Row],[MOTORISTA]]="","",_xlfn.CONCAT(tabJanta[[#This Row],[DATA]],"+",tabJanta[[#This Row],[MOTORISTA]]))</f>
        <v>45912+LAUCEANDO DA SILVA ROCHA - 6220</v>
      </c>
      <c r="E146" s="56" t="str">
        <f>_xlfn.XLOOKUP(autocompJanta[[#This Row],[COMP ESCALA ATUAL]],tabE.Flux[COMP.AT. MOT A],tabE.Flux[LINHA],"NÃO",0,1)</f>
        <v>GOIANIA (GO) X SAO LUIS (MA)</v>
      </c>
      <c r="F146" s="56" t="str">
        <f>_xlfn.XLOOKUP(autocompJanta[[#This Row],[COMP ESCALA ATUAL]],tabE.Flux[COMP.AT. MOT B],tabE.Flux[LINHA],"NÃO",0,1)</f>
        <v>GOIANIA (GO) X SAO LUIS (MA)</v>
      </c>
      <c r="G146" s="61" t="str">
        <f>IF(AND(autocompJanta[[#This Row],[EXISTE MOT A AT]]="NÃO", autocompJanta[[#This Row],[EXISTE MOT B AT]]="NÃO"),"NÃO","SIM")</f>
        <v>SIM</v>
      </c>
      <c r="H146" s="57" t="str">
        <f>IF(autocompJanta[[#This Row],[EXISTE ESCALA ATUAL]]="NÃO",_xlfn.CONCAT(tabJanta[[#This Row],[DATA]]-1,"+",tabJanta[[#This Row],[MOTORISTA]]),"NÃO")</f>
        <v>NÃO</v>
      </c>
      <c r="I146" s="57" t="str">
        <f>IF(autocompJanta[[#This Row],[COMP ESCALA ANTERIOR]]="NÃO","NÃO",_xlfn.XLOOKUP(autocompJanta[[#This Row],[COMP ESCALA ANTERIOR]],tabE.Flux[COMP.AT. MOT A],tabE.Flux[LINHA],"NÃO",0,1))</f>
        <v>NÃO</v>
      </c>
      <c r="J146" s="58" t="str">
        <f>IF(autocompJanta[[#This Row],[COMP ESCALA ANTERIOR]]="NÃO","NÃO",_xlfn.XLOOKUP(autocompJanta[[#This Row],[COMP ESCALA ANTERIOR]],tabE.Flux[COMP.AT. MOT B],tabE.Flux[LINHA],"NÃO",0,1))</f>
        <v>NÃO</v>
      </c>
      <c r="K146" s="62" t="str">
        <f>IF(AND(autocompJanta[[#This Row],[EXISTE MOT A ANT]]="NÃO",autocompJanta[[#This Row],[EXISTE MOT B ANT]]="NÃO"),"NÃO","SIM")</f>
        <v>NÃO</v>
      </c>
      <c r="L146" s="59" t="str">
        <f t="shared" si="5"/>
        <v>45913+LAUCEANDO DA SILVA ROCHA - 6220</v>
      </c>
      <c r="M146" s="59" t="str">
        <f>IF(autocompJanta[[#This Row],[COMP ESCALA POSTERIOR]]="NÃO","NÃO",_xlfn.XLOOKUP(autocompJanta[[#This Row],[COMP ESCALA POSTERIOR]],tabE.Flux[COMP.AT. MOT A],tabE.Flux[LINHA],"NÃO",0,1))</f>
        <v>NÃO</v>
      </c>
      <c r="N146" s="59" t="str">
        <f>IF(autocompJanta[[#This Row],[COMP ESCALA POSTERIOR]]="NÃO","NÃO",_xlfn.XLOOKUP(autocompJanta[[#This Row],[COMP ESCALA POSTERIOR]],tabE.Flux[COMP.AT. MOT B],tabE.Flux[LINHA],"NÃO",0,1))</f>
        <v>NÃO</v>
      </c>
      <c r="O146" s="65" t="str">
        <f>IF(AND(autocompJanta[[#This Row],[EXISTE MOT A POS]]="NÃO",autocompJanta[[#This Row],[EXISTE MOT B POS]]="NÃO"),"NÃO","SIM")</f>
        <v>NÃO</v>
      </c>
      <c r="P146" s="66" t="str" cm="1">
        <f t="array" ref="P14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46" s="103" t="str" cm="1">
        <f t="array" ref="Q14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45912+LAUCEANDO DA SILVA ROCHA - 6220+GOIANIA (GO) X SAO LUIS (MA)</v>
      </c>
      <c r="R146" s="67">
        <f>_xlfn.XLOOKUP(autocompJanta[[#This Row],[COMP ESCALA]],tabE.Flux[COMP. ESCALA MOT B],tabE.Flux[CARRO],
(_xlfn.XLOOKUP(autocompJanta[[#This Row],[COMP ESCALA]],tabE.Flux[COMP. ESCALA MOT A],tabE.Flux[CARRO],"N/E",0,1)),0,1)</f>
        <v>24015</v>
      </c>
      <c r="S146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46" s="127">
        <v>45912</v>
      </c>
      <c r="U146" s="4">
        <f>IF(IFERROR(autocompJanta[[#This Row],[CORRESP. CARRO]],"")="NÃO",(IF(tabJanta[[#This Row],[MOTORISTA]]=0,"","PASSE?")),autocompJanta[[#This Row],[CORRESP. CARRO]])</f>
        <v>24015</v>
      </c>
      <c r="V146" s="128">
        <f>IF(OR(ISERR(autocompJanta[[#This Row],[CORRESP HORARIO]]), autocompJanta[[#This Row],[CORRESP HORARIO]]&lt;&gt;"NÃO"),autocompJanta[[#This Row],[CORRESP HORARIO]],"")</f>
        <v>0.29166666666666669</v>
      </c>
      <c r="W146" s="4" t="s">
        <v>299</v>
      </c>
      <c r="X146" s="4" t="s">
        <v>86</v>
      </c>
      <c r="Y146" s="4">
        <f>IF(tabJanta[[#This Row],[MOTORISTA]]="","",COUNTIF(autocompJanta[COMP ESCALA ATUAL],autocompJanta[[#This Row],[COMP ESCALA ATUAL]]))</f>
        <v>1</v>
      </c>
      <c r="Z146" s="45">
        <f>IF(tabJanta[[#This Row],[MOTORISTA]]&lt;&gt;0,15,"")</f>
        <v>15</v>
      </c>
      <c r="AA146" s="4" t="str">
        <f>autocompJanta[[#This Row],[CORRESP LINHA]]</f>
        <v>GOIANIA (GO) X SAO LUIS (MA)</v>
      </c>
    </row>
    <row r="147" spans="3:27" ht="15" hidden="1" customHeight="1" x14ac:dyDescent="0.25">
      <c r="C147" s="129" t="s">
        <v>226</v>
      </c>
      <c r="D147" s="56" t="str">
        <f>IF(tabJanta[[#This Row],[MOTORISTA]]="","",_xlfn.CONCAT(tabJanta[[#This Row],[DATA]],"+",tabJanta[[#This Row],[MOTORISTA]]))</f>
        <v>45912+JARDEL DE SOUSA OLIVEIRA - 5992</v>
      </c>
      <c r="E147" s="56" t="str">
        <f>_xlfn.XLOOKUP(autocompJanta[[#This Row],[COMP ESCALA ATUAL]],tabE.Flux[COMP.AT. MOT A],tabE.Flux[LINHA],"NÃO",0,1)</f>
        <v>NÃO</v>
      </c>
      <c r="F147" s="56" t="str">
        <f>_xlfn.XLOOKUP(autocompJanta[[#This Row],[COMP ESCALA ATUAL]],tabE.Flux[COMP.AT. MOT B],tabE.Flux[LINHA],"NÃO",0,1)</f>
        <v>NÃO</v>
      </c>
      <c r="G147" s="61" t="str">
        <f>IF(AND(autocompJanta[[#This Row],[EXISTE MOT A AT]]="NÃO", autocompJanta[[#This Row],[EXISTE MOT B AT]]="NÃO"),"NÃO","SIM")</f>
        <v>NÃO</v>
      </c>
      <c r="H147" s="57" t="str">
        <f>IF(autocompJanta[[#This Row],[EXISTE ESCALA ATUAL]]="NÃO",_xlfn.CONCAT(tabJanta[[#This Row],[DATA]]-1,"+",tabJanta[[#This Row],[MOTORISTA]]),"NÃO")</f>
        <v>45911+JARDEL DE SOUSA OLIVEIRA - 5992</v>
      </c>
      <c r="I147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47" s="58" t="str">
        <f>IF(autocompJanta[[#This Row],[COMP ESCALA ANTERIOR]]="NÃO","NÃO",_xlfn.XLOOKUP(autocompJanta[[#This Row],[COMP ESCALA ANTERIOR]],tabE.Flux[COMP.AT. MOT B],tabE.Flux[LINHA],"NÃO",0,1))</f>
        <v>NÃO</v>
      </c>
      <c r="K147" s="62" t="str">
        <f>IF(AND(autocompJanta[[#This Row],[EXISTE MOT A ANT]]="NÃO",autocompJanta[[#This Row],[EXISTE MOT B ANT]]="NÃO"),"NÃO","SIM")</f>
        <v>SIM</v>
      </c>
      <c r="L147" s="59" t="str">
        <f t="shared" si="5"/>
        <v>45913+JARDEL DE SOUSA OLIVEIRA - 5992</v>
      </c>
      <c r="M147" s="59" t="str">
        <f>IF(autocompJanta[[#This Row],[COMP ESCALA POSTERIOR]]="NÃO","NÃO",_xlfn.XLOOKUP(autocompJanta[[#This Row],[COMP ESCALA POSTERIOR]],tabE.Flux[COMP.AT. MOT A],tabE.Flux[LINHA],"NÃO",0,1))</f>
        <v>NÃO</v>
      </c>
      <c r="N147" s="59" t="str">
        <f>IF(autocompJanta[[#This Row],[COMP ESCALA POSTERIOR]]="NÃO","NÃO",_xlfn.XLOOKUP(autocompJanta[[#This Row],[COMP ESCALA POSTERIOR]],tabE.Flux[COMP.AT. MOT B],tabE.Flux[LINHA],"NÃO",0,1))</f>
        <v>NÃO</v>
      </c>
      <c r="O147" s="65" t="str">
        <f>IF(AND(autocompJanta[[#This Row],[EXISTE MOT A POS]]="NÃO",autocompJanta[[#This Row],[EXISTE MOT B POS]]="NÃO"),"NÃO","SIM")</f>
        <v>NÃO</v>
      </c>
      <c r="P147" s="66" t="str" cm="1">
        <f t="array" ref="P14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47" s="103" t="str" cm="1">
        <f t="array" ref="Q14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45911+JARDEL DE SOUSA OLIVEIRA - 5992+GOIANIA (GO) X TERESINA (PI) VIA STI</v>
      </c>
      <c r="R147" s="67">
        <f>_xlfn.XLOOKUP(autocompJanta[[#This Row],[COMP ESCALA]],tabE.Flux[COMP. ESCALA MOT B],tabE.Flux[CARRO],
(_xlfn.XLOOKUP(autocompJanta[[#This Row],[COMP ESCALA]],tabE.Flux[COMP. ESCALA MOT A],tabE.Flux[CARRO],"N/E",0,1)),0,1)</f>
        <v>17600</v>
      </c>
      <c r="S147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47" s="127">
        <v>45912</v>
      </c>
      <c r="U147" s="4">
        <f>IF(IFERROR(autocompJanta[[#This Row],[CORRESP. CARRO]],"")="NÃO",(IF(tabJanta[[#This Row],[MOTORISTA]]=0,"","PASSE?")),autocompJanta[[#This Row],[CORRESP. CARRO]])</f>
        <v>17600</v>
      </c>
      <c r="V147" s="128">
        <f>IF(OR(ISERR(autocompJanta[[#This Row],[CORRESP HORARIO]]), autocompJanta[[#This Row],[CORRESP HORARIO]]&lt;&gt;"NÃO"),autocompJanta[[#This Row],[CORRESP HORARIO]],"")</f>
        <v>0.79861111111111116</v>
      </c>
      <c r="W147" s="4" t="s">
        <v>299</v>
      </c>
      <c r="X147" s="4" t="s">
        <v>150</v>
      </c>
      <c r="Y147" s="4">
        <f>IF(tabJanta[[#This Row],[MOTORISTA]]="","",COUNTIF(autocompJanta[COMP ESCALA ATUAL],autocompJanta[[#This Row],[COMP ESCALA ATUAL]]))</f>
        <v>1</v>
      </c>
      <c r="Z147" s="45">
        <f>IF(tabJanta[[#This Row],[MOTORISTA]]&lt;&gt;0,15,"")</f>
        <v>15</v>
      </c>
      <c r="AA147" s="4" t="str">
        <f>autocompJanta[[#This Row],[CORRESP LINHA]]</f>
        <v>GOIANIA (GO) X TERESINA (PI) VIA STI</v>
      </c>
    </row>
    <row r="148" spans="3:27" ht="15" hidden="1" customHeight="1" x14ac:dyDescent="0.25">
      <c r="C148" s="129" t="s">
        <v>226</v>
      </c>
      <c r="D148" s="56" t="str">
        <f>IF(tabJanta[[#This Row],[MOTORISTA]]="","",_xlfn.CONCAT(tabJanta[[#This Row],[DATA]],"+",tabJanta[[#This Row],[MOTORISTA]]))</f>
        <v>45912+CARLOS ADRIANO DE SOUZA DO NASCIMENTO - 6222</v>
      </c>
      <c r="E148" s="56" t="str">
        <f>_xlfn.XLOOKUP(autocompJanta[[#This Row],[COMP ESCALA ATUAL]],tabE.Flux[COMP.AT. MOT A],tabE.Flux[LINHA],"NÃO",0,1)</f>
        <v>NÃO</v>
      </c>
      <c r="F148" s="56" t="str">
        <f>_xlfn.XLOOKUP(autocompJanta[[#This Row],[COMP ESCALA ATUAL]],tabE.Flux[COMP.AT. MOT B],tabE.Flux[LINHA],"NÃO",0,1)</f>
        <v>GOIANIA (GO) X SAO LUIS (MA)</v>
      </c>
      <c r="G148" s="61" t="str">
        <f>IF(AND(autocompJanta[[#This Row],[EXISTE MOT A AT]]="NÃO", autocompJanta[[#This Row],[EXISTE MOT B AT]]="NÃO"),"NÃO","SIM")</f>
        <v>SIM</v>
      </c>
      <c r="H148" s="57" t="str">
        <f>IF(autocompJanta[[#This Row],[EXISTE ESCALA ATUAL]]="NÃO",_xlfn.CONCAT(tabJanta[[#This Row],[DATA]]-1,"+",tabJanta[[#This Row],[MOTORISTA]]),"NÃO")</f>
        <v>NÃO</v>
      </c>
      <c r="I148" s="57" t="str">
        <f>IF(autocompJanta[[#This Row],[COMP ESCALA ANTERIOR]]="NÃO","NÃO",_xlfn.XLOOKUP(autocompJanta[[#This Row],[COMP ESCALA ANTERIOR]],tabE.Flux[COMP.AT. MOT A],tabE.Flux[LINHA],"NÃO",0,1))</f>
        <v>NÃO</v>
      </c>
      <c r="J148" s="58" t="str">
        <f>IF(autocompJanta[[#This Row],[COMP ESCALA ANTERIOR]]="NÃO","NÃO",_xlfn.XLOOKUP(autocompJanta[[#This Row],[COMP ESCALA ANTERIOR]],tabE.Flux[COMP.AT. MOT B],tabE.Flux[LINHA],"NÃO",0,1))</f>
        <v>NÃO</v>
      </c>
      <c r="K148" s="62" t="str">
        <f>IF(AND(autocompJanta[[#This Row],[EXISTE MOT A ANT]]="NÃO",autocompJanta[[#This Row],[EXISTE MOT B ANT]]="NÃO"),"NÃO","SIM")</f>
        <v>NÃO</v>
      </c>
      <c r="L148" s="59" t="str">
        <f t="shared" si="5"/>
        <v>45913+CARLOS ADRIANO DE SOUZA DO NASCIMENTO - 6222</v>
      </c>
      <c r="M148" s="59" t="str">
        <f>IF(autocompJanta[[#This Row],[COMP ESCALA POSTERIOR]]="NÃO","NÃO",_xlfn.XLOOKUP(autocompJanta[[#This Row],[COMP ESCALA POSTERIOR]],tabE.Flux[COMP.AT. MOT A],tabE.Flux[LINHA],"NÃO",0,1))</f>
        <v>NÃO</v>
      </c>
      <c r="N148" s="59" t="str">
        <f>IF(autocompJanta[[#This Row],[COMP ESCALA POSTERIOR]]="NÃO","NÃO",_xlfn.XLOOKUP(autocompJanta[[#This Row],[COMP ESCALA POSTERIOR]],tabE.Flux[COMP.AT. MOT B],tabE.Flux[LINHA],"NÃO",0,1))</f>
        <v>NÃO</v>
      </c>
      <c r="O148" s="65" t="str">
        <f>IF(AND(autocompJanta[[#This Row],[EXISTE MOT A POS]]="NÃO",autocompJanta[[#This Row],[EXISTE MOT B POS]]="NÃO"),"NÃO","SIM")</f>
        <v>NÃO</v>
      </c>
      <c r="P148" s="66" t="str" cm="1">
        <f t="array" ref="P14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48" s="103" t="str" cm="1">
        <f t="array" ref="Q14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45912+CARLOS ADRIANO DE SOUZA DO NASCIMENTO - 6222+GOIANIA (GO) X SAO LUIS (MA)</v>
      </c>
      <c r="R148" s="67">
        <f>_xlfn.XLOOKUP(autocompJanta[[#This Row],[COMP ESCALA]],tabE.Flux[COMP. ESCALA MOT B],tabE.Flux[CARRO],
(_xlfn.XLOOKUP(autocompJanta[[#This Row],[COMP ESCALA]],tabE.Flux[COMP. ESCALA MOT A],tabE.Flux[CARRO],"N/E",0,1)),0,1)</f>
        <v>20018</v>
      </c>
      <c r="S148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48" s="127">
        <v>45912</v>
      </c>
      <c r="U148" s="4">
        <f>IF(IFERROR(autocompJanta[[#This Row],[CORRESP. CARRO]],"")="NÃO",(IF(tabJanta[[#This Row],[MOTORISTA]]=0,"","PASSE?")),autocompJanta[[#This Row],[CORRESP. CARRO]])</f>
        <v>20018</v>
      </c>
      <c r="V148" s="128">
        <f>IF(OR(ISERR(autocompJanta[[#This Row],[CORRESP HORARIO]]), autocompJanta[[#This Row],[CORRESP HORARIO]]&lt;&gt;"NÃO"),autocompJanta[[#This Row],[CORRESP HORARIO]],"")</f>
        <v>0.47013888888888888</v>
      </c>
      <c r="W148" s="4" t="s">
        <v>299</v>
      </c>
      <c r="X148" s="4" t="s">
        <v>110</v>
      </c>
      <c r="Y148" s="4">
        <f>IF(tabJanta[[#This Row],[MOTORISTA]]="","",COUNTIF(autocompJanta[COMP ESCALA ATUAL],autocompJanta[[#This Row],[COMP ESCALA ATUAL]]))</f>
        <v>1</v>
      </c>
      <c r="Z148" s="45">
        <f>IF(tabJanta[[#This Row],[MOTORISTA]]&lt;&gt;0,15,"")</f>
        <v>15</v>
      </c>
      <c r="AA148" s="4" t="str">
        <f>autocompJanta[[#This Row],[CORRESP LINHA]]</f>
        <v>GOIANIA (GO) X SAO LUIS (MA)</v>
      </c>
    </row>
    <row r="149" spans="3:27" ht="15" hidden="1" customHeight="1" x14ac:dyDescent="0.25">
      <c r="C149" s="129" t="s">
        <v>226</v>
      </c>
      <c r="D149" s="56" t="str">
        <f>IF(tabJanta[[#This Row],[MOTORISTA]]="","",_xlfn.CONCAT(tabJanta[[#This Row],[DATA]],"+",tabJanta[[#This Row],[MOTORISTA]]))</f>
        <v>45912+PAULO ENEAS FARIAS ARAUJO - 6218</v>
      </c>
      <c r="E149" s="56" t="str">
        <f>_xlfn.XLOOKUP(autocompJanta[[#This Row],[COMP ESCALA ATUAL]],tabE.Flux[COMP.AT. MOT A],tabE.Flux[LINHA],"NÃO",0,1)</f>
        <v>NÃO</v>
      </c>
      <c r="F149" s="56" t="str">
        <f>_xlfn.XLOOKUP(autocompJanta[[#This Row],[COMP ESCALA ATUAL]],tabE.Flux[COMP.AT. MOT B],tabE.Flux[LINHA],"NÃO",0,1)</f>
        <v>IMPERATRIZ (MA) X SÃO LUIS (MA)</v>
      </c>
      <c r="G149" s="61" t="str">
        <f>IF(AND(autocompJanta[[#This Row],[EXISTE MOT A AT]]="NÃO", autocompJanta[[#This Row],[EXISTE MOT B AT]]="NÃO"),"NÃO","SIM")</f>
        <v>SIM</v>
      </c>
      <c r="H149" s="57" t="str">
        <f>IF(autocompJanta[[#This Row],[EXISTE ESCALA ATUAL]]="NÃO",_xlfn.CONCAT(tabJanta[[#This Row],[DATA]]-1,"+",tabJanta[[#This Row],[MOTORISTA]]),"NÃO")</f>
        <v>NÃO</v>
      </c>
      <c r="I149" s="57" t="str">
        <f>IF(autocompJanta[[#This Row],[COMP ESCALA ANTERIOR]]="NÃO","NÃO",_xlfn.XLOOKUP(autocompJanta[[#This Row],[COMP ESCALA ANTERIOR]],tabE.Flux[COMP.AT. MOT A],tabE.Flux[LINHA],"NÃO",0,1))</f>
        <v>NÃO</v>
      </c>
      <c r="J149" s="58" t="str">
        <f>IF(autocompJanta[[#This Row],[COMP ESCALA ANTERIOR]]="NÃO","NÃO",_xlfn.XLOOKUP(autocompJanta[[#This Row],[COMP ESCALA ANTERIOR]],tabE.Flux[COMP.AT. MOT B],tabE.Flux[LINHA],"NÃO",0,1))</f>
        <v>NÃO</v>
      </c>
      <c r="K149" s="62" t="str">
        <f>IF(AND(autocompJanta[[#This Row],[EXISTE MOT A ANT]]="NÃO",autocompJanta[[#This Row],[EXISTE MOT B ANT]]="NÃO"),"NÃO","SIM")</f>
        <v>NÃO</v>
      </c>
      <c r="L149" s="59" t="str">
        <f t="shared" si="5"/>
        <v>45913+PAULO ENEAS FARIAS ARAUJO - 6218</v>
      </c>
      <c r="M149" s="59" t="str">
        <f>IF(autocompJanta[[#This Row],[COMP ESCALA POSTERIOR]]="NÃO","NÃO",_xlfn.XLOOKUP(autocompJanta[[#This Row],[COMP ESCALA POSTERIOR]],tabE.Flux[COMP.AT. MOT A],tabE.Flux[LINHA],"NÃO",0,1))</f>
        <v>NÃO</v>
      </c>
      <c r="N149" s="59" t="str">
        <f>IF(autocompJanta[[#This Row],[COMP ESCALA POSTERIOR]]="NÃO","NÃO",_xlfn.XLOOKUP(autocompJanta[[#This Row],[COMP ESCALA POSTERIOR]],tabE.Flux[COMP.AT. MOT B],tabE.Flux[LINHA],"NÃO",0,1))</f>
        <v>NÃO</v>
      </c>
      <c r="O149" s="65" t="str">
        <f>IF(AND(autocompJanta[[#This Row],[EXISTE MOT A POS]]="NÃO",autocompJanta[[#This Row],[EXISTE MOT B POS]]="NÃO"),"NÃO","SIM")</f>
        <v>NÃO</v>
      </c>
      <c r="P149" s="66" t="str" cm="1">
        <f t="array" ref="P14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IMPERATRIZ (MA) X SÃO LUIS (MA)</v>
      </c>
      <c r="Q149" s="103" t="str" cm="1">
        <f t="array" ref="Q14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45912+PAULO ENEAS FARIAS ARAUJO - 6218+IMPERATRIZ (MA) X SÃO LUIS (MA)</v>
      </c>
      <c r="R149" s="67">
        <f>_xlfn.XLOOKUP(autocompJanta[[#This Row],[COMP ESCALA]],tabE.Flux[COMP. ESCALA MOT B],tabE.Flux[CARRO],
(_xlfn.XLOOKUP(autocompJanta[[#This Row],[COMP ESCALA]],tabE.Flux[COMP. ESCALA MOT A],tabE.Flux[CARRO],"N/E",0,1)),0,1)</f>
        <v>18016</v>
      </c>
      <c r="S149" s="130">
        <f>_xlfn.XLOOKUP(autocompJanta[[#This Row],[COMP ESCALA]],tabE.Flux[COMP. ESCALA MOT A],tabE.Flux[HORARIO],(_xlfn.XLOOKUP(autocompJanta[[#This Row],[COMP ESCALA]],tabE.Flux[COMP. ESCALA MOT B],tabE.Flux[HORARIO],"N/E",0,1)),0,1)</f>
        <v>0.8125</v>
      </c>
      <c r="T149" s="127">
        <v>45912</v>
      </c>
      <c r="U149" s="4">
        <f>IF(IFERROR(autocompJanta[[#This Row],[CORRESP. CARRO]],"")="NÃO",(IF(tabJanta[[#This Row],[MOTORISTA]]=0,"","PASSE?")),autocompJanta[[#This Row],[CORRESP. CARRO]])</f>
        <v>18016</v>
      </c>
      <c r="V149" s="128">
        <f>IF(OR(ISERR(autocompJanta[[#This Row],[CORRESP HORARIO]]), autocompJanta[[#This Row],[CORRESP HORARIO]]&lt;&gt;"NÃO"),autocompJanta[[#This Row],[CORRESP HORARIO]],"")</f>
        <v>0.8125</v>
      </c>
      <c r="W149" s="4" t="s">
        <v>299</v>
      </c>
      <c r="X149" s="4" t="s">
        <v>43</v>
      </c>
      <c r="Y149" s="4">
        <f>IF(tabJanta[[#This Row],[MOTORISTA]]="","",COUNTIF(autocompJanta[COMP ESCALA ATUAL],autocompJanta[[#This Row],[COMP ESCALA ATUAL]]))</f>
        <v>1</v>
      </c>
      <c r="Z149" s="45">
        <f>IF(tabJanta[[#This Row],[MOTORISTA]]&lt;&gt;0,15,"")</f>
        <v>15</v>
      </c>
      <c r="AA149" s="4" t="str">
        <f>autocompJanta[[#This Row],[CORRESP LINHA]]</f>
        <v>IMPERATRIZ (MA) X SÃO LUIS (MA)</v>
      </c>
    </row>
    <row r="150" spans="3:27" ht="15" hidden="1" customHeight="1" x14ac:dyDescent="0.25">
      <c r="C150" s="129" t="s">
        <v>226</v>
      </c>
      <c r="D150" s="56" t="str">
        <f>IF(tabJanta[[#This Row],[MOTORISTA]]="","",_xlfn.CONCAT(tabJanta[[#This Row],[DATA]],"+",tabJanta[[#This Row],[MOTORISTA]]))</f>
        <v>45913+ALTEMAR DO NASCIMENTO LIMA - 6225</v>
      </c>
      <c r="E150" s="56" t="str">
        <f>_xlfn.XLOOKUP(autocompJanta[[#This Row],[COMP ESCALA ATUAL]],tabE.Flux[COMP.AT. MOT A],tabE.Flux[LINHA],"NÃO",0,1)</f>
        <v>GOIANIA (GO) X SAO LUIS (MA)</v>
      </c>
      <c r="F150" s="56" t="str">
        <f>_xlfn.XLOOKUP(autocompJanta[[#This Row],[COMP ESCALA ATUAL]],tabE.Flux[COMP.AT. MOT B],tabE.Flux[LINHA],"NÃO",0,1)</f>
        <v>GOIANIA (GO) X SAO LUIS (MA)</v>
      </c>
      <c r="G150" s="61" t="str">
        <f>IF(AND(autocompJanta[[#This Row],[EXISTE MOT A AT]]="NÃO", autocompJanta[[#This Row],[EXISTE MOT B AT]]="NÃO"),"NÃO","SIM")</f>
        <v>SIM</v>
      </c>
      <c r="H150" s="57" t="str">
        <f>IF(autocompJanta[[#This Row],[EXISTE ESCALA ATUAL]]="NÃO",_xlfn.CONCAT(tabJanta[[#This Row],[DATA]]-1,"+",tabJanta[[#This Row],[MOTORISTA]]),"NÃO")</f>
        <v>NÃO</v>
      </c>
      <c r="I150" s="57" t="str">
        <f>IF(autocompJanta[[#This Row],[COMP ESCALA ANTERIOR]]="NÃO","NÃO",_xlfn.XLOOKUP(autocompJanta[[#This Row],[COMP ESCALA ANTERIOR]],tabE.Flux[COMP.AT. MOT A],tabE.Flux[LINHA],"NÃO",0,1))</f>
        <v>NÃO</v>
      </c>
      <c r="J150" s="58" t="str">
        <f>IF(autocompJanta[[#This Row],[COMP ESCALA ANTERIOR]]="NÃO","NÃO",_xlfn.XLOOKUP(autocompJanta[[#This Row],[COMP ESCALA ANTERIOR]],tabE.Flux[COMP.AT. MOT B],tabE.Flux[LINHA],"NÃO",0,1))</f>
        <v>NÃO</v>
      </c>
      <c r="K150" s="62" t="str">
        <f>IF(AND(autocompJanta[[#This Row],[EXISTE MOT A ANT]]="NÃO",autocompJanta[[#This Row],[EXISTE MOT B ANT]]="NÃO"),"NÃO","SIM")</f>
        <v>NÃO</v>
      </c>
      <c r="L150" s="59" t="str">
        <f t="shared" si="5"/>
        <v>45914+ALTEMAR DO NASCIMENTO LIMA - 6225</v>
      </c>
      <c r="M150" s="59" t="str">
        <f>IF(autocompJanta[[#This Row],[COMP ESCALA POSTERIOR]]="NÃO","NÃO",_xlfn.XLOOKUP(autocompJanta[[#This Row],[COMP ESCALA POSTERIOR]],tabE.Flux[COMP.AT. MOT A],tabE.Flux[LINHA],"NÃO",0,1))</f>
        <v>NÃO</v>
      </c>
      <c r="N150" s="59" t="str">
        <f>IF(autocompJanta[[#This Row],[COMP ESCALA POSTERIOR]]="NÃO","NÃO",_xlfn.XLOOKUP(autocompJanta[[#This Row],[COMP ESCALA POSTERIOR]],tabE.Flux[COMP.AT. MOT B],tabE.Flux[LINHA],"NÃO",0,1))</f>
        <v>NÃO</v>
      </c>
      <c r="O150" s="65" t="str">
        <f>IF(AND(autocompJanta[[#This Row],[EXISTE MOT A POS]]="NÃO",autocompJanta[[#This Row],[EXISTE MOT B POS]]="NÃO"),"NÃO","SIM")</f>
        <v>NÃO</v>
      </c>
      <c r="P150" s="66" t="str" cm="1">
        <f t="array" ref="P15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50" s="103" t="str" cm="1">
        <f t="array" ref="Q15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45913+ALTEMAR DO NASCIMENTO LIMA - 6225+GOIANIA (GO) X SAO LUIS (MA)</v>
      </c>
      <c r="R150" s="67">
        <f>_xlfn.XLOOKUP(autocompJanta[[#This Row],[COMP ESCALA]],tabE.Flux[COMP. ESCALA MOT B],tabE.Flux[CARRO],
(_xlfn.XLOOKUP(autocompJanta[[#This Row],[COMP ESCALA]],tabE.Flux[COMP. ESCALA MOT A],tabE.Flux[CARRO],"N/E",0,1)),0,1)</f>
        <v>25008</v>
      </c>
      <c r="S150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50" s="127">
        <v>45913</v>
      </c>
      <c r="U150" s="4">
        <f>IF(IFERROR(autocompJanta[[#This Row],[CORRESP. CARRO]],"")="NÃO",(IF(tabJanta[[#This Row],[MOTORISTA]]=0,"","PASSE?")),autocompJanta[[#This Row],[CORRESP. CARRO]])</f>
        <v>25008</v>
      </c>
      <c r="V150" s="128">
        <f>IF(OR(ISERR(autocompJanta[[#This Row],[CORRESP HORARIO]]), autocompJanta[[#This Row],[CORRESP HORARIO]]&lt;&gt;"NÃO"),autocompJanta[[#This Row],[CORRESP HORARIO]],"")</f>
        <v>0.29166666666666669</v>
      </c>
      <c r="W150" s="4" t="s">
        <v>299</v>
      </c>
      <c r="X150" s="4" t="s">
        <v>57</v>
      </c>
      <c r="Y150" s="4">
        <f>IF(tabJanta[[#This Row],[MOTORISTA]]="","",COUNTIF(autocompJanta[COMP ESCALA ATUAL],autocompJanta[[#This Row],[COMP ESCALA ATUAL]]))</f>
        <v>1</v>
      </c>
      <c r="Z150" s="45">
        <f>IF(tabJanta[[#This Row],[MOTORISTA]]&lt;&gt;0,15,"")</f>
        <v>15</v>
      </c>
      <c r="AA150" s="4" t="str">
        <f>autocompJanta[[#This Row],[CORRESP LINHA]]</f>
        <v>GOIANIA (GO) X SAO LUIS (MA)</v>
      </c>
    </row>
    <row r="151" spans="3:27" ht="15" hidden="1" customHeight="1" x14ac:dyDescent="0.25">
      <c r="C151" s="129" t="s">
        <v>226</v>
      </c>
      <c r="D151" s="56" t="str">
        <f>IF(tabJanta[[#This Row],[MOTORISTA]]="","",_xlfn.CONCAT(tabJanta[[#This Row],[DATA]],"+",tabJanta[[#This Row],[MOTORISTA]]))</f>
        <v>45913+WASHINGTON ALVES BRITO - 1553</v>
      </c>
      <c r="E151" s="56" t="str">
        <f>_xlfn.XLOOKUP(autocompJanta[[#This Row],[COMP ESCALA ATUAL]],tabE.Flux[COMP.AT. MOT A],tabE.Flux[LINHA],"NÃO",0,1)</f>
        <v>NÃO</v>
      </c>
      <c r="F151" s="56" t="str">
        <f>_xlfn.XLOOKUP(autocompJanta[[#This Row],[COMP ESCALA ATUAL]],tabE.Flux[COMP.AT. MOT B],tabE.Flux[LINHA],"NÃO",0,1)</f>
        <v>NÃO</v>
      </c>
      <c r="G151" s="61" t="str">
        <f>IF(AND(autocompJanta[[#This Row],[EXISTE MOT A AT]]="NÃO", autocompJanta[[#This Row],[EXISTE MOT B AT]]="NÃO"),"NÃO","SIM")</f>
        <v>NÃO</v>
      </c>
      <c r="H151" s="57" t="str">
        <f>IF(autocompJanta[[#This Row],[EXISTE ESCALA ATUAL]]="NÃO",_xlfn.CONCAT(tabJanta[[#This Row],[DATA]]-1,"+",tabJanta[[#This Row],[MOTORISTA]]),"NÃO")</f>
        <v>45912+WASHINGTON ALVES BRITO - 1553</v>
      </c>
      <c r="I151" s="57" t="str">
        <f>IF(autocompJanta[[#This Row],[COMP ESCALA ANTERIOR]]="NÃO","NÃO",_xlfn.XLOOKUP(autocompJanta[[#This Row],[COMP ESCALA ANTERIOR]],tabE.Flux[COMP.AT. MOT A],tabE.Flux[LINHA],"NÃO",0,1))</f>
        <v>NÃO</v>
      </c>
      <c r="J151" s="58" t="str">
        <f>IF(autocompJanta[[#This Row],[COMP ESCALA ANTERIOR]]="NÃO","NÃO",_xlfn.XLOOKUP(autocompJanta[[#This Row],[COMP ESCALA ANTERIOR]],tabE.Flux[COMP.AT. MOT B],tabE.Flux[LINHA],"NÃO",0,1))</f>
        <v>NÃO</v>
      </c>
      <c r="K151" s="62" t="str">
        <f>IF(AND(autocompJanta[[#This Row],[EXISTE MOT A ANT]]="NÃO",autocompJanta[[#This Row],[EXISTE MOT B ANT]]="NÃO"),"NÃO","SIM")</f>
        <v>NÃO</v>
      </c>
      <c r="L151" s="59" t="str">
        <f t="shared" si="5"/>
        <v>45914+WASHINGTON ALVES BRITO - 1553</v>
      </c>
      <c r="M151" s="59" t="str">
        <f>IF(autocompJanta[[#This Row],[COMP ESCALA POSTERIOR]]="NÃO","NÃO",_xlfn.XLOOKUP(autocompJanta[[#This Row],[COMP ESCALA POSTERIOR]],tabE.Flux[COMP.AT. MOT A],tabE.Flux[LINHA],"NÃO",0,1))</f>
        <v>NÃO</v>
      </c>
      <c r="N151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151" s="65" t="str">
        <f>IF(AND(autocompJanta[[#This Row],[EXISTE MOT A POS]]="NÃO",autocompJanta[[#This Row],[EXISTE MOT B POS]]="NÃO"),"NÃO","SIM")</f>
        <v>SIM</v>
      </c>
      <c r="P151" s="66" t="str" cm="1">
        <f t="array" ref="P15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51" s="103" t="str" cm="1">
        <f t="array" ref="Q15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45914+WASHINGTON ALVES BRITO - 1553+GOIANIA (GO) X TERESINA (PI) VIA STI</v>
      </c>
      <c r="R151" s="67">
        <f>_xlfn.XLOOKUP(autocompJanta[[#This Row],[COMP ESCALA]],tabE.Flux[COMP. ESCALA MOT B],tabE.Flux[CARRO],
(_xlfn.XLOOKUP(autocompJanta[[#This Row],[COMP ESCALA]],tabE.Flux[COMP. ESCALA MOT A],tabE.Flux[CARRO],"N/E",0,1)),0,1)</f>
        <v>19019</v>
      </c>
      <c r="S151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51" s="127">
        <v>45913</v>
      </c>
      <c r="U151" s="4">
        <f>IF(IFERROR(autocompJanta[[#This Row],[CORRESP. CARRO]],"")="NÃO",(IF(tabJanta[[#This Row],[MOTORISTA]]=0,"","PASSE?")),autocompJanta[[#This Row],[CORRESP. CARRO]])</f>
        <v>19019</v>
      </c>
      <c r="V151" s="128">
        <f>IF(OR(ISERR(autocompJanta[[#This Row],[CORRESP HORARIO]]), autocompJanta[[#This Row],[CORRESP HORARIO]]&lt;&gt;"NÃO"),autocompJanta[[#This Row],[CORRESP HORARIO]],"")</f>
        <v>0.79861111111111116</v>
      </c>
      <c r="W151" s="4" t="s">
        <v>299</v>
      </c>
      <c r="X151" s="4" t="s">
        <v>201</v>
      </c>
      <c r="Y151" s="4">
        <f>IF(tabJanta[[#This Row],[MOTORISTA]]="","",COUNTIF(autocompJanta[COMP ESCALA ATUAL],autocompJanta[[#This Row],[COMP ESCALA ATUAL]]))</f>
        <v>1</v>
      </c>
      <c r="Z151" s="45">
        <f>IF(tabJanta[[#This Row],[MOTORISTA]]&lt;&gt;0,15,"")</f>
        <v>15</v>
      </c>
      <c r="AA151" s="4" t="str">
        <f>autocompJanta[[#This Row],[CORRESP LINHA]]</f>
        <v>GOIANIA (GO) X TERESINA (PI) VIA STI</v>
      </c>
    </row>
    <row r="152" spans="3:27" ht="15" hidden="1" customHeight="1" x14ac:dyDescent="0.25">
      <c r="C152" s="129" t="s">
        <v>226</v>
      </c>
      <c r="D152" s="56" t="str">
        <f>IF(tabJanta[[#This Row],[MOTORISTA]]="","",_xlfn.CONCAT(tabJanta[[#This Row],[DATA]],"+",tabJanta[[#This Row],[MOTORISTA]]))</f>
        <v>45913+KAYLSON KLEYTON DA SILVA COSTA - 6224</v>
      </c>
      <c r="E152" s="56" t="str">
        <f>_xlfn.XLOOKUP(autocompJanta[[#This Row],[COMP ESCALA ATUAL]],tabE.Flux[COMP.AT. MOT A],tabE.Flux[LINHA],"NÃO",0,1)</f>
        <v>NÃO</v>
      </c>
      <c r="F152" s="56" t="str">
        <f>_xlfn.XLOOKUP(autocompJanta[[#This Row],[COMP ESCALA ATUAL]],tabE.Flux[COMP.AT. MOT B],tabE.Flux[LINHA],"NÃO",0,1)</f>
        <v>GOIANIA (GO) X SAO LUIS (MA)</v>
      </c>
      <c r="G152" s="61" t="str">
        <f>IF(AND(autocompJanta[[#This Row],[EXISTE MOT A AT]]="NÃO", autocompJanta[[#This Row],[EXISTE MOT B AT]]="NÃO"),"NÃO","SIM")</f>
        <v>SIM</v>
      </c>
      <c r="H152" s="57" t="str">
        <f>IF(autocompJanta[[#This Row],[EXISTE ESCALA ATUAL]]="NÃO",_xlfn.CONCAT(tabJanta[[#This Row],[DATA]]-1,"+",tabJanta[[#This Row],[MOTORISTA]]),"NÃO")</f>
        <v>NÃO</v>
      </c>
      <c r="I152" s="57" t="str">
        <f>IF(autocompJanta[[#This Row],[COMP ESCALA ANTERIOR]]="NÃO","NÃO",_xlfn.XLOOKUP(autocompJanta[[#This Row],[COMP ESCALA ANTERIOR]],tabE.Flux[COMP.AT. MOT A],tabE.Flux[LINHA],"NÃO",0,1))</f>
        <v>NÃO</v>
      </c>
      <c r="J152" s="58" t="str">
        <f>IF(autocompJanta[[#This Row],[COMP ESCALA ANTERIOR]]="NÃO","NÃO",_xlfn.XLOOKUP(autocompJanta[[#This Row],[COMP ESCALA ANTERIOR]],tabE.Flux[COMP.AT. MOT B],tabE.Flux[LINHA],"NÃO",0,1))</f>
        <v>NÃO</v>
      </c>
      <c r="K152" s="62" t="str">
        <f>IF(AND(autocompJanta[[#This Row],[EXISTE MOT A ANT]]="NÃO",autocompJanta[[#This Row],[EXISTE MOT B ANT]]="NÃO"),"NÃO","SIM")</f>
        <v>NÃO</v>
      </c>
      <c r="L152" s="59" t="str">
        <f t="shared" si="5"/>
        <v>45914+KAYLSON KLEYTON DA SILVA COSTA - 6224</v>
      </c>
      <c r="M152" s="59" t="str">
        <f>IF(autocompJanta[[#This Row],[COMP ESCALA POSTERIOR]]="NÃO","NÃO",_xlfn.XLOOKUP(autocompJanta[[#This Row],[COMP ESCALA POSTERIOR]],tabE.Flux[COMP.AT. MOT A],tabE.Flux[LINHA],"NÃO",0,1))</f>
        <v>NÃO</v>
      </c>
      <c r="N152" s="59" t="str">
        <f>IF(autocompJanta[[#This Row],[COMP ESCALA POSTERIOR]]="NÃO","NÃO",_xlfn.XLOOKUP(autocompJanta[[#This Row],[COMP ESCALA POSTERIOR]],tabE.Flux[COMP.AT. MOT B],tabE.Flux[LINHA],"NÃO",0,1))</f>
        <v>NÃO</v>
      </c>
      <c r="O152" s="65" t="str">
        <f>IF(AND(autocompJanta[[#This Row],[EXISTE MOT A POS]]="NÃO",autocompJanta[[#This Row],[EXISTE MOT B POS]]="NÃO"),"NÃO","SIM")</f>
        <v>NÃO</v>
      </c>
      <c r="P152" s="66" t="str" cm="1">
        <f t="array" ref="P15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52" s="103" t="str" cm="1">
        <f t="array" ref="Q15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45913+KAYLSON KLEYTON DA SILVA COSTA - 6224+GOIANIA (GO) X SAO LUIS (MA)</v>
      </c>
      <c r="R152" s="67">
        <f>_xlfn.XLOOKUP(autocompJanta[[#This Row],[COMP ESCALA]],tabE.Flux[COMP. ESCALA MOT B],tabE.Flux[CARRO],
(_xlfn.XLOOKUP(autocompJanta[[#This Row],[COMP ESCALA]],tabE.Flux[COMP. ESCALA MOT A],tabE.Flux[CARRO],"N/E",0,1)),0,1)</f>
        <v>19007</v>
      </c>
      <c r="S152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52" s="127">
        <v>45913</v>
      </c>
      <c r="U152" s="4">
        <f>IF(IFERROR(autocompJanta[[#This Row],[CORRESP. CARRO]],"")="NÃO",(IF(tabJanta[[#This Row],[MOTORISTA]]=0,"","PASSE?")),autocompJanta[[#This Row],[CORRESP. CARRO]])</f>
        <v>19007</v>
      </c>
      <c r="V152" s="128">
        <f>IF(OR(ISERR(autocompJanta[[#This Row],[CORRESP HORARIO]]), autocompJanta[[#This Row],[CORRESP HORARIO]]&lt;&gt;"NÃO"),autocompJanta[[#This Row],[CORRESP HORARIO]],"")</f>
        <v>0.47013888888888888</v>
      </c>
      <c r="W152" s="4" t="s">
        <v>299</v>
      </c>
      <c r="X152" s="4" t="s">
        <v>80</v>
      </c>
      <c r="Y152" s="4">
        <f>IF(tabJanta[[#This Row],[MOTORISTA]]="","",COUNTIF(autocompJanta[COMP ESCALA ATUAL],autocompJanta[[#This Row],[COMP ESCALA ATUAL]]))</f>
        <v>1</v>
      </c>
      <c r="Z152" s="45">
        <f>IF(tabJanta[[#This Row],[MOTORISTA]]&lt;&gt;0,15,"")</f>
        <v>15</v>
      </c>
      <c r="AA152" s="4" t="str">
        <f>autocompJanta[[#This Row],[CORRESP LINHA]]</f>
        <v>GOIANIA (GO) X SAO LUIS (MA)</v>
      </c>
    </row>
    <row r="153" spans="3:27" ht="15" hidden="1" customHeight="1" x14ac:dyDescent="0.25">
      <c r="C153" s="129" t="s">
        <v>226</v>
      </c>
      <c r="D153" s="56" t="str">
        <f>IF(tabJanta[[#This Row],[MOTORISTA]]="","",_xlfn.CONCAT(tabJanta[[#This Row],[DATA]],"+",tabJanta[[#This Row],[MOTORISTA]]))</f>
        <v>45913+RONNE RODRIGUES DE SOUSA - 5025</v>
      </c>
      <c r="E153" s="56" t="str">
        <f>_xlfn.XLOOKUP(autocompJanta[[#This Row],[COMP ESCALA ATUAL]],tabE.Flux[COMP.AT. MOT A],tabE.Flux[LINHA],"NÃO",0,1)</f>
        <v>NÃO</v>
      </c>
      <c r="F153" s="56" t="str">
        <f>_xlfn.XLOOKUP(autocompJanta[[#This Row],[COMP ESCALA ATUAL]],tabE.Flux[COMP.AT. MOT B],tabE.Flux[LINHA],"NÃO",0,1)</f>
        <v>GOIANIA (GO) X SAO LUIS (MA)</v>
      </c>
      <c r="G153" s="61" t="str">
        <f>IF(AND(autocompJanta[[#This Row],[EXISTE MOT A AT]]="NÃO", autocompJanta[[#This Row],[EXISTE MOT B AT]]="NÃO"),"NÃO","SIM")</f>
        <v>SIM</v>
      </c>
      <c r="H153" s="57" t="str">
        <f>IF(autocompJanta[[#This Row],[EXISTE ESCALA ATUAL]]="NÃO",_xlfn.CONCAT(tabJanta[[#This Row],[DATA]]-1,"+",tabJanta[[#This Row],[MOTORISTA]]),"NÃO")</f>
        <v>NÃO</v>
      </c>
      <c r="I153" s="57" t="str">
        <f>IF(autocompJanta[[#This Row],[COMP ESCALA ANTERIOR]]="NÃO","NÃO",_xlfn.XLOOKUP(autocompJanta[[#This Row],[COMP ESCALA ANTERIOR]],tabE.Flux[COMP.AT. MOT A],tabE.Flux[LINHA],"NÃO",0,1))</f>
        <v>NÃO</v>
      </c>
      <c r="J153" s="58" t="str">
        <f>IF(autocompJanta[[#This Row],[COMP ESCALA ANTERIOR]]="NÃO","NÃO",_xlfn.XLOOKUP(autocompJanta[[#This Row],[COMP ESCALA ANTERIOR]],tabE.Flux[COMP.AT. MOT B],tabE.Flux[LINHA],"NÃO",0,1))</f>
        <v>NÃO</v>
      </c>
      <c r="K153" s="62" t="str">
        <f>IF(AND(autocompJanta[[#This Row],[EXISTE MOT A ANT]]="NÃO",autocompJanta[[#This Row],[EXISTE MOT B ANT]]="NÃO"),"NÃO","SIM")</f>
        <v>NÃO</v>
      </c>
      <c r="L153" s="59" t="str">
        <f t="shared" si="5"/>
        <v>45914+RONNE RODRIGUES DE SOUSA - 5025</v>
      </c>
      <c r="M153" s="59" t="str">
        <f>IF(autocompJanta[[#This Row],[COMP ESCALA POSTERIOR]]="NÃO","NÃO",_xlfn.XLOOKUP(autocompJanta[[#This Row],[COMP ESCALA POSTERIOR]],tabE.Flux[COMP.AT. MOT A],tabE.Flux[LINHA],"NÃO",0,1))</f>
        <v>NÃO</v>
      </c>
      <c r="N153" s="59" t="str">
        <f>IF(autocompJanta[[#This Row],[COMP ESCALA POSTERIOR]]="NÃO","NÃO",_xlfn.XLOOKUP(autocompJanta[[#This Row],[COMP ESCALA POSTERIOR]],tabE.Flux[COMP.AT. MOT B],tabE.Flux[LINHA],"NÃO",0,1))</f>
        <v>NÃO</v>
      </c>
      <c r="O153" s="65" t="str">
        <f>IF(AND(autocompJanta[[#This Row],[EXISTE MOT A POS]]="NÃO",autocompJanta[[#This Row],[EXISTE MOT B POS]]="NÃO"),"NÃO","SIM")</f>
        <v>NÃO</v>
      </c>
      <c r="P153" s="66" t="str" cm="1">
        <f t="array" ref="P15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53" s="103" t="str" cm="1">
        <f t="array" ref="Q15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45913+RONNE RODRIGUES DE SOUSA - 5025+GOIANIA (GO) X SAO LUIS (MA)</v>
      </c>
      <c r="R153" s="67">
        <f>_xlfn.XLOOKUP(autocompJanta[[#This Row],[COMP ESCALA]],tabE.Flux[COMP. ESCALA MOT B],tabE.Flux[CARRO],
(_xlfn.XLOOKUP(autocompJanta[[#This Row],[COMP ESCALA]],tabE.Flux[COMP. ESCALA MOT A],tabE.Flux[CARRO],"N/E",0,1)),0,1)</f>
        <v>24015</v>
      </c>
      <c r="S153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53" s="127">
        <v>45913</v>
      </c>
      <c r="U153" s="4">
        <f>IF(IFERROR(autocompJanta[[#This Row],[CORRESP. CARRO]],"")="NÃO",(IF(tabJanta[[#This Row],[MOTORISTA]]=0,"","PASSE?")),autocompJanta[[#This Row],[CORRESP. CARRO]])</f>
        <v>24015</v>
      </c>
      <c r="V153" s="128">
        <f>IF(OR(ISERR(autocompJanta[[#This Row],[CORRESP HORARIO]]), autocompJanta[[#This Row],[CORRESP HORARIO]]&lt;&gt;"NÃO"),autocompJanta[[#This Row],[CORRESP HORARIO]],"")</f>
        <v>0.79166666666666663</v>
      </c>
      <c r="W153" s="4" t="s">
        <v>299</v>
      </c>
      <c r="X153" s="4" t="s">
        <v>85</v>
      </c>
      <c r="Y153" s="4">
        <f>IF(tabJanta[[#This Row],[MOTORISTA]]="","",COUNTIF(autocompJanta[COMP ESCALA ATUAL],autocompJanta[[#This Row],[COMP ESCALA ATUAL]]))</f>
        <v>1</v>
      </c>
      <c r="Z153" s="45">
        <f>IF(tabJanta[[#This Row],[MOTORISTA]]&lt;&gt;0,15,"")</f>
        <v>15</v>
      </c>
      <c r="AA153" s="4" t="str">
        <f>autocompJanta[[#This Row],[CORRESP LINHA]]</f>
        <v>GOIANIA (GO) X SAO LUIS (MA)</v>
      </c>
    </row>
    <row r="154" spans="3:27" ht="15" hidden="1" customHeight="1" x14ac:dyDescent="0.25">
      <c r="C154" s="129" t="s">
        <v>226</v>
      </c>
      <c r="D154" s="56" t="str">
        <f>IF(tabJanta[[#This Row],[MOTORISTA]]="","",_xlfn.CONCAT(tabJanta[[#This Row],[DATA]],"+",tabJanta[[#This Row],[MOTORISTA]]))</f>
        <v>45913+PEDRO PAULO DO NASCIMENTO DO CARMO - 2559</v>
      </c>
      <c r="E154" s="56" t="str">
        <f>_xlfn.XLOOKUP(autocompJanta[[#This Row],[COMP ESCALA ATUAL]],tabE.Flux[COMP.AT. MOT A],tabE.Flux[LINHA],"NÃO",0,1)</f>
        <v>NÃO</v>
      </c>
      <c r="F154" s="56" t="str">
        <f>_xlfn.XLOOKUP(autocompJanta[[#This Row],[COMP ESCALA ATUAL]],tabE.Flux[COMP.AT. MOT B],tabE.Flux[LINHA],"NÃO",0,1)</f>
        <v>FORTALEZA (CE) X SINOP (MT)</v>
      </c>
      <c r="G154" s="61" t="str">
        <f>IF(AND(autocompJanta[[#This Row],[EXISTE MOT A AT]]="NÃO", autocompJanta[[#This Row],[EXISTE MOT B AT]]="NÃO"),"NÃO","SIM")</f>
        <v>SIM</v>
      </c>
      <c r="H154" s="57" t="str">
        <f>IF(autocompJanta[[#This Row],[EXISTE ESCALA ATUAL]]="NÃO",_xlfn.CONCAT(tabJanta[[#This Row],[DATA]]-1,"+",tabJanta[[#This Row],[MOTORISTA]]),"NÃO")</f>
        <v>NÃO</v>
      </c>
      <c r="I154" s="57" t="str">
        <f>IF(autocompJanta[[#This Row],[COMP ESCALA ANTERIOR]]="NÃO","NÃO",_xlfn.XLOOKUP(autocompJanta[[#This Row],[COMP ESCALA ANTERIOR]],tabE.Flux[COMP.AT. MOT A],tabE.Flux[LINHA],"NÃO",0,1))</f>
        <v>NÃO</v>
      </c>
      <c r="J154" s="58" t="str">
        <f>IF(autocompJanta[[#This Row],[COMP ESCALA ANTERIOR]]="NÃO","NÃO",_xlfn.XLOOKUP(autocompJanta[[#This Row],[COMP ESCALA ANTERIOR]],tabE.Flux[COMP.AT. MOT B],tabE.Flux[LINHA],"NÃO",0,1))</f>
        <v>NÃO</v>
      </c>
      <c r="K154" s="62" t="str">
        <f>IF(AND(autocompJanta[[#This Row],[EXISTE MOT A ANT]]="NÃO",autocompJanta[[#This Row],[EXISTE MOT B ANT]]="NÃO"),"NÃO","SIM")</f>
        <v>NÃO</v>
      </c>
      <c r="L154" s="59" t="str">
        <f t="shared" si="5"/>
        <v>45914+PEDRO PAULO DO NASCIMENTO DO CARMO - 2559</v>
      </c>
      <c r="M154" s="59" t="str">
        <f>IF(autocompJanta[[#This Row],[COMP ESCALA POSTERIOR]]="NÃO","NÃO",_xlfn.XLOOKUP(autocompJanta[[#This Row],[COMP ESCALA POSTERIOR]],tabE.Flux[COMP.AT. MOT A],tabE.Flux[LINHA],"NÃO",0,1))</f>
        <v>NÃO</v>
      </c>
      <c r="N154" s="59" t="str">
        <f>IF(autocompJanta[[#This Row],[COMP ESCALA POSTERIOR]]="NÃO","NÃO",_xlfn.XLOOKUP(autocompJanta[[#This Row],[COMP ESCALA POSTERIOR]],tabE.Flux[COMP.AT. MOT B],tabE.Flux[LINHA],"NÃO",0,1))</f>
        <v>NÃO</v>
      </c>
      <c r="O154" s="65" t="str">
        <f>IF(AND(autocompJanta[[#This Row],[EXISTE MOT A POS]]="NÃO",autocompJanta[[#This Row],[EXISTE MOT B POS]]="NÃO"),"NÃO","SIM")</f>
        <v>NÃO</v>
      </c>
      <c r="P154" s="66" t="str" cm="1">
        <f t="array" ref="P15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54" s="103" t="str" cm="1">
        <f t="array" ref="Q15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45913+PEDRO PAULO DO NASCIMENTO DO CARMO - 2559+FORTALEZA (CE) X SINOP (MT)</v>
      </c>
      <c r="R154" s="67">
        <f>_xlfn.XLOOKUP(autocompJanta[[#This Row],[COMP ESCALA]],tabE.Flux[COMP. ESCALA MOT B],tabE.Flux[CARRO],
(_xlfn.XLOOKUP(autocompJanta[[#This Row],[COMP ESCALA]],tabE.Flux[COMP. ESCALA MOT A],tabE.Flux[CARRO],"N/E",0,1)),0,1)</f>
        <v>20016</v>
      </c>
      <c r="S154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54" s="127">
        <v>45913</v>
      </c>
      <c r="U154" s="4">
        <f>IF(IFERROR(autocompJanta[[#This Row],[CORRESP. CARRO]],"")="NÃO",(IF(tabJanta[[#This Row],[MOTORISTA]]=0,"","PASSE?")),autocompJanta[[#This Row],[CORRESP. CARRO]])</f>
        <v>20016</v>
      </c>
      <c r="V154" s="128">
        <f>IF(OR(ISERR(autocompJanta[[#This Row],[CORRESP HORARIO]]), autocompJanta[[#This Row],[CORRESP HORARIO]]&lt;&gt;"NÃO"),autocompJanta[[#This Row],[CORRESP HORARIO]],"")</f>
        <v>0.37708333333333333</v>
      </c>
      <c r="W154" s="4" t="s">
        <v>299</v>
      </c>
      <c r="X154" s="4" t="s">
        <v>175</v>
      </c>
      <c r="Y154" s="4">
        <f>IF(tabJanta[[#This Row],[MOTORISTA]]="","",COUNTIF(autocompJanta[COMP ESCALA ATUAL],autocompJanta[[#This Row],[COMP ESCALA ATUAL]]))</f>
        <v>1</v>
      </c>
      <c r="Z154" s="45">
        <f>IF(tabJanta[[#This Row],[MOTORISTA]]&lt;&gt;0,15,"")</f>
        <v>15</v>
      </c>
      <c r="AA154" s="4" t="str">
        <f>autocompJanta[[#This Row],[CORRESP LINHA]]</f>
        <v>FORTALEZA (CE) X SINOP (MT)</v>
      </c>
    </row>
    <row r="155" spans="3:27" ht="15" hidden="1" customHeight="1" x14ac:dyDescent="0.25">
      <c r="C155" s="129" t="s">
        <v>226</v>
      </c>
      <c r="D155" s="56" t="str">
        <f>IF(tabJanta[[#This Row],[MOTORISTA]]="","",_xlfn.CONCAT(tabJanta[[#This Row],[DATA]],"+",tabJanta[[#This Row],[MOTORISTA]]))</f>
        <v>45913+GILDEVAN DE ALMEIDA AGOSTINHO - 1924</v>
      </c>
      <c r="E155" s="56" t="str">
        <f>_xlfn.XLOOKUP(autocompJanta[[#This Row],[COMP ESCALA ATUAL]],tabE.Flux[COMP.AT. MOT A],tabE.Flux[LINHA],"NÃO",0,1)</f>
        <v>NÃO</v>
      </c>
      <c r="F155" s="56" t="str">
        <f>_xlfn.XLOOKUP(autocompJanta[[#This Row],[COMP ESCALA ATUAL]],tabE.Flux[COMP.AT. MOT B],tabE.Flux[LINHA],"NÃO",0,1)</f>
        <v>NÃO</v>
      </c>
      <c r="G155" s="61" t="str">
        <f>IF(AND(autocompJanta[[#This Row],[EXISTE MOT A AT]]="NÃO", autocompJanta[[#This Row],[EXISTE MOT B AT]]="NÃO"),"NÃO","SIM")</f>
        <v>NÃO</v>
      </c>
      <c r="H155" s="57" t="str">
        <f>IF(autocompJanta[[#This Row],[EXISTE ESCALA ATUAL]]="NÃO",_xlfn.CONCAT(tabJanta[[#This Row],[DATA]]-1,"+",tabJanta[[#This Row],[MOTORISTA]]),"NÃO")</f>
        <v>45912+GILDEVAN DE ALMEIDA AGOSTINHO - 1924</v>
      </c>
      <c r="I155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55" s="58" t="str">
        <f>IF(autocompJanta[[#This Row],[COMP ESCALA ANTERIOR]]="NÃO","NÃO",_xlfn.XLOOKUP(autocompJanta[[#This Row],[COMP ESCALA ANTERIOR]],tabE.Flux[COMP.AT. MOT B],tabE.Flux[LINHA],"NÃO",0,1))</f>
        <v>NÃO</v>
      </c>
      <c r="K155" s="62" t="str">
        <f>IF(AND(autocompJanta[[#This Row],[EXISTE MOT A ANT]]="NÃO",autocompJanta[[#This Row],[EXISTE MOT B ANT]]="NÃO"),"NÃO","SIM")</f>
        <v>SIM</v>
      </c>
      <c r="L155" s="59" t="str">
        <f t="shared" si="5"/>
        <v>45914+GILDEVAN DE ALMEIDA AGOSTINHO - 1924</v>
      </c>
      <c r="M155" s="59" t="str">
        <f>IF(autocompJanta[[#This Row],[COMP ESCALA POSTERIOR]]="NÃO","NÃO",_xlfn.XLOOKUP(autocompJanta[[#This Row],[COMP ESCALA POSTERIOR]],tabE.Flux[COMP.AT. MOT A],tabE.Flux[LINHA],"NÃO",0,1))</f>
        <v>NÃO</v>
      </c>
      <c r="N155" s="59" t="str">
        <f>IF(autocompJanta[[#This Row],[COMP ESCALA POSTERIOR]]="NÃO","NÃO",_xlfn.XLOOKUP(autocompJanta[[#This Row],[COMP ESCALA POSTERIOR]],tabE.Flux[COMP.AT. MOT B],tabE.Flux[LINHA],"NÃO",0,1))</f>
        <v>NÃO</v>
      </c>
      <c r="O155" s="65" t="str">
        <f>IF(AND(autocompJanta[[#This Row],[EXISTE MOT A POS]]="NÃO",autocompJanta[[#This Row],[EXISTE MOT B POS]]="NÃO"),"NÃO","SIM")</f>
        <v>NÃO</v>
      </c>
      <c r="P155" s="66" t="str" cm="1">
        <f t="array" ref="P15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55" s="103" t="str" cm="1">
        <f t="array" ref="Q15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45912+GILDEVAN DE ALMEIDA AGOSTINHO - 1924+GOIANIA (GO) X TERESINA (PI) VIA STI</v>
      </c>
      <c r="R155" s="67">
        <f>_xlfn.XLOOKUP(autocompJanta[[#This Row],[COMP ESCALA]],tabE.Flux[COMP. ESCALA MOT B],tabE.Flux[CARRO],
(_xlfn.XLOOKUP(autocompJanta[[#This Row],[COMP ESCALA]],tabE.Flux[COMP. ESCALA MOT A],tabE.Flux[CARRO],"N/E",0,1)),0,1)</f>
        <v>19002</v>
      </c>
      <c r="S155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55" s="127">
        <v>45913</v>
      </c>
      <c r="U155" s="4">
        <f>IF(IFERROR(autocompJanta[[#This Row],[CORRESP. CARRO]],"")="NÃO",(IF(tabJanta[[#This Row],[MOTORISTA]]=0,"","PASSE?")),autocompJanta[[#This Row],[CORRESP. CARRO]])</f>
        <v>19002</v>
      </c>
      <c r="V155" s="128">
        <f>IF(OR(ISERR(autocompJanta[[#This Row],[CORRESP HORARIO]]), autocompJanta[[#This Row],[CORRESP HORARIO]]&lt;&gt;"NÃO"),autocompJanta[[#This Row],[CORRESP HORARIO]],"")</f>
        <v>0.79861111111111116</v>
      </c>
      <c r="W155" s="4" t="s">
        <v>299</v>
      </c>
      <c r="X155" s="4" t="s">
        <v>236</v>
      </c>
      <c r="Y155" s="4">
        <f>IF(tabJanta[[#This Row],[MOTORISTA]]="","",COUNTIF(autocompJanta[COMP ESCALA ATUAL],autocompJanta[[#This Row],[COMP ESCALA ATUAL]]))</f>
        <v>1</v>
      </c>
      <c r="Z155" s="45">
        <f>IF(tabJanta[[#This Row],[MOTORISTA]]&lt;&gt;0,15,"")</f>
        <v>15</v>
      </c>
      <c r="AA155" s="4" t="str">
        <f>autocompJanta[[#This Row],[CORRESP LINHA]]</f>
        <v>GOIANIA (GO) X TERESINA (PI) VIA STI</v>
      </c>
    </row>
    <row r="156" spans="3:27" ht="15" hidden="1" customHeight="1" x14ac:dyDescent="0.25">
      <c r="C156" s="129" t="s">
        <v>226</v>
      </c>
      <c r="D156" s="56" t="str">
        <f>IF(tabJanta[[#This Row],[MOTORISTA]]="","",_xlfn.CONCAT(tabJanta[[#This Row],[DATA]],"+",tabJanta[[#This Row],[MOTORISTA]]))</f>
        <v>45914+MANOEL MESSIAS SILVA DOS SANTOS - 1833</v>
      </c>
      <c r="E156" s="56" t="str">
        <f>_xlfn.XLOOKUP(autocompJanta[[#This Row],[COMP ESCALA ATUAL]],tabE.Flux[COMP.AT. MOT A],tabE.Flux[LINHA],"NÃO",0,1)</f>
        <v>NÃO</v>
      </c>
      <c r="F156" s="56" t="str">
        <f>_xlfn.XLOOKUP(autocompJanta[[#This Row],[COMP ESCALA ATUAL]],tabE.Flux[COMP.AT. MOT B],tabE.Flux[LINHA],"NÃO",0,1)</f>
        <v>NÃO</v>
      </c>
      <c r="G156" s="61" t="str">
        <f>IF(AND(autocompJanta[[#This Row],[EXISTE MOT A AT]]="NÃO", autocompJanta[[#This Row],[EXISTE MOT B AT]]="NÃO"),"NÃO","SIM")</f>
        <v>NÃO</v>
      </c>
      <c r="H156" s="57" t="str">
        <f>IF(autocompJanta[[#This Row],[EXISTE ESCALA ATUAL]]="NÃO",_xlfn.CONCAT(tabJanta[[#This Row],[DATA]]-1,"+",tabJanta[[#This Row],[MOTORISTA]]),"NÃO")</f>
        <v>45913+MANOEL MESSIAS SILVA DOS SANTOS - 1833</v>
      </c>
      <c r="I156" s="57" t="str">
        <f>IF(autocompJanta[[#This Row],[COMP ESCALA ANTERIOR]]="NÃO","NÃO",_xlfn.XLOOKUP(autocompJanta[[#This Row],[COMP ESCALA ANTERIOR]],tabE.Flux[COMP.AT. MOT A],tabE.Flux[LINHA],"NÃO",0,1))</f>
        <v>GOIANIA (GO) X SAO LUIS (MA)</v>
      </c>
      <c r="J156" s="58" t="str">
        <f>IF(autocompJanta[[#This Row],[COMP ESCALA ANTERIOR]]="NÃO","NÃO",_xlfn.XLOOKUP(autocompJanta[[#This Row],[COMP ESCALA ANTERIOR]],tabE.Flux[COMP.AT. MOT B],tabE.Flux[LINHA],"NÃO",0,1))</f>
        <v>NÃO</v>
      </c>
      <c r="K156" s="62" t="str">
        <f>IF(AND(autocompJanta[[#This Row],[EXISTE MOT A ANT]]="NÃO",autocompJanta[[#This Row],[EXISTE MOT B ANT]]="NÃO"),"NÃO","SIM")</f>
        <v>SIM</v>
      </c>
      <c r="L156" s="59" t="e">
        <f>_xlfn.CONCAT(#REF!+1,"+",#REF!)</f>
        <v>#REF!</v>
      </c>
      <c r="M156" s="59" t="e">
        <f>IF(autocompJanta[[#This Row],[COMP ESCALA POSTERIOR]]="NÃO","NÃO",_xlfn.XLOOKUP(autocompJanta[[#This Row],[COMP ESCALA POSTERIOR]],tabE.Flux[COMP.AT. MOT A],tabE.Flux[LINHA],"NÃO",0,1))</f>
        <v>#REF!</v>
      </c>
      <c r="N156" s="59" t="e">
        <f>IF(autocompJanta[[#This Row],[COMP ESCALA POSTERIOR]]="NÃO","NÃO",_xlfn.XLOOKUP(autocompJanta[[#This Row],[COMP ESCALA POSTERIOR]],tabE.Flux[COMP.AT. MOT B],tabE.Flux[LINHA],"NÃO",0,1))</f>
        <v>#REF!</v>
      </c>
      <c r="O156" s="65" t="e">
        <f>IF(AND(autocompJanta[[#This Row],[EXISTE MOT A POS]]="NÃO",autocompJanta[[#This Row],[EXISTE MOT B POS]]="NÃO"),"NÃO","SIM")</f>
        <v>#REF!</v>
      </c>
      <c r="P156" s="66" t="str" cm="1">
        <f t="array" ref="P15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56" s="103" t="str" cm="1">
        <f t="array" ref="Q15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45913+MANOEL MESSIAS SILVA DOS SANTOS - 1833+GOIANIA (GO) X SAO LUIS (MA)</v>
      </c>
      <c r="R156" s="67">
        <f>_xlfn.XLOOKUP(autocompJanta[[#This Row],[COMP ESCALA]],tabE.Flux[COMP. ESCALA MOT B],tabE.Flux[CARRO],
(_xlfn.XLOOKUP(autocompJanta[[#This Row],[COMP ESCALA]],tabE.Flux[COMP. ESCALA MOT A],tabE.Flux[CARRO],"N/E",0,1)),0,1)</f>
        <v>25008</v>
      </c>
      <c r="S156" s="130">
        <f>_xlfn.XLOOKUP(autocompJanta[[#This Row],[COMP ESCALA]],tabE.Flux[COMP. ESCALA MOT A],tabE.Flux[HORARIO],(_xlfn.XLOOKUP(autocompJanta[[#This Row],[COMP ESCALA]],tabE.Flux[COMP. ESCALA MOT B],tabE.Flux[HORARIO],"N/E",0,1)),0,1)</f>
        <v>0.84375</v>
      </c>
      <c r="T156" s="125">
        <v>45914</v>
      </c>
      <c r="U156" s="4">
        <v>25008</v>
      </c>
      <c r="V156" s="126">
        <v>0.84375</v>
      </c>
      <c r="W156" s="1" t="s">
        <v>299</v>
      </c>
      <c r="X156" s="1" t="s">
        <v>173</v>
      </c>
      <c r="Y156" s="1">
        <v>1</v>
      </c>
      <c r="Z156" s="105">
        <v>15</v>
      </c>
      <c r="AA156" s="4" t="s">
        <v>23</v>
      </c>
    </row>
    <row r="157" spans="3:27" ht="15" hidden="1" customHeight="1" x14ac:dyDescent="0.25">
      <c r="C157" s="129" t="s">
        <v>226</v>
      </c>
      <c r="D157" s="56" t="str">
        <f>IF(tabJanta[[#This Row],[MOTORISTA]]="","",_xlfn.CONCAT(tabJanta[[#This Row],[DATA]],"+",tabJanta[[#This Row],[MOTORISTA]]))</f>
        <v>45914+LUIS ANTONIO FARIAS RIBEIRO - 2789</v>
      </c>
      <c r="E157" s="56" t="str">
        <f>_xlfn.XLOOKUP(autocompJanta[[#This Row],[COMP ESCALA ATUAL]],tabE.Flux[COMP.AT. MOT A],tabE.Flux[LINHA],"NÃO",0,1)</f>
        <v>NÃO</v>
      </c>
      <c r="F157" s="56" t="str">
        <f>_xlfn.XLOOKUP(autocompJanta[[#This Row],[COMP ESCALA ATUAL]],tabE.Flux[COMP.AT. MOT B],tabE.Flux[LINHA],"NÃO",0,1)</f>
        <v>NÃO</v>
      </c>
      <c r="G157" s="61" t="str">
        <f>IF(AND(autocompJanta[[#This Row],[EXISTE MOT A AT]]="NÃO", autocompJanta[[#This Row],[EXISTE MOT B AT]]="NÃO"),"NÃO","SIM")</f>
        <v>NÃO</v>
      </c>
      <c r="H157" s="57" t="str">
        <f>IF(autocompJanta[[#This Row],[EXISTE ESCALA ATUAL]]="NÃO",_xlfn.CONCAT(tabJanta[[#This Row],[DATA]]-1,"+",tabJanta[[#This Row],[MOTORISTA]]),"NÃO")</f>
        <v>45913+LUIS ANTONIO FARIAS RIBEIRO - 2789</v>
      </c>
      <c r="I157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57" s="58" t="str">
        <f>IF(autocompJanta[[#This Row],[COMP ESCALA ANTERIOR]]="NÃO","NÃO",_xlfn.XLOOKUP(autocompJanta[[#This Row],[COMP ESCALA ANTERIOR]],tabE.Flux[COMP.AT. MOT B],tabE.Flux[LINHA],"NÃO",0,1))</f>
        <v>NÃO</v>
      </c>
      <c r="K157" s="62" t="str">
        <f>IF(AND(autocompJanta[[#This Row],[EXISTE MOT A ANT]]="NÃO",autocompJanta[[#This Row],[EXISTE MOT B ANT]]="NÃO"),"NÃO","SIM")</f>
        <v>SIM</v>
      </c>
      <c r="L157" s="59" t="str">
        <f t="shared" ref="L157:L162" si="6">_xlfn.CONCAT(T157+1,"+",X157)</f>
        <v>45915+LUIS ANTONIO FARIAS RIBEIRO - 2789</v>
      </c>
      <c r="M157" s="59" t="str">
        <f>IF(autocompJanta[[#This Row],[COMP ESCALA POSTERIOR]]="NÃO","NÃO",_xlfn.XLOOKUP(autocompJanta[[#This Row],[COMP ESCALA POSTERIOR]],tabE.Flux[COMP.AT. MOT A],tabE.Flux[LINHA],"NÃO",0,1))</f>
        <v>NÃO</v>
      </c>
      <c r="N157" s="59" t="str">
        <f>IF(autocompJanta[[#This Row],[COMP ESCALA POSTERIOR]]="NÃO","NÃO",_xlfn.XLOOKUP(autocompJanta[[#This Row],[COMP ESCALA POSTERIOR]],tabE.Flux[COMP.AT. MOT B],tabE.Flux[LINHA],"NÃO",0,1))</f>
        <v>NÃO</v>
      </c>
      <c r="O157" s="65" t="str">
        <f>IF(AND(autocompJanta[[#This Row],[EXISTE MOT A POS]]="NÃO",autocompJanta[[#This Row],[EXISTE MOT B POS]]="NÃO"),"NÃO","SIM")</f>
        <v>NÃO</v>
      </c>
      <c r="P157" s="66" t="str" cm="1">
        <f t="array" ref="P15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57" s="103" t="str" cm="1">
        <f t="array" ref="Q15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45913+LUIS ANTONIO FARIAS RIBEIRO - 2789+GOIANIA (GO) X TERESINA (PI) VIA STI</v>
      </c>
      <c r="R157" s="67">
        <f>_xlfn.XLOOKUP(autocompJanta[[#This Row],[COMP ESCALA]],tabE.Flux[COMP. ESCALA MOT B],tabE.Flux[CARRO],
(_xlfn.XLOOKUP(autocompJanta[[#This Row],[COMP ESCALA]],tabE.Flux[COMP. ESCALA MOT A],tabE.Flux[CARRO],"N/E",0,1)),0,1)</f>
        <v>19024</v>
      </c>
      <c r="S157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57" s="127">
        <v>45914</v>
      </c>
      <c r="U157" s="4">
        <v>19024</v>
      </c>
      <c r="V157" s="128">
        <v>0.79861111111111116</v>
      </c>
      <c r="W157" s="4" t="s">
        <v>299</v>
      </c>
      <c r="X157" s="4" t="s">
        <v>124</v>
      </c>
      <c r="Y157" s="4">
        <v>1</v>
      </c>
      <c r="Z157" s="45">
        <v>15</v>
      </c>
      <c r="AA157" s="4" t="s">
        <v>26</v>
      </c>
    </row>
    <row r="158" spans="3:27" ht="15" hidden="1" customHeight="1" x14ac:dyDescent="0.25">
      <c r="C158" s="129" t="s">
        <v>226</v>
      </c>
      <c r="D158" s="56" t="str">
        <f>IF(tabJanta[[#This Row],[MOTORISTA]]="","",_xlfn.CONCAT(tabJanta[[#This Row],[DATA]],"+",tabJanta[[#This Row],[MOTORISTA]]))</f>
        <v>45914+RAIMUNDO GUIMARAES ARAUJO - 1920</v>
      </c>
      <c r="E158" s="56" t="str">
        <f>_xlfn.XLOOKUP(autocompJanta[[#This Row],[COMP ESCALA ATUAL]],tabE.Flux[COMP.AT. MOT A],tabE.Flux[LINHA],"NÃO",0,1)</f>
        <v>NÃO</v>
      </c>
      <c r="F158" s="56" t="str">
        <f>_xlfn.XLOOKUP(autocompJanta[[#This Row],[COMP ESCALA ATUAL]],tabE.Flux[COMP.AT. MOT B],tabE.Flux[LINHA],"NÃO",0,1)</f>
        <v>GOIANIA (GO) X SAO LUIS (MA)</v>
      </c>
      <c r="G158" s="61" t="str">
        <f>IF(AND(autocompJanta[[#This Row],[EXISTE MOT A AT]]="NÃO", autocompJanta[[#This Row],[EXISTE MOT B AT]]="NÃO"),"NÃO","SIM")</f>
        <v>SIM</v>
      </c>
      <c r="H158" s="57" t="str">
        <f>IF(autocompJanta[[#This Row],[EXISTE ESCALA ATUAL]]="NÃO",_xlfn.CONCAT(tabJanta[[#This Row],[DATA]]-1,"+",tabJanta[[#This Row],[MOTORISTA]]),"NÃO")</f>
        <v>NÃO</v>
      </c>
      <c r="I158" s="57" t="str">
        <f>IF(autocompJanta[[#This Row],[COMP ESCALA ANTERIOR]]="NÃO","NÃO",_xlfn.XLOOKUP(autocompJanta[[#This Row],[COMP ESCALA ANTERIOR]],tabE.Flux[COMP.AT. MOT A],tabE.Flux[LINHA],"NÃO",0,1))</f>
        <v>NÃO</v>
      </c>
      <c r="J158" s="58" t="str">
        <f>IF(autocompJanta[[#This Row],[COMP ESCALA ANTERIOR]]="NÃO","NÃO",_xlfn.XLOOKUP(autocompJanta[[#This Row],[COMP ESCALA ANTERIOR]],tabE.Flux[COMP.AT. MOT B],tabE.Flux[LINHA],"NÃO",0,1))</f>
        <v>NÃO</v>
      </c>
      <c r="K158" s="62" t="str">
        <f>IF(AND(autocompJanta[[#This Row],[EXISTE MOT A ANT]]="NÃO",autocompJanta[[#This Row],[EXISTE MOT B ANT]]="NÃO"),"NÃO","SIM")</f>
        <v>NÃO</v>
      </c>
      <c r="L158" s="59" t="str">
        <f t="shared" si="6"/>
        <v>45915+RAIMUNDO GUIMARAES ARAUJO - 1920</v>
      </c>
      <c r="M158" s="59" t="str">
        <f>IF(autocompJanta[[#This Row],[COMP ESCALA POSTERIOR]]="NÃO","NÃO",_xlfn.XLOOKUP(autocompJanta[[#This Row],[COMP ESCALA POSTERIOR]],tabE.Flux[COMP.AT. MOT A],tabE.Flux[LINHA],"NÃO",0,1))</f>
        <v>NÃO</v>
      </c>
      <c r="N158" s="59" t="str">
        <f>IF(autocompJanta[[#This Row],[COMP ESCALA POSTERIOR]]="NÃO","NÃO",_xlfn.XLOOKUP(autocompJanta[[#This Row],[COMP ESCALA POSTERIOR]],tabE.Flux[COMP.AT. MOT B],tabE.Flux[LINHA],"NÃO",0,1))</f>
        <v>NÃO</v>
      </c>
      <c r="O158" s="65" t="str">
        <f>IF(AND(autocompJanta[[#This Row],[EXISTE MOT A POS]]="NÃO",autocompJanta[[#This Row],[EXISTE MOT B POS]]="NÃO"),"NÃO","SIM")</f>
        <v>NÃO</v>
      </c>
      <c r="P158" s="66" t="str" cm="1">
        <f t="array" ref="P15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58" s="103" t="str" cm="1">
        <f t="array" ref="Q15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45914+RAIMUNDO GUIMARAES ARAUJO - 1920+GOIANIA (GO) X SAO LUIS (MA)</v>
      </c>
      <c r="R158" s="67">
        <f>_xlfn.XLOOKUP(autocompJanta[[#This Row],[COMP ESCALA]],tabE.Flux[COMP. ESCALA MOT B],tabE.Flux[CARRO],
(_xlfn.XLOOKUP(autocompJanta[[#This Row],[COMP ESCALA]],tabE.Flux[COMP. ESCALA MOT A],tabE.Flux[CARRO],"N/E",0,1)),0,1)</f>
        <v>25008</v>
      </c>
      <c r="S158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58" s="127">
        <v>45914</v>
      </c>
      <c r="U158" s="4">
        <v>25008</v>
      </c>
      <c r="V158" s="128">
        <v>0.79166666666666663</v>
      </c>
      <c r="W158" s="4" t="s">
        <v>299</v>
      </c>
      <c r="X158" s="4" t="s">
        <v>231</v>
      </c>
      <c r="Y158" s="4">
        <v>1</v>
      </c>
      <c r="Z158" s="45">
        <v>15</v>
      </c>
      <c r="AA158" s="4" t="s">
        <v>23</v>
      </c>
    </row>
    <row r="159" spans="3:27" ht="15" hidden="1" customHeight="1" x14ac:dyDescent="0.25">
      <c r="C159" s="129" t="s">
        <v>226</v>
      </c>
      <c r="D159" s="56" t="str">
        <f>IF(tabJanta[[#This Row],[MOTORISTA]]="","",_xlfn.CONCAT(tabJanta[[#This Row],[DATA]],"+",tabJanta[[#This Row],[MOTORISTA]]))</f>
        <v>45914+JOAO FLAVIO DE SOUSA SILVA - 5270</v>
      </c>
      <c r="E159" s="56" t="str">
        <f>_xlfn.XLOOKUP(autocompJanta[[#This Row],[COMP ESCALA ATUAL]],tabE.Flux[COMP.AT. MOT A],tabE.Flux[LINHA],"NÃO",0,1)</f>
        <v>NÃO</v>
      </c>
      <c r="F159" s="56" t="str">
        <f>_xlfn.XLOOKUP(autocompJanta[[#This Row],[COMP ESCALA ATUAL]],tabE.Flux[COMP.AT. MOT B],tabE.Flux[LINHA],"NÃO",0,1)</f>
        <v>FORTALEZA (CE) X SINOP (MT)</v>
      </c>
      <c r="G159" s="61" t="str">
        <f>IF(AND(autocompJanta[[#This Row],[EXISTE MOT A AT]]="NÃO", autocompJanta[[#This Row],[EXISTE MOT B AT]]="NÃO"),"NÃO","SIM")</f>
        <v>SIM</v>
      </c>
      <c r="H159" s="57" t="str">
        <f>IF(autocompJanta[[#This Row],[EXISTE ESCALA ATUAL]]="NÃO",_xlfn.CONCAT(tabJanta[[#This Row],[DATA]]-1,"+",tabJanta[[#This Row],[MOTORISTA]]),"NÃO")</f>
        <v>NÃO</v>
      </c>
      <c r="I159" s="57" t="str">
        <f>IF(autocompJanta[[#This Row],[COMP ESCALA ANTERIOR]]="NÃO","NÃO",_xlfn.XLOOKUP(autocompJanta[[#This Row],[COMP ESCALA ANTERIOR]],tabE.Flux[COMP.AT. MOT A],tabE.Flux[LINHA],"NÃO",0,1))</f>
        <v>NÃO</v>
      </c>
      <c r="J159" s="58" t="str">
        <f>IF(autocompJanta[[#This Row],[COMP ESCALA ANTERIOR]]="NÃO","NÃO",_xlfn.XLOOKUP(autocompJanta[[#This Row],[COMP ESCALA ANTERIOR]],tabE.Flux[COMP.AT. MOT B],tabE.Flux[LINHA],"NÃO",0,1))</f>
        <v>NÃO</v>
      </c>
      <c r="K159" s="62" t="str">
        <f>IF(AND(autocompJanta[[#This Row],[EXISTE MOT A ANT]]="NÃO",autocompJanta[[#This Row],[EXISTE MOT B ANT]]="NÃO"),"NÃO","SIM")</f>
        <v>NÃO</v>
      </c>
      <c r="L159" s="59" t="str">
        <f t="shared" si="6"/>
        <v>45915+JOAO FLAVIO DE SOUSA SILVA - 5270</v>
      </c>
      <c r="M159" s="59" t="str">
        <f>IF(autocompJanta[[#This Row],[COMP ESCALA POSTERIOR]]="NÃO","NÃO",_xlfn.XLOOKUP(autocompJanta[[#This Row],[COMP ESCALA POSTERIOR]],tabE.Flux[COMP.AT. MOT A],tabE.Flux[LINHA],"NÃO",0,1))</f>
        <v>NÃO</v>
      </c>
      <c r="N159" s="59" t="str">
        <f>IF(autocompJanta[[#This Row],[COMP ESCALA POSTERIOR]]="NÃO","NÃO",_xlfn.XLOOKUP(autocompJanta[[#This Row],[COMP ESCALA POSTERIOR]],tabE.Flux[COMP.AT. MOT B],tabE.Flux[LINHA],"NÃO",0,1))</f>
        <v>NÃO</v>
      </c>
      <c r="O159" s="65" t="str">
        <f>IF(AND(autocompJanta[[#This Row],[EXISTE MOT A POS]]="NÃO",autocompJanta[[#This Row],[EXISTE MOT B POS]]="NÃO"),"NÃO","SIM")</f>
        <v>NÃO</v>
      </c>
      <c r="P159" s="66" t="str" cm="1">
        <f t="array" ref="P15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59" s="103" t="str" cm="1">
        <f t="array" ref="Q15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45914+JOAO FLAVIO DE SOUSA SILVA - 5270+FORTALEZA (CE) X SINOP (MT)</v>
      </c>
      <c r="R159" s="67">
        <f>_xlfn.XLOOKUP(autocompJanta[[#This Row],[COMP ESCALA]],tabE.Flux[COMP. ESCALA MOT B],tabE.Flux[CARRO],
(_xlfn.XLOOKUP(autocompJanta[[#This Row],[COMP ESCALA]],tabE.Flux[COMP. ESCALA MOT A],tabE.Flux[CARRO],"N/E",0,1)),0,1)</f>
        <v>19003</v>
      </c>
      <c r="S159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59" s="127">
        <v>45914</v>
      </c>
      <c r="U159" s="4">
        <v>19003</v>
      </c>
      <c r="V159" s="128">
        <v>0.37708333333333333</v>
      </c>
      <c r="W159" s="4" t="s">
        <v>299</v>
      </c>
      <c r="X159" s="4" t="s">
        <v>222</v>
      </c>
      <c r="Y159" s="4">
        <v>1</v>
      </c>
      <c r="Z159" s="45">
        <v>15</v>
      </c>
      <c r="AA159" s="4" t="s">
        <v>32</v>
      </c>
    </row>
    <row r="160" spans="3:27" ht="15" hidden="1" customHeight="1" x14ac:dyDescent="0.25">
      <c r="C160" s="129" t="s">
        <v>226</v>
      </c>
      <c r="D160" s="56" t="str">
        <f>IF(tabJanta[[#This Row],[MOTORISTA]]="","",_xlfn.CONCAT(tabJanta[[#This Row],[DATA]],"+",tabJanta[[#This Row],[MOTORISTA]]))</f>
        <v>45914+PAULO MORAES DOS SANTOS - 1534</v>
      </c>
      <c r="E160" s="56" t="str">
        <f>_xlfn.XLOOKUP(autocompJanta[[#This Row],[COMP ESCALA ATUAL]],tabE.Flux[COMP.AT. MOT A],tabE.Flux[LINHA],"NÃO",0,1)</f>
        <v>NÃO</v>
      </c>
      <c r="F160" s="56" t="str">
        <f>_xlfn.XLOOKUP(autocompJanta[[#This Row],[COMP ESCALA ATUAL]],tabE.Flux[COMP.AT. MOT B],tabE.Flux[LINHA],"NÃO",0,1)</f>
        <v>NÃO</v>
      </c>
      <c r="G160" s="61" t="str">
        <f>IF(AND(autocompJanta[[#This Row],[EXISTE MOT A AT]]="NÃO", autocompJanta[[#This Row],[EXISTE MOT B AT]]="NÃO"),"NÃO","SIM")</f>
        <v>NÃO</v>
      </c>
      <c r="H160" s="57" t="str">
        <f>IF(autocompJanta[[#This Row],[EXISTE ESCALA ATUAL]]="NÃO",_xlfn.CONCAT(tabJanta[[#This Row],[DATA]]-1,"+",tabJanta[[#This Row],[MOTORISTA]]),"NÃO")</f>
        <v>45913+PAULO MORAES DOS SANTOS - 1534</v>
      </c>
      <c r="I160" s="57" t="str">
        <f>IF(autocompJanta[[#This Row],[COMP ESCALA ANTERIOR]]="NÃO","NÃO",_xlfn.XLOOKUP(autocompJanta[[#This Row],[COMP ESCALA ANTERIOR]],tabE.Flux[COMP.AT. MOT A],tabE.Flux[LINHA],"NÃO",0,1))</f>
        <v>NÃO</v>
      </c>
      <c r="J160" s="58" t="str">
        <f>IF(autocompJanta[[#This Row],[COMP ESCALA ANTERIOR]]="NÃO","NÃO",_xlfn.XLOOKUP(autocompJanta[[#This Row],[COMP ESCALA ANTERIOR]],tabE.Flux[COMP.AT. MOT B],tabE.Flux[LINHA],"NÃO",0,1))</f>
        <v>NÃO</v>
      </c>
      <c r="K160" s="62" t="str">
        <f>IF(AND(autocompJanta[[#This Row],[EXISTE MOT A ANT]]="NÃO",autocompJanta[[#This Row],[EXISTE MOT B ANT]]="NÃO"),"NÃO","SIM")</f>
        <v>NÃO</v>
      </c>
      <c r="L160" s="59" t="str">
        <f t="shared" si="6"/>
        <v>45915+PAULO MORAES DOS SANTOS - 1534</v>
      </c>
      <c r="M160" s="59" t="str">
        <f>IF(autocompJanta[[#This Row],[COMP ESCALA POSTERIOR]]="NÃO","NÃO",_xlfn.XLOOKUP(autocompJanta[[#This Row],[COMP ESCALA POSTERIOR]],tabE.Flux[COMP.AT. MOT A],tabE.Flux[LINHA],"NÃO",0,1))</f>
        <v>NÃO</v>
      </c>
      <c r="N160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160" s="65" t="str">
        <f>IF(AND(autocompJanta[[#This Row],[EXISTE MOT A POS]]="NÃO",autocompJanta[[#This Row],[EXISTE MOT B POS]]="NÃO"),"NÃO","SIM")</f>
        <v>SIM</v>
      </c>
      <c r="P160" s="66" t="str" cm="1">
        <f t="array" ref="P16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60" s="103" t="str" cm="1">
        <f t="array" ref="Q16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45915+PAULO MORAES DOS SANTOS - 1534+GOIANIA (GO) X TERESINA (PI) VIA STI</v>
      </c>
      <c r="R160" s="67">
        <f>_xlfn.XLOOKUP(autocompJanta[[#This Row],[COMP ESCALA]],tabE.Flux[COMP. ESCALA MOT B],tabE.Flux[CARRO],
(_xlfn.XLOOKUP(autocompJanta[[#This Row],[COMP ESCALA]],tabE.Flux[COMP. ESCALA MOT A],tabE.Flux[CARRO],"N/E",0,1)),0,1)</f>
        <v>20020</v>
      </c>
      <c r="S160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60" s="127">
        <v>45914</v>
      </c>
      <c r="U160" s="4">
        <v>20020</v>
      </c>
      <c r="V160" s="128">
        <v>0.79861111111111116</v>
      </c>
      <c r="W160" s="4" t="s">
        <v>299</v>
      </c>
      <c r="X160" s="4" t="s">
        <v>225</v>
      </c>
      <c r="Y160" s="4">
        <v>1</v>
      </c>
      <c r="Z160" s="45">
        <v>15</v>
      </c>
      <c r="AA160" s="4" t="s">
        <v>26</v>
      </c>
    </row>
    <row r="161" spans="3:27" ht="15" hidden="1" customHeight="1" x14ac:dyDescent="0.25">
      <c r="C161" s="129" t="s">
        <v>226</v>
      </c>
      <c r="D161" s="56" t="str">
        <f>IF(tabJanta[[#This Row],[MOTORISTA]]="","",_xlfn.CONCAT(tabJanta[[#This Row],[DATA]],"+",tabJanta[[#This Row],[MOTORISTA]]))</f>
        <v>45914+RAIMUNDO COSTA SILVA - 6226</v>
      </c>
      <c r="E161" s="56" t="str">
        <f>_xlfn.XLOOKUP(autocompJanta[[#This Row],[COMP ESCALA ATUAL]],tabE.Flux[COMP.AT. MOT A],tabE.Flux[LINHA],"NÃO",0,1)</f>
        <v>NÃO</v>
      </c>
      <c r="F161" s="56" t="str">
        <f>_xlfn.XLOOKUP(autocompJanta[[#This Row],[COMP ESCALA ATUAL]],tabE.Flux[COMP.AT. MOT B],tabE.Flux[LINHA],"NÃO",0,1)</f>
        <v>GOIANIA (GO) X SAO LUIS (MA)</v>
      </c>
      <c r="G161" s="61" t="str">
        <f>IF(AND(autocompJanta[[#This Row],[EXISTE MOT A AT]]="NÃO", autocompJanta[[#This Row],[EXISTE MOT B AT]]="NÃO"),"NÃO","SIM")</f>
        <v>SIM</v>
      </c>
      <c r="H161" s="57" t="str">
        <f>IF(autocompJanta[[#This Row],[EXISTE ESCALA ATUAL]]="NÃO",_xlfn.CONCAT(tabJanta[[#This Row],[DATA]]-1,"+",tabJanta[[#This Row],[MOTORISTA]]),"NÃO")</f>
        <v>NÃO</v>
      </c>
      <c r="I161" s="57" t="str">
        <f>IF(autocompJanta[[#This Row],[COMP ESCALA ANTERIOR]]="NÃO","NÃO",_xlfn.XLOOKUP(autocompJanta[[#This Row],[COMP ESCALA ANTERIOR]],tabE.Flux[COMP.AT. MOT A],tabE.Flux[LINHA],"NÃO",0,1))</f>
        <v>NÃO</v>
      </c>
      <c r="J161" s="58" t="str">
        <f>IF(autocompJanta[[#This Row],[COMP ESCALA ANTERIOR]]="NÃO","NÃO",_xlfn.XLOOKUP(autocompJanta[[#This Row],[COMP ESCALA ANTERIOR]],tabE.Flux[COMP.AT. MOT B],tabE.Flux[LINHA],"NÃO",0,1))</f>
        <v>NÃO</v>
      </c>
      <c r="K161" s="62" t="str">
        <f>IF(AND(autocompJanta[[#This Row],[EXISTE MOT A ANT]]="NÃO",autocompJanta[[#This Row],[EXISTE MOT B ANT]]="NÃO"),"NÃO","SIM")</f>
        <v>NÃO</v>
      </c>
      <c r="L161" s="59" t="str">
        <f t="shared" si="6"/>
        <v>45915+RAIMUNDO COSTA SILVA - 6226</v>
      </c>
      <c r="M161" s="59" t="str">
        <f>IF(autocompJanta[[#This Row],[COMP ESCALA POSTERIOR]]="NÃO","NÃO",_xlfn.XLOOKUP(autocompJanta[[#This Row],[COMP ESCALA POSTERIOR]],tabE.Flux[COMP.AT. MOT A],tabE.Flux[LINHA],"NÃO",0,1))</f>
        <v>NÃO</v>
      </c>
      <c r="N161" s="59" t="str">
        <f>IF(autocompJanta[[#This Row],[COMP ESCALA POSTERIOR]]="NÃO","NÃO",_xlfn.XLOOKUP(autocompJanta[[#This Row],[COMP ESCALA POSTERIOR]],tabE.Flux[COMP.AT. MOT B],tabE.Flux[LINHA],"NÃO",0,1))</f>
        <v>NÃO</v>
      </c>
      <c r="O161" s="65" t="str">
        <f>IF(AND(autocompJanta[[#This Row],[EXISTE MOT A POS]]="NÃO",autocompJanta[[#This Row],[EXISTE MOT B POS]]="NÃO"),"NÃO","SIM")</f>
        <v>NÃO</v>
      </c>
      <c r="P161" s="66" t="str" cm="1">
        <f t="array" ref="P16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61" s="103" t="str" cm="1">
        <f t="array" ref="Q16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45914+RAIMUNDO COSTA SILVA - 6226+GOIANIA (GO) X SAO LUIS (MA)</v>
      </c>
      <c r="R161" s="67">
        <f>_xlfn.XLOOKUP(autocompJanta[[#This Row],[COMP ESCALA]],tabE.Flux[COMP. ESCALA MOT B],tabE.Flux[CARRO],
(_xlfn.XLOOKUP(autocompJanta[[#This Row],[COMP ESCALA]],tabE.Flux[COMP. ESCALA MOT A],tabE.Flux[CARRO],"N/E",0,1)),0,1)</f>
        <v>17300</v>
      </c>
      <c r="S161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61" s="127">
        <v>45914</v>
      </c>
      <c r="U161" s="4">
        <v>17300</v>
      </c>
      <c r="V161" s="128">
        <v>0.47013888888888888</v>
      </c>
      <c r="W161" s="4" t="s">
        <v>299</v>
      </c>
      <c r="X161" s="4" t="s">
        <v>45</v>
      </c>
      <c r="Y161" s="4">
        <v>1</v>
      </c>
      <c r="Z161" s="45">
        <v>15</v>
      </c>
      <c r="AA161" s="4" t="s">
        <v>23</v>
      </c>
    </row>
    <row r="162" spans="3:27" ht="15" hidden="1" customHeight="1" x14ac:dyDescent="0.25">
      <c r="C162" s="129" t="s">
        <v>226</v>
      </c>
      <c r="D162" s="56" t="str">
        <f>IF(tabJanta[[#This Row],[MOTORISTA]]="","",_xlfn.CONCAT(tabJanta[[#This Row],[DATA]],"+",tabJanta[[#This Row],[MOTORISTA]]))</f>
        <v>45914+EDIVALDO DE ARAUJO - 6217</v>
      </c>
      <c r="E162" s="56" t="str">
        <f>_xlfn.XLOOKUP(autocompJanta[[#This Row],[COMP ESCALA ATUAL]],tabE.Flux[COMP.AT. MOT A],tabE.Flux[LINHA],"NÃO",0,1)</f>
        <v>NÃO</v>
      </c>
      <c r="F162" s="56" t="str">
        <f>_xlfn.XLOOKUP(autocompJanta[[#This Row],[COMP ESCALA ATUAL]],tabE.Flux[COMP.AT. MOT B],tabE.Flux[LINHA],"NÃO",0,1)</f>
        <v>GOIANIA (GO) X SAO LUIS (MA)</v>
      </c>
      <c r="G162" s="61" t="str">
        <f>IF(AND(autocompJanta[[#This Row],[EXISTE MOT A AT]]="NÃO", autocompJanta[[#This Row],[EXISTE MOT B AT]]="NÃO"),"NÃO","SIM")</f>
        <v>SIM</v>
      </c>
      <c r="H162" s="57" t="str">
        <f>IF(autocompJanta[[#This Row],[EXISTE ESCALA ATUAL]]="NÃO",_xlfn.CONCAT(tabJanta[[#This Row],[DATA]]-1,"+",tabJanta[[#This Row],[MOTORISTA]]),"NÃO")</f>
        <v>NÃO</v>
      </c>
      <c r="I162" s="57" t="str">
        <f>IF(autocompJanta[[#This Row],[COMP ESCALA ANTERIOR]]="NÃO","NÃO",_xlfn.XLOOKUP(autocompJanta[[#This Row],[COMP ESCALA ANTERIOR]],tabE.Flux[COMP.AT. MOT A],tabE.Flux[LINHA],"NÃO",0,1))</f>
        <v>NÃO</v>
      </c>
      <c r="J162" s="58" t="str">
        <f>IF(autocompJanta[[#This Row],[COMP ESCALA ANTERIOR]]="NÃO","NÃO",_xlfn.XLOOKUP(autocompJanta[[#This Row],[COMP ESCALA ANTERIOR]],tabE.Flux[COMP.AT. MOT B],tabE.Flux[LINHA],"NÃO",0,1))</f>
        <v>NÃO</v>
      </c>
      <c r="K162" s="62" t="str">
        <f>IF(AND(autocompJanta[[#This Row],[EXISTE MOT A ANT]]="NÃO",autocompJanta[[#This Row],[EXISTE MOT B ANT]]="NÃO"),"NÃO","SIM")</f>
        <v>NÃO</v>
      </c>
      <c r="L162" s="59" t="str">
        <f t="shared" si="6"/>
        <v>45915+EDIVALDO DE ARAUJO - 6217</v>
      </c>
      <c r="M162" s="59" t="str">
        <f>IF(autocompJanta[[#This Row],[COMP ESCALA POSTERIOR]]="NÃO","NÃO",_xlfn.XLOOKUP(autocompJanta[[#This Row],[COMP ESCALA POSTERIOR]],tabE.Flux[COMP.AT. MOT A],tabE.Flux[LINHA],"NÃO",0,1))</f>
        <v>NÃO</v>
      </c>
      <c r="N162" s="59" t="str">
        <f>IF(autocompJanta[[#This Row],[COMP ESCALA POSTERIOR]]="NÃO","NÃO",_xlfn.XLOOKUP(autocompJanta[[#This Row],[COMP ESCALA POSTERIOR]],tabE.Flux[COMP.AT. MOT B],tabE.Flux[LINHA],"NÃO",0,1))</f>
        <v>NÃO</v>
      </c>
      <c r="O162" s="65" t="str">
        <f>IF(AND(autocompJanta[[#This Row],[EXISTE MOT A POS]]="NÃO",autocompJanta[[#This Row],[EXISTE MOT B POS]]="NÃO"),"NÃO","SIM")</f>
        <v>NÃO</v>
      </c>
      <c r="P162" s="66" t="str" cm="1">
        <f t="array" ref="P16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62" s="103" t="str" cm="1">
        <f t="array" ref="Q16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45914+EDIVALDO DE ARAUJO - 6217+GOIANIA (GO) X SAO LUIS (MA)</v>
      </c>
      <c r="R162" s="67">
        <f>_xlfn.XLOOKUP(autocompJanta[[#This Row],[COMP ESCALA]],tabE.Flux[COMP. ESCALA MOT B],tabE.Flux[CARRO],
(_xlfn.XLOOKUP(autocompJanta[[#This Row],[COMP ESCALA]],tabE.Flux[COMP. ESCALA MOT A],tabE.Flux[CARRO],"N/E",0,1)),0,1)</f>
        <v>24011</v>
      </c>
      <c r="S162" s="130">
        <f>_xlfn.XLOOKUP(autocompJanta[[#This Row],[COMP ESCALA]],tabE.Flux[COMP. ESCALA MOT A],tabE.Flux[HORARIO],(_xlfn.XLOOKUP(autocompJanta[[#This Row],[COMP ESCALA]],tabE.Flux[COMP. ESCALA MOT B],tabE.Flux[HORARIO],"N/E",0,1)),0,1)</f>
        <v>0.84375</v>
      </c>
      <c r="T162" s="127">
        <v>45914</v>
      </c>
      <c r="U162" s="4">
        <v>24011</v>
      </c>
      <c r="V162" s="128">
        <v>0.84375</v>
      </c>
      <c r="W162" s="4" t="s">
        <v>299</v>
      </c>
      <c r="X162" s="4" t="s">
        <v>55</v>
      </c>
      <c r="Y162" s="4">
        <v>1</v>
      </c>
      <c r="Z162" s="45">
        <v>15</v>
      </c>
      <c r="AA162" s="4" t="s">
        <v>23</v>
      </c>
    </row>
    <row r="163" spans="3:27" ht="15" customHeight="1" x14ac:dyDescent="0.25">
      <c r="C163" s="129" t="s">
        <v>226</v>
      </c>
      <c r="D163" s="56" t="str">
        <f>IF(tabJanta[[#This Row],[MOTORISTA]]="","",_xlfn.CONCAT(tabJanta[[#This Row],[DATA]],"+",tabJanta[[#This Row],[MOTORISTA]]))</f>
        <v>45915+MARCIO DE SOUSA BRASILEIRO - 5828</v>
      </c>
      <c r="E163" s="56" t="str">
        <f>_xlfn.XLOOKUP(autocompJanta[[#This Row],[COMP ESCALA ATUAL]],tabE.Flux[COMP.AT. MOT A],tabE.Flux[LINHA],"NÃO",0,1)</f>
        <v>NÃO</v>
      </c>
      <c r="F163" s="56" t="str">
        <f>_xlfn.XLOOKUP(autocompJanta[[#This Row],[COMP ESCALA ATUAL]],tabE.Flux[COMP.AT. MOT B],tabE.Flux[LINHA],"NÃO",0,1)</f>
        <v>FORTALEZA (CE) X SINOP (MT)</v>
      </c>
      <c r="G163" s="61" t="str">
        <f>IF(AND(autocompJanta[[#This Row],[EXISTE MOT A AT]]="NÃO", autocompJanta[[#This Row],[EXISTE MOT B AT]]="NÃO"),"NÃO","SIM")</f>
        <v>SIM</v>
      </c>
      <c r="H163" s="57" t="str">
        <f>IF(autocompJanta[[#This Row],[EXISTE ESCALA ATUAL]]="NÃO",_xlfn.CONCAT(tabJanta[[#This Row],[DATA]]-1,"+",tabJanta[[#This Row],[MOTORISTA]]),"NÃO")</f>
        <v>NÃO</v>
      </c>
      <c r="I163" s="57" t="str">
        <f>IF(autocompJanta[[#This Row],[COMP ESCALA ANTERIOR]]="NÃO","NÃO",_xlfn.XLOOKUP(autocompJanta[[#This Row],[COMP ESCALA ANTERIOR]],tabE.Flux[COMP.AT. MOT A],tabE.Flux[LINHA],"NÃO",0,1))</f>
        <v>NÃO</v>
      </c>
      <c r="J163" s="58" t="str">
        <f>IF(autocompJanta[[#This Row],[COMP ESCALA ANTERIOR]]="NÃO","NÃO",_xlfn.XLOOKUP(autocompJanta[[#This Row],[COMP ESCALA ANTERIOR]],tabE.Flux[COMP.AT. MOT B],tabE.Flux[LINHA],"NÃO",0,1))</f>
        <v>NÃO</v>
      </c>
      <c r="K163" s="62" t="str">
        <f>IF(AND(autocompJanta[[#This Row],[EXISTE MOT A ANT]]="NÃO",autocompJanta[[#This Row],[EXISTE MOT B ANT]]="NÃO"),"NÃO","SIM")</f>
        <v>NÃO</v>
      </c>
      <c r="L163" s="59" t="str">
        <f t="shared" ref="L163:L167" si="7">_xlfn.CONCAT(T163+1,"+",X163)</f>
        <v>45916+MARCIO DE SOUSA BRASILEIRO - 5828</v>
      </c>
      <c r="M163" s="59" t="str">
        <f>IF(autocompJanta[[#This Row],[COMP ESCALA POSTERIOR]]="NÃO","NÃO",_xlfn.XLOOKUP(autocompJanta[[#This Row],[COMP ESCALA POSTERIOR]],tabE.Flux[COMP.AT. MOT A],tabE.Flux[LINHA],"NÃO",0,1))</f>
        <v>NÃO</v>
      </c>
      <c r="N163" s="59" t="str">
        <f>IF(autocompJanta[[#This Row],[COMP ESCALA POSTERIOR]]="NÃO","NÃO",_xlfn.XLOOKUP(autocompJanta[[#This Row],[COMP ESCALA POSTERIOR]],tabE.Flux[COMP.AT. MOT B],tabE.Flux[LINHA],"NÃO",0,1))</f>
        <v>NÃO</v>
      </c>
      <c r="O163" s="65" t="str">
        <f>IF(AND(autocompJanta[[#This Row],[EXISTE MOT A POS]]="NÃO",autocompJanta[[#This Row],[EXISTE MOT B POS]]="NÃO"),"NÃO","SIM")</f>
        <v>NÃO</v>
      </c>
      <c r="P163" s="66" t="str" cm="1">
        <f t="array" ref="P16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63" s="103" t="str" cm="1">
        <f t="array" ref="Q16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45915+MARCIO DE SOUSA BRASILEIRO - 5828+FORTALEZA (CE) X SINOP (MT)</v>
      </c>
      <c r="R163" s="67">
        <f>_xlfn.XLOOKUP(autocompJanta[[#This Row],[COMP ESCALA]],tabE.Flux[COMP. ESCALA MOT B],tabE.Flux[CARRO],
(_xlfn.XLOOKUP(autocompJanta[[#This Row],[COMP ESCALA]],tabE.Flux[COMP. ESCALA MOT A],tabE.Flux[CARRO],"N/E",0,1)),0,1)</f>
        <v>19016</v>
      </c>
      <c r="S163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63" s="127">
        <v>45915</v>
      </c>
      <c r="U163" s="4">
        <f>IF(IFERROR(autocompJanta[[#This Row],[CORRESP. CARRO]],"")="NÃO",(IF(tabJanta[[#This Row],[MOTORISTA]]=0,"","PASSE?")),autocompJanta[[#This Row],[CORRESP. CARRO]])</f>
        <v>19016</v>
      </c>
      <c r="V163" s="128">
        <f>IF(OR(ISERR(autocompJanta[[#This Row],[CORRESP HORARIO]]), autocompJanta[[#This Row],[CORRESP HORARIO]]&lt;&gt;"NÃO"),autocompJanta[[#This Row],[CORRESP HORARIO]],"")</f>
        <v>0.37708333333333333</v>
      </c>
      <c r="W163" s="4" t="s">
        <v>299</v>
      </c>
      <c r="X163" s="4" t="s">
        <v>129</v>
      </c>
      <c r="Y163" s="4">
        <f>IF(tabJanta[[#This Row],[MOTORISTA]]="","",COUNTIF(autocompJanta[COMP ESCALA ATUAL],autocompJanta[[#This Row],[COMP ESCALA ATUAL]]))</f>
        <v>1</v>
      </c>
      <c r="Z163" s="45">
        <f>IF(tabJanta[[#This Row],[MOTORISTA]]&lt;&gt;0,15,"")</f>
        <v>15</v>
      </c>
      <c r="AA163" s="4" t="str">
        <f>autocompJanta[[#This Row],[CORRESP LINHA]]</f>
        <v>FORTALEZA (CE) X SINOP (MT)</v>
      </c>
    </row>
    <row r="164" spans="3:27" ht="15" customHeight="1" x14ac:dyDescent="0.25">
      <c r="C164" s="129" t="s">
        <v>226</v>
      </c>
      <c r="D164" s="56" t="str">
        <f>IF(tabJanta[[#This Row],[MOTORISTA]]="","",_xlfn.CONCAT(tabJanta[[#This Row],[DATA]],"+",tabJanta[[#This Row],[MOTORISTA]]))</f>
        <v>45915+DANYLSON BATISTA SANTANA - 5829</v>
      </c>
      <c r="E164" s="56" t="str">
        <f>_xlfn.XLOOKUP(autocompJanta[[#This Row],[COMP ESCALA ATUAL]],tabE.Flux[COMP.AT. MOT A],tabE.Flux[LINHA],"NÃO",0,1)</f>
        <v>NÃO</v>
      </c>
      <c r="F164" s="56" t="str">
        <f>_xlfn.XLOOKUP(autocompJanta[[#This Row],[COMP ESCALA ATUAL]],tabE.Flux[COMP.AT. MOT B],tabE.Flux[LINHA],"NÃO",0,1)</f>
        <v>NÃO</v>
      </c>
      <c r="G164" s="61" t="str">
        <f>IF(AND(autocompJanta[[#This Row],[EXISTE MOT A AT]]="NÃO", autocompJanta[[#This Row],[EXISTE MOT B AT]]="NÃO"),"NÃO","SIM")</f>
        <v>NÃO</v>
      </c>
      <c r="H164" s="57" t="str">
        <f>IF(autocompJanta[[#This Row],[EXISTE ESCALA ATUAL]]="NÃO",_xlfn.CONCAT(tabJanta[[#This Row],[DATA]]-1,"+",tabJanta[[#This Row],[MOTORISTA]]),"NÃO")</f>
        <v>45914+DANYLSON BATISTA SANTANA - 5829</v>
      </c>
      <c r="I164" s="57" t="str">
        <f>IF(autocompJanta[[#This Row],[COMP ESCALA ANTERIOR]]="NÃO","NÃO",_xlfn.XLOOKUP(autocompJanta[[#This Row],[COMP ESCALA ANTERIOR]],tabE.Flux[COMP.AT. MOT A],tabE.Flux[LINHA],"NÃO",0,1))</f>
        <v>NÃO</v>
      </c>
      <c r="J164" s="58" t="str">
        <f>IF(autocompJanta[[#This Row],[COMP ESCALA ANTERIOR]]="NÃO","NÃO",_xlfn.XLOOKUP(autocompJanta[[#This Row],[COMP ESCALA ANTERIOR]],tabE.Flux[COMP.AT. MOT B],tabE.Flux[LINHA],"NÃO",0,1))</f>
        <v>NÃO</v>
      </c>
      <c r="K164" s="62" t="str">
        <f>IF(AND(autocompJanta[[#This Row],[EXISTE MOT A ANT]]="NÃO",autocompJanta[[#This Row],[EXISTE MOT B ANT]]="NÃO"),"NÃO","SIM")</f>
        <v>NÃO</v>
      </c>
      <c r="L164" s="59" t="str">
        <f t="shared" si="7"/>
        <v>45916+DANYLSON BATISTA SANTANA - 5829</v>
      </c>
      <c r="M164" s="59" t="str">
        <f>IF(autocompJanta[[#This Row],[COMP ESCALA POSTERIOR]]="NÃO","NÃO",_xlfn.XLOOKUP(autocompJanta[[#This Row],[COMP ESCALA POSTERIOR]],tabE.Flux[COMP.AT. MOT A],tabE.Flux[LINHA],"NÃO",0,1))</f>
        <v>NÃO</v>
      </c>
      <c r="N164" s="59" t="str">
        <f>IF(autocompJanta[[#This Row],[COMP ESCALA POSTERIOR]]="NÃO","NÃO",_xlfn.XLOOKUP(autocompJanta[[#This Row],[COMP ESCALA POSTERIOR]],tabE.Flux[COMP.AT. MOT B],tabE.Flux[LINHA],"NÃO",0,1))</f>
        <v>GOIANIA (GO) X TERESINA (PI) VIA STI</v>
      </c>
      <c r="O164" s="65" t="str">
        <f>IF(AND(autocompJanta[[#This Row],[EXISTE MOT A POS]]="NÃO",autocompJanta[[#This Row],[EXISTE MOT B POS]]="NÃO"),"NÃO","SIM")</f>
        <v>SIM</v>
      </c>
      <c r="P164" s="66" t="str" cm="1">
        <f t="array" ref="P16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64" s="103" t="str" cm="1">
        <f t="array" ref="Q16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45916+DANYLSON BATISTA SANTANA - 5829+GOIANIA (GO) X TERESINA (PI) VIA STI</v>
      </c>
      <c r="R164" s="67">
        <f>_xlfn.XLOOKUP(autocompJanta[[#This Row],[COMP ESCALA]],tabE.Flux[COMP. ESCALA MOT B],tabE.Flux[CARRO],
(_xlfn.XLOOKUP(autocompJanta[[#This Row],[COMP ESCALA]],tabE.Flux[COMP. ESCALA MOT A],tabE.Flux[CARRO],"N/E",0,1)),0,1)</f>
        <v>20014</v>
      </c>
      <c r="S164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64" s="127">
        <v>45915</v>
      </c>
      <c r="U164" s="4">
        <f>IF(IFERROR(autocompJanta[[#This Row],[CORRESP. CARRO]],"")="NÃO",(IF(tabJanta[[#This Row],[MOTORISTA]]=0,"","PASSE?")),autocompJanta[[#This Row],[CORRESP. CARRO]])</f>
        <v>20014</v>
      </c>
      <c r="V164" s="128">
        <f>IF(OR(ISERR(autocompJanta[[#This Row],[CORRESP HORARIO]]), autocompJanta[[#This Row],[CORRESP HORARIO]]&lt;&gt;"NÃO"),autocompJanta[[#This Row],[CORRESP HORARIO]],"")</f>
        <v>0.79861111111111116</v>
      </c>
      <c r="W164" s="4" t="s">
        <v>299</v>
      </c>
      <c r="X164" s="4" t="s">
        <v>60</v>
      </c>
      <c r="Y164" s="4">
        <f>IF(tabJanta[[#This Row],[MOTORISTA]]="","",COUNTIF(autocompJanta[COMP ESCALA ATUAL],autocompJanta[[#This Row],[COMP ESCALA ATUAL]]))</f>
        <v>1</v>
      </c>
      <c r="Z164" s="45">
        <f>IF(tabJanta[[#This Row],[MOTORISTA]]&lt;&gt;0,15,"")</f>
        <v>15</v>
      </c>
      <c r="AA164" s="4" t="str">
        <f>autocompJanta[[#This Row],[CORRESP LINHA]]</f>
        <v>GOIANIA (GO) X TERESINA (PI) VIA STI</v>
      </c>
    </row>
    <row r="165" spans="3:27" ht="15" customHeight="1" x14ac:dyDescent="0.25">
      <c r="C165" s="129" t="s">
        <v>226</v>
      </c>
      <c r="D165" s="56" t="str">
        <f>IF(tabJanta[[#This Row],[MOTORISTA]]="","",_xlfn.CONCAT(tabJanta[[#This Row],[DATA]],"+",tabJanta[[#This Row],[MOTORISTA]]))</f>
        <v>45915+KLEBSON ALVES FREIRES - 3060</v>
      </c>
      <c r="E165" s="56" t="str">
        <f>_xlfn.XLOOKUP(autocompJanta[[#This Row],[COMP ESCALA ATUAL]],tabE.Flux[COMP.AT. MOT A],tabE.Flux[LINHA],"NÃO",0,1)</f>
        <v>NÃO</v>
      </c>
      <c r="F165" s="56" t="str">
        <f>_xlfn.XLOOKUP(autocompJanta[[#This Row],[COMP ESCALA ATUAL]],tabE.Flux[COMP.AT. MOT B],tabE.Flux[LINHA],"NÃO",0,1)</f>
        <v>GOIANIA (GO) X SAO LUIS (MA)</v>
      </c>
      <c r="G165" s="61" t="str">
        <f>IF(AND(autocompJanta[[#This Row],[EXISTE MOT A AT]]="NÃO", autocompJanta[[#This Row],[EXISTE MOT B AT]]="NÃO"),"NÃO","SIM")</f>
        <v>SIM</v>
      </c>
      <c r="H165" s="57" t="str">
        <f>IF(autocompJanta[[#This Row],[EXISTE ESCALA ATUAL]]="NÃO",_xlfn.CONCAT(tabJanta[[#This Row],[DATA]]-1,"+",tabJanta[[#This Row],[MOTORISTA]]),"NÃO")</f>
        <v>NÃO</v>
      </c>
      <c r="I165" s="57" t="str">
        <f>IF(autocompJanta[[#This Row],[COMP ESCALA ANTERIOR]]="NÃO","NÃO",_xlfn.XLOOKUP(autocompJanta[[#This Row],[COMP ESCALA ANTERIOR]],tabE.Flux[COMP.AT. MOT A],tabE.Flux[LINHA],"NÃO",0,1))</f>
        <v>NÃO</v>
      </c>
      <c r="J165" s="58" t="str">
        <f>IF(autocompJanta[[#This Row],[COMP ESCALA ANTERIOR]]="NÃO","NÃO",_xlfn.XLOOKUP(autocompJanta[[#This Row],[COMP ESCALA ANTERIOR]],tabE.Flux[COMP.AT. MOT B],tabE.Flux[LINHA],"NÃO",0,1))</f>
        <v>NÃO</v>
      </c>
      <c r="K165" s="62" t="str">
        <f>IF(AND(autocompJanta[[#This Row],[EXISTE MOT A ANT]]="NÃO",autocompJanta[[#This Row],[EXISTE MOT B ANT]]="NÃO"),"NÃO","SIM")</f>
        <v>NÃO</v>
      </c>
      <c r="L165" s="59" t="str">
        <f t="shared" si="7"/>
        <v>45916+KLEBSON ALVES FREIRES - 3060</v>
      </c>
      <c r="M165" s="59" t="str">
        <f>IF(autocompJanta[[#This Row],[COMP ESCALA POSTERIOR]]="NÃO","NÃO",_xlfn.XLOOKUP(autocompJanta[[#This Row],[COMP ESCALA POSTERIOR]],tabE.Flux[COMP.AT. MOT A],tabE.Flux[LINHA],"NÃO",0,1))</f>
        <v>NÃO</v>
      </c>
      <c r="N165" s="59" t="str">
        <f>IF(autocompJanta[[#This Row],[COMP ESCALA POSTERIOR]]="NÃO","NÃO",_xlfn.XLOOKUP(autocompJanta[[#This Row],[COMP ESCALA POSTERIOR]],tabE.Flux[COMP.AT. MOT B],tabE.Flux[LINHA],"NÃO",0,1))</f>
        <v>NÃO</v>
      </c>
      <c r="O165" s="65" t="str">
        <f>IF(AND(autocompJanta[[#This Row],[EXISTE MOT A POS]]="NÃO",autocompJanta[[#This Row],[EXISTE MOT B POS]]="NÃO"),"NÃO","SIM")</f>
        <v>NÃO</v>
      </c>
      <c r="P165" s="66" t="str" cm="1">
        <f t="array" ref="P16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65" s="103" t="str" cm="1">
        <f t="array" ref="Q16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45915+KLEBSON ALVES FREIRES - 3060+GOIANIA (GO) X SAO LUIS (MA)</v>
      </c>
      <c r="R165" s="67">
        <f>_xlfn.XLOOKUP(autocompJanta[[#This Row],[COMP ESCALA]],tabE.Flux[COMP. ESCALA MOT B],tabE.Flux[CARRO],
(_xlfn.XLOOKUP(autocompJanta[[#This Row],[COMP ESCALA]],tabE.Flux[COMP. ESCALA MOT A],tabE.Flux[CARRO],"N/E",0,1)),0,1)</f>
        <v>24011</v>
      </c>
      <c r="S165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65" s="127">
        <v>45915</v>
      </c>
      <c r="U165" s="4">
        <f>IF(IFERROR(autocompJanta[[#This Row],[CORRESP. CARRO]],"")="NÃO",(IF(tabJanta[[#This Row],[MOTORISTA]]=0,"","PASSE?")),autocompJanta[[#This Row],[CORRESP. CARRO]])</f>
        <v>24011</v>
      </c>
      <c r="V165" s="128">
        <f>IF(OR(ISERR(autocompJanta[[#This Row],[CORRESP HORARIO]]), autocompJanta[[#This Row],[CORRESP HORARIO]]&lt;&gt;"NÃO"),autocompJanta[[#This Row],[CORRESP HORARIO]],"")</f>
        <v>0.79166666666666663</v>
      </c>
      <c r="W165" s="4" t="s">
        <v>299</v>
      </c>
      <c r="X165" s="4" t="s">
        <v>161</v>
      </c>
      <c r="Y165" s="4">
        <f>IF(tabJanta[[#This Row],[MOTORISTA]]="","",COUNTIF(autocompJanta[COMP ESCALA ATUAL],autocompJanta[[#This Row],[COMP ESCALA ATUAL]]))</f>
        <v>1</v>
      </c>
      <c r="Z165" s="45">
        <f>IF(tabJanta[[#This Row],[MOTORISTA]]&lt;&gt;0,15,"")</f>
        <v>15</v>
      </c>
      <c r="AA165" s="4" t="str">
        <f>autocompJanta[[#This Row],[CORRESP LINHA]]</f>
        <v>GOIANIA (GO) X SAO LUIS (MA)</v>
      </c>
    </row>
    <row r="166" spans="3:27" ht="15" customHeight="1" x14ac:dyDescent="0.25">
      <c r="C166" s="129" t="s">
        <v>226</v>
      </c>
      <c r="D166" s="56" t="str">
        <f>IF(tabJanta[[#This Row],[MOTORISTA]]="","",_xlfn.CONCAT(tabJanta[[#This Row],[DATA]],"+",tabJanta[[#This Row],[MOTORISTA]]))</f>
        <v>45915+PAULO ENEAS FARIAS ARAUJO - 6218</v>
      </c>
      <c r="E166" s="56" t="str">
        <f>_xlfn.XLOOKUP(autocompJanta[[#This Row],[COMP ESCALA ATUAL]],tabE.Flux[COMP.AT. MOT A],tabE.Flux[LINHA],"NÃO",0,1)</f>
        <v>GOIANIA (GO) X SAO LUIS (MA)</v>
      </c>
      <c r="F166" s="56" t="str">
        <f>_xlfn.XLOOKUP(autocompJanta[[#This Row],[COMP ESCALA ATUAL]],tabE.Flux[COMP.AT. MOT B],tabE.Flux[LINHA],"NÃO",0,1)</f>
        <v>GOIANIA (GO) X SAO LUIS (MA)</v>
      </c>
      <c r="G166" s="61" t="str">
        <f>IF(AND(autocompJanta[[#This Row],[EXISTE MOT A AT]]="NÃO", autocompJanta[[#This Row],[EXISTE MOT B AT]]="NÃO"),"NÃO","SIM")</f>
        <v>SIM</v>
      </c>
      <c r="H166" s="57" t="str">
        <f>IF(autocompJanta[[#This Row],[EXISTE ESCALA ATUAL]]="NÃO",_xlfn.CONCAT(tabJanta[[#This Row],[DATA]]-1,"+",tabJanta[[#This Row],[MOTORISTA]]),"NÃO")</f>
        <v>NÃO</v>
      </c>
      <c r="I166" s="57" t="str">
        <f>IF(autocompJanta[[#This Row],[COMP ESCALA ANTERIOR]]="NÃO","NÃO",_xlfn.XLOOKUP(autocompJanta[[#This Row],[COMP ESCALA ANTERIOR]],tabE.Flux[COMP.AT. MOT A],tabE.Flux[LINHA],"NÃO",0,1))</f>
        <v>NÃO</v>
      </c>
      <c r="J166" s="58" t="str">
        <f>IF(autocompJanta[[#This Row],[COMP ESCALA ANTERIOR]]="NÃO","NÃO",_xlfn.XLOOKUP(autocompJanta[[#This Row],[COMP ESCALA ANTERIOR]],tabE.Flux[COMP.AT. MOT B],tabE.Flux[LINHA],"NÃO",0,1))</f>
        <v>NÃO</v>
      </c>
      <c r="K166" s="62" t="str">
        <f>IF(AND(autocompJanta[[#This Row],[EXISTE MOT A ANT]]="NÃO",autocompJanta[[#This Row],[EXISTE MOT B ANT]]="NÃO"),"NÃO","SIM")</f>
        <v>NÃO</v>
      </c>
      <c r="L166" s="59" t="str">
        <f t="shared" si="7"/>
        <v>45916+PAULO ENEAS FARIAS ARAUJO - 6218</v>
      </c>
      <c r="M166" s="59" t="str">
        <f>IF(autocompJanta[[#This Row],[COMP ESCALA POSTERIOR]]="NÃO","NÃO",_xlfn.XLOOKUP(autocompJanta[[#This Row],[COMP ESCALA POSTERIOR]],tabE.Flux[COMP.AT. MOT A],tabE.Flux[LINHA],"NÃO",0,1))</f>
        <v>NÃO</v>
      </c>
      <c r="N166" s="59" t="str">
        <f>IF(autocompJanta[[#This Row],[COMP ESCALA POSTERIOR]]="NÃO","NÃO",_xlfn.XLOOKUP(autocompJanta[[#This Row],[COMP ESCALA POSTERIOR]],tabE.Flux[COMP.AT. MOT B],tabE.Flux[LINHA],"NÃO",0,1))</f>
        <v>NÃO</v>
      </c>
      <c r="O166" s="65" t="str">
        <f>IF(AND(autocompJanta[[#This Row],[EXISTE MOT A POS]]="NÃO",autocompJanta[[#This Row],[EXISTE MOT B POS]]="NÃO"),"NÃO","SIM")</f>
        <v>NÃO</v>
      </c>
      <c r="P166" s="66" t="str" cm="1">
        <f t="array" ref="P16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66" s="103" t="str" cm="1">
        <f t="array" ref="Q16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45915+PAULO ENEAS FARIAS ARAUJO - 6218+GOIANIA (GO) X SAO LUIS (MA)</v>
      </c>
      <c r="R166" s="67">
        <f>_xlfn.XLOOKUP(autocompJanta[[#This Row],[COMP ESCALA]],tabE.Flux[COMP. ESCALA MOT B],tabE.Flux[CARRO],
(_xlfn.XLOOKUP(autocompJanta[[#This Row],[COMP ESCALA]],tabE.Flux[COMP. ESCALA MOT A],tabE.Flux[CARRO],"N/E",0,1)),0,1)</f>
        <v>24002</v>
      </c>
      <c r="S166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66" s="127">
        <v>45915</v>
      </c>
      <c r="U166" s="4">
        <f>IF(IFERROR(autocompJanta[[#This Row],[CORRESP. CARRO]],"")="NÃO",(IF(tabJanta[[#This Row],[MOTORISTA]]=0,"","PASSE?")),autocompJanta[[#This Row],[CORRESP. CARRO]])</f>
        <v>24002</v>
      </c>
      <c r="V166" s="128">
        <f>IF(OR(ISERR(autocompJanta[[#This Row],[CORRESP HORARIO]]), autocompJanta[[#This Row],[CORRESP HORARIO]]&lt;&gt;"NÃO"),autocompJanta[[#This Row],[CORRESP HORARIO]],"")</f>
        <v>0.29166666666666669</v>
      </c>
      <c r="W166" s="4" t="s">
        <v>299</v>
      </c>
      <c r="X166" s="4" t="s">
        <v>43</v>
      </c>
      <c r="Y166" s="4">
        <f>IF(tabJanta[[#This Row],[MOTORISTA]]="","",COUNTIF(autocompJanta[COMP ESCALA ATUAL],autocompJanta[[#This Row],[COMP ESCALA ATUAL]]))</f>
        <v>1</v>
      </c>
      <c r="Z166" s="45">
        <f>IF(tabJanta[[#This Row],[MOTORISTA]]&lt;&gt;0,15,"")</f>
        <v>15</v>
      </c>
      <c r="AA166" s="4" t="str">
        <f>autocompJanta[[#This Row],[CORRESP LINHA]]</f>
        <v>GOIANIA (GO) X SAO LUIS (MA)</v>
      </c>
    </row>
    <row r="167" spans="3:27" ht="15" customHeight="1" x14ac:dyDescent="0.25">
      <c r="C167" s="129" t="s">
        <v>226</v>
      </c>
      <c r="D167" s="56" t="str">
        <f>IF(tabJanta[[#This Row],[MOTORISTA]]="","",_xlfn.CONCAT(tabJanta[[#This Row],[DATA]],"+",tabJanta[[#This Row],[MOTORISTA]]))</f>
        <v>45915+REGINALDO DE SOUSA OLIVEIRA - 5412</v>
      </c>
      <c r="E167" s="56" t="str">
        <f>_xlfn.XLOOKUP(autocompJanta[[#This Row],[COMP ESCALA ATUAL]],tabE.Flux[COMP.AT. MOT A],tabE.Flux[LINHA],"NÃO",0,1)</f>
        <v>NÃO</v>
      </c>
      <c r="F167" s="56" t="str">
        <f>_xlfn.XLOOKUP(autocompJanta[[#This Row],[COMP ESCALA ATUAL]],tabE.Flux[COMP.AT. MOT B],tabE.Flux[LINHA],"NÃO",0,1)</f>
        <v>NÃO</v>
      </c>
      <c r="G167" s="61" t="str">
        <f>IF(AND(autocompJanta[[#This Row],[EXISTE MOT A AT]]="NÃO", autocompJanta[[#This Row],[EXISTE MOT B AT]]="NÃO"),"NÃO","SIM")</f>
        <v>NÃO</v>
      </c>
      <c r="H167" s="57" t="str">
        <f>IF(autocompJanta[[#This Row],[EXISTE ESCALA ATUAL]]="NÃO",_xlfn.CONCAT(tabJanta[[#This Row],[DATA]]-1,"+",tabJanta[[#This Row],[MOTORISTA]]),"NÃO")</f>
        <v>45914+REGINALDO DE SOUSA OLIVEIRA - 5412</v>
      </c>
      <c r="I167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67" s="58" t="str">
        <f>IF(autocompJanta[[#This Row],[COMP ESCALA ANTERIOR]]="NÃO","NÃO",_xlfn.XLOOKUP(autocompJanta[[#This Row],[COMP ESCALA ANTERIOR]],tabE.Flux[COMP.AT. MOT B],tabE.Flux[LINHA],"NÃO",0,1))</f>
        <v>NÃO</v>
      </c>
      <c r="K167" s="62" t="str">
        <f>IF(AND(autocompJanta[[#This Row],[EXISTE MOT A ANT]]="NÃO",autocompJanta[[#This Row],[EXISTE MOT B ANT]]="NÃO"),"NÃO","SIM")</f>
        <v>SIM</v>
      </c>
      <c r="L167" s="59" t="str">
        <f t="shared" si="7"/>
        <v>45916+REGINALDO DE SOUSA OLIVEIRA - 5412</v>
      </c>
      <c r="M167" s="59" t="str">
        <f>IF(autocompJanta[[#This Row],[COMP ESCALA POSTERIOR]]="NÃO","NÃO",_xlfn.XLOOKUP(autocompJanta[[#This Row],[COMP ESCALA POSTERIOR]],tabE.Flux[COMP.AT. MOT A],tabE.Flux[LINHA],"NÃO",0,1))</f>
        <v>NÃO</v>
      </c>
      <c r="N167" s="59" t="str">
        <f>IF(autocompJanta[[#This Row],[COMP ESCALA POSTERIOR]]="NÃO","NÃO",_xlfn.XLOOKUP(autocompJanta[[#This Row],[COMP ESCALA POSTERIOR]],tabE.Flux[COMP.AT. MOT B],tabE.Flux[LINHA],"NÃO",0,1))</f>
        <v>NÃO</v>
      </c>
      <c r="O167" s="65" t="str">
        <f>IF(AND(autocompJanta[[#This Row],[EXISTE MOT A POS]]="NÃO",autocompJanta[[#This Row],[EXISTE MOT B POS]]="NÃO"),"NÃO","SIM")</f>
        <v>NÃO</v>
      </c>
      <c r="P167" s="66" t="str" cm="1">
        <f t="array" ref="P16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67" s="103" t="str" cm="1">
        <f t="array" ref="Q16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45914+REGINALDO DE SOUSA OLIVEIRA - 5412+GOIANIA (GO) X TERESINA (PI) VIA STI</v>
      </c>
      <c r="R167" s="67">
        <f>_xlfn.XLOOKUP(autocompJanta[[#This Row],[COMP ESCALA]],tabE.Flux[COMP. ESCALA MOT B],tabE.Flux[CARRO],
(_xlfn.XLOOKUP(autocompJanta[[#This Row],[COMP ESCALA]],tabE.Flux[COMP. ESCALA MOT A],tabE.Flux[CARRO],"N/E",0,1)),0,1)</f>
        <v>19019</v>
      </c>
      <c r="S167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67" s="127">
        <v>45915</v>
      </c>
      <c r="U167" s="4">
        <f>IF(IFERROR(autocompJanta[[#This Row],[CORRESP. CARRO]],"")="NÃO",(IF(tabJanta[[#This Row],[MOTORISTA]]=0,"","PASSE?")),autocompJanta[[#This Row],[CORRESP. CARRO]])</f>
        <v>19019</v>
      </c>
      <c r="V167" s="128">
        <f>IF(OR(ISERR(autocompJanta[[#This Row],[CORRESP HORARIO]]), autocompJanta[[#This Row],[CORRESP HORARIO]]&lt;&gt;"NÃO"),autocompJanta[[#This Row],[CORRESP HORARIO]],"")</f>
        <v>0.79861111111111116</v>
      </c>
      <c r="W167" s="4" t="s">
        <v>299</v>
      </c>
      <c r="X167" s="4" t="s">
        <v>239</v>
      </c>
      <c r="Y167" s="4">
        <f>IF(tabJanta[[#This Row],[MOTORISTA]]="","",COUNTIF(autocompJanta[COMP ESCALA ATUAL],autocompJanta[[#This Row],[COMP ESCALA ATUAL]]))</f>
        <v>1</v>
      </c>
      <c r="Z167" s="45">
        <f>IF(tabJanta[[#This Row],[MOTORISTA]]&lt;&gt;0,15,"")</f>
        <v>15</v>
      </c>
      <c r="AA167" s="4" t="str">
        <f>autocompJanta[[#This Row],[CORRESP LINHA]]</f>
        <v>GOIANIA (GO) X TERESINA (PI) VIA STI</v>
      </c>
    </row>
    <row r="168" spans="3:27" ht="15" customHeight="1" x14ac:dyDescent="0.25">
      <c r="C168" s="129" t="s">
        <v>226</v>
      </c>
      <c r="D168" s="56" t="str">
        <f>IF(tabJanta[[#This Row],[MOTORISTA]]="","",_xlfn.CONCAT(tabJanta[[#This Row],[DATA]],"+",tabJanta[[#This Row],[MOTORISTA]]))</f>
        <v>45931+GILDEVAN DE ALMEIDA AGOSTINHO - 1924</v>
      </c>
      <c r="E168" s="56" t="str">
        <f>_xlfn.XLOOKUP(autocompJanta[[#This Row],[COMP ESCALA ATUAL]],tabE.Flux[COMP.AT. MOT A],tabE.Flux[LINHA],"NÃO",0,1)</f>
        <v>NÃO</v>
      </c>
      <c r="F168" s="56" t="str">
        <f>_xlfn.XLOOKUP(autocompJanta[[#This Row],[COMP ESCALA ATUAL]],tabE.Flux[COMP.AT. MOT B],tabE.Flux[LINHA],"NÃO",0,1)</f>
        <v>GOIANIA (GO) X SAO LUIS (MA)</v>
      </c>
      <c r="G168" s="61" t="str">
        <f>IF(AND(autocompJanta[[#This Row],[EXISTE MOT A AT]]="NÃO", autocompJanta[[#This Row],[EXISTE MOT B AT]]="NÃO"),"NÃO","SIM")</f>
        <v>SIM</v>
      </c>
      <c r="H168" s="57" t="str">
        <f>IF(autocompJanta[[#This Row],[EXISTE ESCALA ATUAL]]="NÃO",_xlfn.CONCAT(tabJanta[[#This Row],[DATA]]-1,"+",tabJanta[[#This Row],[MOTORISTA]]),"NÃO")</f>
        <v>NÃO</v>
      </c>
      <c r="I168" s="57" t="str">
        <f>IF(autocompJanta[[#This Row],[COMP ESCALA ANTERIOR]]="NÃO","NÃO",_xlfn.XLOOKUP(autocompJanta[[#This Row],[COMP ESCALA ANTERIOR]],tabE.Flux[COMP.AT. MOT A],tabE.Flux[LINHA],"NÃO",0,1))</f>
        <v>NÃO</v>
      </c>
      <c r="J168" s="58" t="str">
        <f>IF(autocompJanta[[#This Row],[COMP ESCALA ANTERIOR]]="NÃO","NÃO",_xlfn.XLOOKUP(autocompJanta[[#This Row],[COMP ESCALA ANTERIOR]],tabE.Flux[COMP.AT. MOT B],tabE.Flux[LINHA],"NÃO",0,1))</f>
        <v>NÃO</v>
      </c>
      <c r="K168" s="62" t="str">
        <f>IF(AND(autocompJanta[[#This Row],[EXISTE MOT A ANT]]="NÃO",autocompJanta[[#This Row],[EXISTE MOT B ANT]]="NÃO"),"NÃO","SIM")</f>
        <v>NÃO</v>
      </c>
      <c r="L168" s="59" t="str">
        <f t="shared" ref="L168" si="8">_xlfn.CONCAT(T168+1,"+",X168)</f>
        <v>45932+GILDEVAN DE ALMEIDA AGOSTINHO - 1924</v>
      </c>
      <c r="M168" s="59" t="str">
        <f>IF(autocompJanta[[#This Row],[COMP ESCALA POSTERIOR]]="NÃO","NÃO",_xlfn.XLOOKUP(autocompJanta[[#This Row],[COMP ESCALA POSTERIOR]],tabE.Flux[COMP.AT. MOT A],tabE.Flux[LINHA],"NÃO",0,1))</f>
        <v>NÃO</v>
      </c>
      <c r="N168" s="59" t="str">
        <f>IF(autocompJanta[[#This Row],[COMP ESCALA POSTERIOR]]="NÃO","NÃO",_xlfn.XLOOKUP(autocompJanta[[#This Row],[COMP ESCALA POSTERIOR]],tabE.Flux[COMP.AT. MOT B],tabE.Flux[LINHA],"NÃO",0,1))</f>
        <v>NÃO</v>
      </c>
      <c r="O168" s="65" t="str">
        <f>IF(AND(autocompJanta[[#This Row],[EXISTE MOT A POS]]="NÃO",autocompJanta[[#This Row],[EXISTE MOT B POS]]="NÃO"),"NÃO","SIM")</f>
        <v>NÃO</v>
      </c>
      <c r="P168" s="66" t="str" cm="1">
        <f t="array" ref="P16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68" s="103" t="str" cm="1">
        <f t="array" ref="Q16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45931+GILDEVAN DE ALMEIDA AGOSTINHO - 1924+GOIANIA (GO) X SAO LUIS (MA)</v>
      </c>
      <c r="R168" s="67">
        <f>_xlfn.XLOOKUP(autocompJanta[[#This Row],[COMP ESCALA]],tabE.Flux[COMP. ESCALA MOT B],tabE.Flux[CARRO],
(_xlfn.XLOOKUP(autocompJanta[[#This Row],[COMP ESCALA]],tabE.Flux[COMP. ESCALA MOT A],tabE.Flux[CARRO],"N/E",0,1)),0,1)</f>
        <v>24009</v>
      </c>
      <c r="S168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68" s="127">
        <v>45931</v>
      </c>
      <c r="U168" s="4">
        <f>IF(IFERROR(autocompJanta[[#This Row],[CORRESP. CARRO]],"")="NÃO",(IF(tabJanta[[#This Row],[MOTORISTA]]=0,"","PASSE?")),autocompJanta[[#This Row],[CORRESP. CARRO]])</f>
        <v>24009</v>
      </c>
      <c r="V168" s="128">
        <f>IF(OR(ISERR(autocompJanta[[#This Row],[CORRESP HORARIO]]), autocompJanta[[#This Row],[CORRESP HORARIO]]&lt;&gt;"NÃO"),autocompJanta[[#This Row],[CORRESP HORARIO]],"")</f>
        <v>0.79166666666666663</v>
      </c>
      <c r="W168" s="4" t="s">
        <v>299</v>
      </c>
      <c r="X168" s="4" t="s">
        <v>236</v>
      </c>
      <c r="Y168" s="4">
        <f>IF(tabJanta[[#This Row],[MOTORISTA]]="","",COUNTIF(autocompJanta[COMP ESCALA ATUAL],autocompJanta[[#This Row],[COMP ESCALA ATUAL]]))</f>
        <v>1</v>
      </c>
      <c r="Z168" s="45">
        <f>IF(tabJanta[[#This Row],[MOTORISTA]]&lt;&gt;0,15,"")</f>
        <v>15</v>
      </c>
      <c r="AA168" s="4" t="str">
        <f>autocompJanta[[#This Row],[CORRESP LINHA]]</f>
        <v>GOIANIA (GO) X SAO LUIS (MA)</v>
      </c>
    </row>
    <row r="169" spans="3:27" ht="15" customHeight="1" x14ac:dyDescent="0.25">
      <c r="C169" s="129" t="s">
        <v>226</v>
      </c>
      <c r="D169" s="56" t="str">
        <f>IF(tabJanta[[#This Row],[MOTORISTA]]="","",_xlfn.CONCAT(tabJanta[[#This Row],[DATA]],"+",tabJanta[[#This Row],[MOTORISTA]]))</f>
        <v>45931+WASHINGTON ALVES BRITO - 1553</v>
      </c>
      <c r="E169" s="56" t="str">
        <f>_xlfn.XLOOKUP(autocompJanta[[#This Row],[COMP ESCALA ATUAL]],tabE.Flux[COMP.AT. MOT A],tabE.Flux[LINHA],"NÃO",0,1)</f>
        <v>NÃO</v>
      </c>
      <c r="F169" s="56" t="str">
        <f>_xlfn.XLOOKUP(autocompJanta[[#This Row],[COMP ESCALA ATUAL]],tabE.Flux[COMP.AT. MOT B],tabE.Flux[LINHA],"NÃO",0,1)</f>
        <v>NÃO</v>
      </c>
      <c r="G169" s="61" t="str">
        <f>IF(AND(autocompJanta[[#This Row],[EXISTE MOT A AT]]="NÃO", autocompJanta[[#This Row],[EXISTE MOT B AT]]="NÃO"),"NÃO","SIM")</f>
        <v>NÃO</v>
      </c>
      <c r="H169" s="57" t="str">
        <f>IF(autocompJanta[[#This Row],[EXISTE ESCALA ATUAL]]="NÃO",_xlfn.CONCAT(tabJanta[[#This Row],[DATA]]-1,"+",tabJanta[[#This Row],[MOTORISTA]]),"NÃO")</f>
        <v>45930+WASHINGTON ALVES BRITO - 1553</v>
      </c>
      <c r="I169" s="57" t="str">
        <f>IF(autocompJanta[[#This Row],[COMP ESCALA ANTERIOR]]="NÃO","NÃO",_xlfn.XLOOKUP(autocompJanta[[#This Row],[COMP ESCALA ANTERIOR]],tabE.Flux[COMP.AT. MOT A],tabE.Flux[LINHA],"NÃO",0,1))</f>
        <v>NÃO</v>
      </c>
      <c r="J169" s="58" t="str">
        <f>IF(autocompJanta[[#This Row],[COMP ESCALA ANTERIOR]]="NÃO","NÃO",_xlfn.XLOOKUP(autocompJanta[[#This Row],[COMP ESCALA ANTERIOR]],tabE.Flux[COMP.AT. MOT B],tabE.Flux[LINHA],"NÃO",0,1))</f>
        <v>NÃO</v>
      </c>
      <c r="K169" s="62" t="str">
        <f>IF(AND(autocompJanta[[#This Row],[EXISTE MOT A ANT]]="NÃO",autocompJanta[[#This Row],[EXISTE MOT B ANT]]="NÃO"),"NÃO","SIM")</f>
        <v>NÃO</v>
      </c>
      <c r="L169" s="59" t="str">
        <f>_xlfn.CONCAT(T173+1,"+",X173)</f>
        <v>45933+RAIMUNDO COSTA SILVA - 6226</v>
      </c>
      <c r="M169" s="59" t="str">
        <f>IF(autocompJanta[[#This Row],[COMP ESCALA POSTERIOR]]="NÃO","NÃO",_xlfn.XLOOKUP(autocompJanta[[#This Row],[COMP ESCALA POSTERIOR]],tabE.Flux[COMP.AT. MOT A],tabE.Flux[LINHA],"NÃO",0,1))</f>
        <v>NÃO</v>
      </c>
      <c r="N169" s="59" t="str">
        <f>IF(autocompJanta[[#This Row],[COMP ESCALA POSTERIOR]]="NÃO","NÃO",_xlfn.XLOOKUP(autocompJanta[[#This Row],[COMP ESCALA POSTERIOR]],tabE.Flux[COMP.AT. MOT B],tabE.Flux[LINHA],"NÃO",0,1))</f>
        <v>NÃO</v>
      </c>
      <c r="O169" s="65" t="str">
        <f>IF(AND(autocompJanta[[#This Row],[EXISTE MOT A POS]]="NÃO",autocompJanta[[#This Row],[EXISTE MOT B POS]]="NÃO"),"NÃO","SIM")</f>
        <v>NÃO</v>
      </c>
      <c r="P169" s="66" t="str" cm="1">
        <f t="array" ref="P16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169" s="103" t="str" cm="1">
        <f t="array" ref="Q16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169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169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169" s="127">
        <v>45931</v>
      </c>
      <c r="U169" s="4">
        <v>19020</v>
      </c>
      <c r="V169" s="126">
        <v>0.37708333333333333</v>
      </c>
      <c r="W169" s="1" t="s">
        <v>299</v>
      </c>
      <c r="X169" s="1" t="s">
        <v>201</v>
      </c>
      <c r="Y169" s="1">
        <f>IF(tabJanta[[#This Row],[MOTORISTA]]="","",COUNTIF(autocompJanta[COMP ESCALA ATUAL],autocompJanta[[#This Row],[COMP ESCALA ATUAL]]))</f>
        <v>1</v>
      </c>
      <c r="Z169" s="105">
        <f>IF(tabJanta[[#This Row],[MOTORISTA]]&lt;&gt;0,15,"")</f>
        <v>15</v>
      </c>
      <c r="AA169" s="4" t="s">
        <v>32</v>
      </c>
    </row>
    <row r="170" spans="3:27" ht="15" customHeight="1" x14ac:dyDescent="0.25">
      <c r="C170" s="129" t="s">
        <v>226</v>
      </c>
      <c r="D170" s="56" t="str">
        <f>IF(tabJanta[[#This Row],[MOTORISTA]]="","",_xlfn.CONCAT(tabJanta[[#This Row],[DATA]],"+",tabJanta[[#This Row],[MOTORISTA]]))</f>
        <v>45931+LAUCEANDO DA SILVA ROCHA - 6220</v>
      </c>
      <c r="E170" s="56" t="str">
        <f>_xlfn.XLOOKUP(autocompJanta[[#This Row],[COMP ESCALA ATUAL]],tabE.Flux[COMP.AT. MOT A],tabE.Flux[LINHA],"NÃO",0,1)</f>
        <v>NÃO</v>
      </c>
      <c r="F170" s="56" t="str">
        <f>_xlfn.XLOOKUP(autocompJanta[[#This Row],[COMP ESCALA ATUAL]],tabE.Flux[COMP.AT. MOT B],tabE.Flux[LINHA],"NÃO",0,1)</f>
        <v>GOIANIA (GO) X SAO LUIS (MA)</v>
      </c>
      <c r="G170" s="61" t="str">
        <f>IF(AND(autocompJanta[[#This Row],[EXISTE MOT A AT]]="NÃO", autocompJanta[[#This Row],[EXISTE MOT B AT]]="NÃO"),"NÃO","SIM")</f>
        <v>SIM</v>
      </c>
      <c r="H170" s="57" t="str">
        <f>IF(autocompJanta[[#This Row],[EXISTE ESCALA ATUAL]]="NÃO",_xlfn.CONCAT(tabJanta[[#This Row],[DATA]]-1,"+",tabJanta[[#This Row],[MOTORISTA]]),"NÃO")</f>
        <v>NÃO</v>
      </c>
      <c r="I170" s="57" t="str">
        <f>IF(autocompJanta[[#This Row],[COMP ESCALA ANTERIOR]]="NÃO","NÃO",_xlfn.XLOOKUP(autocompJanta[[#This Row],[COMP ESCALA ANTERIOR]],tabE.Flux[COMP.AT. MOT A],tabE.Flux[LINHA],"NÃO",0,1))</f>
        <v>NÃO</v>
      </c>
      <c r="J170" s="58" t="str">
        <f>IF(autocompJanta[[#This Row],[COMP ESCALA ANTERIOR]]="NÃO","NÃO",_xlfn.XLOOKUP(autocompJanta[[#This Row],[COMP ESCALA ANTERIOR]],tabE.Flux[COMP.AT. MOT B],tabE.Flux[LINHA],"NÃO",0,1))</f>
        <v>NÃO</v>
      </c>
      <c r="K170" s="62" t="str">
        <f>IF(AND(autocompJanta[[#This Row],[EXISTE MOT A ANT]]="NÃO",autocompJanta[[#This Row],[EXISTE MOT B ANT]]="NÃO"),"NÃO","SIM")</f>
        <v>NÃO</v>
      </c>
      <c r="L170" s="59" t="str">
        <f>_xlfn.CONCAT(T181+1,"+",X181)</f>
        <v>45934+MARCIO DE SOUSA BRASILEIRO - 5828</v>
      </c>
      <c r="M170" s="59" t="str">
        <f>IF(autocompJanta[[#This Row],[COMP ESCALA POSTERIOR]]="NÃO","NÃO",_xlfn.XLOOKUP(autocompJanta[[#This Row],[COMP ESCALA POSTERIOR]],tabE.Flux[COMP.AT. MOT A],tabE.Flux[LINHA],"NÃO",0,1))</f>
        <v>NÃO</v>
      </c>
      <c r="N170" s="59" t="str">
        <f>IF(autocompJanta[[#This Row],[COMP ESCALA POSTERIOR]]="NÃO","NÃO",_xlfn.XLOOKUP(autocompJanta[[#This Row],[COMP ESCALA POSTERIOR]],tabE.Flux[COMP.AT. MOT B],tabE.Flux[LINHA],"NÃO",0,1))</f>
        <v>NÃO</v>
      </c>
      <c r="O170" s="65" t="str">
        <f>IF(AND(autocompJanta[[#This Row],[EXISTE MOT A POS]]="NÃO",autocompJanta[[#This Row],[EXISTE MOT B POS]]="NÃO"),"NÃO","SIM")</f>
        <v>NÃO</v>
      </c>
      <c r="P170" s="66" t="str" cm="1">
        <f t="array" ref="P17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70" s="103" t="str" cm="1">
        <f t="array" ref="Q17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45931+LAUCEANDO DA SILVA ROCHA - 6220+GOIANIA (GO) X SAO LUIS (MA)</v>
      </c>
      <c r="R170" s="67">
        <f>_xlfn.XLOOKUP(autocompJanta[[#This Row],[COMP ESCALA]],tabE.Flux[COMP. ESCALA MOT B],tabE.Flux[CARRO],
(_xlfn.XLOOKUP(autocompJanta[[#This Row],[COMP ESCALA]],tabE.Flux[COMP. ESCALA MOT A],tabE.Flux[CARRO],"N/E",0,1)),0,1)</f>
        <v>20014</v>
      </c>
      <c r="S170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70" s="127">
        <v>45931</v>
      </c>
      <c r="U170" s="131">
        <f>IF(IFERROR(autocompJanta[[#This Row],[CORRESP. CARRO]],"")="NÃO",(IF(tabJanta[[#This Row],[MOTORISTA]]=0,"","PASSE?")),autocompJanta[[#This Row],[CORRESP. CARRO]])</f>
        <v>20014</v>
      </c>
      <c r="V170" s="126">
        <f>IF(OR(ISERR(autocompJanta[[#This Row],[CORRESP HORARIO]]), autocompJanta[[#This Row],[CORRESP HORARIO]]&lt;&gt;"NÃO"),autocompJanta[[#This Row],[CORRESP HORARIO]],"")</f>
        <v>0.47013888888888888</v>
      </c>
      <c r="W170" s="1" t="s">
        <v>299</v>
      </c>
      <c r="X170" s="1" t="s">
        <v>86</v>
      </c>
      <c r="Y170" s="1">
        <f>IF(tabJanta[[#This Row],[MOTORISTA]]="","",COUNTIF(autocompJanta[COMP ESCALA ATUAL],autocompJanta[[#This Row],[COMP ESCALA ATUAL]]))</f>
        <v>1</v>
      </c>
      <c r="Z170" s="105">
        <f>IF(tabJanta[[#This Row],[MOTORISTA]]&lt;&gt;0,15,"")</f>
        <v>15</v>
      </c>
      <c r="AA170" s="131" t="str">
        <f>autocompJanta[[#This Row],[CORRESP LINHA]]</f>
        <v>GOIANIA (GO) X SAO LUIS (MA)</v>
      </c>
    </row>
    <row r="171" spans="3:27" ht="15" customHeight="1" x14ac:dyDescent="0.25">
      <c r="C171" s="129" t="s">
        <v>226</v>
      </c>
      <c r="D171" s="56" t="str">
        <f>IF(tabJanta[[#This Row],[MOTORISTA]]="","",_xlfn.CONCAT(tabJanta[[#This Row],[DATA]],"+",tabJanta[[#This Row],[MOTORISTA]]))</f>
        <v>45931+PAULO ENEAS FARIAS ARAUJO - 6218</v>
      </c>
      <c r="E171" s="56" t="str">
        <f>_xlfn.XLOOKUP(autocompJanta[[#This Row],[COMP ESCALA ATUAL]],tabE.Flux[COMP.AT. MOT A],tabE.Flux[LINHA],"NÃO",0,1)</f>
        <v>GOIANIA (GO) X SAO LUIS (MA)</v>
      </c>
      <c r="F171" s="56" t="str">
        <f>_xlfn.XLOOKUP(autocompJanta[[#This Row],[COMP ESCALA ATUAL]],tabE.Flux[COMP.AT. MOT B],tabE.Flux[LINHA],"NÃO",0,1)</f>
        <v>GOIANIA (GO) X SAO LUIS (MA)</v>
      </c>
      <c r="G171" s="61" t="str">
        <f>IF(AND(autocompJanta[[#This Row],[EXISTE MOT A AT]]="NÃO", autocompJanta[[#This Row],[EXISTE MOT B AT]]="NÃO"),"NÃO","SIM")</f>
        <v>SIM</v>
      </c>
      <c r="H171" s="57" t="str">
        <f>IF(autocompJanta[[#This Row],[EXISTE ESCALA ATUAL]]="NÃO",_xlfn.CONCAT(tabJanta[[#This Row],[DATA]]-1,"+",tabJanta[[#This Row],[MOTORISTA]]),"NÃO")</f>
        <v>NÃO</v>
      </c>
      <c r="I171" s="57" t="str">
        <f>IF(autocompJanta[[#This Row],[COMP ESCALA ANTERIOR]]="NÃO","NÃO",_xlfn.XLOOKUP(autocompJanta[[#This Row],[COMP ESCALA ANTERIOR]],tabE.Flux[COMP.AT. MOT A],tabE.Flux[LINHA],"NÃO",0,1))</f>
        <v>NÃO</v>
      </c>
      <c r="J171" s="58" t="str">
        <f>IF(autocompJanta[[#This Row],[COMP ESCALA ANTERIOR]]="NÃO","NÃO",_xlfn.XLOOKUP(autocompJanta[[#This Row],[COMP ESCALA ANTERIOR]],tabE.Flux[COMP.AT. MOT B],tabE.Flux[LINHA],"NÃO",0,1))</f>
        <v>NÃO</v>
      </c>
      <c r="K171" s="62" t="str">
        <f>IF(AND(autocompJanta[[#This Row],[EXISTE MOT A ANT]]="NÃO",autocompJanta[[#This Row],[EXISTE MOT B ANT]]="NÃO"),"NÃO","SIM")</f>
        <v>NÃO</v>
      </c>
      <c r="L171" s="59" t="str">
        <f>_xlfn.CONCAT(T186+1,"+",X186)</f>
        <v>45935+CARLOS ADRIANO DE SOUZA DO NASCIMENTO - 6222</v>
      </c>
      <c r="M171" s="59" t="str">
        <f>IF(autocompJanta[[#This Row],[COMP ESCALA POSTERIOR]]="NÃO","NÃO",_xlfn.XLOOKUP(autocompJanta[[#This Row],[COMP ESCALA POSTERIOR]],tabE.Flux[COMP.AT. MOT A],tabE.Flux[LINHA],"NÃO",0,1))</f>
        <v>NÃO</v>
      </c>
      <c r="N171" s="59" t="str">
        <f>IF(autocompJanta[[#This Row],[COMP ESCALA POSTERIOR]]="NÃO","NÃO",_xlfn.XLOOKUP(autocompJanta[[#This Row],[COMP ESCALA POSTERIOR]],tabE.Flux[COMP.AT. MOT B],tabE.Flux[LINHA],"NÃO",0,1))</f>
        <v>NÃO</v>
      </c>
      <c r="O171" s="65" t="str">
        <f>IF(AND(autocompJanta[[#This Row],[EXISTE MOT A POS]]="NÃO",autocompJanta[[#This Row],[EXISTE MOT B POS]]="NÃO"),"NÃO","SIM")</f>
        <v>NÃO</v>
      </c>
      <c r="P171" s="66" t="str" cm="1">
        <f t="array" ref="P17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71" s="103" t="str" cm="1">
        <f t="array" ref="Q17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45931+PAULO ENEAS FARIAS ARAUJO - 6218+GOIANIA (GO) X SAO LUIS (MA)</v>
      </c>
      <c r="R171" s="67">
        <f>_xlfn.XLOOKUP(autocompJanta[[#This Row],[COMP ESCALA]],tabE.Flux[COMP. ESCALA MOT B],tabE.Flux[CARRO],
(_xlfn.XLOOKUP(autocompJanta[[#This Row],[COMP ESCALA]],tabE.Flux[COMP. ESCALA MOT A],tabE.Flux[CARRO],"N/E",0,1)),0,1)</f>
        <v>24010</v>
      </c>
      <c r="S171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71" s="127">
        <v>45931</v>
      </c>
      <c r="U171" s="131">
        <f>IF(IFERROR(autocompJanta[[#This Row],[CORRESP. CARRO]],"")="NÃO",(IF(tabJanta[[#This Row],[MOTORISTA]]=0,"","PASSE?")),autocompJanta[[#This Row],[CORRESP. CARRO]])</f>
        <v>24010</v>
      </c>
      <c r="V171" s="126">
        <f>IF(OR(ISERR(autocompJanta[[#This Row],[CORRESP HORARIO]]), autocompJanta[[#This Row],[CORRESP HORARIO]]&lt;&gt;"NÃO"),autocompJanta[[#This Row],[CORRESP HORARIO]],"")</f>
        <v>0.29166666666666669</v>
      </c>
      <c r="W171" s="1" t="s">
        <v>299</v>
      </c>
      <c r="X171" s="1" t="s">
        <v>43</v>
      </c>
      <c r="Y171" s="1">
        <f>IF(tabJanta[[#This Row],[MOTORISTA]]="","",COUNTIF(autocompJanta[COMP ESCALA ATUAL],autocompJanta[[#This Row],[COMP ESCALA ATUAL]]))</f>
        <v>1</v>
      </c>
      <c r="Z171" s="105">
        <f>IF(tabJanta[[#This Row],[MOTORISTA]]&lt;&gt;0,15,"")</f>
        <v>15</v>
      </c>
      <c r="AA171" s="131" t="str">
        <f>autocompJanta[[#This Row],[CORRESP LINHA]]</f>
        <v>GOIANIA (GO) X SAO LUIS (MA)</v>
      </c>
    </row>
    <row r="172" spans="3:27" ht="15" customHeight="1" x14ac:dyDescent="0.25">
      <c r="C172" s="129" t="s">
        <v>226</v>
      </c>
      <c r="D172" s="56" t="str">
        <f>IF(tabJanta[[#This Row],[MOTORISTA]]="","",_xlfn.CONCAT(tabJanta[[#This Row],[DATA]],"+",tabJanta[[#This Row],[MOTORISTA]]))</f>
        <v>45931+JOAO FLAVIO DE SOUSA SILVA - 5270</v>
      </c>
      <c r="E172" s="56" t="str">
        <f>_xlfn.XLOOKUP(autocompJanta[[#This Row],[COMP ESCALA ATUAL]],tabE.Flux[COMP.AT. MOT A],tabE.Flux[LINHA],"NÃO",0,1)</f>
        <v>NÃO</v>
      </c>
      <c r="F172" s="56" t="str">
        <f>_xlfn.XLOOKUP(autocompJanta[[#This Row],[COMP ESCALA ATUAL]],tabE.Flux[COMP.AT. MOT B],tabE.Flux[LINHA],"NÃO",0,1)</f>
        <v>FORTALEZA (CE) X SINOP (MT)</v>
      </c>
      <c r="G172" s="61" t="str">
        <f>IF(AND(autocompJanta[[#This Row],[EXISTE MOT A AT]]="NÃO", autocompJanta[[#This Row],[EXISTE MOT B AT]]="NÃO"),"NÃO","SIM")</f>
        <v>SIM</v>
      </c>
      <c r="H172" s="57" t="str">
        <f>IF(autocompJanta[[#This Row],[EXISTE ESCALA ATUAL]]="NÃO",_xlfn.CONCAT(tabJanta[[#This Row],[DATA]]-1,"+",tabJanta[[#This Row],[MOTORISTA]]),"NÃO")</f>
        <v>NÃO</v>
      </c>
      <c r="I172" s="57" t="str">
        <f>IF(autocompJanta[[#This Row],[COMP ESCALA ANTERIOR]]="NÃO","NÃO",_xlfn.XLOOKUP(autocompJanta[[#This Row],[COMP ESCALA ANTERIOR]],tabE.Flux[COMP.AT. MOT A],tabE.Flux[LINHA],"NÃO",0,1))</f>
        <v>NÃO</v>
      </c>
      <c r="J172" s="58" t="str">
        <f>IF(autocompJanta[[#This Row],[COMP ESCALA ANTERIOR]]="NÃO","NÃO",_xlfn.XLOOKUP(autocompJanta[[#This Row],[COMP ESCALA ANTERIOR]],tabE.Flux[COMP.AT. MOT B],tabE.Flux[LINHA],"NÃO",0,1))</f>
        <v>NÃO</v>
      </c>
      <c r="K172" s="62" t="str">
        <f>IF(AND(autocompJanta[[#This Row],[EXISTE MOT A ANT]]="NÃO",autocompJanta[[#This Row],[EXISTE MOT B ANT]]="NÃO"),"NÃO","SIM")</f>
        <v>NÃO</v>
      </c>
      <c r="L172" s="59" t="str">
        <f>_xlfn.CONCAT(T191+1,"+",X191)</f>
        <v>45936+PAULO ENEAS FARIAS ARAUJO - 6218</v>
      </c>
      <c r="M172" s="59" t="str">
        <f>IF(autocompJanta[[#This Row],[COMP ESCALA POSTERIOR]]="NÃO","NÃO",_xlfn.XLOOKUP(autocompJanta[[#This Row],[COMP ESCALA POSTERIOR]],tabE.Flux[COMP.AT. MOT A],tabE.Flux[LINHA],"NÃO",0,1))</f>
        <v>NÃO</v>
      </c>
      <c r="N172" s="59" t="str">
        <f>IF(autocompJanta[[#This Row],[COMP ESCALA POSTERIOR]]="NÃO","NÃO",_xlfn.XLOOKUP(autocompJanta[[#This Row],[COMP ESCALA POSTERIOR]],tabE.Flux[COMP.AT. MOT B],tabE.Flux[LINHA],"NÃO",0,1))</f>
        <v>NÃO</v>
      </c>
      <c r="O172" s="65" t="str">
        <f>IF(AND(autocompJanta[[#This Row],[EXISTE MOT A POS]]="NÃO",autocompJanta[[#This Row],[EXISTE MOT B POS]]="NÃO"),"NÃO","SIM")</f>
        <v>NÃO</v>
      </c>
      <c r="P172" s="66" t="str" cm="1">
        <f t="array" ref="P17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72" s="103" t="str" cm="1">
        <f t="array" ref="Q17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45931+JOAO FLAVIO DE SOUSA SILVA - 5270+FORTALEZA (CE) X SINOP (MT)</v>
      </c>
      <c r="R172" s="67">
        <f>_xlfn.XLOOKUP(autocompJanta[[#This Row],[COMP ESCALA]],tabE.Flux[COMP. ESCALA MOT B],tabE.Flux[CARRO],
(_xlfn.XLOOKUP(autocompJanta[[#This Row],[COMP ESCALA]],tabE.Flux[COMP. ESCALA MOT A],tabE.Flux[CARRO],"N/E",0,1)),0,1)</f>
        <v>19003</v>
      </c>
      <c r="S172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72" s="127">
        <v>45931</v>
      </c>
      <c r="U172" s="131">
        <f>IF(IFERROR(autocompJanta[[#This Row],[CORRESP. CARRO]],"")="NÃO",(IF(tabJanta[[#This Row],[MOTORISTA]]=0,"","PASSE?")),autocompJanta[[#This Row],[CORRESP. CARRO]])</f>
        <v>19003</v>
      </c>
      <c r="V172" s="126">
        <f>IF(OR(ISERR(autocompJanta[[#This Row],[CORRESP HORARIO]]), autocompJanta[[#This Row],[CORRESP HORARIO]]&lt;&gt;"NÃO"),autocompJanta[[#This Row],[CORRESP HORARIO]],"")</f>
        <v>0.37708333333333333</v>
      </c>
      <c r="W172" s="1" t="s">
        <v>299</v>
      </c>
      <c r="X172" s="1" t="s">
        <v>222</v>
      </c>
      <c r="Y172" s="1">
        <f>IF(tabJanta[[#This Row],[MOTORISTA]]="","",COUNTIF(autocompJanta[COMP ESCALA ATUAL],autocompJanta[[#This Row],[COMP ESCALA ATUAL]]))</f>
        <v>1</v>
      </c>
      <c r="Z172" s="105">
        <f>IF(tabJanta[[#This Row],[MOTORISTA]]&lt;&gt;0,15,"")</f>
        <v>15</v>
      </c>
      <c r="AA172" s="131" t="str">
        <f>autocompJanta[[#This Row],[CORRESP LINHA]]</f>
        <v>FORTALEZA (CE) X SINOP (MT)</v>
      </c>
    </row>
    <row r="173" spans="3:27" ht="15" customHeight="1" x14ac:dyDescent="0.25">
      <c r="C173" s="129" t="s">
        <v>226</v>
      </c>
      <c r="D173" s="56" t="str">
        <f>IF(tabJanta[[#This Row],[MOTORISTA]]="","",_xlfn.CONCAT(tabJanta[[#This Row],[DATA]],"+",tabJanta[[#This Row],[MOTORISTA]]))</f>
        <v>45932+RAIMUNDO COSTA SILVA - 6226</v>
      </c>
      <c r="E173" s="56" t="str">
        <f>_xlfn.XLOOKUP(autocompJanta[[#This Row],[COMP ESCALA ATUAL]],tabE.Flux[COMP.AT. MOT A],tabE.Flux[LINHA],"NÃO",0,1)</f>
        <v>NÃO</v>
      </c>
      <c r="F173" s="56" t="str">
        <f>_xlfn.XLOOKUP(autocompJanta[[#This Row],[COMP ESCALA ATUAL]],tabE.Flux[COMP.AT. MOT B],tabE.Flux[LINHA],"NÃO",0,1)</f>
        <v>GOIANIA (GO) X SAO LUIS (MA)</v>
      </c>
      <c r="G173" s="61" t="str">
        <f>IF(AND(autocompJanta[[#This Row],[EXISTE MOT A AT]]="NÃO", autocompJanta[[#This Row],[EXISTE MOT B AT]]="NÃO"),"NÃO","SIM")</f>
        <v>SIM</v>
      </c>
      <c r="H173" s="57" t="str">
        <f>IF(autocompJanta[[#This Row],[EXISTE ESCALA ATUAL]]="NÃO",_xlfn.CONCAT(tabJanta[[#This Row],[DATA]]-1,"+",tabJanta[[#This Row],[MOTORISTA]]),"NÃO")</f>
        <v>NÃO</v>
      </c>
      <c r="I173" s="57" t="str">
        <f>IF(autocompJanta[[#This Row],[COMP ESCALA ANTERIOR]]="NÃO","NÃO",_xlfn.XLOOKUP(autocompJanta[[#This Row],[COMP ESCALA ANTERIOR]],tabE.Flux[COMP.AT. MOT A],tabE.Flux[LINHA],"NÃO",0,1))</f>
        <v>NÃO</v>
      </c>
      <c r="J173" s="58" t="str">
        <f>IF(autocompJanta[[#This Row],[COMP ESCALA ANTERIOR]]="NÃO","NÃO",_xlfn.XLOOKUP(autocompJanta[[#This Row],[COMP ESCALA ANTERIOR]],tabE.Flux[COMP.AT. MOT B],tabE.Flux[LINHA],"NÃO",0,1))</f>
        <v>NÃO</v>
      </c>
      <c r="K173" s="62" t="str">
        <f>IF(AND(autocompJanta[[#This Row],[EXISTE MOT A ANT]]="NÃO",autocompJanta[[#This Row],[EXISTE MOT B ANT]]="NÃO"),"NÃO","SIM")</f>
        <v>NÃO</v>
      </c>
      <c r="L173" s="59" t="str">
        <f>_xlfn.CONCAT(T198+1,"+",X198)</f>
        <v>45937+CARLOS ADRIANO DE SOUZA DO NASCIMENTO - 6222</v>
      </c>
      <c r="M173" s="59" t="str">
        <f>IF(autocompJanta[[#This Row],[COMP ESCALA POSTERIOR]]="NÃO","NÃO",_xlfn.XLOOKUP(autocompJanta[[#This Row],[COMP ESCALA POSTERIOR]],tabE.Flux[COMP.AT. MOT A],tabE.Flux[LINHA],"NÃO",0,1))</f>
        <v>NÃO</v>
      </c>
      <c r="N173" s="59" t="str">
        <f>IF(autocompJanta[[#This Row],[COMP ESCALA POSTERIOR]]="NÃO","NÃO",_xlfn.XLOOKUP(autocompJanta[[#This Row],[COMP ESCALA POSTERIOR]],tabE.Flux[COMP.AT. MOT B],tabE.Flux[LINHA],"NÃO",0,1))</f>
        <v>NÃO</v>
      </c>
      <c r="O173" s="65" t="str">
        <f>IF(AND(autocompJanta[[#This Row],[EXISTE MOT A POS]]="NÃO",autocompJanta[[#This Row],[EXISTE MOT B POS]]="NÃO"),"NÃO","SIM")</f>
        <v>NÃO</v>
      </c>
      <c r="P173" s="66" t="str" cm="1">
        <f t="array" ref="P17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73" s="103" t="str" cm="1">
        <f t="array" ref="Q17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45932+RAIMUNDO COSTA SILVA - 6226+GOIANIA (GO) X SAO LUIS (MA)</v>
      </c>
      <c r="R173" s="67">
        <f>_xlfn.XLOOKUP(autocompJanta[[#This Row],[COMP ESCALA]],tabE.Flux[COMP. ESCALA MOT B],tabE.Flux[CARRO],
(_xlfn.XLOOKUP(autocompJanta[[#This Row],[COMP ESCALA]],tabE.Flux[COMP. ESCALA MOT A],tabE.Flux[CARRO],"N/E",0,1)),0,1)</f>
        <v>19016</v>
      </c>
      <c r="S173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73" s="127">
        <v>45932</v>
      </c>
      <c r="U173" s="4">
        <f>IF(IFERROR(autocompJanta[[#This Row],[CORRESP. CARRO]],"")="NÃO",(IF(tabJanta[[#This Row],[MOTORISTA]]=0,"","PASSE?")),autocompJanta[[#This Row],[CORRESP. CARRO]])</f>
        <v>19016</v>
      </c>
      <c r="V173" s="128">
        <f>IF(OR(ISERR(autocompJanta[[#This Row],[CORRESP HORARIO]]), autocompJanta[[#This Row],[CORRESP HORARIO]]&lt;&gt;"NÃO"),autocompJanta[[#This Row],[CORRESP HORARIO]],"")</f>
        <v>0.47013888888888888</v>
      </c>
      <c r="W173" s="4" t="s">
        <v>299</v>
      </c>
      <c r="X173" s="4" t="s">
        <v>45</v>
      </c>
      <c r="Y173" s="4">
        <f>IF(tabJanta[[#This Row],[MOTORISTA]]="","",COUNTIF(autocompJanta[COMP ESCALA ATUAL],autocompJanta[[#This Row],[COMP ESCALA ATUAL]]))</f>
        <v>1</v>
      </c>
      <c r="Z173" s="45">
        <f>IF(tabJanta[[#This Row],[MOTORISTA]]&lt;&gt;0,15,"")</f>
        <v>15</v>
      </c>
      <c r="AA173" s="4" t="str">
        <f>autocompJanta[[#This Row],[CORRESP LINHA]]</f>
        <v>GOIANIA (GO) X SAO LUIS (MA)</v>
      </c>
    </row>
    <row r="174" spans="3:27" ht="15" customHeight="1" x14ac:dyDescent="0.25">
      <c r="C174" s="129" t="s">
        <v>226</v>
      </c>
      <c r="D174" s="56" t="str">
        <f>IF(tabJanta[[#This Row],[MOTORISTA]]="","",_xlfn.CONCAT(tabJanta[[#This Row],[DATA]],"+",tabJanta[[#This Row],[MOTORISTA]]))</f>
        <v>45932+KEITH NOLAN CARNEIRO BARBOSA - 5653</v>
      </c>
      <c r="E174" s="56" t="str">
        <f>_xlfn.XLOOKUP(autocompJanta[[#This Row],[COMP ESCALA ATUAL]],tabE.Flux[COMP.AT. MOT A],tabE.Flux[LINHA],"NÃO",0,1)</f>
        <v>NÃO</v>
      </c>
      <c r="F174" s="56" t="str">
        <f>_xlfn.XLOOKUP(autocompJanta[[#This Row],[COMP ESCALA ATUAL]],tabE.Flux[COMP.AT. MOT B],tabE.Flux[LINHA],"NÃO",0,1)</f>
        <v>FORTALEZA (CE) X SINOP (MT)</v>
      </c>
      <c r="G174" s="61" t="str">
        <f>IF(AND(autocompJanta[[#This Row],[EXISTE MOT A AT]]="NÃO", autocompJanta[[#This Row],[EXISTE MOT B AT]]="NÃO"),"NÃO","SIM")</f>
        <v>SIM</v>
      </c>
      <c r="H174" s="57" t="str">
        <f>IF(autocompJanta[[#This Row],[EXISTE ESCALA ATUAL]]="NÃO",_xlfn.CONCAT(tabJanta[[#This Row],[DATA]]-1,"+",tabJanta[[#This Row],[MOTORISTA]]),"NÃO")</f>
        <v>NÃO</v>
      </c>
      <c r="I174" s="57" t="str">
        <f>IF(autocompJanta[[#This Row],[COMP ESCALA ANTERIOR]]="NÃO","NÃO",_xlfn.XLOOKUP(autocompJanta[[#This Row],[COMP ESCALA ANTERIOR]],tabE.Flux[COMP.AT. MOT A],tabE.Flux[LINHA],"NÃO",0,1))</f>
        <v>NÃO</v>
      </c>
      <c r="J174" s="58" t="str">
        <f>IF(autocompJanta[[#This Row],[COMP ESCALA ANTERIOR]]="NÃO","NÃO",_xlfn.XLOOKUP(autocompJanta[[#This Row],[COMP ESCALA ANTERIOR]],tabE.Flux[COMP.AT. MOT B],tabE.Flux[LINHA],"NÃO",0,1))</f>
        <v>NÃO</v>
      </c>
      <c r="K174" s="62" t="str">
        <f>IF(AND(autocompJanta[[#This Row],[EXISTE MOT A ANT]]="NÃO",autocompJanta[[#This Row],[EXISTE MOT B ANT]]="NÃO"),"NÃO","SIM")</f>
        <v>NÃO</v>
      </c>
      <c r="L174" s="59" t="str">
        <f>_xlfn.CONCAT(T204+1,"+",X204)</f>
        <v>45937+IZALMIR RODRIGUES COELHO - 958</v>
      </c>
      <c r="M174" s="59" t="str">
        <f>IF(autocompJanta[[#This Row],[COMP ESCALA POSTERIOR]]="NÃO","NÃO",_xlfn.XLOOKUP(autocompJanta[[#This Row],[COMP ESCALA POSTERIOR]],tabE.Flux[COMP.AT. MOT A],tabE.Flux[LINHA],"NÃO",0,1))</f>
        <v>NÃO</v>
      </c>
      <c r="N174" s="59" t="str">
        <f>IF(autocompJanta[[#This Row],[COMP ESCALA POSTERIOR]]="NÃO","NÃO",_xlfn.XLOOKUP(autocompJanta[[#This Row],[COMP ESCALA POSTERIOR]],tabE.Flux[COMP.AT. MOT B],tabE.Flux[LINHA],"NÃO",0,1))</f>
        <v>NÃO</v>
      </c>
      <c r="O174" s="65" t="str">
        <f>IF(AND(autocompJanta[[#This Row],[EXISTE MOT A POS]]="NÃO",autocompJanta[[#This Row],[EXISTE MOT B POS]]="NÃO"),"NÃO","SIM")</f>
        <v>NÃO</v>
      </c>
      <c r="P174" s="66" t="str" cm="1">
        <f t="array" ref="P17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74" s="103" t="str" cm="1">
        <f t="array" ref="Q17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45932+KEITH NOLAN CARNEIRO BARBOSA - 5653+FORTALEZA (CE) X SINOP (MT)</v>
      </c>
      <c r="R174" s="67">
        <f>_xlfn.XLOOKUP(autocompJanta[[#This Row],[COMP ESCALA]],tabE.Flux[COMP. ESCALA MOT B],tabE.Flux[CARRO],
(_xlfn.XLOOKUP(autocompJanta[[#This Row],[COMP ESCALA]],tabE.Flux[COMP. ESCALA MOT A],tabE.Flux[CARRO],"N/E",0,1)),0,1)</f>
        <v>20017</v>
      </c>
      <c r="S174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74" s="127">
        <v>45932</v>
      </c>
      <c r="U174" s="4">
        <f>IF(IFERROR(autocompJanta[[#This Row],[CORRESP. CARRO]],"")="NÃO",(IF(tabJanta[[#This Row],[MOTORISTA]]=0,"","PASSE?")),autocompJanta[[#This Row],[CORRESP. CARRO]])</f>
        <v>20017</v>
      </c>
      <c r="V174" s="126">
        <f>IF(OR(ISERR(autocompJanta[[#This Row],[CORRESP HORARIO]]), autocompJanta[[#This Row],[CORRESP HORARIO]]&lt;&gt;"NÃO"),autocompJanta[[#This Row],[CORRESP HORARIO]],"")</f>
        <v>0.37708333333333333</v>
      </c>
      <c r="W174" s="1" t="s">
        <v>299</v>
      </c>
      <c r="X174" s="1" t="s">
        <v>122</v>
      </c>
      <c r="Y174" s="1">
        <f>IF(tabJanta[[#This Row],[MOTORISTA]]="","",COUNTIF(autocompJanta[COMP ESCALA ATUAL],autocompJanta[[#This Row],[COMP ESCALA ATUAL]]))</f>
        <v>1</v>
      </c>
      <c r="Z174" s="105">
        <f>IF(tabJanta[[#This Row],[MOTORISTA]]&lt;&gt;0,15,"")</f>
        <v>15</v>
      </c>
      <c r="AA174" s="4" t="str">
        <f>autocompJanta[[#This Row],[CORRESP LINHA]]</f>
        <v>FORTALEZA (CE) X SINOP (MT)</v>
      </c>
    </row>
    <row r="175" spans="3:27" ht="15" customHeight="1" x14ac:dyDescent="0.25">
      <c r="C175" s="129" t="s">
        <v>226</v>
      </c>
      <c r="D175" s="56" t="str">
        <f>IF(tabJanta[[#This Row],[MOTORISTA]]="","",_xlfn.CONCAT(tabJanta[[#This Row],[DATA]],"+",tabJanta[[#This Row],[MOTORISTA]]))</f>
        <v>45932+GILVAN DE SOUSA FRANCA - 5834</v>
      </c>
      <c r="E175" s="56" t="str">
        <f>_xlfn.XLOOKUP(autocompJanta[[#This Row],[COMP ESCALA ATUAL]],tabE.Flux[COMP.AT. MOT A],tabE.Flux[LINHA],"NÃO",0,1)</f>
        <v>NÃO</v>
      </c>
      <c r="F175" s="56" t="str">
        <f>_xlfn.XLOOKUP(autocompJanta[[#This Row],[COMP ESCALA ATUAL]],tabE.Flux[COMP.AT. MOT B],tabE.Flux[LINHA],"NÃO",0,1)</f>
        <v>NÃO</v>
      </c>
      <c r="G175" s="61" t="str">
        <f>IF(AND(autocompJanta[[#This Row],[EXISTE MOT A AT]]="NÃO", autocompJanta[[#This Row],[EXISTE MOT B AT]]="NÃO"),"NÃO","SIM")</f>
        <v>NÃO</v>
      </c>
      <c r="H175" s="57" t="str">
        <f>IF(autocompJanta[[#This Row],[EXISTE ESCALA ATUAL]]="NÃO",_xlfn.CONCAT(tabJanta[[#This Row],[DATA]]-1,"+",tabJanta[[#This Row],[MOTORISTA]]),"NÃO")</f>
        <v>45931+GILVAN DE SOUSA FRANCA - 5834</v>
      </c>
      <c r="I175" s="57" t="str">
        <f>IF(autocompJanta[[#This Row],[COMP ESCALA ANTERIOR]]="NÃO","NÃO",_xlfn.XLOOKUP(autocompJanta[[#This Row],[COMP ESCALA ANTERIOR]],tabE.Flux[COMP.AT. MOT A],tabE.Flux[LINHA],"NÃO",0,1))</f>
        <v>NÃO</v>
      </c>
      <c r="J175" s="58" t="str">
        <f>IF(autocompJanta[[#This Row],[COMP ESCALA ANTERIOR]]="NÃO","NÃO",_xlfn.XLOOKUP(autocompJanta[[#This Row],[COMP ESCALA ANTERIOR]],tabE.Flux[COMP.AT. MOT B],tabE.Flux[LINHA],"NÃO",0,1))</f>
        <v>NÃO</v>
      </c>
      <c r="K175" s="62" t="str">
        <f>IF(AND(autocompJanta[[#This Row],[EXISTE MOT A ANT]]="NÃO",autocompJanta[[#This Row],[EXISTE MOT B ANT]]="NÃO"),"NÃO","SIM")</f>
        <v>NÃO</v>
      </c>
      <c r="L175" s="59" t="str">
        <f>_xlfn.CONCAT(T205+1,"+",X205)</f>
        <v>45938+EDIVALDO DE ARAUJO - 6217</v>
      </c>
      <c r="M175" s="59" t="str">
        <f>IF(autocompJanta[[#This Row],[COMP ESCALA POSTERIOR]]="NÃO","NÃO",_xlfn.XLOOKUP(autocompJanta[[#This Row],[COMP ESCALA POSTERIOR]],tabE.Flux[COMP.AT. MOT A],tabE.Flux[LINHA],"NÃO",0,1))</f>
        <v>NÃO</v>
      </c>
      <c r="N175" s="59" t="str">
        <f>IF(autocompJanta[[#This Row],[COMP ESCALA POSTERIOR]]="NÃO","NÃO",_xlfn.XLOOKUP(autocompJanta[[#This Row],[COMP ESCALA POSTERIOR]],tabE.Flux[COMP.AT. MOT B],tabE.Flux[LINHA],"NÃO",0,1))</f>
        <v>NÃO</v>
      </c>
      <c r="O175" s="65" t="str">
        <f>IF(AND(autocompJanta[[#This Row],[EXISTE MOT A POS]]="NÃO",autocompJanta[[#This Row],[EXISTE MOT B POS]]="NÃO"),"NÃO","SIM")</f>
        <v>NÃO</v>
      </c>
      <c r="P175" s="66" t="str" cm="1">
        <f t="array" ref="P17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175" s="103" t="str" cm="1">
        <f t="array" ref="Q17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175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175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175" s="127">
        <v>45932</v>
      </c>
      <c r="U175" s="131">
        <v>19018</v>
      </c>
      <c r="V175" s="126" t="s">
        <v>1234</v>
      </c>
      <c r="W175" s="1" t="s">
        <v>299</v>
      </c>
      <c r="X175" s="1" t="s">
        <v>35</v>
      </c>
      <c r="Y175" s="1">
        <f>IF(tabJanta[[#This Row],[MOTORISTA]]="","",COUNTIF(autocompJanta[COMP ESCALA ATUAL],autocompJanta[[#This Row],[COMP ESCALA ATUAL]]))</f>
        <v>1</v>
      </c>
      <c r="Z175" s="105">
        <f>IF(tabJanta[[#This Row],[MOTORISTA]]&lt;&gt;0,15,"")</f>
        <v>15</v>
      </c>
      <c r="AA175" s="131" t="s">
        <v>1234</v>
      </c>
    </row>
    <row r="176" spans="3:27" ht="15" customHeight="1" x14ac:dyDescent="0.25">
      <c r="C176" s="129" t="s">
        <v>226</v>
      </c>
      <c r="D176" s="56" t="str">
        <f>IF(tabJanta[[#This Row],[MOTORISTA]]="","",_xlfn.CONCAT(tabJanta[[#This Row],[DATA]],"+",tabJanta[[#This Row],[MOTORISTA]]))</f>
        <v>45932+JERZUALDO DA SILVA GOMES - 4077</v>
      </c>
      <c r="E176" s="56" t="str">
        <f>_xlfn.XLOOKUP(autocompJanta[[#This Row],[COMP ESCALA ATUAL]],tabE.Flux[COMP.AT. MOT A],tabE.Flux[LINHA],"NÃO",0,1)</f>
        <v>GOIANIA (GO) X SAO LUIS (MA)</v>
      </c>
      <c r="F176" s="56" t="str">
        <f>_xlfn.XLOOKUP(autocompJanta[[#This Row],[COMP ESCALA ATUAL]],tabE.Flux[COMP.AT. MOT B],tabE.Flux[LINHA],"NÃO",0,1)</f>
        <v>GOIANIA (GO) X SAO LUIS (MA)</v>
      </c>
      <c r="G176" s="61" t="str">
        <f>IF(AND(autocompJanta[[#This Row],[EXISTE MOT A AT]]="NÃO", autocompJanta[[#This Row],[EXISTE MOT B AT]]="NÃO"),"NÃO","SIM")</f>
        <v>SIM</v>
      </c>
      <c r="H176" s="57" t="str">
        <f>IF(autocompJanta[[#This Row],[EXISTE ESCALA ATUAL]]="NÃO",_xlfn.CONCAT(tabJanta[[#This Row],[DATA]]-1,"+",tabJanta[[#This Row],[MOTORISTA]]),"NÃO")</f>
        <v>NÃO</v>
      </c>
      <c r="I176" s="57" t="str">
        <f>IF(autocompJanta[[#This Row],[COMP ESCALA ANTERIOR]]="NÃO","NÃO",_xlfn.XLOOKUP(autocompJanta[[#This Row],[COMP ESCALA ANTERIOR]],tabE.Flux[COMP.AT. MOT A],tabE.Flux[LINHA],"NÃO",0,1))</f>
        <v>NÃO</v>
      </c>
      <c r="J176" s="58" t="str">
        <f>IF(autocompJanta[[#This Row],[COMP ESCALA ANTERIOR]]="NÃO","NÃO",_xlfn.XLOOKUP(autocompJanta[[#This Row],[COMP ESCALA ANTERIOR]],tabE.Flux[COMP.AT. MOT B],tabE.Flux[LINHA],"NÃO",0,1))</f>
        <v>NÃO</v>
      </c>
      <c r="K176" s="62" t="str">
        <f>IF(AND(autocompJanta[[#This Row],[EXISTE MOT A ANT]]="NÃO",autocompJanta[[#This Row],[EXISTE MOT B ANT]]="NÃO"),"NÃO","SIM")</f>
        <v>NÃO</v>
      </c>
      <c r="L176" s="59" t="str">
        <f>_xlfn.CONCAT(T210+1,"+",X210)</f>
        <v>45939+JACINTO BATISTA DE SOUSA - 5271</v>
      </c>
      <c r="M176" s="59" t="str">
        <f>IF(autocompJanta[[#This Row],[COMP ESCALA POSTERIOR]]="NÃO","NÃO",_xlfn.XLOOKUP(autocompJanta[[#This Row],[COMP ESCALA POSTERIOR]],tabE.Flux[COMP.AT. MOT A],tabE.Flux[LINHA],"NÃO",0,1))</f>
        <v>NÃO</v>
      </c>
      <c r="N176" s="59" t="str">
        <f>IF(autocompJanta[[#This Row],[COMP ESCALA POSTERIOR]]="NÃO","NÃO",_xlfn.XLOOKUP(autocompJanta[[#This Row],[COMP ESCALA POSTERIOR]],tabE.Flux[COMP.AT. MOT B],tabE.Flux[LINHA],"NÃO",0,1))</f>
        <v>NÃO</v>
      </c>
      <c r="O176" s="65" t="str">
        <f>IF(AND(autocompJanta[[#This Row],[EXISTE MOT A POS]]="NÃO",autocompJanta[[#This Row],[EXISTE MOT B POS]]="NÃO"),"NÃO","SIM")</f>
        <v>NÃO</v>
      </c>
      <c r="P176" s="66" t="str" cm="1">
        <f t="array" ref="P17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76" s="103" t="str" cm="1">
        <f t="array" ref="Q17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45932+JERZUALDO DA SILVA GOMES - 4077+GOIANIA (GO) X SAO LUIS (MA)</v>
      </c>
      <c r="R176" s="67">
        <f>_xlfn.XLOOKUP(autocompJanta[[#This Row],[COMP ESCALA]],tabE.Flux[COMP. ESCALA MOT B],tabE.Flux[CARRO],
(_xlfn.XLOOKUP(autocompJanta[[#This Row],[COMP ESCALA]],tabE.Flux[COMP. ESCALA MOT A],tabE.Flux[CARRO],"N/E",0,1)),0,1)</f>
        <v>24001</v>
      </c>
      <c r="S176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76" s="127">
        <v>45932</v>
      </c>
      <c r="U176" s="131">
        <f>IF(IFERROR(autocompJanta[[#This Row],[CORRESP. CARRO]],"")="NÃO",(IF(tabJanta[[#This Row],[MOTORISTA]]=0,"","PASSE?")),autocompJanta[[#This Row],[CORRESP. CARRO]])</f>
        <v>24001</v>
      </c>
      <c r="V176" s="126">
        <f>IF(OR(ISERR(autocompJanta[[#This Row],[CORRESP HORARIO]]), autocompJanta[[#This Row],[CORRESP HORARIO]]&lt;&gt;"NÃO"),autocompJanta[[#This Row],[CORRESP HORARIO]],"")</f>
        <v>0.29166666666666669</v>
      </c>
      <c r="W176" s="1" t="s">
        <v>299</v>
      </c>
      <c r="X176" s="1" t="s">
        <v>130</v>
      </c>
      <c r="Y176" s="1">
        <f>IF(tabJanta[[#This Row],[MOTORISTA]]="","",COUNTIF(autocompJanta[COMP ESCALA ATUAL],autocompJanta[[#This Row],[COMP ESCALA ATUAL]]))</f>
        <v>1</v>
      </c>
      <c r="Z176" s="105">
        <f>IF(tabJanta[[#This Row],[MOTORISTA]]&lt;&gt;0,15,"")</f>
        <v>15</v>
      </c>
      <c r="AA176" s="131" t="str">
        <f>autocompJanta[[#This Row],[CORRESP LINHA]]</f>
        <v>GOIANIA (GO) X SAO LUIS (MA)</v>
      </c>
    </row>
    <row r="177" spans="3:27" ht="15" customHeight="1" x14ac:dyDescent="0.25">
      <c r="C177" s="129" t="s">
        <v>226</v>
      </c>
      <c r="D177" s="56" t="str">
        <f>IF(tabJanta[[#This Row],[MOTORISTA]]="","",_xlfn.CONCAT(tabJanta[[#This Row],[DATA]],"+",tabJanta[[#This Row],[MOTORISTA]]))</f>
        <v>45932+JOSE POLICARPO DE SOUSA NETO - 1472</v>
      </c>
      <c r="E177" s="56" t="str">
        <f>_xlfn.XLOOKUP(autocompJanta[[#This Row],[COMP ESCALA ATUAL]],tabE.Flux[COMP.AT. MOT A],tabE.Flux[LINHA],"NÃO",0,1)</f>
        <v>NÃO</v>
      </c>
      <c r="F177" s="56" t="str">
        <f>_xlfn.XLOOKUP(autocompJanta[[#This Row],[COMP ESCALA ATUAL]],tabE.Flux[COMP.AT. MOT B],tabE.Flux[LINHA],"NÃO",0,1)</f>
        <v>GOIANIA (GO) X SAO LUIS (MA)</v>
      </c>
      <c r="G177" s="61" t="str">
        <f>IF(AND(autocompJanta[[#This Row],[EXISTE MOT A AT]]="NÃO", autocompJanta[[#This Row],[EXISTE MOT B AT]]="NÃO"),"NÃO","SIM")</f>
        <v>SIM</v>
      </c>
      <c r="H177" s="57" t="str">
        <f>IF(autocompJanta[[#This Row],[EXISTE ESCALA ATUAL]]="NÃO",_xlfn.CONCAT(tabJanta[[#This Row],[DATA]]-1,"+",tabJanta[[#This Row],[MOTORISTA]]),"NÃO")</f>
        <v>NÃO</v>
      </c>
      <c r="I177" s="57" t="str">
        <f>IF(autocompJanta[[#This Row],[COMP ESCALA ANTERIOR]]="NÃO","NÃO",_xlfn.XLOOKUP(autocompJanta[[#This Row],[COMP ESCALA ANTERIOR]],tabE.Flux[COMP.AT. MOT A],tabE.Flux[LINHA],"NÃO",0,1))</f>
        <v>NÃO</v>
      </c>
      <c r="J177" s="58" t="str">
        <f>IF(autocompJanta[[#This Row],[COMP ESCALA ANTERIOR]]="NÃO","NÃO",_xlfn.XLOOKUP(autocompJanta[[#This Row],[COMP ESCALA ANTERIOR]],tabE.Flux[COMP.AT. MOT B],tabE.Flux[LINHA],"NÃO",0,1))</f>
        <v>NÃO</v>
      </c>
      <c r="K177" s="62" t="str">
        <f>IF(AND(autocompJanta[[#This Row],[EXISTE MOT A ANT]]="NÃO",autocompJanta[[#This Row],[EXISTE MOT B ANT]]="NÃO"),"NÃO","SIM")</f>
        <v>NÃO</v>
      </c>
      <c r="L177" s="59" t="str">
        <f>_xlfn.CONCAT(T216+1,"+",X216)</f>
        <v>45940+RAIMUNDO COSTA SILVA - 6226</v>
      </c>
      <c r="M177" s="59" t="str">
        <f>IF(autocompJanta[[#This Row],[COMP ESCALA POSTERIOR]]="NÃO","NÃO",_xlfn.XLOOKUP(autocompJanta[[#This Row],[COMP ESCALA POSTERIOR]],tabE.Flux[COMP.AT. MOT A],tabE.Flux[LINHA],"NÃO",0,1))</f>
        <v>NÃO</v>
      </c>
      <c r="N177" s="59" t="str">
        <f>IF(autocompJanta[[#This Row],[COMP ESCALA POSTERIOR]]="NÃO","NÃO",_xlfn.XLOOKUP(autocompJanta[[#This Row],[COMP ESCALA POSTERIOR]],tabE.Flux[COMP.AT. MOT B],tabE.Flux[LINHA],"NÃO",0,1))</f>
        <v>NÃO</v>
      </c>
      <c r="O177" s="65" t="str">
        <f>IF(AND(autocompJanta[[#This Row],[EXISTE MOT A POS]]="NÃO",autocompJanta[[#This Row],[EXISTE MOT B POS]]="NÃO"),"NÃO","SIM")</f>
        <v>NÃO</v>
      </c>
      <c r="P177" s="66" t="str" cm="1">
        <f t="array" ref="P17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77" s="103" t="str" cm="1">
        <f t="array" ref="Q17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45932+JOSE POLICARPO DE SOUSA NETO - 1472+GOIANIA (GO) X SAO LUIS (MA)</v>
      </c>
      <c r="R177" s="67">
        <f>_xlfn.XLOOKUP(autocompJanta[[#This Row],[COMP ESCALA]],tabE.Flux[COMP. ESCALA MOT B],tabE.Flux[CARRO],
(_xlfn.XLOOKUP(autocompJanta[[#This Row],[COMP ESCALA]],tabE.Flux[COMP. ESCALA MOT A],tabE.Flux[CARRO],"N/E",0,1)),0,1)</f>
        <v>24010</v>
      </c>
      <c r="S177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77" s="127">
        <v>45932</v>
      </c>
      <c r="U177" s="131">
        <f>IF(IFERROR(autocompJanta[[#This Row],[CORRESP. CARRO]],"")="NÃO",(IF(tabJanta[[#This Row],[MOTORISTA]]=0,"","PASSE?")),autocompJanta[[#This Row],[CORRESP. CARRO]])</f>
        <v>24010</v>
      </c>
      <c r="V177" s="126">
        <f>IF(OR(ISERR(autocompJanta[[#This Row],[CORRESP HORARIO]]), autocompJanta[[#This Row],[CORRESP HORARIO]]&lt;&gt;"NÃO"),autocompJanta[[#This Row],[CORRESP HORARIO]],"")</f>
        <v>0.79166666666666663</v>
      </c>
      <c r="W177" s="1" t="s">
        <v>299</v>
      </c>
      <c r="X177" s="1" t="s">
        <v>54</v>
      </c>
      <c r="Y177" s="1">
        <f>IF(tabJanta[[#This Row],[MOTORISTA]]="","",COUNTIF(autocompJanta[COMP ESCALA ATUAL],autocompJanta[[#This Row],[COMP ESCALA ATUAL]]))</f>
        <v>1</v>
      </c>
      <c r="Z177" s="105">
        <f>IF(tabJanta[[#This Row],[MOTORISTA]]&lt;&gt;0,15,"")</f>
        <v>15</v>
      </c>
      <c r="AA177" s="131" t="str">
        <f>autocompJanta[[#This Row],[CORRESP LINHA]]</f>
        <v>GOIANIA (GO) X SAO LUIS (MA)</v>
      </c>
    </row>
    <row r="178" spans="3:27" ht="15" customHeight="1" x14ac:dyDescent="0.25">
      <c r="C178" s="129" t="s">
        <v>226</v>
      </c>
      <c r="D178" s="56" t="str">
        <f>IF(tabJanta[[#This Row],[MOTORISTA]]="","",_xlfn.CONCAT(tabJanta[[#This Row],[DATA]],"+",tabJanta[[#This Row],[MOTORISTA]]))</f>
        <v>45932+PAULO MORAES DOS SANTOS - 1534</v>
      </c>
      <c r="E178" s="56" t="str">
        <f>_xlfn.XLOOKUP(autocompJanta[[#This Row],[COMP ESCALA ATUAL]],tabE.Flux[COMP.AT. MOT A],tabE.Flux[LINHA],"NÃO",0,1)</f>
        <v>NÃO</v>
      </c>
      <c r="F178" s="56" t="str">
        <f>_xlfn.XLOOKUP(autocompJanta[[#This Row],[COMP ESCALA ATUAL]],tabE.Flux[COMP.AT. MOT B],tabE.Flux[LINHA],"NÃO",0,1)</f>
        <v>GOIANIA (GO) X TERESINA (PI) VIA STI</v>
      </c>
      <c r="G178" s="61" t="str">
        <f>IF(AND(autocompJanta[[#This Row],[EXISTE MOT A AT]]="NÃO", autocompJanta[[#This Row],[EXISTE MOT B AT]]="NÃO"),"NÃO","SIM")</f>
        <v>SIM</v>
      </c>
      <c r="H178" s="57" t="str">
        <f>IF(autocompJanta[[#This Row],[EXISTE ESCALA ATUAL]]="NÃO",_xlfn.CONCAT(tabJanta[[#This Row],[DATA]]-1,"+",tabJanta[[#This Row],[MOTORISTA]]),"NÃO")</f>
        <v>NÃO</v>
      </c>
      <c r="I178" s="57" t="str">
        <f>IF(autocompJanta[[#This Row],[COMP ESCALA ANTERIOR]]="NÃO","NÃO",_xlfn.XLOOKUP(autocompJanta[[#This Row],[COMP ESCALA ANTERIOR]],tabE.Flux[COMP.AT. MOT A],tabE.Flux[LINHA],"NÃO",0,1))</f>
        <v>NÃO</v>
      </c>
      <c r="J178" s="58" t="str">
        <f>IF(autocompJanta[[#This Row],[COMP ESCALA ANTERIOR]]="NÃO","NÃO",_xlfn.XLOOKUP(autocompJanta[[#This Row],[COMP ESCALA ANTERIOR]],tabE.Flux[COMP.AT. MOT B],tabE.Flux[LINHA],"NÃO",0,1))</f>
        <v>NÃO</v>
      </c>
      <c r="K178" s="62" t="str">
        <f>IF(AND(autocompJanta[[#This Row],[EXISTE MOT A ANT]]="NÃO",autocompJanta[[#This Row],[EXISTE MOT B ANT]]="NÃO"),"NÃO","SIM")</f>
        <v>NÃO</v>
      </c>
      <c r="L178" s="59" t="str">
        <f>_xlfn.CONCAT(T223+1,"+",X223)</f>
        <v>45941+KAYLSON KLEYTON DA SILVA COSTA - 6224</v>
      </c>
      <c r="M178" s="59" t="str">
        <f>IF(autocompJanta[[#This Row],[COMP ESCALA POSTERIOR]]="NÃO","NÃO",_xlfn.XLOOKUP(autocompJanta[[#This Row],[COMP ESCALA POSTERIOR]],tabE.Flux[COMP.AT. MOT A],tabE.Flux[LINHA],"NÃO",0,1))</f>
        <v>NÃO</v>
      </c>
      <c r="N178" s="59" t="str">
        <f>IF(autocompJanta[[#This Row],[COMP ESCALA POSTERIOR]]="NÃO","NÃO",_xlfn.XLOOKUP(autocompJanta[[#This Row],[COMP ESCALA POSTERIOR]],tabE.Flux[COMP.AT. MOT B],tabE.Flux[LINHA],"NÃO",0,1))</f>
        <v>NÃO</v>
      </c>
      <c r="O178" s="65" t="str">
        <f>IF(AND(autocompJanta[[#This Row],[EXISTE MOT A POS]]="NÃO",autocompJanta[[#This Row],[EXISTE MOT B POS]]="NÃO"),"NÃO","SIM")</f>
        <v>NÃO</v>
      </c>
      <c r="P178" s="66" t="str" cm="1">
        <f t="array" ref="P17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78" s="103" t="str" cm="1">
        <f t="array" ref="Q17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45932+PAULO MORAES DOS SANTOS - 1534+GOIANIA (GO) X TERESINA (PI) VIA STI</v>
      </c>
      <c r="R178" s="67">
        <f>_xlfn.XLOOKUP(autocompJanta[[#This Row],[COMP ESCALA]],tabE.Flux[COMP. ESCALA MOT B],tabE.Flux[CARRO],
(_xlfn.XLOOKUP(autocompJanta[[#This Row],[COMP ESCALA]],tabE.Flux[COMP. ESCALA MOT A],tabE.Flux[CARRO],"N/E",0,1)),0,1)</f>
        <v>19005</v>
      </c>
      <c r="S178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78" s="127">
        <v>45932</v>
      </c>
      <c r="U178" s="131">
        <f>IF(IFERROR(autocompJanta[[#This Row],[CORRESP. CARRO]],"")="NÃO",(IF(tabJanta[[#This Row],[MOTORISTA]]=0,"","PASSE?")),autocompJanta[[#This Row],[CORRESP. CARRO]])</f>
        <v>19005</v>
      </c>
      <c r="V178" s="126">
        <f>IF(OR(ISERR(autocompJanta[[#This Row],[CORRESP HORARIO]]), autocompJanta[[#This Row],[CORRESP HORARIO]]&lt;&gt;"NÃO"),autocompJanta[[#This Row],[CORRESP HORARIO]],"")</f>
        <v>0.79861111111111116</v>
      </c>
      <c r="W178" s="1" t="s">
        <v>299</v>
      </c>
      <c r="X178" s="1" t="s">
        <v>225</v>
      </c>
      <c r="Y178" s="1">
        <f>IF(tabJanta[[#This Row],[MOTORISTA]]="","",COUNTIF(autocompJanta[COMP ESCALA ATUAL],autocompJanta[[#This Row],[COMP ESCALA ATUAL]]))</f>
        <v>1</v>
      </c>
      <c r="Z178" s="105">
        <f>IF(tabJanta[[#This Row],[MOTORISTA]]&lt;&gt;0,15,"")</f>
        <v>15</v>
      </c>
      <c r="AA178" s="131" t="str">
        <f>autocompJanta[[#This Row],[CORRESP LINHA]]</f>
        <v>GOIANIA (GO) X TERESINA (PI) VIA STI</v>
      </c>
    </row>
    <row r="179" spans="3:27" ht="15" customHeight="1" x14ac:dyDescent="0.25">
      <c r="C179" s="129" t="s">
        <v>226</v>
      </c>
      <c r="D179" s="56" t="str">
        <f>IF(tabJanta[[#This Row],[MOTORISTA]]="","",_xlfn.CONCAT(tabJanta[[#This Row],[DATA]],"+",tabJanta[[#This Row],[MOTORISTA]]))</f>
        <v>45932+RAINERIO COSTA MENDES - 5850</v>
      </c>
      <c r="E179" s="56" t="str">
        <f>_xlfn.XLOOKUP(autocompJanta[[#This Row],[COMP ESCALA ATUAL]],tabE.Flux[COMP.AT. MOT A],tabE.Flux[LINHA],"NÃO",0,1)</f>
        <v>NÃO</v>
      </c>
      <c r="F179" s="56" t="str">
        <f>_xlfn.XLOOKUP(autocompJanta[[#This Row],[COMP ESCALA ATUAL]],tabE.Flux[COMP.AT. MOT B],tabE.Flux[LINHA],"NÃO",0,1)</f>
        <v>NÃO</v>
      </c>
      <c r="G179" s="61" t="str">
        <f>IF(AND(autocompJanta[[#This Row],[EXISTE MOT A AT]]="NÃO", autocompJanta[[#This Row],[EXISTE MOT B AT]]="NÃO"),"NÃO","SIM")</f>
        <v>NÃO</v>
      </c>
      <c r="H179" s="57" t="str">
        <f>IF(autocompJanta[[#This Row],[EXISTE ESCALA ATUAL]]="NÃO",_xlfn.CONCAT(tabJanta[[#This Row],[DATA]]-1,"+",tabJanta[[#This Row],[MOTORISTA]]),"NÃO")</f>
        <v>45931+RAINERIO COSTA MENDES - 5850</v>
      </c>
      <c r="I179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79" s="58" t="str">
        <f>IF(autocompJanta[[#This Row],[COMP ESCALA ANTERIOR]]="NÃO","NÃO",_xlfn.XLOOKUP(autocompJanta[[#This Row],[COMP ESCALA ANTERIOR]],tabE.Flux[COMP.AT. MOT B],tabE.Flux[LINHA],"NÃO",0,1))</f>
        <v>NÃO</v>
      </c>
      <c r="K179" s="62" t="str">
        <f>IF(AND(autocompJanta[[#This Row],[EXISTE MOT A ANT]]="NÃO",autocompJanta[[#This Row],[EXISTE MOT B ANT]]="NÃO"),"NÃO","SIM")</f>
        <v>SIM</v>
      </c>
      <c r="L179" s="59" t="str">
        <f>_xlfn.CONCAT(T230+1,"+",X230)</f>
        <v>45942+EDUARDO SANTOS BEZERRA - 4066</v>
      </c>
      <c r="M179" s="59" t="str">
        <f>IF(autocompJanta[[#This Row],[COMP ESCALA POSTERIOR]]="NÃO","NÃO",_xlfn.XLOOKUP(autocompJanta[[#This Row],[COMP ESCALA POSTERIOR]],tabE.Flux[COMP.AT. MOT A],tabE.Flux[LINHA],"NÃO",0,1))</f>
        <v>NÃO</v>
      </c>
      <c r="N179" s="59" t="str">
        <f>IF(autocompJanta[[#This Row],[COMP ESCALA POSTERIOR]]="NÃO","NÃO",_xlfn.XLOOKUP(autocompJanta[[#This Row],[COMP ESCALA POSTERIOR]],tabE.Flux[COMP.AT. MOT B],tabE.Flux[LINHA],"NÃO",0,1))</f>
        <v>NÃO</v>
      </c>
      <c r="O179" s="65" t="str">
        <f>IF(AND(autocompJanta[[#This Row],[EXISTE MOT A POS]]="NÃO",autocompJanta[[#This Row],[EXISTE MOT B POS]]="NÃO"),"NÃO","SIM")</f>
        <v>NÃO</v>
      </c>
      <c r="P179" s="66" t="str" cm="1">
        <f t="array" ref="P17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79" s="103" t="str" cm="1">
        <f t="array" ref="Q17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45931+RAINERIO COSTA MENDES - 5850+GOIANIA (GO) X TERESINA (PI) VIA STI</v>
      </c>
      <c r="R179" s="67">
        <f>_xlfn.XLOOKUP(autocompJanta[[#This Row],[COMP ESCALA]],tabE.Flux[COMP. ESCALA MOT B],tabE.Flux[CARRO],
(_xlfn.XLOOKUP(autocompJanta[[#This Row],[COMP ESCALA]],tabE.Flux[COMP. ESCALA MOT A],tabE.Flux[CARRO],"N/E",0,1)),0,1)</f>
        <v>19018</v>
      </c>
      <c r="S179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79" s="127">
        <v>45932</v>
      </c>
      <c r="U179" s="131">
        <f>IF(IFERROR(autocompJanta[[#This Row],[CORRESP. CARRO]],"")="NÃO",(IF(tabJanta[[#This Row],[MOTORISTA]]=0,"","PASSE?")),autocompJanta[[#This Row],[CORRESP. CARRO]])</f>
        <v>19018</v>
      </c>
      <c r="V179" s="126">
        <f>IF(OR(ISERR(autocompJanta[[#This Row],[CORRESP HORARIO]]), autocompJanta[[#This Row],[CORRESP HORARIO]]&lt;&gt;"NÃO"),autocompJanta[[#This Row],[CORRESP HORARIO]],"")</f>
        <v>0.79861111111111116</v>
      </c>
      <c r="W179" s="1" t="s">
        <v>299</v>
      </c>
      <c r="X179" s="1" t="s">
        <v>108</v>
      </c>
      <c r="Y179" s="1">
        <f>IF(tabJanta[[#This Row],[MOTORISTA]]="","",COUNTIF(autocompJanta[COMP ESCALA ATUAL],autocompJanta[[#This Row],[COMP ESCALA ATUAL]]))</f>
        <v>1</v>
      </c>
      <c r="Z179" s="105">
        <f>IF(tabJanta[[#This Row],[MOTORISTA]]&lt;&gt;0,15,"")</f>
        <v>15</v>
      </c>
      <c r="AA179" s="131" t="str">
        <f>autocompJanta[[#This Row],[CORRESP LINHA]]</f>
        <v>GOIANIA (GO) X TERESINA (PI) VIA STI</v>
      </c>
    </row>
    <row r="180" spans="3:27" ht="15" customHeight="1" x14ac:dyDescent="0.25">
      <c r="C180" s="129" t="s">
        <v>226</v>
      </c>
      <c r="D180" s="56" t="str">
        <f>IF(tabJanta[[#This Row],[MOTORISTA]]="","",_xlfn.CONCAT(tabJanta[[#This Row],[DATA]],"+",tabJanta[[#This Row],[MOTORISTA]]))</f>
        <v>45932+EDIVALDO DE ARAUJO - 6217</v>
      </c>
      <c r="E180" s="56" t="str">
        <f>_xlfn.XLOOKUP(autocompJanta[[#This Row],[COMP ESCALA ATUAL]],tabE.Flux[COMP.AT. MOT A],tabE.Flux[LINHA],"NÃO",0,1)</f>
        <v>NÃO</v>
      </c>
      <c r="F180" s="56" t="str">
        <f>_xlfn.XLOOKUP(autocompJanta[[#This Row],[COMP ESCALA ATUAL]],tabE.Flux[COMP.AT. MOT B],tabE.Flux[LINHA],"NÃO",0,1)</f>
        <v>NÃO</v>
      </c>
      <c r="G180" s="61" t="str">
        <f>IF(AND(autocompJanta[[#This Row],[EXISTE MOT A AT]]="NÃO", autocompJanta[[#This Row],[EXISTE MOT B AT]]="NÃO"),"NÃO","SIM")</f>
        <v>NÃO</v>
      </c>
      <c r="H180" s="57" t="str">
        <f>IF(autocompJanta[[#This Row],[EXISTE ESCALA ATUAL]]="NÃO",_xlfn.CONCAT(tabJanta[[#This Row],[DATA]]-1,"+",tabJanta[[#This Row],[MOTORISTA]]),"NÃO")</f>
        <v>45931+EDIVALDO DE ARAUJO - 6217</v>
      </c>
      <c r="I180" s="57" t="str">
        <f>IF(autocompJanta[[#This Row],[COMP ESCALA ANTERIOR]]="NÃO","NÃO",_xlfn.XLOOKUP(autocompJanta[[#This Row],[COMP ESCALA ANTERIOR]],tabE.Flux[COMP.AT. MOT A],tabE.Flux[LINHA],"NÃO",0,1))</f>
        <v>GOIANIA (GO) X SAO LUIS (MA)</v>
      </c>
      <c r="J180" s="58" t="str">
        <f>IF(autocompJanta[[#This Row],[COMP ESCALA ANTERIOR]]="NÃO","NÃO",_xlfn.XLOOKUP(autocompJanta[[#This Row],[COMP ESCALA ANTERIOR]],tabE.Flux[COMP.AT. MOT B],tabE.Flux[LINHA],"NÃO",0,1))</f>
        <v>NÃO</v>
      </c>
      <c r="K180" s="62" t="str">
        <f>IF(AND(autocompJanta[[#This Row],[EXISTE MOT A ANT]]="NÃO",autocompJanta[[#This Row],[EXISTE MOT B ANT]]="NÃO"),"NÃO","SIM")</f>
        <v>SIM</v>
      </c>
      <c r="L180" s="59" t="str">
        <f>_xlfn.CONCAT(T233+1,"+",X233)</f>
        <v>45943+KAYLSON KLEYTON DA SILVA COSTA - 6224</v>
      </c>
      <c r="M180" s="59" t="str">
        <f>IF(autocompJanta[[#This Row],[COMP ESCALA POSTERIOR]]="NÃO","NÃO",_xlfn.XLOOKUP(autocompJanta[[#This Row],[COMP ESCALA POSTERIOR]],tabE.Flux[COMP.AT. MOT A],tabE.Flux[LINHA],"NÃO",0,1))</f>
        <v>NÃO</v>
      </c>
      <c r="N180" s="59" t="str">
        <f>IF(autocompJanta[[#This Row],[COMP ESCALA POSTERIOR]]="NÃO","NÃO",_xlfn.XLOOKUP(autocompJanta[[#This Row],[COMP ESCALA POSTERIOR]],tabE.Flux[COMP.AT. MOT B],tabE.Flux[LINHA],"NÃO",0,1))</f>
        <v>NÃO</v>
      </c>
      <c r="O180" s="65" t="str">
        <f>IF(AND(autocompJanta[[#This Row],[EXISTE MOT A POS]]="NÃO",autocompJanta[[#This Row],[EXISTE MOT B POS]]="NÃO"),"NÃO","SIM")</f>
        <v>NÃO</v>
      </c>
      <c r="P180" s="66" t="str" cm="1">
        <f t="array" ref="P18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80" s="103" t="str" cm="1">
        <f t="array" ref="Q18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45931+EDIVALDO DE ARAUJO - 6217+GOIANIA (GO) X SAO LUIS (MA)</v>
      </c>
      <c r="R180" s="67">
        <f>_xlfn.XLOOKUP(autocompJanta[[#This Row],[COMP ESCALA]],tabE.Flux[COMP. ESCALA MOT B],tabE.Flux[CARRO],
(_xlfn.XLOOKUP(autocompJanta[[#This Row],[COMP ESCALA]],tabE.Flux[COMP. ESCALA MOT A],tabE.Flux[CARRO],"N/E",0,1)),0,1)</f>
        <v>24009</v>
      </c>
      <c r="S180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80" s="127">
        <v>45932</v>
      </c>
      <c r="U180" s="131">
        <f>IF(IFERROR(autocompJanta[[#This Row],[CORRESP. CARRO]],"")="NÃO",(IF(tabJanta[[#This Row],[MOTORISTA]]=0,"","PASSE?")),autocompJanta[[#This Row],[CORRESP. CARRO]])</f>
        <v>24009</v>
      </c>
      <c r="V180" s="126">
        <f>IF(OR(ISERR(autocompJanta[[#This Row],[CORRESP HORARIO]]), autocompJanta[[#This Row],[CORRESP HORARIO]]&lt;&gt;"NÃO"),autocompJanta[[#This Row],[CORRESP HORARIO]],"")</f>
        <v>0.79166666666666663</v>
      </c>
      <c r="W180" s="1" t="s">
        <v>306</v>
      </c>
      <c r="X180" s="1" t="s">
        <v>55</v>
      </c>
      <c r="Y180" s="1">
        <f>IF(tabJanta[[#This Row],[MOTORISTA]]="","",COUNTIF(autocompJanta[COMP ESCALA ATUAL],autocompJanta[[#This Row],[COMP ESCALA ATUAL]]))</f>
        <v>1</v>
      </c>
      <c r="Z180" s="105">
        <f>IF(tabJanta[[#This Row],[MOTORISTA]]&lt;&gt;0,15,"")</f>
        <v>15</v>
      </c>
      <c r="AA180" s="131" t="str">
        <f>autocompJanta[[#This Row],[CORRESP LINHA]]</f>
        <v>GOIANIA (GO) X SAO LUIS (MA)</v>
      </c>
    </row>
    <row r="181" spans="3:27" ht="15" customHeight="1" x14ac:dyDescent="0.25">
      <c r="C181" s="129" t="s">
        <v>226</v>
      </c>
      <c r="D181" s="56" t="str">
        <f>IF(tabJanta[[#This Row],[MOTORISTA]]="","",_xlfn.CONCAT(tabJanta[[#This Row],[DATA]],"+",tabJanta[[#This Row],[MOTORISTA]]))</f>
        <v>45933+MARCIO DE SOUSA BRASILEIRO - 5828</v>
      </c>
      <c r="E181" s="56" t="str">
        <f>_xlfn.XLOOKUP(autocompJanta[[#This Row],[COMP ESCALA ATUAL]],tabE.Flux[COMP.AT. MOT A],tabE.Flux[LINHA],"NÃO",0,1)</f>
        <v>NÃO</v>
      </c>
      <c r="F181" s="56" t="str">
        <f>_xlfn.XLOOKUP(autocompJanta[[#This Row],[COMP ESCALA ATUAL]],tabE.Flux[COMP.AT. MOT B],tabE.Flux[LINHA],"NÃO",0,1)</f>
        <v>FORTALEZA (CE) X SINOP (MT)</v>
      </c>
      <c r="G181" s="61" t="str">
        <f>IF(AND(autocompJanta[[#This Row],[EXISTE MOT A AT]]="NÃO", autocompJanta[[#This Row],[EXISTE MOT B AT]]="NÃO"),"NÃO","SIM")</f>
        <v>SIM</v>
      </c>
      <c r="H181" s="57" t="str">
        <f>IF(autocompJanta[[#This Row],[EXISTE ESCALA ATUAL]]="NÃO",_xlfn.CONCAT(tabJanta[[#This Row],[DATA]]-1,"+",tabJanta[[#This Row],[MOTORISTA]]),"NÃO")</f>
        <v>NÃO</v>
      </c>
      <c r="I181" s="57" t="str">
        <f>IF(autocompJanta[[#This Row],[COMP ESCALA ANTERIOR]]="NÃO","NÃO",_xlfn.XLOOKUP(autocompJanta[[#This Row],[COMP ESCALA ANTERIOR]],tabE.Flux[COMP.AT. MOT A],tabE.Flux[LINHA],"NÃO",0,1))</f>
        <v>NÃO</v>
      </c>
      <c r="J181" s="58" t="str">
        <f>IF(autocompJanta[[#This Row],[COMP ESCALA ANTERIOR]]="NÃO","NÃO",_xlfn.XLOOKUP(autocompJanta[[#This Row],[COMP ESCALA ANTERIOR]],tabE.Flux[COMP.AT. MOT B],tabE.Flux[LINHA],"NÃO",0,1))</f>
        <v>NÃO</v>
      </c>
      <c r="K181" s="62" t="str">
        <f>IF(AND(autocompJanta[[#This Row],[EXISTE MOT A ANT]]="NÃO",autocompJanta[[#This Row],[EXISTE MOT B ANT]]="NÃO"),"NÃO","SIM")</f>
        <v>NÃO</v>
      </c>
      <c r="L181" s="59" t="str">
        <f>_xlfn.CONCAT(T239+1,"+",X239)</f>
        <v>45944+LAUCEANDO DA SILVA ROCHA - 6220</v>
      </c>
      <c r="M181" s="59" t="str">
        <f>IF(autocompJanta[[#This Row],[COMP ESCALA POSTERIOR]]="NÃO","NÃO",_xlfn.XLOOKUP(autocompJanta[[#This Row],[COMP ESCALA POSTERIOR]],tabE.Flux[COMP.AT. MOT A],tabE.Flux[LINHA],"NÃO",0,1))</f>
        <v>NÃO</v>
      </c>
      <c r="N181" s="59" t="str">
        <f>IF(autocompJanta[[#This Row],[COMP ESCALA POSTERIOR]]="NÃO","NÃO",_xlfn.XLOOKUP(autocompJanta[[#This Row],[COMP ESCALA POSTERIOR]],tabE.Flux[COMP.AT. MOT B],tabE.Flux[LINHA],"NÃO",0,1))</f>
        <v>NÃO</v>
      </c>
      <c r="O181" s="65" t="str">
        <f>IF(AND(autocompJanta[[#This Row],[EXISTE MOT A POS]]="NÃO",autocompJanta[[#This Row],[EXISTE MOT B POS]]="NÃO"),"NÃO","SIM")</f>
        <v>NÃO</v>
      </c>
      <c r="P181" s="66" t="str" cm="1">
        <f t="array" ref="P18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81" s="103" t="str" cm="1">
        <f t="array" ref="Q18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45933+MARCIO DE SOUSA BRASILEIRO - 5828+FORTALEZA (CE) X SINOP (MT)</v>
      </c>
      <c r="R181" s="67">
        <f>_xlfn.XLOOKUP(autocompJanta[[#This Row],[COMP ESCALA]],tabE.Flux[COMP. ESCALA MOT B],tabE.Flux[CARRO],
(_xlfn.XLOOKUP(autocompJanta[[#This Row],[COMP ESCALA]],tabE.Flux[COMP. ESCALA MOT A],tabE.Flux[CARRO],"N/E",0,1)),0,1)</f>
        <v>19011</v>
      </c>
      <c r="S181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81" s="127">
        <v>45933</v>
      </c>
      <c r="U181" s="4">
        <f>IF(IFERROR(autocompJanta[[#This Row],[CORRESP. CARRO]],"")="NÃO",(IF(tabJanta[[#This Row],[MOTORISTA]]=0,"","PASSE?")),autocompJanta[[#This Row],[CORRESP. CARRO]])</f>
        <v>19011</v>
      </c>
      <c r="V181" s="128">
        <f>IF(OR(ISERR(autocompJanta[[#This Row],[CORRESP HORARIO]]), autocompJanta[[#This Row],[CORRESP HORARIO]]&lt;&gt;"NÃO"),autocompJanta[[#This Row],[CORRESP HORARIO]],"")</f>
        <v>0.37708333333333333</v>
      </c>
      <c r="W181" s="4" t="s">
        <v>299</v>
      </c>
      <c r="X181" s="4" t="s">
        <v>129</v>
      </c>
      <c r="Y181" s="4">
        <f>IF(tabJanta[[#This Row],[MOTORISTA]]="","",COUNTIF(autocompJanta[COMP ESCALA ATUAL],autocompJanta[[#This Row],[COMP ESCALA ATUAL]]))</f>
        <v>1</v>
      </c>
      <c r="Z181" s="45">
        <f>IF(tabJanta[[#This Row],[MOTORISTA]]&lt;&gt;0,15,"")</f>
        <v>15</v>
      </c>
      <c r="AA181" s="4" t="str">
        <f>autocompJanta[[#This Row],[CORRESP LINHA]]</f>
        <v>FORTALEZA (CE) X SINOP (MT)</v>
      </c>
    </row>
    <row r="182" spans="3:27" ht="15" customHeight="1" x14ac:dyDescent="0.25">
      <c r="C182" s="129" t="s">
        <v>226</v>
      </c>
      <c r="D182" s="56" t="str">
        <f>IF(tabJanta[[#This Row],[MOTORISTA]]="","",_xlfn.CONCAT(tabJanta[[#This Row],[DATA]],"+",tabJanta[[#This Row],[MOTORISTA]]))</f>
        <v>45933+FRANCISCO ALVES DA PAZ JUNIOR - 1247</v>
      </c>
      <c r="E182" s="56" t="str">
        <f>_xlfn.XLOOKUP(autocompJanta[[#This Row],[COMP ESCALA ATUAL]],tabE.Flux[COMP.AT. MOT A],tabE.Flux[LINHA],"NÃO",0,1)</f>
        <v>NÃO</v>
      </c>
      <c r="F182" s="56" t="str">
        <f>_xlfn.XLOOKUP(autocompJanta[[#This Row],[COMP ESCALA ATUAL]],tabE.Flux[COMP.AT. MOT B],tabE.Flux[LINHA],"NÃO",0,1)</f>
        <v>NÃO</v>
      </c>
      <c r="G182" s="61" t="str">
        <f>IF(AND(autocompJanta[[#This Row],[EXISTE MOT A AT]]="NÃO", autocompJanta[[#This Row],[EXISTE MOT B AT]]="NÃO"),"NÃO","SIM")</f>
        <v>NÃO</v>
      </c>
      <c r="H182" s="57" t="str">
        <f>IF(autocompJanta[[#This Row],[EXISTE ESCALA ATUAL]]="NÃO",_xlfn.CONCAT(tabJanta[[#This Row],[DATA]]-1,"+",tabJanta[[#This Row],[MOTORISTA]]),"NÃO")</f>
        <v>45932+FRANCISCO ALVES DA PAZ JUNIOR - 1247</v>
      </c>
      <c r="I182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82" s="58" t="str">
        <f>IF(autocompJanta[[#This Row],[COMP ESCALA ANTERIOR]]="NÃO","NÃO",_xlfn.XLOOKUP(autocompJanta[[#This Row],[COMP ESCALA ANTERIOR]],tabE.Flux[COMP.AT. MOT B],tabE.Flux[LINHA],"NÃO",0,1))</f>
        <v>NÃO</v>
      </c>
      <c r="K182" s="62" t="str">
        <f>IF(AND(autocompJanta[[#This Row],[EXISTE MOT A ANT]]="NÃO",autocompJanta[[#This Row],[EXISTE MOT B ANT]]="NÃO"),"NÃO","SIM")</f>
        <v>SIM</v>
      </c>
      <c r="L182" s="59" t="str">
        <f>_xlfn.CONCAT(T244+1,"+",X244)</f>
        <v>45945+  FRANCISCO PESSOA DE CARVALHO- 5276</v>
      </c>
      <c r="M182" s="59" t="str">
        <f>IF(autocompJanta[[#This Row],[COMP ESCALA POSTERIOR]]="NÃO","NÃO",_xlfn.XLOOKUP(autocompJanta[[#This Row],[COMP ESCALA POSTERIOR]],tabE.Flux[COMP.AT. MOT A],tabE.Flux[LINHA],"NÃO",0,1))</f>
        <v>NÃO</v>
      </c>
      <c r="N182" s="59" t="str">
        <f>IF(autocompJanta[[#This Row],[COMP ESCALA POSTERIOR]]="NÃO","NÃO",_xlfn.XLOOKUP(autocompJanta[[#This Row],[COMP ESCALA POSTERIOR]],tabE.Flux[COMP.AT. MOT B],tabE.Flux[LINHA],"NÃO",0,1))</f>
        <v>NÃO</v>
      </c>
      <c r="O182" s="65" t="str">
        <f>IF(AND(autocompJanta[[#This Row],[EXISTE MOT A POS]]="NÃO",autocompJanta[[#This Row],[EXISTE MOT B POS]]="NÃO"),"NÃO","SIM")</f>
        <v>NÃO</v>
      </c>
      <c r="P182" s="66" t="str" cm="1">
        <f t="array" ref="P18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82" s="103" t="str" cm="1">
        <f t="array" ref="Q18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45932+FRANCISCO ALVES DA PAZ JUNIOR - 1247+GOIANIA (GO) X TERESINA (PI) VIA STI</v>
      </c>
      <c r="R182" s="67">
        <f>_xlfn.XLOOKUP(autocompJanta[[#This Row],[COMP ESCALA]],tabE.Flux[COMP. ESCALA MOT B],tabE.Flux[CARRO],
(_xlfn.XLOOKUP(autocompJanta[[#This Row],[COMP ESCALA]],tabE.Flux[COMP. ESCALA MOT A],tabE.Flux[CARRO],"N/E",0,1)),0,1)</f>
        <v>19005</v>
      </c>
      <c r="S182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82" s="127">
        <v>45933</v>
      </c>
      <c r="U182" s="4">
        <f>IF(IFERROR(autocompJanta[[#This Row],[CORRESP. CARRO]],"")="NÃO",(IF(tabJanta[[#This Row],[MOTORISTA]]=0,"","PASSE?")),autocompJanta[[#This Row],[CORRESP. CARRO]])</f>
        <v>19005</v>
      </c>
      <c r="V182" s="126">
        <f>IF(OR(ISERR(autocompJanta[[#This Row],[CORRESP HORARIO]]), autocompJanta[[#This Row],[CORRESP HORARIO]]&lt;&gt;"NÃO"),autocompJanta[[#This Row],[CORRESP HORARIO]],"")</f>
        <v>0.79861111111111116</v>
      </c>
      <c r="W182" s="1" t="s">
        <v>299</v>
      </c>
      <c r="X182" s="1" t="s">
        <v>144</v>
      </c>
      <c r="Y182" s="1">
        <f>IF(tabJanta[[#This Row],[MOTORISTA]]="","",COUNTIF(autocompJanta[COMP ESCALA ATUAL],autocompJanta[[#This Row],[COMP ESCALA ATUAL]]))</f>
        <v>1</v>
      </c>
      <c r="Z182" s="105">
        <f>IF(tabJanta[[#This Row],[MOTORISTA]]&lt;&gt;0,15,"")</f>
        <v>15</v>
      </c>
      <c r="AA182" s="4" t="str">
        <f>autocompJanta[[#This Row],[CORRESP LINHA]]</f>
        <v>GOIANIA (GO) X TERESINA (PI) VIA STI</v>
      </c>
    </row>
    <row r="183" spans="3:27" ht="15" customHeight="1" x14ac:dyDescent="0.25">
      <c r="C183" s="129" t="s">
        <v>226</v>
      </c>
      <c r="D183" s="56" t="str">
        <f>IF(tabJanta[[#This Row],[MOTORISTA]]="","",_xlfn.CONCAT(tabJanta[[#This Row],[DATA]],"+",tabJanta[[#This Row],[MOTORISTA]]))</f>
        <v>45933+ALTEMAR DO NASCIMENTO LIMA - 6225</v>
      </c>
      <c r="E183" s="56" t="str">
        <f>_xlfn.XLOOKUP(autocompJanta[[#This Row],[COMP ESCALA ATUAL]],tabE.Flux[COMP.AT. MOT A],tabE.Flux[LINHA],"NÃO",0,1)</f>
        <v>GOIANIA (GO) X SAO LUIS (MA)</v>
      </c>
      <c r="F183" s="56" t="str">
        <f>_xlfn.XLOOKUP(autocompJanta[[#This Row],[COMP ESCALA ATUAL]],tabE.Flux[COMP.AT. MOT B],tabE.Flux[LINHA],"NÃO",0,1)</f>
        <v>GOIANIA (GO) X SAO LUIS (MA)</v>
      </c>
      <c r="G183" s="61" t="str">
        <f>IF(AND(autocompJanta[[#This Row],[EXISTE MOT A AT]]="NÃO", autocompJanta[[#This Row],[EXISTE MOT B AT]]="NÃO"),"NÃO","SIM")</f>
        <v>SIM</v>
      </c>
      <c r="H183" s="57" t="str">
        <f>IF(autocompJanta[[#This Row],[EXISTE ESCALA ATUAL]]="NÃO",_xlfn.CONCAT(tabJanta[[#This Row],[DATA]]-1,"+",tabJanta[[#This Row],[MOTORISTA]]),"NÃO")</f>
        <v>NÃO</v>
      </c>
      <c r="I183" s="57" t="str">
        <f>IF(autocompJanta[[#This Row],[COMP ESCALA ANTERIOR]]="NÃO","NÃO",_xlfn.XLOOKUP(autocompJanta[[#This Row],[COMP ESCALA ANTERIOR]],tabE.Flux[COMP.AT. MOT A],tabE.Flux[LINHA],"NÃO",0,1))</f>
        <v>NÃO</v>
      </c>
      <c r="J183" s="58" t="str">
        <f>IF(autocompJanta[[#This Row],[COMP ESCALA ANTERIOR]]="NÃO","NÃO",_xlfn.XLOOKUP(autocompJanta[[#This Row],[COMP ESCALA ANTERIOR]],tabE.Flux[COMP.AT. MOT B],tabE.Flux[LINHA],"NÃO",0,1))</f>
        <v>NÃO</v>
      </c>
      <c r="K183" s="62" t="str">
        <f>IF(AND(autocompJanta[[#This Row],[EXISTE MOT A ANT]]="NÃO",autocompJanta[[#This Row],[EXISTE MOT B ANT]]="NÃO"),"NÃO","SIM")</f>
        <v>NÃO</v>
      </c>
      <c r="L183" s="59" t="str">
        <f>_xlfn.CONCAT(T248+1,"+",X248)</f>
        <v>1+</v>
      </c>
      <c r="M183" s="59" t="str">
        <f>IF(autocompJanta[[#This Row],[COMP ESCALA POSTERIOR]]="NÃO","NÃO",_xlfn.XLOOKUP(autocompJanta[[#This Row],[COMP ESCALA POSTERIOR]],tabE.Flux[COMP.AT. MOT A],tabE.Flux[LINHA],"NÃO",0,1))</f>
        <v>NÃO</v>
      </c>
      <c r="N183" s="59" t="str">
        <f>IF(autocompJanta[[#This Row],[COMP ESCALA POSTERIOR]]="NÃO","NÃO",_xlfn.XLOOKUP(autocompJanta[[#This Row],[COMP ESCALA POSTERIOR]],tabE.Flux[COMP.AT. MOT B],tabE.Flux[LINHA],"NÃO",0,1))</f>
        <v>NÃO</v>
      </c>
      <c r="O183" s="65" t="str">
        <f>IF(AND(autocompJanta[[#This Row],[EXISTE MOT A POS]]="NÃO",autocompJanta[[#This Row],[EXISTE MOT B POS]]="NÃO"),"NÃO","SIM")</f>
        <v>NÃO</v>
      </c>
      <c r="P183" s="66" t="str" cm="1">
        <f t="array" ref="P18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83" s="103" t="str" cm="1">
        <f t="array" ref="Q18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45933+ALTEMAR DO NASCIMENTO LIMA - 6225+GOIANIA (GO) X SAO LUIS (MA)</v>
      </c>
      <c r="R183" s="67">
        <f>_xlfn.XLOOKUP(autocompJanta[[#This Row],[COMP ESCALA]],tabE.Flux[COMP. ESCALA MOT B],tabE.Flux[CARRO],
(_xlfn.XLOOKUP(autocompJanta[[#This Row],[COMP ESCALA]],tabE.Flux[COMP. ESCALA MOT A],tabE.Flux[CARRO],"N/E",0,1)),0,1)</f>
        <v>24012</v>
      </c>
      <c r="S183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83" s="127">
        <v>45933</v>
      </c>
      <c r="U183" s="131">
        <f>IF(IFERROR(autocompJanta[[#This Row],[CORRESP. CARRO]],"")="NÃO",(IF(tabJanta[[#This Row],[MOTORISTA]]=0,"","PASSE?")),autocompJanta[[#This Row],[CORRESP. CARRO]])</f>
        <v>24012</v>
      </c>
      <c r="V183" s="126">
        <f>IF(OR(ISERR(autocompJanta[[#This Row],[CORRESP HORARIO]]), autocompJanta[[#This Row],[CORRESP HORARIO]]&lt;&gt;"NÃO"),autocompJanta[[#This Row],[CORRESP HORARIO]],"")</f>
        <v>0.29166666666666669</v>
      </c>
      <c r="W183" s="1" t="s">
        <v>299</v>
      </c>
      <c r="X183" s="1" t="s">
        <v>57</v>
      </c>
      <c r="Y183" s="1">
        <f>IF(tabJanta[[#This Row],[MOTORISTA]]="","",COUNTIF(autocompJanta[COMP ESCALA ATUAL],autocompJanta[[#This Row],[COMP ESCALA ATUAL]]))</f>
        <v>1</v>
      </c>
      <c r="Z183" s="105">
        <f>IF(tabJanta[[#This Row],[MOTORISTA]]&lt;&gt;0,15,"")</f>
        <v>15</v>
      </c>
      <c r="AA183" s="131" t="str">
        <f>autocompJanta[[#This Row],[CORRESP LINHA]]</f>
        <v>GOIANIA (GO) X SAO LUIS (MA)</v>
      </c>
    </row>
    <row r="184" spans="3:27" ht="15" customHeight="1" x14ac:dyDescent="0.25">
      <c r="C184" s="129" t="s">
        <v>226</v>
      </c>
      <c r="D184" s="56" t="str">
        <f>IF(tabJanta[[#This Row],[MOTORISTA]]="","",_xlfn.CONCAT(tabJanta[[#This Row],[DATA]],"+",tabJanta[[#This Row],[MOTORISTA]]))</f>
        <v>45933+KAYLSON KLEYTON DA SILVA COSTA - 6224</v>
      </c>
      <c r="E184" s="56" t="str">
        <f>_xlfn.XLOOKUP(autocompJanta[[#This Row],[COMP ESCALA ATUAL]],tabE.Flux[COMP.AT. MOT A],tabE.Flux[LINHA],"NÃO",0,1)</f>
        <v>NÃO</v>
      </c>
      <c r="F184" s="56" t="str">
        <f>_xlfn.XLOOKUP(autocompJanta[[#This Row],[COMP ESCALA ATUAL]],tabE.Flux[COMP.AT. MOT B],tabE.Flux[LINHA],"NÃO",0,1)</f>
        <v>IMPERATRIZ (MA) X SÃO LUIS (MA)</v>
      </c>
      <c r="G184" s="61" t="str">
        <f>IF(AND(autocompJanta[[#This Row],[EXISTE MOT A AT]]="NÃO", autocompJanta[[#This Row],[EXISTE MOT B AT]]="NÃO"),"NÃO","SIM")</f>
        <v>SIM</v>
      </c>
      <c r="H184" s="57" t="str">
        <f>IF(autocompJanta[[#This Row],[EXISTE ESCALA ATUAL]]="NÃO",_xlfn.CONCAT(tabJanta[[#This Row],[DATA]]-1,"+",tabJanta[[#This Row],[MOTORISTA]]),"NÃO")</f>
        <v>NÃO</v>
      </c>
      <c r="I184" s="57" t="str">
        <f>IF(autocompJanta[[#This Row],[COMP ESCALA ANTERIOR]]="NÃO","NÃO",_xlfn.XLOOKUP(autocompJanta[[#This Row],[COMP ESCALA ANTERIOR]],tabE.Flux[COMP.AT. MOT A],tabE.Flux[LINHA],"NÃO",0,1))</f>
        <v>NÃO</v>
      </c>
      <c r="J184" s="58" t="str">
        <f>IF(autocompJanta[[#This Row],[COMP ESCALA ANTERIOR]]="NÃO","NÃO",_xlfn.XLOOKUP(autocompJanta[[#This Row],[COMP ESCALA ANTERIOR]],tabE.Flux[COMP.AT. MOT B],tabE.Flux[LINHA],"NÃO",0,1))</f>
        <v>NÃO</v>
      </c>
      <c r="K184" s="62" t="str">
        <f>IF(AND(autocompJanta[[#This Row],[EXISTE MOT A ANT]]="NÃO",autocompJanta[[#This Row],[EXISTE MOT B ANT]]="NÃO"),"NÃO","SIM")</f>
        <v>NÃO</v>
      </c>
      <c r="L184" s="59" t="str">
        <f t="shared" ref="L184:L193" si="9">_xlfn.CONCAT(T254+1,"+",X254)</f>
        <v>1+</v>
      </c>
      <c r="M184" s="59" t="str">
        <f>IF(autocompJanta[[#This Row],[COMP ESCALA POSTERIOR]]="NÃO","NÃO",_xlfn.XLOOKUP(autocompJanta[[#This Row],[COMP ESCALA POSTERIOR]],tabE.Flux[COMP.AT. MOT A],tabE.Flux[LINHA],"NÃO",0,1))</f>
        <v>NÃO</v>
      </c>
      <c r="N184" s="59" t="str">
        <f>IF(autocompJanta[[#This Row],[COMP ESCALA POSTERIOR]]="NÃO","NÃO",_xlfn.XLOOKUP(autocompJanta[[#This Row],[COMP ESCALA POSTERIOR]],tabE.Flux[COMP.AT. MOT B],tabE.Flux[LINHA],"NÃO",0,1))</f>
        <v>NÃO</v>
      </c>
      <c r="O184" s="65" t="str">
        <f>IF(AND(autocompJanta[[#This Row],[EXISTE MOT A POS]]="NÃO",autocompJanta[[#This Row],[EXISTE MOT B POS]]="NÃO"),"NÃO","SIM")</f>
        <v>NÃO</v>
      </c>
      <c r="P184" s="66" t="str" cm="1">
        <f t="array" ref="P18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IMPERATRIZ (MA) X SÃO LUIS (MA)</v>
      </c>
      <c r="Q184" s="103" t="str" cm="1">
        <f t="array" ref="Q18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45933+KAYLSON KLEYTON DA SILVA COSTA - 6224+IMPERATRIZ (MA) X SÃO LUIS (MA)</v>
      </c>
      <c r="R184" s="67">
        <f>_xlfn.XLOOKUP(autocompJanta[[#This Row],[COMP ESCALA]],tabE.Flux[COMP. ESCALA MOT B],tabE.Flux[CARRO],
(_xlfn.XLOOKUP(autocompJanta[[#This Row],[COMP ESCALA]],tabE.Flux[COMP. ESCALA MOT A],tabE.Flux[CARRO],"N/E",0,1)),0,1)</f>
        <v>18016</v>
      </c>
      <c r="S184" s="130">
        <f>_xlfn.XLOOKUP(autocompJanta[[#This Row],[COMP ESCALA]],tabE.Flux[COMP. ESCALA MOT A],tabE.Flux[HORARIO],(_xlfn.XLOOKUP(autocompJanta[[#This Row],[COMP ESCALA]],tabE.Flux[COMP. ESCALA MOT B],tabE.Flux[HORARIO],"N/E",0,1)),0,1)</f>
        <v>0.8125</v>
      </c>
      <c r="T184" s="127">
        <v>45933</v>
      </c>
      <c r="U184" s="131">
        <f>IF(IFERROR(autocompJanta[[#This Row],[CORRESP. CARRO]],"")="NÃO",(IF(tabJanta[[#This Row],[MOTORISTA]]=0,"","PASSE?")),autocompJanta[[#This Row],[CORRESP. CARRO]])</f>
        <v>18016</v>
      </c>
      <c r="V184" s="126">
        <f>IF(OR(ISERR(autocompJanta[[#This Row],[CORRESP HORARIO]]), autocompJanta[[#This Row],[CORRESP HORARIO]]&lt;&gt;"NÃO"),autocompJanta[[#This Row],[CORRESP HORARIO]],"")</f>
        <v>0.8125</v>
      </c>
      <c r="W184" s="1" t="s">
        <v>299</v>
      </c>
      <c r="X184" s="1" t="s">
        <v>80</v>
      </c>
      <c r="Y184" s="1">
        <f>IF(tabJanta[[#This Row],[MOTORISTA]]="","",COUNTIF(autocompJanta[COMP ESCALA ATUAL],autocompJanta[[#This Row],[COMP ESCALA ATUAL]]))</f>
        <v>1</v>
      </c>
      <c r="Z184" s="105">
        <f>IF(tabJanta[[#This Row],[MOTORISTA]]&lt;&gt;0,15,"")</f>
        <v>15</v>
      </c>
      <c r="AA184" s="131" t="str">
        <f>autocompJanta[[#This Row],[CORRESP LINHA]]</f>
        <v>IMPERATRIZ (MA) X SÃO LUIS (MA)</v>
      </c>
    </row>
    <row r="185" spans="3:27" ht="15" customHeight="1" x14ac:dyDescent="0.25">
      <c r="C185" s="129" t="s">
        <v>226</v>
      </c>
      <c r="D185" s="56" t="str">
        <f>IF(tabJanta[[#This Row],[MOTORISTA]]="","",_xlfn.CONCAT(tabJanta[[#This Row],[DATA]],"+",tabJanta[[#This Row],[MOTORISTA]]))</f>
        <v>45933+ANTONIO JOSE PEREIRA SOARES - 1774</v>
      </c>
      <c r="E185" s="56" t="str">
        <f>_xlfn.XLOOKUP(autocompJanta[[#This Row],[COMP ESCALA ATUAL]],tabE.Flux[COMP.AT. MOT A],tabE.Flux[LINHA],"NÃO",0,1)</f>
        <v>NÃO</v>
      </c>
      <c r="F185" s="56" t="str">
        <f>_xlfn.XLOOKUP(autocompJanta[[#This Row],[COMP ESCALA ATUAL]],tabE.Flux[COMP.AT. MOT B],tabE.Flux[LINHA],"NÃO",0,1)</f>
        <v>GOIANIA (GO) X SAO LUIS (MA)</v>
      </c>
      <c r="G185" s="61" t="str">
        <f>IF(AND(autocompJanta[[#This Row],[EXISTE MOT A AT]]="NÃO", autocompJanta[[#This Row],[EXISTE MOT B AT]]="NÃO"),"NÃO","SIM")</f>
        <v>SIM</v>
      </c>
      <c r="H185" s="57" t="str">
        <f>IF(autocompJanta[[#This Row],[EXISTE ESCALA ATUAL]]="NÃO",_xlfn.CONCAT(tabJanta[[#This Row],[DATA]]-1,"+",tabJanta[[#This Row],[MOTORISTA]]),"NÃO")</f>
        <v>NÃO</v>
      </c>
      <c r="I185" s="57" t="str">
        <f>IF(autocompJanta[[#This Row],[COMP ESCALA ANTERIOR]]="NÃO","NÃO",_xlfn.XLOOKUP(autocompJanta[[#This Row],[COMP ESCALA ANTERIOR]],tabE.Flux[COMP.AT. MOT A],tabE.Flux[LINHA],"NÃO",0,1))</f>
        <v>NÃO</v>
      </c>
      <c r="J185" s="58" t="str">
        <f>IF(autocompJanta[[#This Row],[COMP ESCALA ANTERIOR]]="NÃO","NÃO",_xlfn.XLOOKUP(autocompJanta[[#This Row],[COMP ESCALA ANTERIOR]],tabE.Flux[COMP.AT. MOT B],tabE.Flux[LINHA],"NÃO",0,1))</f>
        <v>NÃO</v>
      </c>
      <c r="K185" s="62" t="str">
        <f>IF(AND(autocompJanta[[#This Row],[EXISTE MOT A ANT]]="NÃO",autocompJanta[[#This Row],[EXISTE MOT B ANT]]="NÃO"),"NÃO","SIM")</f>
        <v>NÃO</v>
      </c>
      <c r="L185" s="59" t="str">
        <f t="shared" si="9"/>
        <v>1+</v>
      </c>
      <c r="M185" s="59" t="str">
        <f>IF(autocompJanta[[#This Row],[COMP ESCALA POSTERIOR]]="NÃO","NÃO",_xlfn.XLOOKUP(autocompJanta[[#This Row],[COMP ESCALA POSTERIOR]],tabE.Flux[COMP.AT. MOT A],tabE.Flux[LINHA],"NÃO",0,1))</f>
        <v>NÃO</v>
      </c>
      <c r="N185" s="59" t="str">
        <f>IF(autocompJanta[[#This Row],[COMP ESCALA POSTERIOR]]="NÃO","NÃO",_xlfn.XLOOKUP(autocompJanta[[#This Row],[COMP ESCALA POSTERIOR]],tabE.Flux[COMP.AT. MOT B],tabE.Flux[LINHA],"NÃO",0,1))</f>
        <v>NÃO</v>
      </c>
      <c r="O185" s="65" t="str">
        <f>IF(AND(autocompJanta[[#This Row],[EXISTE MOT A POS]]="NÃO",autocompJanta[[#This Row],[EXISTE MOT B POS]]="NÃO"),"NÃO","SIM")</f>
        <v>NÃO</v>
      </c>
      <c r="P185" s="66" t="str" cm="1">
        <f t="array" ref="P18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85" s="103" t="str" cm="1">
        <f t="array" ref="Q18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45933+ANTONIO JOSE PEREIRA SOARES - 1774+GOIANIA (GO) X SAO LUIS (MA)</v>
      </c>
      <c r="R185" s="67">
        <f>_xlfn.XLOOKUP(autocompJanta[[#This Row],[COMP ESCALA]],tabE.Flux[COMP. ESCALA MOT B],tabE.Flux[CARRO],
(_xlfn.XLOOKUP(autocompJanta[[#This Row],[COMP ESCALA]],tabE.Flux[COMP. ESCALA MOT A],tabE.Flux[CARRO],"N/E",0,1)),0,1)</f>
        <v>19019</v>
      </c>
      <c r="S185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85" s="127">
        <v>45933</v>
      </c>
      <c r="U185" s="131">
        <f>IF(IFERROR(autocompJanta[[#This Row],[CORRESP. CARRO]],"")="NÃO",(IF(tabJanta[[#This Row],[MOTORISTA]]=0,"","PASSE?")),autocompJanta[[#This Row],[CORRESP. CARRO]])</f>
        <v>19019</v>
      </c>
      <c r="V185" s="126">
        <f>IF(OR(ISERR(autocompJanta[[#This Row],[CORRESP HORARIO]]), autocompJanta[[#This Row],[CORRESP HORARIO]]&lt;&gt;"NÃO"),autocompJanta[[#This Row],[CORRESP HORARIO]],"")</f>
        <v>0.47013888888888888</v>
      </c>
      <c r="W185" s="1" t="s">
        <v>299</v>
      </c>
      <c r="X185" s="1" t="s">
        <v>52</v>
      </c>
      <c r="Y185" s="1">
        <f>IF(tabJanta[[#This Row],[MOTORISTA]]="","",COUNTIF(autocompJanta[COMP ESCALA ATUAL],autocompJanta[[#This Row],[COMP ESCALA ATUAL]]))</f>
        <v>1</v>
      </c>
      <c r="Z185" s="105">
        <f>IF(tabJanta[[#This Row],[MOTORISTA]]&lt;&gt;0,15,"")</f>
        <v>15</v>
      </c>
      <c r="AA185" s="131" t="str">
        <f>autocompJanta[[#This Row],[CORRESP LINHA]]</f>
        <v>GOIANIA (GO) X SAO LUIS (MA)</v>
      </c>
    </row>
    <row r="186" spans="3:27" ht="15" customHeight="1" x14ac:dyDescent="0.25">
      <c r="C186" s="129" t="s">
        <v>226</v>
      </c>
      <c r="D186" s="56" t="str">
        <f>IF(tabJanta[[#This Row],[MOTORISTA]]="","",_xlfn.CONCAT(tabJanta[[#This Row],[DATA]],"+",tabJanta[[#This Row],[MOTORISTA]]))</f>
        <v>45934+CARLOS ADRIANO DE SOUZA DO NASCIMENTO - 6222</v>
      </c>
      <c r="E186" s="56" t="str">
        <f>_xlfn.XLOOKUP(autocompJanta[[#This Row],[COMP ESCALA ATUAL]],tabE.Flux[COMP.AT. MOT A],tabE.Flux[LINHA],"NÃO",0,1)</f>
        <v>NÃO</v>
      </c>
      <c r="F186" s="56" t="str">
        <f>_xlfn.XLOOKUP(autocompJanta[[#This Row],[COMP ESCALA ATUAL]],tabE.Flux[COMP.AT. MOT B],tabE.Flux[LINHA],"NÃO",0,1)</f>
        <v>GOIANIA (GO) X SAO LUIS (MA)</v>
      </c>
      <c r="G186" s="61" t="str">
        <f>IF(AND(autocompJanta[[#This Row],[EXISTE MOT A AT]]="NÃO", autocompJanta[[#This Row],[EXISTE MOT B AT]]="NÃO"),"NÃO","SIM")</f>
        <v>SIM</v>
      </c>
      <c r="H186" s="57" t="str">
        <f>IF(autocompJanta[[#This Row],[EXISTE ESCALA ATUAL]]="NÃO",_xlfn.CONCAT(tabJanta[[#This Row],[DATA]]-1,"+",tabJanta[[#This Row],[MOTORISTA]]),"NÃO")</f>
        <v>NÃO</v>
      </c>
      <c r="I186" s="57" t="str">
        <f>IF(autocompJanta[[#This Row],[COMP ESCALA ANTERIOR]]="NÃO","NÃO",_xlfn.XLOOKUP(autocompJanta[[#This Row],[COMP ESCALA ANTERIOR]],tabE.Flux[COMP.AT. MOT A],tabE.Flux[LINHA],"NÃO",0,1))</f>
        <v>NÃO</v>
      </c>
      <c r="J186" s="58" t="str">
        <f>IF(autocompJanta[[#This Row],[COMP ESCALA ANTERIOR]]="NÃO","NÃO",_xlfn.XLOOKUP(autocompJanta[[#This Row],[COMP ESCALA ANTERIOR]],tabE.Flux[COMP.AT. MOT B],tabE.Flux[LINHA],"NÃO",0,1))</f>
        <v>NÃO</v>
      </c>
      <c r="K186" s="62" t="str">
        <f>IF(AND(autocompJanta[[#This Row],[EXISTE MOT A ANT]]="NÃO",autocompJanta[[#This Row],[EXISTE MOT B ANT]]="NÃO"),"NÃO","SIM")</f>
        <v>NÃO</v>
      </c>
      <c r="L186" s="59" t="str">
        <f t="shared" si="9"/>
        <v>1+</v>
      </c>
      <c r="M186" s="59" t="str">
        <f>IF(autocompJanta[[#This Row],[COMP ESCALA POSTERIOR]]="NÃO","NÃO",_xlfn.XLOOKUP(autocompJanta[[#This Row],[COMP ESCALA POSTERIOR]],tabE.Flux[COMP.AT. MOT A],tabE.Flux[LINHA],"NÃO",0,1))</f>
        <v>NÃO</v>
      </c>
      <c r="N186" s="59" t="str">
        <f>IF(autocompJanta[[#This Row],[COMP ESCALA POSTERIOR]]="NÃO","NÃO",_xlfn.XLOOKUP(autocompJanta[[#This Row],[COMP ESCALA POSTERIOR]],tabE.Flux[COMP.AT. MOT B],tabE.Flux[LINHA],"NÃO",0,1))</f>
        <v>NÃO</v>
      </c>
      <c r="O186" s="65" t="str">
        <f>IF(AND(autocompJanta[[#This Row],[EXISTE MOT A POS]]="NÃO",autocompJanta[[#This Row],[EXISTE MOT B POS]]="NÃO"),"NÃO","SIM")</f>
        <v>NÃO</v>
      </c>
      <c r="P186" s="66" t="str" cm="1">
        <f t="array" ref="P18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86" s="103" t="str" cm="1">
        <f t="array" ref="Q18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45934+CARLOS ADRIANO DE SOUZA DO NASCIMENTO - 6222+GOIANIA (GO) X SAO LUIS (MA)</v>
      </c>
      <c r="R186" s="67">
        <f>_xlfn.XLOOKUP(autocompJanta[[#This Row],[COMP ESCALA]],tabE.Flux[COMP. ESCALA MOT B],tabE.Flux[CARRO],
(_xlfn.XLOOKUP(autocompJanta[[#This Row],[COMP ESCALA]],tabE.Flux[COMP. ESCALA MOT A],tabE.Flux[CARRO],"N/E",0,1)),0,1)</f>
        <v>17200</v>
      </c>
      <c r="S186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86" s="127">
        <v>45934</v>
      </c>
      <c r="U186" s="4">
        <f>IF(IFERROR(autocompJanta[[#This Row],[CORRESP. CARRO]],"")="NÃO",(IF(tabJanta[[#This Row],[MOTORISTA]]=0,"","PASSE?")),autocompJanta[[#This Row],[CORRESP. CARRO]])</f>
        <v>17200</v>
      </c>
      <c r="V186" s="128">
        <f>IF(OR(ISERR(autocompJanta[[#This Row],[CORRESP HORARIO]]), autocompJanta[[#This Row],[CORRESP HORARIO]]&lt;&gt;"NÃO"),autocompJanta[[#This Row],[CORRESP HORARIO]],"")</f>
        <v>0.47013888888888888</v>
      </c>
      <c r="W186" s="4" t="s">
        <v>299</v>
      </c>
      <c r="X186" s="4" t="s">
        <v>110</v>
      </c>
      <c r="Y186" s="4">
        <f>IF(tabJanta[[#This Row],[MOTORISTA]]="","",COUNTIF(autocompJanta[COMP ESCALA ATUAL],autocompJanta[[#This Row],[COMP ESCALA ATUAL]]))</f>
        <v>1</v>
      </c>
      <c r="Z186" s="45">
        <f>IF(tabJanta[[#This Row],[MOTORISTA]]&lt;&gt;0,15,"")</f>
        <v>15</v>
      </c>
      <c r="AA186" s="4" t="str">
        <f>autocompJanta[[#This Row],[CORRESP LINHA]]</f>
        <v>GOIANIA (GO) X SAO LUIS (MA)</v>
      </c>
    </row>
    <row r="187" spans="3:27" ht="15" customHeight="1" x14ac:dyDescent="0.25">
      <c r="C187" s="129" t="s">
        <v>226</v>
      </c>
      <c r="D187" s="56" t="str">
        <f>IF(tabJanta[[#This Row],[MOTORISTA]]="","",_xlfn.CONCAT(tabJanta[[#This Row],[DATA]],"+",tabJanta[[#This Row],[MOTORISTA]]))</f>
        <v>45934+ANTONIO MARQUES NETO DOS SANTOS - 1738</v>
      </c>
      <c r="E187" s="56" t="str">
        <f>_xlfn.XLOOKUP(autocompJanta[[#This Row],[COMP ESCALA ATUAL]],tabE.Flux[COMP.AT. MOT A],tabE.Flux[LINHA],"NÃO",0,1)</f>
        <v>NÃO</v>
      </c>
      <c r="F187" s="56" t="str">
        <f>_xlfn.XLOOKUP(autocompJanta[[#This Row],[COMP ESCALA ATUAL]],tabE.Flux[COMP.AT. MOT B],tabE.Flux[LINHA],"NÃO",0,1)</f>
        <v>NÃO</v>
      </c>
      <c r="G187" s="61" t="str">
        <f>IF(AND(autocompJanta[[#This Row],[EXISTE MOT A AT]]="NÃO", autocompJanta[[#This Row],[EXISTE MOT B AT]]="NÃO"),"NÃO","SIM")</f>
        <v>NÃO</v>
      </c>
      <c r="H187" s="57" t="str">
        <f>IF(autocompJanta[[#This Row],[EXISTE ESCALA ATUAL]]="NÃO",_xlfn.CONCAT(tabJanta[[#This Row],[DATA]]-1,"+",tabJanta[[#This Row],[MOTORISTA]]),"NÃO")</f>
        <v>45933+ANTONIO MARQUES NETO DOS SANTOS - 1738</v>
      </c>
      <c r="I187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187" s="58" t="str">
        <f>IF(autocompJanta[[#This Row],[COMP ESCALA ANTERIOR]]="NÃO","NÃO",_xlfn.XLOOKUP(autocompJanta[[#This Row],[COMP ESCALA ANTERIOR]],tabE.Flux[COMP.AT. MOT B],tabE.Flux[LINHA],"NÃO",0,1))</f>
        <v>NÃO</v>
      </c>
      <c r="K187" s="62" t="str">
        <f>IF(AND(autocompJanta[[#This Row],[EXISTE MOT A ANT]]="NÃO",autocompJanta[[#This Row],[EXISTE MOT B ANT]]="NÃO"),"NÃO","SIM")</f>
        <v>SIM</v>
      </c>
      <c r="L187" s="59" t="str">
        <f t="shared" si="9"/>
        <v>1+</v>
      </c>
      <c r="M187" s="59" t="str">
        <f>IF(autocompJanta[[#This Row],[COMP ESCALA POSTERIOR]]="NÃO","NÃO",_xlfn.XLOOKUP(autocompJanta[[#This Row],[COMP ESCALA POSTERIOR]],tabE.Flux[COMP.AT. MOT A],tabE.Flux[LINHA],"NÃO",0,1))</f>
        <v>NÃO</v>
      </c>
      <c r="N187" s="59" t="str">
        <f>IF(autocompJanta[[#This Row],[COMP ESCALA POSTERIOR]]="NÃO","NÃO",_xlfn.XLOOKUP(autocompJanta[[#This Row],[COMP ESCALA POSTERIOR]],tabE.Flux[COMP.AT. MOT B],tabE.Flux[LINHA],"NÃO",0,1))</f>
        <v>NÃO</v>
      </c>
      <c r="O187" s="65" t="str">
        <f>IF(AND(autocompJanta[[#This Row],[EXISTE MOT A POS]]="NÃO",autocompJanta[[#This Row],[EXISTE MOT B POS]]="NÃO"),"NÃO","SIM")</f>
        <v>NÃO</v>
      </c>
      <c r="P187" s="66" t="str" cm="1">
        <f t="array" ref="P18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187" s="103" t="str" cm="1">
        <f t="array" ref="Q18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45933+ANTONIO MARQUES NETO DOS SANTOS - 1738+GOIANIA (GO) X TERESINA (PI) VIA STI</v>
      </c>
      <c r="R187" s="67">
        <f>_xlfn.XLOOKUP(autocompJanta[[#This Row],[COMP ESCALA]],tabE.Flux[COMP. ESCALA MOT B],tabE.Flux[CARRO],
(_xlfn.XLOOKUP(autocompJanta[[#This Row],[COMP ESCALA]],tabE.Flux[COMP. ESCALA MOT A],tabE.Flux[CARRO],"N/E",0,1)),0,1)</f>
        <v>19017</v>
      </c>
      <c r="S187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187" s="127">
        <v>45934</v>
      </c>
      <c r="U187" s="4">
        <f>IF(IFERROR(autocompJanta[[#This Row],[CORRESP. CARRO]],"")="NÃO",(IF(tabJanta[[#This Row],[MOTORISTA]]=0,"","PASSE?")),autocompJanta[[#This Row],[CORRESP. CARRO]])</f>
        <v>19017</v>
      </c>
      <c r="V187" s="126">
        <f>IF(OR(ISERR(autocompJanta[[#This Row],[CORRESP HORARIO]]), autocompJanta[[#This Row],[CORRESP HORARIO]]&lt;&gt;"NÃO"),autocompJanta[[#This Row],[CORRESP HORARIO]],"")</f>
        <v>0.79861111111111116</v>
      </c>
      <c r="W187" s="1" t="s">
        <v>299</v>
      </c>
      <c r="X187" s="1" t="s">
        <v>73</v>
      </c>
      <c r="Y187" s="1">
        <f>IF(tabJanta[[#This Row],[MOTORISTA]]="","",COUNTIF(autocompJanta[COMP ESCALA ATUAL],autocompJanta[[#This Row],[COMP ESCALA ATUAL]]))</f>
        <v>1</v>
      </c>
      <c r="Z187" s="105">
        <f>IF(tabJanta[[#This Row],[MOTORISTA]]&lt;&gt;0,15,"")</f>
        <v>15</v>
      </c>
      <c r="AA187" s="4" t="str">
        <f>autocompJanta[[#This Row],[CORRESP LINHA]]</f>
        <v>GOIANIA (GO) X TERESINA (PI) VIA STI</v>
      </c>
    </row>
    <row r="188" spans="3:27" ht="15" customHeight="1" x14ac:dyDescent="0.25">
      <c r="C188" s="129" t="s">
        <v>226</v>
      </c>
      <c r="D188" s="56" t="str">
        <f>IF(tabJanta[[#This Row],[MOTORISTA]]="","",_xlfn.CONCAT(tabJanta[[#This Row],[DATA]],"+",tabJanta[[#This Row],[MOTORISTA]]))</f>
        <v>45934+ADRIASIO SOARES MENDES - 5440</v>
      </c>
      <c r="E188" s="56" t="str">
        <f>_xlfn.XLOOKUP(autocompJanta[[#This Row],[COMP ESCALA ATUAL]],tabE.Flux[COMP.AT. MOT A],tabE.Flux[LINHA],"NÃO",0,1)</f>
        <v>NÃO</v>
      </c>
      <c r="F188" s="56" t="str">
        <f>_xlfn.XLOOKUP(autocompJanta[[#This Row],[COMP ESCALA ATUAL]],tabE.Flux[COMP.AT. MOT B],tabE.Flux[LINHA],"NÃO",0,1)</f>
        <v>NÃO</v>
      </c>
      <c r="G188" s="61" t="str">
        <f>IF(AND(autocompJanta[[#This Row],[EXISTE MOT A AT]]="NÃO", autocompJanta[[#This Row],[EXISTE MOT B AT]]="NÃO"),"NÃO","SIM")</f>
        <v>NÃO</v>
      </c>
      <c r="H188" s="57" t="str">
        <f>IF(autocompJanta[[#This Row],[EXISTE ESCALA ATUAL]]="NÃO",_xlfn.CONCAT(tabJanta[[#This Row],[DATA]]-1,"+",tabJanta[[#This Row],[MOTORISTA]]),"NÃO")</f>
        <v>45933+ADRIASIO SOARES MENDES - 5440</v>
      </c>
      <c r="I188" s="57" t="str">
        <f>IF(autocompJanta[[#This Row],[COMP ESCALA ANTERIOR]]="NÃO","NÃO",_xlfn.XLOOKUP(autocompJanta[[#This Row],[COMP ESCALA ANTERIOR]],tabE.Flux[COMP.AT. MOT A],tabE.Flux[LINHA],"NÃO",0,1))</f>
        <v>NÃO</v>
      </c>
      <c r="J188" s="58" t="str">
        <f>IF(autocompJanta[[#This Row],[COMP ESCALA ANTERIOR]]="NÃO","NÃO",_xlfn.XLOOKUP(autocompJanta[[#This Row],[COMP ESCALA ANTERIOR]],tabE.Flux[COMP.AT. MOT B],tabE.Flux[LINHA],"NÃO",0,1))</f>
        <v>NÃO</v>
      </c>
      <c r="K188" s="62" t="str">
        <f>IF(AND(autocompJanta[[#This Row],[EXISTE MOT A ANT]]="NÃO",autocompJanta[[#This Row],[EXISTE MOT B ANT]]="NÃO"),"NÃO","SIM")</f>
        <v>NÃO</v>
      </c>
      <c r="L188" s="59" t="str">
        <f t="shared" si="9"/>
        <v>1+</v>
      </c>
      <c r="M188" s="59" t="str">
        <f>IF(autocompJanta[[#This Row],[COMP ESCALA POSTERIOR]]="NÃO","NÃO",_xlfn.XLOOKUP(autocompJanta[[#This Row],[COMP ESCALA POSTERIOR]],tabE.Flux[COMP.AT. MOT A],tabE.Flux[LINHA],"NÃO",0,1))</f>
        <v>NÃO</v>
      </c>
      <c r="N188" s="59" t="str">
        <f>IF(autocompJanta[[#This Row],[COMP ESCALA POSTERIOR]]="NÃO","NÃO",_xlfn.XLOOKUP(autocompJanta[[#This Row],[COMP ESCALA POSTERIOR]],tabE.Flux[COMP.AT. MOT B],tabE.Flux[LINHA],"NÃO",0,1))</f>
        <v>NÃO</v>
      </c>
      <c r="O188" s="65" t="str">
        <f>IF(AND(autocompJanta[[#This Row],[EXISTE MOT A POS]]="NÃO",autocompJanta[[#This Row],[EXISTE MOT B POS]]="NÃO"),"NÃO","SIM")</f>
        <v>NÃO</v>
      </c>
      <c r="P188" s="66" t="str" cm="1">
        <f t="array" ref="P18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188" s="103" t="str" cm="1">
        <f t="array" ref="Q18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188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188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188" s="127">
        <v>45934</v>
      </c>
      <c r="U188" s="131">
        <v>19011</v>
      </c>
      <c r="V188" s="126">
        <v>0.37708333333333333</v>
      </c>
      <c r="W188" s="1" t="s">
        <v>299</v>
      </c>
      <c r="X188" s="1" t="s">
        <v>242</v>
      </c>
      <c r="Y188" s="1">
        <f>IF(tabJanta[[#This Row],[MOTORISTA]]="","",COUNTIF(autocompJanta[COMP ESCALA ATUAL],autocompJanta[[#This Row],[COMP ESCALA ATUAL]]))</f>
        <v>1</v>
      </c>
      <c r="Z188" s="105">
        <f>IF(tabJanta[[#This Row],[MOTORISTA]]&lt;&gt;0,15,"")</f>
        <v>15</v>
      </c>
      <c r="AA188" s="131" t="s">
        <v>32</v>
      </c>
    </row>
    <row r="189" spans="3:27" ht="15" customHeight="1" x14ac:dyDescent="0.25">
      <c r="C189" s="129" t="s">
        <v>226</v>
      </c>
      <c r="D189" s="56" t="str">
        <f>IF(tabJanta[[#This Row],[MOTORISTA]]="","",_xlfn.CONCAT(tabJanta[[#This Row],[DATA]],"+",tabJanta[[#This Row],[MOTORISTA]]))</f>
        <v>45934+ANDSON WAGNER NASCIMENTO SOUZA - 2902</v>
      </c>
      <c r="E189" s="56" t="str">
        <f>_xlfn.XLOOKUP(autocompJanta[[#This Row],[COMP ESCALA ATUAL]],tabE.Flux[COMP.AT. MOT A],tabE.Flux[LINHA],"NÃO",0,1)</f>
        <v>NÃO</v>
      </c>
      <c r="F189" s="56" t="str">
        <f>_xlfn.XLOOKUP(autocompJanta[[#This Row],[COMP ESCALA ATUAL]],tabE.Flux[COMP.AT. MOT B],tabE.Flux[LINHA],"NÃO",0,1)</f>
        <v>GOIANIA (GO) X SAO LUIS (MA)</v>
      </c>
      <c r="G189" s="61" t="str">
        <f>IF(AND(autocompJanta[[#This Row],[EXISTE MOT A AT]]="NÃO", autocompJanta[[#This Row],[EXISTE MOT B AT]]="NÃO"),"NÃO","SIM")</f>
        <v>SIM</v>
      </c>
      <c r="H189" s="57" t="str">
        <f>IF(autocompJanta[[#This Row],[EXISTE ESCALA ATUAL]]="NÃO",_xlfn.CONCAT(tabJanta[[#This Row],[DATA]]-1,"+",tabJanta[[#This Row],[MOTORISTA]]),"NÃO")</f>
        <v>NÃO</v>
      </c>
      <c r="I189" s="57" t="str">
        <f>IF(autocompJanta[[#This Row],[COMP ESCALA ANTERIOR]]="NÃO","NÃO",_xlfn.XLOOKUP(autocompJanta[[#This Row],[COMP ESCALA ANTERIOR]],tabE.Flux[COMP.AT. MOT A],tabE.Flux[LINHA],"NÃO",0,1))</f>
        <v>NÃO</v>
      </c>
      <c r="J189" s="58" t="str">
        <f>IF(autocompJanta[[#This Row],[COMP ESCALA ANTERIOR]]="NÃO","NÃO",_xlfn.XLOOKUP(autocompJanta[[#This Row],[COMP ESCALA ANTERIOR]],tabE.Flux[COMP.AT. MOT B],tabE.Flux[LINHA],"NÃO",0,1))</f>
        <v>NÃO</v>
      </c>
      <c r="K189" s="62" t="str">
        <f>IF(AND(autocompJanta[[#This Row],[EXISTE MOT A ANT]]="NÃO",autocompJanta[[#This Row],[EXISTE MOT B ANT]]="NÃO"),"NÃO","SIM")</f>
        <v>NÃO</v>
      </c>
      <c r="L189" s="59" t="str">
        <f t="shared" si="9"/>
        <v>1+</v>
      </c>
      <c r="M189" s="59" t="str">
        <f>IF(autocompJanta[[#This Row],[COMP ESCALA POSTERIOR]]="NÃO","NÃO",_xlfn.XLOOKUP(autocompJanta[[#This Row],[COMP ESCALA POSTERIOR]],tabE.Flux[COMP.AT. MOT A],tabE.Flux[LINHA],"NÃO",0,1))</f>
        <v>NÃO</v>
      </c>
      <c r="N189" s="59" t="str">
        <f>IF(autocompJanta[[#This Row],[COMP ESCALA POSTERIOR]]="NÃO","NÃO",_xlfn.XLOOKUP(autocompJanta[[#This Row],[COMP ESCALA POSTERIOR]],tabE.Flux[COMP.AT. MOT B],tabE.Flux[LINHA],"NÃO",0,1))</f>
        <v>NÃO</v>
      </c>
      <c r="O189" s="65" t="str">
        <f>IF(AND(autocompJanta[[#This Row],[EXISTE MOT A POS]]="NÃO",autocompJanta[[#This Row],[EXISTE MOT B POS]]="NÃO"),"NÃO","SIM")</f>
        <v>NÃO</v>
      </c>
      <c r="P189" s="66" t="str" cm="1">
        <f t="array" ref="P18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89" s="103" t="str" cm="1">
        <f t="array" ref="Q18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45934+ANDSON WAGNER NASCIMENTO SOUZA - 2902+GOIANIA (GO) X SAO LUIS (MA)</v>
      </c>
      <c r="R189" s="67">
        <f>_xlfn.XLOOKUP(autocompJanta[[#This Row],[COMP ESCALA]],tabE.Flux[COMP. ESCALA MOT B],tabE.Flux[CARRO],
(_xlfn.XLOOKUP(autocompJanta[[#This Row],[COMP ESCALA]],tabE.Flux[COMP. ESCALA MOT A],tabE.Flux[CARRO],"N/E",0,1)),0,1)</f>
        <v>24012</v>
      </c>
      <c r="S189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89" s="127">
        <v>45934</v>
      </c>
      <c r="U189" s="131">
        <f>IF(IFERROR(autocompJanta[[#This Row],[CORRESP. CARRO]],"")="NÃO",(IF(tabJanta[[#This Row],[MOTORISTA]]=0,"","PASSE?")),autocompJanta[[#This Row],[CORRESP. CARRO]])</f>
        <v>24012</v>
      </c>
      <c r="V189" s="126">
        <f>IF(OR(ISERR(autocompJanta[[#This Row],[CORRESP HORARIO]]), autocompJanta[[#This Row],[CORRESP HORARIO]]&lt;&gt;"NÃO"),autocompJanta[[#This Row],[CORRESP HORARIO]],"")</f>
        <v>0.79166666666666663</v>
      </c>
      <c r="W189" s="1" t="s">
        <v>299</v>
      </c>
      <c r="X189" s="1" t="s">
        <v>232</v>
      </c>
      <c r="Y189" s="1">
        <f>IF(tabJanta[[#This Row],[MOTORISTA]]="","",COUNTIF(autocompJanta[COMP ESCALA ATUAL],autocompJanta[[#This Row],[COMP ESCALA ATUAL]]))</f>
        <v>1</v>
      </c>
      <c r="Z189" s="105">
        <f>IF(tabJanta[[#This Row],[MOTORISTA]]&lt;&gt;0,15,"")</f>
        <v>15</v>
      </c>
      <c r="AA189" s="131" t="str">
        <f>autocompJanta[[#This Row],[CORRESP LINHA]]</f>
        <v>GOIANIA (GO) X SAO LUIS (MA)</v>
      </c>
    </row>
    <row r="190" spans="3:27" ht="15" customHeight="1" x14ac:dyDescent="0.25">
      <c r="C190" s="129" t="s">
        <v>226</v>
      </c>
      <c r="D190" s="56" t="str">
        <f>IF(tabJanta[[#This Row],[MOTORISTA]]="","",_xlfn.CONCAT(tabJanta[[#This Row],[DATA]],"+",tabJanta[[#This Row],[MOTORISTA]]))</f>
        <v>45934+EDIVALDO DE ARAUJO - 6217</v>
      </c>
      <c r="E190" s="56" t="str">
        <f>_xlfn.XLOOKUP(autocompJanta[[#This Row],[COMP ESCALA ATUAL]],tabE.Flux[COMP.AT. MOT A],tabE.Flux[LINHA],"NÃO",0,1)</f>
        <v>GOIANIA (GO) X SAO LUIS (MA)</v>
      </c>
      <c r="F190" s="56" t="str">
        <f>_xlfn.XLOOKUP(autocompJanta[[#This Row],[COMP ESCALA ATUAL]],tabE.Flux[COMP.AT. MOT B],tabE.Flux[LINHA],"NÃO",0,1)</f>
        <v>GOIANIA (GO) X SAO LUIS (MA)</v>
      </c>
      <c r="G190" s="61" t="str">
        <f>IF(AND(autocompJanta[[#This Row],[EXISTE MOT A AT]]="NÃO", autocompJanta[[#This Row],[EXISTE MOT B AT]]="NÃO"),"NÃO","SIM")</f>
        <v>SIM</v>
      </c>
      <c r="H190" s="57" t="str">
        <f>IF(autocompJanta[[#This Row],[EXISTE ESCALA ATUAL]]="NÃO",_xlfn.CONCAT(tabJanta[[#This Row],[DATA]]-1,"+",tabJanta[[#This Row],[MOTORISTA]]),"NÃO")</f>
        <v>NÃO</v>
      </c>
      <c r="I190" s="57" t="str">
        <f>IF(autocompJanta[[#This Row],[COMP ESCALA ANTERIOR]]="NÃO","NÃO",_xlfn.XLOOKUP(autocompJanta[[#This Row],[COMP ESCALA ANTERIOR]],tabE.Flux[COMP.AT. MOT A],tabE.Flux[LINHA],"NÃO",0,1))</f>
        <v>NÃO</v>
      </c>
      <c r="J190" s="58" t="str">
        <f>IF(autocompJanta[[#This Row],[COMP ESCALA ANTERIOR]]="NÃO","NÃO",_xlfn.XLOOKUP(autocompJanta[[#This Row],[COMP ESCALA ANTERIOR]],tabE.Flux[COMP.AT. MOT B],tabE.Flux[LINHA],"NÃO",0,1))</f>
        <v>NÃO</v>
      </c>
      <c r="K190" s="62" t="str">
        <f>IF(AND(autocompJanta[[#This Row],[EXISTE MOT A ANT]]="NÃO",autocompJanta[[#This Row],[EXISTE MOT B ANT]]="NÃO"),"NÃO","SIM")</f>
        <v>NÃO</v>
      </c>
      <c r="L190" s="59" t="str">
        <f t="shared" si="9"/>
        <v>1+</v>
      </c>
      <c r="M190" s="59" t="str">
        <f>IF(autocompJanta[[#This Row],[COMP ESCALA POSTERIOR]]="NÃO","NÃO",_xlfn.XLOOKUP(autocompJanta[[#This Row],[COMP ESCALA POSTERIOR]],tabE.Flux[COMP.AT. MOT A],tabE.Flux[LINHA],"NÃO",0,1))</f>
        <v>NÃO</v>
      </c>
      <c r="N190" s="59" t="str">
        <f>IF(autocompJanta[[#This Row],[COMP ESCALA POSTERIOR]]="NÃO","NÃO",_xlfn.XLOOKUP(autocompJanta[[#This Row],[COMP ESCALA POSTERIOR]],tabE.Flux[COMP.AT. MOT B],tabE.Flux[LINHA],"NÃO",0,1))</f>
        <v>NÃO</v>
      </c>
      <c r="O190" s="65" t="str">
        <f>IF(AND(autocompJanta[[#This Row],[EXISTE MOT A POS]]="NÃO",autocompJanta[[#This Row],[EXISTE MOT B POS]]="NÃO"),"NÃO","SIM")</f>
        <v>NÃO</v>
      </c>
      <c r="P190" s="66" t="str" cm="1">
        <f t="array" ref="P19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90" s="103" t="str" cm="1">
        <f t="array" ref="Q19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45934+EDIVALDO DE ARAUJO - 6217+GOIANIA (GO) X SAO LUIS (MA)</v>
      </c>
      <c r="R190" s="67">
        <f>_xlfn.XLOOKUP(autocompJanta[[#This Row],[COMP ESCALA]],tabE.Flux[COMP. ESCALA MOT B],tabE.Flux[CARRO],
(_xlfn.XLOOKUP(autocompJanta[[#This Row],[COMP ESCALA]],tabE.Flux[COMP. ESCALA MOT A],tabE.Flux[CARRO],"N/E",0,1)),0,1)</f>
        <v>24002</v>
      </c>
      <c r="S190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90" s="127">
        <v>45934</v>
      </c>
      <c r="U190" s="131">
        <f>IF(IFERROR(autocompJanta[[#This Row],[CORRESP. CARRO]],"")="NÃO",(IF(tabJanta[[#This Row],[MOTORISTA]]=0,"","PASSE?")),autocompJanta[[#This Row],[CORRESP. CARRO]])</f>
        <v>24002</v>
      </c>
      <c r="V190" s="126">
        <f>IF(OR(ISERR(autocompJanta[[#This Row],[CORRESP HORARIO]]), autocompJanta[[#This Row],[CORRESP HORARIO]]&lt;&gt;"NÃO"),autocompJanta[[#This Row],[CORRESP HORARIO]],"")</f>
        <v>0.29166666666666669</v>
      </c>
      <c r="W190" s="1" t="s">
        <v>299</v>
      </c>
      <c r="X190" s="1" t="s">
        <v>55</v>
      </c>
      <c r="Y190" s="1">
        <f>IF(tabJanta[[#This Row],[MOTORISTA]]="","",COUNTIF(autocompJanta[COMP ESCALA ATUAL],autocompJanta[[#This Row],[COMP ESCALA ATUAL]]))</f>
        <v>1</v>
      </c>
      <c r="Z190" s="105">
        <f>IF(tabJanta[[#This Row],[MOTORISTA]]&lt;&gt;0,15,"")</f>
        <v>15</v>
      </c>
      <c r="AA190" s="131" t="str">
        <f>autocompJanta[[#This Row],[CORRESP LINHA]]</f>
        <v>GOIANIA (GO) X SAO LUIS (MA)</v>
      </c>
    </row>
    <row r="191" spans="3:27" ht="15" customHeight="1" x14ac:dyDescent="0.25">
      <c r="C191" s="129" t="s">
        <v>226</v>
      </c>
      <c r="D191" s="56" t="str">
        <f>IF(tabJanta[[#This Row],[MOTORISTA]]="","",_xlfn.CONCAT(tabJanta[[#This Row],[DATA]],"+",tabJanta[[#This Row],[MOTORISTA]]))</f>
        <v>45935+PAULO ENEAS FARIAS ARAUJO - 6218</v>
      </c>
      <c r="E191" s="56" t="str">
        <f>_xlfn.XLOOKUP(autocompJanta[[#This Row],[COMP ESCALA ATUAL]],tabE.Flux[COMP.AT. MOT A],tabE.Flux[LINHA],"NÃO",0,1)</f>
        <v>NÃO</v>
      </c>
      <c r="F191" s="56" t="str">
        <f>_xlfn.XLOOKUP(autocompJanta[[#This Row],[COMP ESCALA ATUAL]],tabE.Flux[COMP.AT. MOT B],tabE.Flux[LINHA],"NÃO",0,1)</f>
        <v>GOIANIA (GO) X SAO LUIS (MA)</v>
      </c>
      <c r="G191" s="61" t="str">
        <f>IF(AND(autocompJanta[[#This Row],[EXISTE MOT A AT]]="NÃO", autocompJanta[[#This Row],[EXISTE MOT B AT]]="NÃO"),"NÃO","SIM")</f>
        <v>SIM</v>
      </c>
      <c r="H191" s="57" t="str">
        <f>IF(autocompJanta[[#This Row],[EXISTE ESCALA ATUAL]]="NÃO",_xlfn.CONCAT(tabJanta[[#This Row],[DATA]]-1,"+",tabJanta[[#This Row],[MOTORISTA]]),"NÃO")</f>
        <v>NÃO</v>
      </c>
      <c r="I191" s="57" t="str">
        <f>IF(autocompJanta[[#This Row],[COMP ESCALA ANTERIOR]]="NÃO","NÃO",_xlfn.XLOOKUP(autocompJanta[[#This Row],[COMP ESCALA ANTERIOR]],tabE.Flux[COMP.AT. MOT A],tabE.Flux[LINHA],"NÃO",0,1))</f>
        <v>NÃO</v>
      </c>
      <c r="J191" s="58" t="str">
        <f>IF(autocompJanta[[#This Row],[COMP ESCALA ANTERIOR]]="NÃO","NÃO",_xlfn.XLOOKUP(autocompJanta[[#This Row],[COMP ESCALA ANTERIOR]],tabE.Flux[COMP.AT. MOT B],tabE.Flux[LINHA],"NÃO",0,1))</f>
        <v>NÃO</v>
      </c>
      <c r="K191" s="62" t="str">
        <f>IF(AND(autocompJanta[[#This Row],[EXISTE MOT A ANT]]="NÃO",autocompJanta[[#This Row],[EXISTE MOT B ANT]]="NÃO"),"NÃO","SIM")</f>
        <v>NÃO</v>
      </c>
      <c r="L191" s="59" t="str">
        <f t="shared" si="9"/>
        <v>1+</v>
      </c>
      <c r="M191" s="59" t="str">
        <f>IF(autocompJanta[[#This Row],[COMP ESCALA POSTERIOR]]="NÃO","NÃO",_xlfn.XLOOKUP(autocompJanta[[#This Row],[COMP ESCALA POSTERIOR]],tabE.Flux[COMP.AT. MOT A],tabE.Flux[LINHA],"NÃO",0,1))</f>
        <v>NÃO</v>
      </c>
      <c r="N191" s="59" t="str">
        <f>IF(autocompJanta[[#This Row],[COMP ESCALA POSTERIOR]]="NÃO","NÃO",_xlfn.XLOOKUP(autocompJanta[[#This Row],[COMP ESCALA POSTERIOR]],tabE.Flux[COMP.AT. MOT B],tabE.Flux[LINHA],"NÃO",0,1))</f>
        <v>NÃO</v>
      </c>
      <c r="O191" s="65" t="str">
        <f>IF(AND(autocompJanta[[#This Row],[EXISTE MOT A POS]]="NÃO",autocompJanta[[#This Row],[EXISTE MOT B POS]]="NÃO"),"NÃO","SIM")</f>
        <v>NÃO</v>
      </c>
      <c r="P191" s="66" t="str" cm="1">
        <f t="array" ref="P19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91" s="103" t="str" cm="1">
        <f t="array" ref="Q19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45935+PAULO ENEAS FARIAS ARAUJO - 6218+GOIANIA (GO) X SAO LUIS (MA)</v>
      </c>
      <c r="R191" s="67">
        <f>_xlfn.XLOOKUP(autocompJanta[[#This Row],[COMP ESCALA]],tabE.Flux[COMP. ESCALA MOT B],tabE.Flux[CARRO],
(_xlfn.XLOOKUP(autocompJanta[[#This Row],[COMP ESCALA]],tabE.Flux[COMP. ESCALA MOT A],tabE.Flux[CARRO],"N/E",0,1)),0,1)</f>
        <v>20019</v>
      </c>
      <c r="S191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191" s="127">
        <v>45935</v>
      </c>
      <c r="U191" s="4">
        <f>IF(IFERROR(autocompJanta[[#This Row],[CORRESP. CARRO]],"")="NÃO",(IF(tabJanta[[#This Row],[MOTORISTA]]=0,"","PASSE?")),autocompJanta[[#This Row],[CORRESP. CARRO]])</f>
        <v>20019</v>
      </c>
      <c r="V191" s="128">
        <f>IF(OR(ISERR(autocompJanta[[#This Row],[CORRESP HORARIO]]), autocompJanta[[#This Row],[CORRESP HORARIO]]&lt;&gt;"NÃO"),autocompJanta[[#This Row],[CORRESP HORARIO]],"")</f>
        <v>0.47013888888888888</v>
      </c>
      <c r="W191" s="4" t="s">
        <v>299</v>
      </c>
      <c r="X191" s="4" t="s">
        <v>43</v>
      </c>
      <c r="Y191" s="4">
        <f>IF(tabJanta[[#This Row],[MOTORISTA]]="","",COUNTIF(autocompJanta[COMP ESCALA ATUAL],autocompJanta[[#This Row],[COMP ESCALA ATUAL]]))</f>
        <v>1</v>
      </c>
      <c r="Z191" s="45">
        <f>IF(tabJanta[[#This Row],[MOTORISTA]]&lt;&gt;0,15,"")</f>
        <v>15</v>
      </c>
      <c r="AA191" s="4" t="str">
        <f>autocompJanta[[#This Row],[CORRESP LINHA]]</f>
        <v>GOIANIA (GO) X SAO LUIS (MA)</v>
      </c>
    </row>
    <row r="192" spans="3:27" ht="15" customHeight="1" x14ac:dyDescent="0.25">
      <c r="C192" s="129" t="s">
        <v>226</v>
      </c>
      <c r="D192" s="56" t="str">
        <f>IF(tabJanta[[#This Row],[MOTORISTA]]="","",_xlfn.CONCAT(tabJanta[[#This Row],[DATA]],"+",tabJanta[[#This Row],[MOTORISTA]]))</f>
        <v>45935+DANYLSON BATISTA SANTANA - 5829</v>
      </c>
      <c r="E192" s="56" t="str">
        <f>_xlfn.XLOOKUP(autocompJanta[[#This Row],[COMP ESCALA ATUAL]],tabE.Flux[COMP.AT. MOT A],tabE.Flux[LINHA],"NÃO",0,1)</f>
        <v>NÃO</v>
      </c>
      <c r="F192" s="56" t="str">
        <f>_xlfn.XLOOKUP(autocompJanta[[#This Row],[COMP ESCALA ATUAL]],tabE.Flux[COMP.AT. MOT B],tabE.Flux[LINHA],"NÃO",0,1)</f>
        <v>NÃO</v>
      </c>
      <c r="G192" s="61" t="str">
        <f>IF(AND(autocompJanta[[#This Row],[EXISTE MOT A AT]]="NÃO", autocompJanta[[#This Row],[EXISTE MOT B AT]]="NÃO"),"NÃO","SIM")</f>
        <v>NÃO</v>
      </c>
      <c r="H192" s="57" t="str">
        <f>IF(autocompJanta[[#This Row],[EXISTE ESCALA ATUAL]]="NÃO",_xlfn.CONCAT(tabJanta[[#This Row],[DATA]]-1,"+",tabJanta[[#This Row],[MOTORISTA]]),"NÃO")</f>
        <v>45934+DANYLSON BATISTA SANTANA - 5829</v>
      </c>
      <c r="I192" s="57" t="str">
        <f>IF(autocompJanta[[#This Row],[COMP ESCALA ANTERIOR]]="NÃO","NÃO",_xlfn.XLOOKUP(autocompJanta[[#This Row],[COMP ESCALA ANTERIOR]],tabE.Flux[COMP.AT. MOT A],tabE.Flux[LINHA],"NÃO",0,1))</f>
        <v>NÃO</v>
      </c>
      <c r="J192" s="58" t="str">
        <f>IF(autocompJanta[[#This Row],[COMP ESCALA ANTERIOR]]="NÃO","NÃO",_xlfn.XLOOKUP(autocompJanta[[#This Row],[COMP ESCALA ANTERIOR]],tabE.Flux[COMP.AT. MOT B],tabE.Flux[LINHA],"NÃO",0,1))</f>
        <v>NÃO</v>
      </c>
      <c r="K192" s="62" t="str">
        <f>IF(AND(autocompJanta[[#This Row],[EXISTE MOT A ANT]]="NÃO",autocompJanta[[#This Row],[EXISTE MOT B ANT]]="NÃO"),"NÃO","SIM")</f>
        <v>NÃO</v>
      </c>
      <c r="L192" s="59" t="str">
        <f t="shared" si="9"/>
        <v>1+</v>
      </c>
      <c r="M192" s="59" t="str">
        <f>IF(autocompJanta[[#This Row],[COMP ESCALA POSTERIOR]]="NÃO","NÃO",_xlfn.XLOOKUP(autocompJanta[[#This Row],[COMP ESCALA POSTERIOR]],tabE.Flux[COMP.AT. MOT A],tabE.Flux[LINHA],"NÃO",0,1))</f>
        <v>NÃO</v>
      </c>
      <c r="N192" s="59" t="str">
        <f>IF(autocompJanta[[#This Row],[COMP ESCALA POSTERIOR]]="NÃO","NÃO",_xlfn.XLOOKUP(autocompJanta[[#This Row],[COMP ESCALA POSTERIOR]],tabE.Flux[COMP.AT. MOT B],tabE.Flux[LINHA],"NÃO",0,1))</f>
        <v>NÃO</v>
      </c>
      <c r="O192" s="65" t="str">
        <f>IF(AND(autocompJanta[[#This Row],[EXISTE MOT A POS]]="NÃO",autocompJanta[[#This Row],[EXISTE MOT B POS]]="NÃO"),"NÃO","SIM")</f>
        <v>NÃO</v>
      </c>
      <c r="P192" s="66" t="str" cm="1">
        <f t="array" ref="P19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192" s="103" t="str" cm="1">
        <f t="array" ref="Q19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192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192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192" s="127">
        <v>45935</v>
      </c>
      <c r="U192" s="4">
        <v>17600</v>
      </c>
      <c r="V192" s="126">
        <v>0.37708333333333333</v>
      </c>
      <c r="W192" s="1" t="s">
        <v>299</v>
      </c>
      <c r="X192" s="1" t="s">
        <v>60</v>
      </c>
      <c r="Y192" s="1">
        <f>IF(tabJanta[[#This Row],[MOTORISTA]]="","",COUNTIF(autocompJanta[COMP ESCALA ATUAL],autocompJanta[[#This Row],[COMP ESCALA ATUAL]]))</f>
        <v>1</v>
      </c>
      <c r="Z192" s="105">
        <f>IF(tabJanta[[#This Row],[MOTORISTA]]&lt;&gt;0,15,"")</f>
        <v>15</v>
      </c>
      <c r="AA192" s="4" t="s">
        <v>32</v>
      </c>
    </row>
    <row r="193" spans="3:27" ht="15" customHeight="1" x14ac:dyDescent="0.25">
      <c r="C193" s="129" t="s">
        <v>226</v>
      </c>
      <c r="D193" s="56" t="str">
        <f>IF(tabJanta[[#This Row],[MOTORISTA]]="","",_xlfn.CONCAT(tabJanta[[#This Row],[DATA]],"+",tabJanta[[#This Row],[MOTORISTA]]))</f>
        <v>45935+MARCOS ANTONIO ALVES DE SOUSA - 5278</v>
      </c>
      <c r="E193" s="56" t="str">
        <f>_xlfn.XLOOKUP(autocompJanta[[#This Row],[COMP ESCALA ATUAL]],tabE.Flux[COMP.AT. MOT A],tabE.Flux[LINHA],"NÃO",0,1)</f>
        <v>NÃO</v>
      </c>
      <c r="F193" s="56" t="str">
        <f>_xlfn.XLOOKUP(autocompJanta[[#This Row],[COMP ESCALA ATUAL]],tabE.Flux[COMP.AT. MOT B],tabE.Flux[LINHA],"NÃO",0,1)</f>
        <v>NÃO</v>
      </c>
      <c r="G193" s="61" t="str">
        <f>IF(AND(autocompJanta[[#This Row],[EXISTE MOT A AT]]="NÃO", autocompJanta[[#This Row],[EXISTE MOT B AT]]="NÃO"),"NÃO","SIM")</f>
        <v>NÃO</v>
      </c>
      <c r="H193" s="57" t="str">
        <f>IF(autocompJanta[[#This Row],[EXISTE ESCALA ATUAL]]="NÃO",_xlfn.CONCAT(tabJanta[[#This Row],[DATA]]-1,"+",tabJanta[[#This Row],[MOTORISTA]]),"NÃO")</f>
        <v>45934+MARCOS ANTONIO ALVES DE SOUSA - 5278</v>
      </c>
      <c r="I193" s="57" t="str">
        <f>IF(autocompJanta[[#This Row],[COMP ESCALA ANTERIOR]]="NÃO","NÃO",_xlfn.XLOOKUP(autocompJanta[[#This Row],[COMP ESCALA ANTERIOR]],tabE.Flux[COMP.AT. MOT A],tabE.Flux[LINHA],"NÃO",0,1))</f>
        <v>NÃO</v>
      </c>
      <c r="J193" s="58" t="str">
        <f>IF(autocompJanta[[#This Row],[COMP ESCALA ANTERIOR]]="NÃO","NÃO",_xlfn.XLOOKUP(autocompJanta[[#This Row],[COMP ESCALA ANTERIOR]],tabE.Flux[COMP.AT. MOT B],tabE.Flux[LINHA],"NÃO",0,1))</f>
        <v>NÃO</v>
      </c>
      <c r="K193" s="62" t="str">
        <f>IF(AND(autocompJanta[[#This Row],[EXISTE MOT A ANT]]="NÃO",autocompJanta[[#This Row],[EXISTE MOT B ANT]]="NÃO"),"NÃO","SIM")</f>
        <v>NÃO</v>
      </c>
      <c r="L193" s="59" t="str">
        <f t="shared" si="9"/>
        <v>1+</v>
      </c>
      <c r="M193" s="59" t="str">
        <f>IF(autocompJanta[[#This Row],[COMP ESCALA POSTERIOR]]="NÃO","NÃO",_xlfn.XLOOKUP(autocompJanta[[#This Row],[COMP ESCALA POSTERIOR]],tabE.Flux[COMP.AT. MOT A],tabE.Flux[LINHA],"NÃO",0,1))</f>
        <v>NÃO</v>
      </c>
      <c r="N193" s="59" t="str">
        <f>IF(autocompJanta[[#This Row],[COMP ESCALA POSTERIOR]]="NÃO","NÃO",_xlfn.XLOOKUP(autocompJanta[[#This Row],[COMP ESCALA POSTERIOR]],tabE.Flux[COMP.AT. MOT B],tabE.Flux[LINHA],"NÃO",0,1))</f>
        <v>NÃO</v>
      </c>
      <c r="O193" s="65" t="str">
        <f>IF(AND(autocompJanta[[#This Row],[EXISTE MOT A POS]]="NÃO",autocompJanta[[#This Row],[EXISTE MOT B POS]]="NÃO"),"NÃO","SIM")</f>
        <v>NÃO</v>
      </c>
      <c r="P193" s="66" t="str" cm="1">
        <f t="array" ref="P19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193" s="103" t="str" cm="1">
        <f t="array" ref="Q19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193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193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193" s="127">
        <v>45935</v>
      </c>
      <c r="U193" s="131">
        <v>20010</v>
      </c>
      <c r="V193" s="126" t="s">
        <v>1234</v>
      </c>
      <c r="W193" s="1" t="s">
        <v>299</v>
      </c>
      <c r="X193" s="1" t="s">
        <v>210</v>
      </c>
      <c r="Y193" s="1">
        <f>IF(tabJanta[[#This Row],[MOTORISTA]]="","",COUNTIF(autocompJanta[COMP ESCALA ATUAL],autocompJanta[[#This Row],[COMP ESCALA ATUAL]]))</f>
        <v>1</v>
      </c>
      <c r="Z193" s="105">
        <f>IF(tabJanta[[#This Row],[MOTORISTA]]&lt;&gt;0,15,"")</f>
        <v>15</v>
      </c>
      <c r="AA193" s="131" t="s">
        <v>32</v>
      </c>
    </row>
    <row r="194" spans="3:27" ht="15" customHeight="1" x14ac:dyDescent="0.25">
      <c r="C194" s="129" t="s">
        <v>226</v>
      </c>
      <c r="D194" s="56" t="str">
        <f>IF(tabJanta[[#This Row],[MOTORISTA]]="","",_xlfn.CONCAT(tabJanta[[#This Row],[DATA]],"+",tabJanta[[#This Row],[MOTORISTA]]))</f>
        <v>45935+RAIMUNDO COSTA SILVA - 6226</v>
      </c>
      <c r="E194" s="56" t="str">
        <f>_xlfn.XLOOKUP(autocompJanta[[#This Row],[COMP ESCALA ATUAL]],tabE.Flux[COMP.AT. MOT A],tabE.Flux[LINHA],"NÃO",0,1)</f>
        <v>NÃO</v>
      </c>
      <c r="F194" s="56" t="str">
        <f>_xlfn.XLOOKUP(autocompJanta[[#This Row],[COMP ESCALA ATUAL]],tabE.Flux[COMP.AT. MOT B],tabE.Flux[LINHA],"NÃO",0,1)</f>
        <v>GOIANIA (GO) X SAO LUIS (MA)</v>
      </c>
      <c r="G194" s="61" t="str">
        <f>IF(AND(autocompJanta[[#This Row],[EXISTE MOT A AT]]="NÃO", autocompJanta[[#This Row],[EXISTE MOT B AT]]="NÃO"),"NÃO","SIM")</f>
        <v>SIM</v>
      </c>
      <c r="H194" s="57" t="str">
        <f>IF(autocompJanta[[#This Row],[EXISTE ESCALA ATUAL]]="NÃO",_xlfn.CONCAT(tabJanta[[#This Row],[DATA]]-1,"+",tabJanta[[#This Row],[MOTORISTA]]),"NÃO")</f>
        <v>NÃO</v>
      </c>
      <c r="I194" s="57" t="str">
        <f>IF(autocompJanta[[#This Row],[COMP ESCALA ANTERIOR]]="NÃO","NÃO",_xlfn.XLOOKUP(autocompJanta[[#This Row],[COMP ESCALA ANTERIOR]],tabE.Flux[COMP.AT. MOT A],tabE.Flux[LINHA],"NÃO",0,1))</f>
        <v>NÃO</v>
      </c>
      <c r="J194" s="58" t="str">
        <f>IF(autocompJanta[[#This Row],[COMP ESCALA ANTERIOR]]="NÃO","NÃO",_xlfn.XLOOKUP(autocompJanta[[#This Row],[COMP ESCALA ANTERIOR]],tabE.Flux[COMP.AT. MOT B],tabE.Flux[LINHA],"NÃO",0,1))</f>
        <v>NÃO</v>
      </c>
      <c r="K194" s="62" t="str">
        <f>IF(AND(autocompJanta[[#This Row],[EXISTE MOT A ANT]]="NÃO",autocompJanta[[#This Row],[EXISTE MOT B ANT]]="NÃO"),"NÃO","SIM")</f>
        <v>NÃO</v>
      </c>
      <c r="L194" s="59" t="str">
        <f t="shared" ref="L194" si="10">_xlfn.CONCAT(T205+1,"+",X205)</f>
        <v>45938+EDIVALDO DE ARAUJO - 6217</v>
      </c>
      <c r="M194" s="59" t="str">
        <f>IF(autocompJanta[[#This Row],[COMP ESCALA POSTERIOR]]="NÃO","NÃO",_xlfn.XLOOKUP(autocompJanta[[#This Row],[COMP ESCALA POSTERIOR]],tabE.Flux[COMP.AT. MOT A],tabE.Flux[LINHA],"NÃO",0,1))</f>
        <v>NÃO</v>
      </c>
      <c r="N194" s="59" t="str">
        <f>IF(autocompJanta[[#This Row],[COMP ESCALA POSTERIOR]]="NÃO","NÃO",_xlfn.XLOOKUP(autocompJanta[[#This Row],[COMP ESCALA POSTERIOR]],tabE.Flux[COMP.AT. MOT B],tabE.Flux[LINHA],"NÃO",0,1))</f>
        <v>NÃO</v>
      </c>
      <c r="O194" s="65" t="str">
        <f>IF(AND(autocompJanta[[#This Row],[EXISTE MOT A POS]]="NÃO",autocompJanta[[#This Row],[EXISTE MOT B POS]]="NÃO"),"NÃO","SIM")</f>
        <v>NÃO</v>
      </c>
      <c r="P194" s="66" t="str" cm="1">
        <f t="array" ref="P19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94" s="103" t="str" cm="1">
        <f t="array" ref="Q19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45935+RAIMUNDO COSTA SILVA - 6226+GOIANIA (GO) X SAO LUIS (MA)</v>
      </c>
      <c r="R194" s="67">
        <f>_xlfn.XLOOKUP(autocompJanta[[#This Row],[COMP ESCALA]],tabE.Flux[COMP. ESCALA MOT B],tabE.Flux[CARRO],
(_xlfn.XLOOKUP(autocompJanta[[#This Row],[COMP ESCALA]],tabE.Flux[COMP. ESCALA MOT A],tabE.Flux[CARRO],"N/E",0,1)),0,1)</f>
        <v>25007</v>
      </c>
      <c r="S194" s="130">
        <f>_xlfn.XLOOKUP(autocompJanta[[#This Row],[COMP ESCALA]],tabE.Flux[COMP. ESCALA MOT A],tabE.Flux[HORARIO],(_xlfn.XLOOKUP(autocompJanta[[#This Row],[COMP ESCALA]],tabE.Flux[COMP. ESCALA MOT B],tabE.Flux[HORARIO],"N/E",0,1)),0,1)</f>
        <v>0.84375</v>
      </c>
      <c r="T194" s="127">
        <v>45935</v>
      </c>
      <c r="U194" s="131">
        <f>IF(IFERROR(autocompJanta[[#This Row],[CORRESP. CARRO]],"")="NÃO",(IF(tabJanta[[#This Row],[MOTORISTA]]=0,"","PASSE?")),autocompJanta[[#This Row],[CORRESP. CARRO]])</f>
        <v>25007</v>
      </c>
      <c r="V194" s="126">
        <f>IF(OR(ISERR(autocompJanta[[#This Row],[CORRESP HORARIO]]), autocompJanta[[#This Row],[CORRESP HORARIO]]&lt;&gt;"NÃO"),autocompJanta[[#This Row],[CORRESP HORARIO]],"")</f>
        <v>0.84375</v>
      </c>
      <c r="W194" s="1" t="s">
        <v>299</v>
      </c>
      <c r="X194" s="1" t="s">
        <v>45</v>
      </c>
      <c r="Y194" s="1">
        <f>IF(tabJanta[[#This Row],[MOTORISTA]]="","",COUNTIF(autocompJanta[COMP ESCALA ATUAL],autocompJanta[[#This Row],[COMP ESCALA ATUAL]]))</f>
        <v>1</v>
      </c>
      <c r="Z194" s="105">
        <f>IF(tabJanta[[#This Row],[MOTORISTA]]&lt;&gt;0,15,"")</f>
        <v>15</v>
      </c>
      <c r="AA194" s="131" t="str">
        <f>autocompJanta[[#This Row],[CORRESP LINHA]]</f>
        <v>GOIANIA (GO) X SAO LUIS (MA)</v>
      </c>
    </row>
    <row r="195" spans="3:27" ht="15" customHeight="1" x14ac:dyDescent="0.25">
      <c r="C195" s="129" t="s">
        <v>226</v>
      </c>
      <c r="D195" s="56" t="str">
        <f>IF(tabJanta[[#This Row],[MOTORISTA]]="","",_xlfn.CONCAT(tabJanta[[#This Row],[DATA]],"+",tabJanta[[#This Row],[MOTORISTA]]))</f>
        <v>45935+  GILSON MESQUITA LIMA- 5454</v>
      </c>
      <c r="E195" s="56" t="str">
        <f>_xlfn.XLOOKUP(autocompJanta[[#This Row],[COMP ESCALA ATUAL]],tabE.Flux[COMP.AT. MOT A],tabE.Flux[LINHA],"NÃO",0,1)</f>
        <v>NÃO</v>
      </c>
      <c r="F195" s="56" t="str">
        <f>_xlfn.XLOOKUP(autocompJanta[[#This Row],[COMP ESCALA ATUAL]],tabE.Flux[COMP.AT. MOT B],tabE.Flux[LINHA],"NÃO",0,1)</f>
        <v>NÃO</v>
      </c>
      <c r="G195" s="61" t="str">
        <f>IF(AND(autocompJanta[[#This Row],[EXISTE MOT A AT]]="NÃO", autocompJanta[[#This Row],[EXISTE MOT B AT]]="NÃO"),"NÃO","SIM")</f>
        <v>NÃO</v>
      </c>
      <c r="H195" s="57" t="str">
        <f>IF(autocompJanta[[#This Row],[EXISTE ESCALA ATUAL]]="NÃO",_xlfn.CONCAT(tabJanta[[#This Row],[DATA]]-1,"+",tabJanta[[#This Row],[MOTORISTA]]),"NÃO")</f>
        <v>45934+  GILSON MESQUITA LIMA- 5454</v>
      </c>
      <c r="I195" s="57" t="str">
        <f>IF(autocompJanta[[#This Row],[COMP ESCALA ANTERIOR]]="NÃO","NÃO",_xlfn.XLOOKUP(autocompJanta[[#This Row],[COMP ESCALA ANTERIOR]],tabE.Flux[COMP.AT. MOT A],tabE.Flux[LINHA],"NÃO",0,1))</f>
        <v>NÃO</v>
      </c>
      <c r="J195" s="58" t="str">
        <f>IF(autocompJanta[[#This Row],[COMP ESCALA ANTERIOR]]="NÃO","NÃO",_xlfn.XLOOKUP(autocompJanta[[#This Row],[COMP ESCALA ANTERIOR]],tabE.Flux[COMP.AT. MOT B],tabE.Flux[LINHA],"NÃO",0,1))</f>
        <v>NÃO</v>
      </c>
      <c r="K195" s="62" t="str">
        <f>IF(AND(autocompJanta[[#This Row],[EXISTE MOT A ANT]]="NÃO",autocompJanta[[#This Row],[EXISTE MOT B ANT]]="NÃO"),"NÃO","SIM")</f>
        <v>NÃO</v>
      </c>
      <c r="L195" s="59" t="str">
        <f>_xlfn.CONCAT(T210+1,"+",X210)</f>
        <v>45939+JACINTO BATISTA DE SOUSA - 5271</v>
      </c>
      <c r="M195" s="59" t="str">
        <f>IF(autocompJanta[[#This Row],[COMP ESCALA POSTERIOR]]="NÃO","NÃO",_xlfn.XLOOKUP(autocompJanta[[#This Row],[COMP ESCALA POSTERIOR]],tabE.Flux[COMP.AT. MOT A],tabE.Flux[LINHA],"NÃO",0,1))</f>
        <v>NÃO</v>
      </c>
      <c r="N195" s="59" t="str">
        <f>IF(autocompJanta[[#This Row],[COMP ESCALA POSTERIOR]]="NÃO","NÃO",_xlfn.XLOOKUP(autocompJanta[[#This Row],[COMP ESCALA POSTERIOR]],tabE.Flux[COMP.AT. MOT B],tabE.Flux[LINHA],"NÃO",0,1))</f>
        <v>NÃO</v>
      </c>
      <c r="O195" s="65" t="str">
        <f>IF(AND(autocompJanta[[#This Row],[EXISTE MOT A POS]]="NÃO",autocompJanta[[#This Row],[EXISTE MOT B POS]]="NÃO"),"NÃO","SIM")</f>
        <v>NÃO</v>
      </c>
      <c r="P195" s="66" t="str" cm="1">
        <f t="array" ref="P19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195" s="103" t="str" cm="1">
        <f t="array" ref="Q19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195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195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195" s="127">
        <v>45935</v>
      </c>
      <c r="U195" s="131" t="s">
        <v>1236</v>
      </c>
      <c r="V195" s="126" t="s">
        <v>1236</v>
      </c>
      <c r="W195" s="1" t="s">
        <v>299</v>
      </c>
      <c r="X195" s="1" t="s">
        <v>319</v>
      </c>
      <c r="Y195" s="1">
        <f>IF(tabJanta[[#This Row],[MOTORISTA]]="","",COUNTIF(autocompJanta[COMP ESCALA ATUAL],autocompJanta[[#This Row],[COMP ESCALA ATUAL]]))</f>
        <v>1</v>
      </c>
      <c r="Z195" s="105">
        <f>IF(tabJanta[[#This Row],[MOTORISTA]]&lt;&gt;0,15,"")</f>
        <v>15</v>
      </c>
      <c r="AA195" s="131" t="str">
        <f>autocompJanta[[#This Row],[CORRESP LINHA]]</f>
        <v>NÃO ENCONTRADO</v>
      </c>
    </row>
    <row r="196" spans="3:27" ht="15" customHeight="1" x14ac:dyDescent="0.25">
      <c r="C196" s="129" t="s">
        <v>226</v>
      </c>
      <c r="D196" s="56" t="str">
        <f>IF(tabJanta[[#This Row],[MOTORISTA]]="","",_xlfn.CONCAT(tabJanta[[#This Row],[DATA]],"+",tabJanta[[#This Row],[MOTORISTA]]))</f>
        <v>45935+BERNARDO SOUZA LIMA - 1720</v>
      </c>
      <c r="E196" s="56" t="str">
        <f>_xlfn.XLOOKUP(autocompJanta[[#This Row],[COMP ESCALA ATUAL]],tabE.Flux[COMP.AT. MOT A],tabE.Flux[LINHA],"NÃO",0,1)</f>
        <v>NÃO</v>
      </c>
      <c r="F196" s="56" t="str">
        <f>_xlfn.XLOOKUP(autocompJanta[[#This Row],[COMP ESCALA ATUAL]],tabE.Flux[COMP.AT. MOT B],tabE.Flux[LINHA],"NÃO",0,1)</f>
        <v>GOIANIA (GO) X SAO LUIS (MA)</v>
      </c>
      <c r="G196" s="61" t="str">
        <f>IF(AND(autocompJanta[[#This Row],[EXISTE MOT A AT]]="NÃO", autocompJanta[[#This Row],[EXISTE MOT B AT]]="NÃO"),"NÃO","SIM")</f>
        <v>SIM</v>
      </c>
      <c r="H196" s="57" t="str">
        <f>IF(autocompJanta[[#This Row],[EXISTE ESCALA ATUAL]]="NÃO",_xlfn.CONCAT(tabJanta[[#This Row],[DATA]]-1,"+",tabJanta[[#This Row],[MOTORISTA]]),"NÃO")</f>
        <v>NÃO</v>
      </c>
      <c r="I196" s="57" t="str">
        <f>IF(autocompJanta[[#This Row],[COMP ESCALA ANTERIOR]]="NÃO","NÃO",_xlfn.XLOOKUP(autocompJanta[[#This Row],[COMP ESCALA ANTERIOR]],tabE.Flux[COMP.AT. MOT A],tabE.Flux[LINHA],"NÃO",0,1))</f>
        <v>NÃO</v>
      </c>
      <c r="J196" s="58" t="str">
        <f>IF(autocompJanta[[#This Row],[COMP ESCALA ANTERIOR]]="NÃO","NÃO",_xlfn.XLOOKUP(autocompJanta[[#This Row],[COMP ESCALA ANTERIOR]],tabE.Flux[COMP.AT. MOT B],tabE.Flux[LINHA],"NÃO",0,1))</f>
        <v>NÃO</v>
      </c>
      <c r="K196" s="62" t="str">
        <f>IF(AND(autocompJanta[[#This Row],[EXISTE MOT A ANT]]="NÃO",autocompJanta[[#This Row],[EXISTE MOT B ANT]]="NÃO"),"NÃO","SIM")</f>
        <v>NÃO</v>
      </c>
      <c r="L196" s="59" t="str">
        <f>_xlfn.CONCAT(T216+1,"+",X216)</f>
        <v>45940+RAIMUNDO COSTA SILVA - 6226</v>
      </c>
      <c r="M196" s="59" t="str">
        <f>IF(autocompJanta[[#This Row],[COMP ESCALA POSTERIOR]]="NÃO","NÃO",_xlfn.XLOOKUP(autocompJanta[[#This Row],[COMP ESCALA POSTERIOR]],tabE.Flux[COMP.AT. MOT A],tabE.Flux[LINHA],"NÃO",0,1))</f>
        <v>NÃO</v>
      </c>
      <c r="N196" s="59" t="str">
        <f>IF(autocompJanta[[#This Row],[COMP ESCALA POSTERIOR]]="NÃO","NÃO",_xlfn.XLOOKUP(autocompJanta[[#This Row],[COMP ESCALA POSTERIOR]],tabE.Flux[COMP.AT. MOT B],tabE.Flux[LINHA],"NÃO",0,1))</f>
        <v>NÃO</v>
      </c>
      <c r="O196" s="65" t="str">
        <f>IF(AND(autocompJanta[[#This Row],[EXISTE MOT A POS]]="NÃO",autocompJanta[[#This Row],[EXISTE MOT B POS]]="NÃO"),"NÃO","SIM")</f>
        <v>NÃO</v>
      </c>
      <c r="P196" s="66" t="str" cm="1">
        <f t="array" ref="P19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96" s="103" t="str" cm="1">
        <f t="array" ref="Q19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45935+BERNARDO SOUZA LIMA - 1720+GOIANIA (GO) X SAO LUIS (MA)</v>
      </c>
      <c r="R196" s="67">
        <f>_xlfn.XLOOKUP(autocompJanta[[#This Row],[COMP ESCALA]],tabE.Flux[COMP. ESCALA MOT B],tabE.Flux[CARRO],
(_xlfn.XLOOKUP(autocompJanta[[#This Row],[COMP ESCALA]],tabE.Flux[COMP. ESCALA MOT A],tabE.Flux[CARRO],"N/E",0,1)),0,1)</f>
        <v>24002</v>
      </c>
      <c r="S196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196" s="127">
        <v>45935</v>
      </c>
      <c r="U196" s="131">
        <f>IF(IFERROR(autocompJanta[[#This Row],[CORRESP. CARRO]],"")="NÃO",(IF(tabJanta[[#This Row],[MOTORISTA]]=0,"","PASSE?")),autocompJanta[[#This Row],[CORRESP. CARRO]])</f>
        <v>24002</v>
      </c>
      <c r="V196" s="126">
        <f>IF(OR(ISERR(autocompJanta[[#This Row],[CORRESP HORARIO]]), autocompJanta[[#This Row],[CORRESP HORARIO]]&lt;&gt;"NÃO"),autocompJanta[[#This Row],[CORRESP HORARIO]],"")</f>
        <v>0.79166666666666663</v>
      </c>
      <c r="W196" s="1" t="s">
        <v>299</v>
      </c>
      <c r="X196" s="1" t="s">
        <v>123</v>
      </c>
      <c r="Y196" s="1">
        <f>IF(tabJanta[[#This Row],[MOTORISTA]]="","",COUNTIF(autocompJanta[COMP ESCALA ATUAL],autocompJanta[[#This Row],[COMP ESCALA ATUAL]]))</f>
        <v>1</v>
      </c>
      <c r="Z196" s="105">
        <f>IF(tabJanta[[#This Row],[MOTORISTA]]&lt;&gt;0,15,"")</f>
        <v>15</v>
      </c>
      <c r="AA196" s="131" t="str">
        <f>autocompJanta[[#This Row],[CORRESP LINHA]]</f>
        <v>GOIANIA (GO) X SAO LUIS (MA)</v>
      </c>
    </row>
    <row r="197" spans="3:27" ht="15" customHeight="1" x14ac:dyDescent="0.25">
      <c r="C197" s="129" t="s">
        <v>226</v>
      </c>
      <c r="D197" s="56" t="str">
        <f>IF(tabJanta[[#This Row],[MOTORISTA]]="","",_xlfn.CONCAT(tabJanta[[#This Row],[DATA]],"+",tabJanta[[#This Row],[MOTORISTA]]))</f>
        <v>45935+FABIO MOREIRA DOS SANTOS - 3073</v>
      </c>
      <c r="E197" s="56" t="str">
        <f>_xlfn.XLOOKUP(autocompJanta[[#This Row],[COMP ESCALA ATUAL]],tabE.Flux[COMP.AT. MOT A],tabE.Flux[LINHA],"NÃO",0,1)</f>
        <v>NÃO</v>
      </c>
      <c r="F197" s="56" t="str">
        <f>_xlfn.XLOOKUP(autocompJanta[[#This Row],[COMP ESCALA ATUAL]],tabE.Flux[COMP.AT. MOT B],tabE.Flux[LINHA],"NÃO",0,1)</f>
        <v>IMPERATRIZ (MA) X SÃO LUIS (MA)</v>
      </c>
      <c r="G197" s="61" t="str">
        <f>IF(AND(autocompJanta[[#This Row],[EXISTE MOT A AT]]="NÃO", autocompJanta[[#This Row],[EXISTE MOT B AT]]="NÃO"),"NÃO","SIM")</f>
        <v>SIM</v>
      </c>
      <c r="H197" s="57" t="str">
        <f>IF(autocompJanta[[#This Row],[EXISTE ESCALA ATUAL]]="NÃO",_xlfn.CONCAT(tabJanta[[#This Row],[DATA]]-1,"+",tabJanta[[#This Row],[MOTORISTA]]),"NÃO")</f>
        <v>NÃO</v>
      </c>
      <c r="I197" s="57" t="str">
        <f>IF(autocompJanta[[#This Row],[COMP ESCALA ANTERIOR]]="NÃO","NÃO",_xlfn.XLOOKUP(autocompJanta[[#This Row],[COMP ESCALA ANTERIOR]],tabE.Flux[COMP.AT. MOT A],tabE.Flux[LINHA],"NÃO",0,1))</f>
        <v>NÃO</v>
      </c>
      <c r="J197" s="58" t="str">
        <f>IF(autocompJanta[[#This Row],[COMP ESCALA ANTERIOR]]="NÃO","NÃO",_xlfn.XLOOKUP(autocompJanta[[#This Row],[COMP ESCALA ANTERIOR]],tabE.Flux[COMP.AT. MOT B],tabE.Flux[LINHA],"NÃO",0,1))</f>
        <v>NÃO</v>
      </c>
      <c r="K197" s="62" t="str">
        <f>IF(AND(autocompJanta[[#This Row],[EXISTE MOT A ANT]]="NÃO",autocompJanta[[#This Row],[EXISTE MOT B ANT]]="NÃO"),"NÃO","SIM")</f>
        <v>NÃO</v>
      </c>
      <c r="L197" s="59" t="str">
        <f>_xlfn.CONCAT(T223+1,"+",X223)</f>
        <v>45941+KAYLSON KLEYTON DA SILVA COSTA - 6224</v>
      </c>
      <c r="M197" s="59" t="str">
        <f>IF(autocompJanta[[#This Row],[COMP ESCALA POSTERIOR]]="NÃO","NÃO",_xlfn.XLOOKUP(autocompJanta[[#This Row],[COMP ESCALA POSTERIOR]],tabE.Flux[COMP.AT. MOT A],tabE.Flux[LINHA],"NÃO",0,1))</f>
        <v>NÃO</v>
      </c>
      <c r="N197" s="59" t="str">
        <f>IF(autocompJanta[[#This Row],[COMP ESCALA POSTERIOR]]="NÃO","NÃO",_xlfn.XLOOKUP(autocompJanta[[#This Row],[COMP ESCALA POSTERIOR]],tabE.Flux[COMP.AT. MOT B],tabE.Flux[LINHA],"NÃO",0,1))</f>
        <v>NÃO</v>
      </c>
      <c r="O197" s="65" t="str">
        <f>IF(AND(autocompJanta[[#This Row],[EXISTE MOT A POS]]="NÃO",autocompJanta[[#This Row],[EXISTE MOT B POS]]="NÃO"),"NÃO","SIM")</f>
        <v>NÃO</v>
      </c>
      <c r="P197" s="66" t="str" cm="1">
        <f t="array" ref="P19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IMPERATRIZ (MA) X SÃO LUIS (MA)</v>
      </c>
      <c r="Q197" s="103" t="str" cm="1">
        <f t="array" ref="Q19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45935+FABIO MOREIRA DOS SANTOS - 3073+IMPERATRIZ (MA) X SÃO LUIS (MA)</v>
      </c>
      <c r="R197" s="67">
        <f>_xlfn.XLOOKUP(autocompJanta[[#This Row],[COMP ESCALA]],tabE.Flux[COMP. ESCALA MOT B],tabE.Flux[CARRO],
(_xlfn.XLOOKUP(autocompJanta[[#This Row],[COMP ESCALA]],tabE.Flux[COMP. ESCALA MOT A],tabE.Flux[CARRO],"N/E",0,1)),0,1)</f>
        <v>18016</v>
      </c>
      <c r="S197" s="130">
        <f>_xlfn.XLOOKUP(autocompJanta[[#This Row],[COMP ESCALA]],tabE.Flux[COMP. ESCALA MOT A],tabE.Flux[HORARIO],(_xlfn.XLOOKUP(autocompJanta[[#This Row],[COMP ESCALA]],tabE.Flux[COMP. ESCALA MOT B],tabE.Flux[HORARIO],"N/E",0,1)),0,1)</f>
        <v>0.79513888888888884</v>
      </c>
      <c r="T197" s="127">
        <v>45935</v>
      </c>
      <c r="U197" s="131">
        <f>IF(IFERROR(autocompJanta[[#This Row],[CORRESP. CARRO]],"")="NÃO",(IF(tabJanta[[#This Row],[MOTORISTA]]=0,"","PASSE?")),autocompJanta[[#This Row],[CORRESP. CARRO]])</f>
        <v>18016</v>
      </c>
      <c r="V197" s="126">
        <f>IF(OR(ISERR(autocompJanta[[#This Row],[CORRESP HORARIO]]), autocompJanta[[#This Row],[CORRESP HORARIO]]&lt;&gt;"NÃO"),autocompJanta[[#This Row],[CORRESP HORARIO]],"")</f>
        <v>0.79513888888888884</v>
      </c>
      <c r="W197" s="1" t="s">
        <v>299</v>
      </c>
      <c r="X197" s="1" t="s">
        <v>50</v>
      </c>
      <c r="Y197" s="1">
        <f>IF(tabJanta[[#This Row],[MOTORISTA]]="","",COUNTIF(autocompJanta[COMP ESCALA ATUAL],autocompJanta[[#This Row],[COMP ESCALA ATUAL]]))</f>
        <v>1</v>
      </c>
      <c r="Z197" s="105">
        <f>IF(tabJanta[[#This Row],[MOTORISTA]]&lt;&gt;0,15,"")</f>
        <v>15</v>
      </c>
      <c r="AA197" s="131" t="str">
        <f>autocompJanta[[#This Row],[CORRESP LINHA]]</f>
        <v>IMPERATRIZ (MA) X SÃO LUIS (MA)</v>
      </c>
    </row>
    <row r="198" spans="3:27" ht="15" customHeight="1" x14ac:dyDescent="0.25">
      <c r="C198" s="129" t="s">
        <v>226</v>
      </c>
      <c r="D198" s="56" t="str">
        <f>IF(tabJanta[[#This Row],[MOTORISTA]]="","",_xlfn.CONCAT(tabJanta[[#This Row],[DATA]],"+",tabJanta[[#This Row],[MOTORISTA]]))</f>
        <v>45936+CARLOS ADRIANO DE SOUZA DO NASCIMENTO - 6222</v>
      </c>
      <c r="E198" s="56" t="str">
        <f>_xlfn.XLOOKUP(autocompJanta[[#This Row],[COMP ESCALA ATUAL]],tabE.Flux[COMP.AT. MOT A],tabE.Flux[LINHA],"NÃO",0,1)</f>
        <v>GOIANIA (GO) X SAO LUIS (MA)</v>
      </c>
      <c r="F198" s="56" t="str">
        <f>_xlfn.XLOOKUP(autocompJanta[[#This Row],[COMP ESCALA ATUAL]],tabE.Flux[COMP.AT. MOT B],tabE.Flux[LINHA],"NÃO",0,1)</f>
        <v>GOIANIA (GO) X SAO LUIS (MA)</v>
      </c>
      <c r="G198" s="61" t="str">
        <f>IF(AND(autocompJanta[[#This Row],[EXISTE MOT A AT]]="NÃO", autocompJanta[[#This Row],[EXISTE MOT B AT]]="NÃO"),"NÃO","SIM")</f>
        <v>SIM</v>
      </c>
      <c r="H198" s="57" t="str">
        <f>IF(autocompJanta[[#This Row],[EXISTE ESCALA ATUAL]]="NÃO",_xlfn.CONCAT(tabJanta[[#This Row],[DATA]]-1,"+",tabJanta[[#This Row],[MOTORISTA]]),"NÃO")</f>
        <v>NÃO</v>
      </c>
      <c r="I198" s="57" t="str">
        <f>IF(autocompJanta[[#This Row],[COMP ESCALA ANTERIOR]]="NÃO","NÃO",_xlfn.XLOOKUP(autocompJanta[[#This Row],[COMP ESCALA ANTERIOR]],tabE.Flux[COMP.AT. MOT A],tabE.Flux[LINHA],"NÃO",0,1))</f>
        <v>NÃO</v>
      </c>
      <c r="J198" s="58" t="str">
        <f>IF(autocompJanta[[#This Row],[COMP ESCALA ANTERIOR]]="NÃO","NÃO",_xlfn.XLOOKUP(autocompJanta[[#This Row],[COMP ESCALA ANTERIOR]],tabE.Flux[COMP.AT. MOT B],tabE.Flux[LINHA],"NÃO",0,1))</f>
        <v>NÃO</v>
      </c>
      <c r="K198" s="62" t="str">
        <f>IF(AND(autocompJanta[[#This Row],[EXISTE MOT A ANT]]="NÃO",autocompJanta[[#This Row],[EXISTE MOT B ANT]]="NÃO"),"NÃO","SIM")</f>
        <v>NÃO</v>
      </c>
      <c r="L198" s="59" t="str">
        <f>_xlfn.CONCAT(T230+1,"+",X230)</f>
        <v>45942+EDUARDO SANTOS BEZERRA - 4066</v>
      </c>
      <c r="M198" s="59" t="str">
        <f>IF(autocompJanta[[#This Row],[COMP ESCALA POSTERIOR]]="NÃO","NÃO",_xlfn.XLOOKUP(autocompJanta[[#This Row],[COMP ESCALA POSTERIOR]],tabE.Flux[COMP.AT. MOT A],tabE.Flux[LINHA],"NÃO",0,1))</f>
        <v>NÃO</v>
      </c>
      <c r="N198" s="59" t="str">
        <f>IF(autocompJanta[[#This Row],[COMP ESCALA POSTERIOR]]="NÃO","NÃO",_xlfn.XLOOKUP(autocompJanta[[#This Row],[COMP ESCALA POSTERIOR]],tabE.Flux[COMP.AT. MOT B],tabE.Flux[LINHA],"NÃO",0,1))</f>
        <v>NÃO</v>
      </c>
      <c r="O198" s="65" t="str">
        <f>IF(AND(autocompJanta[[#This Row],[EXISTE MOT A POS]]="NÃO",autocompJanta[[#This Row],[EXISTE MOT B POS]]="NÃO"),"NÃO","SIM")</f>
        <v>NÃO</v>
      </c>
      <c r="P198" s="66" t="str" cm="1">
        <f t="array" ref="P19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198" s="103" t="str" cm="1">
        <f t="array" ref="Q19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45936+CARLOS ADRIANO DE SOUZA DO NASCIMENTO - 6222+GOIANIA (GO) X SAO LUIS (MA)</v>
      </c>
      <c r="R198" s="67">
        <f>_xlfn.XLOOKUP(autocompJanta[[#This Row],[COMP ESCALA]],tabE.Flux[COMP. ESCALA MOT B],tabE.Flux[CARRO],
(_xlfn.XLOOKUP(autocompJanta[[#This Row],[COMP ESCALA]],tabE.Flux[COMP. ESCALA MOT A],tabE.Flux[CARRO],"N/E",0,1)),0,1)</f>
        <v>24001</v>
      </c>
      <c r="S198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198" s="127">
        <v>45936</v>
      </c>
      <c r="U198" s="4">
        <f>IF(IFERROR(autocompJanta[[#This Row],[CORRESP. CARRO]],"")="NÃO",(IF(tabJanta[[#This Row],[MOTORISTA]]=0,"","PASSE?")),autocompJanta[[#This Row],[CORRESP. CARRO]])</f>
        <v>24001</v>
      </c>
      <c r="V198" s="128">
        <f>IF(OR(ISERR(autocompJanta[[#This Row],[CORRESP HORARIO]]), autocompJanta[[#This Row],[CORRESP HORARIO]]&lt;&gt;"NÃO"),autocompJanta[[#This Row],[CORRESP HORARIO]],"")</f>
        <v>0.29166666666666669</v>
      </c>
      <c r="W198" s="4" t="s">
        <v>299</v>
      </c>
      <c r="X198" s="4" t="s">
        <v>110</v>
      </c>
      <c r="Y198" s="4">
        <f>IF(tabJanta[[#This Row],[MOTORISTA]]="","",COUNTIF(autocompJanta[COMP ESCALA ATUAL],autocompJanta[[#This Row],[COMP ESCALA ATUAL]]))</f>
        <v>1</v>
      </c>
      <c r="Z198" s="45">
        <f>IF(tabJanta[[#This Row],[MOTORISTA]]&lt;&gt;0,15,"")</f>
        <v>15</v>
      </c>
      <c r="AA198" s="4" t="str">
        <f>autocompJanta[[#This Row],[CORRESP LINHA]]</f>
        <v>GOIANIA (GO) X SAO LUIS (MA)</v>
      </c>
    </row>
    <row r="199" spans="3:27" ht="15" customHeight="1" x14ac:dyDescent="0.25">
      <c r="C199" s="129" t="s">
        <v>226</v>
      </c>
      <c r="D199" s="56" t="str">
        <f>IF(tabJanta[[#This Row],[MOTORISTA]]="","",_xlfn.CONCAT(tabJanta[[#This Row],[DATA]],"+",tabJanta[[#This Row],[MOTORISTA]]))</f>
        <v>45936+JOSE CLAUDIMAR  CUNHA - 5652</v>
      </c>
      <c r="E199" s="56" t="str">
        <f>_xlfn.XLOOKUP(autocompJanta[[#This Row],[COMP ESCALA ATUAL]],tabE.Flux[COMP.AT. MOT A],tabE.Flux[LINHA],"NÃO",0,1)</f>
        <v>NÃO</v>
      </c>
      <c r="F199" s="56" t="str">
        <f>_xlfn.XLOOKUP(autocompJanta[[#This Row],[COMP ESCALA ATUAL]],tabE.Flux[COMP.AT. MOT B],tabE.Flux[LINHA],"NÃO",0,1)</f>
        <v>FORTALEZA (CE) X SINOP (MT)</v>
      </c>
      <c r="G199" s="61" t="str">
        <f>IF(AND(autocompJanta[[#This Row],[EXISTE MOT A AT]]="NÃO", autocompJanta[[#This Row],[EXISTE MOT B AT]]="NÃO"),"NÃO","SIM")</f>
        <v>SIM</v>
      </c>
      <c r="H199" s="57" t="str">
        <f>IF(autocompJanta[[#This Row],[EXISTE ESCALA ATUAL]]="NÃO",_xlfn.CONCAT(tabJanta[[#This Row],[DATA]]-1,"+",tabJanta[[#This Row],[MOTORISTA]]),"NÃO")</f>
        <v>NÃO</v>
      </c>
      <c r="I199" s="57" t="str">
        <f>IF(autocompJanta[[#This Row],[COMP ESCALA ANTERIOR]]="NÃO","NÃO",_xlfn.XLOOKUP(autocompJanta[[#This Row],[COMP ESCALA ANTERIOR]],tabE.Flux[COMP.AT. MOT A],tabE.Flux[LINHA],"NÃO",0,1))</f>
        <v>NÃO</v>
      </c>
      <c r="J199" s="58" t="str">
        <f>IF(autocompJanta[[#This Row],[COMP ESCALA ANTERIOR]]="NÃO","NÃO",_xlfn.XLOOKUP(autocompJanta[[#This Row],[COMP ESCALA ANTERIOR]],tabE.Flux[COMP.AT. MOT B],tabE.Flux[LINHA],"NÃO",0,1))</f>
        <v>NÃO</v>
      </c>
      <c r="K199" s="62" t="str">
        <f>IF(AND(autocompJanta[[#This Row],[EXISTE MOT A ANT]]="NÃO",autocompJanta[[#This Row],[EXISTE MOT B ANT]]="NÃO"),"NÃO","SIM")</f>
        <v>NÃO</v>
      </c>
      <c r="L199" s="59" t="str">
        <f>_xlfn.CONCAT(T233+1,"+",X233)</f>
        <v>45943+KAYLSON KLEYTON DA SILVA COSTA - 6224</v>
      </c>
      <c r="M199" s="59" t="str">
        <f>IF(autocompJanta[[#This Row],[COMP ESCALA POSTERIOR]]="NÃO","NÃO",_xlfn.XLOOKUP(autocompJanta[[#This Row],[COMP ESCALA POSTERIOR]],tabE.Flux[COMP.AT. MOT A],tabE.Flux[LINHA],"NÃO",0,1))</f>
        <v>NÃO</v>
      </c>
      <c r="N199" s="59" t="str">
        <f>IF(autocompJanta[[#This Row],[COMP ESCALA POSTERIOR]]="NÃO","NÃO",_xlfn.XLOOKUP(autocompJanta[[#This Row],[COMP ESCALA POSTERIOR]],tabE.Flux[COMP.AT. MOT B],tabE.Flux[LINHA],"NÃO",0,1))</f>
        <v>NÃO</v>
      </c>
      <c r="O199" s="65" t="str">
        <f>IF(AND(autocompJanta[[#This Row],[EXISTE MOT A POS]]="NÃO",autocompJanta[[#This Row],[EXISTE MOT B POS]]="NÃO"),"NÃO","SIM")</f>
        <v>NÃO</v>
      </c>
      <c r="P199" s="66" t="str" cm="1">
        <f t="array" ref="P19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199" s="103" t="str" cm="1">
        <f t="array" ref="Q19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45936+JOSE CLAUDIMAR  CUNHA - 5652+FORTALEZA (CE) X SINOP (MT)</v>
      </c>
      <c r="R199" s="67">
        <f>_xlfn.XLOOKUP(autocompJanta[[#This Row],[COMP ESCALA]],tabE.Flux[COMP. ESCALA MOT B],tabE.Flux[CARRO],
(_xlfn.XLOOKUP(autocompJanta[[#This Row],[COMP ESCALA]],tabE.Flux[COMP. ESCALA MOT A],tabE.Flux[CARRO],"N/E",0,1)),0,1)</f>
        <v>19006</v>
      </c>
      <c r="S199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199" s="127">
        <v>45936</v>
      </c>
      <c r="U199" s="4">
        <f>IF(IFERROR(autocompJanta[[#This Row],[CORRESP. CARRO]],"")="NÃO",(IF(tabJanta[[#This Row],[MOTORISTA]]=0,"","PASSE?")),autocompJanta[[#This Row],[CORRESP. CARRO]])</f>
        <v>19006</v>
      </c>
      <c r="V199" s="126">
        <f>IF(OR(ISERR(autocompJanta[[#This Row],[CORRESP HORARIO]]), autocompJanta[[#This Row],[CORRESP HORARIO]]&lt;&gt;"NÃO"),autocompJanta[[#This Row],[CORRESP HORARIO]],"")</f>
        <v>0.37708333333333333</v>
      </c>
      <c r="W199" s="1" t="s">
        <v>299</v>
      </c>
      <c r="X199" s="1" t="s">
        <v>140</v>
      </c>
      <c r="Y199" s="1">
        <f>IF(tabJanta[[#This Row],[MOTORISTA]]="","",COUNTIF(autocompJanta[COMP ESCALA ATUAL],autocompJanta[[#This Row],[COMP ESCALA ATUAL]]))</f>
        <v>1</v>
      </c>
      <c r="Z199" s="105">
        <f>IF(tabJanta[[#This Row],[MOTORISTA]]&lt;&gt;0,15,"")</f>
        <v>15</v>
      </c>
      <c r="AA199" s="4" t="str">
        <f>autocompJanta[[#This Row],[CORRESP LINHA]]</f>
        <v>FORTALEZA (CE) X SINOP (MT)</v>
      </c>
    </row>
    <row r="200" spans="3:27" ht="15" customHeight="1" x14ac:dyDescent="0.25">
      <c r="C200" s="129" t="s">
        <v>226</v>
      </c>
      <c r="D200" s="56" t="str">
        <f>IF(tabJanta[[#This Row],[MOTORISTA]]="","",_xlfn.CONCAT(tabJanta[[#This Row],[DATA]],"+",tabJanta[[#This Row],[MOTORISTA]]))</f>
        <v>45936+LAUCEANDO DA SILVA ROCHA - 6220</v>
      </c>
      <c r="E200" s="56" t="str">
        <f>_xlfn.XLOOKUP(autocompJanta[[#This Row],[COMP ESCALA ATUAL]],tabE.Flux[COMP.AT. MOT A],tabE.Flux[LINHA],"NÃO",0,1)</f>
        <v>NÃO</v>
      </c>
      <c r="F200" s="56" t="str">
        <f>_xlfn.XLOOKUP(autocompJanta[[#This Row],[COMP ESCALA ATUAL]],tabE.Flux[COMP.AT. MOT B],tabE.Flux[LINHA],"NÃO",0,1)</f>
        <v>GOIANIA (GO) X SAO LUIS (MA)</v>
      </c>
      <c r="G200" s="61" t="str">
        <f>IF(AND(autocompJanta[[#This Row],[EXISTE MOT A AT]]="NÃO", autocompJanta[[#This Row],[EXISTE MOT B AT]]="NÃO"),"NÃO","SIM")</f>
        <v>SIM</v>
      </c>
      <c r="H200" s="57" t="str">
        <f>IF(autocompJanta[[#This Row],[EXISTE ESCALA ATUAL]]="NÃO",_xlfn.CONCAT(tabJanta[[#This Row],[DATA]]-1,"+",tabJanta[[#This Row],[MOTORISTA]]),"NÃO")</f>
        <v>NÃO</v>
      </c>
      <c r="I200" s="57" t="str">
        <f>IF(autocompJanta[[#This Row],[COMP ESCALA ANTERIOR]]="NÃO","NÃO",_xlfn.XLOOKUP(autocompJanta[[#This Row],[COMP ESCALA ANTERIOR]],tabE.Flux[COMP.AT. MOT A],tabE.Flux[LINHA],"NÃO",0,1))</f>
        <v>NÃO</v>
      </c>
      <c r="J200" s="58" t="str">
        <f>IF(autocompJanta[[#This Row],[COMP ESCALA ANTERIOR]]="NÃO","NÃO",_xlfn.XLOOKUP(autocompJanta[[#This Row],[COMP ESCALA ANTERIOR]],tabE.Flux[COMP.AT. MOT B],tabE.Flux[LINHA],"NÃO",0,1))</f>
        <v>NÃO</v>
      </c>
      <c r="K200" s="62" t="str">
        <f>IF(AND(autocompJanta[[#This Row],[EXISTE MOT A ANT]]="NÃO",autocompJanta[[#This Row],[EXISTE MOT B ANT]]="NÃO"),"NÃO","SIM")</f>
        <v>NÃO</v>
      </c>
      <c r="L200" s="59" t="str">
        <f>_xlfn.CONCAT(T239+1,"+",X239)</f>
        <v>45944+LAUCEANDO DA SILVA ROCHA - 6220</v>
      </c>
      <c r="M200" s="59" t="str">
        <f>IF(autocompJanta[[#This Row],[COMP ESCALA POSTERIOR]]="NÃO","NÃO",_xlfn.XLOOKUP(autocompJanta[[#This Row],[COMP ESCALA POSTERIOR]],tabE.Flux[COMP.AT. MOT A],tabE.Flux[LINHA],"NÃO",0,1))</f>
        <v>NÃO</v>
      </c>
      <c r="N200" s="59" t="str">
        <f>IF(autocompJanta[[#This Row],[COMP ESCALA POSTERIOR]]="NÃO","NÃO",_xlfn.XLOOKUP(autocompJanta[[#This Row],[COMP ESCALA POSTERIOR]],tabE.Flux[COMP.AT. MOT B],tabE.Flux[LINHA],"NÃO",0,1))</f>
        <v>NÃO</v>
      </c>
      <c r="O200" s="65" t="str">
        <f>IF(AND(autocompJanta[[#This Row],[EXISTE MOT A POS]]="NÃO",autocompJanta[[#This Row],[EXISTE MOT B POS]]="NÃO"),"NÃO","SIM")</f>
        <v>NÃO</v>
      </c>
      <c r="P200" s="66" t="str" cm="1">
        <f t="array" ref="P20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00" s="103" t="str" cm="1">
        <f t="array" ref="Q20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45936+LAUCEANDO DA SILVA ROCHA - 6220+GOIANIA (GO) X SAO LUIS (MA)</v>
      </c>
      <c r="R200" s="67">
        <f>_xlfn.XLOOKUP(autocompJanta[[#This Row],[COMP ESCALA]],tabE.Flux[COMP. ESCALA MOT B],tabE.Flux[CARRO],
(_xlfn.XLOOKUP(autocompJanta[[#This Row],[COMP ESCALA]],tabE.Flux[COMP. ESCALA MOT A],tabE.Flux[CARRO],"N/E",0,1)),0,1)</f>
        <v>19001</v>
      </c>
      <c r="S200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200" s="127">
        <v>45936</v>
      </c>
      <c r="U200" s="131">
        <f>IF(IFERROR(autocompJanta[[#This Row],[CORRESP. CARRO]],"")="NÃO",(IF(tabJanta[[#This Row],[MOTORISTA]]=0,"","PASSE?")),autocompJanta[[#This Row],[CORRESP. CARRO]])</f>
        <v>19001</v>
      </c>
      <c r="V200" s="126">
        <f>IF(OR(ISERR(autocompJanta[[#This Row],[CORRESP HORARIO]]), autocompJanta[[#This Row],[CORRESP HORARIO]]&lt;&gt;"NÃO"),autocompJanta[[#This Row],[CORRESP HORARIO]],"")</f>
        <v>0.47013888888888888</v>
      </c>
      <c r="W200" s="1" t="s">
        <v>299</v>
      </c>
      <c r="X200" s="1" t="s">
        <v>86</v>
      </c>
      <c r="Y200" s="1">
        <f>IF(tabJanta[[#This Row],[MOTORISTA]]="","",COUNTIF(autocompJanta[COMP ESCALA ATUAL],autocompJanta[[#This Row],[COMP ESCALA ATUAL]]))</f>
        <v>1</v>
      </c>
      <c r="Z200" s="105">
        <f>IF(tabJanta[[#This Row],[MOTORISTA]]&lt;&gt;0,15,"")</f>
        <v>15</v>
      </c>
      <c r="AA200" s="131" t="str">
        <f>autocompJanta[[#This Row],[CORRESP LINHA]]</f>
        <v>GOIANIA (GO) X SAO LUIS (MA)</v>
      </c>
    </row>
    <row r="201" spans="3:27" ht="15" customHeight="1" x14ac:dyDescent="0.25">
      <c r="C201" s="129" t="s">
        <v>226</v>
      </c>
      <c r="D201" s="56" t="str">
        <f>IF(tabJanta[[#This Row],[MOTORISTA]]="","",_xlfn.CONCAT(tabJanta[[#This Row],[DATA]],"+",tabJanta[[#This Row],[MOTORISTA]]))</f>
        <v>45936+JOSE CARLOS BEZERRA DA SILVA - 3034</v>
      </c>
      <c r="E201" s="56" t="str">
        <f>_xlfn.XLOOKUP(autocompJanta[[#This Row],[COMP ESCALA ATUAL]],tabE.Flux[COMP.AT. MOT A],tabE.Flux[LINHA],"NÃO",0,1)</f>
        <v>NÃO</v>
      </c>
      <c r="F201" s="56" t="str">
        <f>_xlfn.XLOOKUP(autocompJanta[[#This Row],[COMP ESCALA ATUAL]],tabE.Flux[COMP.AT. MOT B],tabE.Flux[LINHA],"NÃO",0,1)</f>
        <v>GOIANIA (GO) X SAO LUIS (MA)</v>
      </c>
      <c r="G201" s="61" t="str">
        <f>IF(AND(autocompJanta[[#This Row],[EXISTE MOT A AT]]="NÃO", autocompJanta[[#This Row],[EXISTE MOT B AT]]="NÃO"),"NÃO","SIM")</f>
        <v>SIM</v>
      </c>
      <c r="H201" s="57" t="str">
        <f>IF(autocompJanta[[#This Row],[EXISTE ESCALA ATUAL]]="NÃO",_xlfn.CONCAT(tabJanta[[#This Row],[DATA]]-1,"+",tabJanta[[#This Row],[MOTORISTA]]),"NÃO")</f>
        <v>NÃO</v>
      </c>
      <c r="I201" s="57" t="str">
        <f>IF(autocompJanta[[#This Row],[COMP ESCALA ANTERIOR]]="NÃO","NÃO",_xlfn.XLOOKUP(autocompJanta[[#This Row],[COMP ESCALA ANTERIOR]],tabE.Flux[COMP.AT. MOT A],tabE.Flux[LINHA],"NÃO",0,1))</f>
        <v>NÃO</v>
      </c>
      <c r="J201" s="58" t="str">
        <f>IF(autocompJanta[[#This Row],[COMP ESCALA ANTERIOR]]="NÃO","NÃO",_xlfn.XLOOKUP(autocompJanta[[#This Row],[COMP ESCALA ANTERIOR]],tabE.Flux[COMP.AT. MOT B],tabE.Flux[LINHA],"NÃO",0,1))</f>
        <v>NÃO</v>
      </c>
      <c r="K201" s="62" t="str">
        <f>IF(AND(autocompJanta[[#This Row],[EXISTE MOT A ANT]]="NÃO",autocompJanta[[#This Row],[EXISTE MOT B ANT]]="NÃO"),"NÃO","SIM")</f>
        <v>NÃO</v>
      </c>
      <c r="L201" s="59" t="str">
        <f>_xlfn.CONCAT(T244+1,"+",X244)</f>
        <v>45945+  FRANCISCO PESSOA DE CARVALHO- 5276</v>
      </c>
      <c r="M201" s="59" t="str">
        <f>IF(autocompJanta[[#This Row],[COMP ESCALA POSTERIOR]]="NÃO","NÃO",_xlfn.XLOOKUP(autocompJanta[[#This Row],[COMP ESCALA POSTERIOR]],tabE.Flux[COMP.AT. MOT A],tabE.Flux[LINHA],"NÃO",0,1))</f>
        <v>NÃO</v>
      </c>
      <c r="N201" s="59" t="str">
        <f>IF(autocompJanta[[#This Row],[COMP ESCALA POSTERIOR]]="NÃO","NÃO",_xlfn.XLOOKUP(autocompJanta[[#This Row],[COMP ESCALA POSTERIOR]],tabE.Flux[COMP.AT. MOT B],tabE.Flux[LINHA],"NÃO",0,1))</f>
        <v>NÃO</v>
      </c>
      <c r="O201" s="65" t="str">
        <f>IF(AND(autocompJanta[[#This Row],[EXISTE MOT A POS]]="NÃO",autocompJanta[[#This Row],[EXISTE MOT B POS]]="NÃO"),"NÃO","SIM")</f>
        <v>NÃO</v>
      </c>
      <c r="P201" s="66" t="str" cm="1">
        <f t="array" ref="P20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01" s="103" t="str" cm="1">
        <f t="array" ref="Q20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45936+JOSE CARLOS BEZERRA DA SILVA - 3034+GOIANIA (GO) X SAO LUIS (MA)</v>
      </c>
      <c r="R201" s="67">
        <f>_xlfn.XLOOKUP(autocompJanta[[#This Row],[COMP ESCALA]],tabE.Flux[COMP. ESCALA MOT B],tabE.Flux[CARRO],
(_xlfn.XLOOKUP(autocompJanta[[#This Row],[COMP ESCALA]],tabE.Flux[COMP. ESCALA MOT A],tabE.Flux[CARRO],"N/E",0,1)),0,1)</f>
        <v>25007</v>
      </c>
      <c r="S201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201" s="127">
        <v>45936</v>
      </c>
      <c r="U201" s="131">
        <f>IF(IFERROR(autocompJanta[[#This Row],[CORRESP. CARRO]],"")="NÃO",(IF(tabJanta[[#This Row],[MOTORISTA]]=0,"","PASSE?")),autocompJanta[[#This Row],[CORRESP. CARRO]])</f>
        <v>25007</v>
      </c>
      <c r="V201" s="126">
        <f>IF(OR(ISERR(autocompJanta[[#This Row],[CORRESP HORARIO]]), autocompJanta[[#This Row],[CORRESP HORARIO]]&lt;&gt;"NÃO"),autocompJanta[[#This Row],[CORRESP HORARIO]],"")</f>
        <v>0.79166666666666663</v>
      </c>
      <c r="W201" s="1" t="s">
        <v>299</v>
      </c>
      <c r="X201" s="1" t="s">
        <v>76</v>
      </c>
      <c r="Y201" s="1">
        <f>IF(tabJanta[[#This Row],[MOTORISTA]]="","",COUNTIF(autocompJanta[COMP ESCALA ATUAL],autocompJanta[[#This Row],[COMP ESCALA ATUAL]]))</f>
        <v>1</v>
      </c>
      <c r="Z201" s="105">
        <f>IF(tabJanta[[#This Row],[MOTORISTA]]&lt;&gt;0,15,"")</f>
        <v>15</v>
      </c>
      <c r="AA201" s="131" t="str">
        <f>autocompJanta[[#This Row],[CORRESP LINHA]]</f>
        <v>GOIANIA (GO) X SAO LUIS (MA)</v>
      </c>
    </row>
    <row r="202" spans="3:27" ht="15" customHeight="1" x14ac:dyDescent="0.25">
      <c r="C202" s="129" t="s">
        <v>226</v>
      </c>
      <c r="D202" s="56" t="str">
        <f>IF(tabJanta[[#This Row],[MOTORISTA]]="","",_xlfn.CONCAT(tabJanta[[#This Row],[DATA]],"+",tabJanta[[#This Row],[MOTORISTA]]))</f>
        <v>45936+MARCOS ANTONIO ALVES DE SOUSA - 5278</v>
      </c>
      <c r="E202" s="56" t="str">
        <f>_xlfn.XLOOKUP(autocompJanta[[#This Row],[COMP ESCALA ATUAL]],tabE.Flux[COMP.AT. MOT A],tabE.Flux[LINHA],"NÃO",0,1)</f>
        <v>NÃO</v>
      </c>
      <c r="F202" s="56" t="str">
        <f>_xlfn.XLOOKUP(autocompJanta[[#This Row],[COMP ESCALA ATUAL]],tabE.Flux[COMP.AT. MOT B],tabE.Flux[LINHA],"NÃO",0,1)</f>
        <v>NÃO</v>
      </c>
      <c r="G202" s="61" t="str">
        <f>IF(AND(autocompJanta[[#This Row],[EXISTE MOT A AT]]="NÃO", autocompJanta[[#This Row],[EXISTE MOT B AT]]="NÃO"),"NÃO","SIM")</f>
        <v>NÃO</v>
      </c>
      <c r="H202" s="57" t="str">
        <f>IF(autocompJanta[[#This Row],[EXISTE ESCALA ATUAL]]="NÃO",_xlfn.CONCAT(tabJanta[[#This Row],[DATA]]-1,"+",tabJanta[[#This Row],[MOTORISTA]]),"NÃO")</f>
        <v>45935+MARCOS ANTONIO ALVES DE SOUSA - 5278</v>
      </c>
      <c r="I202" s="57" t="str">
        <f>IF(autocompJanta[[#This Row],[COMP ESCALA ANTERIOR]]="NÃO","NÃO",_xlfn.XLOOKUP(autocompJanta[[#This Row],[COMP ESCALA ANTERIOR]],tabE.Flux[COMP.AT. MOT A],tabE.Flux[LINHA],"NÃO",0,1))</f>
        <v>NÃO</v>
      </c>
      <c r="J202" s="58" t="str">
        <f>IF(autocompJanta[[#This Row],[COMP ESCALA ANTERIOR]]="NÃO","NÃO",_xlfn.XLOOKUP(autocompJanta[[#This Row],[COMP ESCALA ANTERIOR]],tabE.Flux[COMP.AT. MOT B],tabE.Flux[LINHA],"NÃO",0,1))</f>
        <v>NÃO</v>
      </c>
      <c r="K202" s="62" t="str">
        <f>IF(AND(autocompJanta[[#This Row],[EXISTE MOT A ANT]]="NÃO",autocompJanta[[#This Row],[EXISTE MOT B ANT]]="NÃO"),"NÃO","SIM")</f>
        <v>NÃO</v>
      </c>
      <c r="L202" s="59" t="str">
        <f>_xlfn.CONCAT(T248+1,"+",X248)</f>
        <v>1+</v>
      </c>
      <c r="M202" s="59" t="str">
        <f>IF(autocompJanta[[#This Row],[COMP ESCALA POSTERIOR]]="NÃO","NÃO",_xlfn.XLOOKUP(autocompJanta[[#This Row],[COMP ESCALA POSTERIOR]],tabE.Flux[COMP.AT. MOT A],tabE.Flux[LINHA],"NÃO",0,1))</f>
        <v>NÃO</v>
      </c>
      <c r="N202" s="59" t="str">
        <f>IF(autocompJanta[[#This Row],[COMP ESCALA POSTERIOR]]="NÃO","NÃO",_xlfn.XLOOKUP(autocompJanta[[#This Row],[COMP ESCALA POSTERIOR]],tabE.Flux[COMP.AT. MOT B],tabE.Flux[LINHA],"NÃO",0,1))</f>
        <v>NÃO</v>
      </c>
      <c r="O202" s="65" t="str">
        <f>IF(AND(autocompJanta[[#This Row],[EXISTE MOT A POS]]="NÃO",autocompJanta[[#This Row],[EXISTE MOT B POS]]="NÃO"),"NÃO","SIM")</f>
        <v>NÃO</v>
      </c>
      <c r="P202" s="66" t="str" cm="1">
        <f t="array" ref="P20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02" s="103" t="str" cm="1">
        <f t="array" ref="Q20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02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02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02" s="127">
        <v>45936</v>
      </c>
      <c r="U202" s="131">
        <v>19008</v>
      </c>
      <c r="V202" s="126" t="s">
        <v>1234</v>
      </c>
      <c r="W202" s="1" t="s">
        <v>299</v>
      </c>
      <c r="X202" s="1" t="s">
        <v>210</v>
      </c>
      <c r="Y202" s="1">
        <f>IF(tabJanta[[#This Row],[MOTORISTA]]="","",COUNTIF(autocompJanta[COMP ESCALA ATUAL],autocompJanta[[#This Row],[COMP ESCALA ATUAL]]))</f>
        <v>1</v>
      </c>
      <c r="Z202" s="105">
        <f>IF(tabJanta[[#This Row],[MOTORISTA]]&lt;&gt;0,15,"")</f>
        <v>15</v>
      </c>
      <c r="AA202" s="131" t="s">
        <v>1234</v>
      </c>
    </row>
    <row r="203" spans="3:27" ht="15" customHeight="1" x14ac:dyDescent="0.25">
      <c r="C203" s="129" t="s">
        <v>226</v>
      </c>
      <c r="D203" s="56" t="str">
        <f>IF(tabJanta[[#This Row],[MOTORISTA]]="","",_xlfn.CONCAT(tabJanta[[#This Row],[DATA]],"+",tabJanta[[#This Row],[MOTORISTA]]))</f>
        <v>45936+DANIEL PEREIRA DA ROCHA - 5298</v>
      </c>
      <c r="E203" s="56" t="str">
        <f>_xlfn.XLOOKUP(autocompJanta[[#This Row],[COMP ESCALA ATUAL]],tabE.Flux[COMP.AT. MOT A],tabE.Flux[LINHA],"NÃO",0,1)</f>
        <v>NÃO</v>
      </c>
      <c r="F203" s="56" t="str">
        <f>_xlfn.XLOOKUP(autocompJanta[[#This Row],[COMP ESCALA ATUAL]],tabE.Flux[COMP.AT. MOT B],tabE.Flux[LINHA],"NÃO",0,1)</f>
        <v>GOIANIA (GO) X TERESINA (PI) VIA STI</v>
      </c>
      <c r="G203" s="61" t="str">
        <f>IF(AND(autocompJanta[[#This Row],[EXISTE MOT A AT]]="NÃO", autocompJanta[[#This Row],[EXISTE MOT B AT]]="NÃO"),"NÃO","SIM")</f>
        <v>SIM</v>
      </c>
      <c r="H203" s="57" t="str">
        <f>IF(autocompJanta[[#This Row],[EXISTE ESCALA ATUAL]]="NÃO",_xlfn.CONCAT(tabJanta[[#This Row],[DATA]]-1,"+",tabJanta[[#This Row],[MOTORISTA]]),"NÃO")</f>
        <v>NÃO</v>
      </c>
      <c r="I203" s="57" t="str">
        <f>IF(autocompJanta[[#This Row],[COMP ESCALA ANTERIOR]]="NÃO","NÃO",_xlfn.XLOOKUP(autocompJanta[[#This Row],[COMP ESCALA ANTERIOR]],tabE.Flux[COMP.AT. MOT A],tabE.Flux[LINHA],"NÃO",0,1))</f>
        <v>NÃO</v>
      </c>
      <c r="J203" s="58" t="str">
        <f>IF(autocompJanta[[#This Row],[COMP ESCALA ANTERIOR]]="NÃO","NÃO",_xlfn.XLOOKUP(autocompJanta[[#This Row],[COMP ESCALA ANTERIOR]],tabE.Flux[COMP.AT. MOT B],tabE.Flux[LINHA],"NÃO",0,1))</f>
        <v>NÃO</v>
      </c>
      <c r="K203" s="62" t="str">
        <f>IF(AND(autocompJanta[[#This Row],[EXISTE MOT A ANT]]="NÃO",autocompJanta[[#This Row],[EXISTE MOT B ANT]]="NÃO"),"NÃO","SIM")</f>
        <v>NÃO</v>
      </c>
      <c r="L203" s="59" t="str">
        <f>_xlfn.CONCAT(T254+1,"+",X254)</f>
        <v>1+</v>
      </c>
      <c r="M203" s="59" t="str">
        <f>IF(autocompJanta[[#This Row],[COMP ESCALA POSTERIOR]]="NÃO","NÃO",_xlfn.XLOOKUP(autocompJanta[[#This Row],[COMP ESCALA POSTERIOR]],tabE.Flux[COMP.AT. MOT A],tabE.Flux[LINHA],"NÃO",0,1))</f>
        <v>NÃO</v>
      </c>
      <c r="N203" s="59" t="str">
        <f>IF(autocompJanta[[#This Row],[COMP ESCALA POSTERIOR]]="NÃO","NÃO",_xlfn.XLOOKUP(autocompJanta[[#This Row],[COMP ESCALA POSTERIOR]],tabE.Flux[COMP.AT. MOT B],tabE.Flux[LINHA],"NÃO",0,1))</f>
        <v>NÃO</v>
      </c>
      <c r="O203" s="65" t="str">
        <f>IF(AND(autocompJanta[[#This Row],[EXISTE MOT A POS]]="NÃO",autocompJanta[[#This Row],[EXISTE MOT B POS]]="NÃO"),"NÃO","SIM")</f>
        <v>NÃO</v>
      </c>
      <c r="P203" s="66" t="str" cm="1">
        <f t="array" ref="P20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03" s="103" t="str" cm="1">
        <f t="array" ref="Q20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45936+DANIEL PEREIRA DA ROCHA - 5298+GOIANIA (GO) X TERESINA (PI) VIA STI</v>
      </c>
      <c r="R203" s="67">
        <f>_xlfn.XLOOKUP(autocompJanta[[#This Row],[COMP ESCALA]],tabE.Flux[COMP. ESCALA MOT B],tabE.Flux[CARRO],
(_xlfn.XLOOKUP(autocompJanta[[#This Row],[COMP ESCALA]],tabE.Flux[COMP. ESCALA MOT A],tabE.Flux[CARRO],"N/E",0,1)),0,1)</f>
        <v>20016</v>
      </c>
      <c r="S203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03" s="127">
        <v>45936</v>
      </c>
      <c r="U203" s="131">
        <f>IF(IFERROR(autocompJanta[[#This Row],[CORRESP. CARRO]],"")="NÃO",(IF(tabJanta[[#This Row],[MOTORISTA]]=0,"","PASSE?")),autocompJanta[[#This Row],[CORRESP. CARRO]])</f>
        <v>20016</v>
      </c>
      <c r="V203" s="126">
        <f>IF(OR(ISERR(autocompJanta[[#This Row],[CORRESP HORARIO]]), autocompJanta[[#This Row],[CORRESP HORARIO]]&lt;&gt;"NÃO"),autocompJanta[[#This Row],[CORRESP HORARIO]],"")</f>
        <v>0.79861111111111116</v>
      </c>
      <c r="W203" s="1" t="s">
        <v>299</v>
      </c>
      <c r="X203" s="1" t="s">
        <v>184</v>
      </c>
      <c r="Y203" s="1">
        <f>IF(tabJanta[[#This Row],[MOTORISTA]]="","",COUNTIF(autocompJanta[COMP ESCALA ATUAL],autocompJanta[[#This Row],[COMP ESCALA ATUAL]]))</f>
        <v>1</v>
      </c>
      <c r="Z203" s="105">
        <f>IF(tabJanta[[#This Row],[MOTORISTA]]&lt;&gt;0,15,"")</f>
        <v>15</v>
      </c>
      <c r="AA203" s="131" t="str">
        <f>autocompJanta[[#This Row],[CORRESP LINHA]]</f>
        <v>GOIANIA (GO) X TERESINA (PI) VIA STI</v>
      </c>
    </row>
    <row r="204" spans="3:27" ht="15" customHeight="1" x14ac:dyDescent="0.25">
      <c r="C204" s="129" t="s">
        <v>226</v>
      </c>
      <c r="D204" s="56" t="str">
        <f>IF(tabJanta[[#This Row],[MOTORISTA]]="","",_xlfn.CONCAT(tabJanta[[#This Row],[DATA]],"+",tabJanta[[#This Row],[MOTORISTA]]))</f>
        <v>45936+IZALMIR RODRIGUES COELHO - 958</v>
      </c>
      <c r="E204" s="56" t="str">
        <f>_xlfn.XLOOKUP(autocompJanta[[#This Row],[COMP ESCALA ATUAL]],tabE.Flux[COMP.AT. MOT A],tabE.Flux[LINHA],"NÃO",0,1)</f>
        <v>NÃO</v>
      </c>
      <c r="F204" s="56" t="str">
        <f>_xlfn.XLOOKUP(autocompJanta[[#This Row],[COMP ESCALA ATUAL]],tabE.Flux[COMP.AT. MOT B],tabE.Flux[LINHA],"NÃO",0,1)</f>
        <v>NÃO</v>
      </c>
      <c r="G204" s="61" t="str">
        <f>IF(AND(autocompJanta[[#This Row],[EXISTE MOT A AT]]="NÃO", autocompJanta[[#This Row],[EXISTE MOT B AT]]="NÃO"),"NÃO","SIM")</f>
        <v>NÃO</v>
      </c>
      <c r="H204" s="57" t="str">
        <f>IF(autocompJanta[[#This Row],[EXISTE ESCALA ATUAL]]="NÃO",_xlfn.CONCAT(tabJanta[[#This Row],[DATA]]-1,"+",tabJanta[[#This Row],[MOTORISTA]]),"NÃO")</f>
        <v>45935+IZALMIR RODRIGUES COELHO - 958</v>
      </c>
      <c r="I204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204" s="58" t="str">
        <f>IF(autocompJanta[[#This Row],[COMP ESCALA ANTERIOR]]="NÃO","NÃO",_xlfn.XLOOKUP(autocompJanta[[#This Row],[COMP ESCALA ANTERIOR]],tabE.Flux[COMP.AT. MOT B],tabE.Flux[LINHA],"NÃO",0,1))</f>
        <v>NÃO</v>
      </c>
      <c r="K204" s="62" t="str">
        <f>IF(AND(autocompJanta[[#This Row],[EXISTE MOT A ANT]]="NÃO",autocompJanta[[#This Row],[EXISTE MOT B ANT]]="NÃO"),"NÃO","SIM")</f>
        <v>SIM</v>
      </c>
      <c r="L204" s="59" t="str">
        <f t="shared" ref="L204:L205" si="11">_xlfn.CONCAT(T204+1,"+",X204)</f>
        <v>45937+IZALMIR RODRIGUES COELHO - 958</v>
      </c>
      <c r="M204" s="59" t="str">
        <f>IF(autocompJanta[[#This Row],[COMP ESCALA POSTERIOR]]="NÃO","NÃO",_xlfn.XLOOKUP(autocompJanta[[#This Row],[COMP ESCALA POSTERIOR]],tabE.Flux[COMP.AT. MOT A],tabE.Flux[LINHA],"NÃO",0,1))</f>
        <v>NÃO</v>
      </c>
      <c r="N204" s="59" t="str">
        <f>IF(autocompJanta[[#This Row],[COMP ESCALA POSTERIOR]]="NÃO","NÃO",_xlfn.XLOOKUP(autocompJanta[[#This Row],[COMP ESCALA POSTERIOR]],tabE.Flux[COMP.AT. MOT B],tabE.Flux[LINHA],"NÃO",0,1))</f>
        <v>NÃO</v>
      </c>
      <c r="O204" s="65" t="str">
        <f>IF(AND(autocompJanta[[#This Row],[EXISTE MOT A POS]]="NÃO",autocompJanta[[#This Row],[EXISTE MOT B POS]]="NÃO"),"NÃO","SIM")</f>
        <v>NÃO</v>
      </c>
      <c r="P204" s="66" t="str" cm="1">
        <f t="array" ref="P20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04" s="103" t="str" cm="1">
        <f t="array" ref="Q20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45935+IZALMIR RODRIGUES COELHO - 958+GOIANIA (GO) X TERESINA (PI) VIA STI</v>
      </c>
      <c r="R204" s="67">
        <f>_xlfn.XLOOKUP(autocompJanta[[#This Row],[COMP ESCALA]],tabE.Flux[COMP. ESCALA MOT B],tabE.Flux[CARRO],
(_xlfn.XLOOKUP(autocompJanta[[#This Row],[COMP ESCALA]],tabE.Flux[COMP. ESCALA MOT A],tabE.Flux[CARRO],"N/E",0,1)),0,1)</f>
        <v>19026</v>
      </c>
      <c r="S204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04" s="127">
        <v>45936</v>
      </c>
      <c r="U204" s="4">
        <f>IF(IFERROR(autocompJanta[[#This Row],[CORRESP. CARRO]],"")="NÃO",(IF(tabJanta[[#This Row],[MOTORISTA]]=0,"","PASSE?")),autocompJanta[[#This Row],[CORRESP. CARRO]])</f>
        <v>19026</v>
      </c>
      <c r="V204" s="128">
        <f>IF(OR(ISERR(autocompJanta[[#This Row],[CORRESP HORARIO]]), autocompJanta[[#This Row],[CORRESP HORARIO]]&lt;&gt;"NÃO"),autocompJanta[[#This Row],[CORRESP HORARIO]],"")</f>
        <v>0.79861111111111116</v>
      </c>
      <c r="W204" s="4" t="s">
        <v>299</v>
      </c>
      <c r="X204" s="4" t="s">
        <v>83</v>
      </c>
      <c r="Y204" s="4">
        <f>IF(tabJanta[[#This Row],[MOTORISTA]]="","",COUNTIF(autocompJanta[COMP ESCALA ATUAL],autocompJanta[[#This Row],[COMP ESCALA ATUAL]]))</f>
        <v>1</v>
      </c>
      <c r="Z204" s="45">
        <f>IF(tabJanta[[#This Row],[MOTORISTA]]&lt;&gt;0,15,"")</f>
        <v>15</v>
      </c>
      <c r="AA204" s="4" t="str">
        <f>autocompJanta[[#This Row],[CORRESP LINHA]]</f>
        <v>GOIANIA (GO) X TERESINA (PI) VIA STI</v>
      </c>
    </row>
    <row r="205" spans="3:27" ht="15" customHeight="1" x14ac:dyDescent="0.25">
      <c r="C205" s="129" t="s">
        <v>226</v>
      </c>
      <c r="D205" s="56" t="str">
        <f>IF(tabJanta[[#This Row],[MOTORISTA]]="","",_xlfn.CONCAT(tabJanta[[#This Row],[DATA]],"+",tabJanta[[#This Row],[MOTORISTA]]))</f>
        <v>45937+EDIVALDO DE ARAUJO - 6217</v>
      </c>
      <c r="E205" s="56" t="str">
        <f>_xlfn.XLOOKUP(autocompJanta[[#This Row],[COMP ESCALA ATUAL]],tabE.Flux[COMP.AT. MOT A],tabE.Flux[LINHA],"NÃO",0,1)</f>
        <v>GOIANIA (GO) X SAO LUIS (MA)</v>
      </c>
      <c r="F205" s="56" t="str">
        <f>_xlfn.XLOOKUP(autocompJanta[[#This Row],[COMP ESCALA ATUAL]],tabE.Flux[COMP.AT. MOT B],tabE.Flux[LINHA],"NÃO",0,1)</f>
        <v>GOIANIA (GO) X SAO LUIS (MA)</v>
      </c>
      <c r="G205" s="61" t="str">
        <f>IF(AND(autocompJanta[[#This Row],[EXISTE MOT A AT]]="NÃO", autocompJanta[[#This Row],[EXISTE MOT B AT]]="NÃO"),"NÃO","SIM")</f>
        <v>SIM</v>
      </c>
      <c r="H205" s="57" t="str">
        <f>IF(autocompJanta[[#This Row],[EXISTE ESCALA ATUAL]]="NÃO",_xlfn.CONCAT(tabJanta[[#This Row],[DATA]]-1,"+",tabJanta[[#This Row],[MOTORISTA]]),"NÃO")</f>
        <v>NÃO</v>
      </c>
      <c r="I205" s="57" t="str">
        <f>IF(autocompJanta[[#This Row],[COMP ESCALA ANTERIOR]]="NÃO","NÃO",_xlfn.XLOOKUP(autocompJanta[[#This Row],[COMP ESCALA ANTERIOR]],tabE.Flux[COMP.AT. MOT A],tabE.Flux[LINHA],"NÃO",0,1))</f>
        <v>NÃO</v>
      </c>
      <c r="J205" s="58" t="str">
        <f>IF(autocompJanta[[#This Row],[COMP ESCALA ANTERIOR]]="NÃO","NÃO",_xlfn.XLOOKUP(autocompJanta[[#This Row],[COMP ESCALA ANTERIOR]],tabE.Flux[COMP.AT. MOT B],tabE.Flux[LINHA],"NÃO",0,1))</f>
        <v>NÃO</v>
      </c>
      <c r="K205" s="62" t="str">
        <f>IF(AND(autocompJanta[[#This Row],[EXISTE MOT A ANT]]="NÃO",autocompJanta[[#This Row],[EXISTE MOT B ANT]]="NÃO"),"NÃO","SIM")</f>
        <v>NÃO</v>
      </c>
      <c r="L205" s="59" t="str">
        <f t="shared" si="11"/>
        <v>45938+EDIVALDO DE ARAUJO - 6217</v>
      </c>
      <c r="M205" s="59" t="str">
        <f>IF(autocompJanta[[#This Row],[COMP ESCALA POSTERIOR]]="NÃO","NÃO",_xlfn.XLOOKUP(autocompJanta[[#This Row],[COMP ESCALA POSTERIOR]],tabE.Flux[COMP.AT. MOT A],tabE.Flux[LINHA],"NÃO",0,1))</f>
        <v>NÃO</v>
      </c>
      <c r="N205" s="59" t="str">
        <f>IF(autocompJanta[[#This Row],[COMP ESCALA POSTERIOR]]="NÃO","NÃO",_xlfn.XLOOKUP(autocompJanta[[#This Row],[COMP ESCALA POSTERIOR]],tabE.Flux[COMP.AT. MOT B],tabE.Flux[LINHA],"NÃO",0,1))</f>
        <v>NÃO</v>
      </c>
      <c r="O205" s="65" t="str">
        <f>IF(AND(autocompJanta[[#This Row],[EXISTE MOT A POS]]="NÃO",autocompJanta[[#This Row],[EXISTE MOT B POS]]="NÃO"),"NÃO","SIM")</f>
        <v>NÃO</v>
      </c>
      <c r="P205" s="66" t="str" cm="1">
        <f t="array" ref="P20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05" s="103" t="str" cm="1">
        <f t="array" ref="Q20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45937+EDIVALDO DE ARAUJO - 6217+GOIANIA (GO) X SAO LUIS (MA)</v>
      </c>
      <c r="R205" s="67">
        <f>_xlfn.XLOOKUP(autocompJanta[[#This Row],[COMP ESCALA]],tabE.Flux[COMP. ESCALA MOT B],tabE.Flux[CARRO],
(_xlfn.XLOOKUP(autocompJanta[[#This Row],[COMP ESCALA]],tabE.Flux[COMP. ESCALA MOT A],tabE.Flux[CARRO],"N/E",0,1)),0,1)</f>
        <v>24012</v>
      </c>
      <c r="S205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205" s="127">
        <v>45937</v>
      </c>
      <c r="U205" s="4">
        <f>IF(IFERROR(autocompJanta[[#This Row],[CORRESP. CARRO]],"")="NÃO",(IF(tabJanta[[#This Row],[MOTORISTA]]=0,"","PASSE?")),autocompJanta[[#This Row],[CORRESP. CARRO]])</f>
        <v>24012</v>
      </c>
      <c r="V205" s="128">
        <f>IF(OR(ISERR(autocompJanta[[#This Row],[CORRESP HORARIO]]), autocompJanta[[#This Row],[CORRESP HORARIO]]&lt;&gt;"NÃO"),autocompJanta[[#This Row],[CORRESP HORARIO]],"")</f>
        <v>0.29166666666666669</v>
      </c>
      <c r="W205" s="4" t="s">
        <v>299</v>
      </c>
      <c r="X205" s="4" t="s">
        <v>55</v>
      </c>
      <c r="Y205" s="4">
        <f>IF(tabJanta[[#This Row],[MOTORISTA]]="","",COUNTIF(autocompJanta[COMP ESCALA ATUAL],autocompJanta[[#This Row],[COMP ESCALA ATUAL]]))</f>
        <v>1</v>
      </c>
      <c r="Z205" s="45">
        <f>IF(tabJanta[[#This Row],[MOTORISTA]]&lt;&gt;0,15,"")</f>
        <v>15</v>
      </c>
      <c r="AA205" s="4" t="str">
        <f>autocompJanta[[#This Row],[CORRESP LINHA]]</f>
        <v>GOIANIA (GO) X SAO LUIS (MA)</v>
      </c>
    </row>
    <row r="206" spans="3:27" ht="15" customHeight="1" x14ac:dyDescent="0.25">
      <c r="C206" s="129" t="s">
        <v>226</v>
      </c>
      <c r="D206" s="56" t="str">
        <f>IF(tabJanta[[#This Row],[MOTORISTA]]="","",_xlfn.CONCAT(tabJanta[[#This Row],[DATA]],"+",tabJanta[[#This Row],[MOTORISTA]]))</f>
        <v>45937+  FRANCISCO CARLOS MELO- 5306</v>
      </c>
      <c r="E206" s="56" t="str">
        <f>_xlfn.XLOOKUP(autocompJanta[[#This Row],[COMP ESCALA ATUAL]],tabE.Flux[COMP.AT. MOT A],tabE.Flux[LINHA],"NÃO",0,1)</f>
        <v>NÃO</v>
      </c>
      <c r="F206" s="56" t="str">
        <f>_xlfn.XLOOKUP(autocompJanta[[#This Row],[COMP ESCALA ATUAL]],tabE.Flux[COMP.AT. MOT B],tabE.Flux[LINHA],"NÃO",0,1)</f>
        <v>NÃO</v>
      </c>
      <c r="G206" s="61" t="str">
        <f>IF(AND(autocompJanta[[#This Row],[EXISTE MOT A AT]]="NÃO", autocompJanta[[#This Row],[EXISTE MOT B AT]]="NÃO"),"NÃO","SIM")</f>
        <v>NÃO</v>
      </c>
      <c r="H206" s="57" t="str">
        <f>IF(autocompJanta[[#This Row],[EXISTE ESCALA ATUAL]]="NÃO",_xlfn.CONCAT(tabJanta[[#This Row],[DATA]]-1,"+",tabJanta[[#This Row],[MOTORISTA]]),"NÃO")</f>
        <v>45936+  FRANCISCO CARLOS MELO- 5306</v>
      </c>
      <c r="I206" s="57" t="str">
        <f>IF(autocompJanta[[#This Row],[COMP ESCALA ANTERIOR]]="NÃO","NÃO",_xlfn.XLOOKUP(autocompJanta[[#This Row],[COMP ESCALA ANTERIOR]],tabE.Flux[COMP.AT. MOT A],tabE.Flux[LINHA],"NÃO",0,1))</f>
        <v>NÃO</v>
      </c>
      <c r="J206" s="58" t="str">
        <f>IF(autocompJanta[[#This Row],[COMP ESCALA ANTERIOR]]="NÃO","NÃO",_xlfn.XLOOKUP(autocompJanta[[#This Row],[COMP ESCALA ANTERIOR]],tabE.Flux[COMP.AT. MOT B],tabE.Flux[LINHA],"NÃO",0,1))</f>
        <v>NÃO</v>
      </c>
      <c r="K206" s="62" t="str">
        <f>IF(AND(autocompJanta[[#This Row],[EXISTE MOT A ANT]]="NÃO",autocompJanta[[#This Row],[EXISTE MOT B ANT]]="NÃO"),"NÃO","SIM")</f>
        <v>NÃO</v>
      </c>
      <c r="L206" s="59" t="str">
        <f>_xlfn.CONCAT(T210+1,"+",X210)</f>
        <v>45939+JACINTO BATISTA DE SOUSA - 5271</v>
      </c>
      <c r="M206" s="59" t="str">
        <f>IF(autocompJanta[[#This Row],[COMP ESCALA POSTERIOR]]="NÃO","NÃO",_xlfn.XLOOKUP(autocompJanta[[#This Row],[COMP ESCALA POSTERIOR]],tabE.Flux[COMP.AT. MOT A],tabE.Flux[LINHA],"NÃO",0,1))</f>
        <v>NÃO</v>
      </c>
      <c r="N206" s="59" t="str">
        <f>IF(autocompJanta[[#This Row],[COMP ESCALA POSTERIOR]]="NÃO","NÃO",_xlfn.XLOOKUP(autocompJanta[[#This Row],[COMP ESCALA POSTERIOR]],tabE.Flux[COMP.AT. MOT B],tabE.Flux[LINHA],"NÃO",0,1))</f>
        <v>NÃO</v>
      </c>
      <c r="O206" s="65" t="str">
        <f>IF(AND(autocompJanta[[#This Row],[EXISTE MOT A POS]]="NÃO",autocompJanta[[#This Row],[EXISTE MOT B POS]]="NÃO"),"NÃO","SIM")</f>
        <v>NÃO</v>
      </c>
      <c r="P206" s="66" t="str" cm="1">
        <f t="array" ref="P20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06" s="103" t="str" cm="1">
        <f t="array" ref="Q20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06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06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06" s="127">
        <v>45937</v>
      </c>
      <c r="U206" s="4">
        <v>19026</v>
      </c>
      <c r="V206" s="126">
        <v>0.39583333333333331</v>
      </c>
      <c r="W206" s="1" t="s">
        <v>299</v>
      </c>
      <c r="X206" s="1" t="s">
        <v>311</v>
      </c>
      <c r="Y206" s="1">
        <f>IF(tabJanta[[#This Row],[MOTORISTA]]="","",COUNTIF(autocompJanta[COMP ESCALA ATUAL],autocompJanta[[#This Row],[COMP ESCALA ATUAL]]))</f>
        <v>1</v>
      </c>
      <c r="Z206" s="105">
        <f>IF(tabJanta[[#This Row],[MOTORISTA]]&lt;&gt;0,15,"")</f>
        <v>15</v>
      </c>
      <c r="AA206" s="4" t="s">
        <v>1235</v>
      </c>
    </row>
    <row r="207" spans="3:27" ht="15" customHeight="1" x14ac:dyDescent="0.25">
      <c r="C207" s="129" t="s">
        <v>226</v>
      </c>
      <c r="D207" s="56" t="str">
        <f>IF(tabJanta[[#This Row],[MOTORISTA]]="","",_xlfn.CONCAT(tabJanta[[#This Row],[DATA]],"+",tabJanta[[#This Row],[MOTORISTA]]))</f>
        <v>45937+  ANTONIO LEONESIO CAMPELO DA SILVA- 5303</v>
      </c>
      <c r="E207" s="56" t="str">
        <f>_xlfn.XLOOKUP(autocompJanta[[#This Row],[COMP ESCALA ATUAL]],tabE.Flux[COMP.AT. MOT A],tabE.Flux[LINHA],"NÃO",0,1)</f>
        <v>NÃO</v>
      </c>
      <c r="F207" s="56" t="str">
        <f>_xlfn.XLOOKUP(autocompJanta[[#This Row],[COMP ESCALA ATUAL]],tabE.Flux[COMP.AT. MOT B],tabE.Flux[LINHA],"NÃO",0,1)</f>
        <v>NÃO</v>
      </c>
      <c r="G207" s="61" t="str">
        <f>IF(AND(autocompJanta[[#This Row],[EXISTE MOT A AT]]="NÃO", autocompJanta[[#This Row],[EXISTE MOT B AT]]="NÃO"),"NÃO","SIM")</f>
        <v>NÃO</v>
      </c>
      <c r="H207" s="57" t="str">
        <f>IF(autocompJanta[[#This Row],[EXISTE ESCALA ATUAL]]="NÃO",_xlfn.CONCAT(tabJanta[[#This Row],[DATA]]-1,"+",tabJanta[[#This Row],[MOTORISTA]]),"NÃO")</f>
        <v>45936+  ANTONIO LEONESIO CAMPELO DA SILVA- 5303</v>
      </c>
      <c r="I207" s="57" t="str">
        <f>IF(autocompJanta[[#This Row],[COMP ESCALA ANTERIOR]]="NÃO","NÃO",_xlfn.XLOOKUP(autocompJanta[[#This Row],[COMP ESCALA ANTERIOR]],tabE.Flux[COMP.AT. MOT A],tabE.Flux[LINHA],"NÃO",0,1))</f>
        <v>NÃO</v>
      </c>
      <c r="J207" s="58" t="str">
        <f>IF(autocompJanta[[#This Row],[COMP ESCALA ANTERIOR]]="NÃO","NÃO",_xlfn.XLOOKUP(autocompJanta[[#This Row],[COMP ESCALA ANTERIOR]],tabE.Flux[COMP.AT. MOT B],tabE.Flux[LINHA],"NÃO",0,1))</f>
        <v>NÃO</v>
      </c>
      <c r="K207" s="62" t="str">
        <f>IF(AND(autocompJanta[[#This Row],[EXISTE MOT A ANT]]="NÃO",autocompJanta[[#This Row],[EXISTE MOT B ANT]]="NÃO"),"NÃO","SIM")</f>
        <v>NÃO</v>
      </c>
      <c r="L207" s="59" t="str">
        <f>_xlfn.CONCAT(T216+1,"+",X216)</f>
        <v>45940+RAIMUNDO COSTA SILVA - 6226</v>
      </c>
      <c r="M207" s="59" t="str">
        <f>IF(autocompJanta[[#This Row],[COMP ESCALA POSTERIOR]]="NÃO","NÃO",_xlfn.XLOOKUP(autocompJanta[[#This Row],[COMP ESCALA POSTERIOR]],tabE.Flux[COMP.AT. MOT A],tabE.Flux[LINHA],"NÃO",0,1))</f>
        <v>NÃO</v>
      </c>
      <c r="N207" s="59" t="str">
        <f>IF(autocompJanta[[#This Row],[COMP ESCALA POSTERIOR]]="NÃO","NÃO",_xlfn.XLOOKUP(autocompJanta[[#This Row],[COMP ESCALA POSTERIOR]],tabE.Flux[COMP.AT. MOT B],tabE.Flux[LINHA],"NÃO",0,1))</f>
        <v>NÃO</v>
      </c>
      <c r="O207" s="65" t="str">
        <f>IF(AND(autocompJanta[[#This Row],[EXISTE MOT A POS]]="NÃO",autocompJanta[[#This Row],[EXISTE MOT B POS]]="NÃO"),"NÃO","SIM")</f>
        <v>NÃO</v>
      </c>
      <c r="P207" s="66" t="str" cm="1">
        <f t="array" ref="P20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07" s="103" t="str" cm="1">
        <f t="array" ref="Q20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07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07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07" s="127">
        <v>45937</v>
      </c>
      <c r="U207" s="131">
        <v>19006</v>
      </c>
      <c r="V207" s="126">
        <v>0.37708333333333333</v>
      </c>
      <c r="W207" s="1" t="s">
        <v>299</v>
      </c>
      <c r="X207" s="1" t="s">
        <v>313</v>
      </c>
      <c r="Y207" s="1">
        <f>IF(tabJanta[[#This Row],[MOTORISTA]]="","",COUNTIF(autocompJanta[COMP ESCALA ATUAL],autocompJanta[[#This Row],[COMP ESCALA ATUAL]]))</f>
        <v>1</v>
      </c>
      <c r="Z207" s="105">
        <f>IF(tabJanta[[#This Row],[MOTORISTA]]&lt;&gt;0,15,"")</f>
        <v>15</v>
      </c>
      <c r="AA207" s="131" t="s">
        <v>32</v>
      </c>
    </row>
    <row r="208" spans="3:27" ht="15" customHeight="1" x14ac:dyDescent="0.25">
      <c r="C208" s="129" t="s">
        <v>226</v>
      </c>
      <c r="D208" s="56" t="str">
        <f>IF(tabJanta[[#This Row],[MOTORISTA]]="","",_xlfn.CONCAT(tabJanta[[#This Row],[DATA]],"+",tabJanta[[#This Row],[MOTORISTA]]))</f>
        <v>45937+BRUNO MATOS DA ROCHA - 6013</v>
      </c>
      <c r="E208" s="56" t="str">
        <f>_xlfn.XLOOKUP(autocompJanta[[#This Row],[COMP ESCALA ATUAL]],tabE.Flux[COMP.AT. MOT A],tabE.Flux[LINHA],"NÃO",0,1)</f>
        <v>NÃO</v>
      </c>
      <c r="F208" s="56" t="str">
        <f>_xlfn.XLOOKUP(autocompJanta[[#This Row],[COMP ESCALA ATUAL]],tabE.Flux[COMP.AT. MOT B],tabE.Flux[LINHA],"NÃO",0,1)</f>
        <v>GOIANIA (GO) X SAO LUIS (MA)</v>
      </c>
      <c r="G208" s="61" t="str">
        <f>IF(AND(autocompJanta[[#This Row],[EXISTE MOT A AT]]="NÃO", autocompJanta[[#This Row],[EXISTE MOT B AT]]="NÃO"),"NÃO","SIM")</f>
        <v>SIM</v>
      </c>
      <c r="H208" s="57" t="str">
        <f>IF(autocompJanta[[#This Row],[EXISTE ESCALA ATUAL]]="NÃO",_xlfn.CONCAT(tabJanta[[#This Row],[DATA]]-1,"+",tabJanta[[#This Row],[MOTORISTA]]),"NÃO")</f>
        <v>NÃO</v>
      </c>
      <c r="I208" s="57" t="str">
        <f>IF(autocompJanta[[#This Row],[COMP ESCALA ANTERIOR]]="NÃO","NÃO",_xlfn.XLOOKUP(autocompJanta[[#This Row],[COMP ESCALA ANTERIOR]],tabE.Flux[COMP.AT. MOT A],tabE.Flux[LINHA],"NÃO",0,1))</f>
        <v>NÃO</v>
      </c>
      <c r="J208" s="58" t="str">
        <f>IF(autocompJanta[[#This Row],[COMP ESCALA ANTERIOR]]="NÃO","NÃO",_xlfn.XLOOKUP(autocompJanta[[#This Row],[COMP ESCALA ANTERIOR]],tabE.Flux[COMP.AT. MOT B],tabE.Flux[LINHA],"NÃO",0,1))</f>
        <v>NÃO</v>
      </c>
      <c r="K208" s="62" t="str">
        <f>IF(AND(autocompJanta[[#This Row],[EXISTE MOT A ANT]]="NÃO",autocompJanta[[#This Row],[EXISTE MOT B ANT]]="NÃO"),"NÃO","SIM")</f>
        <v>NÃO</v>
      </c>
      <c r="L208" s="59" t="str">
        <f>_xlfn.CONCAT(T223+1,"+",X223)</f>
        <v>45941+KAYLSON KLEYTON DA SILVA COSTA - 6224</v>
      </c>
      <c r="M208" s="59" t="str">
        <f>IF(autocompJanta[[#This Row],[COMP ESCALA POSTERIOR]]="NÃO","NÃO",_xlfn.XLOOKUP(autocompJanta[[#This Row],[COMP ESCALA POSTERIOR]],tabE.Flux[COMP.AT. MOT A],tabE.Flux[LINHA],"NÃO",0,1))</f>
        <v>NÃO</v>
      </c>
      <c r="N208" s="59" t="str">
        <f>IF(autocompJanta[[#This Row],[COMP ESCALA POSTERIOR]]="NÃO","NÃO",_xlfn.XLOOKUP(autocompJanta[[#This Row],[COMP ESCALA POSTERIOR]],tabE.Flux[COMP.AT. MOT B],tabE.Flux[LINHA],"NÃO",0,1))</f>
        <v>NÃO</v>
      </c>
      <c r="O208" s="65" t="str">
        <f>IF(AND(autocompJanta[[#This Row],[EXISTE MOT A POS]]="NÃO",autocompJanta[[#This Row],[EXISTE MOT B POS]]="NÃO"),"NÃO","SIM")</f>
        <v>NÃO</v>
      </c>
      <c r="P208" s="66" t="str" cm="1">
        <f t="array" ref="P20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08" s="103" t="str" cm="1">
        <f t="array" ref="Q20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45937+BRUNO MATOS DA ROCHA - 6013+GOIANIA (GO) X SAO LUIS (MA)</v>
      </c>
      <c r="R208" s="67">
        <f>_xlfn.XLOOKUP(autocompJanta[[#This Row],[COMP ESCALA]],tabE.Flux[COMP. ESCALA MOT B],tabE.Flux[CARRO],
(_xlfn.XLOOKUP(autocompJanta[[#This Row],[COMP ESCALA]],tabE.Flux[COMP. ESCALA MOT A],tabE.Flux[CARRO],"N/E",0,1)),0,1)</f>
        <v>24001</v>
      </c>
      <c r="S208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208" s="127">
        <v>45937</v>
      </c>
      <c r="U208" s="131">
        <f>IF(IFERROR(autocompJanta[[#This Row],[CORRESP. CARRO]],"")="NÃO",(IF(tabJanta[[#This Row],[MOTORISTA]]=0,"","PASSE?")),autocompJanta[[#This Row],[CORRESP. CARRO]])</f>
        <v>24001</v>
      </c>
      <c r="V208" s="126">
        <f>IF(OR(ISERR(autocompJanta[[#This Row],[CORRESP HORARIO]]), autocompJanta[[#This Row],[CORRESP HORARIO]]&lt;&gt;"NÃO"),autocompJanta[[#This Row],[CORRESP HORARIO]],"")</f>
        <v>0.79166666666666663</v>
      </c>
      <c r="W208" s="1" t="s">
        <v>299</v>
      </c>
      <c r="X208" s="1" t="s">
        <v>147</v>
      </c>
      <c r="Y208" s="1">
        <f>IF(tabJanta[[#This Row],[MOTORISTA]]="","",COUNTIF(autocompJanta[COMP ESCALA ATUAL],autocompJanta[[#This Row],[COMP ESCALA ATUAL]]))</f>
        <v>1</v>
      </c>
      <c r="Z208" s="105">
        <f>IF(tabJanta[[#This Row],[MOTORISTA]]&lt;&gt;0,15,"")</f>
        <v>15</v>
      </c>
      <c r="AA208" s="131" t="str">
        <f>autocompJanta[[#This Row],[CORRESP LINHA]]</f>
        <v>GOIANIA (GO) X SAO LUIS (MA)</v>
      </c>
    </row>
    <row r="209" spans="3:27" ht="15" customHeight="1" x14ac:dyDescent="0.25">
      <c r="C209" s="129" t="s">
        <v>226</v>
      </c>
      <c r="D209" s="56" t="str">
        <f>IF(tabJanta[[#This Row],[MOTORISTA]]="","",_xlfn.CONCAT(tabJanta[[#This Row],[DATA]],"+",tabJanta[[#This Row],[MOTORISTA]]))</f>
        <v>45937+FRANCISCO LINDONALDO DE SOUSA - 2971</v>
      </c>
      <c r="E209" s="56" t="str">
        <f>_xlfn.XLOOKUP(autocompJanta[[#This Row],[COMP ESCALA ATUAL]],tabE.Flux[COMP.AT. MOT A],tabE.Flux[LINHA],"NÃO",0,1)</f>
        <v>NÃO</v>
      </c>
      <c r="F209" s="56" t="str">
        <f>_xlfn.XLOOKUP(autocompJanta[[#This Row],[COMP ESCALA ATUAL]],tabE.Flux[COMP.AT. MOT B],tabE.Flux[LINHA],"NÃO",0,1)</f>
        <v>NÃO</v>
      </c>
      <c r="G209" s="61" t="str">
        <f>IF(AND(autocompJanta[[#This Row],[EXISTE MOT A AT]]="NÃO", autocompJanta[[#This Row],[EXISTE MOT B AT]]="NÃO"),"NÃO","SIM")</f>
        <v>NÃO</v>
      </c>
      <c r="H209" s="57" t="str">
        <f>IF(autocompJanta[[#This Row],[EXISTE ESCALA ATUAL]]="NÃO",_xlfn.CONCAT(tabJanta[[#This Row],[DATA]]-1,"+",tabJanta[[#This Row],[MOTORISTA]]),"NÃO")</f>
        <v>45936+FRANCISCO LINDONALDO DE SOUSA - 2971</v>
      </c>
      <c r="I209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209" s="58" t="str">
        <f>IF(autocompJanta[[#This Row],[COMP ESCALA ANTERIOR]]="NÃO","NÃO",_xlfn.XLOOKUP(autocompJanta[[#This Row],[COMP ESCALA ANTERIOR]],tabE.Flux[COMP.AT. MOT B],tabE.Flux[LINHA],"NÃO",0,1))</f>
        <v>NÃO</v>
      </c>
      <c r="K209" s="62" t="str">
        <f>IF(AND(autocompJanta[[#This Row],[EXISTE MOT A ANT]]="NÃO",autocompJanta[[#This Row],[EXISTE MOT B ANT]]="NÃO"),"NÃO","SIM")</f>
        <v>SIM</v>
      </c>
      <c r="L209" s="59" t="str">
        <f>_xlfn.CONCAT(T230+1,"+",X230)</f>
        <v>45942+EDUARDO SANTOS BEZERRA - 4066</v>
      </c>
      <c r="M209" s="59" t="str">
        <f>IF(autocompJanta[[#This Row],[COMP ESCALA POSTERIOR]]="NÃO","NÃO",_xlfn.XLOOKUP(autocompJanta[[#This Row],[COMP ESCALA POSTERIOR]],tabE.Flux[COMP.AT. MOT A],tabE.Flux[LINHA],"NÃO",0,1))</f>
        <v>NÃO</v>
      </c>
      <c r="N209" s="59" t="str">
        <f>IF(autocompJanta[[#This Row],[COMP ESCALA POSTERIOR]]="NÃO","NÃO",_xlfn.XLOOKUP(autocompJanta[[#This Row],[COMP ESCALA POSTERIOR]],tabE.Flux[COMP.AT. MOT B],tabE.Flux[LINHA],"NÃO",0,1))</f>
        <v>NÃO</v>
      </c>
      <c r="O209" s="65" t="str">
        <f>IF(AND(autocompJanta[[#This Row],[EXISTE MOT A POS]]="NÃO",autocompJanta[[#This Row],[EXISTE MOT B POS]]="NÃO"),"NÃO","SIM")</f>
        <v>NÃO</v>
      </c>
      <c r="P209" s="66" t="str" cm="1">
        <f t="array" ref="P20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09" s="103" t="str" cm="1">
        <f t="array" ref="Q20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45936+FRANCISCO LINDONALDO DE SOUSA - 2971+GOIANIA (GO) X TERESINA (PI) VIA STI</v>
      </c>
      <c r="R209" s="67">
        <f>_xlfn.XLOOKUP(autocompJanta[[#This Row],[COMP ESCALA]],tabE.Flux[COMP. ESCALA MOT B],tabE.Flux[CARRO],
(_xlfn.XLOOKUP(autocompJanta[[#This Row],[COMP ESCALA]],tabE.Flux[COMP. ESCALA MOT A],tabE.Flux[CARRO],"N/E",0,1)),0,1)</f>
        <v>20016</v>
      </c>
      <c r="S209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09" s="127">
        <v>45937</v>
      </c>
      <c r="U209" s="131">
        <f>IF(IFERROR(autocompJanta[[#This Row],[CORRESP. CARRO]],"")="NÃO",(IF(tabJanta[[#This Row],[MOTORISTA]]=0,"","PASSE?")),autocompJanta[[#This Row],[CORRESP. CARRO]])</f>
        <v>20016</v>
      </c>
      <c r="V209" s="126">
        <f>IF(OR(ISERR(autocompJanta[[#This Row],[CORRESP HORARIO]]), autocompJanta[[#This Row],[CORRESP HORARIO]]&lt;&gt;"NÃO"),autocompJanta[[#This Row],[CORRESP HORARIO]],"")</f>
        <v>0.79861111111111116</v>
      </c>
      <c r="W209" s="1" t="s">
        <v>299</v>
      </c>
      <c r="X209" s="1" t="s">
        <v>131</v>
      </c>
      <c r="Y209" s="1">
        <f>IF(tabJanta[[#This Row],[MOTORISTA]]="","",COUNTIF(autocompJanta[COMP ESCALA ATUAL],autocompJanta[[#This Row],[COMP ESCALA ATUAL]]))</f>
        <v>1</v>
      </c>
      <c r="Z209" s="105">
        <f>IF(tabJanta[[#This Row],[MOTORISTA]]&lt;&gt;0,15,"")</f>
        <v>15</v>
      </c>
      <c r="AA209" s="131" t="str">
        <f>autocompJanta[[#This Row],[CORRESP LINHA]]</f>
        <v>GOIANIA (GO) X TERESINA (PI) VIA STI</v>
      </c>
    </row>
    <row r="210" spans="3:27" ht="15" customHeight="1" x14ac:dyDescent="0.25">
      <c r="C210" s="129" t="s">
        <v>226</v>
      </c>
      <c r="D210" s="56" t="str">
        <f>IF(tabJanta[[#This Row],[MOTORISTA]]="","",_xlfn.CONCAT(tabJanta[[#This Row],[DATA]],"+",tabJanta[[#This Row],[MOTORISTA]]))</f>
        <v>45938+JACINTO BATISTA DE SOUSA - 5271</v>
      </c>
      <c r="E210" s="56" t="str">
        <f>_xlfn.XLOOKUP(autocompJanta[[#This Row],[COMP ESCALA ATUAL]],tabE.Flux[COMP.AT. MOT A],tabE.Flux[LINHA],"NÃO",0,1)</f>
        <v>NÃO</v>
      </c>
      <c r="F210" s="56" t="str">
        <f>_xlfn.XLOOKUP(autocompJanta[[#This Row],[COMP ESCALA ATUAL]],tabE.Flux[COMP.AT. MOT B],tabE.Flux[LINHA],"NÃO",0,1)</f>
        <v>NÃO</v>
      </c>
      <c r="G210" s="61" t="str">
        <f>IF(AND(autocompJanta[[#This Row],[EXISTE MOT A AT]]="NÃO", autocompJanta[[#This Row],[EXISTE MOT B AT]]="NÃO"),"NÃO","SIM")</f>
        <v>NÃO</v>
      </c>
      <c r="H210" s="57" t="str">
        <f>IF(autocompJanta[[#This Row],[EXISTE ESCALA ATUAL]]="NÃO",_xlfn.CONCAT(tabJanta[[#This Row],[DATA]]-1,"+",tabJanta[[#This Row],[MOTORISTA]]),"NÃO")</f>
        <v>45937+JACINTO BATISTA DE SOUSA - 5271</v>
      </c>
      <c r="I210" s="57" t="str">
        <f>IF(autocompJanta[[#This Row],[COMP ESCALA ANTERIOR]]="NÃO","NÃO",_xlfn.XLOOKUP(autocompJanta[[#This Row],[COMP ESCALA ANTERIOR]],tabE.Flux[COMP.AT. MOT A],tabE.Flux[LINHA],"NÃO",0,1))</f>
        <v>NÃO</v>
      </c>
      <c r="J210" s="58" t="str">
        <f>IF(autocompJanta[[#This Row],[COMP ESCALA ANTERIOR]]="NÃO","NÃO",_xlfn.XLOOKUP(autocompJanta[[#This Row],[COMP ESCALA ANTERIOR]],tabE.Flux[COMP.AT. MOT B],tabE.Flux[LINHA],"NÃO",0,1))</f>
        <v>NÃO</v>
      </c>
      <c r="K210" s="62" t="str">
        <f>IF(AND(autocompJanta[[#This Row],[EXISTE MOT A ANT]]="NÃO",autocompJanta[[#This Row],[EXISTE MOT B ANT]]="NÃO"),"NÃO","SIM")</f>
        <v>NÃO</v>
      </c>
      <c r="L210" s="59" t="str">
        <f>_xlfn.CONCAT(T233+1,"+",X233)</f>
        <v>45943+KAYLSON KLEYTON DA SILVA COSTA - 6224</v>
      </c>
      <c r="M210" s="59" t="str">
        <f>IF(autocompJanta[[#This Row],[COMP ESCALA POSTERIOR]]="NÃO","NÃO",_xlfn.XLOOKUP(autocompJanta[[#This Row],[COMP ESCALA POSTERIOR]],tabE.Flux[COMP.AT. MOT A],tabE.Flux[LINHA],"NÃO",0,1))</f>
        <v>NÃO</v>
      </c>
      <c r="N210" s="59" t="str">
        <f>IF(autocompJanta[[#This Row],[COMP ESCALA POSTERIOR]]="NÃO","NÃO",_xlfn.XLOOKUP(autocompJanta[[#This Row],[COMP ESCALA POSTERIOR]],tabE.Flux[COMP.AT. MOT B],tabE.Flux[LINHA],"NÃO",0,1))</f>
        <v>NÃO</v>
      </c>
      <c r="O210" s="65" t="str">
        <f>IF(AND(autocompJanta[[#This Row],[EXISTE MOT A POS]]="NÃO",autocompJanta[[#This Row],[EXISTE MOT B POS]]="NÃO"),"NÃO","SIM")</f>
        <v>NÃO</v>
      </c>
      <c r="P210" s="66" t="str" cm="1">
        <f t="array" ref="P21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10" s="103" t="str" cm="1">
        <f t="array" ref="Q21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10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10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10" s="127">
        <v>45938</v>
      </c>
      <c r="U210" s="4">
        <v>20013</v>
      </c>
      <c r="V210" s="128">
        <v>0.37708333333333333</v>
      </c>
      <c r="W210" s="4" t="s">
        <v>299</v>
      </c>
      <c r="X210" s="4" t="s">
        <v>104</v>
      </c>
      <c r="Y210" s="4">
        <f>IF(tabJanta[[#This Row],[MOTORISTA]]="","",COUNTIF(autocompJanta[COMP ESCALA ATUAL],autocompJanta[[#This Row],[COMP ESCALA ATUAL]]))</f>
        <v>1</v>
      </c>
      <c r="Z210" s="45">
        <f>IF(tabJanta[[#This Row],[MOTORISTA]]&lt;&gt;0,15,"")</f>
        <v>15</v>
      </c>
      <c r="AA210" s="4" t="s">
        <v>32</v>
      </c>
    </row>
    <row r="211" spans="3:27" ht="15" customHeight="1" x14ac:dyDescent="0.25">
      <c r="C211" s="129" t="s">
        <v>226</v>
      </c>
      <c r="D211" s="56" t="str">
        <f>IF(tabJanta[[#This Row],[MOTORISTA]]="","",_xlfn.CONCAT(tabJanta[[#This Row],[DATA]],"+",tabJanta[[#This Row],[MOTORISTA]]))</f>
        <v>45938+MARCIO DE SOUSA BRASILEIRO - 5828</v>
      </c>
      <c r="E211" s="56" t="str">
        <f>_xlfn.XLOOKUP(autocompJanta[[#This Row],[COMP ESCALA ATUAL]],tabE.Flux[COMP.AT. MOT A],tabE.Flux[LINHA],"NÃO",0,1)</f>
        <v>NÃO</v>
      </c>
      <c r="F211" s="56" t="str">
        <f>_xlfn.XLOOKUP(autocompJanta[[#This Row],[COMP ESCALA ATUAL]],tabE.Flux[COMP.AT. MOT B],tabE.Flux[LINHA],"NÃO",0,1)</f>
        <v>NÃO</v>
      </c>
      <c r="G211" s="61" t="str">
        <f>IF(AND(autocompJanta[[#This Row],[EXISTE MOT A AT]]="NÃO", autocompJanta[[#This Row],[EXISTE MOT B AT]]="NÃO"),"NÃO","SIM")</f>
        <v>NÃO</v>
      </c>
      <c r="H211" s="57" t="str">
        <f>IF(autocompJanta[[#This Row],[EXISTE ESCALA ATUAL]]="NÃO",_xlfn.CONCAT(tabJanta[[#This Row],[DATA]]-1,"+",tabJanta[[#This Row],[MOTORISTA]]),"NÃO")</f>
        <v>45937+MARCIO DE SOUSA BRASILEIRO - 5828</v>
      </c>
      <c r="I211" s="57" t="str">
        <f>IF(autocompJanta[[#This Row],[COMP ESCALA ANTERIOR]]="NÃO","NÃO",_xlfn.XLOOKUP(autocompJanta[[#This Row],[COMP ESCALA ANTERIOR]],tabE.Flux[COMP.AT. MOT A],tabE.Flux[LINHA],"NÃO",0,1))</f>
        <v>NÃO</v>
      </c>
      <c r="J211" s="58" t="str">
        <f>IF(autocompJanta[[#This Row],[COMP ESCALA ANTERIOR]]="NÃO","NÃO",_xlfn.XLOOKUP(autocompJanta[[#This Row],[COMP ESCALA ANTERIOR]],tabE.Flux[COMP.AT. MOT B],tabE.Flux[LINHA],"NÃO",0,1))</f>
        <v>NÃO</v>
      </c>
      <c r="K211" s="62" t="str">
        <f>IF(AND(autocompJanta[[#This Row],[EXISTE MOT A ANT]]="NÃO",autocompJanta[[#This Row],[EXISTE MOT B ANT]]="NÃO"),"NÃO","SIM")</f>
        <v>NÃO</v>
      </c>
      <c r="L211" s="59" t="str">
        <f>_xlfn.CONCAT(T239+1,"+",X239)</f>
        <v>45944+LAUCEANDO DA SILVA ROCHA - 6220</v>
      </c>
      <c r="M211" s="59" t="str">
        <f>IF(autocompJanta[[#This Row],[COMP ESCALA POSTERIOR]]="NÃO","NÃO",_xlfn.XLOOKUP(autocompJanta[[#This Row],[COMP ESCALA POSTERIOR]],tabE.Flux[COMP.AT. MOT A],tabE.Flux[LINHA],"NÃO",0,1))</f>
        <v>NÃO</v>
      </c>
      <c r="N211" s="59" t="str">
        <f>IF(autocompJanta[[#This Row],[COMP ESCALA POSTERIOR]]="NÃO","NÃO",_xlfn.XLOOKUP(autocompJanta[[#This Row],[COMP ESCALA POSTERIOR]],tabE.Flux[COMP.AT. MOT B],tabE.Flux[LINHA],"NÃO",0,1))</f>
        <v>NÃO</v>
      </c>
      <c r="O211" s="65" t="str">
        <f>IF(AND(autocompJanta[[#This Row],[EXISTE MOT A POS]]="NÃO",autocompJanta[[#This Row],[EXISTE MOT B POS]]="NÃO"),"NÃO","SIM")</f>
        <v>NÃO</v>
      </c>
      <c r="P211" s="66" t="str" cm="1">
        <f t="array" ref="P21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11" s="103" t="str" cm="1">
        <f t="array" ref="Q21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11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11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11" s="127">
        <v>45938</v>
      </c>
      <c r="U211" s="4">
        <v>19005</v>
      </c>
      <c r="V211" s="126">
        <v>0.37708333333333333</v>
      </c>
      <c r="W211" s="1" t="s">
        <v>299</v>
      </c>
      <c r="X211" s="1" t="s">
        <v>129</v>
      </c>
      <c r="Y211" s="1">
        <f>IF(tabJanta[[#This Row],[MOTORISTA]]="","",COUNTIF(autocompJanta[COMP ESCALA ATUAL],autocompJanta[[#This Row],[COMP ESCALA ATUAL]]))</f>
        <v>1</v>
      </c>
      <c r="Z211" s="105">
        <f>IF(tabJanta[[#This Row],[MOTORISTA]]&lt;&gt;0,15,"")</f>
        <v>15</v>
      </c>
      <c r="AA211" s="4" t="s">
        <v>32</v>
      </c>
    </row>
    <row r="212" spans="3:27" ht="15" customHeight="1" x14ac:dyDescent="0.25">
      <c r="C212" s="129" t="s">
        <v>226</v>
      </c>
      <c r="D212" s="56" t="str">
        <f>IF(tabJanta[[#This Row],[MOTORISTA]]="","",_xlfn.CONCAT(tabJanta[[#This Row],[DATA]],"+",tabJanta[[#This Row],[MOTORISTA]]))</f>
        <v>45938+PAULO ENEAS FARIAS ARAUJO - 6218</v>
      </c>
      <c r="E212" s="56" t="str">
        <f>_xlfn.XLOOKUP(autocompJanta[[#This Row],[COMP ESCALA ATUAL]],tabE.Flux[COMP.AT. MOT A],tabE.Flux[LINHA],"NÃO",0,1)</f>
        <v>NÃO</v>
      </c>
      <c r="F212" s="56" t="str">
        <f>_xlfn.XLOOKUP(autocompJanta[[#This Row],[COMP ESCALA ATUAL]],tabE.Flux[COMP.AT. MOT B],tabE.Flux[LINHA],"NÃO",0,1)</f>
        <v>GOIANIA (GO) X SAO LUIS (MA)</v>
      </c>
      <c r="G212" s="61" t="str">
        <f>IF(AND(autocompJanta[[#This Row],[EXISTE MOT A AT]]="NÃO", autocompJanta[[#This Row],[EXISTE MOT B AT]]="NÃO"),"NÃO","SIM")</f>
        <v>SIM</v>
      </c>
      <c r="H212" s="57" t="str">
        <f>IF(autocompJanta[[#This Row],[EXISTE ESCALA ATUAL]]="NÃO",_xlfn.CONCAT(tabJanta[[#This Row],[DATA]]-1,"+",tabJanta[[#This Row],[MOTORISTA]]),"NÃO")</f>
        <v>NÃO</v>
      </c>
      <c r="I212" s="57" t="str">
        <f>IF(autocompJanta[[#This Row],[COMP ESCALA ANTERIOR]]="NÃO","NÃO",_xlfn.XLOOKUP(autocompJanta[[#This Row],[COMP ESCALA ANTERIOR]],tabE.Flux[COMP.AT. MOT A],tabE.Flux[LINHA],"NÃO",0,1))</f>
        <v>NÃO</v>
      </c>
      <c r="J212" s="58" t="str">
        <f>IF(autocompJanta[[#This Row],[COMP ESCALA ANTERIOR]]="NÃO","NÃO",_xlfn.XLOOKUP(autocompJanta[[#This Row],[COMP ESCALA ANTERIOR]],tabE.Flux[COMP.AT. MOT B],tabE.Flux[LINHA],"NÃO",0,1))</f>
        <v>NÃO</v>
      </c>
      <c r="K212" s="62" t="str">
        <f>IF(AND(autocompJanta[[#This Row],[EXISTE MOT A ANT]]="NÃO",autocompJanta[[#This Row],[EXISTE MOT B ANT]]="NÃO"),"NÃO","SIM")</f>
        <v>NÃO</v>
      </c>
      <c r="L212" s="59" t="str">
        <f>_xlfn.CONCAT(T244+1,"+",X244)</f>
        <v>45945+  FRANCISCO PESSOA DE CARVALHO- 5276</v>
      </c>
      <c r="M212" s="59" t="str">
        <f>IF(autocompJanta[[#This Row],[COMP ESCALA POSTERIOR]]="NÃO","NÃO",_xlfn.XLOOKUP(autocompJanta[[#This Row],[COMP ESCALA POSTERIOR]],tabE.Flux[COMP.AT. MOT A],tabE.Flux[LINHA],"NÃO",0,1))</f>
        <v>NÃO</v>
      </c>
      <c r="N212" s="59" t="str">
        <f>IF(autocompJanta[[#This Row],[COMP ESCALA POSTERIOR]]="NÃO","NÃO",_xlfn.XLOOKUP(autocompJanta[[#This Row],[COMP ESCALA POSTERIOR]],tabE.Flux[COMP.AT. MOT B],tabE.Flux[LINHA],"NÃO",0,1))</f>
        <v>NÃO</v>
      </c>
      <c r="O212" s="65" t="str">
        <f>IF(AND(autocompJanta[[#This Row],[EXISTE MOT A POS]]="NÃO",autocompJanta[[#This Row],[EXISTE MOT B POS]]="NÃO"),"NÃO","SIM")</f>
        <v>NÃO</v>
      </c>
      <c r="P212" s="66" t="str" cm="1">
        <f t="array" ref="P21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12" s="103" t="str" cm="1">
        <f t="array" ref="Q21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45938+PAULO ENEAS FARIAS ARAUJO - 6218+GOIANIA (GO) X SAO LUIS (MA)</v>
      </c>
      <c r="R212" s="67">
        <f>_xlfn.XLOOKUP(autocompJanta[[#This Row],[COMP ESCALA]],tabE.Flux[COMP. ESCALA MOT B],tabE.Flux[CARRO],
(_xlfn.XLOOKUP(autocompJanta[[#This Row],[COMP ESCALA]],tabE.Flux[COMP. ESCALA MOT A],tabE.Flux[CARRO],"N/E",0,1)),0,1)</f>
        <v>20018</v>
      </c>
      <c r="S212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212" s="127">
        <v>45938</v>
      </c>
      <c r="U212" s="131">
        <f>IF(IFERROR(autocompJanta[[#This Row],[CORRESP. CARRO]],"")="NÃO",(IF(tabJanta[[#This Row],[MOTORISTA]]=0,"","PASSE?")),autocompJanta[[#This Row],[CORRESP. CARRO]])</f>
        <v>20018</v>
      </c>
      <c r="V212" s="126">
        <f>IF(OR(ISERR(autocompJanta[[#This Row],[CORRESP HORARIO]]), autocompJanta[[#This Row],[CORRESP HORARIO]]&lt;&gt;"NÃO"),autocompJanta[[#This Row],[CORRESP HORARIO]],"")</f>
        <v>0.47013888888888888</v>
      </c>
      <c r="W212" s="1" t="s">
        <v>299</v>
      </c>
      <c r="X212" s="1" t="s">
        <v>43</v>
      </c>
      <c r="Y212" s="1">
        <f>IF(tabJanta[[#This Row],[MOTORISTA]]="","",COUNTIF(autocompJanta[COMP ESCALA ATUAL],autocompJanta[[#This Row],[COMP ESCALA ATUAL]]))</f>
        <v>1</v>
      </c>
      <c r="Z212" s="105">
        <f>IF(tabJanta[[#This Row],[MOTORISTA]]&lt;&gt;0,15,"")</f>
        <v>15</v>
      </c>
      <c r="AA212" s="131" t="str">
        <f>autocompJanta[[#This Row],[CORRESP LINHA]]</f>
        <v>GOIANIA (GO) X SAO LUIS (MA)</v>
      </c>
    </row>
    <row r="213" spans="3:27" ht="15" customHeight="1" x14ac:dyDescent="0.25">
      <c r="C213" s="129" t="s">
        <v>226</v>
      </c>
      <c r="D213" s="56" t="str">
        <f>IF(tabJanta[[#This Row],[MOTORISTA]]="","",_xlfn.CONCAT(tabJanta[[#This Row],[DATA]],"+",tabJanta[[#This Row],[MOTORISTA]]))</f>
        <v>45938+ALTEMAR DO NASCIMENTO LIMA - 6225</v>
      </c>
      <c r="E213" s="56" t="str">
        <f>_xlfn.XLOOKUP(autocompJanta[[#This Row],[COMP ESCALA ATUAL]],tabE.Flux[COMP.AT. MOT A],tabE.Flux[LINHA],"NÃO",0,1)</f>
        <v>GOIANIA (GO) X SAO LUIS (MA)</v>
      </c>
      <c r="F213" s="56" t="str">
        <f>_xlfn.XLOOKUP(autocompJanta[[#This Row],[COMP ESCALA ATUAL]],tabE.Flux[COMP.AT. MOT B],tabE.Flux[LINHA],"NÃO",0,1)</f>
        <v>GOIANIA (GO) X SAO LUIS (MA)</v>
      </c>
      <c r="G213" s="61" t="str">
        <f>IF(AND(autocompJanta[[#This Row],[EXISTE MOT A AT]]="NÃO", autocompJanta[[#This Row],[EXISTE MOT B AT]]="NÃO"),"NÃO","SIM")</f>
        <v>SIM</v>
      </c>
      <c r="H213" s="57" t="str">
        <f>IF(autocompJanta[[#This Row],[EXISTE ESCALA ATUAL]]="NÃO",_xlfn.CONCAT(tabJanta[[#This Row],[DATA]]-1,"+",tabJanta[[#This Row],[MOTORISTA]]),"NÃO")</f>
        <v>NÃO</v>
      </c>
      <c r="I213" s="57" t="str">
        <f>IF(autocompJanta[[#This Row],[COMP ESCALA ANTERIOR]]="NÃO","NÃO",_xlfn.XLOOKUP(autocompJanta[[#This Row],[COMP ESCALA ANTERIOR]],tabE.Flux[COMP.AT. MOT A],tabE.Flux[LINHA],"NÃO",0,1))</f>
        <v>NÃO</v>
      </c>
      <c r="J213" s="58" t="str">
        <f>IF(autocompJanta[[#This Row],[COMP ESCALA ANTERIOR]]="NÃO","NÃO",_xlfn.XLOOKUP(autocompJanta[[#This Row],[COMP ESCALA ANTERIOR]],tabE.Flux[COMP.AT. MOT B],tabE.Flux[LINHA],"NÃO",0,1))</f>
        <v>NÃO</v>
      </c>
      <c r="K213" s="62" t="str">
        <f>IF(AND(autocompJanta[[#This Row],[EXISTE MOT A ANT]]="NÃO",autocompJanta[[#This Row],[EXISTE MOT B ANT]]="NÃO"),"NÃO","SIM")</f>
        <v>NÃO</v>
      </c>
      <c r="L213" s="59" t="str">
        <f>_xlfn.CONCAT(T248+1,"+",X248)</f>
        <v>1+</v>
      </c>
      <c r="M213" s="59" t="str">
        <f>IF(autocompJanta[[#This Row],[COMP ESCALA POSTERIOR]]="NÃO","NÃO",_xlfn.XLOOKUP(autocompJanta[[#This Row],[COMP ESCALA POSTERIOR]],tabE.Flux[COMP.AT. MOT A],tabE.Flux[LINHA],"NÃO",0,1))</f>
        <v>NÃO</v>
      </c>
      <c r="N213" s="59" t="str">
        <f>IF(autocompJanta[[#This Row],[COMP ESCALA POSTERIOR]]="NÃO","NÃO",_xlfn.XLOOKUP(autocompJanta[[#This Row],[COMP ESCALA POSTERIOR]],tabE.Flux[COMP.AT. MOT B],tabE.Flux[LINHA],"NÃO",0,1))</f>
        <v>NÃO</v>
      </c>
      <c r="O213" s="65" t="str">
        <f>IF(AND(autocompJanta[[#This Row],[EXISTE MOT A POS]]="NÃO",autocompJanta[[#This Row],[EXISTE MOT B POS]]="NÃO"),"NÃO","SIM")</f>
        <v>NÃO</v>
      </c>
      <c r="P213" s="66" t="str" cm="1">
        <f t="array" ref="P21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13" s="103" t="str" cm="1">
        <f t="array" ref="Q21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45938+ALTEMAR DO NASCIMENTO LIMA - 6225+GOIANIA (GO) X SAO LUIS (MA)</v>
      </c>
      <c r="R213" s="67">
        <f>_xlfn.XLOOKUP(autocompJanta[[#This Row],[COMP ESCALA]],tabE.Flux[COMP. ESCALA MOT B],tabE.Flux[CARRO],
(_xlfn.XLOOKUP(autocompJanta[[#This Row],[COMP ESCALA]],tabE.Flux[COMP. ESCALA MOT A],tabE.Flux[CARRO],"N/E",0,1)),0,1)</f>
        <v>24002</v>
      </c>
      <c r="S213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213" s="127">
        <v>45938</v>
      </c>
      <c r="U213" s="131">
        <f>IF(IFERROR(autocompJanta[[#This Row],[CORRESP. CARRO]],"")="NÃO",(IF(tabJanta[[#This Row],[MOTORISTA]]=0,"","PASSE?")),autocompJanta[[#This Row],[CORRESP. CARRO]])</f>
        <v>24002</v>
      </c>
      <c r="V213" s="126">
        <f>IF(OR(ISERR(autocompJanta[[#This Row],[CORRESP HORARIO]]), autocompJanta[[#This Row],[CORRESP HORARIO]]&lt;&gt;"NÃO"),autocompJanta[[#This Row],[CORRESP HORARIO]],"")</f>
        <v>0.29166666666666669</v>
      </c>
      <c r="W213" s="1" t="s">
        <v>299</v>
      </c>
      <c r="X213" s="1" t="s">
        <v>57</v>
      </c>
      <c r="Y213" s="1">
        <f>IF(tabJanta[[#This Row],[MOTORISTA]]="","",COUNTIF(autocompJanta[COMP ESCALA ATUAL],autocompJanta[[#This Row],[COMP ESCALA ATUAL]]))</f>
        <v>1</v>
      </c>
      <c r="Z213" s="105">
        <f>IF(tabJanta[[#This Row],[MOTORISTA]]&lt;&gt;0,15,"")</f>
        <v>15</v>
      </c>
      <c r="AA213" s="131" t="str">
        <f>autocompJanta[[#This Row],[CORRESP LINHA]]</f>
        <v>GOIANIA (GO) X SAO LUIS (MA)</v>
      </c>
    </row>
    <row r="214" spans="3:27" ht="15" customHeight="1" x14ac:dyDescent="0.25">
      <c r="C214" s="129" t="s">
        <v>226</v>
      </c>
      <c r="D214" s="56" t="str">
        <f>IF(tabJanta[[#This Row],[MOTORISTA]]="","",_xlfn.CONCAT(tabJanta[[#This Row],[DATA]],"+",tabJanta[[#This Row],[MOTORISTA]]))</f>
        <v>45938+  FRANCISCO DAS CHAGAS DOS SANTOS ANGELO- 5299</v>
      </c>
      <c r="E214" s="56" t="str">
        <f>_xlfn.XLOOKUP(autocompJanta[[#This Row],[COMP ESCALA ATUAL]],tabE.Flux[COMP.AT. MOT A],tabE.Flux[LINHA],"NÃO",0,1)</f>
        <v>NÃO</v>
      </c>
      <c r="F214" s="56" t="str">
        <f>_xlfn.XLOOKUP(autocompJanta[[#This Row],[COMP ESCALA ATUAL]],tabE.Flux[COMP.AT. MOT B],tabE.Flux[LINHA],"NÃO",0,1)</f>
        <v>NÃO</v>
      </c>
      <c r="G214" s="61" t="str">
        <f>IF(AND(autocompJanta[[#This Row],[EXISTE MOT A AT]]="NÃO", autocompJanta[[#This Row],[EXISTE MOT B AT]]="NÃO"),"NÃO","SIM")</f>
        <v>NÃO</v>
      </c>
      <c r="H214" s="57" t="str">
        <f>IF(autocompJanta[[#This Row],[EXISTE ESCALA ATUAL]]="NÃO",_xlfn.CONCAT(tabJanta[[#This Row],[DATA]]-1,"+",tabJanta[[#This Row],[MOTORISTA]]),"NÃO")</f>
        <v>45937+  FRANCISCO DAS CHAGAS DOS SANTOS ANGELO- 5299</v>
      </c>
      <c r="I214" s="57" t="str">
        <f>IF(autocompJanta[[#This Row],[COMP ESCALA ANTERIOR]]="NÃO","NÃO",_xlfn.XLOOKUP(autocompJanta[[#This Row],[COMP ESCALA ANTERIOR]],tabE.Flux[COMP.AT. MOT A],tabE.Flux[LINHA],"NÃO",0,1))</f>
        <v>NÃO</v>
      </c>
      <c r="J214" s="58" t="str">
        <f>IF(autocompJanta[[#This Row],[COMP ESCALA ANTERIOR]]="NÃO","NÃO",_xlfn.XLOOKUP(autocompJanta[[#This Row],[COMP ESCALA ANTERIOR]],tabE.Flux[COMP.AT. MOT B],tabE.Flux[LINHA],"NÃO",0,1))</f>
        <v>NÃO</v>
      </c>
      <c r="K214" s="62" t="str">
        <f>IF(AND(autocompJanta[[#This Row],[EXISTE MOT A ANT]]="NÃO",autocompJanta[[#This Row],[EXISTE MOT B ANT]]="NÃO"),"NÃO","SIM")</f>
        <v>NÃO</v>
      </c>
      <c r="L214" s="59" t="str">
        <f t="shared" ref="L214:L220" si="12">_xlfn.CONCAT(T254+1,"+",X254)</f>
        <v>1+</v>
      </c>
      <c r="M214" s="59" t="str">
        <f>IF(autocompJanta[[#This Row],[COMP ESCALA POSTERIOR]]="NÃO","NÃO",_xlfn.XLOOKUP(autocompJanta[[#This Row],[COMP ESCALA POSTERIOR]],tabE.Flux[COMP.AT. MOT A],tabE.Flux[LINHA],"NÃO",0,1))</f>
        <v>NÃO</v>
      </c>
      <c r="N214" s="59" t="str">
        <f>IF(autocompJanta[[#This Row],[COMP ESCALA POSTERIOR]]="NÃO","NÃO",_xlfn.XLOOKUP(autocompJanta[[#This Row],[COMP ESCALA POSTERIOR]],tabE.Flux[COMP.AT. MOT B],tabE.Flux[LINHA],"NÃO",0,1))</f>
        <v>NÃO</v>
      </c>
      <c r="O214" s="65" t="str">
        <f>IF(AND(autocompJanta[[#This Row],[EXISTE MOT A POS]]="NÃO",autocompJanta[[#This Row],[EXISTE MOT B POS]]="NÃO"),"NÃO","SIM")</f>
        <v>NÃO</v>
      </c>
      <c r="P214" s="66" t="str" cm="1">
        <f t="array" ref="P21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14" s="103" t="str" cm="1">
        <f t="array" ref="Q21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14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14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14" s="127">
        <v>45938</v>
      </c>
      <c r="U214" s="131">
        <v>20013</v>
      </c>
      <c r="V214" s="126">
        <v>0.37708333333333333</v>
      </c>
      <c r="W214" s="1" t="s">
        <v>299</v>
      </c>
      <c r="X214" s="1" t="s">
        <v>320</v>
      </c>
      <c r="Y214" s="1">
        <f>IF(tabJanta[[#This Row],[MOTORISTA]]="","",COUNTIF(autocompJanta[COMP ESCALA ATUAL],autocompJanta[[#This Row],[COMP ESCALA ATUAL]]))</f>
        <v>1</v>
      </c>
      <c r="Z214" s="105">
        <f>IF(tabJanta[[#This Row],[MOTORISTA]]&lt;&gt;0,15,"")</f>
        <v>15</v>
      </c>
      <c r="AA214" s="131" t="s">
        <v>32</v>
      </c>
    </row>
    <row r="215" spans="3:27" ht="15" customHeight="1" x14ac:dyDescent="0.25">
      <c r="C215" s="129" t="s">
        <v>226</v>
      </c>
      <c r="D215" s="56" t="str">
        <f>IF(tabJanta[[#This Row],[MOTORISTA]]="","",_xlfn.CONCAT(tabJanta[[#This Row],[DATA]],"+",tabJanta[[#This Row],[MOTORISTA]]))</f>
        <v>45938+JOSE ALVES DA ROCHA - 5035</v>
      </c>
      <c r="E215" s="56" t="str">
        <f>_xlfn.XLOOKUP(autocompJanta[[#This Row],[COMP ESCALA ATUAL]],tabE.Flux[COMP.AT. MOT A],tabE.Flux[LINHA],"NÃO",0,1)</f>
        <v>NÃO</v>
      </c>
      <c r="F215" s="56" t="str">
        <f>_xlfn.XLOOKUP(autocompJanta[[#This Row],[COMP ESCALA ATUAL]],tabE.Flux[COMP.AT. MOT B],tabE.Flux[LINHA],"NÃO",0,1)</f>
        <v>NÃO</v>
      </c>
      <c r="G215" s="61" t="str">
        <f>IF(AND(autocompJanta[[#This Row],[EXISTE MOT A AT]]="NÃO", autocompJanta[[#This Row],[EXISTE MOT B AT]]="NÃO"),"NÃO","SIM")</f>
        <v>NÃO</v>
      </c>
      <c r="H215" s="57" t="str">
        <f>IF(autocompJanta[[#This Row],[EXISTE ESCALA ATUAL]]="NÃO",_xlfn.CONCAT(tabJanta[[#This Row],[DATA]]-1,"+",tabJanta[[#This Row],[MOTORISTA]]),"NÃO")</f>
        <v>45937+JOSE ALVES DA ROCHA - 5035</v>
      </c>
      <c r="I215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215" s="58" t="str">
        <f>IF(autocompJanta[[#This Row],[COMP ESCALA ANTERIOR]]="NÃO","NÃO",_xlfn.XLOOKUP(autocompJanta[[#This Row],[COMP ESCALA ANTERIOR]],tabE.Flux[COMP.AT. MOT B],tabE.Flux[LINHA],"NÃO",0,1))</f>
        <v>NÃO</v>
      </c>
      <c r="K215" s="62" t="str">
        <f>IF(AND(autocompJanta[[#This Row],[EXISTE MOT A ANT]]="NÃO",autocompJanta[[#This Row],[EXISTE MOT B ANT]]="NÃO"),"NÃO","SIM")</f>
        <v>SIM</v>
      </c>
      <c r="L215" s="59" t="str">
        <f t="shared" si="12"/>
        <v>1+</v>
      </c>
      <c r="M215" s="59" t="str">
        <f>IF(autocompJanta[[#This Row],[COMP ESCALA POSTERIOR]]="NÃO","NÃO",_xlfn.XLOOKUP(autocompJanta[[#This Row],[COMP ESCALA POSTERIOR]],tabE.Flux[COMP.AT. MOT A],tabE.Flux[LINHA],"NÃO",0,1))</f>
        <v>NÃO</v>
      </c>
      <c r="N215" s="59" t="str">
        <f>IF(autocompJanta[[#This Row],[COMP ESCALA POSTERIOR]]="NÃO","NÃO",_xlfn.XLOOKUP(autocompJanta[[#This Row],[COMP ESCALA POSTERIOR]],tabE.Flux[COMP.AT. MOT B],tabE.Flux[LINHA],"NÃO",0,1))</f>
        <v>NÃO</v>
      </c>
      <c r="O215" s="65" t="str">
        <f>IF(AND(autocompJanta[[#This Row],[EXISTE MOT A POS]]="NÃO",autocompJanta[[#This Row],[EXISTE MOT B POS]]="NÃO"),"NÃO","SIM")</f>
        <v>NÃO</v>
      </c>
      <c r="P215" s="66" t="str" cm="1">
        <f t="array" ref="P21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15" s="103" t="str" cm="1">
        <f t="array" ref="Q21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45937+JOSE ALVES DA ROCHA - 5035+GOIANIA (GO) X TERESINA (PI) VIA STI</v>
      </c>
      <c r="R215" s="67">
        <f>_xlfn.XLOOKUP(autocompJanta[[#This Row],[COMP ESCALA]],tabE.Flux[COMP. ESCALA MOT B],tabE.Flux[CARRO],
(_xlfn.XLOOKUP(autocompJanta[[#This Row],[COMP ESCALA]],tabE.Flux[COMP. ESCALA MOT A],tabE.Flux[CARRO],"N/E",0,1)),0,1)</f>
        <v>20014</v>
      </c>
      <c r="S215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15" s="127">
        <v>45938</v>
      </c>
      <c r="U215" s="131">
        <f>IF(IFERROR(autocompJanta[[#This Row],[CORRESP. CARRO]],"")="NÃO",(IF(tabJanta[[#This Row],[MOTORISTA]]=0,"","PASSE?")),autocompJanta[[#This Row],[CORRESP. CARRO]])</f>
        <v>20014</v>
      </c>
      <c r="V215" s="126">
        <f>IF(OR(ISERR(autocompJanta[[#This Row],[CORRESP HORARIO]]), autocompJanta[[#This Row],[CORRESP HORARIO]]&lt;&gt;"NÃO"),autocompJanta[[#This Row],[CORRESP HORARIO]],"")</f>
        <v>0.79861111111111116</v>
      </c>
      <c r="W215" s="1" t="s">
        <v>299</v>
      </c>
      <c r="X215" s="1" t="s">
        <v>91</v>
      </c>
      <c r="Y215" s="1">
        <f>IF(tabJanta[[#This Row],[MOTORISTA]]="","",COUNTIF(autocompJanta[COMP ESCALA ATUAL],autocompJanta[[#This Row],[COMP ESCALA ATUAL]]))</f>
        <v>1</v>
      </c>
      <c r="Z215" s="105">
        <f>IF(tabJanta[[#This Row],[MOTORISTA]]&lt;&gt;0,15,"")</f>
        <v>15</v>
      </c>
      <c r="AA215" s="131" t="str">
        <f>autocompJanta[[#This Row],[CORRESP LINHA]]</f>
        <v>GOIANIA (GO) X TERESINA (PI) VIA STI</v>
      </c>
    </row>
    <row r="216" spans="3:27" ht="15" customHeight="1" x14ac:dyDescent="0.25">
      <c r="C216" s="129" t="s">
        <v>226</v>
      </c>
      <c r="D216" s="56" t="str">
        <f>IF(tabJanta[[#This Row],[MOTORISTA]]="","",_xlfn.CONCAT(tabJanta[[#This Row],[DATA]],"+",tabJanta[[#This Row],[MOTORISTA]]))</f>
        <v>45939+RAIMUNDO COSTA SILVA - 6226</v>
      </c>
      <c r="E216" s="56" t="str">
        <f>_xlfn.XLOOKUP(autocompJanta[[#This Row],[COMP ESCALA ATUAL]],tabE.Flux[COMP.AT. MOT A],tabE.Flux[LINHA],"NÃO",0,1)</f>
        <v>NÃO</v>
      </c>
      <c r="F216" s="56" t="str">
        <f>_xlfn.XLOOKUP(autocompJanta[[#This Row],[COMP ESCALA ATUAL]],tabE.Flux[COMP.AT. MOT B],tabE.Flux[LINHA],"NÃO",0,1)</f>
        <v>GOIANIA (GO) X SAO LUIS (MA)</v>
      </c>
      <c r="G216" s="61" t="str">
        <f>IF(AND(autocompJanta[[#This Row],[EXISTE MOT A AT]]="NÃO", autocompJanta[[#This Row],[EXISTE MOT B AT]]="NÃO"),"NÃO","SIM")</f>
        <v>SIM</v>
      </c>
      <c r="H216" s="57" t="str">
        <f>IF(autocompJanta[[#This Row],[EXISTE ESCALA ATUAL]]="NÃO",_xlfn.CONCAT(tabJanta[[#This Row],[DATA]]-1,"+",tabJanta[[#This Row],[MOTORISTA]]),"NÃO")</f>
        <v>NÃO</v>
      </c>
      <c r="I216" s="57" t="str">
        <f>IF(autocompJanta[[#This Row],[COMP ESCALA ANTERIOR]]="NÃO","NÃO",_xlfn.XLOOKUP(autocompJanta[[#This Row],[COMP ESCALA ANTERIOR]],tabE.Flux[COMP.AT. MOT A],tabE.Flux[LINHA],"NÃO",0,1))</f>
        <v>NÃO</v>
      </c>
      <c r="J216" s="58" t="str">
        <f>IF(autocompJanta[[#This Row],[COMP ESCALA ANTERIOR]]="NÃO","NÃO",_xlfn.XLOOKUP(autocompJanta[[#This Row],[COMP ESCALA ANTERIOR]],tabE.Flux[COMP.AT. MOT B],tabE.Flux[LINHA],"NÃO",0,1))</f>
        <v>NÃO</v>
      </c>
      <c r="K216" s="62" t="str">
        <f>IF(AND(autocompJanta[[#This Row],[EXISTE MOT A ANT]]="NÃO",autocompJanta[[#This Row],[EXISTE MOT B ANT]]="NÃO"),"NÃO","SIM")</f>
        <v>NÃO</v>
      </c>
      <c r="L216" s="59" t="str">
        <f t="shared" si="12"/>
        <v>1+</v>
      </c>
      <c r="M216" s="59" t="str">
        <f>IF(autocompJanta[[#This Row],[COMP ESCALA POSTERIOR]]="NÃO","NÃO",_xlfn.XLOOKUP(autocompJanta[[#This Row],[COMP ESCALA POSTERIOR]],tabE.Flux[COMP.AT. MOT A],tabE.Flux[LINHA],"NÃO",0,1))</f>
        <v>NÃO</v>
      </c>
      <c r="N216" s="59" t="str">
        <f>IF(autocompJanta[[#This Row],[COMP ESCALA POSTERIOR]]="NÃO","NÃO",_xlfn.XLOOKUP(autocompJanta[[#This Row],[COMP ESCALA POSTERIOR]],tabE.Flux[COMP.AT. MOT B],tabE.Flux[LINHA],"NÃO",0,1))</f>
        <v>NÃO</v>
      </c>
      <c r="O216" s="65" t="str">
        <f>IF(AND(autocompJanta[[#This Row],[EXISTE MOT A POS]]="NÃO",autocompJanta[[#This Row],[EXISTE MOT B POS]]="NÃO"),"NÃO","SIM")</f>
        <v>NÃO</v>
      </c>
      <c r="P216" s="66" t="str" cm="1">
        <f t="array" ref="P21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16" s="103" t="str" cm="1">
        <f t="array" ref="Q21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45939+RAIMUNDO COSTA SILVA - 6226+GOIANIA (GO) X SAO LUIS (MA)</v>
      </c>
      <c r="R216" s="67">
        <f>_xlfn.XLOOKUP(autocompJanta[[#This Row],[COMP ESCALA]],tabE.Flux[COMP. ESCALA MOT B],tabE.Flux[CARRO],
(_xlfn.XLOOKUP(autocompJanta[[#This Row],[COMP ESCALA]],tabE.Flux[COMP. ESCALA MOT A],tabE.Flux[CARRO],"N/E",0,1)),0,1)</f>
        <v>19006</v>
      </c>
      <c r="S216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216" s="127">
        <v>45939</v>
      </c>
      <c r="U216" s="4">
        <f>IF(IFERROR(autocompJanta[[#This Row],[CORRESP. CARRO]],"")="NÃO",(IF(tabJanta[[#This Row],[MOTORISTA]]=0,"","PASSE?")),autocompJanta[[#This Row],[CORRESP. CARRO]])</f>
        <v>19006</v>
      </c>
      <c r="V216" s="128">
        <f>IF(OR(ISERR(autocompJanta[[#This Row],[CORRESP HORARIO]]), autocompJanta[[#This Row],[CORRESP HORARIO]]&lt;&gt;"NÃO"),autocompJanta[[#This Row],[CORRESP HORARIO]],"")</f>
        <v>0.47013888888888888</v>
      </c>
      <c r="W216" s="4" t="s">
        <v>299</v>
      </c>
      <c r="X216" s="4" t="s">
        <v>45</v>
      </c>
      <c r="Y216" s="4">
        <f>IF(tabJanta[[#This Row],[MOTORISTA]]="","",COUNTIF(autocompJanta[COMP ESCALA ATUAL],autocompJanta[[#This Row],[COMP ESCALA ATUAL]]))</f>
        <v>1</v>
      </c>
      <c r="Z216" s="45">
        <f>IF(tabJanta[[#This Row],[MOTORISTA]]&lt;&gt;0,15,"")</f>
        <v>15</v>
      </c>
      <c r="AA216" s="4" t="str">
        <f>autocompJanta[[#This Row],[CORRESP LINHA]]</f>
        <v>GOIANIA (GO) X SAO LUIS (MA)</v>
      </c>
    </row>
    <row r="217" spans="3:27" ht="15" customHeight="1" x14ac:dyDescent="0.25">
      <c r="C217" s="129" t="s">
        <v>226</v>
      </c>
      <c r="D217" s="56" t="str">
        <f>IF(tabJanta[[#This Row],[MOTORISTA]]="","",_xlfn.CONCAT(tabJanta[[#This Row],[DATA]],"+",tabJanta[[#This Row],[MOTORISTA]]))</f>
        <v>45939+JOSE CLAUDIMAR  CUNHA - 5652</v>
      </c>
      <c r="E217" s="56" t="str">
        <f>_xlfn.XLOOKUP(autocompJanta[[#This Row],[COMP ESCALA ATUAL]],tabE.Flux[COMP.AT. MOT A],tabE.Flux[LINHA],"NÃO",0,1)</f>
        <v>NÃO</v>
      </c>
      <c r="F217" s="56" t="str">
        <f>_xlfn.XLOOKUP(autocompJanta[[#This Row],[COMP ESCALA ATUAL]],tabE.Flux[COMP.AT. MOT B],tabE.Flux[LINHA],"NÃO",0,1)</f>
        <v>NÃO</v>
      </c>
      <c r="G217" s="61" t="str">
        <f>IF(AND(autocompJanta[[#This Row],[EXISTE MOT A AT]]="NÃO", autocompJanta[[#This Row],[EXISTE MOT B AT]]="NÃO"),"NÃO","SIM")</f>
        <v>NÃO</v>
      </c>
      <c r="H217" s="57" t="str">
        <f>IF(autocompJanta[[#This Row],[EXISTE ESCALA ATUAL]]="NÃO",_xlfn.CONCAT(tabJanta[[#This Row],[DATA]]-1,"+",tabJanta[[#This Row],[MOTORISTA]]),"NÃO")</f>
        <v>45938+JOSE CLAUDIMAR  CUNHA - 5652</v>
      </c>
      <c r="I217" s="57" t="str">
        <f>IF(autocompJanta[[#This Row],[COMP ESCALA ANTERIOR]]="NÃO","NÃO",_xlfn.XLOOKUP(autocompJanta[[#This Row],[COMP ESCALA ANTERIOR]],tabE.Flux[COMP.AT. MOT A],tabE.Flux[LINHA],"NÃO",0,1))</f>
        <v>NÃO</v>
      </c>
      <c r="J217" s="58" t="str">
        <f>IF(autocompJanta[[#This Row],[COMP ESCALA ANTERIOR]]="NÃO","NÃO",_xlfn.XLOOKUP(autocompJanta[[#This Row],[COMP ESCALA ANTERIOR]],tabE.Flux[COMP.AT. MOT B],tabE.Flux[LINHA],"NÃO",0,1))</f>
        <v>NÃO</v>
      </c>
      <c r="K217" s="62" t="str">
        <f>IF(AND(autocompJanta[[#This Row],[EXISTE MOT A ANT]]="NÃO",autocompJanta[[#This Row],[EXISTE MOT B ANT]]="NÃO"),"NÃO","SIM")</f>
        <v>NÃO</v>
      </c>
      <c r="L217" s="59" t="str">
        <f t="shared" si="12"/>
        <v>1+</v>
      </c>
      <c r="M217" s="59" t="str">
        <f>IF(autocompJanta[[#This Row],[COMP ESCALA POSTERIOR]]="NÃO","NÃO",_xlfn.XLOOKUP(autocompJanta[[#This Row],[COMP ESCALA POSTERIOR]],tabE.Flux[COMP.AT. MOT A],tabE.Flux[LINHA],"NÃO",0,1))</f>
        <v>NÃO</v>
      </c>
      <c r="N217" s="59" t="str">
        <f>IF(autocompJanta[[#This Row],[COMP ESCALA POSTERIOR]]="NÃO","NÃO",_xlfn.XLOOKUP(autocompJanta[[#This Row],[COMP ESCALA POSTERIOR]],tabE.Flux[COMP.AT. MOT B],tabE.Flux[LINHA],"NÃO",0,1))</f>
        <v>NÃO</v>
      </c>
      <c r="O217" s="65" t="str">
        <f>IF(AND(autocompJanta[[#This Row],[EXISTE MOT A POS]]="NÃO",autocompJanta[[#This Row],[EXISTE MOT B POS]]="NÃO"),"NÃO","SIM")</f>
        <v>NÃO</v>
      </c>
      <c r="P217" s="66" t="str" cm="1">
        <f t="array" ref="P21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17" s="103" t="str" cm="1">
        <f t="array" ref="Q21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17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17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17" s="127">
        <v>45939</v>
      </c>
      <c r="U217" s="4">
        <v>19015</v>
      </c>
      <c r="V217" s="126">
        <v>0.37708333333333333</v>
      </c>
      <c r="W217" s="1" t="s">
        <v>299</v>
      </c>
      <c r="X217" s="1" t="s">
        <v>140</v>
      </c>
      <c r="Y217" s="1">
        <f>IF(tabJanta[[#This Row],[MOTORISTA]]="","",COUNTIF(autocompJanta[COMP ESCALA ATUAL],autocompJanta[[#This Row],[COMP ESCALA ATUAL]]))</f>
        <v>1</v>
      </c>
      <c r="Z217" s="105">
        <f>IF(tabJanta[[#This Row],[MOTORISTA]]&lt;&gt;0,15,"")</f>
        <v>15</v>
      </c>
      <c r="AA217" s="4" t="s">
        <v>32</v>
      </c>
    </row>
    <row r="218" spans="3:27" ht="15" customHeight="1" x14ac:dyDescent="0.25">
      <c r="C218" s="129" t="s">
        <v>226</v>
      </c>
      <c r="D218" s="56" t="str">
        <f>IF(tabJanta[[#This Row],[MOTORISTA]]="","",_xlfn.CONCAT(tabJanta[[#This Row],[DATA]],"+",tabJanta[[#This Row],[MOTORISTA]]))</f>
        <v>45939+JOSE ALVES DE FREITAS NETO - 5027</v>
      </c>
      <c r="E218" s="56" t="str">
        <f>_xlfn.XLOOKUP(autocompJanta[[#This Row],[COMP ESCALA ATUAL]],tabE.Flux[COMP.AT. MOT A],tabE.Flux[LINHA],"NÃO",0,1)</f>
        <v>NÃO</v>
      </c>
      <c r="F218" s="56" t="str">
        <f>_xlfn.XLOOKUP(autocompJanta[[#This Row],[COMP ESCALA ATUAL]],tabE.Flux[COMP.AT. MOT B],tabE.Flux[LINHA],"NÃO",0,1)</f>
        <v>GOIANIA (GO) X SAO LUIS (MA)</v>
      </c>
      <c r="G218" s="61" t="str">
        <f>IF(AND(autocompJanta[[#This Row],[EXISTE MOT A AT]]="NÃO", autocompJanta[[#This Row],[EXISTE MOT B AT]]="NÃO"),"NÃO","SIM")</f>
        <v>SIM</v>
      </c>
      <c r="H218" s="57" t="str">
        <f>IF(autocompJanta[[#This Row],[EXISTE ESCALA ATUAL]]="NÃO",_xlfn.CONCAT(tabJanta[[#This Row],[DATA]]-1,"+",tabJanta[[#This Row],[MOTORISTA]]),"NÃO")</f>
        <v>NÃO</v>
      </c>
      <c r="I218" s="57" t="str">
        <f>IF(autocompJanta[[#This Row],[COMP ESCALA ANTERIOR]]="NÃO","NÃO",_xlfn.XLOOKUP(autocompJanta[[#This Row],[COMP ESCALA ANTERIOR]],tabE.Flux[COMP.AT. MOT A],tabE.Flux[LINHA],"NÃO",0,1))</f>
        <v>NÃO</v>
      </c>
      <c r="J218" s="58" t="str">
        <f>IF(autocompJanta[[#This Row],[COMP ESCALA ANTERIOR]]="NÃO","NÃO",_xlfn.XLOOKUP(autocompJanta[[#This Row],[COMP ESCALA ANTERIOR]],tabE.Flux[COMP.AT. MOT B],tabE.Flux[LINHA],"NÃO",0,1))</f>
        <v>NÃO</v>
      </c>
      <c r="K218" s="62" t="str">
        <f>IF(AND(autocompJanta[[#This Row],[EXISTE MOT A ANT]]="NÃO",autocompJanta[[#This Row],[EXISTE MOT B ANT]]="NÃO"),"NÃO","SIM")</f>
        <v>NÃO</v>
      </c>
      <c r="L218" s="59" t="str">
        <f t="shared" si="12"/>
        <v>1+</v>
      </c>
      <c r="M218" s="59" t="str">
        <f>IF(autocompJanta[[#This Row],[COMP ESCALA POSTERIOR]]="NÃO","NÃO",_xlfn.XLOOKUP(autocompJanta[[#This Row],[COMP ESCALA POSTERIOR]],tabE.Flux[COMP.AT. MOT A],tabE.Flux[LINHA],"NÃO",0,1))</f>
        <v>NÃO</v>
      </c>
      <c r="N218" s="59" t="str">
        <f>IF(autocompJanta[[#This Row],[COMP ESCALA POSTERIOR]]="NÃO","NÃO",_xlfn.XLOOKUP(autocompJanta[[#This Row],[COMP ESCALA POSTERIOR]],tabE.Flux[COMP.AT. MOT B],tabE.Flux[LINHA],"NÃO",0,1))</f>
        <v>NÃO</v>
      </c>
      <c r="O218" s="65" t="str">
        <f>IF(AND(autocompJanta[[#This Row],[EXISTE MOT A POS]]="NÃO",autocompJanta[[#This Row],[EXISTE MOT B POS]]="NÃO"),"NÃO","SIM")</f>
        <v>NÃO</v>
      </c>
      <c r="P218" s="66" t="str" cm="1">
        <f t="array" ref="P21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18" s="103" t="str" cm="1">
        <f t="array" ref="Q21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45939+JOSE ALVES DE FREITAS NETO - 5027+GOIANIA (GO) X SAO LUIS (MA)</v>
      </c>
      <c r="R218" s="67">
        <f>_xlfn.XLOOKUP(autocompJanta[[#This Row],[COMP ESCALA]],tabE.Flux[COMP. ESCALA MOT B],tabE.Flux[CARRO],
(_xlfn.XLOOKUP(autocompJanta[[#This Row],[COMP ESCALA]],tabE.Flux[COMP. ESCALA MOT A],tabE.Flux[CARRO],"N/E",0,1)),0,1)</f>
        <v>24002</v>
      </c>
      <c r="S218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218" s="127">
        <v>45939</v>
      </c>
      <c r="U218" s="131">
        <f>IF(IFERROR(autocompJanta[[#This Row],[CORRESP. CARRO]],"")="NÃO",(IF(tabJanta[[#This Row],[MOTORISTA]]=0,"","PASSE?")),autocompJanta[[#This Row],[CORRESP. CARRO]])</f>
        <v>24002</v>
      </c>
      <c r="V218" s="126">
        <f>IF(OR(ISERR(autocompJanta[[#This Row],[CORRESP HORARIO]]), autocompJanta[[#This Row],[CORRESP HORARIO]]&lt;&gt;"NÃO"),autocompJanta[[#This Row],[CORRESP HORARIO]],"")</f>
        <v>0.79166666666666663</v>
      </c>
      <c r="W218" s="1" t="s">
        <v>299</v>
      </c>
      <c r="X218" s="1" t="s">
        <v>90</v>
      </c>
      <c r="Y218" s="1">
        <f>IF(tabJanta[[#This Row],[MOTORISTA]]="","",COUNTIF(autocompJanta[COMP ESCALA ATUAL],autocompJanta[[#This Row],[COMP ESCALA ATUAL]]))</f>
        <v>1</v>
      </c>
      <c r="Z218" s="105">
        <f>IF(tabJanta[[#This Row],[MOTORISTA]]&lt;&gt;0,15,"")</f>
        <v>15</v>
      </c>
      <c r="AA218" s="131" t="str">
        <f>autocompJanta[[#This Row],[CORRESP LINHA]]</f>
        <v>GOIANIA (GO) X SAO LUIS (MA)</v>
      </c>
    </row>
    <row r="219" spans="3:27" ht="15" customHeight="1" x14ac:dyDescent="0.25">
      <c r="C219" s="129" t="s">
        <v>226</v>
      </c>
      <c r="D219" s="56" t="str">
        <f>IF(tabJanta[[#This Row],[MOTORISTA]]="","",_xlfn.CONCAT(tabJanta[[#This Row],[DATA]],"+",tabJanta[[#This Row],[MOTORISTA]]))</f>
        <v>45939+JOAO FLAVIO DE SOUSA SILVA - 5270</v>
      </c>
      <c r="E219" s="56" t="str">
        <f>_xlfn.XLOOKUP(autocompJanta[[#This Row],[COMP ESCALA ATUAL]],tabE.Flux[COMP.AT. MOT A],tabE.Flux[LINHA],"NÃO",0,1)</f>
        <v>NÃO</v>
      </c>
      <c r="F219" s="56" t="str">
        <f>_xlfn.XLOOKUP(autocompJanta[[#This Row],[COMP ESCALA ATUAL]],tabE.Flux[COMP.AT. MOT B],tabE.Flux[LINHA],"NÃO",0,1)</f>
        <v>GOIANIA (GO) X TERESINA (PI) VIA STI</v>
      </c>
      <c r="G219" s="61" t="str">
        <f>IF(AND(autocompJanta[[#This Row],[EXISTE MOT A AT]]="NÃO", autocompJanta[[#This Row],[EXISTE MOT B AT]]="NÃO"),"NÃO","SIM")</f>
        <v>SIM</v>
      </c>
      <c r="H219" s="57" t="str">
        <f>IF(autocompJanta[[#This Row],[EXISTE ESCALA ATUAL]]="NÃO",_xlfn.CONCAT(tabJanta[[#This Row],[DATA]]-1,"+",tabJanta[[#This Row],[MOTORISTA]]),"NÃO")</f>
        <v>NÃO</v>
      </c>
      <c r="I219" s="57" t="str">
        <f>IF(autocompJanta[[#This Row],[COMP ESCALA ANTERIOR]]="NÃO","NÃO",_xlfn.XLOOKUP(autocompJanta[[#This Row],[COMP ESCALA ANTERIOR]],tabE.Flux[COMP.AT. MOT A],tabE.Flux[LINHA],"NÃO",0,1))</f>
        <v>NÃO</v>
      </c>
      <c r="J219" s="58" t="str">
        <f>IF(autocompJanta[[#This Row],[COMP ESCALA ANTERIOR]]="NÃO","NÃO",_xlfn.XLOOKUP(autocompJanta[[#This Row],[COMP ESCALA ANTERIOR]],tabE.Flux[COMP.AT. MOT B],tabE.Flux[LINHA],"NÃO",0,1))</f>
        <v>NÃO</v>
      </c>
      <c r="K219" s="62" t="str">
        <f>IF(AND(autocompJanta[[#This Row],[EXISTE MOT A ANT]]="NÃO",autocompJanta[[#This Row],[EXISTE MOT B ANT]]="NÃO"),"NÃO","SIM")</f>
        <v>NÃO</v>
      </c>
      <c r="L219" s="59" t="str">
        <f t="shared" si="12"/>
        <v>1+</v>
      </c>
      <c r="M219" s="59" t="str">
        <f>IF(autocompJanta[[#This Row],[COMP ESCALA POSTERIOR]]="NÃO","NÃO",_xlfn.XLOOKUP(autocompJanta[[#This Row],[COMP ESCALA POSTERIOR]],tabE.Flux[COMP.AT. MOT A],tabE.Flux[LINHA],"NÃO",0,1))</f>
        <v>NÃO</v>
      </c>
      <c r="N219" s="59" t="str">
        <f>IF(autocompJanta[[#This Row],[COMP ESCALA POSTERIOR]]="NÃO","NÃO",_xlfn.XLOOKUP(autocompJanta[[#This Row],[COMP ESCALA POSTERIOR]],tabE.Flux[COMP.AT. MOT B],tabE.Flux[LINHA],"NÃO",0,1))</f>
        <v>NÃO</v>
      </c>
      <c r="O219" s="65" t="str">
        <f>IF(AND(autocompJanta[[#This Row],[EXISTE MOT A POS]]="NÃO",autocompJanta[[#This Row],[EXISTE MOT B POS]]="NÃO"),"NÃO","SIM")</f>
        <v>NÃO</v>
      </c>
      <c r="P219" s="66" t="str" cm="1">
        <f t="array" ref="P21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19" s="103" t="str" cm="1">
        <f t="array" ref="Q21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45939+JOAO FLAVIO DE SOUSA SILVA - 5270+GOIANIA (GO) X TERESINA (PI) VIA STI</v>
      </c>
      <c r="R219" s="67">
        <f>_xlfn.XLOOKUP(autocompJanta[[#This Row],[COMP ESCALA]],tabE.Flux[COMP. ESCALA MOT B],tabE.Flux[CARRO],
(_xlfn.XLOOKUP(autocompJanta[[#This Row],[COMP ESCALA]],tabE.Flux[COMP. ESCALA MOT A],tabE.Flux[CARRO],"N/E",0,1)),0,1)</f>
        <v>17300</v>
      </c>
      <c r="S219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19" s="127">
        <v>45939</v>
      </c>
      <c r="U219" s="131">
        <f>IF(IFERROR(autocompJanta[[#This Row],[CORRESP. CARRO]],"")="NÃO",(IF(tabJanta[[#This Row],[MOTORISTA]]=0,"","PASSE?")),autocompJanta[[#This Row],[CORRESP. CARRO]])</f>
        <v>17300</v>
      </c>
      <c r="V219" s="126">
        <f>IF(OR(ISERR(autocompJanta[[#This Row],[CORRESP HORARIO]]), autocompJanta[[#This Row],[CORRESP HORARIO]]&lt;&gt;"NÃO"),autocompJanta[[#This Row],[CORRESP HORARIO]],"")</f>
        <v>0.79861111111111116</v>
      </c>
      <c r="W219" s="1" t="s">
        <v>299</v>
      </c>
      <c r="X219" s="1" t="s">
        <v>222</v>
      </c>
      <c r="Y219" s="1">
        <f>IF(tabJanta[[#This Row],[MOTORISTA]]="","",COUNTIF(autocompJanta[COMP ESCALA ATUAL],autocompJanta[[#This Row],[COMP ESCALA ATUAL]]))</f>
        <v>1</v>
      </c>
      <c r="Z219" s="105">
        <f>IF(tabJanta[[#This Row],[MOTORISTA]]&lt;&gt;0,15,"")</f>
        <v>15</v>
      </c>
      <c r="AA219" s="131" t="str">
        <f>autocompJanta[[#This Row],[CORRESP LINHA]]</f>
        <v>GOIANIA (GO) X TERESINA (PI) VIA STI</v>
      </c>
    </row>
    <row r="220" spans="3:27" ht="15" customHeight="1" x14ac:dyDescent="0.25">
      <c r="C220" s="129" t="s">
        <v>226</v>
      </c>
      <c r="D220" s="56" t="str">
        <f>IF(tabJanta[[#This Row],[MOTORISTA]]="","",_xlfn.CONCAT(tabJanta[[#This Row],[DATA]],"+",tabJanta[[#This Row],[MOTORISTA]]))</f>
        <v>45939+MARCIO RODRIGUES DA COSTA - 5993</v>
      </c>
      <c r="E220" s="56" t="str">
        <f>_xlfn.XLOOKUP(autocompJanta[[#This Row],[COMP ESCALA ATUAL]],tabE.Flux[COMP.AT. MOT A],tabE.Flux[LINHA],"NÃO",0,1)</f>
        <v>NÃO</v>
      </c>
      <c r="F220" s="56" t="str">
        <f>_xlfn.XLOOKUP(autocompJanta[[#This Row],[COMP ESCALA ATUAL]],tabE.Flux[COMP.AT. MOT B],tabE.Flux[LINHA],"NÃO",0,1)</f>
        <v>NÃO</v>
      </c>
      <c r="G220" s="61" t="str">
        <f>IF(AND(autocompJanta[[#This Row],[EXISTE MOT A AT]]="NÃO", autocompJanta[[#This Row],[EXISTE MOT B AT]]="NÃO"),"NÃO","SIM")</f>
        <v>NÃO</v>
      </c>
      <c r="H220" s="57" t="str">
        <f>IF(autocompJanta[[#This Row],[EXISTE ESCALA ATUAL]]="NÃO",_xlfn.CONCAT(tabJanta[[#This Row],[DATA]]-1,"+",tabJanta[[#This Row],[MOTORISTA]]),"NÃO")</f>
        <v>45938+MARCIO RODRIGUES DA COSTA - 5993</v>
      </c>
      <c r="I220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220" s="58" t="str">
        <f>IF(autocompJanta[[#This Row],[COMP ESCALA ANTERIOR]]="NÃO","NÃO",_xlfn.XLOOKUP(autocompJanta[[#This Row],[COMP ESCALA ANTERIOR]],tabE.Flux[COMP.AT. MOT B],tabE.Flux[LINHA],"NÃO",0,1))</f>
        <v>NÃO</v>
      </c>
      <c r="K220" s="62" t="str">
        <f>IF(AND(autocompJanta[[#This Row],[EXISTE MOT A ANT]]="NÃO",autocompJanta[[#This Row],[EXISTE MOT B ANT]]="NÃO"),"NÃO","SIM")</f>
        <v>SIM</v>
      </c>
      <c r="L220" s="59" t="str">
        <f t="shared" si="12"/>
        <v>1+</v>
      </c>
      <c r="M220" s="59" t="str">
        <f>IF(autocompJanta[[#This Row],[COMP ESCALA POSTERIOR]]="NÃO","NÃO",_xlfn.XLOOKUP(autocompJanta[[#This Row],[COMP ESCALA POSTERIOR]],tabE.Flux[COMP.AT. MOT A],tabE.Flux[LINHA],"NÃO",0,1))</f>
        <v>NÃO</v>
      </c>
      <c r="N220" s="59" t="str">
        <f>IF(autocompJanta[[#This Row],[COMP ESCALA POSTERIOR]]="NÃO","NÃO",_xlfn.XLOOKUP(autocompJanta[[#This Row],[COMP ESCALA POSTERIOR]],tabE.Flux[COMP.AT. MOT B],tabE.Flux[LINHA],"NÃO",0,1))</f>
        <v>NÃO</v>
      </c>
      <c r="O220" s="65" t="str">
        <f>IF(AND(autocompJanta[[#This Row],[EXISTE MOT A POS]]="NÃO",autocompJanta[[#This Row],[EXISTE MOT B POS]]="NÃO"),"NÃO","SIM")</f>
        <v>NÃO</v>
      </c>
      <c r="P220" s="66" t="str" cm="1">
        <f t="array" ref="P22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20" s="103" t="str" cm="1">
        <f t="array" ref="Q22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45938+MARCIO RODRIGUES DA COSTA - 5993+GOIANIA (GO) X TERESINA (PI) VIA STI</v>
      </c>
      <c r="R220" s="67">
        <f>_xlfn.XLOOKUP(autocompJanta[[#This Row],[COMP ESCALA]],tabE.Flux[COMP. ESCALA MOT B],tabE.Flux[CARRO],
(_xlfn.XLOOKUP(autocompJanta[[#This Row],[COMP ESCALA]],tabE.Flux[COMP. ESCALA MOT A],tabE.Flux[CARRO],"N/E",0,1)),0,1)</f>
        <v>19016</v>
      </c>
      <c r="S220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20" s="127">
        <v>45939</v>
      </c>
      <c r="U220" s="131">
        <f>IF(IFERROR(autocompJanta[[#This Row],[CORRESP. CARRO]],"")="NÃO",(IF(tabJanta[[#This Row],[MOTORISTA]]=0,"","PASSE?")),autocompJanta[[#This Row],[CORRESP. CARRO]])</f>
        <v>19016</v>
      </c>
      <c r="V220" s="126">
        <f>IF(OR(ISERR(autocompJanta[[#This Row],[CORRESP HORARIO]]), autocompJanta[[#This Row],[CORRESP HORARIO]]&lt;&gt;"NÃO"),autocompJanta[[#This Row],[CORRESP HORARIO]],"")</f>
        <v>0.79861111111111116</v>
      </c>
      <c r="W220" s="1" t="s">
        <v>299</v>
      </c>
      <c r="X220" s="1" t="s">
        <v>107</v>
      </c>
      <c r="Y220" s="1">
        <f>IF(tabJanta[[#This Row],[MOTORISTA]]="","",COUNTIF(autocompJanta[COMP ESCALA ATUAL],autocompJanta[[#This Row],[COMP ESCALA ATUAL]]))</f>
        <v>1</v>
      </c>
      <c r="Z220" s="105">
        <f>IF(tabJanta[[#This Row],[MOTORISTA]]&lt;&gt;0,15,"")</f>
        <v>15</v>
      </c>
      <c r="AA220" s="131" t="str">
        <f>autocompJanta[[#This Row],[CORRESP LINHA]]</f>
        <v>GOIANIA (GO) X TERESINA (PI) VIA STI</v>
      </c>
    </row>
    <row r="221" spans="3:27" ht="15" customHeight="1" x14ac:dyDescent="0.25">
      <c r="C221" s="129" t="s">
        <v>226</v>
      </c>
      <c r="D221" s="56" t="str">
        <f>IF(tabJanta[[#This Row],[MOTORISTA]]="","",_xlfn.CONCAT(tabJanta[[#This Row],[DATA]],"+",tabJanta[[#This Row],[MOTORISTA]]))</f>
        <v>45939+LAUCEANDO DA SILVA ROCHA - 6220</v>
      </c>
      <c r="E221" s="56" t="str">
        <f>_xlfn.XLOOKUP(autocompJanta[[#This Row],[COMP ESCALA ATUAL]],tabE.Flux[COMP.AT. MOT A],tabE.Flux[LINHA],"NÃO",0,1)</f>
        <v>GOIANIA (GO) X SAO LUIS (MA)</v>
      </c>
      <c r="F221" s="56" t="str">
        <f>_xlfn.XLOOKUP(autocompJanta[[#This Row],[COMP ESCALA ATUAL]],tabE.Flux[COMP.AT. MOT B],tabE.Flux[LINHA],"NÃO",0,1)</f>
        <v>GOIANIA (GO) X SAO LUIS (MA)</v>
      </c>
      <c r="G221" s="61" t="str">
        <f>IF(AND(autocompJanta[[#This Row],[EXISTE MOT A AT]]="NÃO", autocompJanta[[#This Row],[EXISTE MOT B AT]]="NÃO"),"NÃO","SIM")</f>
        <v>SIM</v>
      </c>
      <c r="H221" s="57" t="str">
        <f>IF(autocompJanta[[#This Row],[EXISTE ESCALA ATUAL]]="NÃO",_xlfn.CONCAT(tabJanta[[#This Row],[DATA]]-1,"+",tabJanta[[#This Row],[MOTORISTA]]),"NÃO")</f>
        <v>NÃO</v>
      </c>
      <c r="I221" s="57" t="str">
        <f>IF(autocompJanta[[#This Row],[COMP ESCALA ANTERIOR]]="NÃO","NÃO",_xlfn.XLOOKUP(autocompJanta[[#This Row],[COMP ESCALA ANTERIOR]],tabE.Flux[COMP.AT. MOT A],tabE.Flux[LINHA],"NÃO",0,1))</f>
        <v>NÃO</v>
      </c>
      <c r="J221" s="58" t="str">
        <f>IF(autocompJanta[[#This Row],[COMP ESCALA ANTERIOR]]="NÃO","NÃO",_xlfn.XLOOKUP(autocompJanta[[#This Row],[COMP ESCALA ANTERIOR]],tabE.Flux[COMP.AT. MOT B],tabE.Flux[LINHA],"NÃO",0,1))</f>
        <v>NÃO</v>
      </c>
      <c r="K221" s="62" t="str">
        <f>IF(AND(autocompJanta[[#This Row],[EXISTE MOT A ANT]]="NÃO",autocompJanta[[#This Row],[EXISTE MOT B ANT]]="NÃO"),"NÃO","SIM")</f>
        <v>NÃO</v>
      </c>
      <c r="L221" s="59" t="str">
        <f t="shared" ref="L221" si="13">_xlfn.CONCAT(T244+1,"+",X244)</f>
        <v>45945+  FRANCISCO PESSOA DE CARVALHO- 5276</v>
      </c>
      <c r="M221" s="59" t="str">
        <f>IF(autocompJanta[[#This Row],[COMP ESCALA POSTERIOR]]="NÃO","NÃO",_xlfn.XLOOKUP(autocompJanta[[#This Row],[COMP ESCALA POSTERIOR]],tabE.Flux[COMP.AT. MOT A],tabE.Flux[LINHA],"NÃO",0,1))</f>
        <v>NÃO</v>
      </c>
      <c r="N221" s="59" t="str">
        <f>IF(autocompJanta[[#This Row],[COMP ESCALA POSTERIOR]]="NÃO","NÃO",_xlfn.XLOOKUP(autocompJanta[[#This Row],[COMP ESCALA POSTERIOR]],tabE.Flux[COMP.AT. MOT B],tabE.Flux[LINHA],"NÃO",0,1))</f>
        <v>NÃO</v>
      </c>
      <c r="O221" s="65" t="str">
        <f>IF(AND(autocompJanta[[#This Row],[EXISTE MOT A POS]]="NÃO",autocompJanta[[#This Row],[EXISTE MOT B POS]]="NÃO"),"NÃO","SIM")</f>
        <v>NÃO</v>
      </c>
      <c r="P221" s="66" t="str" cm="1">
        <f t="array" ref="P22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21" s="103" t="str" cm="1">
        <f t="array" ref="Q22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45939+LAUCEANDO DA SILVA ROCHA - 6220+GOIANIA (GO) X SAO LUIS (MA)</v>
      </c>
      <c r="R221" s="67">
        <f>_xlfn.XLOOKUP(autocompJanta[[#This Row],[COMP ESCALA]],tabE.Flux[COMP. ESCALA MOT B],tabE.Flux[CARRO],
(_xlfn.XLOOKUP(autocompJanta[[#This Row],[COMP ESCALA]],tabE.Flux[COMP. ESCALA MOT A],tabE.Flux[CARRO],"N/E",0,1)),0,1)</f>
        <v>24015</v>
      </c>
      <c r="S221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221" s="127">
        <v>45939</v>
      </c>
      <c r="U221" s="131">
        <f>IF(IFERROR(autocompJanta[[#This Row],[CORRESP. CARRO]],"")="NÃO",(IF(tabJanta[[#This Row],[MOTORISTA]]=0,"","PASSE?")),autocompJanta[[#This Row],[CORRESP. CARRO]])</f>
        <v>24015</v>
      </c>
      <c r="V221" s="126">
        <f>IF(OR(ISERR(autocompJanta[[#This Row],[CORRESP HORARIO]]), autocompJanta[[#This Row],[CORRESP HORARIO]]&lt;&gt;"NÃO"),autocompJanta[[#This Row],[CORRESP HORARIO]],"")</f>
        <v>0.29166666666666669</v>
      </c>
      <c r="W221" s="1" t="s">
        <v>299</v>
      </c>
      <c r="X221" s="1" t="s">
        <v>86</v>
      </c>
      <c r="Y221" s="1">
        <f>IF(tabJanta[[#This Row],[MOTORISTA]]="","",COUNTIF(autocompJanta[COMP ESCALA ATUAL],autocompJanta[[#This Row],[COMP ESCALA ATUAL]]))</f>
        <v>1</v>
      </c>
      <c r="Z221" s="105">
        <f>IF(tabJanta[[#This Row],[MOTORISTA]]&lt;&gt;0,15,"")</f>
        <v>15</v>
      </c>
      <c r="AA221" s="131" t="str">
        <f>autocompJanta[[#This Row],[CORRESP LINHA]]</f>
        <v>GOIANIA (GO) X SAO LUIS (MA)</v>
      </c>
    </row>
    <row r="222" spans="3:27" ht="15" customHeight="1" x14ac:dyDescent="0.25">
      <c r="C222" s="129" t="s">
        <v>226</v>
      </c>
      <c r="D222" s="56" t="str">
        <f>IF(tabJanta[[#This Row],[MOTORISTA]]="","",_xlfn.CONCAT(tabJanta[[#This Row],[DATA]],"+",tabJanta[[#This Row],[MOTORISTA]]))</f>
        <v>45939+JAIRO VIEIRA FERREIRA - 5835</v>
      </c>
      <c r="E222" s="56" t="str">
        <f>_xlfn.XLOOKUP(autocompJanta[[#This Row],[COMP ESCALA ATUAL]],tabE.Flux[COMP.AT. MOT A],tabE.Flux[LINHA],"NÃO",0,1)</f>
        <v>FORTALEZA (CE) X SINOP (MT)</v>
      </c>
      <c r="F222" s="56" t="str">
        <f>_xlfn.XLOOKUP(autocompJanta[[#This Row],[COMP ESCALA ATUAL]],tabE.Flux[COMP.AT. MOT B],tabE.Flux[LINHA],"NÃO",0,1)</f>
        <v>NÃO</v>
      </c>
      <c r="G222" s="61" t="str">
        <f>IF(AND(autocompJanta[[#This Row],[EXISTE MOT A AT]]="NÃO", autocompJanta[[#This Row],[EXISTE MOT B AT]]="NÃO"),"NÃO","SIM")</f>
        <v>SIM</v>
      </c>
      <c r="H222" s="57" t="str">
        <f>IF(autocompJanta[[#This Row],[EXISTE ESCALA ATUAL]]="NÃO",_xlfn.CONCAT(tabJanta[[#This Row],[DATA]]-1,"+",tabJanta[[#This Row],[MOTORISTA]]),"NÃO")</f>
        <v>NÃO</v>
      </c>
      <c r="I222" s="57" t="str">
        <f>IF(autocompJanta[[#This Row],[COMP ESCALA ANTERIOR]]="NÃO","NÃO",_xlfn.XLOOKUP(autocompJanta[[#This Row],[COMP ESCALA ANTERIOR]],tabE.Flux[COMP.AT. MOT A],tabE.Flux[LINHA],"NÃO",0,1))</f>
        <v>NÃO</v>
      </c>
      <c r="J222" s="58" t="str">
        <f>IF(autocompJanta[[#This Row],[COMP ESCALA ANTERIOR]]="NÃO","NÃO",_xlfn.XLOOKUP(autocompJanta[[#This Row],[COMP ESCALA ANTERIOR]],tabE.Flux[COMP.AT. MOT B],tabE.Flux[LINHA],"NÃO",0,1))</f>
        <v>NÃO</v>
      </c>
      <c r="K222" s="62" t="str">
        <f>IF(AND(autocompJanta[[#This Row],[EXISTE MOT A ANT]]="NÃO",autocompJanta[[#This Row],[EXISTE MOT B ANT]]="NÃO"),"NÃO","SIM")</f>
        <v>NÃO</v>
      </c>
      <c r="L222" s="59" t="str">
        <f>_xlfn.CONCAT(T248+1,"+",X248)</f>
        <v>1+</v>
      </c>
      <c r="M222" s="59" t="str">
        <f>IF(autocompJanta[[#This Row],[COMP ESCALA POSTERIOR]]="NÃO","NÃO",_xlfn.XLOOKUP(autocompJanta[[#This Row],[COMP ESCALA POSTERIOR]],tabE.Flux[COMP.AT. MOT A],tabE.Flux[LINHA],"NÃO",0,1))</f>
        <v>NÃO</v>
      </c>
      <c r="N222" s="59" t="str">
        <f>IF(autocompJanta[[#This Row],[COMP ESCALA POSTERIOR]]="NÃO","NÃO",_xlfn.XLOOKUP(autocompJanta[[#This Row],[COMP ESCALA POSTERIOR]],tabE.Flux[COMP.AT. MOT B],tabE.Flux[LINHA],"NÃO",0,1))</f>
        <v>NÃO</v>
      </c>
      <c r="O222" s="65" t="str">
        <f>IF(AND(autocompJanta[[#This Row],[EXISTE MOT A POS]]="NÃO",autocompJanta[[#This Row],[EXISTE MOT B POS]]="NÃO"),"NÃO","SIM")</f>
        <v>NÃO</v>
      </c>
      <c r="P222" s="66" t="str" cm="1">
        <f t="array" ref="P22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222" s="103" t="str" cm="1">
        <f t="array" ref="Q22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45939+JAIRO VIEIRA FERREIRA - 5835+FORTALEZA (CE) X SINOP (MT)</v>
      </c>
      <c r="R222" s="67">
        <f>_xlfn.XLOOKUP(autocompJanta[[#This Row],[COMP ESCALA]],tabE.Flux[COMP. ESCALA MOT B],tabE.Flux[CARRO],
(_xlfn.XLOOKUP(autocompJanta[[#This Row],[COMP ESCALA]],tabE.Flux[COMP. ESCALA MOT A],tabE.Flux[CARRO],"N/E",0,1)),0,1)</f>
        <v>19015</v>
      </c>
      <c r="S222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222" s="127">
        <v>45939</v>
      </c>
      <c r="U222" s="131">
        <f>IF(IFERROR(autocompJanta[[#This Row],[CORRESP. CARRO]],"")="NÃO",(IF(tabJanta[[#This Row],[MOTORISTA]]=0,"","PASSE?")),autocompJanta[[#This Row],[CORRESP. CARRO]])</f>
        <v>19015</v>
      </c>
      <c r="V222" s="126">
        <f>IF(OR(ISERR(autocompJanta[[#This Row],[CORRESP HORARIO]]), autocompJanta[[#This Row],[CORRESP HORARIO]]&lt;&gt;"NÃO"),autocompJanta[[#This Row],[CORRESP HORARIO]],"")</f>
        <v>0.37708333333333333</v>
      </c>
      <c r="W222" s="1" t="s">
        <v>299</v>
      </c>
      <c r="X222" s="1" t="s">
        <v>230</v>
      </c>
      <c r="Y222" s="1">
        <f>IF(tabJanta[[#This Row],[MOTORISTA]]="","",COUNTIF(autocompJanta[COMP ESCALA ATUAL],autocompJanta[[#This Row],[COMP ESCALA ATUAL]]))</f>
        <v>1</v>
      </c>
      <c r="Z222" s="105">
        <f>IF(tabJanta[[#This Row],[MOTORISTA]]&lt;&gt;0,15,"")</f>
        <v>15</v>
      </c>
      <c r="AA222" s="131" t="str">
        <f>autocompJanta[[#This Row],[CORRESP LINHA]]</f>
        <v>FORTALEZA (CE) X SINOP (MT)</v>
      </c>
    </row>
    <row r="223" spans="3:27" ht="15" customHeight="1" x14ac:dyDescent="0.25">
      <c r="C223" s="129" t="s">
        <v>226</v>
      </c>
      <c r="D223" s="56" t="str">
        <f>IF(tabJanta[[#This Row],[MOTORISTA]]="","",_xlfn.CONCAT(tabJanta[[#This Row],[DATA]],"+",tabJanta[[#This Row],[MOTORISTA]]))</f>
        <v>45940+KAYLSON KLEYTON DA SILVA COSTA - 6224</v>
      </c>
      <c r="E223" s="56" t="str">
        <f>_xlfn.XLOOKUP(autocompJanta[[#This Row],[COMP ESCALA ATUAL]],tabE.Flux[COMP.AT. MOT A],tabE.Flux[LINHA],"NÃO",0,1)</f>
        <v>NÃO</v>
      </c>
      <c r="F223" s="56" t="str">
        <f>_xlfn.XLOOKUP(autocompJanta[[#This Row],[COMP ESCALA ATUAL]],tabE.Flux[COMP.AT. MOT B],tabE.Flux[LINHA],"NÃO",0,1)</f>
        <v>GOIANIA (GO) X SAO LUIS (MA)</v>
      </c>
      <c r="G223" s="61" t="str">
        <f>IF(AND(autocompJanta[[#This Row],[EXISTE MOT A AT]]="NÃO", autocompJanta[[#This Row],[EXISTE MOT B AT]]="NÃO"),"NÃO","SIM")</f>
        <v>SIM</v>
      </c>
      <c r="H223" s="57" t="str">
        <f>IF(autocompJanta[[#This Row],[EXISTE ESCALA ATUAL]]="NÃO",_xlfn.CONCAT(tabJanta[[#This Row],[DATA]]-1,"+",tabJanta[[#This Row],[MOTORISTA]]),"NÃO")</f>
        <v>NÃO</v>
      </c>
      <c r="I223" s="57" t="str">
        <f>IF(autocompJanta[[#This Row],[COMP ESCALA ANTERIOR]]="NÃO","NÃO",_xlfn.XLOOKUP(autocompJanta[[#This Row],[COMP ESCALA ANTERIOR]],tabE.Flux[COMP.AT. MOT A],tabE.Flux[LINHA],"NÃO",0,1))</f>
        <v>NÃO</v>
      </c>
      <c r="J223" s="58" t="str">
        <f>IF(autocompJanta[[#This Row],[COMP ESCALA ANTERIOR]]="NÃO","NÃO",_xlfn.XLOOKUP(autocompJanta[[#This Row],[COMP ESCALA ANTERIOR]],tabE.Flux[COMP.AT. MOT B],tabE.Flux[LINHA],"NÃO",0,1))</f>
        <v>NÃO</v>
      </c>
      <c r="K223" s="62" t="str">
        <f>IF(AND(autocompJanta[[#This Row],[EXISTE MOT A ANT]]="NÃO",autocompJanta[[#This Row],[EXISTE MOT B ANT]]="NÃO"),"NÃO","SIM")</f>
        <v>NÃO</v>
      </c>
      <c r="L223" s="59" t="str">
        <f t="shared" ref="L223:L228" si="14">_xlfn.CONCAT(T254+1,"+",X254)</f>
        <v>1+</v>
      </c>
      <c r="M223" s="59" t="str">
        <f>IF(autocompJanta[[#This Row],[COMP ESCALA POSTERIOR]]="NÃO","NÃO",_xlfn.XLOOKUP(autocompJanta[[#This Row],[COMP ESCALA POSTERIOR]],tabE.Flux[COMP.AT. MOT A],tabE.Flux[LINHA],"NÃO",0,1))</f>
        <v>NÃO</v>
      </c>
      <c r="N223" s="59" t="str">
        <f>IF(autocompJanta[[#This Row],[COMP ESCALA POSTERIOR]]="NÃO","NÃO",_xlfn.XLOOKUP(autocompJanta[[#This Row],[COMP ESCALA POSTERIOR]],tabE.Flux[COMP.AT. MOT B],tabE.Flux[LINHA],"NÃO",0,1))</f>
        <v>NÃO</v>
      </c>
      <c r="O223" s="65" t="str">
        <f>IF(AND(autocompJanta[[#This Row],[EXISTE MOT A POS]]="NÃO",autocompJanta[[#This Row],[EXISTE MOT B POS]]="NÃO"),"NÃO","SIM")</f>
        <v>NÃO</v>
      </c>
      <c r="P223" s="66" t="str" cm="1">
        <f t="array" ref="P22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23" s="103" t="str" cm="1">
        <f t="array" ref="Q22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45940+KAYLSON KLEYTON DA SILVA COSTA - 6224+GOIANIA (GO) X SAO LUIS (MA)</v>
      </c>
      <c r="R223" s="67">
        <f>_xlfn.XLOOKUP(autocompJanta[[#This Row],[COMP ESCALA]],tabE.Flux[COMP. ESCALA MOT B],tabE.Flux[CARRO],
(_xlfn.XLOOKUP(autocompJanta[[#This Row],[COMP ESCALA]],tabE.Flux[COMP. ESCALA MOT A],tabE.Flux[CARRO],"N/E",0,1)),0,1)</f>
        <v>19002</v>
      </c>
      <c r="S223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223" s="127">
        <v>45940</v>
      </c>
      <c r="U223" s="4">
        <f>IF(IFERROR(autocompJanta[[#This Row],[CORRESP. CARRO]],"")="NÃO",(IF(tabJanta[[#This Row],[MOTORISTA]]=0,"","PASSE?")),autocompJanta[[#This Row],[CORRESP. CARRO]])</f>
        <v>19002</v>
      </c>
      <c r="V223" s="128">
        <f>IF(OR(ISERR(autocompJanta[[#This Row],[CORRESP HORARIO]]), autocompJanta[[#This Row],[CORRESP HORARIO]]&lt;&gt;"NÃO"),autocompJanta[[#This Row],[CORRESP HORARIO]],"")</f>
        <v>0.47013888888888888</v>
      </c>
      <c r="W223" s="4" t="s">
        <v>299</v>
      </c>
      <c r="X223" s="4" t="s">
        <v>80</v>
      </c>
      <c r="Y223" s="4">
        <f>IF(tabJanta[[#This Row],[MOTORISTA]]="","",COUNTIF(autocompJanta[COMP ESCALA ATUAL],autocompJanta[[#This Row],[COMP ESCALA ATUAL]]))</f>
        <v>1</v>
      </c>
      <c r="Z223" s="45">
        <f>IF(tabJanta[[#This Row],[MOTORISTA]]&lt;&gt;0,15,"")</f>
        <v>15</v>
      </c>
      <c r="AA223" s="4" t="str">
        <f>autocompJanta[[#This Row],[CORRESP LINHA]]</f>
        <v>GOIANIA (GO) X SAO LUIS (MA)</v>
      </c>
    </row>
    <row r="224" spans="3:27" ht="15" customHeight="1" x14ac:dyDescent="0.25">
      <c r="C224" s="129" t="s">
        <v>226</v>
      </c>
      <c r="D224" s="56" t="str">
        <f>IF(tabJanta[[#This Row],[MOTORISTA]]="","",_xlfn.CONCAT(tabJanta[[#This Row],[DATA]],"+",tabJanta[[#This Row],[MOTORISTA]]))</f>
        <v>45940+CARLOS ADRIANO DE SOUZA DO NASCIMENTO - 6222</v>
      </c>
      <c r="E224" s="56" t="str">
        <f>_xlfn.XLOOKUP(autocompJanta[[#This Row],[COMP ESCALA ATUAL]],tabE.Flux[COMP.AT. MOT A],tabE.Flux[LINHA],"NÃO",0,1)</f>
        <v>GOIANIA (GO) X SAO LUIS (MA)</v>
      </c>
      <c r="F224" s="56" t="str">
        <f>_xlfn.XLOOKUP(autocompJanta[[#This Row],[COMP ESCALA ATUAL]],tabE.Flux[COMP.AT. MOT B],tabE.Flux[LINHA],"NÃO",0,1)</f>
        <v>GOIANIA (GO) X SAO LUIS (MA)</v>
      </c>
      <c r="G224" s="61" t="str">
        <f>IF(AND(autocompJanta[[#This Row],[EXISTE MOT A AT]]="NÃO", autocompJanta[[#This Row],[EXISTE MOT B AT]]="NÃO"),"NÃO","SIM")</f>
        <v>SIM</v>
      </c>
      <c r="H224" s="57" t="str">
        <f>IF(autocompJanta[[#This Row],[EXISTE ESCALA ATUAL]]="NÃO",_xlfn.CONCAT(tabJanta[[#This Row],[DATA]]-1,"+",tabJanta[[#This Row],[MOTORISTA]]),"NÃO")</f>
        <v>NÃO</v>
      </c>
      <c r="I224" s="57" t="str">
        <f>IF(autocompJanta[[#This Row],[COMP ESCALA ANTERIOR]]="NÃO","NÃO",_xlfn.XLOOKUP(autocompJanta[[#This Row],[COMP ESCALA ANTERIOR]],tabE.Flux[COMP.AT. MOT A],tabE.Flux[LINHA],"NÃO",0,1))</f>
        <v>NÃO</v>
      </c>
      <c r="J224" s="58" t="str">
        <f>IF(autocompJanta[[#This Row],[COMP ESCALA ANTERIOR]]="NÃO","NÃO",_xlfn.XLOOKUP(autocompJanta[[#This Row],[COMP ESCALA ANTERIOR]],tabE.Flux[COMP.AT. MOT B],tabE.Flux[LINHA],"NÃO",0,1))</f>
        <v>NÃO</v>
      </c>
      <c r="K224" s="62" t="str">
        <f>IF(AND(autocompJanta[[#This Row],[EXISTE MOT A ANT]]="NÃO",autocompJanta[[#This Row],[EXISTE MOT B ANT]]="NÃO"),"NÃO","SIM")</f>
        <v>NÃO</v>
      </c>
      <c r="L224" s="59" t="str">
        <f t="shared" si="14"/>
        <v>1+</v>
      </c>
      <c r="M224" s="59" t="str">
        <f>IF(autocompJanta[[#This Row],[COMP ESCALA POSTERIOR]]="NÃO","NÃO",_xlfn.XLOOKUP(autocompJanta[[#This Row],[COMP ESCALA POSTERIOR]],tabE.Flux[COMP.AT. MOT A],tabE.Flux[LINHA],"NÃO",0,1))</f>
        <v>NÃO</v>
      </c>
      <c r="N224" s="59" t="str">
        <f>IF(autocompJanta[[#This Row],[COMP ESCALA POSTERIOR]]="NÃO","NÃO",_xlfn.XLOOKUP(autocompJanta[[#This Row],[COMP ESCALA POSTERIOR]],tabE.Flux[COMP.AT. MOT B],tabE.Flux[LINHA],"NÃO",0,1))</f>
        <v>NÃO</v>
      </c>
      <c r="O224" s="65" t="str">
        <f>IF(AND(autocompJanta[[#This Row],[EXISTE MOT A POS]]="NÃO",autocompJanta[[#This Row],[EXISTE MOT B POS]]="NÃO"),"NÃO","SIM")</f>
        <v>NÃO</v>
      </c>
      <c r="P224" s="66" t="str" cm="1">
        <f t="array" ref="P22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24" s="103" t="str" cm="1">
        <f t="array" ref="Q22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45940+CARLOS ADRIANO DE SOUZA DO NASCIMENTO - 6222+GOIANIA (GO) X SAO LUIS (MA)</v>
      </c>
      <c r="R224" s="67">
        <f>_xlfn.XLOOKUP(autocompJanta[[#This Row],[COMP ESCALA]],tabE.Flux[COMP. ESCALA MOT B],tabE.Flux[CARRO],
(_xlfn.XLOOKUP(autocompJanta[[#This Row],[COMP ESCALA]],tabE.Flux[COMP. ESCALA MOT A],tabE.Flux[CARRO],"N/E",0,1)),0,1)</f>
        <v>24003</v>
      </c>
      <c r="S224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224" s="127">
        <v>45940</v>
      </c>
      <c r="U224" s="4">
        <f>IF(IFERROR(autocompJanta[[#This Row],[CORRESP. CARRO]],"")="NÃO",(IF(tabJanta[[#This Row],[MOTORISTA]]=0,"","PASSE?")),autocompJanta[[#This Row],[CORRESP. CARRO]])</f>
        <v>24003</v>
      </c>
      <c r="V224" s="126">
        <f>IF(OR(ISERR(autocompJanta[[#This Row],[CORRESP HORARIO]]), autocompJanta[[#This Row],[CORRESP HORARIO]]&lt;&gt;"NÃO"),autocompJanta[[#This Row],[CORRESP HORARIO]],"")</f>
        <v>0.29166666666666669</v>
      </c>
      <c r="W224" s="1" t="s">
        <v>299</v>
      </c>
      <c r="X224" s="1" t="s">
        <v>110</v>
      </c>
      <c r="Y224" s="1">
        <f>IF(tabJanta[[#This Row],[MOTORISTA]]="","",COUNTIF(autocompJanta[COMP ESCALA ATUAL],autocompJanta[[#This Row],[COMP ESCALA ATUAL]]))</f>
        <v>1</v>
      </c>
      <c r="Z224" s="105">
        <f>IF(tabJanta[[#This Row],[MOTORISTA]]&lt;&gt;0,15,"")</f>
        <v>15</v>
      </c>
      <c r="AA224" s="4" t="str">
        <f>autocompJanta[[#This Row],[CORRESP LINHA]]</f>
        <v>GOIANIA (GO) X SAO LUIS (MA)</v>
      </c>
    </row>
    <row r="225" spans="3:27" ht="15" customHeight="1" x14ac:dyDescent="0.25">
      <c r="C225" s="129" t="s">
        <v>226</v>
      </c>
      <c r="D225" s="56" t="str">
        <f>IF(tabJanta[[#This Row],[MOTORISTA]]="","",_xlfn.CONCAT(tabJanta[[#This Row],[DATA]],"+",tabJanta[[#This Row],[MOTORISTA]]))</f>
        <v>45940+EDIVALDO DE ARAUJO - 6217</v>
      </c>
      <c r="E225" s="56" t="str">
        <f>_xlfn.XLOOKUP(autocompJanta[[#This Row],[COMP ESCALA ATUAL]],tabE.Flux[COMP.AT. MOT A],tabE.Flux[LINHA],"NÃO",0,1)</f>
        <v>NÃO</v>
      </c>
      <c r="F225" s="56" t="str">
        <f>_xlfn.XLOOKUP(autocompJanta[[#This Row],[COMP ESCALA ATUAL]],tabE.Flux[COMP.AT. MOT B],tabE.Flux[LINHA],"NÃO",0,1)</f>
        <v>IMPERATRIZ (MA) X SÃO LUIS (MA)</v>
      </c>
      <c r="G225" s="61" t="str">
        <f>IF(AND(autocompJanta[[#This Row],[EXISTE MOT A AT]]="NÃO", autocompJanta[[#This Row],[EXISTE MOT B AT]]="NÃO"),"NÃO","SIM")</f>
        <v>SIM</v>
      </c>
      <c r="H225" s="57" t="str">
        <f>IF(autocompJanta[[#This Row],[EXISTE ESCALA ATUAL]]="NÃO",_xlfn.CONCAT(tabJanta[[#This Row],[DATA]]-1,"+",tabJanta[[#This Row],[MOTORISTA]]),"NÃO")</f>
        <v>NÃO</v>
      </c>
      <c r="I225" s="57" t="str">
        <f>IF(autocompJanta[[#This Row],[COMP ESCALA ANTERIOR]]="NÃO","NÃO",_xlfn.XLOOKUP(autocompJanta[[#This Row],[COMP ESCALA ANTERIOR]],tabE.Flux[COMP.AT. MOT A],tabE.Flux[LINHA],"NÃO",0,1))</f>
        <v>NÃO</v>
      </c>
      <c r="J225" s="58" t="str">
        <f>IF(autocompJanta[[#This Row],[COMP ESCALA ANTERIOR]]="NÃO","NÃO",_xlfn.XLOOKUP(autocompJanta[[#This Row],[COMP ESCALA ANTERIOR]],tabE.Flux[COMP.AT. MOT B],tabE.Flux[LINHA],"NÃO",0,1))</f>
        <v>NÃO</v>
      </c>
      <c r="K225" s="62" t="str">
        <f>IF(AND(autocompJanta[[#This Row],[EXISTE MOT A ANT]]="NÃO",autocompJanta[[#This Row],[EXISTE MOT B ANT]]="NÃO"),"NÃO","SIM")</f>
        <v>NÃO</v>
      </c>
      <c r="L225" s="59" t="str">
        <f t="shared" si="14"/>
        <v>1+</v>
      </c>
      <c r="M225" s="59" t="str">
        <f>IF(autocompJanta[[#This Row],[COMP ESCALA POSTERIOR]]="NÃO","NÃO",_xlfn.XLOOKUP(autocompJanta[[#This Row],[COMP ESCALA POSTERIOR]],tabE.Flux[COMP.AT. MOT A],tabE.Flux[LINHA],"NÃO",0,1))</f>
        <v>NÃO</v>
      </c>
      <c r="N225" s="59" t="str">
        <f>IF(autocompJanta[[#This Row],[COMP ESCALA POSTERIOR]]="NÃO","NÃO",_xlfn.XLOOKUP(autocompJanta[[#This Row],[COMP ESCALA POSTERIOR]],tabE.Flux[COMP.AT. MOT B],tabE.Flux[LINHA],"NÃO",0,1))</f>
        <v>NÃO</v>
      </c>
      <c r="O225" s="65" t="str">
        <f>IF(AND(autocompJanta[[#This Row],[EXISTE MOT A POS]]="NÃO",autocompJanta[[#This Row],[EXISTE MOT B POS]]="NÃO"),"NÃO","SIM")</f>
        <v>NÃO</v>
      </c>
      <c r="P225" s="66" t="str" cm="1">
        <f t="array" ref="P22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IMPERATRIZ (MA) X SÃO LUIS (MA)</v>
      </c>
      <c r="Q225" s="103" t="str" cm="1">
        <f t="array" ref="Q22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45940+EDIVALDO DE ARAUJO - 6217+IMPERATRIZ (MA) X SÃO LUIS (MA)</v>
      </c>
      <c r="R225" s="67">
        <f>_xlfn.XLOOKUP(autocompJanta[[#This Row],[COMP ESCALA]],tabE.Flux[COMP. ESCALA MOT B],tabE.Flux[CARRO],
(_xlfn.XLOOKUP(autocompJanta[[#This Row],[COMP ESCALA]],tabE.Flux[COMP. ESCALA MOT A],tabE.Flux[CARRO],"N/E",0,1)),0,1)</f>
        <v>19020</v>
      </c>
      <c r="S225" s="130">
        <f>_xlfn.XLOOKUP(autocompJanta[[#This Row],[COMP ESCALA]],tabE.Flux[COMP. ESCALA MOT A],tabE.Flux[HORARIO],(_xlfn.XLOOKUP(autocompJanta[[#This Row],[COMP ESCALA]],tabE.Flux[COMP. ESCALA MOT B],tabE.Flux[HORARIO],"N/E",0,1)),0,1)</f>
        <v>0.8125</v>
      </c>
      <c r="T225" s="127">
        <v>45940</v>
      </c>
      <c r="U225" s="131">
        <f>IF(IFERROR(autocompJanta[[#This Row],[CORRESP. CARRO]],"")="NÃO",(IF(tabJanta[[#This Row],[MOTORISTA]]=0,"","PASSE?")),autocompJanta[[#This Row],[CORRESP. CARRO]])</f>
        <v>19020</v>
      </c>
      <c r="V225" s="126">
        <f>IF(OR(ISERR(autocompJanta[[#This Row],[CORRESP HORARIO]]), autocompJanta[[#This Row],[CORRESP HORARIO]]&lt;&gt;"NÃO"),autocompJanta[[#This Row],[CORRESP HORARIO]],"")</f>
        <v>0.8125</v>
      </c>
      <c r="W225" s="1" t="s">
        <v>306</v>
      </c>
      <c r="X225" s="1" t="s">
        <v>55</v>
      </c>
      <c r="Y225" s="1">
        <f>IF(tabJanta[[#This Row],[MOTORISTA]]="","",COUNTIF(autocompJanta[COMP ESCALA ATUAL],autocompJanta[[#This Row],[COMP ESCALA ATUAL]]))</f>
        <v>1</v>
      </c>
      <c r="Z225" s="105">
        <f>IF(tabJanta[[#This Row],[MOTORISTA]]&lt;&gt;0,15,"")</f>
        <v>15</v>
      </c>
      <c r="AA225" s="131" t="str">
        <f>autocompJanta[[#This Row],[CORRESP LINHA]]</f>
        <v>IMPERATRIZ (MA) X SÃO LUIS (MA)</v>
      </c>
    </row>
    <row r="226" spans="3:27" ht="15" customHeight="1" x14ac:dyDescent="0.25">
      <c r="C226" s="129" t="s">
        <v>226</v>
      </c>
      <c r="D226" s="56" t="str">
        <f>IF(tabJanta[[#This Row],[MOTORISTA]]="","",_xlfn.CONCAT(tabJanta[[#This Row],[DATA]],"+",tabJanta[[#This Row],[MOTORISTA]]))</f>
        <v>45940+RICHARD SOUSA DA SILVA - 1271</v>
      </c>
      <c r="E226" s="56" t="str">
        <f>_xlfn.XLOOKUP(autocompJanta[[#This Row],[COMP ESCALA ATUAL]],tabE.Flux[COMP.AT. MOT A],tabE.Flux[LINHA],"NÃO",0,1)</f>
        <v>NÃO</v>
      </c>
      <c r="F226" s="56" t="str">
        <f>_xlfn.XLOOKUP(autocompJanta[[#This Row],[COMP ESCALA ATUAL]],tabE.Flux[COMP.AT. MOT B],tabE.Flux[LINHA],"NÃO",0,1)</f>
        <v>NÃO</v>
      </c>
      <c r="G226" s="61" t="str">
        <f>IF(AND(autocompJanta[[#This Row],[EXISTE MOT A AT]]="NÃO", autocompJanta[[#This Row],[EXISTE MOT B AT]]="NÃO"),"NÃO","SIM")</f>
        <v>NÃO</v>
      </c>
      <c r="H226" s="57" t="str">
        <f>IF(autocompJanta[[#This Row],[EXISTE ESCALA ATUAL]]="NÃO",_xlfn.CONCAT(tabJanta[[#This Row],[DATA]]-1,"+",tabJanta[[#This Row],[MOTORISTA]]),"NÃO")</f>
        <v>45939+RICHARD SOUSA DA SILVA - 1271</v>
      </c>
      <c r="I226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226" s="58" t="str">
        <f>IF(autocompJanta[[#This Row],[COMP ESCALA ANTERIOR]]="NÃO","NÃO",_xlfn.XLOOKUP(autocompJanta[[#This Row],[COMP ESCALA ANTERIOR]],tabE.Flux[COMP.AT. MOT B],tabE.Flux[LINHA],"NÃO",0,1))</f>
        <v>NÃO</v>
      </c>
      <c r="K226" s="62" t="str">
        <f>IF(AND(autocompJanta[[#This Row],[EXISTE MOT A ANT]]="NÃO",autocompJanta[[#This Row],[EXISTE MOT B ANT]]="NÃO"),"NÃO","SIM")</f>
        <v>SIM</v>
      </c>
      <c r="L226" s="59" t="str">
        <f t="shared" si="14"/>
        <v>1+</v>
      </c>
      <c r="M226" s="59" t="str">
        <f>IF(autocompJanta[[#This Row],[COMP ESCALA POSTERIOR]]="NÃO","NÃO",_xlfn.XLOOKUP(autocompJanta[[#This Row],[COMP ESCALA POSTERIOR]],tabE.Flux[COMP.AT. MOT A],tabE.Flux[LINHA],"NÃO",0,1))</f>
        <v>NÃO</v>
      </c>
      <c r="N226" s="59" t="str">
        <f>IF(autocompJanta[[#This Row],[COMP ESCALA POSTERIOR]]="NÃO","NÃO",_xlfn.XLOOKUP(autocompJanta[[#This Row],[COMP ESCALA POSTERIOR]],tabE.Flux[COMP.AT. MOT B],tabE.Flux[LINHA],"NÃO",0,1))</f>
        <v>NÃO</v>
      </c>
      <c r="O226" s="65" t="str">
        <f>IF(AND(autocompJanta[[#This Row],[EXISTE MOT A POS]]="NÃO",autocompJanta[[#This Row],[EXISTE MOT B POS]]="NÃO"),"NÃO","SIM")</f>
        <v>NÃO</v>
      </c>
      <c r="P226" s="66" t="str" cm="1">
        <f t="array" ref="P22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26" s="103" t="str" cm="1">
        <f t="array" ref="Q22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45939+RICHARD SOUSA DA SILVA - 1271+GOIANIA (GO) X TERESINA (PI) VIA STI</v>
      </c>
      <c r="R226" s="67">
        <f>_xlfn.XLOOKUP(autocompJanta[[#This Row],[COMP ESCALA]],tabE.Flux[COMP. ESCALA MOT B],tabE.Flux[CARRO],
(_xlfn.XLOOKUP(autocompJanta[[#This Row],[COMP ESCALA]],tabE.Flux[COMP. ESCALA MOT A],tabE.Flux[CARRO],"N/E",0,1)),0,1)</f>
        <v>17300</v>
      </c>
      <c r="S226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26" s="127">
        <v>45940</v>
      </c>
      <c r="U226" s="131">
        <f>IF(IFERROR(autocompJanta[[#This Row],[CORRESP. CARRO]],"")="NÃO",(IF(tabJanta[[#This Row],[MOTORISTA]]=0,"","PASSE?")),autocompJanta[[#This Row],[CORRESP. CARRO]])</f>
        <v>17300</v>
      </c>
      <c r="V226" s="126">
        <f>IF(OR(ISERR(autocompJanta[[#This Row],[CORRESP HORARIO]]), autocompJanta[[#This Row],[CORRESP HORARIO]]&lt;&gt;"NÃO"),autocompJanta[[#This Row],[CORRESP HORARIO]],"")</f>
        <v>0.79861111111111116</v>
      </c>
      <c r="W226" s="1" t="s">
        <v>299</v>
      </c>
      <c r="X226" s="1" t="s">
        <v>56</v>
      </c>
      <c r="Y226" s="1">
        <f>IF(tabJanta[[#This Row],[MOTORISTA]]="","",COUNTIF(autocompJanta[COMP ESCALA ATUAL],autocompJanta[[#This Row],[COMP ESCALA ATUAL]]))</f>
        <v>1</v>
      </c>
      <c r="Z226" s="105">
        <f>IF(tabJanta[[#This Row],[MOTORISTA]]&lt;&gt;0,15,"")</f>
        <v>15</v>
      </c>
      <c r="AA226" s="131" t="str">
        <f>autocompJanta[[#This Row],[CORRESP LINHA]]</f>
        <v>GOIANIA (GO) X TERESINA (PI) VIA STI</v>
      </c>
    </row>
    <row r="227" spans="3:27" ht="15" customHeight="1" x14ac:dyDescent="0.25">
      <c r="C227" s="129" t="s">
        <v>226</v>
      </c>
      <c r="D227" s="56" t="str">
        <f>IF(tabJanta[[#This Row],[MOTORISTA]]="","",_xlfn.CONCAT(tabJanta[[#This Row],[DATA]],"+",tabJanta[[#This Row],[MOTORISTA]]))</f>
        <v>45940+RAINERIO COSTA MENDES - 5850</v>
      </c>
      <c r="E227" s="56" t="str">
        <f>_xlfn.XLOOKUP(autocompJanta[[#This Row],[COMP ESCALA ATUAL]],tabE.Flux[COMP.AT. MOT A],tabE.Flux[LINHA],"NÃO",0,1)</f>
        <v>FORTALEZA (CE) X SINOP (MT)</v>
      </c>
      <c r="F227" s="56" t="str">
        <f>_xlfn.XLOOKUP(autocompJanta[[#This Row],[COMP ESCALA ATUAL]],tabE.Flux[COMP.AT. MOT B],tabE.Flux[LINHA],"NÃO",0,1)</f>
        <v>NÃO</v>
      </c>
      <c r="G227" s="61" t="str">
        <f>IF(AND(autocompJanta[[#This Row],[EXISTE MOT A AT]]="NÃO", autocompJanta[[#This Row],[EXISTE MOT B AT]]="NÃO"),"NÃO","SIM")</f>
        <v>SIM</v>
      </c>
      <c r="H227" s="57" t="str">
        <f>IF(autocompJanta[[#This Row],[EXISTE ESCALA ATUAL]]="NÃO",_xlfn.CONCAT(tabJanta[[#This Row],[DATA]]-1,"+",tabJanta[[#This Row],[MOTORISTA]]),"NÃO")</f>
        <v>NÃO</v>
      </c>
      <c r="I227" s="57" t="str">
        <f>IF(autocompJanta[[#This Row],[COMP ESCALA ANTERIOR]]="NÃO","NÃO",_xlfn.XLOOKUP(autocompJanta[[#This Row],[COMP ESCALA ANTERIOR]],tabE.Flux[COMP.AT. MOT A],tabE.Flux[LINHA],"NÃO",0,1))</f>
        <v>NÃO</v>
      </c>
      <c r="J227" s="58" t="str">
        <f>IF(autocompJanta[[#This Row],[COMP ESCALA ANTERIOR]]="NÃO","NÃO",_xlfn.XLOOKUP(autocompJanta[[#This Row],[COMP ESCALA ANTERIOR]],tabE.Flux[COMP.AT. MOT B],tabE.Flux[LINHA],"NÃO",0,1))</f>
        <v>NÃO</v>
      </c>
      <c r="K227" s="62" t="str">
        <f>IF(AND(autocompJanta[[#This Row],[EXISTE MOT A ANT]]="NÃO",autocompJanta[[#This Row],[EXISTE MOT B ANT]]="NÃO"),"NÃO","SIM")</f>
        <v>NÃO</v>
      </c>
      <c r="L227" s="59" t="str">
        <f t="shared" si="14"/>
        <v>1+</v>
      </c>
      <c r="M227" s="59" t="str">
        <f>IF(autocompJanta[[#This Row],[COMP ESCALA POSTERIOR]]="NÃO","NÃO",_xlfn.XLOOKUP(autocompJanta[[#This Row],[COMP ESCALA POSTERIOR]],tabE.Flux[COMP.AT. MOT A],tabE.Flux[LINHA],"NÃO",0,1))</f>
        <v>NÃO</v>
      </c>
      <c r="N227" s="59" t="str">
        <f>IF(autocompJanta[[#This Row],[COMP ESCALA POSTERIOR]]="NÃO","NÃO",_xlfn.XLOOKUP(autocompJanta[[#This Row],[COMP ESCALA POSTERIOR]],tabE.Flux[COMP.AT. MOT B],tabE.Flux[LINHA],"NÃO",0,1))</f>
        <v>NÃO</v>
      </c>
      <c r="O227" s="65" t="str">
        <f>IF(AND(autocompJanta[[#This Row],[EXISTE MOT A POS]]="NÃO",autocompJanta[[#This Row],[EXISTE MOT B POS]]="NÃO"),"NÃO","SIM")</f>
        <v>NÃO</v>
      </c>
      <c r="P227" s="66" t="str" cm="1">
        <f t="array" ref="P22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227" s="103" t="str" cm="1">
        <f t="array" ref="Q22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45940+RAINERIO COSTA MENDES - 5850+FORTALEZA (CE) X SINOP (MT)</v>
      </c>
      <c r="R227" s="67">
        <f>_xlfn.XLOOKUP(autocompJanta[[#This Row],[COMP ESCALA]],tabE.Flux[COMP. ESCALA MOT B],tabE.Flux[CARRO],
(_xlfn.XLOOKUP(autocompJanta[[#This Row],[COMP ESCALA]],tabE.Flux[COMP. ESCALA MOT A],tabE.Flux[CARRO],"N/E",0,1)),0,1)</f>
        <v>17200</v>
      </c>
      <c r="S227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227" s="127">
        <v>45940</v>
      </c>
      <c r="U227" s="131">
        <f>IF(IFERROR(autocompJanta[[#This Row],[CORRESP. CARRO]],"")="NÃO",(IF(tabJanta[[#This Row],[MOTORISTA]]=0,"","PASSE?")),autocompJanta[[#This Row],[CORRESP. CARRO]])</f>
        <v>17200</v>
      </c>
      <c r="V227" s="126">
        <f>IF(OR(ISERR(autocompJanta[[#This Row],[CORRESP HORARIO]]), autocompJanta[[#This Row],[CORRESP HORARIO]]&lt;&gt;"NÃO"),autocompJanta[[#This Row],[CORRESP HORARIO]],"")</f>
        <v>0.37708333333333333</v>
      </c>
      <c r="W227" s="1" t="s">
        <v>299</v>
      </c>
      <c r="X227" s="1" t="s">
        <v>108</v>
      </c>
      <c r="Y227" s="1">
        <f>IF(tabJanta[[#This Row],[MOTORISTA]]="","",COUNTIF(autocompJanta[COMP ESCALA ATUAL],autocompJanta[[#This Row],[COMP ESCALA ATUAL]]))</f>
        <v>1</v>
      </c>
      <c r="Z227" s="105">
        <f>IF(tabJanta[[#This Row],[MOTORISTA]]&lt;&gt;0,15,"")</f>
        <v>15</v>
      </c>
      <c r="AA227" s="131" t="str">
        <f>autocompJanta[[#This Row],[CORRESP LINHA]]</f>
        <v>FORTALEZA (CE) X SINOP (MT)</v>
      </c>
    </row>
    <row r="228" spans="3:27" ht="15" customHeight="1" x14ac:dyDescent="0.25">
      <c r="C228" s="129" t="s">
        <v>226</v>
      </c>
      <c r="D228" s="56" t="str">
        <f>IF(tabJanta[[#This Row],[MOTORISTA]]="","",_xlfn.CONCAT(tabJanta[[#This Row],[DATA]],"+",tabJanta[[#This Row],[MOTORISTA]]))</f>
        <v>45940+  GENIVAN LEAL TEIXEIRA- 5302</v>
      </c>
      <c r="E228" s="56" t="str">
        <f>_xlfn.XLOOKUP(autocompJanta[[#This Row],[COMP ESCALA ATUAL]],tabE.Flux[COMP.AT. MOT A],tabE.Flux[LINHA],"NÃO",0,1)</f>
        <v>NÃO</v>
      </c>
      <c r="F228" s="56" t="str">
        <f>_xlfn.XLOOKUP(autocompJanta[[#This Row],[COMP ESCALA ATUAL]],tabE.Flux[COMP.AT. MOT B],tabE.Flux[LINHA],"NÃO",0,1)</f>
        <v>NÃO</v>
      </c>
      <c r="G228" s="61" t="str">
        <f>IF(AND(autocompJanta[[#This Row],[EXISTE MOT A AT]]="NÃO", autocompJanta[[#This Row],[EXISTE MOT B AT]]="NÃO"),"NÃO","SIM")</f>
        <v>NÃO</v>
      </c>
      <c r="H228" s="57" t="str">
        <f>IF(autocompJanta[[#This Row],[EXISTE ESCALA ATUAL]]="NÃO",_xlfn.CONCAT(tabJanta[[#This Row],[DATA]]-1,"+",tabJanta[[#This Row],[MOTORISTA]]),"NÃO")</f>
        <v>45939+  GENIVAN LEAL TEIXEIRA- 5302</v>
      </c>
      <c r="I228" s="57" t="str">
        <f>IF(autocompJanta[[#This Row],[COMP ESCALA ANTERIOR]]="NÃO","NÃO",_xlfn.XLOOKUP(autocompJanta[[#This Row],[COMP ESCALA ANTERIOR]],tabE.Flux[COMP.AT. MOT A],tabE.Flux[LINHA],"NÃO",0,1))</f>
        <v>NÃO</v>
      </c>
      <c r="J228" s="58" t="str">
        <f>IF(autocompJanta[[#This Row],[COMP ESCALA ANTERIOR]]="NÃO","NÃO",_xlfn.XLOOKUP(autocompJanta[[#This Row],[COMP ESCALA ANTERIOR]],tabE.Flux[COMP.AT. MOT B],tabE.Flux[LINHA],"NÃO",0,1))</f>
        <v>NÃO</v>
      </c>
      <c r="K228" s="62" t="str">
        <f>IF(AND(autocompJanta[[#This Row],[EXISTE MOT A ANT]]="NÃO",autocompJanta[[#This Row],[EXISTE MOT B ANT]]="NÃO"),"NÃO","SIM")</f>
        <v>NÃO</v>
      </c>
      <c r="L228" s="59" t="str">
        <f t="shared" si="14"/>
        <v>1+</v>
      </c>
      <c r="M228" s="59" t="str">
        <f>IF(autocompJanta[[#This Row],[COMP ESCALA POSTERIOR]]="NÃO","NÃO",_xlfn.XLOOKUP(autocompJanta[[#This Row],[COMP ESCALA POSTERIOR]],tabE.Flux[COMP.AT. MOT A],tabE.Flux[LINHA],"NÃO",0,1))</f>
        <v>NÃO</v>
      </c>
      <c r="N228" s="59" t="str">
        <f>IF(autocompJanta[[#This Row],[COMP ESCALA POSTERIOR]]="NÃO","NÃO",_xlfn.XLOOKUP(autocompJanta[[#This Row],[COMP ESCALA POSTERIOR]],tabE.Flux[COMP.AT. MOT B],tabE.Flux[LINHA],"NÃO",0,1))</f>
        <v>NÃO</v>
      </c>
      <c r="O228" s="65" t="str">
        <f>IF(AND(autocompJanta[[#This Row],[EXISTE MOT A POS]]="NÃO",autocompJanta[[#This Row],[EXISTE MOT B POS]]="NÃO"),"NÃO","SIM")</f>
        <v>NÃO</v>
      </c>
      <c r="P228" s="66" t="str" cm="1">
        <f t="array" ref="P22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28" s="103" t="str" cm="1">
        <f t="array" ref="Q22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28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28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28" s="127">
        <v>45940</v>
      </c>
      <c r="U228" s="131">
        <v>20014</v>
      </c>
      <c r="V228" s="126">
        <v>0.39583333333333331</v>
      </c>
      <c r="W228" s="1" t="s">
        <v>299</v>
      </c>
      <c r="X228" s="1" t="s">
        <v>321</v>
      </c>
      <c r="Y228" s="1">
        <f>IF(tabJanta[[#This Row],[MOTORISTA]]="","",COUNTIF(autocompJanta[COMP ESCALA ATUAL],autocompJanta[[#This Row],[COMP ESCALA ATUAL]]))</f>
        <v>1</v>
      </c>
      <c r="Z228" s="105">
        <f>IF(tabJanta[[#This Row],[MOTORISTA]]&lt;&gt;0,15,"")</f>
        <v>15</v>
      </c>
      <c r="AA228" s="131" t="s">
        <v>1235</v>
      </c>
    </row>
    <row r="229" spans="3:27" ht="15" customHeight="1" x14ac:dyDescent="0.25">
      <c r="C229" s="129" t="s">
        <v>226</v>
      </c>
      <c r="D229" s="56" t="str">
        <f>IF(tabJanta[[#This Row],[MOTORISTA]]="","",_xlfn.CONCAT(tabJanta[[#This Row],[DATA]],"+",tabJanta[[#This Row],[MOTORISTA]]))</f>
        <v>45940+MARCOS ATAIDE SILVA - 1352</v>
      </c>
      <c r="E229" s="56" t="str">
        <f>_xlfn.XLOOKUP(autocompJanta[[#This Row],[COMP ESCALA ATUAL]],tabE.Flux[COMP.AT. MOT A],tabE.Flux[LINHA],"NÃO",0,1)</f>
        <v>NÃO</v>
      </c>
      <c r="F229" s="56" t="str">
        <f>_xlfn.XLOOKUP(autocompJanta[[#This Row],[COMP ESCALA ATUAL]],tabE.Flux[COMP.AT. MOT B],tabE.Flux[LINHA],"NÃO",0,1)</f>
        <v>GOIANIA (GO) X SAO LUIS (MA)</v>
      </c>
      <c r="G229" s="61" t="str">
        <f>IF(AND(autocompJanta[[#This Row],[EXISTE MOT A AT]]="NÃO", autocompJanta[[#This Row],[EXISTE MOT B AT]]="NÃO"),"NÃO","SIM")</f>
        <v>SIM</v>
      </c>
      <c r="H229" s="57" t="str">
        <f>IF(autocompJanta[[#This Row],[EXISTE ESCALA ATUAL]]="NÃO",_xlfn.CONCAT(tabJanta[[#This Row],[DATA]]-1,"+",tabJanta[[#This Row],[MOTORISTA]]),"NÃO")</f>
        <v>NÃO</v>
      </c>
      <c r="I229" s="57" t="str">
        <f>IF(autocompJanta[[#This Row],[COMP ESCALA ANTERIOR]]="NÃO","NÃO",_xlfn.XLOOKUP(autocompJanta[[#This Row],[COMP ESCALA ANTERIOR]],tabE.Flux[COMP.AT. MOT A],tabE.Flux[LINHA],"NÃO",0,1))</f>
        <v>NÃO</v>
      </c>
      <c r="J229" s="58" t="str">
        <f>IF(autocompJanta[[#This Row],[COMP ESCALA ANTERIOR]]="NÃO","NÃO",_xlfn.XLOOKUP(autocompJanta[[#This Row],[COMP ESCALA ANTERIOR]],tabE.Flux[COMP.AT. MOT B],tabE.Flux[LINHA],"NÃO",0,1))</f>
        <v>NÃO</v>
      </c>
      <c r="K229" s="62" t="str">
        <f>IF(AND(autocompJanta[[#This Row],[EXISTE MOT A ANT]]="NÃO",autocompJanta[[#This Row],[EXISTE MOT B ANT]]="NÃO"),"NÃO","SIM")</f>
        <v>NÃO</v>
      </c>
      <c r="L229" s="59" t="str">
        <f t="shared" ref="L229:L242" si="15">_xlfn.CONCAT(T254+1,"+",X254)</f>
        <v>1+</v>
      </c>
      <c r="M229" s="59" t="str">
        <f>IF(autocompJanta[[#This Row],[COMP ESCALA POSTERIOR]]="NÃO","NÃO",_xlfn.XLOOKUP(autocompJanta[[#This Row],[COMP ESCALA POSTERIOR]],tabE.Flux[COMP.AT. MOT A],tabE.Flux[LINHA],"NÃO",0,1))</f>
        <v>NÃO</v>
      </c>
      <c r="N229" s="59" t="str">
        <f>IF(autocompJanta[[#This Row],[COMP ESCALA POSTERIOR]]="NÃO","NÃO",_xlfn.XLOOKUP(autocompJanta[[#This Row],[COMP ESCALA POSTERIOR]],tabE.Flux[COMP.AT. MOT B],tabE.Flux[LINHA],"NÃO",0,1))</f>
        <v>NÃO</v>
      </c>
      <c r="O229" s="65" t="str">
        <f>IF(AND(autocompJanta[[#This Row],[EXISTE MOT A POS]]="NÃO",autocompJanta[[#This Row],[EXISTE MOT B POS]]="NÃO"),"NÃO","SIM")</f>
        <v>NÃO</v>
      </c>
      <c r="P229" s="66" t="str" cm="1">
        <f t="array" ref="P22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29" s="103" t="str" cm="1">
        <f t="array" ref="Q22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45940+MARCOS ATAIDE SILVA - 1352+GOIANIA (GO) X SAO LUIS (MA)</v>
      </c>
      <c r="R229" s="67">
        <f>_xlfn.XLOOKUP(autocompJanta[[#This Row],[COMP ESCALA]],tabE.Flux[COMP. ESCALA MOT B],tabE.Flux[CARRO],
(_xlfn.XLOOKUP(autocompJanta[[#This Row],[COMP ESCALA]],tabE.Flux[COMP. ESCALA MOT A],tabE.Flux[CARRO],"N/E",0,1)),0,1)</f>
        <v>24015</v>
      </c>
      <c r="S229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229" s="127">
        <v>45940</v>
      </c>
      <c r="U229" s="131">
        <f>IF(IFERROR(autocompJanta[[#This Row],[CORRESP. CARRO]],"")="NÃO",(IF(tabJanta[[#This Row],[MOTORISTA]]=0,"","PASSE?")),autocompJanta[[#This Row],[CORRESP. CARRO]])</f>
        <v>24015</v>
      </c>
      <c r="V229" s="126">
        <f>IF(OR(ISERR(autocompJanta[[#This Row],[CORRESP HORARIO]]), autocompJanta[[#This Row],[CORRESP HORARIO]]&lt;&gt;"NÃO"),autocompJanta[[#This Row],[CORRESP HORARIO]],"")</f>
        <v>0.79166666666666663</v>
      </c>
      <c r="W229" s="1" t="s">
        <v>299</v>
      </c>
      <c r="X229" s="1" t="s">
        <v>113</v>
      </c>
      <c r="Y229" s="1">
        <f>IF(tabJanta[[#This Row],[MOTORISTA]]="","",COUNTIF(autocompJanta[COMP ESCALA ATUAL],autocompJanta[[#This Row],[COMP ESCALA ATUAL]]))</f>
        <v>1</v>
      </c>
      <c r="Z229" s="105">
        <f>IF(tabJanta[[#This Row],[MOTORISTA]]&lt;&gt;0,15,"")</f>
        <v>15</v>
      </c>
      <c r="AA229" s="131" t="str">
        <f>autocompJanta[[#This Row],[CORRESP LINHA]]</f>
        <v>GOIANIA (GO) X SAO LUIS (MA)</v>
      </c>
    </row>
    <row r="230" spans="3:27" ht="15" customHeight="1" x14ac:dyDescent="0.25">
      <c r="C230" s="129" t="s">
        <v>226</v>
      </c>
      <c r="D230" s="56" t="str">
        <f>IF(tabJanta[[#This Row],[MOTORISTA]]="","",_xlfn.CONCAT(tabJanta[[#This Row],[DATA]],"+",tabJanta[[#This Row],[MOTORISTA]]))</f>
        <v>45941+EDUARDO SANTOS BEZERRA - 4066</v>
      </c>
      <c r="E230" s="56" t="str">
        <f>_xlfn.XLOOKUP(autocompJanta[[#This Row],[COMP ESCALA ATUAL]],tabE.Flux[COMP.AT. MOT A],tabE.Flux[LINHA],"NÃO",0,1)</f>
        <v>NÃO</v>
      </c>
      <c r="F230" s="56" t="str">
        <f>_xlfn.XLOOKUP(autocompJanta[[#This Row],[COMP ESCALA ATUAL]],tabE.Flux[COMP.AT. MOT B],tabE.Flux[LINHA],"NÃO",0,1)</f>
        <v>GOIANIA (GO) X SAO LUIS (MA)</v>
      </c>
      <c r="G230" s="61" t="str">
        <f>IF(AND(autocompJanta[[#This Row],[EXISTE MOT A AT]]="NÃO", autocompJanta[[#This Row],[EXISTE MOT B AT]]="NÃO"),"NÃO","SIM")</f>
        <v>SIM</v>
      </c>
      <c r="H230" s="57" t="str">
        <f>IF(autocompJanta[[#This Row],[EXISTE ESCALA ATUAL]]="NÃO",_xlfn.CONCAT(tabJanta[[#This Row],[DATA]]-1,"+",tabJanta[[#This Row],[MOTORISTA]]),"NÃO")</f>
        <v>NÃO</v>
      </c>
      <c r="I230" s="57" t="str">
        <f>IF(autocompJanta[[#This Row],[COMP ESCALA ANTERIOR]]="NÃO","NÃO",_xlfn.XLOOKUP(autocompJanta[[#This Row],[COMP ESCALA ANTERIOR]],tabE.Flux[COMP.AT. MOT A],tabE.Flux[LINHA],"NÃO",0,1))</f>
        <v>NÃO</v>
      </c>
      <c r="J230" s="58" t="str">
        <f>IF(autocompJanta[[#This Row],[COMP ESCALA ANTERIOR]]="NÃO","NÃO",_xlfn.XLOOKUP(autocompJanta[[#This Row],[COMP ESCALA ANTERIOR]],tabE.Flux[COMP.AT. MOT B],tabE.Flux[LINHA],"NÃO",0,1))</f>
        <v>NÃO</v>
      </c>
      <c r="K230" s="62" t="str">
        <f>IF(AND(autocompJanta[[#This Row],[EXISTE MOT A ANT]]="NÃO",autocompJanta[[#This Row],[EXISTE MOT B ANT]]="NÃO"),"NÃO","SIM")</f>
        <v>NÃO</v>
      </c>
      <c r="L230" s="59" t="str">
        <f t="shared" si="15"/>
        <v>1+</v>
      </c>
      <c r="M230" s="59" t="str">
        <f>IF(autocompJanta[[#This Row],[COMP ESCALA POSTERIOR]]="NÃO","NÃO",_xlfn.XLOOKUP(autocompJanta[[#This Row],[COMP ESCALA POSTERIOR]],tabE.Flux[COMP.AT. MOT A],tabE.Flux[LINHA],"NÃO",0,1))</f>
        <v>NÃO</v>
      </c>
      <c r="N230" s="59" t="str">
        <f>IF(autocompJanta[[#This Row],[COMP ESCALA POSTERIOR]]="NÃO","NÃO",_xlfn.XLOOKUP(autocompJanta[[#This Row],[COMP ESCALA POSTERIOR]],tabE.Flux[COMP.AT. MOT B],tabE.Flux[LINHA],"NÃO",0,1))</f>
        <v>NÃO</v>
      </c>
      <c r="O230" s="65" t="str">
        <f>IF(AND(autocompJanta[[#This Row],[EXISTE MOT A POS]]="NÃO",autocompJanta[[#This Row],[EXISTE MOT B POS]]="NÃO"),"NÃO","SIM")</f>
        <v>NÃO</v>
      </c>
      <c r="P230" s="66" t="str" cm="1">
        <f t="array" ref="P23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30" s="103" t="str" cm="1">
        <f t="array" ref="Q23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45941+EDUARDO SANTOS BEZERRA - 4066+GOIANIA (GO) X SAO LUIS (MA)</v>
      </c>
      <c r="R230" s="67">
        <f>_xlfn.XLOOKUP(autocompJanta[[#This Row],[COMP ESCALA]],tabE.Flux[COMP. ESCALA MOT B],tabE.Flux[CARRO],
(_xlfn.XLOOKUP(autocompJanta[[#This Row],[COMP ESCALA]],tabE.Flux[COMP. ESCALA MOT A],tabE.Flux[CARRO],"N/E",0,1)),0,1)</f>
        <v>24003</v>
      </c>
      <c r="S230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230" s="127">
        <v>45941</v>
      </c>
      <c r="U230" s="4">
        <f>IF(IFERROR(autocompJanta[[#This Row],[CORRESP. CARRO]],"")="NÃO",(IF(tabJanta[[#This Row],[MOTORISTA]]=0,"","PASSE?")),autocompJanta[[#This Row],[CORRESP. CARRO]])</f>
        <v>24003</v>
      </c>
      <c r="V230" s="128">
        <f>IF(OR(ISERR(autocompJanta[[#This Row],[CORRESP HORARIO]]), autocompJanta[[#This Row],[CORRESP HORARIO]]&lt;&gt;"NÃO"),autocompJanta[[#This Row],[CORRESP HORARIO]],"")</f>
        <v>0.79166666666666663</v>
      </c>
      <c r="W230" s="4" t="s">
        <v>299</v>
      </c>
      <c r="X230" s="4" t="s">
        <v>148</v>
      </c>
      <c r="Y230" s="4">
        <f>IF(tabJanta[[#This Row],[MOTORISTA]]="","",COUNTIF(autocompJanta[COMP ESCALA ATUAL],autocompJanta[[#This Row],[COMP ESCALA ATUAL]]))</f>
        <v>1</v>
      </c>
      <c r="Z230" s="45">
        <f>IF(tabJanta[[#This Row],[MOTORISTA]]&lt;&gt;0,15,"")</f>
        <v>15</v>
      </c>
      <c r="AA230" s="4" t="str">
        <f>autocompJanta[[#This Row],[CORRESP LINHA]]</f>
        <v>GOIANIA (GO) X SAO LUIS (MA)</v>
      </c>
    </row>
    <row r="231" spans="3:27" ht="15" customHeight="1" x14ac:dyDescent="0.25">
      <c r="C231" s="129" t="s">
        <v>226</v>
      </c>
      <c r="D231" s="56" t="str">
        <f>IF(tabJanta[[#This Row],[MOTORISTA]]="","",_xlfn.CONCAT(tabJanta[[#This Row],[DATA]],"+",tabJanta[[#This Row],[MOTORISTA]]))</f>
        <v>45941+DANIEL PEREIRA DA ROCHA - 5298</v>
      </c>
      <c r="E231" s="56" t="str">
        <f>_xlfn.XLOOKUP(autocompJanta[[#This Row],[COMP ESCALA ATUAL]],tabE.Flux[COMP.AT. MOT A],tabE.Flux[LINHA],"NÃO",0,1)</f>
        <v>NÃO</v>
      </c>
      <c r="F231" s="56" t="str">
        <f>_xlfn.XLOOKUP(autocompJanta[[#This Row],[COMP ESCALA ATUAL]],tabE.Flux[COMP.AT. MOT B],tabE.Flux[LINHA],"NÃO",0,1)</f>
        <v>FORTALEZA (CE) X SINOP (MT)</v>
      </c>
      <c r="G231" s="61" t="str">
        <f>IF(AND(autocompJanta[[#This Row],[EXISTE MOT A AT]]="NÃO", autocompJanta[[#This Row],[EXISTE MOT B AT]]="NÃO"),"NÃO","SIM")</f>
        <v>SIM</v>
      </c>
      <c r="H231" s="57" t="str">
        <f>IF(autocompJanta[[#This Row],[EXISTE ESCALA ATUAL]]="NÃO",_xlfn.CONCAT(tabJanta[[#This Row],[DATA]]-1,"+",tabJanta[[#This Row],[MOTORISTA]]),"NÃO")</f>
        <v>NÃO</v>
      </c>
      <c r="I231" s="57" t="str">
        <f>IF(autocompJanta[[#This Row],[COMP ESCALA ANTERIOR]]="NÃO","NÃO",_xlfn.XLOOKUP(autocompJanta[[#This Row],[COMP ESCALA ANTERIOR]],tabE.Flux[COMP.AT. MOT A],tabE.Flux[LINHA],"NÃO",0,1))</f>
        <v>NÃO</v>
      </c>
      <c r="J231" s="58" t="str">
        <f>IF(autocompJanta[[#This Row],[COMP ESCALA ANTERIOR]]="NÃO","NÃO",_xlfn.XLOOKUP(autocompJanta[[#This Row],[COMP ESCALA ANTERIOR]],tabE.Flux[COMP.AT. MOT B],tabE.Flux[LINHA],"NÃO",0,1))</f>
        <v>NÃO</v>
      </c>
      <c r="K231" s="62" t="str">
        <f>IF(AND(autocompJanta[[#This Row],[EXISTE MOT A ANT]]="NÃO",autocompJanta[[#This Row],[EXISTE MOT B ANT]]="NÃO"),"NÃO","SIM")</f>
        <v>NÃO</v>
      </c>
      <c r="L231" s="59" t="str">
        <f t="shared" si="15"/>
        <v>1+</v>
      </c>
      <c r="M231" s="59" t="str">
        <f>IF(autocompJanta[[#This Row],[COMP ESCALA POSTERIOR]]="NÃO","NÃO",_xlfn.XLOOKUP(autocompJanta[[#This Row],[COMP ESCALA POSTERIOR]],tabE.Flux[COMP.AT. MOT A],tabE.Flux[LINHA],"NÃO",0,1))</f>
        <v>NÃO</v>
      </c>
      <c r="N231" s="59" t="str">
        <f>IF(autocompJanta[[#This Row],[COMP ESCALA POSTERIOR]]="NÃO","NÃO",_xlfn.XLOOKUP(autocompJanta[[#This Row],[COMP ESCALA POSTERIOR]],tabE.Flux[COMP.AT. MOT B],tabE.Flux[LINHA],"NÃO",0,1))</f>
        <v>NÃO</v>
      </c>
      <c r="O231" s="65" t="str">
        <f>IF(AND(autocompJanta[[#This Row],[EXISTE MOT A POS]]="NÃO",autocompJanta[[#This Row],[EXISTE MOT B POS]]="NÃO"),"NÃO","SIM")</f>
        <v>NÃO</v>
      </c>
      <c r="P231" s="66" t="str" cm="1">
        <f t="array" ref="P23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231" s="103" t="str" cm="1">
        <f t="array" ref="Q23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45941+DANIEL PEREIRA DA ROCHA - 5298+FORTALEZA (CE) X SINOP (MT)</v>
      </c>
      <c r="R231" s="67">
        <f>_xlfn.XLOOKUP(autocompJanta[[#This Row],[COMP ESCALA]],tabE.Flux[COMP. ESCALA MOT B],tabE.Flux[CARRO],
(_xlfn.XLOOKUP(autocompJanta[[#This Row],[COMP ESCALA]],tabE.Flux[COMP. ESCALA MOT A],tabE.Flux[CARRO],"N/E",0,1)),0,1)</f>
        <v>19024</v>
      </c>
      <c r="S231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231" s="127">
        <v>45941</v>
      </c>
      <c r="U231" s="4">
        <f>IF(IFERROR(autocompJanta[[#This Row],[CORRESP. CARRO]],"")="NÃO",(IF(tabJanta[[#This Row],[MOTORISTA]]=0,"","PASSE?")),autocompJanta[[#This Row],[CORRESP. CARRO]])</f>
        <v>19024</v>
      </c>
      <c r="V231" s="126">
        <f>IF(OR(ISERR(autocompJanta[[#This Row],[CORRESP HORARIO]]), autocompJanta[[#This Row],[CORRESP HORARIO]]&lt;&gt;"NÃO"),autocompJanta[[#This Row],[CORRESP HORARIO]],"")</f>
        <v>0.37708333333333333</v>
      </c>
      <c r="W231" s="1" t="s">
        <v>299</v>
      </c>
      <c r="X231" s="1" t="s">
        <v>184</v>
      </c>
      <c r="Y231" s="1">
        <f>IF(tabJanta[[#This Row],[MOTORISTA]]="","",COUNTIF(autocompJanta[COMP ESCALA ATUAL],autocompJanta[[#This Row],[COMP ESCALA ATUAL]]))</f>
        <v>1</v>
      </c>
      <c r="Z231" s="105">
        <f>IF(tabJanta[[#This Row],[MOTORISTA]]&lt;&gt;0,15,"")</f>
        <v>15</v>
      </c>
      <c r="AA231" s="4" t="str">
        <f>autocompJanta[[#This Row],[CORRESP LINHA]]</f>
        <v>FORTALEZA (CE) X SINOP (MT)</v>
      </c>
    </row>
    <row r="232" spans="3:27" ht="15" customHeight="1" x14ac:dyDescent="0.25">
      <c r="C232" s="129" t="s">
        <v>226</v>
      </c>
      <c r="D232" s="56" t="str">
        <f>IF(tabJanta[[#This Row],[MOTORISTA]]="","",_xlfn.CONCAT(tabJanta[[#This Row],[DATA]],"+",tabJanta[[#This Row],[MOTORISTA]]))</f>
        <v>45941+PAULO ENEAS FARIAS ARAUJO - 6218</v>
      </c>
      <c r="E232" s="56" t="str">
        <f>_xlfn.XLOOKUP(autocompJanta[[#This Row],[COMP ESCALA ATUAL]],tabE.Flux[COMP.AT. MOT A],tabE.Flux[LINHA],"NÃO",0,1)</f>
        <v>NÃO</v>
      </c>
      <c r="F232" s="56" t="str">
        <f>_xlfn.XLOOKUP(autocompJanta[[#This Row],[COMP ESCALA ATUAL]],tabE.Flux[COMP.AT. MOT B],tabE.Flux[LINHA],"NÃO",0,1)</f>
        <v>GOIANIA (GO) X SAO LUIS (MA)</v>
      </c>
      <c r="G232" s="61" t="str">
        <f>IF(AND(autocompJanta[[#This Row],[EXISTE MOT A AT]]="NÃO", autocompJanta[[#This Row],[EXISTE MOT B AT]]="NÃO"),"NÃO","SIM")</f>
        <v>SIM</v>
      </c>
      <c r="H232" s="57" t="str">
        <f>IF(autocompJanta[[#This Row],[EXISTE ESCALA ATUAL]]="NÃO",_xlfn.CONCAT(tabJanta[[#This Row],[DATA]]-1,"+",tabJanta[[#This Row],[MOTORISTA]]),"NÃO")</f>
        <v>NÃO</v>
      </c>
      <c r="I232" s="57" t="str">
        <f>IF(autocompJanta[[#This Row],[COMP ESCALA ANTERIOR]]="NÃO","NÃO",_xlfn.XLOOKUP(autocompJanta[[#This Row],[COMP ESCALA ANTERIOR]],tabE.Flux[COMP.AT. MOT A],tabE.Flux[LINHA],"NÃO",0,1))</f>
        <v>NÃO</v>
      </c>
      <c r="J232" s="58" t="str">
        <f>IF(autocompJanta[[#This Row],[COMP ESCALA ANTERIOR]]="NÃO","NÃO",_xlfn.XLOOKUP(autocompJanta[[#This Row],[COMP ESCALA ANTERIOR]],tabE.Flux[COMP.AT. MOT B],tabE.Flux[LINHA],"NÃO",0,1))</f>
        <v>NÃO</v>
      </c>
      <c r="K232" s="62" t="str">
        <f>IF(AND(autocompJanta[[#This Row],[EXISTE MOT A ANT]]="NÃO",autocompJanta[[#This Row],[EXISTE MOT B ANT]]="NÃO"),"NÃO","SIM")</f>
        <v>NÃO</v>
      </c>
      <c r="L232" s="59" t="str">
        <f t="shared" si="15"/>
        <v>1+</v>
      </c>
      <c r="M232" s="59" t="str">
        <f>IF(autocompJanta[[#This Row],[COMP ESCALA POSTERIOR]]="NÃO","NÃO",_xlfn.XLOOKUP(autocompJanta[[#This Row],[COMP ESCALA POSTERIOR]],tabE.Flux[COMP.AT. MOT A],tabE.Flux[LINHA],"NÃO",0,1))</f>
        <v>NÃO</v>
      </c>
      <c r="N232" s="59" t="str">
        <f>IF(autocompJanta[[#This Row],[COMP ESCALA POSTERIOR]]="NÃO","NÃO",_xlfn.XLOOKUP(autocompJanta[[#This Row],[COMP ESCALA POSTERIOR]],tabE.Flux[COMP.AT. MOT B],tabE.Flux[LINHA],"NÃO",0,1))</f>
        <v>NÃO</v>
      </c>
      <c r="O232" s="65" t="str">
        <f>IF(AND(autocompJanta[[#This Row],[EXISTE MOT A POS]]="NÃO",autocompJanta[[#This Row],[EXISTE MOT B POS]]="NÃO"),"NÃO","SIM")</f>
        <v>NÃO</v>
      </c>
      <c r="P232" s="66" t="str" cm="1">
        <f t="array" ref="P23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32" s="103" t="str" cm="1">
        <f t="array" ref="Q23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45941+PAULO ENEAS FARIAS ARAUJO - 6218+GOIANIA (GO) X SAO LUIS (MA)</v>
      </c>
      <c r="R232" s="67">
        <f>_xlfn.XLOOKUP(autocompJanta[[#This Row],[COMP ESCALA]],tabE.Flux[COMP. ESCALA MOT B],tabE.Flux[CARRO],
(_xlfn.XLOOKUP(autocompJanta[[#This Row],[COMP ESCALA]],tabE.Flux[COMP. ESCALA MOT A],tabE.Flux[CARRO],"N/E",0,1)),0,1)</f>
        <v>19021</v>
      </c>
      <c r="S232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232" s="127">
        <v>45941</v>
      </c>
      <c r="U232" s="131">
        <f>IF(IFERROR(autocompJanta[[#This Row],[CORRESP. CARRO]],"")="NÃO",(IF(tabJanta[[#This Row],[MOTORISTA]]=0,"","PASSE?")),autocompJanta[[#This Row],[CORRESP. CARRO]])</f>
        <v>19021</v>
      </c>
      <c r="V232" s="126">
        <f>IF(OR(ISERR(autocompJanta[[#This Row],[CORRESP HORARIO]]), autocompJanta[[#This Row],[CORRESP HORARIO]]&lt;&gt;"NÃO"),autocompJanta[[#This Row],[CORRESP HORARIO]],"")</f>
        <v>0.47013888888888888</v>
      </c>
      <c r="W232" s="1" t="s">
        <v>299</v>
      </c>
      <c r="X232" s="1" t="s">
        <v>43</v>
      </c>
      <c r="Y232" s="1">
        <f>IF(tabJanta[[#This Row],[MOTORISTA]]="","",COUNTIF(autocompJanta[COMP ESCALA ATUAL],autocompJanta[[#This Row],[COMP ESCALA ATUAL]]))</f>
        <v>1</v>
      </c>
      <c r="Z232" s="105">
        <f>IF(tabJanta[[#This Row],[MOTORISTA]]&lt;&gt;0,15,"")</f>
        <v>15</v>
      </c>
      <c r="AA232" s="131" t="str">
        <f>autocompJanta[[#This Row],[CORRESP LINHA]]</f>
        <v>GOIANIA (GO) X SAO LUIS (MA)</v>
      </c>
    </row>
    <row r="233" spans="3:27" ht="15" customHeight="1" x14ac:dyDescent="0.25">
      <c r="C233" s="129" t="s">
        <v>226</v>
      </c>
      <c r="D233" s="56" t="str">
        <f>IF(tabJanta[[#This Row],[MOTORISTA]]="","",_xlfn.CONCAT(tabJanta[[#This Row],[DATA]],"+",tabJanta[[#This Row],[MOTORISTA]]))</f>
        <v>45942+KAYLSON KLEYTON DA SILVA COSTA - 6224</v>
      </c>
      <c r="E233" s="56" t="str">
        <f>_xlfn.XLOOKUP(autocompJanta[[#This Row],[COMP ESCALA ATUAL]],tabE.Flux[COMP.AT. MOT A],tabE.Flux[LINHA],"NÃO",0,1)</f>
        <v>NÃO</v>
      </c>
      <c r="F233" s="56" t="str">
        <f>_xlfn.XLOOKUP(autocompJanta[[#This Row],[COMP ESCALA ATUAL]],tabE.Flux[COMP.AT. MOT B],tabE.Flux[LINHA],"NÃO",0,1)</f>
        <v>GOIANIA (GO) X SAO LUIS (MA)</v>
      </c>
      <c r="G233" s="61" t="str">
        <f>IF(AND(autocompJanta[[#This Row],[EXISTE MOT A AT]]="NÃO", autocompJanta[[#This Row],[EXISTE MOT B AT]]="NÃO"),"NÃO","SIM")</f>
        <v>SIM</v>
      </c>
      <c r="H233" s="57" t="str">
        <f>IF(autocompJanta[[#This Row],[EXISTE ESCALA ATUAL]]="NÃO",_xlfn.CONCAT(tabJanta[[#This Row],[DATA]]-1,"+",tabJanta[[#This Row],[MOTORISTA]]),"NÃO")</f>
        <v>NÃO</v>
      </c>
      <c r="I233" s="57" t="str">
        <f>IF(autocompJanta[[#This Row],[COMP ESCALA ANTERIOR]]="NÃO","NÃO",_xlfn.XLOOKUP(autocompJanta[[#This Row],[COMP ESCALA ANTERIOR]],tabE.Flux[COMP.AT. MOT A],tabE.Flux[LINHA],"NÃO",0,1))</f>
        <v>NÃO</v>
      </c>
      <c r="J233" s="58" t="str">
        <f>IF(autocompJanta[[#This Row],[COMP ESCALA ANTERIOR]]="NÃO","NÃO",_xlfn.XLOOKUP(autocompJanta[[#This Row],[COMP ESCALA ANTERIOR]],tabE.Flux[COMP.AT. MOT B],tabE.Flux[LINHA],"NÃO",0,1))</f>
        <v>NÃO</v>
      </c>
      <c r="K233" s="62" t="str">
        <f>IF(AND(autocompJanta[[#This Row],[EXISTE MOT A ANT]]="NÃO",autocompJanta[[#This Row],[EXISTE MOT B ANT]]="NÃO"),"NÃO","SIM")</f>
        <v>NÃO</v>
      </c>
      <c r="L233" s="59" t="str">
        <f t="shared" si="15"/>
        <v>1+</v>
      </c>
      <c r="M233" s="59" t="str">
        <f>IF(autocompJanta[[#This Row],[COMP ESCALA POSTERIOR]]="NÃO","NÃO",_xlfn.XLOOKUP(autocompJanta[[#This Row],[COMP ESCALA POSTERIOR]],tabE.Flux[COMP.AT. MOT A],tabE.Flux[LINHA],"NÃO",0,1))</f>
        <v>NÃO</v>
      </c>
      <c r="N233" s="59" t="str">
        <f>IF(autocompJanta[[#This Row],[COMP ESCALA POSTERIOR]]="NÃO","NÃO",_xlfn.XLOOKUP(autocompJanta[[#This Row],[COMP ESCALA POSTERIOR]],tabE.Flux[COMP.AT. MOT B],tabE.Flux[LINHA],"NÃO",0,1))</f>
        <v>NÃO</v>
      </c>
      <c r="O233" s="65" t="str">
        <f>IF(AND(autocompJanta[[#This Row],[EXISTE MOT A POS]]="NÃO",autocompJanta[[#This Row],[EXISTE MOT B POS]]="NÃO"),"NÃO","SIM")</f>
        <v>NÃO</v>
      </c>
      <c r="P233" s="66" t="str" cm="1">
        <f t="array" ref="P23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33" s="103" t="str" cm="1">
        <f t="array" ref="Q23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45942+KAYLSON KLEYTON DA SILVA COSTA - 6224+GOIANIA (GO) X SAO LUIS (MA)</v>
      </c>
      <c r="R233" s="67">
        <f>_xlfn.XLOOKUP(autocompJanta[[#This Row],[COMP ESCALA]],tabE.Flux[COMP. ESCALA MOT B],tabE.Flux[CARRO],
(_xlfn.XLOOKUP(autocompJanta[[#This Row],[COMP ESCALA]],tabE.Flux[COMP. ESCALA MOT A],tabE.Flux[CARRO],"N/E",0,1)),0,1)</f>
        <v>19017</v>
      </c>
      <c r="S233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233" s="127">
        <v>45942</v>
      </c>
      <c r="U233" s="4">
        <f>IF(IFERROR(autocompJanta[[#This Row],[CORRESP. CARRO]],"")="NÃO",(IF(tabJanta[[#This Row],[MOTORISTA]]=0,"","PASSE?")),autocompJanta[[#This Row],[CORRESP. CARRO]])</f>
        <v>19017</v>
      </c>
      <c r="V233" s="128">
        <f>IF(OR(ISERR(autocompJanta[[#This Row],[CORRESP HORARIO]]), autocompJanta[[#This Row],[CORRESP HORARIO]]&lt;&gt;"NÃO"),autocompJanta[[#This Row],[CORRESP HORARIO]],"")</f>
        <v>0.47013888888888888</v>
      </c>
      <c r="W233" s="4" t="s">
        <v>299</v>
      </c>
      <c r="X233" s="4" t="s">
        <v>80</v>
      </c>
      <c r="Y233" s="4">
        <f>IF(tabJanta[[#This Row],[MOTORISTA]]="","",COUNTIF(autocompJanta[COMP ESCALA ATUAL],autocompJanta[[#This Row],[COMP ESCALA ATUAL]]))</f>
        <v>1</v>
      </c>
      <c r="Z233" s="45">
        <f>IF(tabJanta[[#This Row],[MOTORISTA]]&lt;&gt;0,15,"")</f>
        <v>15</v>
      </c>
      <c r="AA233" s="4" t="str">
        <f>autocompJanta[[#This Row],[CORRESP LINHA]]</f>
        <v>GOIANIA (GO) X SAO LUIS (MA)</v>
      </c>
    </row>
    <row r="234" spans="3:27" ht="15" customHeight="1" x14ac:dyDescent="0.25">
      <c r="C234" s="129" t="s">
        <v>226</v>
      </c>
      <c r="D234" s="56" t="str">
        <f>IF(tabJanta[[#This Row],[MOTORISTA]]="","",_xlfn.CONCAT(tabJanta[[#This Row],[DATA]],"+",tabJanta[[#This Row],[MOTORISTA]]))</f>
        <v>45942+JAME DOS SANTOS MOURA - 5332</v>
      </c>
      <c r="E234" s="56" t="str">
        <f>_xlfn.XLOOKUP(autocompJanta[[#This Row],[COMP ESCALA ATUAL]],tabE.Flux[COMP.AT. MOT A],tabE.Flux[LINHA],"NÃO",0,1)</f>
        <v>NÃO</v>
      </c>
      <c r="F234" s="56" t="str">
        <f>_xlfn.XLOOKUP(autocompJanta[[#This Row],[COMP ESCALA ATUAL]],tabE.Flux[COMP.AT. MOT B],tabE.Flux[LINHA],"NÃO",0,1)</f>
        <v>NÃO</v>
      </c>
      <c r="G234" s="61" t="str">
        <f>IF(AND(autocompJanta[[#This Row],[EXISTE MOT A AT]]="NÃO", autocompJanta[[#This Row],[EXISTE MOT B AT]]="NÃO"),"NÃO","SIM")</f>
        <v>NÃO</v>
      </c>
      <c r="H234" s="57" t="str">
        <f>IF(autocompJanta[[#This Row],[EXISTE ESCALA ATUAL]]="NÃO",_xlfn.CONCAT(tabJanta[[#This Row],[DATA]]-1,"+",tabJanta[[#This Row],[MOTORISTA]]),"NÃO")</f>
        <v>45941+JAME DOS SANTOS MOURA - 5332</v>
      </c>
      <c r="I234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234" s="58" t="str">
        <f>IF(autocompJanta[[#This Row],[COMP ESCALA ANTERIOR]]="NÃO","NÃO",_xlfn.XLOOKUP(autocompJanta[[#This Row],[COMP ESCALA ANTERIOR]],tabE.Flux[COMP.AT. MOT B],tabE.Flux[LINHA],"NÃO",0,1))</f>
        <v>NÃO</v>
      </c>
      <c r="K234" s="62" t="str">
        <f>IF(AND(autocompJanta[[#This Row],[EXISTE MOT A ANT]]="NÃO",autocompJanta[[#This Row],[EXISTE MOT B ANT]]="NÃO"),"NÃO","SIM")</f>
        <v>SIM</v>
      </c>
      <c r="L234" s="59" t="str">
        <f t="shared" si="15"/>
        <v>1+</v>
      </c>
      <c r="M234" s="59" t="str">
        <f>IF(autocompJanta[[#This Row],[COMP ESCALA POSTERIOR]]="NÃO","NÃO",_xlfn.XLOOKUP(autocompJanta[[#This Row],[COMP ESCALA POSTERIOR]],tabE.Flux[COMP.AT. MOT A],tabE.Flux[LINHA],"NÃO",0,1))</f>
        <v>NÃO</v>
      </c>
      <c r="N234" s="59" t="str">
        <f>IF(autocompJanta[[#This Row],[COMP ESCALA POSTERIOR]]="NÃO","NÃO",_xlfn.XLOOKUP(autocompJanta[[#This Row],[COMP ESCALA POSTERIOR]],tabE.Flux[COMP.AT. MOT B],tabE.Flux[LINHA],"NÃO",0,1))</f>
        <v>NÃO</v>
      </c>
      <c r="O234" s="65" t="str">
        <f>IF(AND(autocompJanta[[#This Row],[EXISTE MOT A POS]]="NÃO",autocompJanta[[#This Row],[EXISTE MOT B POS]]="NÃO"),"NÃO","SIM")</f>
        <v>NÃO</v>
      </c>
      <c r="P234" s="66" t="str" cm="1">
        <f t="array" ref="P23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34" s="103" t="str" cm="1">
        <f t="array" ref="Q23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45941+JAME DOS SANTOS MOURA - 5332+GOIANIA (GO) X TERESINA (PI) VIA STI</v>
      </c>
      <c r="R234" s="67">
        <f>_xlfn.XLOOKUP(autocompJanta[[#This Row],[COMP ESCALA]],tabE.Flux[COMP. ESCALA MOT B],tabE.Flux[CARRO],
(_xlfn.XLOOKUP(autocompJanta[[#This Row],[COMP ESCALA]],tabE.Flux[COMP. ESCALA MOT A],tabE.Flux[CARRO],"N/E",0,1)),0,1)</f>
        <v>19018</v>
      </c>
      <c r="S234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34" s="127">
        <v>45942</v>
      </c>
      <c r="U234" s="4">
        <f>IF(IFERROR(autocompJanta[[#This Row],[CORRESP. CARRO]],"")="NÃO",(IF(tabJanta[[#This Row],[MOTORISTA]]=0,"","PASSE?")),autocompJanta[[#This Row],[CORRESP. CARRO]])</f>
        <v>19018</v>
      </c>
      <c r="V234" s="126">
        <f>IF(OR(ISERR(autocompJanta[[#This Row],[CORRESP HORARIO]]), autocompJanta[[#This Row],[CORRESP HORARIO]]&lt;&gt;"NÃO"),autocompJanta[[#This Row],[CORRESP HORARIO]],"")</f>
        <v>0.79861111111111116</v>
      </c>
      <c r="W234" s="1" t="s">
        <v>299</v>
      </c>
      <c r="X234" s="1" t="s">
        <v>103</v>
      </c>
      <c r="Y234" s="1">
        <f>IF(tabJanta[[#This Row],[MOTORISTA]]="","",COUNTIF(autocompJanta[COMP ESCALA ATUAL],autocompJanta[[#This Row],[COMP ESCALA ATUAL]]))</f>
        <v>1</v>
      </c>
      <c r="Z234" s="105">
        <f>IF(tabJanta[[#This Row],[MOTORISTA]]&lt;&gt;0,15,"")</f>
        <v>15</v>
      </c>
      <c r="AA234" s="4" t="str">
        <f>autocompJanta[[#This Row],[CORRESP LINHA]]</f>
        <v>GOIANIA (GO) X TERESINA (PI) VIA STI</v>
      </c>
    </row>
    <row r="235" spans="3:27" ht="15" customHeight="1" x14ac:dyDescent="0.25">
      <c r="C235" s="129" t="s">
        <v>226</v>
      </c>
      <c r="D235" s="56" t="str">
        <f>IF(tabJanta[[#This Row],[MOTORISTA]]="","",_xlfn.CONCAT(tabJanta[[#This Row],[DATA]],"+",tabJanta[[#This Row],[MOTORISTA]]))</f>
        <v>45942+RAIMUNDO COSTA SILVA - 6226</v>
      </c>
      <c r="E235" s="56" t="str">
        <f>_xlfn.XLOOKUP(autocompJanta[[#This Row],[COMP ESCALA ATUAL]],tabE.Flux[COMP.AT. MOT A],tabE.Flux[LINHA],"NÃO",0,1)</f>
        <v>NÃO</v>
      </c>
      <c r="F235" s="56" t="str">
        <f>_xlfn.XLOOKUP(autocompJanta[[#This Row],[COMP ESCALA ATUAL]],tabE.Flux[COMP.AT. MOT B],tabE.Flux[LINHA],"NÃO",0,1)</f>
        <v>GOIANIA (GO) X SAO LUIS (MA)</v>
      </c>
      <c r="G235" s="61" t="str">
        <f>IF(AND(autocompJanta[[#This Row],[EXISTE MOT A AT]]="NÃO", autocompJanta[[#This Row],[EXISTE MOT B AT]]="NÃO"),"NÃO","SIM")</f>
        <v>SIM</v>
      </c>
      <c r="H235" s="57" t="str">
        <f>IF(autocompJanta[[#This Row],[EXISTE ESCALA ATUAL]]="NÃO",_xlfn.CONCAT(tabJanta[[#This Row],[DATA]]-1,"+",tabJanta[[#This Row],[MOTORISTA]]),"NÃO")</f>
        <v>NÃO</v>
      </c>
      <c r="I235" s="57" t="str">
        <f>IF(autocompJanta[[#This Row],[COMP ESCALA ANTERIOR]]="NÃO","NÃO",_xlfn.XLOOKUP(autocompJanta[[#This Row],[COMP ESCALA ANTERIOR]],tabE.Flux[COMP.AT. MOT A],tabE.Flux[LINHA],"NÃO",0,1))</f>
        <v>NÃO</v>
      </c>
      <c r="J235" s="58" t="str">
        <f>IF(autocompJanta[[#This Row],[COMP ESCALA ANTERIOR]]="NÃO","NÃO",_xlfn.XLOOKUP(autocompJanta[[#This Row],[COMP ESCALA ANTERIOR]],tabE.Flux[COMP.AT. MOT B],tabE.Flux[LINHA],"NÃO",0,1))</f>
        <v>NÃO</v>
      </c>
      <c r="K235" s="62" t="str">
        <f>IF(AND(autocompJanta[[#This Row],[EXISTE MOT A ANT]]="NÃO",autocompJanta[[#This Row],[EXISTE MOT B ANT]]="NÃO"),"NÃO","SIM")</f>
        <v>NÃO</v>
      </c>
      <c r="L235" s="59" t="str">
        <f t="shared" si="15"/>
        <v>1+</v>
      </c>
      <c r="M235" s="59" t="str">
        <f>IF(autocompJanta[[#This Row],[COMP ESCALA POSTERIOR]]="NÃO","NÃO",_xlfn.XLOOKUP(autocompJanta[[#This Row],[COMP ESCALA POSTERIOR]],tabE.Flux[COMP.AT. MOT A],tabE.Flux[LINHA],"NÃO",0,1))</f>
        <v>NÃO</v>
      </c>
      <c r="N235" s="59" t="str">
        <f>IF(autocompJanta[[#This Row],[COMP ESCALA POSTERIOR]]="NÃO","NÃO",_xlfn.XLOOKUP(autocompJanta[[#This Row],[COMP ESCALA POSTERIOR]],tabE.Flux[COMP.AT. MOT B],tabE.Flux[LINHA],"NÃO",0,1))</f>
        <v>NÃO</v>
      </c>
      <c r="O235" s="65" t="str">
        <f>IF(AND(autocompJanta[[#This Row],[EXISTE MOT A POS]]="NÃO",autocompJanta[[#This Row],[EXISTE MOT B POS]]="NÃO"),"NÃO","SIM")</f>
        <v>NÃO</v>
      </c>
      <c r="P235" s="66" t="str" cm="1">
        <f t="array" ref="P23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35" s="103" t="str" cm="1">
        <f t="array" ref="Q23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45942+RAIMUNDO COSTA SILVA - 6226+GOIANIA (GO) X SAO LUIS (MA)</v>
      </c>
      <c r="R235" s="67">
        <f>_xlfn.XLOOKUP(autocompJanta[[#This Row],[COMP ESCALA]],tabE.Flux[COMP. ESCALA MOT B],tabE.Flux[CARRO],
(_xlfn.XLOOKUP(autocompJanta[[#This Row],[COMP ESCALA]],tabE.Flux[COMP. ESCALA MOT A],tabE.Flux[CARRO],"N/E",0,1)),0,1)</f>
        <v>24016</v>
      </c>
      <c r="S235" s="130">
        <f>_xlfn.XLOOKUP(autocompJanta[[#This Row],[COMP ESCALA]],tabE.Flux[COMP. ESCALA MOT A],tabE.Flux[HORARIO],(_xlfn.XLOOKUP(autocompJanta[[#This Row],[COMP ESCALA]],tabE.Flux[COMP. ESCALA MOT B],tabE.Flux[HORARIO],"N/E",0,1)),0,1)</f>
        <v>0.84375</v>
      </c>
      <c r="T235" s="127">
        <v>45942</v>
      </c>
      <c r="U235" s="131">
        <f>IF(IFERROR(autocompJanta[[#This Row],[CORRESP. CARRO]],"")="NÃO",(IF(tabJanta[[#This Row],[MOTORISTA]]=0,"","PASSE?")),autocompJanta[[#This Row],[CORRESP. CARRO]])</f>
        <v>24016</v>
      </c>
      <c r="V235" s="126">
        <f>IF(OR(ISERR(autocompJanta[[#This Row],[CORRESP HORARIO]]), autocompJanta[[#This Row],[CORRESP HORARIO]]&lt;&gt;"NÃO"),autocompJanta[[#This Row],[CORRESP HORARIO]],"")</f>
        <v>0.84375</v>
      </c>
      <c r="W235" s="1" t="s">
        <v>299</v>
      </c>
      <c r="X235" s="1" t="s">
        <v>45</v>
      </c>
      <c r="Y235" s="1">
        <f>IF(tabJanta[[#This Row],[MOTORISTA]]="","",COUNTIF(autocompJanta[COMP ESCALA ATUAL],autocompJanta[[#This Row],[COMP ESCALA ATUAL]]))</f>
        <v>1</v>
      </c>
      <c r="Z235" s="105">
        <f>IF(tabJanta[[#This Row],[MOTORISTA]]&lt;&gt;0,15,"")</f>
        <v>15</v>
      </c>
      <c r="AA235" s="131" t="str">
        <f>autocompJanta[[#This Row],[CORRESP LINHA]]</f>
        <v>GOIANIA (GO) X SAO LUIS (MA)</v>
      </c>
    </row>
    <row r="236" spans="3:27" ht="15" customHeight="1" x14ac:dyDescent="0.25">
      <c r="C236" s="129" t="s">
        <v>226</v>
      </c>
      <c r="D236" s="56" t="str">
        <f>IF(tabJanta[[#This Row],[MOTORISTA]]="","",_xlfn.CONCAT(tabJanta[[#This Row],[DATA]],"+",tabJanta[[#This Row],[MOTORISTA]]))</f>
        <v>45942+MARCOS AUGUSTO SILVA ROCHA - 5268</v>
      </c>
      <c r="E236" s="56" t="str">
        <f>_xlfn.XLOOKUP(autocompJanta[[#This Row],[COMP ESCALA ATUAL]],tabE.Flux[COMP.AT. MOT A],tabE.Flux[LINHA],"NÃO",0,1)</f>
        <v>NÃO</v>
      </c>
      <c r="F236" s="56" t="str">
        <f>_xlfn.XLOOKUP(autocompJanta[[#This Row],[COMP ESCALA ATUAL]],tabE.Flux[COMP.AT. MOT B],tabE.Flux[LINHA],"NÃO",0,1)</f>
        <v>NÃO</v>
      </c>
      <c r="G236" s="61" t="str">
        <f>IF(AND(autocompJanta[[#This Row],[EXISTE MOT A AT]]="NÃO", autocompJanta[[#This Row],[EXISTE MOT B AT]]="NÃO"),"NÃO","SIM")</f>
        <v>NÃO</v>
      </c>
      <c r="H236" s="57" t="str">
        <f>IF(autocompJanta[[#This Row],[EXISTE ESCALA ATUAL]]="NÃO",_xlfn.CONCAT(tabJanta[[#This Row],[DATA]]-1,"+",tabJanta[[#This Row],[MOTORISTA]]),"NÃO")</f>
        <v>45941+MARCOS AUGUSTO SILVA ROCHA - 5268</v>
      </c>
      <c r="I236" s="57" t="str">
        <f>IF(autocompJanta[[#This Row],[COMP ESCALA ANTERIOR]]="NÃO","NÃO",_xlfn.XLOOKUP(autocompJanta[[#This Row],[COMP ESCALA ANTERIOR]],tabE.Flux[COMP.AT. MOT A],tabE.Flux[LINHA],"NÃO",0,1))</f>
        <v>NÃO</v>
      </c>
      <c r="J236" s="58" t="str">
        <f>IF(autocompJanta[[#This Row],[COMP ESCALA ANTERIOR]]="NÃO","NÃO",_xlfn.XLOOKUP(autocompJanta[[#This Row],[COMP ESCALA ANTERIOR]],tabE.Flux[COMP.AT. MOT B],tabE.Flux[LINHA],"NÃO",0,1))</f>
        <v>NÃO</v>
      </c>
      <c r="K236" s="62" t="str">
        <f>IF(AND(autocompJanta[[#This Row],[EXISTE MOT A ANT]]="NÃO",autocompJanta[[#This Row],[EXISTE MOT B ANT]]="NÃO"),"NÃO","SIM")</f>
        <v>NÃO</v>
      </c>
      <c r="L236" s="59" t="str">
        <f t="shared" si="15"/>
        <v>1+</v>
      </c>
      <c r="M236" s="59" t="str">
        <f>IF(autocompJanta[[#This Row],[COMP ESCALA POSTERIOR]]="NÃO","NÃO",_xlfn.XLOOKUP(autocompJanta[[#This Row],[COMP ESCALA POSTERIOR]],tabE.Flux[COMP.AT. MOT A],tabE.Flux[LINHA],"NÃO",0,1))</f>
        <v>NÃO</v>
      </c>
      <c r="N236" s="59" t="str">
        <f>IF(autocompJanta[[#This Row],[COMP ESCALA POSTERIOR]]="NÃO","NÃO",_xlfn.XLOOKUP(autocompJanta[[#This Row],[COMP ESCALA POSTERIOR]],tabE.Flux[COMP.AT. MOT B],tabE.Flux[LINHA],"NÃO",0,1))</f>
        <v>NÃO</v>
      </c>
      <c r="O236" s="65" t="str">
        <f>IF(AND(autocompJanta[[#This Row],[EXISTE MOT A POS]]="NÃO",autocompJanta[[#This Row],[EXISTE MOT B POS]]="NÃO"),"NÃO","SIM")</f>
        <v>NÃO</v>
      </c>
      <c r="P236" s="66" t="str" cm="1">
        <f t="array" ref="P23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36" s="103" t="str" cm="1">
        <f t="array" ref="Q23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36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36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36" s="127">
        <v>45942</v>
      </c>
      <c r="U236" s="131">
        <v>19015</v>
      </c>
      <c r="V236" s="126">
        <v>0.39583333333333331</v>
      </c>
      <c r="W236" s="1" t="s">
        <v>299</v>
      </c>
      <c r="X236" s="1" t="s">
        <v>221</v>
      </c>
      <c r="Y236" s="1">
        <f>IF(tabJanta[[#This Row],[MOTORISTA]]="","",COUNTIF(autocompJanta[COMP ESCALA ATUAL],autocompJanta[[#This Row],[COMP ESCALA ATUAL]]))</f>
        <v>1</v>
      </c>
      <c r="Z236" s="105">
        <f>IF(tabJanta[[#This Row],[MOTORISTA]]&lt;&gt;0,15,"")</f>
        <v>15</v>
      </c>
      <c r="AA236" s="131" t="s">
        <v>1235</v>
      </c>
    </row>
    <row r="237" spans="3:27" ht="15" customHeight="1" x14ac:dyDescent="0.25">
      <c r="C237" s="129" t="s">
        <v>226</v>
      </c>
      <c r="D237" s="56" t="str">
        <f>IF(tabJanta[[#This Row],[MOTORISTA]]="","",_xlfn.CONCAT(tabJanta[[#This Row],[DATA]],"+",tabJanta[[#This Row],[MOTORISTA]]))</f>
        <v>45942+FRANCISCO BATISTA DE LIMA - 1827</v>
      </c>
      <c r="E237" s="56" t="str">
        <f>_xlfn.XLOOKUP(autocompJanta[[#This Row],[COMP ESCALA ATUAL]],tabE.Flux[COMP.AT. MOT A],tabE.Flux[LINHA],"NÃO",0,1)</f>
        <v>NÃO</v>
      </c>
      <c r="F237" s="56" t="str">
        <f>_xlfn.XLOOKUP(autocompJanta[[#This Row],[COMP ESCALA ATUAL]],tabE.Flux[COMP.AT. MOT B],tabE.Flux[LINHA],"NÃO",0,1)</f>
        <v>IMPERATRIZ (MA) X SÃO LUIS (MA)</v>
      </c>
      <c r="G237" s="61" t="str">
        <f>IF(AND(autocompJanta[[#This Row],[EXISTE MOT A AT]]="NÃO", autocompJanta[[#This Row],[EXISTE MOT B AT]]="NÃO"),"NÃO","SIM")</f>
        <v>SIM</v>
      </c>
      <c r="H237" s="57" t="str">
        <f>IF(autocompJanta[[#This Row],[EXISTE ESCALA ATUAL]]="NÃO",_xlfn.CONCAT(tabJanta[[#This Row],[DATA]]-1,"+",tabJanta[[#This Row],[MOTORISTA]]),"NÃO")</f>
        <v>NÃO</v>
      </c>
      <c r="I237" s="57" t="str">
        <f>IF(autocompJanta[[#This Row],[COMP ESCALA ANTERIOR]]="NÃO","NÃO",_xlfn.XLOOKUP(autocompJanta[[#This Row],[COMP ESCALA ANTERIOR]],tabE.Flux[COMP.AT. MOT A],tabE.Flux[LINHA],"NÃO",0,1))</f>
        <v>NÃO</v>
      </c>
      <c r="J237" s="58" t="str">
        <f>IF(autocompJanta[[#This Row],[COMP ESCALA ANTERIOR]]="NÃO","NÃO",_xlfn.XLOOKUP(autocompJanta[[#This Row],[COMP ESCALA ANTERIOR]],tabE.Flux[COMP.AT. MOT B],tabE.Flux[LINHA],"NÃO",0,1))</f>
        <v>NÃO</v>
      </c>
      <c r="K237" s="62" t="str">
        <f>IF(AND(autocompJanta[[#This Row],[EXISTE MOT A ANT]]="NÃO",autocompJanta[[#This Row],[EXISTE MOT B ANT]]="NÃO"),"NÃO","SIM")</f>
        <v>NÃO</v>
      </c>
      <c r="L237" s="59" t="str">
        <f t="shared" si="15"/>
        <v>1+</v>
      </c>
      <c r="M237" s="59" t="str">
        <f>IF(autocompJanta[[#This Row],[COMP ESCALA POSTERIOR]]="NÃO","NÃO",_xlfn.XLOOKUP(autocompJanta[[#This Row],[COMP ESCALA POSTERIOR]],tabE.Flux[COMP.AT. MOT A],tabE.Flux[LINHA],"NÃO",0,1))</f>
        <v>NÃO</v>
      </c>
      <c r="N237" s="59" t="str">
        <f>IF(autocompJanta[[#This Row],[COMP ESCALA POSTERIOR]]="NÃO","NÃO",_xlfn.XLOOKUP(autocompJanta[[#This Row],[COMP ESCALA POSTERIOR]],tabE.Flux[COMP.AT. MOT B],tabE.Flux[LINHA],"NÃO",0,1))</f>
        <v>NÃO</v>
      </c>
      <c r="O237" s="65" t="str">
        <f>IF(AND(autocompJanta[[#This Row],[EXISTE MOT A POS]]="NÃO",autocompJanta[[#This Row],[EXISTE MOT B POS]]="NÃO"),"NÃO","SIM")</f>
        <v>NÃO</v>
      </c>
      <c r="P237" s="66" t="str" cm="1">
        <f t="array" ref="P23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IMPERATRIZ (MA) X SÃO LUIS (MA)</v>
      </c>
      <c r="Q237" s="103" t="str" cm="1">
        <f t="array" ref="Q23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45942+FRANCISCO BATISTA DE LIMA - 1827+IMPERATRIZ (MA) X SÃO LUIS (MA)</v>
      </c>
      <c r="R237" s="67">
        <f>_xlfn.XLOOKUP(autocompJanta[[#This Row],[COMP ESCALA]],tabE.Flux[COMP. ESCALA MOT B],tabE.Flux[CARRO],
(_xlfn.XLOOKUP(autocompJanta[[#This Row],[COMP ESCALA]],tabE.Flux[COMP. ESCALA MOT A],tabE.Flux[CARRO],"N/E",0,1)),0,1)</f>
        <v>19002</v>
      </c>
      <c r="S237" s="130">
        <f>_xlfn.XLOOKUP(autocompJanta[[#This Row],[COMP ESCALA]],tabE.Flux[COMP. ESCALA MOT A],tabE.Flux[HORARIO],(_xlfn.XLOOKUP(autocompJanta[[#This Row],[COMP ESCALA]],tabE.Flux[COMP. ESCALA MOT B],tabE.Flux[HORARIO],"N/E",0,1)),0,1)</f>
        <v>0.79513888888888884</v>
      </c>
      <c r="T237" s="127">
        <v>45942</v>
      </c>
      <c r="U237" s="131">
        <f>IF(IFERROR(autocompJanta[[#This Row],[CORRESP. CARRO]],"")="NÃO",(IF(tabJanta[[#This Row],[MOTORISTA]]=0,"","PASSE?")),autocompJanta[[#This Row],[CORRESP. CARRO]])</f>
        <v>19002</v>
      </c>
      <c r="V237" s="126">
        <f>IF(OR(ISERR(autocompJanta[[#This Row],[CORRESP HORARIO]]), autocompJanta[[#This Row],[CORRESP HORARIO]]&lt;&gt;"NÃO"),autocompJanta[[#This Row],[CORRESP HORARIO]],"")</f>
        <v>0.79513888888888884</v>
      </c>
      <c r="W237" s="1" t="s">
        <v>299</v>
      </c>
      <c r="X237" s="1" t="s">
        <v>128</v>
      </c>
      <c r="Y237" s="1">
        <f>IF(tabJanta[[#This Row],[MOTORISTA]]="","",COUNTIF(autocompJanta[COMP ESCALA ATUAL],autocompJanta[[#This Row],[COMP ESCALA ATUAL]]))</f>
        <v>1</v>
      </c>
      <c r="Z237" s="105">
        <f>IF(tabJanta[[#This Row],[MOTORISTA]]&lt;&gt;0,15,"")</f>
        <v>15</v>
      </c>
      <c r="AA237" s="131" t="str">
        <f>autocompJanta[[#This Row],[CORRESP LINHA]]</f>
        <v>IMPERATRIZ (MA) X SÃO LUIS (MA)</v>
      </c>
    </row>
    <row r="238" spans="3:27" ht="15" customHeight="1" x14ac:dyDescent="0.25">
      <c r="C238" s="129" t="s">
        <v>226</v>
      </c>
      <c r="D238" s="56" t="str">
        <f>IF(tabJanta[[#This Row],[MOTORISTA]]="","",_xlfn.CONCAT(tabJanta[[#This Row],[DATA]],"+",tabJanta[[#This Row],[MOTORISTA]]))</f>
        <v>45942+REINAN JOSE BORGES SOUSA - 1075</v>
      </c>
      <c r="E238" s="56" t="str">
        <f>_xlfn.XLOOKUP(autocompJanta[[#This Row],[COMP ESCALA ATUAL]],tabE.Flux[COMP.AT. MOT A],tabE.Flux[LINHA],"NÃO",0,1)</f>
        <v>NÃO</v>
      </c>
      <c r="F238" s="56" t="str">
        <f>_xlfn.XLOOKUP(autocompJanta[[#This Row],[COMP ESCALA ATUAL]],tabE.Flux[COMP.AT. MOT B],tabE.Flux[LINHA],"NÃO",0,1)</f>
        <v>GOIANIA (GO) X SAO LUIS (MA)</v>
      </c>
      <c r="G238" s="61" t="str">
        <f>IF(AND(autocompJanta[[#This Row],[EXISTE MOT A AT]]="NÃO", autocompJanta[[#This Row],[EXISTE MOT B AT]]="NÃO"),"NÃO","SIM")</f>
        <v>SIM</v>
      </c>
      <c r="H238" s="57" t="str">
        <f>IF(autocompJanta[[#This Row],[EXISTE ESCALA ATUAL]]="NÃO",_xlfn.CONCAT(tabJanta[[#This Row],[DATA]]-1,"+",tabJanta[[#This Row],[MOTORISTA]]),"NÃO")</f>
        <v>NÃO</v>
      </c>
      <c r="I238" s="57" t="str">
        <f>IF(autocompJanta[[#This Row],[COMP ESCALA ANTERIOR]]="NÃO","NÃO",_xlfn.XLOOKUP(autocompJanta[[#This Row],[COMP ESCALA ANTERIOR]],tabE.Flux[COMP.AT. MOT A],tabE.Flux[LINHA],"NÃO",0,1))</f>
        <v>NÃO</v>
      </c>
      <c r="J238" s="58" t="str">
        <f>IF(autocompJanta[[#This Row],[COMP ESCALA ANTERIOR]]="NÃO","NÃO",_xlfn.XLOOKUP(autocompJanta[[#This Row],[COMP ESCALA ANTERIOR]],tabE.Flux[COMP.AT. MOT B],tabE.Flux[LINHA],"NÃO",0,1))</f>
        <v>NÃO</v>
      </c>
      <c r="K238" s="62" t="str">
        <f>IF(AND(autocompJanta[[#This Row],[EXISTE MOT A ANT]]="NÃO",autocompJanta[[#This Row],[EXISTE MOT B ANT]]="NÃO"),"NÃO","SIM")</f>
        <v>NÃO</v>
      </c>
      <c r="L238" s="59" t="str">
        <f t="shared" si="15"/>
        <v>1+</v>
      </c>
      <c r="M238" s="59" t="str">
        <f>IF(autocompJanta[[#This Row],[COMP ESCALA POSTERIOR]]="NÃO","NÃO",_xlfn.XLOOKUP(autocompJanta[[#This Row],[COMP ESCALA POSTERIOR]],tabE.Flux[COMP.AT. MOT A],tabE.Flux[LINHA],"NÃO",0,1))</f>
        <v>NÃO</v>
      </c>
      <c r="N238" s="59" t="str">
        <f>IF(autocompJanta[[#This Row],[COMP ESCALA POSTERIOR]]="NÃO","NÃO",_xlfn.XLOOKUP(autocompJanta[[#This Row],[COMP ESCALA POSTERIOR]],tabE.Flux[COMP.AT. MOT B],tabE.Flux[LINHA],"NÃO",0,1))</f>
        <v>NÃO</v>
      </c>
      <c r="O238" s="65" t="str">
        <f>IF(AND(autocompJanta[[#This Row],[EXISTE MOT A POS]]="NÃO",autocompJanta[[#This Row],[EXISTE MOT B POS]]="NÃO"),"NÃO","SIM")</f>
        <v>NÃO</v>
      </c>
      <c r="P238" s="66" t="str" cm="1">
        <f t="array" ref="P23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38" s="103" t="str" cm="1">
        <f t="array" ref="Q23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45942+REINAN JOSE BORGES SOUSA - 1075+GOIANIA (GO) X SAO LUIS (MA)</v>
      </c>
      <c r="R238" s="67">
        <f>_xlfn.XLOOKUP(autocompJanta[[#This Row],[COMP ESCALA]],tabE.Flux[COMP. ESCALA MOT B],tabE.Flux[CARRO],
(_xlfn.XLOOKUP(autocompJanta[[#This Row],[COMP ESCALA]],tabE.Flux[COMP. ESCALA MOT A],tabE.Flux[CARRO],"N/E",0,1)),0,1)</f>
        <v>24012</v>
      </c>
      <c r="S238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238" s="127">
        <v>45942</v>
      </c>
      <c r="U238" s="131">
        <f>IF(IFERROR(autocompJanta[[#This Row],[CORRESP. CARRO]],"")="NÃO",(IF(tabJanta[[#This Row],[MOTORISTA]]=0,"","PASSE?")),autocompJanta[[#This Row],[CORRESP. CARRO]])</f>
        <v>24012</v>
      </c>
      <c r="V238" s="126">
        <f>IF(OR(ISERR(autocompJanta[[#This Row],[CORRESP HORARIO]]), autocompJanta[[#This Row],[CORRESP HORARIO]]&lt;&gt;"NÃO"),autocompJanta[[#This Row],[CORRESP HORARIO]],"")</f>
        <v>0.79166666666666663</v>
      </c>
      <c r="W238" s="1" t="s">
        <v>299</v>
      </c>
      <c r="X238" s="1" t="s">
        <v>84</v>
      </c>
      <c r="Y238" s="1">
        <f>IF(tabJanta[[#This Row],[MOTORISTA]]="","",COUNTIF(autocompJanta[COMP ESCALA ATUAL],autocompJanta[[#This Row],[COMP ESCALA ATUAL]]))</f>
        <v>1</v>
      </c>
      <c r="Z238" s="105">
        <f>IF(tabJanta[[#This Row],[MOTORISTA]]&lt;&gt;0,15,"")</f>
        <v>15</v>
      </c>
      <c r="AA238" s="131" t="str">
        <f>autocompJanta[[#This Row],[CORRESP LINHA]]</f>
        <v>GOIANIA (GO) X SAO LUIS (MA)</v>
      </c>
    </row>
    <row r="239" spans="3:27" ht="15" customHeight="1" x14ac:dyDescent="0.25">
      <c r="C239" s="129" t="s">
        <v>226</v>
      </c>
      <c r="D239" s="56" t="str">
        <f>IF(tabJanta[[#This Row],[MOTORISTA]]="","",_xlfn.CONCAT(tabJanta[[#This Row],[DATA]],"+",tabJanta[[#This Row],[MOTORISTA]]))</f>
        <v>45943+LAUCEANDO DA SILVA ROCHA - 6220</v>
      </c>
      <c r="E239" s="56" t="str">
        <f>_xlfn.XLOOKUP(autocompJanta[[#This Row],[COMP ESCALA ATUAL]],tabE.Flux[COMP.AT. MOT A],tabE.Flux[LINHA],"NÃO",0,1)</f>
        <v>NÃO</v>
      </c>
      <c r="F239" s="56" t="str">
        <f>_xlfn.XLOOKUP(autocompJanta[[#This Row],[COMP ESCALA ATUAL]],tabE.Flux[COMP.AT. MOT B],tabE.Flux[LINHA],"NÃO",0,1)</f>
        <v>GOIANIA (GO) X SAO LUIS (MA)</v>
      </c>
      <c r="G239" s="61" t="str">
        <f>IF(AND(autocompJanta[[#This Row],[EXISTE MOT A AT]]="NÃO", autocompJanta[[#This Row],[EXISTE MOT B AT]]="NÃO"),"NÃO","SIM")</f>
        <v>SIM</v>
      </c>
      <c r="H239" s="57" t="str">
        <f>IF(autocompJanta[[#This Row],[EXISTE ESCALA ATUAL]]="NÃO",_xlfn.CONCAT(tabJanta[[#This Row],[DATA]]-1,"+",tabJanta[[#This Row],[MOTORISTA]]),"NÃO")</f>
        <v>NÃO</v>
      </c>
      <c r="I239" s="57" t="str">
        <f>IF(autocompJanta[[#This Row],[COMP ESCALA ANTERIOR]]="NÃO","NÃO",_xlfn.XLOOKUP(autocompJanta[[#This Row],[COMP ESCALA ANTERIOR]],tabE.Flux[COMP.AT. MOT A],tabE.Flux[LINHA],"NÃO",0,1))</f>
        <v>NÃO</v>
      </c>
      <c r="J239" s="58" t="str">
        <f>IF(autocompJanta[[#This Row],[COMP ESCALA ANTERIOR]]="NÃO","NÃO",_xlfn.XLOOKUP(autocompJanta[[#This Row],[COMP ESCALA ANTERIOR]],tabE.Flux[COMP.AT. MOT B],tabE.Flux[LINHA],"NÃO",0,1))</f>
        <v>NÃO</v>
      </c>
      <c r="K239" s="62" t="str">
        <f>IF(AND(autocompJanta[[#This Row],[EXISTE MOT A ANT]]="NÃO",autocompJanta[[#This Row],[EXISTE MOT B ANT]]="NÃO"),"NÃO","SIM")</f>
        <v>NÃO</v>
      </c>
      <c r="L239" s="59" t="str">
        <f t="shared" si="15"/>
        <v>1+</v>
      </c>
      <c r="M239" s="59" t="str">
        <f>IF(autocompJanta[[#This Row],[COMP ESCALA POSTERIOR]]="NÃO","NÃO",_xlfn.XLOOKUP(autocompJanta[[#This Row],[COMP ESCALA POSTERIOR]],tabE.Flux[COMP.AT. MOT A],tabE.Flux[LINHA],"NÃO",0,1))</f>
        <v>NÃO</v>
      </c>
      <c r="N239" s="59" t="str">
        <f>IF(autocompJanta[[#This Row],[COMP ESCALA POSTERIOR]]="NÃO","NÃO",_xlfn.XLOOKUP(autocompJanta[[#This Row],[COMP ESCALA POSTERIOR]],tabE.Flux[COMP.AT. MOT B],tabE.Flux[LINHA],"NÃO",0,1))</f>
        <v>NÃO</v>
      </c>
      <c r="O239" s="65" t="str">
        <f>IF(AND(autocompJanta[[#This Row],[EXISTE MOT A POS]]="NÃO",autocompJanta[[#This Row],[EXISTE MOT B POS]]="NÃO"),"NÃO","SIM")</f>
        <v>NÃO</v>
      </c>
      <c r="P239" s="66" t="str" cm="1">
        <f t="array" ref="P23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39" s="103" t="str" cm="1">
        <f t="array" ref="Q23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45943+LAUCEANDO DA SILVA ROCHA - 6220+GOIANIA (GO) X SAO LUIS (MA)</v>
      </c>
      <c r="R239" s="67">
        <f>_xlfn.XLOOKUP(autocompJanta[[#This Row],[COMP ESCALA]],tabE.Flux[COMP. ESCALA MOT B],tabE.Flux[CARRO],
(_xlfn.XLOOKUP(autocompJanta[[#This Row],[COMP ESCALA]],tabE.Flux[COMP. ESCALA MOT A],tabE.Flux[CARRO],"N/E",0,1)),0,1)</f>
        <v>19026</v>
      </c>
      <c r="S239" s="130">
        <f>_xlfn.XLOOKUP(autocompJanta[[#This Row],[COMP ESCALA]],tabE.Flux[COMP. ESCALA MOT A],tabE.Flux[HORARIO],(_xlfn.XLOOKUP(autocompJanta[[#This Row],[COMP ESCALA]],tabE.Flux[COMP. ESCALA MOT B],tabE.Flux[HORARIO],"N/E",0,1)),0,1)</f>
        <v>0.47013888888888888</v>
      </c>
      <c r="T239" s="127">
        <v>45943</v>
      </c>
      <c r="U239" s="4">
        <f>IF(IFERROR(autocompJanta[[#This Row],[CORRESP. CARRO]],"")="NÃO",(IF(tabJanta[[#This Row],[MOTORISTA]]=0,"","PASSE?")),autocompJanta[[#This Row],[CORRESP. CARRO]])</f>
        <v>19026</v>
      </c>
      <c r="V239" s="128">
        <f>IF(OR(ISERR(autocompJanta[[#This Row],[CORRESP HORARIO]]), autocompJanta[[#This Row],[CORRESP HORARIO]]&lt;&gt;"NÃO"),autocompJanta[[#This Row],[CORRESP HORARIO]],"")</f>
        <v>0.47013888888888888</v>
      </c>
      <c r="W239" s="4" t="s">
        <v>299</v>
      </c>
      <c r="X239" s="4" t="s">
        <v>86</v>
      </c>
      <c r="Y239" s="4">
        <f>IF(tabJanta[[#This Row],[MOTORISTA]]="","",COUNTIF(autocompJanta[COMP ESCALA ATUAL],autocompJanta[[#This Row],[COMP ESCALA ATUAL]]))</f>
        <v>1</v>
      </c>
      <c r="Z239" s="45">
        <f>IF(tabJanta[[#This Row],[MOTORISTA]]&lt;&gt;0,15,"")</f>
        <v>15</v>
      </c>
      <c r="AA239" s="4" t="str">
        <f>autocompJanta[[#This Row],[CORRESP LINHA]]</f>
        <v>GOIANIA (GO) X SAO LUIS (MA)</v>
      </c>
    </row>
    <row r="240" spans="3:27" ht="15" customHeight="1" x14ac:dyDescent="0.25">
      <c r="C240" s="129" t="s">
        <v>226</v>
      </c>
      <c r="D240" s="56" t="str">
        <f>IF(tabJanta[[#This Row],[MOTORISTA]]="","",_xlfn.CONCAT(tabJanta[[#This Row],[DATA]],"+",tabJanta[[#This Row],[MOTORISTA]]))</f>
        <v>45943+LUIZ CARLOS MARIANO SIQUEIRA - 5634</v>
      </c>
      <c r="E240" s="56" t="str">
        <f>_xlfn.XLOOKUP(autocompJanta[[#This Row],[COMP ESCALA ATUAL]],tabE.Flux[COMP.AT. MOT A],tabE.Flux[LINHA],"NÃO",0,1)</f>
        <v>NÃO</v>
      </c>
      <c r="F240" s="56" t="str">
        <f>_xlfn.XLOOKUP(autocompJanta[[#This Row],[COMP ESCALA ATUAL]],tabE.Flux[COMP.AT. MOT B],tabE.Flux[LINHA],"NÃO",0,1)</f>
        <v>GOIANIA (GO) X SAO LUIS (MA)</v>
      </c>
      <c r="G240" s="61" t="str">
        <f>IF(AND(autocompJanta[[#This Row],[EXISTE MOT A AT]]="NÃO", autocompJanta[[#This Row],[EXISTE MOT B AT]]="NÃO"),"NÃO","SIM")</f>
        <v>SIM</v>
      </c>
      <c r="H240" s="57" t="str">
        <f>IF(autocompJanta[[#This Row],[EXISTE ESCALA ATUAL]]="NÃO",_xlfn.CONCAT(tabJanta[[#This Row],[DATA]]-1,"+",tabJanta[[#This Row],[MOTORISTA]]),"NÃO")</f>
        <v>NÃO</v>
      </c>
      <c r="I240" s="57" t="str">
        <f>IF(autocompJanta[[#This Row],[COMP ESCALA ANTERIOR]]="NÃO","NÃO",_xlfn.XLOOKUP(autocompJanta[[#This Row],[COMP ESCALA ANTERIOR]],tabE.Flux[COMP.AT. MOT A],tabE.Flux[LINHA],"NÃO",0,1))</f>
        <v>NÃO</v>
      </c>
      <c r="J240" s="58" t="str">
        <f>IF(autocompJanta[[#This Row],[COMP ESCALA ANTERIOR]]="NÃO","NÃO",_xlfn.XLOOKUP(autocompJanta[[#This Row],[COMP ESCALA ANTERIOR]],tabE.Flux[COMP.AT. MOT B],tabE.Flux[LINHA],"NÃO",0,1))</f>
        <v>NÃO</v>
      </c>
      <c r="K240" s="62" t="str">
        <f>IF(AND(autocompJanta[[#This Row],[EXISTE MOT A ANT]]="NÃO",autocompJanta[[#This Row],[EXISTE MOT B ANT]]="NÃO"),"NÃO","SIM")</f>
        <v>NÃO</v>
      </c>
      <c r="L240" s="59" t="str">
        <f t="shared" si="15"/>
        <v>1+</v>
      </c>
      <c r="M240" s="59" t="str">
        <f>IF(autocompJanta[[#This Row],[COMP ESCALA POSTERIOR]]="NÃO","NÃO",_xlfn.XLOOKUP(autocompJanta[[#This Row],[COMP ESCALA POSTERIOR]],tabE.Flux[COMP.AT. MOT A],tabE.Flux[LINHA],"NÃO",0,1))</f>
        <v>NÃO</v>
      </c>
      <c r="N240" s="59" t="str">
        <f>IF(autocompJanta[[#This Row],[COMP ESCALA POSTERIOR]]="NÃO","NÃO",_xlfn.XLOOKUP(autocompJanta[[#This Row],[COMP ESCALA POSTERIOR]],tabE.Flux[COMP.AT. MOT B],tabE.Flux[LINHA],"NÃO",0,1))</f>
        <v>NÃO</v>
      </c>
      <c r="O240" s="65" t="str">
        <f>IF(AND(autocompJanta[[#This Row],[EXISTE MOT A POS]]="NÃO",autocompJanta[[#This Row],[EXISTE MOT B POS]]="NÃO"),"NÃO","SIM")</f>
        <v>NÃO</v>
      </c>
      <c r="P240" s="66" t="str" cm="1">
        <f t="array" ref="P24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40" s="103" t="str" cm="1">
        <f t="array" ref="Q24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45943+LUIZ CARLOS MARIANO SIQUEIRA - 5634+GOIANIA (GO) X SAO LUIS (MA)</v>
      </c>
      <c r="R240" s="67">
        <f>_xlfn.XLOOKUP(autocompJanta[[#This Row],[COMP ESCALA]],tabE.Flux[COMP. ESCALA MOT B],tabE.Flux[CARRO],
(_xlfn.XLOOKUP(autocompJanta[[#This Row],[COMP ESCALA]],tabE.Flux[COMP. ESCALA MOT A],tabE.Flux[CARRO],"N/E",0,1)),0,1)</f>
        <v>24016</v>
      </c>
      <c r="S240" s="130">
        <f>_xlfn.XLOOKUP(autocompJanta[[#This Row],[COMP ESCALA]],tabE.Flux[COMP. ESCALA MOT A],tabE.Flux[HORARIO],(_xlfn.XLOOKUP(autocompJanta[[#This Row],[COMP ESCALA]],tabE.Flux[COMP. ESCALA MOT B],tabE.Flux[HORARIO],"N/E",0,1)),0,1)</f>
        <v>0.79166666666666663</v>
      </c>
      <c r="T240" s="127">
        <v>45943</v>
      </c>
      <c r="U240" s="4">
        <f>IF(IFERROR(autocompJanta[[#This Row],[CORRESP. CARRO]],"")="NÃO",(IF(tabJanta[[#This Row],[MOTORISTA]]=0,"","PASSE?")),autocompJanta[[#This Row],[CORRESP. CARRO]])</f>
        <v>24016</v>
      </c>
      <c r="V240" s="126">
        <f>IF(OR(ISERR(autocompJanta[[#This Row],[CORRESP HORARIO]]), autocompJanta[[#This Row],[CORRESP HORARIO]]&lt;&gt;"NÃO"),autocompJanta[[#This Row],[CORRESP HORARIO]],"")</f>
        <v>0.79166666666666663</v>
      </c>
      <c r="W240" s="1" t="s">
        <v>299</v>
      </c>
      <c r="X240" s="1" t="s">
        <v>51</v>
      </c>
      <c r="Y240" s="1">
        <f>IF(tabJanta[[#This Row],[MOTORISTA]]="","",COUNTIF(autocompJanta[COMP ESCALA ATUAL],autocompJanta[[#This Row],[COMP ESCALA ATUAL]]))</f>
        <v>1</v>
      </c>
      <c r="Z240" s="105">
        <f>IF(tabJanta[[#This Row],[MOTORISTA]]&lt;&gt;0,15,"")</f>
        <v>15</v>
      </c>
      <c r="AA240" s="4" t="str">
        <f>autocompJanta[[#This Row],[CORRESP LINHA]]</f>
        <v>GOIANIA (GO) X SAO LUIS (MA)</v>
      </c>
    </row>
    <row r="241" spans="3:27" ht="15" customHeight="1" x14ac:dyDescent="0.25">
      <c r="C241" s="129" t="s">
        <v>226</v>
      </c>
      <c r="D241" s="56" t="str">
        <f>IF(tabJanta[[#This Row],[MOTORISTA]]="","",_xlfn.CONCAT(tabJanta[[#This Row],[DATA]],"+",tabJanta[[#This Row],[MOTORISTA]]))</f>
        <v>45943+ANTONIO MARCIO DE SENA RIBEIRO CHAVES - 5061</v>
      </c>
      <c r="E241" s="56" t="str">
        <f>_xlfn.XLOOKUP(autocompJanta[[#This Row],[COMP ESCALA ATUAL]],tabE.Flux[COMP.AT. MOT A],tabE.Flux[LINHA],"NÃO",0,1)</f>
        <v>NÃO</v>
      </c>
      <c r="F241" s="56" t="str">
        <f>_xlfn.XLOOKUP(autocompJanta[[#This Row],[COMP ESCALA ATUAL]],tabE.Flux[COMP.AT. MOT B],tabE.Flux[LINHA],"NÃO",0,1)</f>
        <v>NÃO</v>
      </c>
      <c r="G241" s="61" t="str">
        <f>IF(AND(autocompJanta[[#This Row],[EXISTE MOT A AT]]="NÃO", autocompJanta[[#This Row],[EXISTE MOT B AT]]="NÃO"),"NÃO","SIM")</f>
        <v>NÃO</v>
      </c>
      <c r="H241" s="57" t="str">
        <f>IF(autocompJanta[[#This Row],[EXISTE ESCALA ATUAL]]="NÃO",_xlfn.CONCAT(tabJanta[[#This Row],[DATA]]-1,"+",tabJanta[[#This Row],[MOTORISTA]]),"NÃO")</f>
        <v>45942+ANTONIO MARCIO DE SENA RIBEIRO CHAVES - 5061</v>
      </c>
      <c r="I241" s="57" t="str">
        <f>IF(autocompJanta[[#This Row],[COMP ESCALA ANTERIOR]]="NÃO","NÃO",_xlfn.XLOOKUP(autocompJanta[[#This Row],[COMP ESCALA ANTERIOR]],tabE.Flux[COMP.AT. MOT A],tabE.Flux[LINHA],"NÃO",0,1))</f>
        <v>GOIANIA (GO) X TERESINA (PI) VIA STI</v>
      </c>
      <c r="J241" s="58" t="str">
        <f>IF(autocompJanta[[#This Row],[COMP ESCALA ANTERIOR]]="NÃO","NÃO",_xlfn.XLOOKUP(autocompJanta[[#This Row],[COMP ESCALA ANTERIOR]],tabE.Flux[COMP.AT. MOT B],tabE.Flux[LINHA],"NÃO",0,1))</f>
        <v>NÃO</v>
      </c>
      <c r="K241" s="62" t="str">
        <f>IF(AND(autocompJanta[[#This Row],[EXISTE MOT A ANT]]="NÃO",autocompJanta[[#This Row],[EXISTE MOT B ANT]]="NÃO"),"NÃO","SIM")</f>
        <v>SIM</v>
      </c>
      <c r="L241" s="59" t="str">
        <f t="shared" si="15"/>
        <v>1+</v>
      </c>
      <c r="M241" s="59" t="str">
        <f>IF(autocompJanta[[#This Row],[COMP ESCALA POSTERIOR]]="NÃO","NÃO",_xlfn.XLOOKUP(autocompJanta[[#This Row],[COMP ESCALA POSTERIOR]],tabE.Flux[COMP.AT. MOT A],tabE.Flux[LINHA],"NÃO",0,1))</f>
        <v>NÃO</v>
      </c>
      <c r="N241" s="59" t="str">
        <f>IF(autocompJanta[[#This Row],[COMP ESCALA POSTERIOR]]="NÃO","NÃO",_xlfn.XLOOKUP(autocompJanta[[#This Row],[COMP ESCALA POSTERIOR]],tabE.Flux[COMP.AT. MOT B],tabE.Flux[LINHA],"NÃO",0,1))</f>
        <v>NÃO</v>
      </c>
      <c r="O241" s="65" t="str">
        <f>IF(AND(autocompJanta[[#This Row],[EXISTE MOT A POS]]="NÃO",autocompJanta[[#This Row],[EXISTE MOT B POS]]="NÃO"),"NÃO","SIM")</f>
        <v>NÃO</v>
      </c>
      <c r="P241" s="66" t="str" cm="1">
        <f t="array" ref="P24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41" s="103" t="str" cm="1">
        <f t="array" ref="Q24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45942+ANTONIO MARCIO DE SENA RIBEIRO CHAVES - 5061+GOIANIA (GO) X TERESINA (PI) VIA STI</v>
      </c>
      <c r="R241" s="67">
        <f>_xlfn.XLOOKUP(autocompJanta[[#This Row],[COMP ESCALA]],tabE.Flux[COMP. ESCALA MOT B],tabE.Flux[CARRO],
(_xlfn.XLOOKUP(autocompJanta[[#This Row],[COMP ESCALA]],tabE.Flux[COMP. ESCALA MOT A],tabE.Flux[CARRO],"N/E",0,1)),0,1)</f>
        <v>19008</v>
      </c>
      <c r="S241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41" s="127">
        <v>45943</v>
      </c>
      <c r="U241" s="131">
        <f>IF(IFERROR(autocompJanta[[#This Row],[CORRESP. CARRO]],"")="NÃO",(IF(tabJanta[[#This Row],[MOTORISTA]]=0,"","PASSE?")),autocompJanta[[#This Row],[CORRESP. CARRO]])</f>
        <v>19008</v>
      </c>
      <c r="V241" s="126">
        <f>IF(OR(ISERR(autocompJanta[[#This Row],[CORRESP HORARIO]]), autocompJanta[[#This Row],[CORRESP HORARIO]]&lt;&gt;"NÃO"),autocompJanta[[#This Row],[CORRESP HORARIO]],"")</f>
        <v>0.79861111111111116</v>
      </c>
      <c r="W241" s="1" t="s">
        <v>299</v>
      </c>
      <c r="X241" s="1" t="s">
        <v>235</v>
      </c>
      <c r="Y241" s="1">
        <f>IF(tabJanta[[#This Row],[MOTORISTA]]="","",COUNTIF(autocompJanta[COMP ESCALA ATUAL],autocompJanta[[#This Row],[COMP ESCALA ATUAL]]))</f>
        <v>1</v>
      </c>
      <c r="Z241" s="105">
        <f>IF(tabJanta[[#This Row],[MOTORISTA]]&lt;&gt;0,15,"")</f>
        <v>15</v>
      </c>
      <c r="AA241" s="131" t="str">
        <f>autocompJanta[[#This Row],[CORRESP LINHA]]</f>
        <v>GOIANIA (GO) X TERESINA (PI) VIA STI</v>
      </c>
    </row>
    <row r="242" spans="3:27" ht="15" customHeight="1" x14ac:dyDescent="0.25">
      <c r="C242" s="129" t="s">
        <v>226</v>
      </c>
      <c r="D242" s="56" t="str">
        <f>IF(tabJanta[[#This Row],[MOTORISTA]]="","",_xlfn.CONCAT(tabJanta[[#This Row],[DATA]],"+",tabJanta[[#This Row],[MOTORISTA]]))</f>
        <v>45943+PAULO MORAES DOS SANTOS - 1534</v>
      </c>
      <c r="E242" s="56" t="str">
        <f>_xlfn.XLOOKUP(autocompJanta[[#This Row],[COMP ESCALA ATUAL]],tabE.Flux[COMP.AT. MOT A],tabE.Flux[LINHA],"NÃO",0,1)</f>
        <v>NÃO</v>
      </c>
      <c r="F242" s="56" t="str">
        <f>_xlfn.XLOOKUP(autocompJanta[[#This Row],[COMP ESCALA ATUAL]],tabE.Flux[COMP.AT. MOT B],tabE.Flux[LINHA],"NÃO",0,1)</f>
        <v>GOIANIA (GO) X TERESINA (PI) VIA STI</v>
      </c>
      <c r="G242" s="61" t="str">
        <f>IF(AND(autocompJanta[[#This Row],[EXISTE MOT A AT]]="NÃO", autocompJanta[[#This Row],[EXISTE MOT B AT]]="NÃO"),"NÃO","SIM")</f>
        <v>SIM</v>
      </c>
      <c r="H242" s="57" t="str">
        <f>IF(autocompJanta[[#This Row],[EXISTE ESCALA ATUAL]]="NÃO",_xlfn.CONCAT(tabJanta[[#This Row],[DATA]]-1,"+",tabJanta[[#This Row],[MOTORISTA]]),"NÃO")</f>
        <v>NÃO</v>
      </c>
      <c r="I242" s="57" t="str">
        <f>IF(autocompJanta[[#This Row],[COMP ESCALA ANTERIOR]]="NÃO","NÃO",_xlfn.XLOOKUP(autocompJanta[[#This Row],[COMP ESCALA ANTERIOR]],tabE.Flux[COMP.AT. MOT A],tabE.Flux[LINHA],"NÃO",0,1))</f>
        <v>NÃO</v>
      </c>
      <c r="J242" s="58" t="str">
        <f>IF(autocompJanta[[#This Row],[COMP ESCALA ANTERIOR]]="NÃO","NÃO",_xlfn.XLOOKUP(autocompJanta[[#This Row],[COMP ESCALA ANTERIOR]],tabE.Flux[COMP.AT. MOT B],tabE.Flux[LINHA],"NÃO",0,1))</f>
        <v>NÃO</v>
      </c>
      <c r="K242" s="62" t="str">
        <f>IF(AND(autocompJanta[[#This Row],[EXISTE MOT A ANT]]="NÃO",autocompJanta[[#This Row],[EXISTE MOT B ANT]]="NÃO"),"NÃO","SIM")</f>
        <v>NÃO</v>
      </c>
      <c r="L242" s="59" t="str">
        <f t="shared" si="15"/>
        <v>1+</v>
      </c>
      <c r="M242" s="59" t="str">
        <f>IF(autocompJanta[[#This Row],[COMP ESCALA POSTERIOR]]="NÃO","NÃO",_xlfn.XLOOKUP(autocompJanta[[#This Row],[COMP ESCALA POSTERIOR]],tabE.Flux[COMP.AT. MOT A],tabE.Flux[LINHA],"NÃO",0,1))</f>
        <v>NÃO</v>
      </c>
      <c r="N242" s="59" t="str">
        <f>IF(autocompJanta[[#This Row],[COMP ESCALA POSTERIOR]]="NÃO","NÃO",_xlfn.XLOOKUP(autocompJanta[[#This Row],[COMP ESCALA POSTERIOR]],tabE.Flux[COMP.AT. MOT B],tabE.Flux[LINHA],"NÃO",0,1))</f>
        <v>NÃO</v>
      </c>
      <c r="O242" s="65" t="str">
        <f>IF(AND(autocompJanta[[#This Row],[EXISTE MOT A POS]]="NÃO",autocompJanta[[#This Row],[EXISTE MOT B POS]]="NÃO"),"NÃO","SIM")</f>
        <v>NÃO</v>
      </c>
      <c r="P242" s="66" t="str" cm="1">
        <f t="array" ref="P24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TERESINA (PI) VIA STI</v>
      </c>
      <c r="Q242" s="103" t="str" cm="1">
        <f t="array" ref="Q24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45943+PAULO MORAES DOS SANTOS - 1534+GOIANIA (GO) X TERESINA (PI) VIA STI</v>
      </c>
      <c r="R242" s="67">
        <f>_xlfn.XLOOKUP(autocompJanta[[#This Row],[COMP ESCALA]],tabE.Flux[COMP. ESCALA MOT B],tabE.Flux[CARRO],
(_xlfn.XLOOKUP(autocompJanta[[#This Row],[COMP ESCALA]],tabE.Flux[COMP. ESCALA MOT A],tabE.Flux[CARRO],"N/E",0,1)),0,1)</f>
        <v>19005</v>
      </c>
      <c r="S242" s="130">
        <f>_xlfn.XLOOKUP(autocompJanta[[#This Row],[COMP ESCALA]],tabE.Flux[COMP. ESCALA MOT A],tabE.Flux[HORARIO],(_xlfn.XLOOKUP(autocompJanta[[#This Row],[COMP ESCALA]],tabE.Flux[COMP. ESCALA MOT B],tabE.Flux[HORARIO],"N/E",0,1)),0,1)</f>
        <v>0.79861111111111116</v>
      </c>
      <c r="T242" s="127">
        <v>45943</v>
      </c>
      <c r="U242" s="131">
        <f>IF(IFERROR(autocompJanta[[#This Row],[CORRESP. CARRO]],"")="NÃO",(IF(tabJanta[[#This Row],[MOTORISTA]]=0,"","PASSE?")),autocompJanta[[#This Row],[CORRESP. CARRO]])</f>
        <v>19005</v>
      </c>
      <c r="V242" s="126">
        <f>IF(OR(ISERR(autocompJanta[[#This Row],[CORRESP HORARIO]]), autocompJanta[[#This Row],[CORRESP HORARIO]]&lt;&gt;"NÃO"),autocompJanta[[#This Row],[CORRESP HORARIO]],"")</f>
        <v>0.79861111111111116</v>
      </c>
      <c r="W242" s="1" t="s">
        <v>299</v>
      </c>
      <c r="X242" s="1" t="s">
        <v>225</v>
      </c>
      <c r="Y242" s="1">
        <f>IF(tabJanta[[#This Row],[MOTORISTA]]="","",COUNTIF(autocompJanta[COMP ESCALA ATUAL],autocompJanta[[#This Row],[COMP ESCALA ATUAL]]))</f>
        <v>1</v>
      </c>
      <c r="Z242" s="105">
        <f>IF(tabJanta[[#This Row],[MOTORISTA]]&lt;&gt;0,15,"")</f>
        <v>15</v>
      </c>
      <c r="AA242" s="131" t="str">
        <f>autocompJanta[[#This Row],[CORRESP LINHA]]</f>
        <v>GOIANIA (GO) X TERESINA (PI) VIA STI</v>
      </c>
    </row>
    <row r="243" spans="3:27" ht="15" customHeight="1" x14ac:dyDescent="0.25">
      <c r="C243" s="129" t="s">
        <v>226</v>
      </c>
      <c r="D243" s="56" t="str">
        <f>IF(tabJanta[[#This Row],[MOTORISTA]]="","",_xlfn.CONCAT(tabJanta[[#This Row],[DATA]],"+",tabJanta[[#This Row],[MOTORISTA]]))</f>
        <v>45943+PAULO ENEAS FARIAS ARAUJO - 6218</v>
      </c>
      <c r="E243" s="56" t="str">
        <f>_xlfn.XLOOKUP(autocompJanta[[#This Row],[COMP ESCALA ATUAL]],tabE.Flux[COMP.AT. MOT A],tabE.Flux[LINHA],"NÃO",0,1)</f>
        <v>GOIANIA (GO) X SAO LUIS (MA)</v>
      </c>
      <c r="F243" s="56" t="str">
        <f>_xlfn.XLOOKUP(autocompJanta[[#This Row],[COMP ESCALA ATUAL]],tabE.Flux[COMP.AT. MOT B],tabE.Flux[LINHA],"NÃO",0,1)</f>
        <v>GOIANIA (GO) X SAO LUIS (MA)</v>
      </c>
      <c r="G243" s="61" t="str">
        <f>IF(AND(autocompJanta[[#This Row],[EXISTE MOT A AT]]="NÃO", autocompJanta[[#This Row],[EXISTE MOT B AT]]="NÃO"),"NÃO","SIM")</f>
        <v>SIM</v>
      </c>
      <c r="H243" s="57" t="str">
        <f>IF(autocompJanta[[#This Row],[EXISTE ESCALA ATUAL]]="NÃO",_xlfn.CONCAT(tabJanta[[#This Row],[DATA]]-1,"+",tabJanta[[#This Row],[MOTORISTA]]),"NÃO")</f>
        <v>NÃO</v>
      </c>
      <c r="I243" s="57" t="str">
        <f>IF(autocompJanta[[#This Row],[COMP ESCALA ANTERIOR]]="NÃO","NÃO",_xlfn.XLOOKUP(autocompJanta[[#This Row],[COMP ESCALA ANTERIOR]],tabE.Flux[COMP.AT. MOT A],tabE.Flux[LINHA],"NÃO",0,1))</f>
        <v>NÃO</v>
      </c>
      <c r="J243" s="58" t="str">
        <f>IF(autocompJanta[[#This Row],[COMP ESCALA ANTERIOR]]="NÃO","NÃO",_xlfn.XLOOKUP(autocompJanta[[#This Row],[COMP ESCALA ANTERIOR]],tabE.Flux[COMP.AT. MOT B],tabE.Flux[LINHA],"NÃO",0,1))</f>
        <v>NÃO</v>
      </c>
      <c r="K243" s="62" t="str">
        <f>IF(AND(autocompJanta[[#This Row],[EXISTE MOT A ANT]]="NÃO",autocompJanta[[#This Row],[EXISTE MOT B ANT]]="NÃO"),"NÃO","SIM")</f>
        <v>NÃO</v>
      </c>
      <c r="L243" s="59" t="str">
        <f t="shared" ref="L243:L253" si="16">_xlfn.CONCAT(T255+1,"+",X255)</f>
        <v>1+</v>
      </c>
      <c r="M243" s="59" t="str">
        <f>IF(autocompJanta[[#This Row],[COMP ESCALA POSTERIOR]]="NÃO","NÃO",_xlfn.XLOOKUP(autocompJanta[[#This Row],[COMP ESCALA POSTERIOR]],tabE.Flux[COMP.AT. MOT A],tabE.Flux[LINHA],"NÃO",0,1))</f>
        <v>NÃO</v>
      </c>
      <c r="N243" s="59" t="str">
        <f>IF(autocompJanta[[#This Row],[COMP ESCALA POSTERIOR]]="NÃO","NÃO",_xlfn.XLOOKUP(autocompJanta[[#This Row],[COMP ESCALA POSTERIOR]],tabE.Flux[COMP.AT. MOT B],tabE.Flux[LINHA],"NÃO",0,1))</f>
        <v>NÃO</v>
      </c>
      <c r="O243" s="65" t="str">
        <f>IF(AND(autocompJanta[[#This Row],[EXISTE MOT A POS]]="NÃO",autocompJanta[[#This Row],[EXISTE MOT B POS]]="NÃO"),"NÃO","SIM")</f>
        <v>NÃO</v>
      </c>
      <c r="P243" s="66" t="str" cm="1">
        <f t="array" ref="P24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43" s="103" t="str" cm="1">
        <f t="array" ref="Q24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45943+PAULO ENEAS FARIAS ARAUJO - 6218+GOIANIA (GO) X SAO LUIS (MA)</v>
      </c>
      <c r="R243" s="67">
        <f>_xlfn.XLOOKUP(autocompJanta[[#This Row],[COMP ESCALA]],tabE.Flux[COMP. ESCALA MOT B],tabE.Flux[CARRO],
(_xlfn.XLOOKUP(autocompJanta[[#This Row],[COMP ESCALA]],tabE.Flux[COMP. ESCALA MOT A],tabE.Flux[CARRO],"N/E",0,1)),0,1)</f>
        <v>24013</v>
      </c>
      <c r="S243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243" s="127">
        <v>45943</v>
      </c>
      <c r="U243" s="131">
        <f>IF(IFERROR(autocompJanta[[#This Row],[CORRESP. CARRO]],"")="NÃO",(IF(tabJanta[[#This Row],[MOTORISTA]]=0,"","PASSE?")),autocompJanta[[#This Row],[CORRESP. CARRO]])</f>
        <v>24013</v>
      </c>
      <c r="V243" s="126">
        <f>IF(OR(ISERR(autocompJanta[[#This Row],[CORRESP HORARIO]]), autocompJanta[[#This Row],[CORRESP HORARIO]]&lt;&gt;"NÃO"),autocompJanta[[#This Row],[CORRESP HORARIO]],"")</f>
        <v>0.29166666666666669</v>
      </c>
      <c r="W243" s="1" t="s">
        <v>299</v>
      </c>
      <c r="X243" s="1" t="s">
        <v>43</v>
      </c>
      <c r="Y243" s="1">
        <f>IF(tabJanta[[#This Row],[MOTORISTA]]="","",COUNTIF(autocompJanta[COMP ESCALA ATUAL],autocompJanta[[#This Row],[COMP ESCALA ATUAL]]))</f>
        <v>1</v>
      </c>
      <c r="Z243" s="105">
        <f>IF(tabJanta[[#This Row],[MOTORISTA]]&lt;&gt;0,15,"")</f>
        <v>15</v>
      </c>
      <c r="AA243" s="131" t="str">
        <f>autocompJanta[[#This Row],[CORRESP LINHA]]</f>
        <v>GOIANIA (GO) X SAO LUIS (MA)</v>
      </c>
    </row>
    <row r="244" spans="3:27" ht="15" customHeight="1" x14ac:dyDescent="0.25">
      <c r="C244" s="129" t="s">
        <v>226</v>
      </c>
      <c r="D244" s="56" t="str">
        <f>IF(tabJanta[[#This Row],[MOTORISTA]]="","",_xlfn.CONCAT(tabJanta[[#This Row],[DATA]],"+",tabJanta[[#This Row],[MOTORISTA]]))</f>
        <v>45944+  FRANCISCO PESSOA DE CARVALHO- 5276</v>
      </c>
      <c r="E244" s="56" t="str">
        <f>_xlfn.XLOOKUP(autocompJanta[[#This Row],[COMP ESCALA ATUAL]],tabE.Flux[COMP.AT. MOT A],tabE.Flux[LINHA],"NÃO",0,1)</f>
        <v>NÃO</v>
      </c>
      <c r="F244" s="56" t="str">
        <f>_xlfn.XLOOKUP(autocompJanta[[#This Row],[COMP ESCALA ATUAL]],tabE.Flux[COMP.AT. MOT B],tabE.Flux[LINHA],"NÃO",0,1)</f>
        <v>NÃO</v>
      </c>
      <c r="G244" s="61" t="str">
        <f>IF(AND(autocompJanta[[#This Row],[EXISTE MOT A AT]]="NÃO", autocompJanta[[#This Row],[EXISTE MOT B AT]]="NÃO"),"NÃO","SIM")</f>
        <v>NÃO</v>
      </c>
      <c r="H244" s="57" t="str">
        <f>IF(autocompJanta[[#This Row],[EXISTE ESCALA ATUAL]]="NÃO",_xlfn.CONCAT(tabJanta[[#This Row],[DATA]]-1,"+",tabJanta[[#This Row],[MOTORISTA]]),"NÃO")</f>
        <v>45943+  FRANCISCO PESSOA DE CARVALHO- 5276</v>
      </c>
      <c r="I244" s="57" t="str">
        <f>IF(autocompJanta[[#This Row],[COMP ESCALA ANTERIOR]]="NÃO","NÃO",_xlfn.XLOOKUP(autocompJanta[[#This Row],[COMP ESCALA ANTERIOR]],tabE.Flux[COMP.AT. MOT A],tabE.Flux[LINHA],"NÃO",0,1))</f>
        <v>NÃO</v>
      </c>
      <c r="J244" s="58" t="str">
        <f>IF(autocompJanta[[#This Row],[COMP ESCALA ANTERIOR]]="NÃO","NÃO",_xlfn.XLOOKUP(autocompJanta[[#This Row],[COMP ESCALA ANTERIOR]],tabE.Flux[COMP.AT. MOT B],tabE.Flux[LINHA],"NÃO",0,1))</f>
        <v>NÃO</v>
      </c>
      <c r="K244" s="62" t="str">
        <f>IF(AND(autocompJanta[[#This Row],[EXISTE MOT A ANT]]="NÃO",autocompJanta[[#This Row],[EXISTE MOT B ANT]]="NÃO"),"NÃO","SIM")</f>
        <v>NÃO</v>
      </c>
      <c r="L244" s="59" t="str">
        <f t="shared" si="16"/>
        <v>1+</v>
      </c>
      <c r="M244" s="59" t="str">
        <f>IF(autocompJanta[[#This Row],[COMP ESCALA POSTERIOR]]="NÃO","NÃO",_xlfn.XLOOKUP(autocompJanta[[#This Row],[COMP ESCALA POSTERIOR]],tabE.Flux[COMP.AT. MOT A],tabE.Flux[LINHA],"NÃO",0,1))</f>
        <v>NÃO</v>
      </c>
      <c r="N244" s="59" t="str">
        <f>IF(autocompJanta[[#This Row],[COMP ESCALA POSTERIOR]]="NÃO","NÃO",_xlfn.XLOOKUP(autocompJanta[[#This Row],[COMP ESCALA POSTERIOR]],tabE.Flux[COMP.AT. MOT B],tabE.Flux[LINHA],"NÃO",0,1))</f>
        <v>NÃO</v>
      </c>
      <c r="O244" s="65" t="str">
        <f>IF(AND(autocompJanta[[#This Row],[EXISTE MOT A POS]]="NÃO",autocompJanta[[#This Row],[EXISTE MOT B POS]]="NÃO"),"NÃO","SIM")</f>
        <v>NÃO</v>
      </c>
      <c r="P244" s="66" t="str" cm="1">
        <f t="array" ref="P244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44" s="103" t="str" cm="1">
        <f t="array" ref="Q244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44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44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44" s="127">
        <v>45944</v>
      </c>
      <c r="U244" s="4">
        <v>19007</v>
      </c>
      <c r="V244" s="128">
        <v>0.79166666666666663</v>
      </c>
      <c r="W244" s="4" t="s">
        <v>299</v>
      </c>
      <c r="X244" s="4" t="s">
        <v>322</v>
      </c>
      <c r="Y244" s="4">
        <f>IF(tabJanta[[#This Row],[MOTORISTA]]="","",COUNTIF(autocompJanta[COMP ESCALA ATUAL],autocompJanta[[#This Row],[COMP ESCALA ATUAL]]))</f>
        <v>1</v>
      </c>
      <c r="Z244" s="45">
        <f>IF(tabJanta[[#This Row],[MOTORISTA]]&lt;&gt;0,15,"")</f>
        <v>15</v>
      </c>
      <c r="AA244" s="4" t="s">
        <v>26</v>
      </c>
    </row>
    <row r="245" spans="3:27" ht="15" customHeight="1" x14ac:dyDescent="0.25">
      <c r="C245" s="129" t="s">
        <v>226</v>
      </c>
      <c r="D245" s="56" t="str">
        <f>IF(tabJanta[[#This Row],[MOTORISTA]]="","",_xlfn.CONCAT(tabJanta[[#This Row],[DATA]],"+",tabJanta[[#This Row],[MOTORISTA]]))</f>
        <v>45944+JOAO FLAVIO DE SOUSA SILVA - 5270</v>
      </c>
      <c r="E245" s="56" t="str">
        <f>_xlfn.XLOOKUP(autocompJanta[[#This Row],[COMP ESCALA ATUAL]],tabE.Flux[COMP.AT. MOT A],tabE.Flux[LINHA],"NÃO",0,1)</f>
        <v>NÃO</v>
      </c>
      <c r="F245" s="56" t="str">
        <f>_xlfn.XLOOKUP(autocompJanta[[#This Row],[COMP ESCALA ATUAL]],tabE.Flux[COMP.AT. MOT B],tabE.Flux[LINHA],"NÃO",0,1)</f>
        <v>FORTALEZA (CE) X SINOP (MT)</v>
      </c>
      <c r="G245" s="61" t="str">
        <f>IF(AND(autocompJanta[[#This Row],[EXISTE MOT A AT]]="NÃO", autocompJanta[[#This Row],[EXISTE MOT B AT]]="NÃO"),"NÃO","SIM")</f>
        <v>SIM</v>
      </c>
      <c r="H245" s="57" t="str">
        <f>IF(autocompJanta[[#This Row],[EXISTE ESCALA ATUAL]]="NÃO",_xlfn.CONCAT(tabJanta[[#This Row],[DATA]]-1,"+",tabJanta[[#This Row],[MOTORISTA]]),"NÃO")</f>
        <v>NÃO</v>
      </c>
      <c r="I245" s="57" t="str">
        <f>IF(autocompJanta[[#This Row],[COMP ESCALA ANTERIOR]]="NÃO","NÃO",_xlfn.XLOOKUP(autocompJanta[[#This Row],[COMP ESCALA ANTERIOR]],tabE.Flux[COMP.AT. MOT A],tabE.Flux[LINHA],"NÃO",0,1))</f>
        <v>NÃO</v>
      </c>
      <c r="J245" s="58" t="str">
        <f>IF(autocompJanta[[#This Row],[COMP ESCALA ANTERIOR]]="NÃO","NÃO",_xlfn.XLOOKUP(autocompJanta[[#This Row],[COMP ESCALA ANTERIOR]],tabE.Flux[COMP.AT. MOT B],tabE.Flux[LINHA],"NÃO",0,1))</f>
        <v>NÃO</v>
      </c>
      <c r="K245" s="62" t="str">
        <f>IF(AND(autocompJanta[[#This Row],[EXISTE MOT A ANT]]="NÃO",autocompJanta[[#This Row],[EXISTE MOT B ANT]]="NÃO"),"NÃO","SIM")</f>
        <v>NÃO</v>
      </c>
      <c r="L245" s="59" t="str">
        <f t="shared" si="16"/>
        <v>1+</v>
      </c>
      <c r="M245" s="59" t="str">
        <f>IF(autocompJanta[[#This Row],[COMP ESCALA POSTERIOR]]="NÃO","NÃO",_xlfn.XLOOKUP(autocompJanta[[#This Row],[COMP ESCALA POSTERIOR]],tabE.Flux[COMP.AT. MOT A],tabE.Flux[LINHA],"NÃO",0,1))</f>
        <v>NÃO</v>
      </c>
      <c r="N245" s="59" t="str">
        <f>IF(autocompJanta[[#This Row],[COMP ESCALA POSTERIOR]]="NÃO","NÃO",_xlfn.XLOOKUP(autocompJanta[[#This Row],[COMP ESCALA POSTERIOR]],tabE.Flux[COMP.AT. MOT B],tabE.Flux[LINHA],"NÃO",0,1))</f>
        <v>NÃO</v>
      </c>
      <c r="O245" s="65" t="str">
        <f>IF(AND(autocompJanta[[#This Row],[EXISTE MOT A POS]]="NÃO",autocompJanta[[#This Row],[EXISTE MOT B POS]]="NÃO"),"NÃO","SIM")</f>
        <v>NÃO</v>
      </c>
      <c r="P245" s="66" t="str" cm="1">
        <f t="array" ref="P245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FORTALEZA (CE) X SINOP (MT)</v>
      </c>
      <c r="Q245" s="103" t="str" cm="1">
        <f t="array" ref="Q245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45944+JOAO FLAVIO DE SOUSA SILVA - 5270+FORTALEZA (CE) X SINOP (MT)</v>
      </c>
      <c r="R245" s="67">
        <f>_xlfn.XLOOKUP(autocompJanta[[#This Row],[COMP ESCALA]],tabE.Flux[COMP. ESCALA MOT B],tabE.Flux[CARRO],
(_xlfn.XLOOKUP(autocompJanta[[#This Row],[COMP ESCALA]],tabE.Flux[COMP. ESCALA MOT A],tabE.Flux[CARRO],"N/E",0,1)),0,1)</f>
        <v>20018</v>
      </c>
      <c r="S245" s="130">
        <f>_xlfn.XLOOKUP(autocompJanta[[#This Row],[COMP ESCALA]],tabE.Flux[COMP. ESCALA MOT A],tabE.Flux[HORARIO],(_xlfn.XLOOKUP(autocompJanta[[#This Row],[COMP ESCALA]],tabE.Flux[COMP. ESCALA MOT B],tabE.Flux[HORARIO],"N/E",0,1)),0,1)</f>
        <v>0.37708333333333333</v>
      </c>
      <c r="T245" s="127">
        <v>45944</v>
      </c>
      <c r="U245" s="4">
        <f>IF(IFERROR(autocompJanta[[#This Row],[CORRESP. CARRO]],"")="NÃO",(IF(tabJanta[[#This Row],[MOTORISTA]]=0,"","PASSE?")),autocompJanta[[#This Row],[CORRESP. CARRO]])</f>
        <v>20018</v>
      </c>
      <c r="V245" s="126">
        <f>IF(OR(ISERR(autocompJanta[[#This Row],[CORRESP HORARIO]]), autocompJanta[[#This Row],[CORRESP HORARIO]]&lt;&gt;"NÃO"),autocompJanta[[#This Row],[CORRESP HORARIO]],"")</f>
        <v>0.37708333333333333</v>
      </c>
      <c r="W245" s="1" t="s">
        <v>299</v>
      </c>
      <c r="X245" s="1" t="s">
        <v>222</v>
      </c>
      <c r="Y245" s="1">
        <f>IF(tabJanta[[#This Row],[MOTORISTA]]="","",COUNTIF(autocompJanta[COMP ESCALA ATUAL],autocompJanta[[#This Row],[COMP ESCALA ATUAL]]))</f>
        <v>1</v>
      </c>
      <c r="Z245" s="105">
        <f>IF(tabJanta[[#This Row],[MOTORISTA]]&lt;&gt;0,15,"")</f>
        <v>15</v>
      </c>
      <c r="AA245" s="4" t="str">
        <f>autocompJanta[[#This Row],[CORRESP LINHA]]</f>
        <v>FORTALEZA (CE) X SINOP (MT)</v>
      </c>
    </row>
    <row r="246" spans="3:27" ht="15" customHeight="1" x14ac:dyDescent="0.25">
      <c r="C246" s="129" t="s">
        <v>226</v>
      </c>
      <c r="D246" s="56" t="str">
        <f>IF(tabJanta[[#This Row],[MOTORISTA]]="","",_xlfn.CONCAT(tabJanta[[#This Row],[DATA]],"+",tabJanta[[#This Row],[MOTORISTA]]))</f>
        <v>45944+RAIMUNDO COSTA SILVA - 6226</v>
      </c>
      <c r="E246" s="56" t="str">
        <f>_xlfn.XLOOKUP(autocompJanta[[#This Row],[COMP ESCALA ATUAL]],tabE.Flux[COMP.AT. MOT A],tabE.Flux[LINHA],"NÃO",0,1)</f>
        <v>GOIANIA (GO) X SAO LUIS (MA)</v>
      </c>
      <c r="F246" s="56" t="str">
        <f>_xlfn.XLOOKUP(autocompJanta[[#This Row],[COMP ESCALA ATUAL]],tabE.Flux[COMP.AT. MOT B],tabE.Flux[LINHA],"NÃO",0,1)</f>
        <v>GOIANIA (GO) X SAO LUIS (MA)</v>
      </c>
      <c r="G246" s="61" t="str">
        <f>IF(AND(autocompJanta[[#This Row],[EXISTE MOT A AT]]="NÃO", autocompJanta[[#This Row],[EXISTE MOT B AT]]="NÃO"),"NÃO","SIM")</f>
        <v>SIM</v>
      </c>
      <c r="H246" s="57" t="str">
        <f>IF(autocompJanta[[#This Row],[EXISTE ESCALA ATUAL]]="NÃO",_xlfn.CONCAT(tabJanta[[#This Row],[DATA]]-1,"+",tabJanta[[#This Row],[MOTORISTA]]),"NÃO")</f>
        <v>NÃO</v>
      </c>
      <c r="I246" s="57" t="str">
        <f>IF(autocompJanta[[#This Row],[COMP ESCALA ANTERIOR]]="NÃO","NÃO",_xlfn.XLOOKUP(autocompJanta[[#This Row],[COMP ESCALA ANTERIOR]],tabE.Flux[COMP.AT. MOT A],tabE.Flux[LINHA],"NÃO",0,1))</f>
        <v>NÃO</v>
      </c>
      <c r="J246" s="58" t="str">
        <f>IF(autocompJanta[[#This Row],[COMP ESCALA ANTERIOR]]="NÃO","NÃO",_xlfn.XLOOKUP(autocompJanta[[#This Row],[COMP ESCALA ANTERIOR]],tabE.Flux[COMP.AT. MOT B],tabE.Flux[LINHA],"NÃO",0,1))</f>
        <v>NÃO</v>
      </c>
      <c r="K246" s="62" t="str">
        <f>IF(AND(autocompJanta[[#This Row],[EXISTE MOT A ANT]]="NÃO",autocompJanta[[#This Row],[EXISTE MOT B ANT]]="NÃO"),"NÃO","SIM")</f>
        <v>NÃO</v>
      </c>
      <c r="L246" s="59" t="str">
        <f t="shared" si="16"/>
        <v>1+</v>
      </c>
      <c r="M246" s="59" t="str">
        <f>IF(autocompJanta[[#This Row],[COMP ESCALA POSTERIOR]]="NÃO","NÃO",_xlfn.XLOOKUP(autocompJanta[[#This Row],[COMP ESCALA POSTERIOR]],tabE.Flux[COMP.AT. MOT A],tabE.Flux[LINHA],"NÃO",0,1))</f>
        <v>NÃO</v>
      </c>
      <c r="N246" s="59" t="str">
        <f>IF(autocompJanta[[#This Row],[COMP ESCALA POSTERIOR]]="NÃO","NÃO",_xlfn.XLOOKUP(autocompJanta[[#This Row],[COMP ESCALA POSTERIOR]],tabE.Flux[COMP.AT. MOT B],tabE.Flux[LINHA],"NÃO",0,1))</f>
        <v>NÃO</v>
      </c>
      <c r="O246" s="65" t="str">
        <f>IF(AND(autocompJanta[[#This Row],[EXISTE MOT A POS]]="NÃO",autocompJanta[[#This Row],[EXISTE MOT B POS]]="NÃO"),"NÃO","SIM")</f>
        <v>NÃO</v>
      </c>
      <c r="P246" s="66" t="str" cm="1">
        <f t="array" ref="P246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GOIANIA (GO) X SAO LUIS (MA)</v>
      </c>
      <c r="Q246" s="103" t="str" cm="1">
        <f t="array" ref="Q246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45944+RAIMUNDO COSTA SILVA - 6226+GOIANIA (GO) X SAO LUIS (MA)</v>
      </c>
      <c r="R246" s="67">
        <f>_xlfn.XLOOKUP(autocompJanta[[#This Row],[COMP ESCALA]],tabE.Flux[COMP. ESCALA MOT B],tabE.Flux[CARRO],
(_xlfn.XLOOKUP(autocompJanta[[#This Row],[COMP ESCALA]],tabE.Flux[COMP. ESCALA MOT A],tabE.Flux[CARRO],"N/E",0,1)),0,1)</f>
        <v>24003</v>
      </c>
      <c r="S246" s="130">
        <f>_xlfn.XLOOKUP(autocompJanta[[#This Row],[COMP ESCALA]],tabE.Flux[COMP. ESCALA MOT A],tabE.Flux[HORARIO],(_xlfn.XLOOKUP(autocompJanta[[#This Row],[COMP ESCALA]],tabE.Flux[COMP. ESCALA MOT B],tabE.Flux[HORARIO],"N/E",0,1)),0,1)</f>
        <v>0.29166666666666669</v>
      </c>
      <c r="T246" s="127">
        <v>45944</v>
      </c>
      <c r="U246" s="131">
        <f>IF(IFERROR(autocompJanta[[#This Row],[CORRESP. CARRO]],"")="NÃO",(IF(tabJanta[[#This Row],[MOTORISTA]]=0,"","PASSE?")),autocompJanta[[#This Row],[CORRESP. CARRO]])</f>
        <v>24003</v>
      </c>
      <c r="V246" s="126">
        <f>IF(OR(ISERR(autocompJanta[[#This Row],[CORRESP HORARIO]]), autocompJanta[[#This Row],[CORRESP HORARIO]]&lt;&gt;"NÃO"),autocompJanta[[#This Row],[CORRESP HORARIO]],"")</f>
        <v>0.29166666666666669</v>
      </c>
      <c r="W246" s="1" t="s">
        <v>299</v>
      </c>
      <c r="X246" s="1" t="s">
        <v>45</v>
      </c>
      <c r="Y246" s="1">
        <f>IF(tabJanta[[#This Row],[MOTORISTA]]="","",COUNTIF(autocompJanta[COMP ESCALA ATUAL],autocompJanta[[#This Row],[COMP ESCALA ATUAL]]))</f>
        <v>1</v>
      </c>
      <c r="Z246" s="105">
        <f>IF(tabJanta[[#This Row],[MOTORISTA]]&lt;&gt;0,15,"")</f>
        <v>15</v>
      </c>
      <c r="AA246" s="131" t="str">
        <f>autocompJanta[[#This Row],[CORRESP LINHA]]</f>
        <v>GOIANIA (GO) X SAO LUIS (MA)</v>
      </c>
    </row>
    <row r="247" spans="3:27" ht="15" customHeight="1" x14ac:dyDescent="0.25">
      <c r="C247" s="129" t="s">
        <v>226</v>
      </c>
      <c r="D247" s="56" t="str">
        <f>IF(tabJanta[[#This Row],[MOTORISTA]]="","",_xlfn.CONCAT(tabJanta[[#This Row],[DATA]],"+",tabJanta[[#This Row],[MOTORISTA]]))</f>
        <v>45944+JOSE HAILTON PEREIRA DOS SANTOS - 6018</v>
      </c>
      <c r="E247" s="56" t="str">
        <f>_xlfn.XLOOKUP(autocompJanta[[#This Row],[COMP ESCALA ATUAL]],tabE.Flux[COMP.AT. MOT A],tabE.Flux[LINHA],"NÃO",0,1)</f>
        <v>NÃO</v>
      </c>
      <c r="F247" s="56" t="str">
        <f>_xlfn.XLOOKUP(autocompJanta[[#This Row],[COMP ESCALA ATUAL]],tabE.Flux[COMP.AT. MOT B],tabE.Flux[LINHA],"NÃO",0,1)</f>
        <v>NÃO</v>
      </c>
      <c r="G247" s="61" t="str">
        <f>IF(AND(autocompJanta[[#This Row],[EXISTE MOT A AT]]="NÃO", autocompJanta[[#This Row],[EXISTE MOT B AT]]="NÃO"),"NÃO","SIM")</f>
        <v>NÃO</v>
      </c>
      <c r="H247" s="57" t="str">
        <f>IF(autocompJanta[[#This Row],[EXISTE ESCALA ATUAL]]="NÃO",_xlfn.CONCAT(tabJanta[[#This Row],[DATA]]-1,"+",tabJanta[[#This Row],[MOTORISTA]]),"NÃO")</f>
        <v>45943+JOSE HAILTON PEREIRA DOS SANTOS - 6018</v>
      </c>
      <c r="I247" s="57" t="str">
        <f>IF(autocompJanta[[#This Row],[COMP ESCALA ANTERIOR]]="NÃO","NÃO",_xlfn.XLOOKUP(autocompJanta[[#This Row],[COMP ESCALA ANTERIOR]],tabE.Flux[COMP.AT. MOT A],tabE.Flux[LINHA],"NÃO",0,1))</f>
        <v>NÃO</v>
      </c>
      <c r="J247" s="58" t="str">
        <f>IF(autocompJanta[[#This Row],[COMP ESCALA ANTERIOR]]="NÃO","NÃO",_xlfn.XLOOKUP(autocompJanta[[#This Row],[COMP ESCALA ANTERIOR]],tabE.Flux[COMP.AT. MOT B],tabE.Flux[LINHA],"NÃO",0,1))</f>
        <v>NÃO</v>
      </c>
      <c r="K247" s="62" t="str">
        <f>IF(AND(autocompJanta[[#This Row],[EXISTE MOT A ANT]]="NÃO",autocompJanta[[#This Row],[EXISTE MOT B ANT]]="NÃO"),"NÃO","SIM")</f>
        <v>NÃO</v>
      </c>
      <c r="L247" s="59" t="str">
        <f t="shared" si="16"/>
        <v>1+</v>
      </c>
      <c r="M247" s="59" t="str">
        <f>IF(autocompJanta[[#This Row],[COMP ESCALA POSTERIOR]]="NÃO","NÃO",_xlfn.XLOOKUP(autocompJanta[[#This Row],[COMP ESCALA POSTERIOR]],tabE.Flux[COMP.AT. MOT A],tabE.Flux[LINHA],"NÃO",0,1))</f>
        <v>NÃO</v>
      </c>
      <c r="N247" s="59" t="str">
        <f>IF(autocompJanta[[#This Row],[COMP ESCALA POSTERIOR]]="NÃO","NÃO",_xlfn.XLOOKUP(autocompJanta[[#This Row],[COMP ESCALA POSTERIOR]],tabE.Flux[COMP.AT. MOT B],tabE.Flux[LINHA],"NÃO",0,1))</f>
        <v>NÃO</v>
      </c>
      <c r="O247" s="65" t="str">
        <f>IF(AND(autocompJanta[[#This Row],[EXISTE MOT A POS]]="NÃO",autocompJanta[[#This Row],[EXISTE MOT B POS]]="NÃO"),"NÃO","SIM")</f>
        <v>NÃO</v>
      </c>
      <c r="P247" s="66" t="str" cm="1">
        <f t="array" ref="P247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47" s="103" t="str" cm="1">
        <f t="array" ref="Q247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47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47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47" s="127">
        <v>45944</v>
      </c>
      <c r="U247" s="131">
        <v>20013</v>
      </c>
      <c r="V247" s="126">
        <v>0.84375</v>
      </c>
      <c r="W247" s="1" t="s">
        <v>299</v>
      </c>
      <c r="X247" s="1" t="s">
        <v>141</v>
      </c>
      <c r="Y247" s="1">
        <f>IF(tabJanta[[#This Row],[MOTORISTA]]="","",COUNTIF(autocompJanta[COMP ESCALA ATUAL],autocompJanta[[#This Row],[COMP ESCALA ATUAL]]))</f>
        <v>1</v>
      </c>
      <c r="Z247" s="105">
        <f>IF(tabJanta[[#This Row],[MOTORISTA]]&lt;&gt;0,15,"")</f>
        <v>15</v>
      </c>
      <c r="AA247" s="131" t="s">
        <v>23</v>
      </c>
    </row>
    <row r="248" spans="3:27" ht="15" customHeight="1" x14ac:dyDescent="0.25">
      <c r="C248" s="129" t="s">
        <v>226</v>
      </c>
      <c r="D248" s="56" t="str">
        <f>IF(tabJanta[[#This Row],[MOTORISTA]]="","",_xlfn.CONCAT(tabJanta[[#This Row],[DATA]],"+",tabJanta[[#This Row],[MOTORISTA]]))</f>
        <v/>
      </c>
      <c r="E248" s="56" t="str">
        <f>_xlfn.XLOOKUP(autocompJanta[[#This Row],[COMP ESCALA ATUAL]],tabE.Flux[COMP.AT. MOT A],tabE.Flux[LINHA],"NÃO",0,1)</f>
        <v>NÃO</v>
      </c>
      <c r="F248" s="56" t="str">
        <f>_xlfn.XLOOKUP(autocompJanta[[#This Row],[COMP ESCALA ATUAL]],tabE.Flux[COMP.AT. MOT B],tabE.Flux[LINHA],"NÃO",0,1)</f>
        <v>NÃO</v>
      </c>
      <c r="G248" s="61" t="str">
        <f>IF(AND(autocompJanta[[#This Row],[EXISTE MOT A AT]]="NÃO", autocompJanta[[#This Row],[EXISTE MOT B AT]]="NÃO"),"NÃO","SIM")</f>
        <v>NÃO</v>
      </c>
      <c r="H248" s="57" t="str">
        <f>IF(autocompJanta[[#This Row],[EXISTE ESCALA ATUAL]]="NÃO",_xlfn.CONCAT(tabJanta[[#This Row],[DATA]]-1,"+",tabJanta[[#This Row],[MOTORISTA]]),"NÃO")</f>
        <v>-1+</v>
      </c>
      <c r="I248" s="57" t="str">
        <f>IF(autocompJanta[[#This Row],[COMP ESCALA ANTERIOR]]="NÃO","NÃO",_xlfn.XLOOKUP(autocompJanta[[#This Row],[COMP ESCALA ANTERIOR]],tabE.Flux[COMP.AT. MOT A],tabE.Flux[LINHA],"NÃO",0,1))</f>
        <v>NÃO</v>
      </c>
      <c r="J248" s="58" t="str">
        <f>IF(autocompJanta[[#This Row],[COMP ESCALA ANTERIOR]]="NÃO","NÃO",_xlfn.XLOOKUP(autocompJanta[[#This Row],[COMP ESCALA ANTERIOR]],tabE.Flux[COMP.AT. MOT B],tabE.Flux[LINHA],"NÃO",0,1))</f>
        <v>NÃO</v>
      </c>
      <c r="K248" s="62" t="str">
        <f>IF(AND(autocompJanta[[#This Row],[EXISTE MOT A ANT]]="NÃO",autocompJanta[[#This Row],[EXISTE MOT B ANT]]="NÃO"),"NÃO","SIM")</f>
        <v>NÃO</v>
      </c>
      <c r="L248" s="59" t="str">
        <f t="shared" si="16"/>
        <v>1+</v>
      </c>
      <c r="M248" s="59" t="str">
        <f>IF(autocompJanta[[#This Row],[COMP ESCALA POSTERIOR]]="NÃO","NÃO",_xlfn.XLOOKUP(autocompJanta[[#This Row],[COMP ESCALA POSTERIOR]],tabE.Flux[COMP.AT. MOT A],tabE.Flux[LINHA],"NÃO",0,1))</f>
        <v>NÃO</v>
      </c>
      <c r="N248" s="59" t="str">
        <f>IF(autocompJanta[[#This Row],[COMP ESCALA POSTERIOR]]="NÃO","NÃO",_xlfn.XLOOKUP(autocompJanta[[#This Row],[COMP ESCALA POSTERIOR]],tabE.Flux[COMP.AT. MOT B],tabE.Flux[LINHA],"NÃO",0,1))</f>
        <v>NÃO</v>
      </c>
      <c r="O248" s="65" t="str">
        <f>IF(AND(autocompJanta[[#This Row],[EXISTE MOT A POS]]="NÃO",autocompJanta[[#This Row],[EXISTE MOT B POS]]="NÃO"),"NÃO","SIM")</f>
        <v>NÃO</v>
      </c>
      <c r="P248" s="66" t="str" cm="1">
        <f t="array" ref="P248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48" s="103" t="str" cm="1">
        <f t="array" ref="Q248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48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48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48" s="127"/>
      <c r="U248" s="4"/>
      <c r="V248" s="128"/>
      <c r="W248" s="4"/>
      <c r="X248" s="4"/>
      <c r="Y248" s="4"/>
      <c r="Z248" s="45"/>
      <c r="AA248" s="4"/>
    </row>
    <row r="249" spans="3:27" ht="15" customHeight="1" x14ac:dyDescent="0.25">
      <c r="C249" s="129" t="s">
        <v>226</v>
      </c>
      <c r="D249" s="56" t="str">
        <f>IF(tabJanta[[#This Row],[MOTORISTA]]="","",_xlfn.CONCAT(tabJanta[[#This Row],[DATA]],"+",tabJanta[[#This Row],[MOTORISTA]]))</f>
        <v/>
      </c>
      <c r="E249" s="56" t="str">
        <f>_xlfn.XLOOKUP(autocompJanta[[#This Row],[COMP ESCALA ATUAL]],tabE.Flux[COMP.AT. MOT A],tabE.Flux[LINHA],"NÃO",0,1)</f>
        <v>NÃO</v>
      </c>
      <c r="F249" s="56" t="str">
        <f>_xlfn.XLOOKUP(autocompJanta[[#This Row],[COMP ESCALA ATUAL]],tabE.Flux[COMP.AT. MOT B],tabE.Flux[LINHA],"NÃO",0,1)</f>
        <v>NÃO</v>
      </c>
      <c r="G249" s="61" t="str">
        <f>IF(AND(autocompJanta[[#This Row],[EXISTE MOT A AT]]="NÃO", autocompJanta[[#This Row],[EXISTE MOT B AT]]="NÃO"),"NÃO","SIM")</f>
        <v>NÃO</v>
      </c>
      <c r="H249" s="57" t="str">
        <f>IF(autocompJanta[[#This Row],[EXISTE ESCALA ATUAL]]="NÃO",_xlfn.CONCAT(tabJanta[[#This Row],[DATA]]-1,"+",tabJanta[[#This Row],[MOTORISTA]]),"NÃO")</f>
        <v>-1+</v>
      </c>
      <c r="I249" s="57" t="str">
        <f>IF(autocompJanta[[#This Row],[COMP ESCALA ANTERIOR]]="NÃO","NÃO",_xlfn.XLOOKUP(autocompJanta[[#This Row],[COMP ESCALA ANTERIOR]],tabE.Flux[COMP.AT. MOT A],tabE.Flux[LINHA],"NÃO",0,1))</f>
        <v>NÃO</v>
      </c>
      <c r="J249" s="58" t="str">
        <f>IF(autocompJanta[[#This Row],[COMP ESCALA ANTERIOR]]="NÃO","NÃO",_xlfn.XLOOKUP(autocompJanta[[#This Row],[COMP ESCALA ANTERIOR]],tabE.Flux[COMP.AT. MOT B],tabE.Flux[LINHA],"NÃO",0,1))</f>
        <v>NÃO</v>
      </c>
      <c r="K249" s="62" t="str">
        <f>IF(AND(autocompJanta[[#This Row],[EXISTE MOT A ANT]]="NÃO",autocompJanta[[#This Row],[EXISTE MOT B ANT]]="NÃO"),"NÃO","SIM")</f>
        <v>NÃO</v>
      </c>
      <c r="L249" s="59" t="str">
        <f t="shared" si="16"/>
        <v>1+</v>
      </c>
      <c r="M249" s="59" t="str">
        <f>IF(autocompJanta[[#This Row],[COMP ESCALA POSTERIOR]]="NÃO","NÃO",_xlfn.XLOOKUP(autocompJanta[[#This Row],[COMP ESCALA POSTERIOR]],tabE.Flux[COMP.AT. MOT A],tabE.Flux[LINHA],"NÃO",0,1))</f>
        <v>NÃO</v>
      </c>
      <c r="N249" s="59" t="str">
        <f>IF(autocompJanta[[#This Row],[COMP ESCALA POSTERIOR]]="NÃO","NÃO",_xlfn.XLOOKUP(autocompJanta[[#This Row],[COMP ESCALA POSTERIOR]],tabE.Flux[COMP.AT. MOT B],tabE.Flux[LINHA],"NÃO",0,1))</f>
        <v>NÃO</v>
      </c>
      <c r="O249" s="65" t="str">
        <f>IF(AND(autocompJanta[[#This Row],[EXISTE MOT A POS]]="NÃO",autocompJanta[[#This Row],[EXISTE MOT B POS]]="NÃO"),"NÃO","SIM")</f>
        <v>NÃO</v>
      </c>
      <c r="P249" s="66" t="str" cm="1">
        <f t="array" ref="P249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49" s="103" t="str" cm="1">
        <f t="array" ref="Q249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49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49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49" s="127"/>
      <c r="U249" s="4"/>
      <c r="V249" s="126"/>
      <c r="W249" s="1"/>
      <c r="X249" s="1"/>
      <c r="Y249" s="1"/>
      <c r="Z249" s="105"/>
      <c r="AA249" s="4"/>
    </row>
    <row r="250" spans="3:27" ht="15" customHeight="1" x14ac:dyDescent="0.25">
      <c r="C250" s="129" t="s">
        <v>226</v>
      </c>
      <c r="D250" s="56" t="str">
        <f>IF(tabJanta[[#This Row],[MOTORISTA]]="","",_xlfn.CONCAT(tabJanta[[#This Row],[DATA]],"+",tabJanta[[#This Row],[MOTORISTA]]))</f>
        <v/>
      </c>
      <c r="E250" s="56" t="str">
        <f>_xlfn.XLOOKUP(autocompJanta[[#This Row],[COMP ESCALA ATUAL]],tabE.Flux[COMP.AT. MOT A],tabE.Flux[LINHA],"NÃO",0,1)</f>
        <v>NÃO</v>
      </c>
      <c r="F250" s="56" t="str">
        <f>_xlfn.XLOOKUP(autocompJanta[[#This Row],[COMP ESCALA ATUAL]],tabE.Flux[COMP.AT. MOT B],tabE.Flux[LINHA],"NÃO",0,1)</f>
        <v>NÃO</v>
      </c>
      <c r="G250" s="61" t="str">
        <f>IF(AND(autocompJanta[[#This Row],[EXISTE MOT A AT]]="NÃO", autocompJanta[[#This Row],[EXISTE MOT B AT]]="NÃO"),"NÃO","SIM")</f>
        <v>NÃO</v>
      </c>
      <c r="H250" s="57" t="str">
        <f>IF(autocompJanta[[#This Row],[EXISTE ESCALA ATUAL]]="NÃO",_xlfn.CONCAT(tabJanta[[#This Row],[DATA]]-1,"+",tabJanta[[#This Row],[MOTORISTA]]),"NÃO")</f>
        <v>-1+</v>
      </c>
      <c r="I250" s="57" t="str">
        <f>IF(autocompJanta[[#This Row],[COMP ESCALA ANTERIOR]]="NÃO","NÃO",_xlfn.XLOOKUP(autocompJanta[[#This Row],[COMP ESCALA ANTERIOR]],tabE.Flux[COMP.AT. MOT A],tabE.Flux[LINHA],"NÃO",0,1))</f>
        <v>NÃO</v>
      </c>
      <c r="J250" s="58" t="str">
        <f>IF(autocompJanta[[#This Row],[COMP ESCALA ANTERIOR]]="NÃO","NÃO",_xlfn.XLOOKUP(autocompJanta[[#This Row],[COMP ESCALA ANTERIOR]],tabE.Flux[COMP.AT. MOT B],tabE.Flux[LINHA],"NÃO",0,1))</f>
        <v>NÃO</v>
      </c>
      <c r="K250" s="62" t="str">
        <f>IF(AND(autocompJanta[[#This Row],[EXISTE MOT A ANT]]="NÃO",autocompJanta[[#This Row],[EXISTE MOT B ANT]]="NÃO"),"NÃO","SIM")</f>
        <v>NÃO</v>
      </c>
      <c r="L250" s="59" t="str">
        <f t="shared" si="16"/>
        <v>1+</v>
      </c>
      <c r="M250" s="59" t="str">
        <f>IF(autocompJanta[[#This Row],[COMP ESCALA POSTERIOR]]="NÃO","NÃO",_xlfn.XLOOKUP(autocompJanta[[#This Row],[COMP ESCALA POSTERIOR]],tabE.Flux[COMP.AT. MOT A],tabE.Flux[LINHA],"NÃO",0,1))</f>
        <v>NÃO</v>
      </c>
      <c r="N250" s="59" t="str">
        <f>IF(autocompJanta[[#This Row],[COMP ESCALA POSTERIOR]]="NÃO","NÃO",_xlfn.XLOOKUP(autocompJanta[[#This Row],[COMP ESCALA POSTERIOR]],tabE.Flux[COMP.AT. MOT B],tabE.Flux[LINHA],"NÃO",0,1))</f>
        <v>NÃO</v>
      </c>
      <c r="O250" s="65" t="str">
        <f>IF(AND(autocompJanta[[#This Row],[EXISTE MOT A POS]]="NÃO",autocompJanta[[#This Row],[EXISTE MOT B POS]]="NÃO"),"NÃO","SIM")</f>
        <v>NÃO</v>
      </c>
      <c r="P250" s="66" t="str" cm="1">
        <f t="array" ref="P250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50" s="103" t="str" cm="1">
        <f t="array" ref="Q250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50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50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50" s="127"/>
      <c r="U250" s="131"/>
      <c r="V250" s="126"/>
      <c r="W250" s="1"/>
      <c r="X250" s="1"/>
      <c r="Y250" s="1"/>
      <c r="Z250" s="105"/>
      <c r="AA250" s="131"/>
    </row>
    <row r="251" spans="3:27" ht="15" customHeight="1" x14ac:dyDescent="0.25">
      <c r="C251" s="129" t="s">
        <v>226</v>
      </c>
      <c r="D251" s="56" t="str">
        <f>IF(tabJanta[[#This Row],[MOTORISTA]]="","",_xlfn.CONCAT(tabJanta[[#This Row],[DATA]],"+",tabJanta[[#This Row],[MOTORISTA]]))</f>
        <v/>
      </c>
      <c r="E251" s="56" t="str">
        <f>_xlfn.XLOOKUP(autocompJanta[[#This Row],[COMP ESCALA ATUAL]],tabE.Flux[COMP.AT. MOT A],tabE.Flux[LINHA],"NÃO",0,1)</f>
        <v>NÃO</v>
      </c>
      <c r="F251" s="56" t="str">
        <f>_xlfn.XLOOKUP(autocompJanta[[#This Row],[COMP ESCALA ATUAL]],tabE.Flux[COMP.AT. MOT B],tabE.Flux[LINHA],"NÃO",0,1)</f>
        <v>NÃO</v>
      </c>
      <c r="G251" s="61" t="str">
        <f>IF(AND(autocompJanta[[#This Row],[EXISTE MOT A AT]]="NÃO", autocompJanta[[#This Row],[EXISTE MOT B AT]]="NÃO"),"NÃO","SIM")</f>
        <v>NÃO</v>
      </c>
      <c r="H251" s="57" t="str">
        <f>IF(autocompJanta[[#This Row],[EXISTE ESCALA ATUAL]]="NÃO",_xlfn.CONCAT(tabJanta[[#This Row],[DATA]]-1,"+",tabJanta[[#This Row],[MOTORISTA]]),"NÃO")</f>
        <v>-1+</v>
      </c>
      <c r="I251" s="57" t="str">
        <f>IF(autocompJanta[[#This Row],[COMP ESCALA ANTERIOR]]="NÃO","NÃO",_xlfn.XLOOKUP(autocompJanta[[#This Row],[COMP ESCALA ANTERIOR]],tabE.Flux[COMP.AT. MOT A],tabE.Flux[LINHA],"NÃO",0,1))</f>
        <v>NÃO</v>
      </c>
      <c r="J251" s="58" t="str">
        <f>IF(autocompJanta[[#This Row],[COMP ESCALA ANTERIOR]]="NÃO","NÃO",_xlfn.XLOOKUP(autocompJanta[[#This Row],[COMP ESCALA ANTERIOR]],tabE.Flux[COMP.AT. MOT B],tabE.Flux[LINHA],"NÃO",0,1))</f>
        <v>NÃO</v>
      </c>
      <c r="K251" s="62" t="str">
        <f>IF(AND(autocompJanta[[#This Row],[EXISTE MOT A ANT]]="NÃO",autocompJanta[[#This Row],[EXISTE MOT B ANT]]="NÃO"),"NÃO","SIM")</f>
        <v>NÃO</v>
      </c>
      <c r="L251" s="59" t="str">
        <f t="shared" si="16"/>
        <v>1+</v>
      </c>
      <c r="M251" s="59" t="str">
        <f>IF(autocompJanta[[#This Row],[COMP ESCALA POSTERIOR]]="NÃO","NÃO",_xlfn.XLOOKUP(autocompJanta[[#This Row],[COMP ESCALA POSTERIOR]],tabE.Flux[COMP.AT. MOT A],tabE.Flux[LINHA],"NÃO",0,1))</f>
        <v>NÃO</v>
      </c>
      <c r="N251" s="59" t="str">
        <f>IF(autocompJanta[[#This Row],[COMP ESCALA POSTERIOR]]="NÃO","NÃO",_xlfn.XLOOKUP(autocompJanta[[#This Row],[COMP ESCALA POSTERIOR]],tabE.Flux[COMP.AT. MOT B],tabE.Flux[LINHA],"NÃO",0,1))</f>
        <v>NÃO</v>
      </c>
      <c r="O251" s="65" t="str">
        <f>IF(AND(autocompJanta[[#This Row],[EXISTE MOT A POS]]="NÃO",autocompJanta[[#This Row],[EXISTE MOT B POS]]="NÃO"),"NÃO","SIM")</f>
        <v>NÃO</v>
      </c>
      <c r="P251" s="66" t="str" cm="1">
        <f t="array" ref="P251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51" s="103" t="str" cm="1">
        <f t="array" ref="Q251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51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51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51" s="127"/>
      <c r="U251" s="131"/>
      <c r="V251" s="126"/>
      <c r="W251" s="1"/>
      <c r="X251" s="1"/>
      <c r="Y251" s="1"/>
      <c r="Z251" s="105"/>
      <c r="AA251" s="131"/>
    </row>
    <row r="252" spans="3:27" ht="15" customHeight="1" x14ac:dyDescent="0.25">
      <c r="C252" s="129" t="s">
        <v>226</v>
      </c>
      <c r="D252" s="56" t="str">
        <f>IF(tabJanta[[#This Row],[MOTORISTA]]="","",_xlfn.CONCAT(tabJanta[[#This Row],[DATA]],"+",tabJanta[[#This Row],[MOTORISTA]]))</f>
        <v/>
      </c>
      <c r="E252" s="56" t="str">
        <f>_xlfn.XLOOKUP(autocompJanta[[#This Row],[COMP ESCALA ATUAL]],tabE.Flux[COMP.AT. MOT A],tabE.Flux[LINHA],"NÃO",0,1)</f>
        <v>NÃO</v>
      </c>
      <c r="F252" s="56" t="str">
        <f>_xlfn.XLOOKUP(autocompJanta[[#This Row],[COMP ESCALA ATUAL]],tabE.Flux[COMP.AT. MOT B],tabE.Flux[LINHA],"NÃO",0,1)</f>
        <v>NÃO</v>
      </c>
      <c r="G252" s="61" t="str">
        <f>IF(AND(autocompJanta[[#This Row],[EXISTE MOT A AT]]="NÃO", autocompJanta[[#This Row],[EXISTE MOT B AT]]="NÃO"),"NÃO","SIM")</f>
        <v>NÃO</v>
      </c>
      <c r="H252" s="57" t="str">
        <f>IF(autocompJanta[[#This Row],[EXISTE ESCALA ATUAL]]="NÃO",_xlfn.CONCAT(tabJanta[[#This Row],[DATA]]-1,"+",tabJanta[[#This Row],[MOTORISTA]]),"NÃO")</f>
        <v>-1+</v>
      </c>
      <c r="I252" s="57" t="str">
        <f>IF(autocompJanta[[#This Row],[COMP ESCALA ANTERIOR]]="NÃO","NÃO",_xlfn.XLOOKUP(autocompJanta[[#This Row],[COMP ESCALA ANTERIOR]],tabE.Flux[COMP.AT. MOT A],tabE.Flux[LINHA],"NÃO",0,1))</f>
        <v>NÃO</v>
      </c>
      <c r="J252" s="58" t="str">
        <f>IF(autocompJanta[[#This Row],[COMP ESCALA ANTERIOR]]="NÃO","NÃO",_xlfn.XLOOKUP(autocompJanta[[#This Row],[COMP ESCALA ANTERIOR]],tabE.Flux[COMP.AT. MOT B],tabE.Flux[LINHA],"NÃO",0,1))</f>
        <v>NÃO</v>
      </c>
      <c r="K252" s="62" t="str">
        <f>IF(AND(autocompJanta[[#This Row],[EXISTE MOT A ANT]]="NÃO",autocompJanta[[#This Row],[EXISTE MOT B ANT]]="NÃO"),"NÃO","SIM")</f>
        <v>NÃO</v>
      </c>
      <c r="L252" s="59" t="str">
        <f t="shared" si="16"/>
        <v>1+</v>
      </c>
      <c r="M252" s="59" t="str">
        <f>IF(autocompJanta[[#This Row],[COMP ESCALA POSTERIOR]]="NÃO","NÃO",_xlfn.XLOOKUP(autocompJanta[[#This Row],[COMP ESCALA POSTERIOR]],tabE.Flux[COMP.AT. MOT A],tabE.Flux[LINHA],"NÃO",0,1))</f>
        <v>NÃO</v>
      </c>
      <c r="N252" s="59" t="str">
        <f>IF(autocompJanta[[#This Row],[COMP ESCALA POSTERIOR]]="NÃO","NÃO",_xlfn.XLOOKUP(autocompJanta[[#This Row],[COMP ESCALA POSTERIOR]],tabE.Flux[COMP.AT. MOT B],tabE.Flux[LINHA],"NÃO",0,1))</f>
        <v>NÃO</v>
      </c>
      <c r="O252" s="65" t="str">
        <f>IF(AND(autocompJanta[[#This Row],[EXISTE MOT A POS]]="NÃO",autocompJanta[[#This Row],[EXISTE MOT B POS]]="NÃO"),"NÃO","SIM")</f>
        <v>NÃO</v>
      </c>
      <c r="P252" s="66" t="str" cm="1">
        <f t="array" ref="P252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52" s="103" t="str" cm="1">
        <f t="array" ref="Q252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52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52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52" s="127"/>
      <c r="U252" s="131"/>
      <c r="V252" s="126"/>
      <c r="W252" s="1"/>
      <c r="X252" s="1"/>
      <c r="Y252" s="1"/>
      <c r="Z252" s="105"/>
      <c r="AA252" s="131"/>
    </row>
    <row r="253" spans="3:27" ht="15" customHeight="1" x14ac:dyDescent="0.25">
      <c r="C253" s="129" t="s">
        <v>226</v>
      </c>
      <c r="D253" s="56" t="str">
        <f>IF(tabJanta[[#This Row],[MOTORISTA]]="","",_xlfn.CONCAT(tabJanta[[#This Row],[DATA]],"+",tabJanta[[#This Row],[MOTORISTA]]))</f>
        <v/>
      </c>
      <c r="E253" s="56" t="str">
        <f>_xlfn.XLOOKUP(autocompJanta[[#This Row],[COMP ESCALA ATUAL]],tabE.Flux[COMP.AT. MOT A],tabE.Flux[LINHA],"NÃO",0,1)</f>
        <v>NÃO</v>
      </c>
      <c r="F253" s="56" t="str">
        <f>_xlfn.XLOOKUP(autocompJanta[[#This Row],[COMP ESCALA ATUAL]],tabE.Flux[COMP.AT. MOT B],tabE.Flux[LINHA],"NÃO",0,1)</f>
        <v>NÃO</v>
      </c>
      <c r="G253" s="61" t="str">
        <f>IF(AND(autocompJanta[[#This Row],[EXISTE MOT A AT]]="NÃO", autocompJanta[[#This Row],[EXISTE MOT B AT]]="NÃO"),"NÃO","SIM")</f>
        <v>NÃO</v>
      </c>
      <c r="H253" s="57" t="str">
        <f>IF(autocompJanta[[#This Row],[EXISTE ESCALA ATUAL]]="NÃO",_xlfn.CONCAT(tabJanta[[#This Row],[DATA]]-1,"+",tabJanta[[#This Row],[MOTORISTA]]),"NÃO")</f>
        <v>-1+</v>
      </c>
      <c r="I253" s="57" t="str">
        <f>IF(autocompJanta[[#This Row],[COMP ESCALA ANTERIOR]]="NÃO","NÃO",_xlfn.XLOOKUP(autocompJanta[[#This Row],[COMP ESCALA ANTERIOR]],tabE.Flux[COMP.AT. MOT A],tabE.Flux[LINHA],"NÃO",0,1))</f>
        <v>NÃO</v>
      </c>
      <c r="J253" s="58" t="str">
        <f>IF(autocompJanta[[#This Row],[COMP ESCALA ANTERIOR]]="NÃO","NÃO",_xlfn.XLOOKUP(autocompJanta[[#This Row],[COMP ESCALA ANTERIOR]],tabE.Flux[COMP.AT. MOT B],tabE.Flux[LINHA],"NÃO",0,1))</f>
        <v>NÃO</v>
      </c>
      <c r="K253" s="62" t="str">
        <f>IF(AND(autocompJanta[[#This Row],[EXISTE MOT A ANT]]="NÃO",autocompJanta[[#This Row],[EXISTE MOT B ANT]]="NÃO"),"NÃO","SIM")</f>
        <v>NÃO</v>
      </c>
      <c r="L253" s="59" t="str">
        <f t="shared" si="16"/>
        <v>1+</v>
      </c>
      <c r="M253" s="59" t="str">
        <f>IF(autocompJanta[[#This Row],[COMP ESCALA POSTERIOR]]="NÃO","NÃO",_xlfn.XLOOKUP(autocompJanta[[#This Row],[COMP ESCALA POSTERIOR]],tabE.Flux[COMP.AT. MOT A],tabE.Flux[LINHA],"NÃO",0,1))</f>
        <v>NÃO</v>
      </c>
      <c r="N253" s="59" t="str">
        <f>IF(autocompJanta[[#This Row],[COMP ESCALA POSTERIOR]]="NÃO","NÃO",_xlfn.XLOOKUP(autocompJanta[[#This Row],[COMP ESCALA POSTERIOR]],tabE.Flux[COMP.AT. MOT B],tabE.Flux[LINHA],"NÃO",0,1))</f>
        <v>NÃO</v>
      </c>
      <c r="O253" s="65" t="str">
        <f>IF(AND(autocompJanta[[#This Row],[EXISTE MOT A POS]]="NÃO",autocompJanta[[#This Row],[EXISTE MOT B POS]]="NÃO"),"NÃO","SIM")</f>
        <v>NÃO</v>
      </c>
      <c r="P253" s="66" t="str" cm="1">
        <f t="array" ref="P253">IFERROR(_xlfn.IFS(autocompJanta[[#This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POS]]))),"NÃO ENCONTRADO")</f>
        <v>NÃO ENCONTRADO</v>
      </c>
      <c r="Q253" s="103" t="str" cm="1">
        <f t="array" ref="Q253">IFERROR(_xlfn.IFS(autocompJanta[[#This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LINHA]]))),"NÃO ENCONTRADO")</f>
        <v>NÃO ENCONTRADO</v>
      </c>
      <c r="R253" s="67" t="str">
        <f>_xlfn.XLOOKUP(autocompJanta[[#This Row],[COMP ESCALA]],tabE.Flux[COMP. ESCALA MOT B],tabE.Flux[CARRO],
(_xlfn.XLOOKUP(autocompJanta[[#This Row],[COMP ESCALA]],tabE.Flux[COMP. ESCALA MOT A],tabE.Flux[CARRO],"N/E",0,1)),0,1)</f>
        <v>N/E</v>
      </c>
      <c r="S253" s="130" t="str">
        <f>_xlfn.XLOOKUP(autocompJanta[[#This Row],[COMP ESCALA]],tabE.Flux[COMP. ESCALA MOT A],tabE.Flux[HORARIO],(_xlfn.XLOOKUP(autocompJanta[[#This Row],[COMP ESCALA]],tabE.Flux[COMP. ESCALA MOT B],tabE.Flux[HORARIO],"N/E",0,1)),0,1)</f>
        <v>N/E</v>
      </c>
      <c r="T253" s="127"/>
      <c r="U253" s="131"/>
      <c r="V253" s="126"/>
      <c r="W253" s="1"/>
      <c r="X253" s="1"/>
      <c r="Y253" s="1"/>
      <c r="Z253" s="105"/>
      <c r="AA253" s="131"/>
    </row>
    <row r="254" spans="3:27" ht="15" customHeight="1" x14ac:dyDescent="0.25"/>
    <row r="255" spans="3:27" ht="15" customHeight="1" x14ac:dyDescent="0.25"/>
    <row r="256" spans="3:27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</sheetData>
  <sheetProtection insertColumns="0" insertRows="0" deleteColumns="0" deleteRows="0"/>
  <mergeCells count="3">
    <mergeCell ref="T4:AA4"/>
    <mergeCell ref="T2:AA2"/>
    <mergeCell ref="C4:S4"/>
  </mergeCells>
  <phoneticPr fontId="8" type="noConversion"/>
  <conditionalFormatting sqref="C6:C253 E6:O253 Q6:Q253">
    <cfRule type="cellIs" dxfId="13" priority="12" operator="equal">
      <formula>"NÃO"</formula>
    </cfRule>
  </conditionalFormatting>
  <conditionalFormatting sqref="U5:U155 U157:U162">
    <cfRule type="cellIs" dxfId="12" priority="3" operator="equal">
      <formula>"PASSE?"</formula>
    </cfRule>
  </conditionalFormatting>
  <conditionalFormatting sqref="Y6:Y155 Y157:Y162">
    <cfRule type="cellIs" dxfId="11" priority="6" stopIfTrue="1" operator="greaterThan">
      <formula>1</formula>
    </cfRule>
  </conditionalFormatting>
  <dataValidations count="8">
    <dataValidation allowBlank="1" showInputMessage="1" prompt="Esse campo mostra quantas vezes o motorista aparece nesta data. Não são permitidas repetições, então se esse valor ficar maior que dois, ele INDICA UMA DUPLICATA." sqref="Y5" xr:uid="{20995C92-74F7-4B2E-A743-6A9ACF18C62C}"/>
    <dataValidation allowBlank="1" showInputMessage="1" promptTitle="NOME + MATRÍCULA" prompt="Esse campo é integrado ao BANCO DE DADOS, caso não encontre nenhum motorista, basta o adicionar no final da tabela disponível na planilha (o autocompletar só funciona com o nome idêntico ao da escala do fluxo)." sqref="X5" xr:uid="{4D4960DE-7F05-4028-ABC7-353F35500583}"/>
    <dataValidation allowBlank="1" showInputMessage="1" promptTitle="MOTIVO" prompt="Justifica a razão pela qual o colaborador fez refeição (regular, passe, SOS, etc.)" sqref="W5" xr:uid="{44AB7C79-CC2C-4D07-BBEB-027391557B5F}"/>
    <dataValidation allowBlank="1" showInputMessage="1" promptTitle="Horário" prompt="Identifica o horário de origem da escala do motorista (baseado no serviço de escala)" sqref="V5" xr:uid="{8FD470F5-4228-4CFB-85EC-E961B1086C5D}"/>
    <dataValidation allowBlank="1" showInputMessage="1" showErrorMessage="1" prompt="(a quantidade não deve ser maior que 1, em caso de duplicatas o valor irá mudar para 2 para indicar o erro)" sqref="Y3 Y6:Y155 Y157:Y1048576" xr:uid="{9D1C5153-88D8-4726-BB69-4BB123204295}"/>
    <dataValidation allowBlank="1" showInputMessage="1" promptTitle="LINHA" prompt="Identifica a linha do serviço realizado pelo motorista no dia (anterior, atual ou posterior, baseado na última escala disponível próximo a data informada)" sqref="AA5" xr:uid="{CE402365-0900-4D09-BFE6-DC827B6CB5AD}"/>
    <dataValidation allowBlank="1" showInputMessage="1" showErrorMessage="1" promptTitle="Dev Backend" prompt="Em caso de dúvidas ou sugestões, falar comigo_x000a_(99) 99139-5351" sqref="T2:Z2" xr:uid="{D33A1F9D-F9B0-41BA-9429-CD17C596E590}"/>
    <dataValidation allowBlank="1" showInputMessage="1" promptTitle="Planinha de Refeição" prompt="Clique para obter ajuda..." sqref="T4:AA4" xr:uid="{DE5D3965-31ED-45E9-8015-41EEA49DFDB5}"/>
  </dataValidations>
  <hyperlinks>
    <hyperlink ref="T4:AA4" location="'AJUDA'!K3" display="CUSTO COM JANTA (SANTA INÊS - MA)" xr:uid="{CA1A1A44-1349-4915-BB3B-89C9228767F8}"/>
  </hyperlinks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U156:AA161 U162:V162 X162:AA162" calculatedColumn="1"/>
  </ignoredErrors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Digite nome ou matrícula" prompt="Clique no título da coluna para mais informações" xr:uid="{AB0267F3-DEE3-490D-9171-9BB787E414CA}">
          <x14:formula1>
            <xm:f>'BANCO DE DADOS'!$B:$B</xm:f>
          </x14:formula1>
          <xm:sqref>X3 X6:X155 X157:X1048576</xm:sqref>
        </x14:dataValidation>
        <x14:dataValidation type="list" allowBlank="1" showInputMessage="1" showErrorMessage="1" promptTitle="Dev Backend" prompt="Em caso de dúvidas ou sugestões, falar comigo_x000a_(99) 99139-5351" xr:uid="{5519C365-97E2-4000-BC12-485355E8729F}">
          <x14:formula1>
            <xm:f>'BANCO DE DADOS'!$D:$D</xm:f>
          </x14:formula1>
          <xm:sqref>AA1:AA3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85FF-5E84-4C5F-A358-8C0F6A875321}">
  <sheetPr>
    <tabColor theme="7" tint="0.79998168889431442"/>
  </sheetPr>
  <dimension ref="A1:AB408"/>
  <sheetViews>
    <sheetView topLeftCell="A71" zoomScaleNormal="100" workbookViewId="0">
      <selection activeCell="G5" sqref="G5:G107"/>
    </sheetView>
  </sheetViews>
  <sheetFormatPr defaultRowHeight="15" x14ac:dyDescent="0.25"/>
  <cols>
    <col min="1" max="1" width="9.140625" style="22"/>
    <col min="2" max="2" width="11.140625" style="22" hidden="1" customWidth="1"/>
    <col min="3" max="3" width="11.140625" style="22" bestFit="1" customWidth="1"/>
    <col min="4" max="4" width="9.7109375" style="22" customWidth="1"/>
    <col min="5" max="5" width="13.140625" style="22" bestFit="1" customWidth="1"/>
    <col min="6" max="6" width="13.5703125" style="22" bestFit="1" customWidth="1"/>
    <col min="7" max="7" width="53.5703125" style="22" bestFit="1" customWidth="1"/>
    <col min="8" max="8" width="8.5703125" style="22" customWidth="1"/>
    <col min="9" max="9" width="8.42578125" style="22" customWidth="1"/>
    <col min="10" max="10" width="35.140625" style="22" bestFit="1" customWidth="1"/>
    <col min="11" max="11" width="10.85546875" style="22" customWidth="1"/>
    <col min="12" max="12" width="44.28515625" style="22" hidden="1" customWidth="1"/>
    <col min="13" max="13" width="44.28515625" bestFit="1" customWidth="1"/>
    <col min="14" max="14" width="28.7109375" bestFit="1" customWidth="1"/>
    <col min="15" max="15" width="44.28515625" bestFit="1" customWidth="1"/>
    <col min="16" max="16" width="35.140625" bestFit="1" customWidth="1"/>
    <col min="17" max="17" width="33.5703125" bestFit="1" customWidth="1"/>
    <col min="18" max="18" width="19.85546875" bestFit="1" customWidth="1"/>
    <col min="19" max="19" width="136.42578125" bestFit="1" customWidth="1"/>
    <col min="20" max="20" width="18.7109375" bestFit="1" customWidth="1"/>
    <col min="21" max="16384" width="9.140625" style="22"/>
  </cols>
  <sheetData>
    <row r="1" spans="1:28" x14ac:dyDescent="0.25">
      <c r="M1" s="22"/>
      <c r="N1" s="22"/>
      <c r="O1" s="22"/>
      <c r="P1" s="22"/>
      <c r="Q1" s="22"/>
      <c r="R1" s="22"/>
      <c r="S1" s="22"/>
      <c r="T1" s="22"/>
    </row>
    <row r="2" spans="1:28" x14ac:dyDescent="0.25">
      <c r="B2" s="168" t="s">
        <v>323</v>
      </c>
      <c r="C2" s="168"/>
      <c r="D2" s="168"/>
      <c r="E2" s="168"/>
      <c r="F2" s="168"/>
      <c r="G2" s="168"/>
      <c r="H2" s="168"/>
      <c r="I2" s="168"/>
      <c r="J2" s="168"/>
      <c r="M2" s="22"/>
      <c r="N2" s="22"/>
      <c r="O2" s="22"/>
      <c r="P2" s="22"/>
      <c r="Q2" s="22"/>
      <c r="R2" s="22"/>
      <c r="S2" s="22"/>
      <c r="T2" s="22"/>
    </row>
    <row r="3" spans="1:28" ht="15" hidden="1" customHeight="1" x14ac:dyDescent="0.25">
      <c r="A3" s="22">
        <v>2</v>
      </c>
      <c r="B3" s="167" t="s">
        <v>324</v>
      </c>
      <c r="C3" s="167"/>
      <c r="D3" s="167"/>
      <c r="E3" s="167"/>
      <c r="F3" s="167"/>
      <c r="G3" s="23"/>
      <c r="H3" s="23"/>
      <c r="I3" s="24" t="s">
        <v>325</v>
      </c>
    </row>
    <row r="4" spans="1:28" x14ac:dyDescent="0.25">
      <c r="B4" s="25" t="s">
        <v>326</v>
      </c>
      <c r="C4" s="26" t="s">
        <v>5</v>
      </c>
      <c r="D4" s="26" t="s">
        <v>7</v>
      </c>
      <c r="E4" s="26" t="s">
        <v>293</v>
      </c>
      <c r="F4" s="26" t="s">
        <v>294</v>
      </c>
      <c r="G4" s="27" t="s">
        <v>327</v>
      </c>
      <c r="H4" s="26" t="s">
        <v>296</v>
      </c>
      <c r="I4" s="27" t="s">
        <v>297</v>
      </c>
      <c r="J4" s="28" t="s">
        <v>14</v>
      </c>
      <c r="K4" s="29"/>
      <c r="L4" s="30" t="s">
        <v>326</v>
      </c>
      <c r="M4" s="54" t="s">
        <v>277</v>
      </c>
      <c r="N4" s="55" t="s">
        <v>278</v>
      </c>
      <c r="O4" s="53" t="s">
        <v>279</v>
      </c>
      <c r="P4" s="60" t="s">
        <v>280</v>
      </c>
      <c r="Q4" s="70" t="s">
        <v>281</v>
      </c>
      <c r="R4" s="55" t="s">
        <v>282</v>
      </c>
      <c r="S4" s="53" t="s">
        <v>283</v>
      </c>
      <c r="T4" s="60" t="s">
        <v>284</v>
      </c>
      <c r="U4" s="72" t="s">
        <v>285</v>
      </c>
      <c r="V4" s="53" t="s">
        <v>286</v>
      </c>
      <c r="W4" s="53" t="s">
        <v>287</v>
      </c>
      <c r="X4" s="60" t="s">
        <v>288</v>
      </c>
      <c r="Y4" s="60" t="s">
        <v>289</v>
      </c>
      <c r="Z4" s="74" t="s">
        <v>290</v>
      </c>
      <c r="AA4" s="63" t="s">
        <v>291</v>
      </c>
      <c r="AB4" s="64" t="s">
        <v>292</v>
      </c>
    </row>
    <row r="5" spans="1:28" x14ac:dyDescent="0.25">
      <c r="B5" s="31">
        <v>1</v>
      </c>
      <c r="C5" s="32">
        <v>45885</v>
      </c>
      <c r="D5" s="33" t="e">
        <f>IF(IFERROR(Tabela10[[#This Row],[SIM]],"")="NÃO",(IF(Tabela7[[#This Row],[NOME]]=0,"","PASSE?")),Tabela10[[#This Row],[SIM]])</f>
        <v>#VALUE!</v>
      </c>
      <c r="E5" s="34" t="e">
        <f>Tabela10[[#This Row],[45886+JAKTAN DE OLIVEIRA RODRIGUES - 5836]]</f>
        <v>#VALUE!</v>
      </c>
      <c r="F5" s="35" t="s">
        <v>299</v>
      </c>
      <c r="G5" s="35" t="s">
        <v>58</v>
      </c>
      <c r="H5" s="1">
        <f>COUNTIF(Tabela10[45885+JAKTAN DE OLIVEIRA RODRIGUES - 5836],Tabela10[[#This Row],[45885+JAKTAN DE OLIVEIRA RODRIGUES - 5836]])</f>
        <v>300</v>
      </c>
      <c r="I5" s="43">
        <f>IF(Tabela7[[#This Row],[NOME]]&lt;&gt;0,15,"")</f>
        <v>15</v>
      </c>
      <c r="J5" s="33" t="e" cm="1">
        <f t="array" ref="J5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#VALUE!</v>
      </c>
      <c r="K5" s="31"/>
      <c r="L5" s="36">
        <f>Tabela7[[#This Row],[ID]]</f>
        <v>1</v>
      </c>
      <c r="M5" s="56" t="s">
        <v>328</v>
      </c>
      <c r="N5" s="56" t="s">
        <v>329</v>
      </c>
      <c r="O5" s="69" t="s">
        <v>330</v>
      </c>
      <c r="P5" s="61" t="s">
        <v>331</v>
      </c>
      <c r="Q5" s="71" t="s">
        <v>332</v>
      </c>
      <c r="R5" s="57" t="s">
        <v>26</v>
      </c>
      <c r="S5" s="58" t="s">
        <v>333</v>
      </c>
      <c r="T5" s="62" t="s">
        <v>334</v>
      </c>
      <c r="U5" s="73" t="s">
        <v>335</v>
      </c>
      <c r="V5" s="59" t="e" cm="1">
        <f t="array" ref="V5">IF(autocompJanta[[#This Row],[COMP ESCALA POSTERIOR]]="NÃO","NÃO",_xlfn.XLOOKUP(autocompJanta[[#This Row],[COMP ESCALA POSTERIOR]],tabE.Flux[COMP.AT. MOT A],#REF!,"NÃO",0,1))</f>
        <v>#VALUE!</v>
      </c>
      <c r="W5" s="59" t="e" cm="1">
        <f t="array" ref="W5">IF(autocompJanta[[#This Row],[COMP ESCALA POSTERIOR]]="NÃO","NÃO",_xlfn.XLOOKUP(autocompJanta[[#This Row],[COMP ESCALA POSTERIOR]],tabE.Flux[COMP.AT. MOT B],#REF!,"NÃO",0,1))</f>
        <v>#VALUE!</v>
      </c>
      <c r="X5" s="65" t="e">
        <f>IF(AND(autocompJanta[[#This Row],[EXISTE MOT A POS]]="NÃO",autocompJanta[[#This Row],[EXISTE MOT B POS]]="NÃO"),"NÃO","SIM")</f>
        <v>#VALUE!</v>
      </c>
      <c r="Y5" s="66" t="e" cm="1">
        <f t="array" ref="Y5">_xlfn.IFS(autocompJanta[[#This Row],[EXISTE ESCALA ATUAL]]="SIM",(IF(autocompJanta[[#This Row],[EXISTE MOT A AT]]="NÃO",autocompJanta[[#This Row],[EXISTE MOT B AT]],autocompJanta[[#This Row],[EXISTE MOT A AT]])),autocompJanta[[#This Row],[EXISTE ESCALA ANTERIOR]]="SIM",(IF(autocompJanta[[#This Row],[EXISTE MOT A ANT]]="NÃO",autocompJanta[[#This Row],[EXISTE MOT B ANT]],autocompJanta[[#This Row],[EXISTE MOT A ANT]])),autocompJanta[[#This Row],[EXISTE ESCALA POSTERIOR]]="SIM",(IF(autocompJanta[[#This Row],[EXISTE MOT A POS]]="NÃO",autocompJanta[[#This Row],[EXISTE MOT B POS]],autocompJanta[[#This Row],[EXISTE MOT A POS]])))</f>
        <v>#VALUE!</v>
      </c>
      <c r="Z5" s="75" t="e" cm="1">
        <f t="array" ref="Z5">_xlfn.IFS(autocompJanta[[#This Row],[EXISTE ESCALA ATUAL]]="SIM",(_xlfn.CONCAT(autocompJanta[[#This Row],[COMP ESCALA ATUAL]],"+",autocompJanta[[#This Row],[CORRESP LINHA]])),autocompJanta[[#This Row],[EXISTE ESCALA ANTERIOR]]="SIM",(_xlfn.CONCAT(autocompJanta[[#This Row],[COMP ESCALA ANTERIOR]],"+",autocompJanta[[#This Row],[CORRESP LINHA]])),autocompJanta[[#This Row],[EXISTE ESCALA POSTERIOR]]="SIM",(_xlfn.CONCAT(autocompJanta[[#This Row],[COMP ESCALA POSTERIOR]],"+",autocompJanta[[#This Row],[CORRESP LINHA]])))</f>
        <v>#VALUE!</v>
      </c>
      <c r="AA5" s="67" t="e" cm="1">
        <f t="array" ref="AA5">_xlfn.XLOOKUP(autocompJanta[[#This Row],[COMP ESCALA]],tabE.Flux[COMP. ESCALA MOT B],#REF!,
(_xlfn.XLOOKUP(autocompJanta[[#This Row],[COMP ESCALA]],tabE.Flux[COMP. ESCALA MOT A],#REF!,"NÃO",0,1)),0,1)</f>
        <v>#VALUE!</v>
      </c>
      <c r="AB5" s="68" t="e" cm="1">
        <f t="array" ref="AB5">_xlfn.XLOOKUP(autocompJanta[[#This Row],[COMP ESCALA]],tabE.Flux[COMP. ESCALA MOT A],#REF!,(_xlfn.XLOOKUP(autocompJanta[[#This Row],[COMP ESCALA]],tabE.Flux[COMP. ESCALA MOT B],#REF!,"NÃO",0,1)),0,1)</f>
        <v>#VALUE!</v>
      </c>
    </row>
    <row r="6" spans="1:28" x14ac:dyDescent="0.25">
      <c r="B6" s="31">
        <v>2</v>
      </c>
      <c r="C6" s="32">
        <v>45885</v>
      </c>
      <c r="D6" s="33" t="e">
        <f>IF(IFERROR(Tabela10[[#This Row],[SIM]],"")="NÃO",(IF(Tabela7[[#This Row],[NOME]]=0,"","PASSE?")),Tabela10[[#This Row],[SIM]])</f>
        <v>#REF!</v>
      </c>
      <c r="E6" s="34" t="e">
        <f>Tabela10[[#This Row],[45886+JAKTAN DE OLIVEIRA RODRIGUES - 5836]]</f>
        <v>#REF!</v>
      </c>
      <c r="F6" s="33" t="s">
        <v>299</v>
      </c>
      <c r="G6" s="33" t="s">
        <v>56</v>
      </c>
      <c r="H6" s="4">
        <f>COUNTIF(Tabela10[45885+JAKTAN DE OLIVEIRA RODRIGUES - 5836],Tabela10[[#This Row],[45885+JAKTAN DE OLIVEIRA RODRIGUES - 5836]])</f>
        <v>1</v>
      </c>
      <c r="I6" s="44">
        <f>IF(Tabela7[[#This Row],[NOME]]&lt;&gt;0,15,"")</f>
        <v>15</v>
      </c>
      <c r="J6" s="33" t="e" cm="1">
        <f t="array" ref="J6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K6" s="31"/>
      <c r="L6" s="36">
        <f>Tabela7[[#This Row],[ID]]</f>
        <v>2</v>
      </c>
      <c r="M6" s="17" t="str">
        <f>_xlfn.CONCAT(Tabela7[[#This Row],[DATA]],"+",Tabela7[[#This Row],[NOME]])</f>
        <v>45885+RICHARD SOUSA DA SILVA - 1271</v>
      </c>
      <c r="N6" s="11" t="e" cm="1">
        <f t="array" ref="N6">_xlfn.XLOOKUP(M6,tabE.Flux[[#All],[COMP.AT. MOT A]],#REF!,"NÃO",0,1)</f>
        <v>#REF!</v>
      </c>
      <c r="O6" s="11" t="e" cm="1">
        <f t="array" ref="O6">_xlfn.XLOOKUP(M6,tabE.Flux[[#All],[COMP.AT. MOT B]],#REF!,"NÃO",0,1)</f>
        <v>#REF!</v>
      </c>
      <c r="P6" s="12" t="e">
        <f>IF(N6="NÃO",(IF(O6="NÃO",(_xlfn.CONCAT(Tabela7[[#This Row],[DATA]]-1,"+",Tabela7[[#This Row],[NOME]])),"NÃO")),"NÃO")</f>
        <v>#REF!</v>
      </c>
      <c r="Q6" s="11" t="e" cm="1">
        <f t="array" ref="Q6">IF(P6="NÃO","NÃO",_xlfn.XLOOKUP(P6,tabE.Flux[COMP.AT. MOT A],#REF!,"NÃO",0,1))</f>
        <v>#REF!</v>
      </c>
      <c r="R6" s="14" t="e" cm="1">
        <f t="array" ref="R6">IF(P6="NÃO","NÃO",_xlfn.XLOOKUP(P6,tabE.Flux[COMP.AT. MOT B],#REF!,"NÃO",0,1))</f>
        <v>#REF!</v>
      </c>
      <c r="S6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6" s="16" t="e" cm="1">
        <f t="array" ref="T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6" s="41" t="e" cm="1">
        <f t="array" ref="U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7" spans="1:28" x14ac:dyDescent="0.25">
      <c r="B7" s="31">
        <v>3</v>
      </c>
      <c r="C7" s="32">
        <v>45885</v>
      </c>
      <c r="D7" s="33" t="e">
        <f>IF(IFERROR(Tabela10[[#This Row],[SIM]],"")="NÃO",(IF(Tabela7[[#This Row],[NOME]]=0,"","PASSE?")),Tabela10[[#This Row],[SIM]])</f>
        <v>#REF!</v>
      </c>
      <c r="E7" s="34" t="e">
        <f>Tabela10[[#This Row],[45886+JAKTAN DE OLIVEIRA RODRIGUES - 5836]]</f>
        <v>#REF!</v>
      </c>
      <c r="F7" s="33" t="s">
        <v>299</v>
      </c>
      <c r="G7" s="33" t="s">
        <v>30</v>
      </c>
      <c r="H7" s="4">
        <f>COUNTIF(Tabela10[45885+JAKTAN DE OLIVEIRA RODRIGUES - 5836],Tabela10[[#This Row],[45885+JAKTAN DE OLIVEIRA RODRIGUES - 5836]])</f>
        <v>1</v>
      </c>
      <c r="I7" s="44">
        <f>IF(Tabela7[[#This Row],[NOME]]&lt;&gt;0,15,"")</f>
        <v>15</v>
      </c>
      <c r="J7" s="33" t="e" cm="1">
        <f t="array" ref="J7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K7" s="31"/>
      <c r="L7" s="36">
        <f>Tabela7[[#This Row],[ID]]</f>
        <v>3</v>
      </c>
      <c r="M7" s="17" t="str">
        <f>_xlfn.CONCAT(Tabela7[[#This Row],[DATA]],"+",Tabela7[[#This Row],[NOME]])</f>
        <v>45885+JEFFERSON CARDOSO DOS SANTOS - 5837</v>
      </c>
      <c r="N7" s="11" t="e" cm="1">
        <f t="array" ref="N7">_xlfn.XLOOKUP(M7,tabE.Flux[[#All],[COMP.AT. MOT A]],#REF!,"NÃO",0,1)</f>
        <v>#REF!</v>
      </c>
      <c r="O7" s="11" t="e" cm="1">
        <f t="array" ref="O7">_xlfn.XLOOKUP(M7,tabE.Flux[[#All],[COMP.AT. MOT B]],#REF!,"NÃO",0,1)</f>
        <v>#REF!</v>
      </c>
      <c r="P7" s="12" t="e">
        <f>IF(N7="NÃO",(IF(O7="NÃO",(_xlfn.CONCAT(Tabela7[[#This Row],[DATA]]-1,"+",Tabela7[[#This Row],[NOME]])),"NÃO")),"NÃO")</f>
        <v>#REF!</v>
      </c>
      <c r="Q7" s="11" t="e" cm="1">
        <f t="array" ref="Q7">IF(P7="NÃO","NÃO",_xlfn.XLOOKUP(P7,tabE.Flux[COMP.AT. MOT A],#REF!,"NÃO",0,1))</f>
        <v>#REF!</v>
      </c>
      <c r="R7" s="14" t="e" cm="1">
        <f t="array" ref="R7">IF(P7="NÃO","NÃO",_xlfn.XLOOKUP(P7,tabE.Flux[COMP.AT. MOT B],#REF!,"NÃO",0,1))</f>
        <v>#REF!</v>
      </c>
      <c r="S7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7" s="16" t="e" cm="1">
        <f t="array" ref="T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7" s="41" t="e" cm="1">
        <f t="array" ref="U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8" spans="1:28" x14ac:dyDescent="0.25">
      <c r="B8" s="31">
        <v>4</v>
      </c>
      <c r="C8" s="37">
        <v>45885</v>
      </c>
      <c r="D8" s="33" t="e">
        <f>IF(IFERROR(Tabela10[[#This Row],[SIM]],"")="NÃO",(IF(Tabela7[[#This Row],[NOME]]=0,"","PASSE?")),Tabela10[[#This Row],[SIM]])</f>
        <v>#REF!</v>
      </c>
      <c r="E8" s="34" t="e">
        <f>Tabela10[[#This Row],[45886+JAKTAN DE OLIVEIRA RODRIGUES - 5836]]</f>
        <v>#REF!</v>
      </c>
      <c r="F8" s="33" t="s">
        <v>299</v>
      </c>
      <c r="G8" s="33" t="s">
        <v>45</v>
      </c>
      <c r="H8" s="4">
        <f>COUNTIF(Tabela10[45885+JAKTAN DE OLIVEIRA RODRIGUES - 5836],Tabela10[[#This Row],[45885+JAKTAN DE OLIVEIRA RODRIGUES - 5836]])</f>
        <v>1</v>
      </c>
      <c r="I8" s="44">
        <f>IF(Tabela7[[#This Row],[NOME]]&lt;&gt;0,15,"")</f>
        <v>15</v>
      </c>
      <c r="J8" s="33" t="e" cm="1">
        <f t="array" ref="J8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K8" s="31"/>
      <c r="L8" s="36">
        <f>Tabela7[[#This Row],[ID]]</f>
        <v>4</v>
      </c>
      <c r="M8" s="17" t="str">
        <f>_xlfn.CONCAT(Tabela7[[#This Row],[DATA]],"+",Tabela7[[#This Row],[NOME]])</f>
        <v>45885+RAIMUNDO COSTA SILVA - 6226</v>
      </c>
      <c r="N8" s="11" t="e" cm="1">
        <f t="array" ref="N8">_xlfn.XLOOKUP(M8,tabE.Flux[[#All],[COMP.AT. MOT A]],#REF!,"NÃO",0,1)</f>
        <v>#REF!</v>
      </c>
      <c r="O8" s="11" t="e" cm="1">
        <f t="array" ref="O8">_xlfn.XLOOKUP(M8,tabE.Flux[[#All],[COMP.AT. MOT B]],#REF!,"NÃO",0,1)</f>
        <v>#REF!</v>
      </c>
      <c r="P8" s="12" t="e">
        <f>IF(N8="NÃO",(IF(O8="NÃO",(_xlfn.CONCAT(Tabela7[[#This Row],[DATA]]-1,"+",Tabela7[[#This Row],[NOME]])),"NÃO")),"NÃO")</f>
        <v>#REF!</v>
      </c>
      <c r="Q8" s="11" t="e" cm="1">
        <f t="array" ref="Q8">IF(P8="NÃO","NÃO",_xlfn.XLOOKUP(P8,tabE.Flux[COMP.AT. MOT A],#REF!,"NÃO",0,1))</f>
        <v>#REF!</v>
      </c>
      <c r="R8" s="14" t="e" cm="1">
        <f t="array" ref="R8">IF(P8="NÃO","NÃO",_xlfn.XLOOKUP(P8,tabE.Flux[COMP.AT. MOT B],#REF!,"NÃO",0,1))</f>
        <v>#REF!</v>
      </c>
      <c r="S8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8" s="16" t="e" cm="1">
        <f t="array" ref="T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8" s="41" t="e" cm="1">
        <f t="array" ref="U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9" spans="1:28" x14ac:dyDescent="0.25">
      <c r="B9" s="31">
        <v>5</v>
      </c>
      <c r="C9" s="37">
        <v>45885</v>
      </c>
      <c r="D9" s="33" t="e">
        <f>IF(IFERROR(Tabela10[[#This Row],[SIM]],"")="NÃO",(IF(Tabela7[[#This Row],[NOME]]=0,"","PASSE?")),Tabela10[[#This Row],[SIM]])</f>
        <v>#REF!</v>
      </c>
      <c r="E9" s="34" t="e">
        <f>Tabela10[[#This Row],[45886+JAKTAN DE OLIVEIRA RODRIGUES - 5836]]</f>
        <v>#REF!</v>
      </c>
      <c r="F9" s="33" t="s">
        <v>299</v>
      </c>
      <c r="G9" s="33" t="s">
        <v>74</v>
      </c>
      <c r="H9" s="4">
        <f>COUNTIF(Tabela10[45885+JAKTAN DE OLIVEIRA RODRIGUES - 5836],Tabela10[[#This Row],[45885+JAKTAN DE OLIVEIRA RODRIGUES - 5836]])</f>
        <v>1</v>
      </c>
      <c r="I9" s="44">
        <f>IF(Tabela7[[#This Row],[NOME]]&lt;&gt;0,15,"")</f>
        <v>15</v>
      </c>
      <c r="J9" s="33" t="e" cm="1">
        <f t="array" ref="J9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K9" s="31"/>
      <c r="L9" s="36">
        <f>Tabela7[[#This Row],[ID]]</f>
        <v>5</v>
      </c>
      <c r="M9" s="17" t="str">
        <f>_xlfn.CONCAT(Tabela7[[#This Row],[DATA]],"+",Tabela7[[#This Row],[NOME]])</f>
        <v>45885+ANTONIO  SOBRINHO DE OLIVEIRA - 5646</v>
      </c>
      <c r="N9" s="11" t="e" cm="1">
        <f t="array" ref="N9">_xlfn.XLOOKUP(M9,tabE.Flux[[#All],[COMP.AT. MOT A]],#REF!,"NÃO",0,1)</f>
        <v>#REF!</v>
      </c>
      <c r="O9" s="11" t="e" cm="1">
        <f t="array" ref="O9">_xlfn.XLOOKUP(M9,tabE.Flux[[#All],[COMP.AT. MOT B]],#REF!,"NÃO",0,1)</f>
        <v>#REF!</v>
      </c>
      <c r="P9" s="12" t="e">
        <f>IF(N9="NÃO",(IF(O9="NÃO",(_xlfn.CONCAT(Tabela7[[#This Row],[DATA]]-1,"+",Tabela7[[#This Row],[NOME]])),"NÃO")),"NÃO")</f>
        <v>#REF!</v>
      </c>
      <c r="Q9" s="11" t="e" cm="1">
        <f t="array" ref="Q9">IF(P9="NÃO","NÃO",_xlfn.XLOOKUP(P9,tabE.Flux[COMP.AT. MOT A],#REF!,"NÃO",0,1))</f>
        <v>#REF!</v>
      </c>
      <c r="R9" s="14" t="e" cm="1">
        <f t="array" ref="R9">IF(P9="NÃO","NÃO",_xlfn.XLOOKUP(P9,tabE.Flux[COMP.AT. MOT B],#REF!,"NÃO",0,1))</f>
        <v>#REF!</v>
      </c>
      <c r="S9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9" s="16" t="e" cm="1">
        <f t="array" ref="T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9" s="41" t="e" cm="1">
        <f t="array" ref="U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0" spans="1:28" x14ac:dyDescent="0.25">
      <c r="B10" s="31">
        <v>6</v>
      </c>
      <c r="C10" s="37">
        <v>45885</v>
      </c>
      <c r="D10" s="33" t="e">
        <f>IF(IFERROR(Tabela10[[#This Row],[SIM]],"")="NÃO",(IF(Tabela7[[#This Row],[NOME]]=0,"","PASSE?")),Tabela10[[#This Row],[SIM]])</f>
        <v>#REF!</v>
      </c>
      <c r="E10" s="34" t="e">
        <f>Tabela10[[#This Row],[45886+JAKTAN DE OLIVEIRA RODRIGUES - 5836]]</f>
        <v>#REF!</v>
      </c>
      <c r="F10" s="33" t="s">
        <v>299</v>
      </c>
      <c r="G10" s="33" t="s">
        <v>59</v>
      </c>
      <c r="H10" s="4">
        <f>COUNTIF(Tabela10[45885+JAKTAN DE OLIVEIRA RODRIGUES - 5836],Tabela10[[#This Row],[45885+JAKTAN DE OLIVEIRA RODRIGUES - 5836]])</f>
        <v>1</v>
      </c>
      <c r="I10" s="44">
        <f>IF(Tabela7[[#This Row],[NOME]]&lt;&gt;0,15,"")</f>
        <v>15</v>
      </c>
      <c r="J10" s="33" t="e" cm="1">
        <f t="array" ref="J10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K10" s="31"/>
      <c r="L10" s="36">
        <f>Tabela7[[#This Row],[ID]]</f>
        <v>6</v>
      </c>
      <c r="M10" s="17" t="str">
        <f>_xlfn.CONCAT(Tabela7[[#This Row],[DATA]],"+",Tabela7[[#This Row],[NOME]])</f>
        <v>45885+JAKTAN DE OLIVEIRA RODRIGUES - 5836</v>
      </c>
      <c r="N10" s="11" t="e" cm="1">
        <f t="array" ref="N10">_xlfn.XLOOKUP(M10,tabE.Flux[[#All],[COMP.AT. MOT A]],#REF!,"NÃO",0,1)</f>
        <v>#REF!</v>
      </c>
      <c r="O10" s="11" t="e" cm="1">
        <f t="array" ref="O10">_xlfn.XLOOKUP(M10,tabE.Flux[[#All],[COMP.AT. MOT B]],#REF!,"NÃO",0,1)</f>
        <v>#REF!</v>
      </c>
      <c r="P10" s="12" t="e">
        <f>IF(N10="NÃO",(IF(O10="NÃO",(_xlfn.CONCAT(Tabela7[[#This Row],[DATA]]-1,"+",Tabela7[[#This Row],[NOME]])),"NÃO")),"NÃO")</f>
        <v>#REF!</v>
      </c>
      <c r="Q10" s="11" t="e" cm="1">
        <f t="array" ref="Q10">IF(P10="NÃO","NÃO",_xlfn.XLOOKUP(P10,tabE.Flux[COMP.AT. MOT A],#REF!,"NÃO",0,1))</f>
        <v>#REF!</v>
      </c>
      <c r="R10" s="14" t="e" cm="1">
        <f t="array" ref="R10">IF(P10="NÃO","NÃO",_xlfn.XLOOKUP(P10,tabE.Flux[COMP.AT. MOT B],#REF!,"NÃO",0,1))</f>
        <v>#REF!</v>
      </c>
      <c r="S10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0" s="16" t="e" cm="1">
        <f t="array" ref="T1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0" s="41" t="e" cm="1">
        <f t="array" ref="U1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1" spans="1:28" x14ac:dyDescent="0.25">
      <c r="B11" s="31">
        <v>7</v>
      </c>
      <c r="C11" s="37">
        <v>45885</v>
      </c>
      <c r="D11" s="33" t="e">
        <f>IF(IFERROR(Tabela10[[#This Row],[SIM]],"")="NÃO",(IF(Tabela7[[#This Row],[NOME]]=0,"","PASSE?")),Tabela10[[#This Row],[SIM]])</f>
        <v>#REF!</v>
      </c>
      <c r="E11" s="34" t="e">
        <f>Tabela10[[#This Row],[45886+JAKTAN DE OLIVEIRA RODRIGUES - 5836]]</f>
        <v>#REF!</v>
      </c>
      <c r="F11" s="33" t="s">
        <v>299</v>
      </c>
      <c r="G11" s="33" t="s">
        <v>86</v>
      </c>
      <c r="H11" s="4">
        <f>COUNTIF(Tabela10[45885+JAKTAN DE OLIVEIRA RODRIGUES - 5836],Tabela10[[#This Row],[45885+JAKTAN DE OLIVEIRA RODRIGUES - 5836]])</f>
        <v>1</v>
      </c>
      <c r="I11" s="44">
        <f>IF(Tabela7[[#This Row],[NOME]]&lt;&gt;0,15,"")</f>
        <v>15</v>
      </c>
      <c r="J11" s="33" t="e" cm="1">
        <f t="array" ref="J11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K11" s="31"/>
      <c r="L11" s="36">
        <f>Tabela7[[#This Row],[ID]]</f>
        <v>7</v>
      </c>
      <c r="M11" s="17" t="str">
        <f>_xlfn.CONCAT(Tabela7[[#This Row],[DATA]],"+",Tabela7[[#This Row],[NOME]])</f>
        <v>45885+LAUCEANDO DA SILVA ROCHA - 6220</v>
      </c>
      <c r="N11" s="11" t="e" cm="1">
        <f t="array" ref="N11">_xlfn.XLOOKUP(M11,tabE.Flux[[#All],[COMP.AT. MOT A]],#REF!,"NÃO",0,1)</f>
        <v>#REF!</v>
      </c>
      <c r="O11" s="11" t="e" cm="1">
        <f t="array" ref="O11">_xlfn.XLOOKUP(M11,tabE.Flux[[#All],[COMP.AT. MOT B]],#REF!,"NÃO",0,1)</f>
        <v>#REF!</v>
      </c>
      <c r="P11" s="12" t="e">
        <f>IF(N11="NÃO",(IF(O11="NÃO",(_xlfn.CONCAT(Tabela7[[#This Row],[DATA]]-1,"+",Tabela7[[#This Row],[NOME]])),"NÃO")),"NÃO")</f>
        <v>#REF!</v>
      </c>
      <c r="Q11" s="11" t="e" cm="1">
        <f t="array" ref="Q11">IF(P11="NÃO","NÃO",_xlfn.XLOOKUP(P11,tabE.Flux[COMP.AT. MOT A],#REF!,"NÃO",0,1))</f>
        <v>#REF!</v>
      </c>
      <c r="R11" s="14" t="e" cm="1">
        <f t="array" ref="R11">IF(P11="NÃO","NÃO",_xlfn.XLOOKUP(P11,tabE.Flux[COMP.AT. MOT B],#REF!,"NÃO",0,1))</f>
        <v>#REF!</v>
      </c>
      <c r="S11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1" s="16" t="e" cm="1">
        <f t="array" ref="T1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1" s="41" t="e" cm="1">
        <f t="array" ref="U1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2" spans="1:28" x14ac:dyDescent="0.25">
      <c r="B12" s="31">
        <v>8</v>
      </c>
      <c r="C12" s="37">
        <v>45886</v>
      </c>
      <c r="D12" s="33" t="e">
        <f>IF(IFERROR(Tabela10[[#This Row],[SIM]],"")="NÃO",(IF(Tabela7[[#This Row],[NOME]]=0,"","PASSE?")),Tabela10[[#This Row],[SIM]])</f>
        <v>#REF!</v>
      </c>
      <c r="E12" s="34" t="e">
        <f>Tabela10[[#This Row],[45886+JAKTAN DE OLIVEIRA RODRIGUES - 5836]]</f>
        <v>#REF!</v>
      </c>
      <c r="F12" s="33" t="s">
        <v>299</v>
      </c>
      <c r="G12" s="33" t="s">
        <v>73</v>
      </c>
      <c r="H12" s="4">
        <f>COUNTIF(Tabela10[45885+JAKTAN DE OLIVEIRA RODRIGUES - 5836],Tabela10[[#This Row],[45885+JAKTAN DE OLIVEIRA RODRIGUES - 5836]])</f>
        <v>1</v>
      </c>
      <c r="I12" s="45">
        <f>IF(Tabela7[[#This Row],[NOME]]&lt;&gt;0,15,"")</f>
        <v>15</v>
      </c>
      <c r="J12" s="33" t="e" cm="1">
        <f t="array" ref="J12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2" s="36">
        <f>Tabela7[[#This Row],[ID]]</f>
        <v>8</v>
      </c>
      <c r="M12" s="17" t="str">
        <f>_xlfn.CONCAT(Tabela7[[#This Row],[DATA]],"+",Tabela7[[#This Row],[NOME]])</f>
        <v>45886+ANTONIO MARQUES NETO DOS SANTOS - 1738</v>
      </c>
      <c r="N12" s="13" t="e" cm="1">
        <f t="array" ref="N12">_xlfn.XLOOKUP(M12,tabE.Flux[[#All],[COMP.AT. MOT A]],#REF!,"NÃO",0,1)</f>
        <v>#REF!</v>
      </c>
      <c r="O12" s="13" t="e" cm="1">
        <f t="array" ref="O12">_xlfn.XLOOKUP(M12,tabE.Flux[[#All],[COMP.AT. MOT B]],#REF!,"NÃO",0,1)</f>
        <v>#REF!</v>
      </c>
      <c r="P12" s="12" t="e">
        <f>IF(N12="NÃO",(IF(O12="NÃO",(_xlfn.CONCAT(Tabela7[[#This Row],[DATA]]-1,"+",Tabela7[[#This Row],[NOME]])),"NÃO")),"NÃO")</f>
        <v>#REF!</v>
      </c>
      <c r="Q12" s="13" t="e" cm="1">
        <f t="array" ref="Q12">IF(P12="NÃO","NÃO",_xlfn.XLOOKUP(P12,tabE.Flux[COMP.AT. MOT A],#REF!,"NÃO",0,1))</f>
        <v>#REF!</v>
      </c>
      <c r="R12" s="15" t="e" cm="1">
        <f t="array" ref="R12">IF(P12="NÃO","NÃO",_xlfn.XLOOKUP(P12,tabE.Flux[COMP.AT. MOT B],#REF!,"NÃO",0,1))</f>
        <v>#REF!</v>
      </c>
      <c r="S12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2" s="16" t="e" cm="1">
        <f t="array" ref="T1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2" s="41" t="e" cm="1">
        <f t="array" ref="U1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3" spans="1:28" x14ac:dyDescent="0.25">
      <c r="B13" s="31">
        <v>9</v>
      </c>
      <c r="C13" s="37">
        <v>45886</v>
      </c>
      <c r="D13" s="33" t="e">
        <f>IF(IFERROR(Tabela10[[#This Row],[SIM]],"")="NÃO",(IF(Tabela7[[#This Row],[NOME]]=0,"","PASSE?")),Tabela10[[#This Row],[SIM]])</f>
        <v>#REF!</v>
      </c>
      <c r="E13" s="34" t="e">
        <f>Tabela10[[#This Row],[45886+JAKTAN DE OLIVEIRA RODRIGUES - 5836]]</f>
        <v>#REF!</v>
      </c>
      <c r="F13" s="33" t="s">
        <v>299</v>
      </c>
      <c r="G13" s="33" t="s">
        <v>87</v>
      </c>
      <c r="H13" s="4">
        <f>COUNTIF(Tabela10[45885+JAKTAN DE OLIVEIRA RODRIGUES - 5836],Tabela10[[#This Row],[45885+JAKTAN DE OLIVEIRA RODRIGUES - 5836]])</f>
        <v>1</v>
      </c>
      <c r="I13" s="45">
        <f>IF(Tabela7[[#This Row],[NOME]]&lt;&gt;0,15,"")</f>
        <v>15</v>
      </c>
      <c r="J13" s="33" t="e" cm="1">
        <f t="array" ref="J13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3" s="36">
        <f>Tabela7[[#This Row],[ID]]</f>
        <v>9</v>
      </c>
      <c r="M13" s="17" t="str">
        <f>_xlfn.CONCAT(Tabela7[[#This Row],[DATA]],"+",Tabela7[[#This Row],[NOME]])</f>
        <v>45886+FRANCISCO RAIMUNDO VIANA DE SOUSA - 5314</v>
      </c>
      <c r="N13" s="11" t="e" cm="1">
        <f t="array" ref="N13">_xlfn.XLOOKUP(M13,tabE.Flux[[#All],[COMP.AT. MOT A]],#REF!,"NÃO",0,1)</f>
        <v>#REF!</v>
      </c>
      <c r="O13" s="11" t="e" cm="1">
        <f t="array" ref="O13">_xlfn.XLOOKUP(M13,tabE.Flux[[#All],[COMP.AT. MOT B]],#REF!,"NÃO",0,1)</f>
        <v>#REF!</v>
      </c>
      <c r="P13" s="12" t="e">
        <f>IF(N13="NÃO",(IF(O13="NÃO",(_xlfn.CONCAT(Tabela7[[#This Row],[DATA]]-1,"+",Tabela7[[#This Row],[NOME]])),"NÃO")),"NÃO")</f>
        <v>#REF!</v>
      </c>
      <c r="Q13" s="11" t="e" cm="1">
        <f t="array" ref="Q13">IF(P13="NÃO","NÃO",_xlfn.XLOOKUP(P13,tabE.Flux[COMP.AT. MOT A],#REF!,"NÃO",0,1))</f>
        <v>#REF!</v>
      </c>
      <c r="R13" s="14" t="e" cm="1">
        <f t="array" ref="R13">IF(P13="NÃO","NÃO",_xlfn.XLOOKUP(P13,tabE.Flux[COMP.AT. MOT B],#REF!,"NÃO",0,1))</f>
        <v>#REF!</v>
      </c>
      <c r="S13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3" s="16" t="e" cm="1">
        <f t="array" ref="T1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3" s="41" t="e" cm="1">
        <f t="array" ref="U1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4" spans="1:28" x14ac:dyDescent="0.25">
      <c r="B14" s="31">
        <v>10</v>
      </c>
      <c r="C14" s="37">
        <v>45886</v>
      </c>
      <c r="D14" s="33" t="e">
        <f>IF(IFERROR(Tabela10[[#This Row],[SIM]],"")="NÃO",(IF(Tabela7[[#This Row],[NOME]]=0,"","PASSE?")),Tabela10[[#This Row],[SIM]])</f>
        <v>#REF!</v>
      </c>
      <c r="E14" s="34" t="e">
        <f>Tabela10[[#This Row],[45886+JAKTAN DE OLIVEIRA RODRIGUES - 5836]]</f>
        <v>#REF!</v>
      </c>
      <c r="F14" s="33" t="s">
        <v>299</v>
      </c>
      <c r="G14" s="33" t="s">
        <v>80</v>
      </c>
      <c r="H14" s="4">
        <f>COUNTIF(Tabela10[45885+JAKTAN DE OLIVEIRA RODRIGUES - 5836],Tabela10[[#This Row],[45885+JAKTAN DE OLIVEIRA RODRIGUES - 5836]])</f>
        <v>1</v>
      </c>
      <c r="I14" s="45">
        <f>IF(Tabela7[[#This Row],[NOME]]&lt;&gt;0,15,"")</f>
        <v>15</v>
      </c>
      <c r="J14" s="33" t="e" cm="1">
        <f t="array" ref="J14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4" s="36">
        <f>Tabela7[[#This Row],[ID]]</f>
        <v>10</v>
      </c>
      <c r="M14" s="17" t="str">
        <f>_xlfn.CONCAT(Tabela7[[#This Row],[DATA]],"+",Tabela7[[#This Row],[NOME]])</f>
        <v>45886+KAYLSON KLEYTON DA SILVA COSTA - 6224</v>
      </c>
      <c r="N14" s="11" t="e" cm="1">
        <f t="array" ref="N14">_xlfn.XLOOKUP(M14,tabE.Flux[[#All],[COMP.AT. MOT A]],#REF!,"NÃO",0,1)</f>
        <v>#REF!</v>
      </c>
      <c r="O14" s="11" t="e" cm="1">
        <f t="array" ref="O14">_xlfn.XLOOKUP(M14,tabE.Flux[[#All],[COMP.AT. MOT B]],#REF!,"NÃO",0,1)</f>
        <v>#REF!</v>
      </c>
      <c r="P14" s="12" t="e">
        <f>IF(N14="NÃO",(IF(O14="NÃO",(_xlfn.CONCAT(Tabela7[[#This Row],[DATA]]-1,"+",Tabela7[[#This Row],[NOME]])),"NÃO")),"NÃO")</f>
        <v>#REF!</v>
      </c>
      <c r="Q14" s="11" t="e" cm="1">
        <f t="array" ref="Q14">IF(P14="NÃO","NÃO",_xlfn.XLOOKUP(P14,tabE.Flux[COMP.AT. MOT A],#REF!,"NÃO",0,1))</f>
        <v>#REF!</v>
      </c>
      <c r="R14" s="14" t="e" cm="1">
        <f t="array" ref="R14">IF(P14="NÃO","NÃO",_xlfn.XLOOKUP(P14,tabE.Flux[COMP.AT. MOT B],#REF!,"NÃO",0,1))</f>
        <v>#REF!</v>
      </c>
      <c r="S14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4" s="16" t="e" cm="1">
        <f t="array" ref="T1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4" s="41" t="e" cm="1">
        <f t="array" ref="U1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5" spans="1:28" x14ac:dyDescent="0.25">
      <c r="B15" s="31">
        <v>11</v>
      </c>
      <c r="C15" s="37">
        <v>45886</v>
      </c>
      <c r="D15" s="33" t="e">
        <f>IF(IFERROR(Tabela10[[#This Row],[SIM]],"")="NÃO",(IF(Tabela7[[#This Row],[NOME]]=0,"","PASSE?")),Tabela10[[#This Row],[SIM]])</f>
        <v>#REF!</v>
      </c>
      <c r="E15" s="34" t="e">
        <f>Tabela10[[#This Row],[45886+JAKTAN DE OLIVEIRA RODRIGUES - 5836]]</f>
        <v>#REF!</v>
      </c>
      <c r="F15" s="33" t="s">
        <v>299</v>
      </c>
      <c r="G15" s="33" t="s">
        <v>110</v>
      </c>
      <c r="H15" s="4">
        <f>COUNTIF(Tabela10[45885+JAKTAN DE OLIVEIRA RODRIGUES - 5836],Tabela10[[#This Row],[45885+JAKTAN DE OLIVEIRA RODRIGUES - 5836]])</f>
        <v>1</v>
      </c>
      <c r="I15" s="45">
        <f>IF(Tabela7[[#This Row],[NOME]]&lt;&gt;0,15,"")</f>
        <v>15</v>
      </c>
      <c r="J15" s="33" t="e" cm="1">
        <f t="array" ref="J15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5" s="36">
        <f>Tabela7[[#This Row],[ID]]</f>
        <v>11</v>
      </c>
      <c r="M15" s="17" t="str">
        <f>_xlfn.CONCAT(Tabela7[[#This Row],[DATA]],"+",Tabela7[[#This Row],[NOME]])</f>
        <v>45886+CARLOS ADRIANO DE SOUZA DO NASCIMENTO - 6222</v>
      </c>
      <c r="N15" s="11" t="e" cm="1">
        <f t="array" ref="N15">_xlfn.XLOOKUP(M15,tabE.Flux[[#All],[COMP.AT. MOT A]],#REF!,"NÃO",0,1)</f>
        <v>#REF!</v>
      </c>
      <c r="O15" s="11" t="e" cm="1">
        <f t="array" ref="O15">_xlfn.XLOOKUP(M15,tabE.Flux[[#All],[COMP.AT. MOT B]],#REF!,"NÃO",0,1)</f>
        <v>#REF!</v>
      </c>
      <c r="P15" s="12" t="e">
        <f>IF(N15="NÃO",(IF(O15="NÃO",(_xlfn.CONCAT(Tabela7[[#This Row],[DATA]]-1,"+",Tabela7[[#This Row],[NOME]])),"NÃO")),"NÃO")</f>
        <v>#REF!</v>
      </c>
      <c r="Q15" s="11" t="e" cm="1">
        <f t="array" ref="Q15">IF(P15="NÃO","NÃO",_xlfn.XLOOKUP(P15,tabE.Flux[COMP.AT. MOT A],#REF!,"NÃO",0,1))</f>
        <v>#REF!</v>
      </c>
      <c r="R15" s="14" t="e" cm="1">
        <f t="array" ref="R15">IF(P15="NÃO","NÃO",_xlfn.XLOOKUP(P15,tabE.Flux[COMP.AT. MOT B],#REF!,"NÃO",0,1))</f>
        <v>#REF!</v>
      </c>
      <c r="S15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5" s="16" t="e" cm="1">
        <f t="array" ref="T1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5" s="41" t="e" cm="1">
        <f t="array" ref="U1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6" spans="1:28" x14ac:dyDescent="0.25">
      <c r="B16" s="31">
        <v>12</v>
      </c>
      <c r="C16" s="37">
        <v>45887</v>
      </c>
      <c r="D16" s="33" t="e">
        <f>IF(IFERROR(Tabela10[[#This Row],[SIM]],"")="NÃO",(IF(Tabela7[[#This Row],[NOME]]=0,"","PASSE?")),Tabela10[[#This Row],[SIM]])</f>
        <v>#REF!</v>
      </c>
      <c r="E16" s="34" t="e">
        <f>Tabela10[[#This Row],[45886+JAKTAN DE OLIVEIRA RODRIGUES - 5836]]</f>
        <v>#REF!</v>
      </c>
      <c r="F16" s="33" t="s">
        <v>299</v>
      </c>
      <c r="G16" s="33" t="s">
        <v>109</v>
      </c>
      <c r="H16" s="4">
        <f>COUNTIF(Tabela10[45885+JAKTAN DE OLIVEIRA RODRIGUES - 5836],Tabela10[[#This Row],[45885+JAKTAN DE OLIVEIRA RODRIGUES - 5836]])</f>
        <v>1</v>
      </c>
      <c r="I16" s="45">
        <f>IF(Tabela7[[#This Row],[NOME]]&lt;&gt;0,15,"")</f>
        <v>15</v>
      </c>
      <c r="J16" s="33" t="e" cm="1">
        <f t="array" ref="J16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6" s="36">
        <f>Tabela7[[#This Row],[ID]]</f>
        <v>12</v>
      </c>
      <c r="M16" s="17" t="str">
        <f>_xlfn.CONCAT(Tabela7[[#This Row],[DATA]],"+",Tabela7[[#This Row],[NOME]])</f>
        <v>45887+CLODOALDO PEREIRA DE LIMA - 4067</v>
      </c>
      <c r="N16" s="11" t="e" cm="1">
        <f t="array" ref="N16">_xlfn.XLOOKUP(M16,tabE.Flux[[#All],[COMP.AT. MOT A]],#REF!,"NÃO",0,1)</f>
        <v>#REF!</v>
      </c>
      <c r="O16" s="11" t="e" cm="1">
        <f t="array" ref="O16">_xlfn.XLOOKUP(M16,tabE.Flux[[#All],[COMP.AT. MOT B]],#REF!,"NÃO",0,1)</f>
        <v>#REF!</v>
      </c>
      <c r="P16" s="12" t="e">
        <f>IF(N16="NÃO",(IF(O16="NÃO",(_xlfn.CONCAT(Tabela7[[#This Row],[DATA]]-1,"+",Tabela7[[#This Row],[NOME]])),"NÃO")),"NÃO")</f>
        <v>#REF!</v>
      </c>
      <c r="Q16" s="11" t="e" cm="1">
        <f t="array" ref="Q16">IF(P16="NÃO","NÃO",_xlfn.XLOOKUP(P16,tabE.Flux[COMP.AT. MOT A],#REF!,"NÃO",0,1))</f>
        <v>#REF!</v>
      </c>
      <c r="R16" s="14" t="e" cm="1">
        <f t="array" ref="R16">IF(P16="NÃO","NÃO",_xlfn.XLOOKUP(P16,tabE.Flux[COMP.AT. MOT B],#REF!,"NÃO",0,1))</f>
        <v>#REF!</v>
      </c>
      <c r="S16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6" s="16" t="e" cm="1">
        <f t="array" ref="T1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6" s="41" t="e" cm="1">
        <f t="array" ref="U1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7" spans="2:21" x14ac:dyDescent="0.25">
      <c r="B17" s="31">
        <v>13</v>
      </c>
      <c r="C17" s="37">
        <v>45887</v>
      </c>
      <c r="D17" s="33" t="e">
        <f>IF(IFERROR(Tabela10[[#This Row],[SIM]],"")="NÃO",(IF(Tabela7[[#This Row],[NOME]]=0,"","PASSE?")),Tabela10[[#This Row],[SIM]])</f>
        <v>#REF!</v>
      </c>
      <c r="E17" s="34" t="e">
        <f>Tabela10[[#This Row],[45886+JAKTAN DE OLIVEIRA RODRIGUES - 5836]]</f>
        <v>#REF!</v>
      </c>
      <c r="F17" s="33" t="s">
        <v>299</v>
      </c>
      <c r="G17" s="33" t="s">
        <v>51</v>
      </c>
      <c r="H17" s="4">
        <f>COUNTIF(Tabela10[45885+JAKTAN DE OLIVEIRA RODRIGUES - 5836],Tabela10[[#This Row],[45885+JAKTAN DE OLIVEIRA RODRIGUES - 5836]])</f>
        <v>1</v>
      </c>
      <c r="I17" s="45">
        <f>IF(Tabela7[[#This Row],[NOME]]&lt;&gt;0,15,"")</f>
        <v>15</v>
      </c>
      <c r="J17" s="33" t="e" cm="1">
        <f t="array" ref="J17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7" s="36">
        <f>Tabela7[[#This Row],[ID]]</f>
        <v>13</v>
      </c>
      <c r="M17" s="17" t="str">
        <f>_xlfn.CONCAT(Tabela7[[#This Row],[DATA]],"+",Tabela7[[#This Row],[NOME]])</f>
        <v>45887+LUIZ CARLOS MARIANO SIQUEIRA - 5634</v>
      </c>
      <c r="N17" s="11" t="e" cm="1">
        <f t="array" ref="N17">_xlfn.XLOOKUP(M17,tabE.Flux[[#All],[COMP.AT. MOT A]],#REF!,"NÃO",0,1)</f>
        <v>#REF!</v>
      </c>
      <c r="O17" s="11" t="e" cm="1">
        <f t="array" ref="O17">_xlfn.XLOOKUP(M17,tabE.Flux[[#All],[COMP.AT. MOT B]],#REF!,"NÃO",0,1)</f>
        <v>#REF!</v>
      </c>
      <c r="P17" s="12" t="e">
        <f>IF(N17="NÃO",(IF(O17="NÃO",(_xlfn.CONCAT(Tabela7[[#This Row],[DATA]]-1,"+",Tabela7[[#This Row],[NOME]])),"NÃO")),"NÃO")</f>
        <v>#REF!</v>
      </c>
      <c r="Q17" s="11" t="e" cm="1">
        <f t="array" ref="Q17">IF(P17="NÃO","NÃO",_xlfn.XLOOKUP(P17,tabE.Flux[COMP.AT. MOT A],#REF!,"NÃO",0,1))</f>
        <v>#REF!</v>
      </c>
      <c r="R17" s="14" t="e" cm="1">
        <f t="array" ref="R17">IF(P17="NÃO","NÃO",_xlfn.XLOOKUP(P17,tabE.Flux[COMP.AT. MOT B],#REF!,"NÃO",0,1))</f>
        <v>#REF!</v>
      </c>
      <c r="S17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7" s="16" t="e" cm="1">
        <f t="array" ref="T1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7" s="41" t="e" cm="1">
        <f t="array" ref="U1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8" spans="2:21" x14ac:dyDescent="0.25">
      <c r="B18" s="31"/>
      <c r="C18" s="37">
        <v>45887</v>
      </c>
      <c r="D18" s="33" t="e">
        <f>IF(IFERROR(Tabela10[[#This Row],[SIM]],"")="NÃO",(IF(Tabela7[[#This Row],[NOME]]=0,"","PASSE?")),Tabela10[[#This Row],[SIM]])</f>
        <v>#REF!</v>
      </c>
      <c r="E18" s="34" t="e">
        <f>Tabela10[[#This Row],[45886+JAKTAN DE OLIVEIRA RODRIGUES - 5836]]</f>
        <v>#REF!</v>
      </c>
      <c r="F18" s="33" t="s">
        <v>299</v>
      </c>
      <c r="G18" s="35" t="s">
        <v>43</v>
      </c>
      <c r="H18" s="1">
        <f>COUNTIF(Tabela10[45885+JAKTAN DE OLIVEIRA RODRIGUES - 5836],Tabela10[[#This Row],[45885+JAKTAN DE OLIVEIRA RODRIGUES - 5836]])</f>
        <v>1</v>
      </c>
      <c r="I18" s="105">
        <f>IF(Tabela7[[#This Row],[NOME]]&lt;&gt;0,15,"")</f>
        <v>15</v>
      </c>
      <c r="J18" s="33" t="e" cm="1">
        <f t="array" ref="J18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8" s="36">
        <f>Tabela7[[#This Row],[ID]]</f>
        <v>0</v>
      </c>
      <c r="M18" s="17" t="str">
        <f>_xlfn.CONCAT(Tabela7[[#This Row],[DATA]],"+",Tabela7[[#This Row],[NOME]])</f>
        <v>45887+PAULO ENEAS FARIAS ARAUJO - 6218</v>
      </c>
      <c r="N18" s="11" t="e" cm="1">
        <f t="array" ref="N18">_xlfn.XLOOKUP(M18,tabE.Flux[[#All],[COMP.AT. MOT A]],#REF!,"NÃO",0,1)</f>
        <v>#REF!</v>
      </c>
      <c r="O18" s="11" t="e" cm="1">
        <f t="array" ref="O18">_xlfn.XLOOKUP(M18,tabE.Flux[[#All],[COMP.AT. MOT B]],#REF!,"NÃO",0,1)</f>
        <v>#REF!</v>
      </c>
      <c r="P18" s="12" t="e">
        <f>IF(N18="NÃO",(IF(O18="NÃO",(_xlfn.CONCAT(Tabela7[[#This Row],[DATA]]-1,"+",Tabela7[[#This Row],[NOME]])),"NÃO")),"NÃO")</f>
        <v>#REF!</v>
      </c>
      <c r="Q18" s="11" t="e" cm="1">
        <f t="array" ref="Q18">IF(P18="NÃO","NÃO",_xlfn.XLOOKUP(P18,tabE.Flux[COMP.AT. MOT A],#REF!,"NÃO",0,1))</f>
        <v>#REF!</v>
      </c>
      <c r="R18" s="14" t="e" cm="1">
        <f t="array" ref="R18">IF(P18="NÃO","NÃO",_xlfn.XLOOKUP(P18,tabE.Flux[COMP.AT. MOT B],#REF!,"NÃO",0,1))</f>
        <v>#REF!</v>
      </c>
      <c r="S18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8" s="16" t="e" cm="1">
        <f t="array" ref="T1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8" s="41" t="e" cm="1">
        <f t="array" ref="U1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9" spans="2:21" x14ac:dyDescent="0.25">
      <c r="B19" s="31"/>
      <c r="C19" s="37">
        <v>45887</v>
      </c>
      <c r="D19" s="33" t="e">
        <f>IF(IFERROR(Tabela10[[#This Row],[SIM]],"")="NÃO",(IF(Tabela7[[#This Row],[NOME]]=0,"","PASSE?")),Tabela10[[#This Row],[SIM]])</f>
        <v>#REF!</v>
      </c>
      <c r="E19" s="34" t="e">
        <f>Tabela10[[#This Row],[45886+JAKTAN DE OLIVEIRA RODRIGUES - 5836]]</f>
        <v>#REF!</v>
      </c>
      <c r="F19" s="33" t="s">
        <v>299</v>
      </c>
      <c r="G19" s="35" t="s">
        <v>41</v>
      </c>
      <c r="H19" s="1">
        <f>COUNTIF(Tabela10[45885+JAKTAN DE OLIVEIRA RODRIGUES - 5836],Tabela10[[#This Row],[45885+JAKTAN DE OLIVEIRA RODRIGUES - 5836]])</f>
        <v>1</v>
      </c>
      <c r="I19" s="105">
        <f>IF(Tabela7[[#This Row],[NOME]]&lt;&gt;0,15,"")</f>
        <v>15</v>
      </c>
      <c r="J19" s="33" t="e" cm="1">
        <f t="array" ref="J19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9" s="36">
        <f>Tabela7[[#This Row],[ID]]</f>
        <v>0</v>
      </c>
      <c r="M19" s="17" t="str">
        <f>_xlfn.CONCAT(Tabela7[[#This Row],[DATA]],"+",Tabela7[[#This Row],[NOME]])</f>
        <v>45887+RONALDO ADRIANO COSTA SANTOS - 5637</v>
      </c>
      <c r="N19" s="11" t="e" cm="1">
        <f t="array" ref="N19">_xlfn.XLOOKUP(M19,tabE.Flux[[#All],[COMP.AT. MOT A]],#REF!,"NÃO",0,1)</f>
        <v>#REF!</v>
      </c>
      <c r="O19" s="11" t="e" cm="1">
        <f t="array" ref="O19">_xlfn.XLOOKUP(M19,tabE.Flux[[#All],[COMP.AT. MOT B]],#REF!,"NÃO",0,1)</f>
        <v>#REF!</v>
      </c>
      <c r="P19" s="12" t="e">
        <f>IF(N19="NÃO",(IF(O19="NÃO",(_xlfn.CONCAT(Tabela7[[#This Row],[DATA]]-1,"+",Tabela7[[#This Row],[NOME]])),"NÃO")),"NÃO")</f>
        <v>#REF!</v>
      </c>
      <c r="Q19" s="11" t="e" cm="1">
        <f t="array" ref="Q19">IF(P19="NÃO","NÃO",_xlfn.XLOOKUP(P19,tabE.Flux[COMP.AT. MOT A],#REF!,"NÃO",0,1))</f>
        <v>#REF!</v>
      </c>
      <c r="R19" s="14" t="e" cm="1">
        <f t="array" ref="R19">IF(P19="NÃO","NÃO",_xlfn.XLOOKUP(P19,tabE.Flux[COMP.AT. MOT B],#REF!,"NÃO",0,1))</f>
        <v>#REF!</v>
      </c>
      <c r="S19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9" s="16" t="e" cm="1">
        <f t="array" ref="T1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9" s="41" t="e" cm="1">
        <f t="array" ref="U1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20" spans="2:21" x14ac:dyDescent="0.25">
      <c r="B20" s="31"/>
      <c r="C20" s="37">
        <v>45887</v>
      </c>
      <c r="D20" s="33" t="e">
        <f>IF(IFERROR(Tabela10[[#This Row],[SIM]],"")="NÃO",(IF(Tabela7[[#This Row],[NOME]]=0,"","PASSE?")),Tabela10[[#This Row],[SIM]])</f>
        <v>#REF!</v>
      </c>
      <c r="E20" s="34" t="e">
        <f>Tabela10[[#This Row],[45886+JAKTAN DE OLIVEIRA RODRIGUES - 5836]]</f>
        <v>#REF!</v>
      </c>
      <c r="F20" s="33" t="s">
        <v>299</v>
      </c>
      <c r="G20" s="35" t="s">
        <v>40</v>
      </c>
      <c r="H20" s="1">
        <f>COUNTIF(Tabela10[45885+JAKTAN DE OLIVEIRA RODRIGUES - 5836],Tabela10[[#This Row],[45885+JAKTAN DE OLIVEIRA RODRIGUES - 5836]])</f>
        <v>1</v>
      </c>
      <c r="I20" s="105">
        <f>IF(Tabela7[[#This Row],[NOME]]&lt;&gt;0,15,"")</f>
        <v>15</v>
      </c>
      <c r="J20" s="33" t="e" cm="1">
        <f t="array" ref="J20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20" s="36">
        <f>Tabela7[[#This Row],[ID]]</f>
        <v>0</v>
      </c>
      <c r="M20" s="17" t="str">
        <f>_xlfn.CONCAT(Tabela7[[#This Row],[DATA]],"+",Tabela7[[#This Row],[NOME]])</f>
        <v>45887+ADEMILTON DE OLIVEIRA SILVA - 5559</v>
      </c>
      <c r="N20" s="11" t="e" cm="1">
        <f t="array" ref="N20">_xlfn.XLOOKUP(M20,tabE.Flux[[#All],[COMP.AT. MOT A]],#REF!,"NÃO",0,1)</f>
        <v>#REF!</v>
      </c>
      <c r="O20" s="11" t="e" cm="1">
        <f t="array" ref="O20">_xlfn.XLOOKUP(M20,tabE.Flux[[#All],[COMP.AT. MOT B]],#REF!,"NÃO",0,1)</f>
        <v>#REF!</v>
      </c>
      <c r="P20" s="12" t="e">
        <f>IF(N20="NÃO",(IF(O20="NÃO",(_xlfn.CONCAT(Tabela7[[#This Row],[DATA]]-1,"+",Tabela7[[#This Row],[NOME]])),"NÃO")),"NÃO")</f>
        <v>#REF!</v>
      </c>
      <c r="Q20" s="11" t="e" cm="1">
        <f t="array" ref="Q20">IF(P20="NÃO","NÃO",_xlfn.XLOOKUP(P20,tabE.Flux[COMP.AT. MOT A],#REF!,"NÃO",0,1))</f>
        <v>#REF!</v>
      </c>
      <c r="R20" s="14" t="e" cm="1">
        <f t="array" ref="R20">IF(P20="NÃO","NÃO",_xlfn.XLOOKUP(P20,tabE.Flux[COMP.AT. MOT B],#REF!,"NÃO",0,1))</f>
        <v>#REF!</v>
      </c>
      <c r="S20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20" s="16" t="e" cm="1">
        <f t="array" ref="T2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20" s="41" t="e" cm="1">
        <f t="array" ref="U2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21" spans="2:21" x14ac:dyDescent="0.25">
      <c r="B21" s="31"/>
      <c r="C21" s="37">
        <v>45888</v>
      </c>
      <c r="D21" s="33" t="e">
        <f>IF(IFERROR(Tabela10[[#This Row],[SIM]],"")="NÃO",(IF(Tabela7[[#This Row],[NOME]]=0,"","PASSE?")),Tabela10[[#This Row],[SIM]])</f>
        <v>#REF!</v>
      </c>
      <c r="E21" s="34" t="e">
        <f>Tabela10[[#This Row],[45886+JAKTAN DE OLIVEIRA RODRIGUES - 5836]]</f>
        <v>#REF!</v>
      </c>
      <c r="F21" s="33" t="s">
        <v>299</v>
      </c>
      <c r="G21" s="33" t="s">
        <v>54</v>
      </c>
      <c r="H21" s="4">
        <f>COUNTIF(Tabela10[45885+JAKTAN DE OLIVEIRA RODRIGUES - 5836],Tabela10[[#This Row],[45885+JAKTAN DE OLIVEIRA RODRIGUES - 5836]])</f>
        <v>1</v>
      </c>
      <c r="I21" s="45">
        <f>IF(Tabela7[[#This Row],[NOME]]&lt;&gt;0,15,"")</f>
        <v>15</v>
      </c>
      <c r="J21" s="33" t="e" cm="1">
        <f t="array" ref="J21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21" s="36">
        <f>Tabela7[[#This Row],[ID]]</f>
        <v>0</v>
      </c>
      <c r="M21" s="17" t="str">
        <f>_xlfn.CONCAT(Tabela7[[#This Row],[DATA]],"+",Tabela7[[#This Row],[NOME]])</f>
        <v>45888+JOSE POLICARPO DE SOUSA NETO - 1472</v>
      </c>
      <c r="N21" s="11" t="e" cm="1">
        <f t="array" ref="N21">_xlfn.XLOOKUP(M21,tabE.Flux[[#All],[COMP.AT. MOT A]],#REF!,"NÃO",0,1)</f>
        <v>#REF!</v>
      </c>
      <c r="O21" s="11" t="e" cm="1">
        <f t="array" ref="O21">_xlfn.XLOOKUP(M21,tabE.Flux[[#All],[COMP.AT. MOT B]],#REF!,"NÃO",0,1)</f>
        <v>#REF!</v>
      </c>
      <c r="P21" s="12" t="e">
        <f>IF(N21="NÃO",(IF(O21="NÃO",(_xlfn.CONCAT(Tabela7[[#This Row],[DATA]]-1,"+",Tabela7[[#This Row],[NOME]])),"NÃO")),"NÃO")</f>
        <v>#REF!</v>
      </c>
      <c r="Q21" s="11" t="e" cm="1">
        <f t="array" ref="Q21">IF(P21="NÃO","NÃO",_xlfn.XLOOKUP(P21,tabE.Flux[COMP.AT. MOT A],#REF!,"NÃO",0,1))</f>
        <v>#REF!</v>
      </c>
      <c r="R21" s="14" t="e" cm="1">
        <f t="array" ref="R21">IF(P21="NÃO","NÃO",_xlfn.XLOOKUP(P21,tabE.Flux[COMP.AT. MOT B],#REF!,"NÃO",0,1))</f>
        <v>#REF!</v>
      </c>
      <c r="S21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21" s="16" t="e" cm="1">
        <f t="array" ref="T2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21" s="41" t="e" cm="1">
        <f t="array" ref="U2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22" spans="2:21" x14ac:dyDescent="0.25">
      <c r="B22" s="31"/>
      <c r="C22" s="37">
        <v>45888</v>
      </c>
      <c r="D22" s="33" t="e">
        <f>IF(IFERROR(Tabela10[[#This Row],[SIM]],"")="NÃO",(IF(Tabela7[[#This Row],[NOME]]=0,"","PASSE?")),Tabela10[[#This Row],[SIM]])</f>
        <v>#REF!</v>
      </c>
      <c r="E22" s="34" t="e">
        <f>Tabela10[[#This Row],[45886+JAKTAN DE OLIVEIRA RODRIGUES - 5836]]</f>
        <v>#REF!</v>
      </c>
      <c r="F22" s="33" t="s">
        <v>299</v>
      </c>
      <c r="G22" s="33" t="s">
        <v>35</v>
      </c>
      <c r="H22" s="4">
        <f>COUNTIF(Tabela10[45885+JAKTAN DE OLIVEIRA RODRIGUES - 5836],Tabela10[[#This Row],[45885+JAKTAN DE OLIVEIRA RODRIGUES - 5836]])</f>
        <v>1</v>
      </c>
      <c r="I22" s="45">
        <f>IF(Tabela7[[#This Row],[NOME]]&lt;&gt;0,15,"")</f>
        <v>15</v>
      </c>
      <c r="J22" s="33" t="e" cm="1">
        <f t="array" ref="J22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22" s="36">
        <f>Tabela7[[#This Row],[ID]]</f>
        <v>0</v>
      </c>
      <c r="M22" s="17" t="str">
        <f>_xlfn.CONCAT(Tabela7[[#This Row],[DATA]],"+",Tabela7[[#This Row],[NOME]])</f>
        <v>45888+GILVAN DE SOUSA FRANCA - 5834</v>
      </c>
      <c r="N22" s="11" t="e" cm="1">
        <f t="array" ref="N22">_xlfn.XLOOKUP(M22,tabE.Flux[[#All],[COMP.AT. MOT A]],#REF!,"NÃO",0,1)</f>
        <v>#REF!</v>
      </c>
      <c r="O22" s="11" t="e" cm="1">
        <f t="array" ref="O22">_xlfn.XLOOKUP(M22,tabE.Flux[[#All],[COMP.AT. MOT B]],#REF!,"NÃO",0,1)</f>
        <v>#REF!</v>
      </c>
      <c r="P22" s="12" t="e">
        <f>IF(N22="NÃO",(IF(O22="NÃO",(_xlfn.CONCAT(Tabela7[[#This Row],[DATA]]-1,"+",Tabela7[[#This Row],[NOME]])),"NÃO")),"NÃO")</f>
        <v>#REF!</v>
      </c>
      <c r="Q22" s="11" t="e" cm="1">
        <f t="array" ref="Q22">IF(P22="NÃO","NÃO",_xlfn.XLOOKUP(P22,tabE.Flux[COMP.AT. MOT A],#REF!,"NÃO",0,1))</f>
        <v>#REF!</v>
      </c>
      <c r="R22" s="14" t="e" cm="1">
        <f t="array" ref="R22">IF(P22="NÃO","NÃO",_xlfn.XLOOKUP(P22,tabE.Flux[COMP.AT. MOT B],#REF!,"NÃO",0,1))</f>
        <v>#REF!</v>
      </c>
      <c r="S22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22" s="16" t="e" cm="1">
        <f t="array" ref="T2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22" s="41" t="e" cm="1">
        <f t="array" ref="U2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23" spans="2:21" x14ac:dyDescent="0.25">
      <c r="B23" s="31"/>
      <c r="C23" s="37">
        <v>45888</v>
      </c>
      <c r="D23" s="33" t="e">
        <f>IF(IFERROR(Tabela10[[#This Row],[SIM]],"")="NÃO",(IF(Tabela7[[#This Row],[NOME]]=0,"","PASSE?")),Tabela10[[#This Row],[SIM]])</f>
        <v>#REF!</v>
      </c>
      <c r="E23" s="34" t="e">
        <f>Tabela10[[#This Row],[45886+JAKTAN DE OLIVEIRA RODRIGUES - 5836]]</f>
        <v>#REF!</v>
      </c>
      <c r="F23" s="33" t="s">
        <v>299</v>
      </c>
      <c r="G23" s="33" t="s">
        <v>128</v>
      </c>
      <c r="H23" s="4">
        <f>COUNTIF(Tabela10[45885+JAKTAN DE OLIVEIRA RODRIGUES - 5836],Tabela10[[#This Row],[45885+JAKTAN DE OLIVEIRA RODRIGUES - 5836]])</f>
        <v>1</v>
      </c>
      <c r="I23" s="45">
        <f>IF(Tabela7[[#This Row],[NOME]]&lt;&gt;0,15,"")</f>
        <v>15</v>
      </c>
      <c r="J23" s="33" t="e" cm="1">
        <f t="array" ref="J23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23" s="36">
        <f>Tabela7[[#This Row],[ID]]</f>
        <v>0</v>
      </c>
      <c r="M23" s="17" t="str">
        <f>_xlfn.CONCAT(Tabela7[[#This Row],[DATA]],"+",Tabela7[[#This Row],[NOME]])</f>
        <v>45888+FRANCISCO BATISTA DE LIMA - 1827</v>
      </c>
      <c r="N23" s="11" t="e" cm="1">
        <f t="array" ref="N23">_xlfn.XLOOKUP(M23,tabE.Flux[[#All],[COMP.AT. MOT A]],#REF!,"NÃO",0,1)</f>
        <v>#REF!</v>
      </c>
      <c r="O23" s="11" t="e" cm="1">
        <f t="array" ref="O23">_xlfn.XLOOKUP(M23,tabE.Flux[[#All],[COMP.AT. MOT B]],#REF!,"NÃO",0,1)</f>
        <v>#REF!</v>
      </c>
      <c r="P23" s="12" t="e">
        <f>IF(N23="NÃO",(IF(O23="NÃO",(_xlfn.CONCAT(Tabela7[[#This Row],[DATA]]-1,"+",Tabela7[[#This Row],[NOME]])),"NÃO")),"NÃO")</f>
        <v>#REF!</v>
      </c>
      <c r="Q23" s="11" t="e" cm="1">
        <f t="array" ref="Q23">IF(P23="NÃO","NÃO",_xlfn.XLOOKUP(P23,tabE.Flux[COMP.AT. MOT A],#REF!,"NÃO",0,1))</f>
        <v>#REF!</v>
      </c>
      <c r="R23" s="14" t="e" cm="1">
        <f t="array" ref="R23">IF(P23="NÃO","NÃO",_xlfn.XLOOKUP(P23,tabE.Flux[COMP.AT. MOT B],#REF!,"NÃO",0,1))</f>
        <v>#REF!</v>
      </c>
      <c r="S23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23" s="16" t="e" cm="1">
        <f t="array" ref="T2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23" s="41" t="e" cm="1">
        <f t="array" ref="U2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24" spans="2:21" x14ac:dyDescent="0.25">
      <c r="B24" s="31"/>
      <c r="C24" s="37">
        <v>45888</v>
      </c>
      <c r="D24" s="33" t="e">
        <f>IF(IFERROR(Tabela10[[#This Row],[SIM]],"")="NÃO",(IF(Tabela7[[#This Row],[NOME]]=0,"","PASSE?")),Tabela10[[#This Row],[SIM]])</f>
        <v>#REF!</v>
      </c>
      <c r="E24" s="34" t="e">
        <f>Tabela10[[#This Row],[45886+JAKTAN DE OLIVEIRA RODRIGUES - 5836]]</f>
        <v>#REF!</v>
      </c>
      <c r="F24" s="33" t="s">
        <v>299</v>
      </c>
      <c r="G24" s="33" t="s">
        <v>159</v>
      </c>
      <c r="H24" s="4">
        <f>COUNTIF(Tabela10[45885+JAKTAN DE OLIVEIRA RODRIGUES - 5836],Tabela10[[#This Row],[45885+JAKTAN DE OLIVEIRA RODRIGUES - 5836]])</f>
        <v>1</v>
      </c>
      <c r="I24" s="45">
        <f>IF(Tabela7[[#This Row],[NOME]]&lt;&gt;0,15,"")</f>
        <v>15</v>
      </c>
      <c r="J24" s="33" t="e" cm="1">
        <f t="array" ref="J24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24" s="36">
        <f>Tabela7[[#This Row],[ID]]</f>
        <v>0</v>
      </c>
      <c r="M24" s="17" t="str">
        <f>_xlfn.CONCAT(Tabela7[[#This Row],[DATA]],"+",Tabela7[[#This Row],[NOME]])</f>
        <v>45888+FRANCISCO WILSON SOARES - 1537</v>
      </c>
      <c r="N24" s="11" t="e" cm="1">
        <f t="array" ref="N24">_xlfn.XLOOKUP(M24,tabE.Flux[[#All],[COMP.AT. MOT A]],#REF!,"NÃO",0,1)</f>
        <v>#REF!</v>
      </c>
      <c r="O24" s="11" t="e" cm="1">
        <f t="array" ref="O24">_xlfn.XLOOKUP(M24,tabE.Flux[[#All],[COMP.AT. MOT B]],#REF!,"NÃO",0,1)</f>
        <v>#REF!</v>
      </c>
      <c r="P24" s="12" t="e">
        <f>IF(N24="NÃO",(IF(O24="NÃO",(_xlfn.CONCAT(Tabela7[[#This Row],[DATA]]-1,"+",Tabela7[[#This Row],[NOME]])),"NÃO")),"NÃO")</f>
        <v>#REF!</v>
      </c>
      <c r="Q24" s="11" t="e" cm="1">
        <f t="array" ref="Q24">IF(P24="NÃO","NÃO",_xlfn.XLOOKUP(P24,tabE.Flux[COMP.AT. MOT A],#REF!,"NÃO",0,1))</f>
        <v>#REF!</v>
      </c>
      <c r="R24" s="14" t="e" cm="1">
        <f t="array" ref="R24">IF(P24="NÃO","NÃO",_xlfn.XLOOKUP(P24,tabE.Flux[COMP.AT. MOT B],#REF!,"NÃO",0,1))</f>
        <v>#REF!</v>
      </c>
      <c r="S24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24" s="16" t="e" cm="1">
        <f t="array" ref="T2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24" s="41" t="e" cm="1">
        <f t="array" ref="U2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25" spans="2:21" x14ac:dyDescent="0.25">
      <c r="B25" s="31"/>
      <c r="C25" s="37">
        <v>45888</v>
      </c>
      <c r="D25" s="33" t="e">
        <f>IF(IFERROR(Tabela10[[#This Row],[SIM]],"")="NÃO",(IF(Tabela7[[#This Row],[NOME]]=0,"","PASSE?")),Tabela10[[#This Row],[SIM]])</f>
        <v>#REF!</v>
      </c>
      <c r="E25" s="34" t="e">
        <f>Tabela10[[#This Row],[45886+JAKTAN DE OLIVEIRA RODRIGUES - 5836]]</f>
        <v>#REF!</v>
      </c>
      <c r="F25" s="33" t="s">
        <v>299</v>
      </c>
      <c r="G25" s="33" t="s">
        <v>143</v>
      </c>
      <c r="H25" s="4">
        <f>COUNTIF(Tabela10[45885+JAKTAN DE OLIVEIRA RODRIGUES - 5836],Tabela10[[#This Row],[45885+JAKTAN DE OLIVEIRA RODRIGUES - 5836]])</f>
        <v>1</v>
      </c>
      <c r="I25" s="45">
        <f>IF(Tabela7[[#This Row],[NOME]]&lt;&gt;0,15,"")</f>
        <v>15</v>
      </c>
      <c r="J25" s="33" t="e" cm="1">
        <f t="array" ref="J25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25" s="36">
        <f>Tabela7[[#This Row],[ID]]</f>
        <v>0</v>
      </c>
      <c r="M25" s="17" t="str">
        <f>_xlfn.CONCAT(Tabela7[[#This Row],[DATA]],"+",Tabela7[[#This Row],[NOME]])</f>
        <v>45888+RAIMUNDO FERNANDES RIBEIRO - 907</v>
      </c>
      <c r="N25" s="11" t="e" cm="1">
        <f t="array" ref="N25">_xlfn.XLOOKUP(M25,tabE.Flux[[#All],[COMP.AT. MOT A]],#REF!,"NÃO",0,1)</f>
        <v>#REF!</v>
      </c>
      <c r="O25" s="11" t="e" cm="1">
        <f t="array" ref="O25">_xlfn.XLOOKUP(M25,tabE.Flux[[#All],[COMP.AT. MOT B]],#REF!,"NÃO",0,1)</f>
        <v>#REF!</v>
      </c>
      <c r="P25" s="12" t="e">
        <f>IF(N25="NÃO",(IF(O25="NÃO",(_xlfn.CONCAT(Tabela7[[#This Row],[DATA]]-1,"+",Tabela7[[#This Row],[NOME]])),"NÃO")),"NÃO")</f>
        <v>#REF!</v>
      </c>
      <c r="Q25" s="11" t="e" cm="1">
        <f t="array" ref="Q25">IF(P25="NÃO","NÃO",_xlfn.XLOOKUP(P25,tabE.Flux[COMP.AT. MOT A],#REF!,"NÃO",0,1))</f>
        <v>#REF!</v>
      </c>
      <c r="R25" s="14" t="e" cm="1">
        <f t="array" ref="R25">IF(P25="NÃO","NÃO",_xlfn.XLOOKUP(P25,tabE.Flux[COMP.AT. MOT B],#REF!,"NÃO",0,1))</f>
        <v>#REF!</v>
      </c>
      <c r="S25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25" s="16" t="e" cm="1">
        <f t="array" ref="T2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25" s="41" t="e" cm="1">
        <f t="array" ref="U2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26" spans="2:21" x14ac:dyDescent="0.25">
      <c r="B26" s="31"/>
      <c r="C26" s="37">
        <v>45889</v>
      </c>
      <c r="D26" s="33" t="e">
        <f>IF(IFERROR(Tabela10[[#This Row],[SIM]],"")="NÃO",(IF(Tabela7[[#This Row],[NOME]]=0,"","PASSE?")),Tabela10[[#This Row],[SIM]])</f>
        <v>#REF!</v>
      </c>
      <c r="E26" s="34" t="e">
        <f>Tabela10[[#This Row],[45886+JAKTAN DE OLIVEIRA RODRIGUES - 5836]]</f>
        <v>#REF!</v>
      </c>
      <c r="F26" s="33" t="s">
        <v>299</v>
      </c>
      <c r="G26" s="33" t="s">
        <v>109</v>
      </c>
      <c r="H26" s="4">
        <f>COUNTIF(Tabela10[45885+JAKTAN DE OLIVEIRA RODRIGUES - 5836],Tabela10[[#This Row],[45885+JAKTAN DE OLIVEIRA RODRIGUES - 5836]])</f>
        <v>1</v>
      </c>
      <c r="I26" s="45">
        <f>IF(Tabela7[[#This Row],[NOME]]&lt;&gt;0,15,"")</f>
        <v>15</v>
      </c>
      <c r="J26" s="33" t="e" cm="1">
        <f t="array" ref="J26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26" s="36">
        <f>Tabela7[[#This Row],[ID]]</f>
        <v>0</v>
      </c>
      <c r="M26" s="17" t="str">
        <f>_xlfn.CONCAT(Tabela7[[#This Row],[DATA]],"+",Tabela7[[#This Row],[NOME]])</f>
        <v>45889+CLODOALDO PEREIRA DE LIMA - 4067</v>
      </c>
      <c r="N26" s="11" t="e" cm="1">
        <f t="array" ref="N26">_xlfn.XLOOKUP(M26,tabE.Flux[[#All],[COMP.AT. MOT A]],#REF!,"NÃO",0,1)</f>
        <v>#REF!</v>
      </c>
      <c r="O26" s="11" t="e" cm="1">
        <f t="array" ref="O26">_xlfn.XLOOKUP(M26,tabE.Flux[[#All],[COMP.AT. MOT B]],#REF!,"NÃO",0,1)</f>
        <v>#REF!</v>
      </c>
      <c r="P26" s="12" t="e">
        <f>IF(N26="NÃO",(IF(O26="NÃO",(_xlfn.CONCAT(Tabela7[[#This Row],[DATA]]-1,"+",Tabela7[[#This Row],[NOME]])),"NÃO")),"NÃO")</f>
        <v>#REF!</v>
      </c>
      <c r="Q26" s="11" t="e" cm="1">
        <f t="array" ref="Q26">IF(P26="NÃO","NÃO",_xlfn.XLOOKUP(P26,tabE.Flux[COMP.AT. MOT A],#REF!,"NÃO",0,1))</f>
        <v>#REF!</v>
      </c>
      <c r="R26" s="14" t="e" cm="1">
        <f t="array" ref="R26">IF(P26="NÃO","NÃO",_xlfn.XLOOKUP(P26,tabE.Flux[COMP.AT. MOT B],#REF!,"NÃO",0,1))</f>
        <v>#REF!</v>
      </c>
      <c r="S26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26" s="16" t="e" cm="1">
        <f t="array" ref="T2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26" s="41" t="e" cm="1">
        <f t="array" ref="U2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27" spans="2:21" x14ac:dyDescent="0.25">
      <c r="B27" s="31"/>
      <c r="C27" s="37">
        <v>45889</v>
      </c>
      <c r="D27" s="33" t="e">
        <f>IF(IFERROR(Tabela10[[#This Row],[SIM]],"")="NÃO",(IF(Tabela7[[#This Row],[NOME]]=0,"","PASSE?")),Tabela10[[#This Row],[SIM]])</f>
        <v>#REF!</v>
      </c>
      <c r="E27" s="34" t="e">
        <f>Tabela10[[#This Row],[45886+JAKTAN DE OLIVEIRA RODRIGUES - 5836]]</f>
        <v>#REF!</v>
      </c>
      <c r="F27" s="33" t="s">
        <v>299</v>
      </c>
      <c r="G27" s="33" t="s">
        <v>80</v>
      </c>
      <c r="H27" s="4">
        <f>COUNTIF(Tabela10[45885+JAKTAN DE OLIVEIRA RODRIGUES - 5836],Tabela10[[#This Row],[45885+JAKTAN DE OLIVEIRA RODRIGUES - 5836]])</f>
        <v>1</v>
      </c>
      <c r="I27" s="45">
        <f>IF(Tabela7[[#This Row],[NOME]]&lt;&gt;0,15,"")</f>
        <v>15</v>
      </c>
      <c r="J27" s="33" t="e" cm="1">
        <f t="array" ref="J27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27" s="36">
        <f>Tabela7[[#This Row],[ID]]</f>
        <v>0</v>
      </c>
      <c r="M27" s="17" t="str">
        <f>_xlfn.CONCAT(Tabela7[[#This Row],[DATA]],"+",Tabela7[[#This Row],[NOME]])</f>
        <v>45889+KAYLSON KLEYTON DA SILVA COSTA - 6224</v>
      </c>
      <c r="N27" s="11" t="e" cm="1">
        <f t="array" ref="N27">_xlfn.XLOOKUP(M27,tabE.Flux[[#All],[COMP.AT. MOT A]],#REF!,"NÃO",0,1)</f>
        <v>#REF!</v>
      </c>
      <c r="O27" s="11" t="e" cm="1">
        <f t="array" ref="O27">_xlfn.XLOOKUP(M27,tabE.Flux[[#All],[COMP.AT. MOT B]],#REF!,"NÃO",0,1)</f>
        <v>#REF!</v>
      </c>
      <c r="P27" s="12" t="e">
        <f>IF(N27="NÃO",(IF(O27="NÃO",(_xlfn.CONCAT(Tabela7[[#This Row],[DATA]]-1,"+",Tabela7[[#This Row],[NOME]])),"NÃO")),"NÃO")</f>
        <v>#REF!</v>
      </c>
      <c r="Q27" s="11" t="e" cm="1">
        <f t="array" ref="Q27">IF(P27="NÃO","NÃO",_xlfn.XLOOKUP(P27,tabE.Flux[COMP.AT. MOT A],#REF!,"NÃO",0,1))</f>
        <v>#REF!</v>
      </c>
      <c r="R27" s="14" t="e" cm="1">
        <f t="array" ref="R27">IF(P27="NÃO","NÃO",_xlfn.XLOOKUP(P27,tabE.Flux[COMP.AT. MOT B],#REF!,"NÃO",0,1))</f>
        <v>#REF!</v>
      </c>
      <c r="S27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27" s="16" t="e" cm="1">
        <f t="array" ref="T2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27" s="41" t="e" cm="1">
        <f t="array" ref="U2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28" spans="2:21" x14ac:dyDescent="0.25">
      <c r="B28" s="31"/>
      <c r="C28" s="37">
        <v>45889</v>
      </c>
      <c r="D28" s="33" t="e">
        <f>IF(IFERROR(Tabela10[[#This Row],[SIM]],"")="NÃO",(IF(Tabela7[[#This Row],[NOME]]=0,"","PASSE?")),Tabela10[[#This Row],[SIM]])</f>
        <v>#REF!</v>
      </c>
      <c r="E28" s="34" t="e">
        <f>Tabela10[[#This Row],[45886+JAKTAN DE OLIVEIRA RODRIGUES - 5836]]</f>
        <v>#REF!</v>
      </c>
      <c r="F28" s="33" t="s">
        <v>299</v>
      </c>
      <c r="G28" s="33" t="s">
        <v>110</v>
      </c>
      <c r="H28" s="4">
        <f>COUNTIF(Tabela10[45885+JAKTAN DE OLIVEIRA RODRIGUES - 5836],Tabela10[[#This Row],[45885+JAKTAN DE OLIVEIRA RODRIGUES - 5836]])</f>
        <v>1</v>
      </c>
      <c r="I28" s="45">
        <f>IF(Tabela7[[#This Row],[NOME]]&lt;&gt;0,15,"")</f>
        <v>15</v>
      </c>
      <c r="J28" s="33" t="e" cm="1">
        <f t="array" ref="J28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28" s="36">
        <f>Tabela7[[#This Row],[ID]]</f>
        <v>0</v>
      </c>
      <c r="M28" s="17" t="str">
        <f>_xlfn.CONCAT(Tabela7[[#This Row],[DATA]],"+",Tabela7[[#This Row],[NOME]])</f>
        <v>45889+CARLOS ADRIANO DE SOUZA DO NASCIMENTO - 6222</v>
      </c>
      <c r="N28" s="11" t="e" cm="1">
        <f t="array" ref="N28">_xlfn.XLOOKUP(M28,tabE.Flux[[#All],[COMP.AT. MOT A]],#REF!,"NÃO",0,1)</f>
        <v>#REF!</v>
      </c>
      <c r="O28" s="11" t="e" cm="1">
        <f t="array" ref="O28">_xlfn.XLOOKUP(M28,tabE.Flux[[#All],[COMP.AT. MOT B]],#REF!,"NÃO",0,1)</f>
        <v>#REF!</v>
      </c>
      <c r="P28" s="12" t="e">
        <f>IF(N28="NÃO",(IF(O28="NÃO",(_xlfn.CONCAT(Tabela7[[#This Row],[DATA]]-1,"+",Tabela7[[#This Row],[NOME]])),"NÃO")),"NÃO")</f>
        <v>#REF!</v>
      </c>
      <c r="Q28" s="11" t="e" cm="1">
        <f t="array" ref="Q28">IF(P28="NÃO","NÃO",_xlfn.XLOOKUP(P28,tabE.Flux[COMP.AT. MOT A],#REF!,"NÃO",0,1))</f>
        <v>#REF!</v>
      </c>
      <c r="R28" s="14" t="e" cm="1">
        <f t="array" ref="R28">IF(P28="NÃO","NÃO",_xlfn.XLOOKUP(P28,tabE.Flux[COMP.AT. MOT B],#REF!,"NÃO",0,1))</f>
        <v>#REF!</v>
      </c>
      <c r="S28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28" s="16" t="e" cm="1">
        <f t="array" ref="T2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28" s="41" t="e" cm="1">
        <f t="array" ref="U2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29" spans="2:21" x14ac:dyDescent="0.25">
      <c r="B29" s="31"/>
      <c r="C29" s="37">
        <v>45889</v>
      </c>
      <c r="D29" s="33" t="e">
        <f>IF(IFERROR(Tabela10[[#This Row],[SIM]],"")="NÃO",(IF(Tabela7[[#This Row],[NOME]]=0,"","PASSE?")),Tabela10[[#This Row],[SIM]])</f>
        <v>#REF!</v>
      </c>
      <c r="E29" s="34" t="e">
        <f>Tabela10[[#This Row],[45886+JAKTAN DE OLIVEIRA RODRIGUES - 5836]]</f>
        <v>#REF!</v>
      </c>
      <c r="F29" s="33" t="s">
        <v>299</v>
      </c>
      <c r="G29" s="33" t="s">
        <v>45</v>
      </c>
      <c r="H29" s="4">
        <f>COUNTIF(Tabela10[45885+JAKTAN DE OLIVEIRA RODRIGUES - 5836],Tabela10[[#This Row],[45885+JAKTAN DE OLIVEIRA RODRIGUES - 5836]])</f>
        <v>1</v>
      </c>
      <c r="I29" s="45">
        <f>IF(Tabela7[[#This Row],[NOME]]&lt;&gt;0,15,"")</f>
        <v>15</v>
      </c>
      <c r="J29" s="33" t="e" cm="1">
        <f t="array" ref="J29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29" s="36">
        <f>Tabela7[[#This Row],[ID]]</f>
        <v>0</v>
      </c>
      <c r="M29" s="17" t="str">
        <f>_xlfn.CONCAT(Tabela7[[#This Row],[DATA]],"+",Tabela7[[#This Row],[NOME]])</f>
        <v>45889+RAIMUNDO COSTA SILVA - 6226</v>
      </c>
      <c r="N29" s="11" t="e" cm="1">
        <f t="array" ref="N29">_xlfn.XLOOKUP(M29,tabE.Flux[[#All],[COMP.AT. MOT A]],#REF!,"NÃO",0,1)</f>
        <v>#REF!</v>
      </c>
      <c r="O29" s="11" t="e" cm="1">
        <f t="array" ref="O29">_xlfn.XLOOKUP(M29,tabE.Flux[[#All],[COMP.AT. MOT B]],#REF!,"NÃO",0,1)</f>
        <v>#REF!</v>
      </c>
      <c r="P29" s="12" t="e">
        <f>IF(N29="NÃO",(IF(O29="NÃO",(_xlfn.CONCAT(Tabela7[[#This Row],[DATA]]-1,"+",Tabela7[[#This Row],[NOME]])),"NÃO")),"NÃO")</f>
        <v>#REF!</v>
      </c>
      <c r="Q29" s="11" t="e" cm="1">
        <f t="array" ref="Q29">IF(P29="NÃO","NÃO",_xlfn.XLOOKUP(P29,tabE.Flux[COMP.AT. MOT A],#REF!,"NÃO",0,1))</f>
        <v>#REF!</v>
      </c>
      <c r="R29" s="14" t="e" cm="1">
        <f t="array" ref="R29">IF(P29="NÃO","NÃO",_xlfn.XLOOKUP(P29,tabE.Flux[COMP.AT. MOT B],#REF!,"NÃO",0,1))</f>
        <v>#REF!</v>
      </c>
      <c r="S29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29" s="16" t="e" cm="1">
        <f t="array" ref="T2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29" s="41" t="e" cm="1">
        <f t="array" ref="U2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30" spans="2:21" x14ac:dyDescent="0.25">
      <c r="B30" s="31"/>
      <c r="C30" s="37">
        <v>45889</v>
      </c>
      <c r="D30" s="33" t="e">
        <f>IF(IFERROR(Tabela10[[#This Row],[SIM]],"")="NÃO",(IF(Tabela7[[#This Row],[NOME]]=0,"","PASSE?")),Tabela10[[#This Row],[SIM]])</f>
        <v>#REF!</v>
      </c>
      <c r="E30" s="34" t="e">
        <f>Tabela10[[#This Row],[45886+JAKTAN DE OLIVEIRA RODRIGUES - 5836]]</f>
        <v>#REF!</v>
      </c>
      <c r="F30" s="33" t="s">
        <v>299</v>
      </c>
      <c r="G30" s="33" t="s">
        <v>76</v>
      </c>
      <c r="H30" s="4">
        <f>COUNTIF(Tabela10[45885+JAKTAN DE OLIVEIRA RODRIGUES - 5836],Tabela10[[#This Row],[45885+JAKTAN DE OLIVEIRA RODRIGUES - 5836]])</f>
        <v>1</v>
      </c>
      <c r="I30" s="45">
        <f>IF(Tabela7[[#This Row],[NOME]]&lt;&gt;0,15,"")</f>
        <v>15</v>
      </c>
      <c r="J30" s="33" t="e" cm="1">
        <f t="array" ref="J30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30" s="36">
        <f>Tabela7[[#This Row],[ID]]</f>
        <v>0</v>
      </c>
      <c r="M30" s="17" t="str">
        <f>_xlfn.CONCAT(Tabela7[[#This Row],[DATA]],"+",Tabela7[[#This Row],[NOME]])</f>
        <v>45889+JOSE CARLOS BEZERRA DA SILVA - 3034</v>
      </c>
      <c r="N30" s="11" t="e" cm="1">
        <f t="array" ref="N30">_xlfn.XLOOKUP(M30,tabE.Flux[[#All],[COMP.AT. MOT A]],#REF!,"NÃO",0,1)</f>
        <v>#REF!</v>
      </c>
      <c r="O30" s="11" t="e" cm="1">
        <f t="array" ref="O30">_xlfn.XLOOKUP(M30,tabE.Flux[[#All],[COMP.AT. MOT B]],#REF!,"NÃO",0,1)</f>
        <v>#REF!</v>
      </c>
      <c r="P30" s="12" t="e">
        <f>IF(N30="NÃO",(IF(O30="NÃO",(_xlfn.CONCAT(Tabela7[[#This Row],[DATA]]-1,"+",Tabela7[[#This Row],[NOME]])),"NÃO")),"NÃO")</f>
        <v>#REF!</v>
      </c>
      <c r="Q30" s="11" t="e" cm="1">
        <f t="array" ref="Q30">IF(P30="NÃO","NÃO",_xlfn.XLOOKUP(P30,tabE.Flux[COMP.AT. MOT A],#REF!,"NÃO",0,1))</f>
        <v>#REF!</v>
      </c>
      <c r="R30" s="14" t="e" cm="1">
        <f t="array" ref="R30">IF(P30="NÃO","NÃO",_xlfn.XLOOKUP(P30,tabE.Flux[COMP.AT. MOT B],#REF!,"NÃO",0,1))</f>
        <v>#REF!</v>
      </c>
      <c r="S30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30" s="16" t="e" cm="1">
        <f t="array" ref="T3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30" s="41" t="e" cm="1">
        <f t="array" ref="U3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31" spans="2:21" x14ac:dyDescent="0.25">
      <c r="B31" s="31"/>
      <c r="C31" s="37">
        <v>45889</v>
      </c>
      <c r="D31" s="33" t="e">
        <f>IF(IFERROR(Tabela10[[#This Row],[SIM]],"")="NÃO",(IF(Tabela7[[#This Row],[NOME]]=0,"","PASSE?")),Tabela10[[#This Row],[SIM]])</f>
        <v>#REF!</v>
      </c>
      <c r="E31" s="34" t="e">
        <f>Tabela10[[#This Row],[45886+JAKTAN DE OLIVEIRA RODRIGUES - 5836]]</f>
        <v>#REF!</v>
      </c>
      <c r="F31" s="33" t="s">
        <v>299</v>
      </c>
      <c r="G31" s="33" t="s">
        <v>176</v>
      </c>
      <c r="H31" s="4">
        <f>COUNTIF(Tabela10[45885+JAKTAN DE OLIVEIRA RODRIGUES - 5836],Tabela10[[#This Row],[45885+JAKTAN DE OLIVEIRA RODRIGUES - 5836]])</f>
        <v>1</v>
      </c>
      <c r="I31" s="45">
        <f>IF(Tabela7[[#This Row],[NOME]]&lt;&gt;0,15,"")</f>
        <v>15</v>
      </c>
      <c r="J31" s="33" t="e" cm="1">
        <f t="array" ref="J31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31" s="36">
        <f>Tabela7[[#This Row],[ID]]</f>
        <v>0</v>
      </c>
      <c r="M31" s="17" t="str">
        <f>_xlfn.CONCAT(Tabela7[[#This Row],[DATA]],"+",Tabela7[[#This Row],[NOME]])</f>
        <v>45889+RAIMUNDO NONATO FRANCO NETO - 5658</v>
      </c>
      <c r="N31" s="11" t="e" cm="1">
        <f t="array" ref="N31">_xlfn.XLOOKUP(M31,tabE.Flux[[#All],[COMP.AT. MOT A]],#REF!,"NÃO",0,1)</f>
        <v>#REF!</v>
      </c>
      <c r="O31" s="11" t="e" cm="1">
        <f t="array" ref="O31">_xlfn.XLOOKUP(M31,tabE.Flux[[#All],[COMP.AT. MOT B]],#REF!,"NÃO",0,1)</f>
        <v>#REF!</v>
      </c>
      <c r="P31" s="12" t="e">
        <f>IF(N31="NÃO",(IF(O31="NÃO",(_xlfn.CONCAT(Tabela7[[#This Row],[DATA]]-1,"+",Tabela7[[#This Row],[NOME]])),"NÃO")),"NÃO")</f>
        <v>#REF!</v>
      </c>
      <c r="Q31" s="11" t="e" cm="1">
        <f t="array" ref="Q31">IF(P31="NÃO","NÃO",_xlfn.XLOOKUP(P31,tabE.Flux[COMP.AT. MOT A],#REF!,"NÃO",0,1))</f>
        <v>#REF!</v>
      </c>
      <c r="R31" s="14" t="e" cm="1">
        <f t="array" ref="R31">IF(P31="NÃO","NÃO",_xlfn.XLOOKUP(P31,tabE.Flux[COMP.AT. MOT B],#REF!,"NÃO",0,1))</f>
        <v>#REF!</v>
      </c>
      <c r="S31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31" s="16" t="e" cm="1">
        <f t="array" ref="T3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31" s="41" t="e" cm="1">
        <f t="array" ref="U3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32" spans="2:21" x14ac:dyDescent="0.25">
      <c r="B32" s="31"/>
      <c r="C32" s="37">
        <v>45889</v>
      </c>
      <c r="D32" s="33" t="e">
        <f>IF(IFERROR(Tabela10[[#This Row],[SIM]],"")="NÃO",(IF(Tabela7[[#This Row],[NOME]]=0,"","PASSE?")),Tabela10[[#This Row],[SIM]])</f>
        <v>#REF!</v>
      </c>
      <c r="E32" s="34" t="e">
        <f>Tabela10[[#This Row],[45886+JAKTAN DE OLIVEIRA RODRIGUES - 5836]]</f>
        <v>#REF!</v>
      </c>
      <c r="F32" s="33" t="s">
        <v>299</v>
      </c>
      <c r="G32" s="33" t="s">
        <v>73</v>
      </c>
      <c r="H32" s="4">
        <f>COUNTIF(Tabela10[45885+JAKTAN DE OLIVEIRA RODRIGUES - 5836],Tabela10[[#This Row],[45885+JAKTAN DE OLIVEIRA RODRIGUES - 5836]])</f>
        <v>1</v>
      </c>
      <c r="I32" s="45">
        <f>IF(Tabela7[[#This Row],[NOME]]&lt;&gt;0,15,"")</f>
        <v>15</v>
      </c>
      <c r="J32" s="33" t="e" cm="1">
        <f t="array" ref="J32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32" s="36">
        <f>Tabela7[[#This Row],[ID]]</f>
        <v>0</v>
      </c>
      <c r="M32" s="17" t="str">
        <f>_xlfn.CONCAT(Tabela7[[#This Row],[DATA]],"+",Tabela7[[#This Row],[NOME]])</f>
        <v>45889+ANTONIO MARQUES NETO DOS SANTOS - 1738</v>
      </c>
      <c r="N32" s="11" t="e" cm="1">
        <f t="array" ref="N32">_xlfn.XLOOKUP(M32,tabE.Flux[[#All],[COMP.AT. MOT A]],#REF!,"NÃO",0,1)</f>
        <v>#REF!</v>
      </c>
      <c r="O32" s="11" t="e" cm="1">
        <f t="array" ref="O32">_xlfn.XLOOKUP(M32,tabE.Flux[[#All],[COMP.AT. MOT B]],#REF!,"NÃO",0,1)</f>
        <v>#REF!</v>
      </c>
      <c r="P32" s="12" t="e">
        <f>IF(N32="NÃO",(IF(O32="NÃO",(_xlfn.CONCAT(Tabela7[[#This Row],[DATA]]-1,"+",Tabela7[[#This Row],[NOME]])),"NÃO")),"NÃO")</f>
        <v>#REF!</v>
      </c>
      <c r="Q32" s="11" t="e" cm="1">
        <f t="array" ref="Q32">IF(P32="NÃO","NÃO",_xlfn.XLOOKUP(P32,tabE.Flux[COMP.AT. MOT A],#REF!,"NÃO",0,1))</f>
        <v>#REF!</v>
      </c>
      <c r="R32" s="14" t="e" cm="1">
        <f t="array" ref="R32">IF(P32="NÃO","NÃO",_xlfn.XLOOKUP(P32,tabE.Flux[COMP.AT. MOT B],#REF!,"NÃO",0,1))</f>
        <v>#REF!</v>
      </c>
      <c r="S32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32" s="16" t="e" cm="1">
        <f t="array" ref="T3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32" s="41" t="e" cm="1">
        <f t="array" ref="U3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33" spans="2:21" x14ac:dyDescent="0.25">
      <c r="B33" s="31"/>
      <c r="C33" s="37">
        <v>45889</v>
      </c>
      <c r="D33" s="33" t="e">
        <f>IF(IFERROR(Tabela10[[#This Row],[SIM]],"")="NÃO",(IF(Tabela7[[#This Row],[NOME]]=0,"","PASSE?")),Tabela10[[#This Row],[SIM]])</f>
        <v>#REF!</v>
      </c>
      <c r="E33" s="34" t="e">
        <f>Tabela10[[#This Row],[45886+JAKTAN DE OLIVEIRA RODRIGUES - 5836]]</f>
        <v>#REF!</v>
      </c>
      <c r="F33" s="33" t="s">
        <v>299</v>
      </c>
      <c r="G33" s="33" t="s">
        <v>61</v>
      </c>
      <c r="H33" s="4">
        <f>COUNTIF(Tabela10[45885+JAKTAN DE OLIVEIRA RODRIGUES - 5836],Tabela10[[#This Row],[45885+JAKTAN DE OLIVEIRA RODRIGUES - 5836]])</f>
        <v>1</v>
      </c>
      <c r="I33" s="45">
        <f>IF(Tabela7[[#This Row],[NOME]]&lt;&gt;0,15,"")</f>
        <v>15</v>
      </c>
      <c r="J33" s="33" t="e" cm="1">
        <f t="array" ref="J33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33" s="36">
        <f>Tabela7[[#This Row],[ID]]</f>
        <v>0</v>
      </c>
      <c r="M33" s="17" t="str">
        <f>_xlfn.CONCAT(Tabela7[[#This Row],[DATA]],"+",Tabela7[[#This Row],[NOME]])</f>
        <v>45889+JOAO FERREIRA COSTA - 5545</v>
      </c>
      <c r="N33" s="11" t="e" cm="1">
        <f t="array" ref="N33">_xlfn.XLOOKUP(M33,tabE.Flux[[#All],[COMP.AT. MOT A]],#REF!,"NÃO",0,1)</f>
        <v>#REF!</v>
      </c>
      <c r="O33" s="11" t="e" cm="1">
        <f t="array" ref="O33">_xlfn.XLOOKUP(M33,tabE.Flux[[#All],[COMP.AT. MOT B]],#REF!,"NÃO",0,1)</f>
        <v>#REF!</v>
      </c>
      <c r="P33" s="12" t="e">
        <f>IF(N33="NÃO",(IF(O33="NÃO",(_xlfn.CONCAT(Tabela7[[#This Row],[DATA]]-1,"+",Tabela7[[#This Row],[NOME]])),"NÃO")),"NÃO")</f>
        <v>#REF!</v>
      </c>
      <c r="Q33" s="11" t="e" cm="1">
        <f t="array" ref="Q33">IF(P33="NÃO","NÃO",_xlfn.XLOOKUP(P33,tabE.Flux[COMP.AT. MOT A],#REF!,"NÃO",0,1))</f>
        <v>#REF!</v>
      </c>
      <c r="R33" s="14" t="e" cm="1">
        <f t="array" ref="R33">IF(P33="NÃO","NÃO",_xlfn.XLOOKUP(P33,tabE.Flux[COMP.AT. MOT B],#REF!,"NÃO",0,1))</f>
        <v>#REF!</v>
      </c>
      <c r="S33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33" s="16" t="e" cm="1">
        <f t="array" ref="T3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33" s="41" t="e" cm="1">
        <f t="array" ref="U3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34" spans="2:21" x14ac:dyDescent="0.25">
      <c r="B34" s="31"/>
      <c r="C34" s="37">
        <v>45890</v>
      </c>
      <c r="D34" s="33" t="e">
        <f>IF(IFERROR(Tabela10[[#This Row],[SIM]],"")="NÃO",(IF(Tabela7[[#This Row],[NOME]]=0,"","PASSE?")),Tabela10[[#This Row],[SIM]])</f>
        <v>#REF!</v>
      </c>
      <c r="E34" s="34" t="e">
        <f>Tabela10[[#This Row],[45886+JAKTAN DE OLIVEIRA RODRIGUES - 5836]]</f>
        <v>#REF!</v>
      </c>
      <c r="F34" s="33" t="s">
        <v>299</v>
      </c>
      <c r="G34" s="33" t="s">
        <v>80</v>
      </c>
      <c r="H34" s="4">
        <f>COUNTIF(Tabela10[45885+JAKTAN DE OLIVEIRA RODRIGUES - 5836],Tabela10[[#This Row],[45885+JAKTAN DE OLIVEIRA RODRIGUES - 5836]])</f>
        <v>1</v>
      </c>
      <c r="I34" s="45">
        <f>IF(Tabela7[[#This Row],[NOME]]&lt;&gt;0,15,"")</f>
        <v>15</v>
      </c>
      <c r="J34" s="33" t="e" cm="1">
        <f t="array" ref="J34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34" s="36">
        <f>Tabela7[[#This Row],[ID]]</f>
        <v>0</v>
      </c>
      <c r="M34" s="17" t="str">
        <f>_xlfn.CONCAT(Tabela7[[#This Row],[DATA]],"+",Tabela7[[#This Row],[NOME]])</f>
        <v>45890+KAYLSON KLEYTON DA SILVA COSTA - 6224</v>
      </c>
      <c r="N34" s="11" t="e" cm="1">
        <f t="array" ref="N34">_xlfn.XLOOKUP(M34,tabE.Flux[[#All],[COMP.AT. MOT A]],#REF!,"NÃO",0,1)</f>
        <v>#REF!</v>
      </c>
      <c r="O34" s="11" t="e" cm="1">
        <f t="array" ref="O34">_xlfn.XLOOKUP(M34,tabE.Flux[[#All],[COMP.AT. MOT B]],#REF!,"NÃO",0,1)</f>
        <v>#REF!</v>
      </c>
      <c r="P34" s="12" t="e">
        <f>IF(N34="NÃO",(IF(O34="NÃO",(_xlfn.CONCAT(Tabela7[[#This Row],[DATA]]-1,"+",Tabela7[[#This Row],[NOME]])),"NÃO")),"NÃO")</f>
        <v>#REF!</v>
      </c>
      <c r="Q34" s="11" t="e" cm="1">
        <f t="array" ref="Q34">IF(P34="NÃO","NÃO",_xlfn.XLOOKUP(P34,tabE.Flux[COMP.AT. MOT A],#REF!,"NÃO",0,1))</f>
        <v>#REF!</v>
      </c>
      <c r="R34" s="14" t="e" cm="1">
        <f t="array" ref="R34">IF(P34="NÃO","NÃO",_xlfn.XLOOKUP(P34,tabE.Flux[COMP.AT. MOT B],#REF!,"NÃO",0,1))</f>
        <v>#REF!</v>
      </c>
      <c r="S34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34" s="16" t="e" cm="1">
        <f t="array" ref="T3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34" s="41" t="e" cm="1">
        <f t="array" ref="U3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35" spans="2:21" x14ac:dyDescent="0.25">
      <c r="B35" s="31"/>
      <c r="C35" s="37">
        <v>45890</v>
      </c>
      <c r="D35" s="33" t="e">
        <f>IF(IFERROR(Tabela10[[#This Row],[SIM]],"")="NÃO",(IF(Tabela7[[#This Row],[NOME]]=0,"","PASSE?")),Tabela10[[#This Row],[SIM]])</f>
        <v>#REF!</v>
      </c>
      <c r="E35" s="34" t="e">
        <f>Tabela10[[#This Row],[45886+JAKTAN DE OLIVEIRA RODRIGUES - 5836]]</f>
        <v>#REF!</v>
      </c>
      <c r="F35" s="33" t="s">
        <v>299</v>
      </c>
      <c r="G35" s="33" t="s">
        <v>103</v>
      </c>
      <c r="H35" s="4">
        <f>COUNTIF(Tabela10[45885+JAKTAN DE OLIVEIRA RODRIGUES - 5836],Tabela10[[#This Row],[45885+JAKTAN DE OLIVEIRA RODRIGUES - 5836]])</f>
        <v>1</v>
      </c>
      <c r="I35" s="45">
        <f>IF(Tabela7[[#This Row],[NOME]]&lt;&gt;0,15,"")</f>
        <v>15</v>
      </c>
      <c r="J35" s="33" t="e" cm="1">
        <f t="array" ref="J35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35" s="36">
        <f>Tabela7[[#This Row],[ID]]</f>
        <v>0</v>
      </c>
      <c r="M35" s="17" t="str">
        <f>_xlfn.CONCAT(Tabela7[[#This Row],[DATA]],"+",Tabela7[[#This Row],[NOME]])</f>
        <v>45890+JAME DOS SANTOS MOURA - 5332</v>
      </c>
      <c r="N35" s="11" t="e" cm="1">
        <f t="array" ref="N35">_xlfn.XLOOKUP(M35,tabE.Flux[[#All],[COMP.AT. MOT A]],#REF!,"NÃO",0,1)</f>
        <v>#REF!</v>
      </c>
      <c r="O35" s="11" t="e" cm="1">
        <f t="array" ref="O35">_xlfn.XLOOKUP(M35,tabE.Flux[[#All],[COMP.AT. MOT B]],#REF!,"NÃO",0,1)</f>
        <v>#REF!</v>
      </c>
      <c r="P35" s="12" t="e">
        <f>IF(N35="NÃO",(IF(O35="NÃO",(_xlfn.CONCAT(Tabela7[[#This Row],[DATA]]-1,"+",Tabela7[[#This Row],[NOME]])),"NÃO")),"NÃO")</f>
        <v>#REF!</v>
      </c>
      <c r="Q35" s="11" t="e" cm="1">
        <f t="array" ref="Q35">IF(P35="NÃO","NÃO",_xlfn.XLOOKUP(P35,tabE.Flux[COMP.AT. MOT A],#REF!,"NÃO",0,1))</f>
        <v>#REF!</v>
      </c>
      <c r="R35" s="14" t="e" cm="1">
        <f t="array" ref="R35">IF(P35="NÃO","NÃO",_xlfn.XLOOKUP(P35,tabE.Flux[COMP.AT. MOT B],#REF!,"NÃO",0,1))</f>
        <v>#REF!</v>
      </c>
      <c r="S35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35" s="16" t="e" cm="1">
        <f t="array" ref="T3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35" s="41" t="e" cm="1">
        <f t="array" ref="U3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36" spans="2:21" x14ac:dyDescent="0.25">
      <c r="B36" s="31"/>
      <c r="C36" s="37">
        <v>45890</v>
      </c>
      <c r="D36" s="33" t="e">
        <f>IF(IFERROR(Tabela10[[#This Row],[SIM]],"")="NÃO",(IF(Tabela7[[#This Row],[NOME]]=0,"","PASSE?")),Tabela10[[#This Row],[SIM]])</f>
        <v>#REF!</v>
      </c>
      <c r="E36" s="34" t="e">
        <f>Tabela10[[#This Row],[45886+JAKTAN DE OLIVEIRA RODRIGUES - 5836]]</f>
        <v>#REF!</v>
      </c>
      <c r="F36" s="33" t="s">
        <v>299</v>
      </c>
      <c r="G36" s="33" t="s">
        <v>41</v>
      </c>
      <c r="H36" s="4">
        <f>COUNTIF(Tabela10[45885+JAKTAN DE OLIVEIRA RODRIGUES - 5836],Tabela10[[#This Row],[45885+JAKTAN DE OLIVEIRA RODRIGUES - 5836]])</f>
        <v>1</v>
      </c>
      <c r="I36" s="45">
        <f>IF(Tabela7[[#This Row],[NOME]]&lt;&gt;0,15,"")</f>
        <v>15</v>
      </c>
      <c r="J36" s="33" t="e" cm="1">
        <f t="array" ref="J36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36" s="36">
        <f>Tabela7[[#This Row],[ID]]</f>
        <v>0</v>
      </c>
      <c r="M36" s="17" t="str">
        <f>_xlfn.CONCAT(Tabela7[[#This Row],[DATA]],"+",Tabela7[[#This Row],[NOME]])</f>
        <v>45890+RONALDO ADRIANO COSTA SANTOS - 5637</v>
      </c>
      <c r="N36" s="11" t="e" cm="1">
        <f t="array" ref="N36">_xlfn.XLOOKUP(M36,tabE.Flux[[#All],[COMP.AT. MOT A]],#REF!,"NÃO",0,1)</f>
        <v>#REF!</v>
      </c>
      <c r="O36" s="11" t="e" cm="1">
        <f t="array" ref="O36">_xlfn.XLOOKUP(M36,tabE.Flux[[#All],[COMP.AT. MOT B]],#REF!,"NÃO",0,1)</f>
        <v>#REF!</v>
      </c>
      <c r="P36" s="12" t="e">
        <f>IF(N36="NÃO",(IF(O36="NÃO",(_xlfn.CONCAT(Tabela7[[#This Row],[DATA]]-1,"+",Tabela7[[#This Row],[NOME]])),"NÃO")),"NÃO")</f>
        <v>#REF!</v>
      </c>
      <c r="Q36" s="11" t="e" cm="1">
        <f t="array" ref="Q36">IF(P36="NÃO","NÃO",_xlfn.XLOOKUP(P36,tabE.Flux[COMP.AT. MOT A],#REF!,"NÃO",0,1))</f>
        <v>#REF!</v>
      </c>
      <c r="R36" s="14" t="e" cm="1">
        <f t="array" ref="R36">IF(P36="NÃO","NÃO",_xlfn.XLOOKUP(P36,tabE.Flux[COMP.AT. MOT B],#REF!,"NÃO",0,1))</f>
        <v>#REF!</v>
      </c>
      <c r="S36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36" s="16" t="e" cm="1">
        <f t="array" ref="T3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36" s="41" t="e" cm="1">
        <f t="array" ref="U3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37" spans="2:21" x14ac:dyDescent="0.25">
      <c r="B37" s="31"/>
      <c r="C37" s="37">
        <v>45890</v>
      </c>
      <c r="D37" s="33" t="e">
        <f>IF(IFERROR(Tabela10[[#This Row],[SIM]],"")="NÃO",(IF(Tabela7[[#This Row],[NOME]]=0,"","PASSE?")),Tabela10[[#This Row],[SIM]])</f>
        <v>#REF!</v>
      </c>
      <c r="E37" s="34" t="e">
        <f>Tabela10[[#This Row],[45886+JAKTAN DE OLIVEIRA RODRIGUES - 5836]]</f>
        <v>#REF!</v>
      </c>
      <c r="F37" s="33" t="s">
        <v>299</v>
      </c>
      <c r="G37" s="33" t="s">
        <v>75</v>
      </c>
      <c r="H37" s="4">
        <f>COUNTIF(Tabela10[45885+JAKTAN DE OLIVEIRA RODRIGUES - 5836],Tabela10[[#This Row],[45885+JAKTAN DE OLIVEIRA RODRIGUES - 5836]])</f>
        <v>1</v>
      </c>
      <c r="I37" s="45">
        <f>IF(Tabela7[[#This Row],[NOME]]&lt;&gt;0,15,"")</f>
        <v>15</v>
      </c>
      <c r="J37" s="33" t="e" cm="1">
        <f t="array" ref="J37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37" s="36">
        <f>Tabela7[[#This Row],[ID]]</f>
        <v>0</v>
      </c>
      <c r="M37" s="17" t="str">
        <f>_xlfn.CONCAT(Tabela7[[#This Row],[DATA]],"+",Tabela7[[#This Row],[NOME]])</f>
        <v>45890+NILSON CORTEZ MIRANDA - 5636</v>
      </c>
      <c r="N37" s="11" t="e" cm="1">
        <f t="array" ref="N37">_xlfn.XLOOKUP(M37,tabE.Flux[[#All],[COMP.AT. MOT A]],#REF!,"NÃO",0,1)</f>
        <v>#REF!</v>
      </c>
      <c r="O37" s="11" t="e" cm="1">
        <f t="array" ref="O37">_xlfn.XLOOKUP(M37,tabE.Flux[[#All],[COMP.AT. MOT B]],#REF!,"NÃO",0,1)</f>
        <v>#REF!</v>
      </c>
      <c r="P37" s="12" t="e">
        <f>IF(N37="NÃO",(IF(O37="NÃO",(_xlfn.CONCAT(Tabela7[[#This Row],[DATA]]-1,"+",Tabela7[[#This Row],[NOME]])),"NÃO")),"NÃO")</f>
        <v>#REF!</v>
      </c>
      <c r="Q37" s="11" t="e" cm="1">
        <f t="array" ref="Q37">IF(P37="NÃO","NÃO",_xlfn.XLOOKUP(P37,tabE.Flux[COMP.AT. MOT A],#REF!,"NÃO",0,1))</f>
        <v>#REF!</v>
      </c>
      <c r="R37" s="14" t="e" cm="1">
        <f t="array" ref="R37">IF(P37="NÃO","NÃO",_xlfn.XLOOKUP(P37,tabE.Flux[COMP.AT. MOT B],#REF!,"NÃO",0,1))</f>
        <v>#REF!</v>
      </c>
      <c r="S37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37" s="16" t="e" cm="1">
        <f t="array" ref="T3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37" s="41" t="e" cm="1">
        <f t="array" ref="U3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38" spans="2:21" x14ac:dyDescent="0.25">
      <c r="B38" s="31"/>
      <c r="C38" s="37">
        <v>45890</v>
      </c>
      <c r="D38" s="33" t="e">
        <f>IF(IFERROR(Tabela10[[#This Row],[SIM]],"")="NÃO",(IF(Tabela7[[#This Row],[NOME]]=0,"","PASSE?")),Tabela10[[#This Row],[SIM]])</f>
        <v>#REF!</v>
      </c>
      <c r="E38" s="34" t="e">
        <f>Tabela10[[#This Row],[45886+JAKTAN DE OLIVEIRA RODRIGUES - 5836]]</f>
        <v>#REF!</v>
      </c>
      <c r="F38" s="33" t="s">
        <v>299</v>
      </c>
      <c r="G38" s="33" t="s">
        <v>59</v>
      </c>
      <c r="H38" s="4">
        <f>COUNTIF(Tabela10[45885+JAKTAN DE OLIVEIRA RODRIGUES - 5836],Tabela10[[#This Row],[45885+JAKTAN DE OLIVEIRA RODRIGUES - 5836]])</f>
        <v>1</v>
      </c>
      <c r="I38" s="45">
        <f>IF(Tabela7[[#This Row],[NOME]]&lt;&gt;0,15,"")</f>
        <v>15</v>
      </c>
      <c r="J38" s="33" t="e" cm="1">
        <f t="array" ref="J38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38" s="36">
        <f>Tabela7[[#This Row],[ID]]</f>
        <v>0</v>
      </c>
      <c r="M38" s="17" t="str">
        <f>_xlfn.CONCAT(Tabela7[[#This Row],[DATA]],"+",Tabela7[[#This Row],[NOME]])</f>
        <v>45890+JAKTAN DE OLIVEIRA RODRIGUES - 5836</v>
      </c>
      <c r="N38" s="11" t="e" cm="1">
        <f t="array" ref="N38">_xlfn.XLOOKUP(M38,tabE.Flux[[#All],[COMP.AT. MOT A]],#REF!,"NÃO",0,1)</f>
        <v>#REF!</v>
      </c>
      <c r="O38" s="11" t="e" cm="1">
        <f t="array" ref="O38">_xlfn.XLOOKUP(M38,tabE.Flux[[#All],[COMP.AT. MOT B]],#REF!,"NÃO",0,1)</f>
        <v>#REF!</v>
      </c>
      <c r="P38" s="12" t="e">
        <f>IF(N38="NÃO",(IF(O38="NÃO",(_xlfn.CONCAT(Tabela7[[#This Row],[DATA]]-1,"+",Tabela7[[#This Row],[NOME]])),"NÃO")),"NÃO")</f>
        <v>#REF!</v>
      </c>
      <c r="Q38" s="11" t="e" cm="1">
        <f t="array" ref="Q38">IF(P38="NÃO","NÃO",_xlfn.XLOOKUP(P38,tabE.Flux[COMP.AT. MOT A],#REF!,"NÃO",0,1))</f>
        <v>#REF!</v>
      </c>
      <c r="R38" s="14" t="e" cm="1">
        <f t="array" ref="R38">IF(P38="NÃO","NÃO",_xlfn.XLOOKUP(P38,tabE.Flux[COMP.AT. MOT B],#REF!,"NÃO",0,1))</f>
        <v>#REF!</v>
      </c>
      <c r="S38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38" s="16" t="e" cm="1">
        <f t="array" ref="T3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38" s="41" t="e" cm="1">
        <f t="array" ref="U3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39" spans="2:21" x14ac:dyDescent="0.25">
      <c r="B39" s="31"/>
      <c r="C39" s="37">
        <v>45890</v>
      </c>
      <c r="D39" s="33" t="e">
        <f>IF(IFERROR(Tabela10[[#This Row],[SIM]],"")="NÃO",(IF(Tabela7[[#This Row],[NOME]]=0,"","PASSE?")),Tabela10[[#This Row],[SIM]])</f>
        <v>#REF!</v>
      </c>
      <c r="E39" s="34" t="e">
        <f>Tabela10[[#This Row],[45886+JAKTAN DE OLIVEIRA RODRIGUES - 5836]]</f>
        <v>#REF!</v>
      </c>
      <c r="F39" s="33" t="s">
        <v>299</v>
      </c>
      <c r="G39" s="33" t="s">
        <v>86</v>
      </c>
      <c r="H39" s="4">
        <f>COUNTIF(Tabela10[45885+JAKTAN DE OLIVEIRA RODRIGUES - 5836],Tabela10[[#This Row],[45885+JAKTAN DE OLIVEIRA RODRIGUES - 5836]])</f>
        <v>1</v>
      </c>
      <c r="I39" s="45">
        <f>IF(Tabela7[[#This Row],[NOME]]&lt;&gt;0,15,"")</f>
        <v>15</v>
      </c>
      <c r="J39" s="33" t="e" cm="1">
        <f t="array" ref="J39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39" s="36">
        <f>Tabela7[[#This Row],[ID]]</f>
        <v>0</v>
      </c>
      <c r="M39" s="17" t="str">
        <f>_xlfn.CONCAT(Tabela7[[#This Row],[DATA]],"+",Tabela7[[#This Row],[NOME]])</f>
        <v>45890+LAUCEANDO DA SILVA ROCHA - 6220</v>
      </c>
      <c r="N39" s="11" t="e" cm="1">
        <f t="array" ref="N39">_xlfn.XLOOKUP(M39,tabE.Flux[[#All],[COMP.AT. MOT A]],#REF!,"NÃO",0,1)</f>
        <v>#REF!</v>
      </c>
      <c r="O39" s="11" t="e" cm="1">
        <f t="array" ref="O39">_xlfn.XLOOKUP(M39,tabE.Flux[[#All],[COMP.AT. MOT B]],#REF!,"NÃO",0,1)</f>
        <v>#REF!</v>
      </c>
      <c r="P39" s="12" t="e">
        <f>IF(N39="NÃO",(IF(O39="NÃO",(_xlfn.CONCAT(Tabela7[[#This Row],[DATA]]-1,"+",Tabela7[[#This Row],[NOME]])),"NÃO")),"NÃO")</f>
        <v>#REF!</v>
      </c>
      <c r="Q39" s="11" t="e" cm="1">
        <f t="array" ref="Q39">IF(P39="NÃO","NÃO",_xlfn.XLOOKUP(P39,tabE.Flux[COMP.AT. MOT A],#REF!,"NÃO",0,1))</f>
        <v>#REF!</v>
      </c>
      <c r="R39" s="14" t="e" cm="1">
        <f t="array" ref="R39">IF(P39="NÃO","NÃO",_xlfn.XLOOKUP(P39,tabE.Flux[COMP.AT. MOT B],#REF!,"NÃO",0,1))</f>
        <v>#REF!</v>
      </c>
      <c r="S39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39" s="16" t="e" cm="1">
        <f t="array" ref="T3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39" s="41" t="e" cm="1">
        <f t="array" ref="U3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40" spans="2:21" x14ac:dyDescent="0.25">
      <c r="B40" s="31"/>
      <c r="C40" s="37">
        <v>45891</v>
      </c>
      <c r="D40" s="33" t="e">
        <f>IF(IFERROR(Tabela10[[#This Row],[SIM]],"")="NÃO",(IF(Tabela7[[#This Row],[NOME]]=0,"","PASSE?")),Tabela10[[#This Row],[SIM]])</f>
        <v>#REF!</v>
      </c>
      <c r="E40" s="34" t="e">
        <f>Tabela10[[#This Row],[45886+JAKTAN DE OLIVEIRA RODRIGUES - 5836]]</f>
        <v>#REF!</v>
      </c>
      <c r="F40" s="33" t="s">
        <v>299</v>
      </c>
      <c r="G40" s="33" t="s">
        <v>55</v>
      </c>
      <c r="H40" s="4">
        <f>COUNTIF(Tabela10[45885+JAKTAN DE OLIVEIRA RODRIGUES - 5836],Tabela10[[#This Row],[45885+JAKTAN DE OLIVEIRA RODRIGUES - 5836]])</f>
        <v>1</v>
      </c>
      <c r="I40" s="45">
        <f>IF(Tabela7[[#This Row],[NOME]]&lt;&gt;0,15,"")</f>
        <v>15</v>
      </c>
      <c r="J40" s="33" t="e" cm="1">
        <f t="array" ref="J40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40" s="36">
        <f>Tabela7[[#This Row],[ID]]</f>
        <v>0</v>
      </c>
      <c r="M40" s="17" t="str">
        <f>_xlfn.CONCAT(Tabela7[[#This Row],[DATA]],"+",Tabela7[[#This Row],[NOME]])</f>
        <v>45891+EDIVALDO DE ARAUJO - 6217</v>
      </c>
      <c r="N40" s="11" t="e" cm="1">
        <f t="array" ref="N40">_xlfn.XLOOKUP(M40,tabE.Flux[[#All],[COMP.AT. MOT A]],#REF!,"NÃO",0,1)</f>
        <v>#REF!</v>
      </c>
      <c r="O40" s="11" t="e" cm="1">
        <f t="array" ref="O40">_xlfn.XLOOKUP(M40,tabE.Flux[[#All],[COMP.AT. MOT B]],#REF!,"NÃO",0,1)</f>
        <v>#REF!</v>
      </c>
      <c r="P40" s="12" t="e">
        <f>IF(N40="NÃO",(IF(O40="NÃO",(_xlfn.CONCAT(Tabela7[[#This Row],[DATA]]-1,"+",Tabela7[[#This Row],[NOME]])),"NÃO")),"NÃO")</f>
        <v>#REF!</v>
      </c>
      <c r="Q40" s="11" t="e" cm="1">
        <f t="array" ref="Q40">IF(P40="NÃO","NÃO",_xlfn.XLOOKUP(P40,tabE.Flux[COMP.AT. MOT A],#REF!,"NÃO",0,1))</f>
        <v>#REF!</v>
      </c>
      <c r="R40" s="14" t="e" cm="1">
        <f t="array" ref="R40">IF(P40="NÃO","NÃO",_xlfn.XLOOKUP(P40,tabE.Flux[COMP.AT. MOT B],#REF!,"NÃO",0,1))</f>
        <v>#REF!</v>
      </c>
      <c r="S40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40" s="16" t="e" cm="1">
        <f t="array" ref="T4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40" s="41" t="e" cm="1">
        <f t="array" ref="U4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41" spans="2:21" x14ac:dyDescent="0.25">
      <c r="B41" s="31"/>
      <c r="C41" s="37">
        <v>45891</v>
      </c>
      <c r="D41" s="33" t="e">
        <f>IF(IFERROR(Tabela10[[#This Row],[SIM]],"")="NÃO",(IF(Tabela7[[#This Row],[NOME]]=0,"","PASSE?")),Tabela10[[#This Row],[SIM]])</f>
        <v>#REF!</v>
      </c>
      <c r="E41" s="34" t="e">
        <f>Tabela10[[#This Row],[45886+JAKTAN DE OLIVEIRA RODRIGUES - 5836]]</f>
        <v>#REF!</v>
      </c>
      <c r="F41" s="33" t="s">
        <v>299</v>
      </c>
      <c r="G41" s="33" t="s">
        <v>43</v>
      </c>
      <c r="H41" s="4">
        <f>COUNTIF(Tabela10[45885+JAKTAN DE OLIVEIRA RODRIGUES - 5836],Tabela10[[#This Row],[45885+JAKTAN DE OLIVEIRA RODRIGUES - 5836]])</f>
        <v>1</v>
      </c>
      <c r="I41" s="45">
        <f>IF(Tabela7[[#This Row],[NOME]]&lt;&gt;0,15,"")</f>
        <v>15</v>
      </c>
      <c r="J41" s="33" t="e" cm="1">
        <f t="array" ref="J41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41" s="36">
        <f>Tabela7[[#This Row],[ID]]</f>
        <v>0</v>
      </c>
      <c r="M41" s="17" t="str">
        <f>_xlfn.CONCAT(Tabela7[[#This Row],[DATA]],"+",Tabela7[[#This Row],[NOME]])</f>
        <v>45891+PAULO ENEAS FARIAS ARAUJO - 6218</v>
      </c>
      <c r="N41" s="11" t="e" cm="1">
        <f t="array" ref="N41">_xlfn.XLOOKUP(M41,tabE.Flux[[#All],[COMP.AT. MOT A]],#REF!,"NÃO",0,1)</f>
        <v>#REF!</v>
      </c>
      <c r="O41" s="11" t="e" cm="1">
        <f t="array" ref="O41">_xlfn.XLOOKUP(M41,tabE.Flux[[#All],[COMP.AT. MOT B]],#REF!,"NÃO",0,1)</f>
        <v>#REF!</v>
      </c>
      <c r="P41" s="12" t="e">
        <f>IF(N41="NÃO",(IF(O41="NÃO",(_xlfn.CONCAT(Tabela7[[#This Row],[DATA]]-1,"+",Tabela7[[#This Row],[NOME]])),"NÃO")),"NÃO")</f>
        <v>#REF!</v>
      </c>
      <c r="Q41" s="11" t="e" cm="1">
        <f t="array" ref="Q41">IF(P41="NÃO","NÃO",_xlfn.XLOOKUP(P41,tabE.Flux[COMP.AT. MOT A],#REF!,"NÃO",0,1))</f>
        <v>#REF!</v>
      </c>
      <c r="R41" s="14" t="e" cm="1">
        <f t="array" ref="R41">IF(P41="NÃO","NÃO",_xlfn.XLOOKUP(P41,tabE.Flux[COMP.AT. MOT B],#REF!,"NÃO",0,1))</f>
        <v>#REF!</v>
      </c>
      <c r="S41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41" s="16" t="e" cm="1">
        <f t="array" ref="T4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41" s="41" t="e" cm="1">
        <f t="array" ref="U4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42" spans="2:21" x14ac:dyDescent="0.25">
      <c r="B42" s="31"/>
      <c r="C42" s="37">
        <v>45891</v>
      </c>
      <c r="D42" s="33" t="e">
        <f>IF(IFERROR(Tabela10[[#This Row],[SIM]],"")="NÃO",(IF(Tabela7[[#This Row],[NOME]]=0,"","PASSE?")),Tabela10[[#This Row],[SIM]])</f>
        <v>#REF!</v>
      </c>
      <c r="E42" s="34" t="e">
        <f>Tabela10[[#This Row],[45886+JAKTAN DE OLIVEIRA RODRIGUES - 5836]]</f>
        <v>#REF!</v>
      </c>
      <c r="F42" s="33" t="s">
        <v>299</v>
      </c>
      <c r="G42" s="33" t="s">
        <v>225</v>
      </c>
      <c r="H42" s="4">
        <f>COUNTIF(Tabela10[45885+JAKTAN DE OLIVEIRA RODRIGUES - 5836],Tabela10[[#This Row],[45885+JAKTAN DE OLIVEIRA RODRIGUES - 5836]])</f>
        <v>2</v>
      </c>
      <c r="I42" s="45">
        <f>IF(Tabela7[[#This Row],[NOME]]&lt;&gt;0,15,"")</f>
        <v>15</v>
      </c>
      <c r="J42" s="33" t="e" cm="1">
        <f t="array" ref="J42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42" s="36">
        <f>Tabela7[[#This Row],[ID]]</f>
        <v>0</v>
      </c>
      <c r="M42" s="17" t="str">
        <f>_xlfn.CONCAT(Tabela7[[#This Row],[DATA]],"+",Tabela7[[#This Row],[NOME]])</f>
        <v>45891+PAULO MORAES DOS SANTOS - 1534</v>
      </c>
      <c r="N42" s="11" t="e" cm="1">
        <f t="array" ref="N42">_xlfn.XLOOKUP(M42,tabE.Flux[[#All],[COMP.AT. MOT A]],#REF!,"NÃO",0,1)</f>
        <v>#REF!</v>
      </c>
      <c r="O42" s="11" t="e" cm="1">
        <f t="array" ref="O42">_xlfn.XLOOKUP(M42,tabE.Flux[[#All],[COMP.AT. MOT B]],#REF!,"NÃO",0,1)</f>
        <v>#REF!</v>
      </c>
      <c r="P42" s="12" t="e">
        <f>IF(N42="NÃO",(IF(O42="NÃO",(_xlfn.CONCAT(Tabela7[[#This Row],[DATA]]-1,"+",Tabela7[[#This Row],[NOME]])),"NÃO")),"NÃO")</f>
        <v>#REF!</v>
      </c>
      <c r="Q42" s="11" t="e" cm="1">
        <f t="array" ref="Q42">IF(P42="NÃO","NÃO",_xlfn.XLOOKUP(P42,tabE.Flux[COMP.AT. MOT A],#REF!,"NÃO",0,1))</f>
        <v>#REF!</v>
      </c>
      <c r="R42" s="14" t="e" cm="1">
        <f t="array" ref="R42">IF(P42="NÃO","NÃO",_xlfn.XLOOKUP(P42,tabE.Flux[COMP.AT. MOT B],#REF!,"NÃO",0,1))</f>
        <v>#REF!</v>
      </c>
      <c r="S42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42" s="16" t="e" cm="1">
        <f t="array" ref="T4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42" s="41" t="e" cm="1">
        <f t="array" ref="U4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43" spans="2:21" x14ac:dyDescent="0.25">
      <c r="B43" s="31"/>
      <c r="C43" s="37">
        <v>45891</v>
      </c>
      <c r="D43" s="33" t="e">
        <f>IF(IFERROR(Tabela10[[#This Row],[SIM]],"")="NÃO",(IF(Tabela7[[#This Row],[NOME]]=0,"","PASSE?")),Tabela10[[#This Row],[SIM]])</f>
        <v>#REF!</v>
      </c>
      <c r="E43" s="34" t="e">
        <f>Tabela10[[#This Row],[45886+JAKTAN DE OLIVEIRA RODRIGUES - 5836]]</f>
        <v>#REF!</v>
      </c>
      <c r="F43" s="33" t="s">
        <v>299</v>
      </c>
      <c r="G43" s="33" t="s">
        <v>173</v>
      </c>
      <c r="H43" s="4">
        <f>COUNTIF(Tabela10[45885+JAKTAN DE OLIVEIRA RODRIGUES - 5836],Tabela10[[#This Row],[45885+JAKTAN DE OLIVEIRA RODRIGUES - 5836]])</f>
        <v>1</v>
      </c>
      <c r="I43" s="45">
        <f>IF(Tabela7[[#This Row],[NOME]]&lt;&gt;0,15,"")</f>
        <v>15</v>
      </c>
      <c r="J43" s="33" t="e" cm="1">
        <f t="array" ref="J43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43" s="36">
        <f>Tabela7[[#This Row],[ID]]</f>
        <v>0</v>
      </c>
      <c r="M43" s="17" t="str">
        <f>_xlfn.CONCAT(Tabela7[[#This Row],[DATA]],"+",Tabela7[[#This Row],[NOME]])</f>
        <v>45891+MANOEL MESSIAS SILVA DOS SANTOS - 1833</v>
      </c>
      <c r="N43" s="11" t="e" cm="1">
        <f t="array" ref="N43">_xlfn.XLOOKUP(M43,tabE.Flux[[#All],[COMP.AT. MOT A]],#REF!,"NÃO",0,1)</f>
        <v>#REF!</v>
      </c>
      <c r="O43" s="11" t="e" cm="1">
        <f t="array" ref="O43">_xlfn.XLOOKUP(M43,tabE.Flux[[#All],[COMP.AT. MOT B]],#REF!,"NÃO",0,1)</f>
        <v>#REF!</v>
      </c>
      <c r="P43" s="12" t="e">
        <f>IF(N43="NÃO",(IF(O43="NÃO",(_xlfn.CONCAT(Tabela7[[#This Row],[DATA]]-1,"+",Tabela7[[#This Row],[NOME]])),"NÃO")),"NÃO")</f>
        <v>#REF!</v>
      </c>
      <c r="Q43" s="11" t="e" cm="1">
        <f t="array" ref="Q43">IF(P43="NÃO","NÃO",_xlfn.XLOOKUP(P43,tabE.Flux[COMP.AT. MOT A],#REF!,"NÃO",0,1))</f>
        <v>#REF!</v>
      </c>
      <c r="R43" s="14" t="e" cm="1">
        <f t="array" ref="R43">IF(P43="NÃO","NÃO",_xlfn.XLOOKUP(P43,tabE.Flux[COMP.AT. MOT B],#REF!,"NÃO",0,1))</f>
        <v>#REF!</v>
      </c>
      <c r="S43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43" s="16" t="e" cm="1">
        <f t="array" ref="T4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43" s="41" t="e" cm="1">
        <f t="array" ref="U4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44" spans="2:21" x14ac:dyDescent="0.25">
      <c r="B44" s="31"/>
      <c r="C44" s="37">
        <v>45891</v>
      </c>
      <c r="D44" s="33" t="e">
        <f>IF(IFERROR(Tabela10[[#This Row],[SIM]],"")="NÃO",(IF(Tabela7[[#This Row],[NOME]]=0,"","PASSE?")),Tabela10[[#This Row],[SIM]])</f>
        <v>#REF!</v>
      </c>
      <c r="E44" s="34" t="e">
        <f>Tabela10[[#This Row],[45886+JAKTAN DE OLIVEIRA RODRIGUES - 5836]]</f>
        <v>#REF!</v>
      </c>
      <c r="F44" s="33" t="s">
        <v>299</v>
      </c>
      <c r="G44" s="33" t="s">
        <v>225</v>
      </c>
      <c r="H44" s="4">
        <f>COUNTIF(Tabela10[45885+JAKTAN DE OLIVEIRA RODRIGUES - 5836],Tabela10[[#This Row],[45885+JAKTAN DE OLIVEIRA RODRIGUES - 5836]])</f>
        <v>2</v>
      </c>
      <c r="I44" s="45">
        <f>IF(Tabela7[[#This Row],[NOME]]&lt;&gt;0,15,"")</f>
        <v>15</v>
      </c>
      <c r="J44" s="33" t="e" cm="1">
        <f t="array" ref="J44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44" s="36">
        <f>Tabela7[[#This Row],[ID]]</f>
        <v>0</v>
      </c>
      <c r="M44" s="17" t="str">
        <f>_xlfn.CONCAT(Tabela7[[#This Row],[DATA]],"+",Tabela7[[#This Row],[NOME]])</f>
        <v>45891+PAULO MORAES DOS SANTOS - 1534</v>
      </c>
      <c r="N44" s="11" t="e" cm="1">
        <f t="array" ref="N44">_xlfn.XLOOKUP(M44,tabE.Flux[[#All],[COMP.AT. MOT A]],#REF!,"NÃO",0,1)</f>
        <v>#REF!</v>
      </c>
      <c r="O44" s="11" t="e" cm="1">
        <f t="array" ref="O44">_xlfn.XLOOKUP(M44,tabE.Flux[[#All],[COMP.AT. MOT B]],#REF!,"NÃO",0,1)</f>
        <v>#REF!</v>
      </c>
      <c r="P44" s="12" t="e">
        <f>IF(N44="NÃO",(IF(O44="NÃO",(_xlfn.CONCAT(Tabela7[[#This Row],[DATA]]-1,"+",Tabela7[[#This Row],[NOME]])),"NÃO")),"NÃO")</f>
        <v>#REF!</v>
      </c>
      <c r="Q44" s="11" t="e" cm="1">
        <f t="array" ref="Q44">IF(P44="NÃO","NÃO",_xlfn.XLOOKUP(P44,tabE.Flux[COMP.AT. MOT A],#REF!,"NÃO",0,1))</f>
        <v>#REF!</v>
      </c>
      <c r="R44" s="14" t="e" cm="1">
        <f t="array" ref="R44">IF(P44="NÃO","NÃO",_xlfn.XLOOKUP(P44,tabE.Flux[COMP.AT. MOT B],#REF!,"NÃO",0,1))</f>
        <v>#REF!</v>
      </c>
      <c r="S44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44" s="16" t="e" cm="1">
        <f t="array" ref="T4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44" s="41" t="e" cm="1">
        <f t="array" ref="U4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45" spans="2:21" x14ac:dyDescent="0.25">
      <c r="B45" s="31"/>
      <c r="C45" s="37">
        <v>45891</v>
      </c>
      <c r="D45" s="33" t="e">
        <f>IF(IFERROR(Tabela10[[#This Row],[SIM]],"")="NÃO",(IF(Tabela7[[#This Row],[NOME]]=0,"","PASSE?")),Tabela10[[#This Row],[SIM]])</f>
        <v>#REF!</v>
      </c>
      <c r="E45" s="34" t="e">
        <f>Tabela10[[#This Row],[45886+JAKTAN DE OLIVEIRA RODRIGUES - 5836]]</f>
        <v>#REF!</v>
      </c>
      <c r="F45" s="33" t="s">
        <v>299</v>
      </c>
      <c r="G45" s="38" t="s">
        <v>108</v>
      </c>
      <c r="H45" s="4">
        <f>COUNTIF(Tabela10[45885+JAKTAN DE OLIVEIRA RODRIGUES - 5836],Tabela10[[#This Row],[45885+JAKTAN DE OLIVEIRA RODRIGUES - 5836]])</f>
        <v>1</v>
      </c>
      <c r="I45" s="45">
        <f>IF(Tabela7[[#This Row],[NOME]]&lt;&gt;0,15,"")</f>
        <v>15</v>
      </c>
      <c r="J45" s="33" t="e" cm="1">
        <f t="array" ref="J45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45" s="36">
        <f>Tabela7[[#This Row],[ID]]</f>
        <v>0</v>
      </c>
      <c r="M45" s="17" t="str">
        <f>_xlfn.CONCAT(Tabela7[[#This Row],[DATA]],"+",Tabela7[[#This Row],[NOME]])</f>
        <v>45891+RAINERIO COSTA MENDES - 5850</v>
      </c>
      <c r="N45" s="11" t="e" cm="1">
        <f t="array" ref="N45">_xlfn.XLOOKUP(M45,tabE.Flux[[#All],[COMP.AT. MOT A]],#REF!,"NÃO",0,1)</f>
        <v>#REF!</v>
      </c>
      <c r="O45" s="11" t="e" cm="1">
        <f t="array" ref="O45">_xlfn.XLOOKUP(M45,tabE.Flux[[#All],[COMP.AT. MOT B]],#REF!,"NÃO",0,1)</f>
        <v>#REF!</v>
      </c>
      <c r="P45" s="12" t="e">
        <f>IF(N45="NÃO",(IF(O45="NÃO",(_xlfn.CONCAT(Tabela7[[#This Row],[DATA]]-1,"+",Tabela7[[#This Row],[NOME]])),"NÃO")),"NÃO")</f>
        <v>#REF!</v>
      </c>
      <c r="Q45" s="11" t="e" cm="1">
        <f t="array" ref="Q45">IF(P45="NÃO","NÃO",_xlfn.XLOOKUP(P45,tabE.Flux[COMP.AT. MOT A],#REF!,"NÃO",0,1))</f>
        <v>#REF!</v>
      </c>
      <c r="R45" s="14" t="e" cm="1">
        <f t="array" ref="R45">IF(P45="NÃO","NÃO",_xlfn.XLOOKUP(P45,tabE.Flux[COMP.AT. MOT B],#REF!,"NÃO",0,1))</f>
        <v>#REF!</v>
      </c>
      <c r="S45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45" s="16" t="e" cm="1">
        <f t="array" ref="T4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45" s="41" t="e" cm="1">
        <f t="array" ref="U4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46" spans="2:21" x14ac:dyDescent="0.25">
      <c r="B46" s="31"/>
      <c r="C46" s="37">
        <v>45891</v>
      </c>
      <c r="D46" s="33" t="e">
        <f>IF(IFERROR(Tabela10[[#This Row],[SIM]],"")="NÃO",(IF(Tabela7[[#This Row],[NOME]]=0,"","PASSE?")),Tabela10[[#This Row],[SIM]])</f>
        <v>#REF!</v>
      </c>
      <c r="E46" s="34" t="e">
        <f>Tabela10[[#This Row],[45886+JAKTAN DE OLIVEIRA RODRIGUES - 5836]]</f>
        <v>#REF!</v>
      </c>
      <c r="F46" s="33" t="s">
        <v>299</v>
      </c>
      <c r="G46" s="33" t="s">
        <v>107</v>
      </c>
      <c r="H46" s="4">
        <f>COUNTIF(Tabela10[45885+JAKTAN DE OLIVEIRA RODRIGUES - 5836],Tabela10[[#This Row],[45885+JAKTAN DE OLIVEIRA RODRIGUES - 5836]])</f>
        <v>1</v>
      </c>
      <c r="I46" s="45">
        <f>IF(Tabela7[[#This Row],[NOME]]&lt;&gt;0,15,"")</f>
        <v>15</v>
      </c>
      <c r="J46" s="33" t="e" cm="1">
        <f t="array" ref="J46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46" s="36">
        <f>Tabela7[[#This Row],[ID]]</f>
        <v>0</v>
      </c>
      <c r="M46" s="17" t="str">
        <f>_xlfn.CONCAT(Tabela7[[#This Row],[DATA]],"+",Tabela7[[#This Row],[NOME]])</f>
        <v>45891+MARCIO RODRIGUES DA COSTA - 5993</v>
      </c>
      <c r="N46" s="11" t="e" cm="1">
        <f t="array" ref="N46">_xlfn.XLOOKUP(M46,tabE.Flux[[#All],[COMP.AT. MOT A]],#REF!,"NÃO",0,1)</f>
        <v>#REF!</v>
      </c>
      <c r="O46" s="11" t="e" cm="1">
        <f t="array" ref="O46">_xlfn.XLOOKUP(M46,tabE.Flux[[#All],[COMP.AT. MOT B]],#REF!,"NÃO",0,1)</f>
        <v>#REF!</v>
      </c>
      <c r="P46" s="12" t="e">
        <f>IF(N46="NÃO",(IF(O46="NÃO",(_xlfn.CONCAT(Tabela7[[#This Row],[DATA]]-1,"+",Tabela7[[#This Row],[NOME]])),"NÃO")),"NÃO")</f>
        <v>#REF!</v>
      </c>
      <c r="Q46" s="11" t="e" cm="1">
        <f t="array" ref="Q46">IF(P46="NÃO","NÃO",_xlfn.XLOOKUP(P46,tabE.Flux[COMP.AT. MOT A],#REF!,"NÃO",0,1))</f>
        <v>#REF!</v>
      </c>
      <c r="R46" s="14" t="e" cm="1">
        <f t="array" ref="R46">IF(P46="NÃO","NÃO",_xlfn.XLOOKUP(P46,tabE.Flux[COMP.AT. MOT B],#REF!,"NÃO",0,1))</f>
        <v>#REF!</v>
      </c>
      <c r="S46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46" s="16" t="e" cm="1">
        <f t="array" ref="T4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46" s="41" t="e" cm="1">
        <f t="array" ref="U4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47" spans="2:21" x14ac:dyDescent="0.25">
      <c r="B47" s="31"/>
      <c r="C47" s="37">
        <v>45891</v>
      </c>
      <c r="D47" s="33" t="e">
        <f>IF(IFERROR(Tabela10[[#This Row],[SIM]],"")="NÃO",(IF(Tabela7[[#This Row],[NOME]]=0,"","PASSE?")),Tabela10[[#This Row],[SIM]])</f>
        <v>#REF!</v>
      </c>
      <c r="E47" s="34" t="e">
        <f>Tabela10[[#This Row],[45886+JAKTAN DE OLIVEIRA RODRIGUES - 5836]]</f>
        <v>#REF!</v>
      </c>
      <c r="F47" s="33" t="s">
        <v>299</v>
      </c>
      <c r="G47" s="33" t="s">
        <v>91</v>
      </c>
      <c r="H47" s="4">
        <f>COUNTIF(Tabela10[45885+JAKTAN DE OLIVEIRA RODRIGUES - 5836],Tabela10[[#This Row],[45885+JAKTAN DE OLIVEIRA RODRIGUES - 5836]])</f>
        <v>1</v>
      </c>
      <c r="I47" s="45">
        <f>IF(Tabela7[[#This Row],[NOME]]&lt;&gt;0,15,"")</f>
        <v>15</v>
      </c>
      <c r="J47" s="33" t="e" cm="1">
        <f t="array" ref="J47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47" s="36">
        <f>Tabela7[[#This Row],[ID]]</f>
        <v>0</v>
      </c>
      <c r="M47" s="17" t="str">
        <f>_xlfn.CONCAT(Tabela7[[#This Row],[DATA]],"+",Tabela7[[#This Row],[NOME]])</f>
        <v>45891+JOSE ALVES DA ROCHA - 5035</v>
      </c>
      <c r="N47" s="11" t="e" cm="1">
        <f t="array" ref="N47">_xlfn.XLOOKUP(M47,tabE.Flux[[#All],[COMP.AT. MOT A]],#REF!,"NÃO",0,1)</f>
        <v>#REF!</v>
      </c>
      <c r="O47" s="11" t="e" cm="1">
        <f t="array" ref="O47">_xlfn.XLOOKUP(M47,tabE.Flux[[#All],[COMP.AT. MOT B]],#REF!,"NÃO",0,1)</f>
        <v>#REF!</v>
      </c>
      <c r="P47" s="12" t="e">
        <f>IF(N47="NÃO",(IF(O47="NÃO",(_xlfn.CONCAT(Tabela7[[#This Row],[DATA]]-1,"+",Tabela7[[#This Row],[NOME]])),"NÃO")),"NÃO")</f>
        <v>#REF!</v>
      </c>
      <c r="Q47" s="11" t="e" cm="1">
        <f t="array" ref="Q47">IF(P47="NÃO","NÃO",_xlfn.XLOOKUP(P47,tabE.Flux[COMP.AT. MOT A],#REF!,"NÃO",0,1))</f>
        <v>#REF!</v>
      </c>
      <c r="R47" s="14" t="e" cm="1">
        <f t="array" ref="R47">IF(P47="NÃO","NÃO",_xlfn.XLOOKUP(P47,tabE.Flux[COMP.AT. MOT B],#REF!,"NÃO",0,1))</f>
        <v>#REF!</v>
      </c>
      <c r="S47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47" s="16" t="e" cm="1">
        <f t="array" ref="T4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47" s="41" t="e" cm="1">
        <f t="array" ref="U4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48" spans="2:21" x14ac:dyDescent="0.25">
      <c r="B48" s="31"/>
      <c r="C48" s="37">
        <v>45891</v>
      </c>
      <c r="D48" s="33" t="e">
        <f>IF(IFERROR(Tabela10[[#This Row],[SIM]],"")="NÃO",(IF(Tabela7[[#This Row],[NOME]]=0,"","PASSE?")),Tabela10[[#This Row],[SIM]])</f>
        <v>#REF!</v>
      </c>
      <c r="E48" s="34" t="e">
        <f>Tabela10[[#This Row],[45886+JAKTAN DE OLIVEIRA RODRIGUES - 5836]]</f>
        <v>#REF!</v>
      </c>
      <c r="F48" s="33" t="s">
        <v>299</v>
      </c>
      <c r="G48" s="33" t="s">
        <v>110</v>
      </c>
      <c r="H48" s="4">
        <f>COUNTIF(Tabela10[45885+JAKTAN DE OLIVEIRA RODRIGUES - 5836],Tabela10[[#This Row],[45885+JAKTAN DE OLIVEIRA RODRIGUES - 5836]])</f>
        <v>1</v>
      </c>
      <c r="I48" s="45">
        <f>IF(Tabela7[[#This Row],[NOME]]&lt;&gt;0,15,"")</f>
        <v>15</v>
      </c>
      <c r="J48" s="33" t="e" cm="1">
        <f t="array" ref="J48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48" s="36">
        <f>Tabela7[[#This Row],[ID]]</f>
        <v>0</v>
      </c>
      <c r="M48" s="17" t="str">
        <f>_xlfn.CONCAT(Tabela7[[#This Row],[DATA]],"+",Tabela7[[#This Row],[NOME]])</f>
        <v>45891+CARLOS ADRIANO DE SOUZA DO NASCIMENTO - 6222</v>
      </c>
      <c r="N48" s="11" t="e" cm="1">
        <f t="array" ref="N48">_xlfn.XLOOKUP(M48,tabE.Flux[[#All],[COMP.AT. MOT A]],#REF!,"NÃO",0,1)</f>
        <v>#REF!</v>
      </c>
      <c r="O48" s="11" t="e" cm="1">
        <f t="array" ref="O48">_xlfn.XLOOKUP(M48,tabE.Flux[[#All],[COMP.AT. MOT B]],#REF!,"NÃO",0,1)</f>
        <v>#REF!</v>
      </c>
      <c r="P48" s="12" t="e">
        <f>IF(N48="NÃO",(IF(O48="NÃO",(_xlfn.CONCAT(Tabela7[[#This Row],[DATA]]-1,"+",Tabela7[[#This Row],[NOME]])),"NÃO")),"NÃO")</f>
        <v>#REF!</v>
      </c>
      <c r="Q48" s="11" t="e" cm="1">
        <f t="array" ref="Q48">IF(P48="NÃO","NÃO",_xlfn.XLOOKUP(P48,tabE.Flux[COMP.AT. MOT A],#REF!,"NÃO",0,1))</f>
        <v>#REF!</v>
      </c>
      <c r="R48" s="14" t="e" cm="1">
        <f t="array" ref="R48">IF(P48="NÃO","NÃO",_xlfn.XLOOKUP(P48,tabE.Flux[COMP.AT. MOT B],#REF!,"NÃO",0,1))</f>
        <v>#REF!</v>
      </c>
      <c r="S48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48" s="16" t="e" cm="1">
        <f t="array" ref="T4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48" s="41" t="e" cm="1">
        <f t="array" ref="U4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49" spans="2:21" x14ac:dyDescent="0.25">
      <c r="B49" s="31"/>
      <c r="C49" s="37">
        <v>45891</v>
      </c>
      <c r="D49" s="33" t="e">
        <f>IF(IFERROR(Tabela10[[#This Row],[SIM]],"")="NÃO",(IF(Tabela7[[#This Row],[NOME]]=0,"","PASSE?")),Tabela10[[#This Row],[SIM]])</f>
        <v>#REF!</v>
      </c>
      <c r="E49" s="34" t="e">
        <f>Tabela10[[#This Row],[45886+JAKTAN DE OLIVEIRA RODRIGUES - 5836]]</f>
        <v>#REF!</v>
      </c>
      <c r="F49" s="33" t="s">
        <v>299</v>
      </c>
      <c r="G49" s="33" t="s">
        <v>201</v>
      </c>
      <c r="H49" s="4">
        <f>COUNTIF(Tabela10[45885+JAKTAN DE OLIVEIRA RODRIGUES - 5836],Tabela10[[#This Row],[45885+JAKTAN DE OLIVEIRA RODRIGUES - 5836]])</f>
        <v>1</v>
      </c>
      <c r="I49" s="45">
        <f>IF(Tabela7[[#This Row],[NOME]]&lt;&gt;0,15,"")</f>
        <v>15</v>
      </c>
      <c r="J49" s="33" t="e" cm="1">
        <f t="array" ref="J49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49" s="36">
        <f>Tabela7[[#This Row],[ID]]</f>
        <v>0</v>
      </c>
      <c r="M49" s="17" t="str">
        <f>_xlfn.CONCAT(Tabela7[[#This Row],[DATA]],"+",Tabela7[[#This Row],[NOME]])</f>
        <v>45891+WASHINGTON ALVES BRITO - 1553</v>
      </c>
      <c r="N49" s="11" t="e" cm="1">
        <f t="array" ref="N49">_xlfn.XLOOKUP(M49,tabE.Flux[[#All],[COMP.AT. MOT A]],#REF!,"NÃO",0,1)</f>
        <v>#REF!</v>
      </c>
      <c r="O49" s="11" t="e" cm="1">
        <f t="array" ref="O49">_xlfn.XLOOKUP(M49,tabE.Flux[[#All],[COMP.AT. MOT B]],#REF!,"NÃO",0,1)</f>
        <v>#REF!</v>
      </c>
      <c r="P49" s="12" t="e">
        <f>IF(N49="NÃO",(IF(O49="NÃO",(_xlfn.CONCAT(Tabela7[[#This Row],[DATA]]-1,"+",Tabela7[[#This Row],[NOME]])),"NÃO")),"NÃO")</f>
        <v>#REF!</v>
      </c>
      <c r="Q49" s="11" t="e" cm="1">
        <f t="array" ref="Q49">IF(P49="NÃO","NÃO",_xlfn.XLOOKUP(P49,tabE.Flux[COMP.AT. MOT A],#REF!,"NÃO",0,1))</f>
        <v>#REF!</v>
      </c>
      <c r="R49" s="14" t="e" cm="1">
        <f t="array" ref="R49">IF(P49="NÃO","NÃO",_xlfn.XLOOKUP(P49,tabE.Flux[COMP.AT. MOT B],#REF!,"NÃO",0,1))</f>
        <v>#REF!</v>
      </c>
      <c r="S49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49" s="16" t="e" cm="1">
        <f t="array" ref="T4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49" s="41" t="e" cm="1">
        <f t="array" ref="U4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50" spans="2:21" x14ac:dyDescent="0.25">
      <c r="B50" s="31"/>
      <c r="C50" s="37">
        <v>45892</v>
      </c>
      <c r="D50" s="33" t="e">
        <f>IF(IFERROR(Tabela10[[#This Row],[SIM]],"")="NÃO",(IF(Tabela7[[#This Row],[NOME]]=0,"","PASSE?")),Tabela10[[#This Row],[SIM]])</f>
        <v>#REF!</v>
      </c>
      <c r="E50" s="34" t="e">
        <f>Tabela10[[#This Row],[45886+JAKTAN DE OLIVEIRA RODRIGUES - 5836]]</f>
        <v>#REF!</v>
      </c>
      <c r="F50" s="33" t="s">
        <v>299</v>
      </c>
      <c r="G50" s="33" t="s">
        <v>141</v>
      </c>
      <c r="H50" s="4">
        <f>COUNTIF(Tabela10[45885+JAKTAN DE OLIVEIRA RODRIGUES - 5836],Tabela10[[#This Row],[45885+JAKTAN DE OLIVEIRA RODRIGUES - 5836]])</f>
        <v>1</v>
      </c>
      <c r="I50" s="45">
        <f>IF(Tabela7[[#This Row],[NOME]]&lt;&gt;0,15,"")</f>
        <v>15</v>
      </c>
      <c r="J50" s="33" t="e" cm="1">
        <f t="array" ref="J50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50" s="36">
        <f>Tabela7[[#This Row],[ID]]</f>
        <v>0</v>
      </c>
      <c r="M50" s="17" t="str">
        <f>_xlfn.CONCAT(Tabela7[[#This Row],[DATA]],"+",Tabela7[[#This Row],[NOME]])</f>
        <v>45892+JOSE HAILTON PEREIRA DOS SANTOS - 6018</v>
      </c>
      <c r="N50" s="11" t="e" cm="1">
        <f t="array" ref="N50">_xlfn.XLOOKUP(M50,tabE.Flux[[#All],[COMP.AT. MOT A]],#REF!,"NÃO",0,1)</f>
        <v>#REF!</v>
      </c>
      <c r="O50" s="11" t="e" cm="1">
        <f t="array" ref="O50">_xlfn.XLOOKUP(M50,tabE.Flux[[#All],[COMP.AT. MOT B]],#REF!,"NÃO",0,1)</f>
        <v>#REF!</v>
      </c>
      <c r="P50" s="12" t="e">
        <f>IF(N50="NÃO",(IF(O50="NÃO",(_xlfn.CONCAT(Tabela7[[#This Row],[DATA]]-1,"+",Tabela7[[#This Row],[NOME]])),"NÃO")),"NÃO")</f>
        <v>#REF!</v>
      </c>
      <c r="Q50" s="11" t="e" cm="1">
        <f t="array" ref="Q50">IF(P50="NÃO","NÃO",_xlfn.XLOOKUP(P50,tabE.Flux[COMP.AT. MOT A],#REF!,"NÃO",0,1))</f>
        <v>#REF!</v>
      </c>
      <c r="R50" s="14" t="e" cm="1">
        <f t="array" ref="R50">IF(P50="NÃO","NÃO",_xlfn.XLOOKUP(P50,tabE.Flux[COMP.AT. MOT B],#REF!,"NÃO",0,1))</f>
        <v>#REF!</v>
      </c>
      <c r="S50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50" s="16" t="e" cm="1">
        <f t="array" ref="T5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50" s="41" t="e" cm="1">
        <f t="array" ref="U5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51" spans="2:21" x14ac:dyDescent="0.25">
      <c r="B51" s="31"/>
      <c r="C51" s="37">
        <v>45892</v>
      </c>
      <c r="D51" s="33" t="e">
        <f>IF(IFERROR(Tabela10[[#This Row],[SIM]],"")="NÃO",(IF(Tabela7[[#This Row],[NOME]]=0,"","PASSE?")),Tabela10[[#This Row],[SIM]])</f>
        <v>#REF!</v>
      </c>
      <c r="E51" s="34" t="e">
        <f>Tabela10[[#This Row],[45886+JAKTAN DE OLIVEIRA RODRIGUES - 5836]]</f>
        <v>#REF!</v>
      </c>
      <c r="F51" s="33" t="s">
        <v>299</v>
      </c>
      <c r="G51" s="33" t="s">
        <v>56</v>
      </c>
      <c r="H51" s="4">
        <f>COUNTIF(Tabela10[45885+JAKTAN DE OLIVEIRA RODRIGUES - 5836],Tabela10[[#This Row],[45885+JAKTAN DE OLIVEIRA RODRIGUES - 5836]])</f>
        <v>1</v>
      </c>
      <c r="I51" s="45">
        <f>IF(Tabela7[[#This Row],[NOME]]&lt;&gt;0,15,"")</f>
        <v>15</v>
      </c>
      <c r="J51" s="33" t="e" cm="1">
        <f t="array" ref="J51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51" s="36">
        <f>Tabela7[[#This Row],[ID]]</f>
        <v>0</v>
      </c>
      <c r="M51" s="17" t="str">
        <f>_xlfn.CONCAT(Tabela7[[#This Row],[DATA]],"+",Tabela7[[#This Row],[NOME]])</f>
        <v>45892+RICHARD SOUSA DA SILVA - 1271</v>
      </c>
      <c r="N51" s="11" t="e" cm="1">
        <f t="array" ref="N51">_xlfn.XLOOKUP(M51,tabE.Flux[[#All],[COMP.AT. MOT A]],#REF!,"NÃO",0,1)</f>
        <v>#REF!</v>
      </c>
      <c r="O51" s="11" t="e" cm="1">
        <f t="array" ref="O51">_xlfn.XLOOKUP(M51,tabE.Flux[[#All],[COMP.AT. MOT B]],#REF!,"NÃO",0,1)</f>
        <v>#REF!</v>
      </c>
      <c r="P51" s="12" t="e">
        <f>IF(N51="NÃO",(IF(O51="NÃO",(_xlfn.CONCAT(Tabela7[[#This Row],[DATA]]-1,"+",Tabela7[[#This Row],[NOME]])),"NÃO")),"NÃO")</f>
        <v>#REF!</v>
      </c>
      <c r="Q51" s="11" t="e" cm="1">
        <f t="array" ref="Q51">IF(P51="NÃO","NÃO",_xlfn.XLOOKUP(P51,tabE.Flux[COMP.AT. MOT A],#REF!,"NÃO",0,1))</f>
        <v>#REF!</v>
      </c>
      <c r="R51" s="14" t="e" cm="1">
        <f t="array" ref="R51">IF(P51="NÃO","NÃO",_xlfn.XLOOKUP(P51,tabE.Flux[COMP.AT. MOT B],#REF!,"NÃO",0,1))</f>
        <v>#REF!</v>
      </c>
      <c r="S51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51" s="16" t="e" cm="1">
        <f t="array" ref="T5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51" s="41" t="e" cm="1">
        <f t="array" ref="U5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52" spans="2:21" x14ac:dyDescent="0.25">
      <c r="B52" s="31"/>
      <c r="C52" s="37">
        <v>45892</v>
      </c>
      <c r="D52" s="33" t="e">
        <f>IF(IFERROR(Tabela10[[#This Row],[SIM]],"")="NÃO",(IF(Tabela7[[#This Row],[NOME]]=0,"","PASSE?")),Tabela10[[#This Row],[SIM]])</f>
        <v>#REF!</v>
      </c>
      <c r="E52" s="34" t="e">
        <f>Tabela10[[#This Row],[45886+JAKTAN DE OLIVEIRA RODRIGUES - 5836]]</f>
        <v>#REF!</v>
      </c>
      <c r="F52" s="33" t="s">
        <v>299</v>
      </c>
      <c r="G52" s="33" t="s">
        <v>45</v>
      </c>
      <c r="H52" s="4">
        <f>COUNTIF(Tabela10[45885+JAKTAN DE OLIVEIRA RODRIGUES - 5836],Tabela10[[#This Row],[45885+JAKTAN DE OLIVEIRA RODRIGUES - 5836]])</f>
        <v>2</v>
      </c>
      <c r="I52" s="45">
        <f>IF(Tabela7[[#This Row],[NOME]]&lt;&gt;0,15,"")</f>
        <v>15</v>
      </c>
      <c r="J52" s="33" t="e" cm="1">
        <f t="array" ref="J52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52" s="36">
        <f>Tabela7[[#This Row],[ID]]</f>
        <v>0</v>
      </c>
      <c r="M52" s="17" t="str">
        <f>_xlfn.CONCAT(Tabela7[[#This Row],[DATA]],"+",Tabela7[[#This Row],[NOME]])</f>
        <v>45892+RAIMUNDO COSTA SILVA - 6226</v>
      </c>
      <c r="N52" s="11" t="e" cm="1">
        <f t="array" ref="N52">_xlfn.XLOOKUP(M52,tabE.Flux[[#All],[COMP.AT. MOT A]],#REF!,"NÃO",0,1)</f>
        <v>#REF!</v>
      </c>
      <c r="O52" s="11" t="e" cm="1">
        <f t="array" ref="O52">_xlfn.XLOOKUP(M52,tabE.Flux[[#All],[COMP.AT. MOT B]],#REF!,"NÃO",0,1)</f>
        <v>#REF!</v>
      </c>
      <c r="P52" s="12" t="e">
        <f>IF(N52="NÃO",(IF(O52="NÃO",(_xlfn.CONCAT(Tabela7[[#This Row],[DATA]]-1,"+",Tabela7[[#This Row],[NOME]])),"NÃO")),"NÃO")</f>
        <v>#REF!</v>
      </c>
      <c r="Q52" s="11" t="e" cm="1">
        <f t="array" ref="Q52">IF(P52="NÃO","NÃO",_xlfn.XLOOKUP(P52,tabE.Flux[COMP.AT. MOT A],#REF!,"NÃO",0,1))</f>
        <v>#REF!</v>
      </c>
      <c r="R52" s="14" t="e" cm="1">
        <f t="array" ref="R52">IF(P52="NÃO","NÃO",_xlfn.XLOOKUP(P52,tabE.Flux[COMP.AT. MOT B],#REF!,"NÃO",0,1))</f>
        <v>#REF!</v>
      </c>
      <c r="S52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52" s="16" t="e" cm="1">
        <f t="array" ref="T5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52" s="41" t="e" cm="1">
        <f t="array" ref="U5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53" spans="2:21" x14ac:dyDescent="0.25">
      <c r="B53" s="31"/>
      <c r="C53" s="37">
        <v>45892</v>
      </c>
      <c r="D53" s="33" t="e">
        <f>IF(IFERROR(Tabela10[[#This Row],[SIM]],"")="NÃO",(IF(Tabela7[[#This Row],[NOME]]=0,"","PASSE?")),Tabela10[[#This Row],[SIM]])</f>
        <v>#REF!</v>
      </c>
      <c r="E53" s="34" t="e">
        <f>Tabela10[[#This Row],[45886+JAKTAN DE OLIVEIRA RODRIGUES - 5836]]</f>
        <v>#REF!</v>
      </c>
      <c r="F53" s="33" t="s">
        <v>299</v>
      </c>
      <c r="G53" s="33" t="s">
        <v>52</v>
      </c>
      <c r="H53" s="4">
        <f>COUNTIF(Tabela10[45885+JAKTAN DE OLIVEIRA RODRIGUES - 5836],Tabela10[[#This Row],[45885+JAKTAN DE OLIVEIRA RODRIGUES - 5836]])</f>
        <v>2</v>
      </c>
      <c r="I53" s="45">
        <f>IF(Tabela7[[#This Row],[NOME]]&lt;&gt;0,15,"")</f>
        <v>15</v>
      </c>
      <c r="J53" s="33" t="e" cm="1">
        <f t="array" ref="J53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53" s="36">
        <f>Tabela7[[#This Row],[ID]]</f>
        <v>0</v>
      </c>
      <c r="M53" s="17" t="str">
        <f>_xlfn.CONCAT(Tabela7[[#This Row],[DATA]],"+",Tabela7[[#This Row],[NOME]])</f>
        <v>45892+ANTONIO JOSE PEREIRA SOARES - 1774</v>
      </c>
      <c r="N53" s="11" t="e" cm="1">
        <f t="array" ref="N53">_xlfn.XLOOKUP(M53,tabE.Flux[[#All],[COMP.AT. MOT A]],#REF!,"NÃO",0,1)</f>
        <v>#REF!</v>
      </c>
      <c r="O53" s="11" t="e" cm="1">
        <f t="array" ref="O53">_xlfn.XLOOKUP(M53,tabE.Flux[[#All],[COMP.AT. MOT B]],#REF!,"NÃO",0,1)</f>
        <v>#REF!</v>
      </c>
      <c r="P53" s="12" t="e">
        <f>IF(N53="NÃO",(IF(O53="NÃO",(_xlfn.CONCAT(Tabela7[[#This Row],[DATA]]-1,"+",Tabela7[[#This Row],[NOME]])),"NÃO")),"NÃO")</f>
        <v>#REF!</v>
      </c>
      <c r="Q53" s="11" t="e" cm="1">
        <f t="array" ref="Q53">IF(P53="NÃO","NÃO",_xlfn.XLOOKUP(P53,tabE.Flux[COMP.AT. MOT A],#REF!,"NÃO",0,1))</f>
        <v>#REF!</v>
      </c>
      <c r="R53" s="14" t="e" cm="1">
        <f t="array" ref="R53">IF(P53="NÃO","NÃO",_xlfn.XLOOKUP(P53,tabE.Flux[COMP.AT. MOT B],#REF!,"NÃO",0,1))</f>
        <v>#REF!</v>
      </c>
      <c r="S53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53" s="16" t="e" cm="1">
        <f t="array" ref="T5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53" s="41" t="e" cm="1">
        <f t="array" ref="U5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54" spans="2:21" x14ac:dyDescent="0.25">
      <c r="B54" s="31"/>
      <c r="C54" s="37">
        <v>45892</v>
      </c>
      <c r="D54" s="33" t="e">
        <f>IF(IFERROR(Tabela10[[#This Row],[SIM]],"")="NÃO",(IF(Tabela7[[#This Row],[NOME]]=0,"","PASSE?")),Tabela10[[#This Row],[SIM]])</f>
        <v>#REF!</v>
      </c>
      <c r="E54" s="34" t="e">
        <f>Tabela10[[#This Row],[45886+JAKTAN DE OLIVEIRA RODRIGUES - 5836]]</f>
        <v>#REF!</v>
      </c>
      <c r="F54" s="33" t="s">
        <v>299</v>
      </c>
      <c r="G54" s="33" t="s">
        <v>30</v>
      </c>
      <c r="H54" s="4">
        <f>COUNTIF(Tabela10[45885+JAKTAN DE OLIVEIRA RODRIGUES - 5836],Tabela10[[#This Row],[45885+JAKTAN DE OLIVEIRA RODRIGUES - 5836]])</f>
        <v>2</v>
      </c>
      <c r="I54" s="45">
        <f>IF(Tabela7[[#This Row],[NOME]]&lt;&gt;0,15,"")</f>
        <v>15</v>
      </c>
      <c r="J54" s="33" t="e" cm="1">
        <f t="array" ref="J54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54" s="36">
        <f>Tabela7[[#This Row],[ID]]</f>
        <v>0</v>
      </c>
      <c r="M54" s="17" t="str">
        <f>_xlfn.CONCAT(Tabela7[[#This Row],[DATA]],"+",Tabela7[[#This Row],[NOME]])</f>
        <v>45892+JEFFERSON CARDOSO DOS SANTOS - 5837</v>
      </c>
      <c r="N54" s="11" t="e" cm="1">
        <f t="array" ref="N54">_xlfn.XLOOKUP(M54,tabE.Flux[[#All],[COMP.AT. MOT A]],#REF!,"NÃO",0,1)</f>
        <v>#REF!</v>
      </c>
      <c r="O54" s="11" t="e" cm="1">
        <f t="array" ref="O54">_xlfn.XLOOKUP(M54,tabE.Flux[[#All],[COMP.AT. MOT B]],#REF!,"NÃO",0,1)</f>
        <v>#REF!</v>
      </c>
      <c r="P54" s="12" t="e">
        <f>IF(N54="NÃO",(IF(O54="NÃO",(_xlfn.CONCAT(Tabela7[[#This Row],[DATA]]-1,"+",Tabela7[[#This Row],[NOME]])),"NÃO")),"NÃO")</f>
        <v>#REF!</v>
      </c>
      <c r="Q54" s="11" t="e" cm="1">
        <f t="array" ref="Q54">IF(P54="NÃO","NÃO",_xlfn.XLOOKUP(P54,tabE.Flux[COMP.AT. MOT A],#REF!,"NÃO",0,1))</f>
        <v>#REF!</v>
      </c>
      <c r="R54" s="14" t="e" cm="1">
        <f t="array" ref="R54">IF(P54="NÃO","NÃO",_xlfn.XLOOKUP(P54,tabE.Flux[COMP.AT. MOT B],#REF!,"NÃO",0,1))</f>
        <v>#REF!</v>
      </c>
      <c r="S54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54" s="16" t="e" cm="1">
        <f t="array" ref="T5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54" s="41" t="e" cm="1">
        <f t="array" ref="U5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55" spans="2:21" x14ac:dyDescent="0.25">
      <c r="B55" s="31"/>
      <c r="C55" s="37">
        <v>45892</v>
      </c>
      <c r="D55" s="33" t="e">
        <f>IF(IFERROR(Tabela10[[#This Row],[SIM]],"")="NÃO",(IF(Tabela7[[#This Row],[NOME]]=0,"","PASSE?")),Tabela10[[#This Row],[SIM]])</f>
        <v>#REF!</v>
      </c>
      <c r="E55" s="34" t="e">
        <f>Tabela10[[#This Row],[45886+JAKTAN DE OLIVEIRA RODRIGUES - 5836]]</f>
        <v>#REF!</v>
      </c>
      <c r="F55" s="33" t="s">
        <v>299</v>
      </c>
      <c r="G55" s="39" t="s">
        <v>197</v>
      </c>
      <c r="H55" s="4">
        <f>COUNTIF(Tabela10[45885+JAKTAN DE OLIVEIRA RODRIGUES - 5836],Tabela10[[#This Row],[45885+JAKTAN DE OLIVEIRA RODRIGUES - 5836]])</f>
        <v>1</v>
      </c>
      <c r="I55" s="45">
        <f>IF(Tabela7[[#This Row],[NOME]]&lt;&gt;0,15,"")</f>
        <v>15</v>
      </c>
      <c r="J55" s="33" t="e" cm="1">
        <f t="array" ref="J55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55" s="36">
        <f>Tabela7[[#This Row],[ID]]</f>
        <v>0</v>
      </c>
      <c r="M55" s="17" t="str">
        <f>_xlfn.CONCAT(Tabela7[[#This Row],[DATA]],"+",Tabela7[[#This Row],[NOME]])</f>
        <v>45892+DAVID ALVES PEREIRA - 5300</v>
      </c>
      <c r="N55" s="11" t="e" cm="1">
        <f t="array" ref="N55">_xlfn.XLOOKUP(M55,tabE.Flux[[#All],[COMP.AT. MOT A]],#REF!,"NÃO",0,1)</f>
        <v>#REF!</v>
      </c>
      <c r="O55" s="11" t="e" cm="1">
        <f t="array" ref="O55">_xlfn.XLOOKUP(M55,tabE.Flux[[#All],[COMP.AT. MOT B]],#REF!,"NÃO",0,1)</f>
        <v>#REF!</v>
      </c>
      <c r="P55" s="12" t="e">
        <f>IF(N55="NÃO",(IF(O55="NÃO",(_xlfn.CONCAT(Tabela7[[#This Row],[DATA]]-1,"+",Tabela7[[#This Row],[NOME]])),"NÃO")),"NÃO")</f>
        <v>#REF!</v>
      </c>
      <c r="Q55" s="11" t="e" cm="1">
        <f t="array" ref="Q55">IF(P55="NÃO","NÃO",_xlfn.XLOOKUP(P55,tabE.Flux[COMP.AT. MOT A],#REF!,"NÃO",0,1))</f>
        <v>#REF!</v>
      </c>
      <c r="R55" s="14" t="e" cm="1">
        <f t="array" ref="R55">IF(P55="NÃO","NÃO",_xlfn.XLOOKUP(P55,tabE.Flux[COMP.AT. MOT B],#REF!,"NÃO",0,1))</f>
        <v>#REF!</v>
      </c>
      <c r="S55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55" s="16" t="e" cm="1">
        <f t="array" ref="T5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55" s="41" t="e" cm="1">
        <f t="array" ref="U5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56" spans="2:21" x14ac:dyDescent="0.25">
      <c r="B56" s="31"/>
      <c r="C56" s="37">
        <v>45892</v>
      </c>
      <c r="D56" s="33" t="e">
        <f>IF(IFERROR(Tabela10[[#This Row],[SIM]],"")="NÃO",(IF(Tabela7[[#This Row],[NOME]]=0,"","PASSE?")),Tabela10[[#This Row],[SIM]])</f>
        <v>#REF!</v>
      </c>
      <c r="E56" s="34" t="e">
        <f>Tabela10[[#This Row],[45886+JAKTAN DE OLIVEIRA RODRIGUES - 5836]]</f>
        <v>#REF!</v>
      </c>
      <c r="F56" s="33" t="s">
        <v>299</v>
      </c>
      <c r="G56" s="39" t="s">
        <v>210</v>
      </c>
      <c r="H56" s="4">
        <f>COUNTIF(Tabela10[45885+JAKTAN DE OLIVEIRA RODRIGUES - 5836],Tabela10[[#This Row],[45885+JAKTAN DE OLIVEIRA RODRIGUES - 5836]])</f>
        <v>1</v>
      </c>
      <c r="I56" s="45">
        <f>IF(Tabela7[[#This Row],[NOME]]&lt;&gt;0,15,"")</f>
        <v>15</v>
      </c>
      <c r="J56" s="33" t="e" cm="1">
        <f t="array" ref="J56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56" s="36">
        <f>Tabela7[[#This Row],[ID]]</f>
        <v>0</v>
      </c>
      <c r="M56" s="17" t="str">
        <f>_xlfn.CONCAT(Tabela7[[#This Row],[DATA]],"+",Tabela7[[#This Row],[NOME]])</f>
        <v>45892+MARCOS ANTONIO ALVES DE SOUSA - 5278</v>
      </c>
      <c r="N56" s="11" t="e" cm="1">
        <f t="array" ref="N56">_xlfn.XLOOKUP(M56,tabE.Flux[[#All],[COMP.AT. MOT A]],#REF!,"NÃO",0,1)</f>
        <v>#REF!</v>
      </c>
      <c r="O56" s="11" t="e" cm="1">
        <f t="array" ref="O56">_xlfn.XLOOKUP(M56,tabE.Flux[[#All],[COMP.AT. MOT B]],#REF!,"NÃO",0,1)</f>
        <v>#REF!</v>
      </c>
      <c r="P56" s="12" t="e">
        <f>IF(N56="NÃO",(IF(O56="NÃO",(_xlfn.CONCAT(Tabela7[[#This Row],[DATA]]-1,"+",Tabela7[[#This Row],[NOME]])),"NÃO")),"NÃO")</f>
        <v>#REF!</v>
      </c>
      <c r="Q56" s="11" t="e" cm="1">
        <f t="array" ref="Q56">IF(P56="NÃO","NÃO",_xlfn.XLOOKUP(P56,tabE.Flux[COMP.AT. MOT A],#REF!,"NÃO",0,1))</f>
        <v>#REF!</v>
      </c>
      <c r="R56" s="14" t="e" cm="1">
        <f t="array" ref="R56">IF(P56="NÃO","NÃO",_xlfn.XLOOKUP(P56,tabE.Flux[COMP.AT. MOT B],#REF!,"NÃO",0,1))</f>
        <v>#REF!</v>
      </c>
      <c r="S56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56" s="16" t="e" cm="1">
        <f t="array" ref="T5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56" s="41" t="e" cm="1">
        <f t="array" ref="U5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57" spans="2:21" x14ac:dyDescent="0.25">
      <c r="B57" s="31"/>
      <c r="C57" s="37">
        <v>45892</v>
      </c>
      <c r="D57" s="33" t="e">
        <f>IF(IFERROR(Tabela10[[#This Row],[SIM]],"")="NÃO",(IF(Tabela7[[#This Row],[NOME]]=0,"","PASSE?")),Tabela10[[#This Row],[SIM]])</f>
        <v>#REF!</v>
      </c>
      <c r="E57" s="34" t="e">
        <f>Tabela10[[#This Row],[45886+JAKTAN DE OLIVEIRA RODRIGUES - 5836]]</f>
        <v>#REF!</v>
      </c>
      <c r="F57" s="33" t="s">
        <v>299</v>
      </c>
      <c r="G57" s="39" t="s">
        <v>45</v>
      </c>
      <c r="H57" s="4">
        <f>COUNTIF(Tabela10[45885+JAKTAN DE OLIVEIRA RODRIGUES - 5836],Tabela10[[#This Row],[45885+JAKTAN DE OLIVEIRA RODRIGUES - 5836]])</f>
        <v>2</v>
      </c>
      <c r="I57" s="45">
        <f>IF(Tabela7[[#This Row],[NOME]]&lt;&gt;0,15,"")</f>
        <v>15</v>
      </c>
      <c r="J57" s="33" t="e" cm="1">
        <f t="array" ref="J57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57" s="36">
        <f>Tabela7[[#This Row],[ID]]</f>
        <v>0</v>
      </c>
      <c r="M57" s="17" t="str">
        <f>_xlfn.CONCAT(Tabela7[[#This Row],[DATA]],"+",Tabela7[[#This Row],[NOME]])</f>
        <v>45892+RAIMUNDO COSTA SILVA - 6226</v>
      </c>
      <c r="N57" s="11" t="e" cm="1">
        <f t="array" ref="N57">_xlfn.XLOOKUP(M57,tabE.Flux[[#All],[COMP.AT. MOT A]],#REF!,"NÃO",0,1)</f>
        <v>#REF!</v>
      </c>
      <c r="O57" s="11" t="e" cm="1">
        <f t="array" ref="O57">_xlfn.XLOOKUP(M57,tabE.Flux[[#All],[COMP.AT. MOT B]],#REF!,"NÃO",0,1)</f>
        <v>#REF!</v>
      </c>
      <c r="P57" s="12" t="e">
        <f>IF(N57="NÃO",(IF(O57="NÃO",(_xlfn.CONCAT(Tabela7[[#This Row],[DATA]]-1,"+",Tabela7[[#This Row],[NOME]])),"NÃO")),"NÃO")</f>
        <v>#REF!</v>
      </c>
      <c r="Q57" s="11" t="e" cm="1">
        <f t="array" ref="Q57">IF(P57="NÃO","NÃO",_xlfn.XLOOKUP(P57,tabE.Flux[COMP.AT. MOT A],#REF!,"NÃO",0,1))</f>
        <v>#REF!</v>
      </c>
      <c r="R57" s="14" t="e" cm="1">
        <f t="array" ref="R57">IF(P57="NÃO","NÃO",_xlfn.XLOOKUP(P57,tabE.Flux[COMP.AT. MOT B],#REF!,"NÃO",0,1))</f>
        <v>#REF!</v>
      </c>
      <c r="S57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57" s="16" t="e" cm="1">
        <f t="array" ref="T5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57" s="41" t="e" cm="1">
        <f t="array" ref="U5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58" spans="2:21" x14ac:dyDescent="0.25">
      <c r="B58" s="31"/>
      <c r="C58" s="37">
        <v>45892</v>
      </c>
      <c r="D58" s="33" t="e">
        <f>IF(IFERROR(Tabela10[[#This Row],[SIM]],"")="NÃO",(IF(Tabela7[[#This Row],[NOME]]=0,"","PASSE?")),Tabela10[[#This Row],[SIM]])</f>
        <v>#REF!</v>
      </c>
      <c r="E58" s="34" t="e">
        <f>Tabela10[[#This Row],[45886+JAKTAN DE OLIVEIRA RODRIGUES - 5836]]</f>
        <v>#REF!</v>
      </c>
      <c r="F58" s="33" t="s">
        <v>299</v>
      </c>
      <c r="G58" s="39" t="s">
        <v>80</v>
      </c>
      <c r="H58" s="4">
        <f>COUNTIF(Tabela10[45885+JAKTAN DE OLIVEIRA RODRIGUES - 5836],Tabela10[[#This Row],[45885+JAKTAN DE OLIVEIRA RODRIGUES - 5836]])</f>
        <v>1</v>
      </c>
      <c r="I58" s="45">
        <f>IF(Tabela7[[#This Row],[NOME]]&lt;&gt;0,15,"")</f>
        <v>15</v>
      </c>
      <c r="J58" s="33" t="e" cm="1">
        <f t="array" ref="J58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58" s="36">
        <f>Tabela7[[#This Row],[ID]]</f>
        <v>0</v>
      </c>
      <c r="M58" s="17" t="str">
        <f>_xlfn.CONCAT(Tabela7[[#This Row],[DATA]],"+",Tabela7[[#This Row],[NOME]])</f>
        <v>45892+KAYLSON KLEYTON DA SILVA COSTA - 6224</v>
      </c>
      <c r="N58" s="11" t="e" cm="1">
        <f t="array" ref="N58">_xlfn.XLOOKUP(M58,tabE.Flux[[#All],[COMP.AT. MOT A]],#REF!,"NÃO",0,1)</f>
        <v>#REF!</v>
      </c>
      <c r="O58" s="11" t="e" cm="1">
        <f t="array" ref="O58">_xlfn.XLOOKUP(M58,tabE.Flux[[#All],[COMP.AT. MOT B]],#REF!,"NÃO",0,1)</f>
        <v>#REF!</v>
      </c>
      <c r="P58" s="12" t="e">
        <f>IF(N58="NÃO",(IF(O58="NÃO",(_xlfn.CONCAT(Tabela7[[#This Row],[DATA]]-1,"+",Tabela7[[#This Row],[NOME]])),"NÃO")),"NÃO")</f>
        <v>#REF!</v>
      </c>
      <c r="Q58" s="11" t="e" cm="1">
        <f t="array" ref="Q58">IF(P58="NÃO","NÃO",_xlfn.XLOOKUP(P58,tabE.Flux[COMP.AT. MOT A],#REF!,"NÃO",0,1))</f>
        <v>#REF!</v>
      </c>
      <c r="R58" s="14" t="e" cm="1">
        <f t="array" ref="R58">IF(P58="NÃO","NÃO",_xlfn.XLOOKUP(P58,tabE.Flux[COMP.AT. MOT B],#REF!,"NÃO",0,1))</f>
        <v>#REF!</v>
      </c>
      <c r="S58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58" s="16" t="e" cm="1">
        <f t="array" ref="T5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58" s="41" t="e" cm="1">
        <f t="array" ref="U5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59" spans="2:21" x14ac:dyDescent="0.25">
      <c r="B59" s="31"/>
      <c r="C59" s="37">
        <v>45892</v>
      </c>
      <c r="D59" s="33" t="e">
        <f>IF(IFERROR(Tabela10[[#This Row],[SIM]],"")="NÃO",(IF(Tabela7[[#This Row],[NOME]]=0,"","PASSE?")),Tabela10[[#This Row],[SIM]])</f>
        <v>#REF!</v>
      </c>
      <c r="E59" s="34" t="e">
        <f>Tabela10[[#This Row],[45886+JAKTAN DE OLIVEIRA RODRIGUES - 5836]]</f>
        <v>#REF!</v>
      </c>
      <c r="F59" s="33" t="s">
        <v>299</v>
      </c>
      <c r="G59" s="39" t="s">
        <v>30</v>
      </c>
      <c r="H59" s="4">
        <f>COUNTIF(Tabela10[45885+JAKTAN DE OLIVEIRA RODRIGUES - 5836],Tabela10[[#This Row],[45885+JAKTAN DE OLIVEIRA RODRIGUES - 5836]])</f>
        <v>2</v>
      </c>
      <c r="I59" s="45">
        <f>IF(Tabela7[[#This Row],[NOME]]&lt;&gt;0,15,"")</f>
        <v>15</v>
      </c>
      <c r="J59" s="33" t="e" cm="1">
        <f t="array" ref="J59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59" s="36">
        <f>Tabela7[[#This Row],[ID]]</f>
        <v>0</v>
      </c>
      <c r="M59" s="17" t="str">
        <f>_xlfn.CONCAT(Tabela7[[#This Row],[DATA]],"+",Tabela7[[#This Row],[NOME]])</f>
        <v>45892+JEFFERSON CARDOSO DOS SANTOS - 5837</v>
      </c>
      <c r="N59" s="11" t="e" cm="1">
        <f t="array" ref="N59">_xlfn.XLOOKUP(M59,tabE.Flux[[#All],[COMP.AT. MOT A]],#REF!,"NÃO",0,1)</f>
        <v>#REF!</v>
      </c>
      <c r="O59" s="11" t="e" cm="1">
        <f t="array" ref="O59">_xlfn.XLOOKUP(M59,tabE.Flux[[#All],[COMP.AT. MOT B]],#REF!,"NÃO",0,1)</f>
        <v>#REF!</v>
      </c>
      <c r="P59" s="12" t="e">
        <f>IF(N59="NÃO",(IF(O59="NÃO",(_xlfn.CONCAT(Tabela7[[#This Row],[DATA]]-1,"+",Tabela7[[#This Row],[NOME]])),"NÃO")),"NÃO")</f>
        <v>#REF!</v>
      </c>
      <c r="Q59" s="11" t="e" cm="1">
        <f t="array" ref="Q59">IF(P59="NÃO","NÃO",_xlfn.XLOOKUP(P59,tabE.Flux[COMP.AT. MOT A],#REF!,"NÃO",0,1))</f>
        <v>#REF!</v>
      </c>
      <c r="R59" s="14" t="e" cm="1">
        <f t="array" ref="R59">IF(P59="NÃO","NÃO",_xlfn.XLOOKUP(P59,tabE.Flux[COMP.AT. MOT B],#REF!,"NÃO",0,1))</f>
        <v>#REF!</v>
      </c>
      <c r="S59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59" s="16" t="e" cm="1">
        <f t="array" ref="T5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59" s="41" t="e" cm="1">
        <f t="array" ref="U5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60" spans="2:21" x14ac:dyDescent="0.25">
      <c r="B60" s="31"/>
      <c r="C60" s="37">
        <v>45892</v>
      </c>
      <c r="D60" s="33" t="e">
        <f>IF(IFERROR(Tabela10[[#This Row],[SIM]],"")="NÃO",(IF(Tabela7[[#This Row],[NOME]]=0,"","PASSE?")),Tabela10[[#This Row],[SIM]])</f>
        <v>#REF!</v>
      </c>
      <c r="E60" s="34" t="e">
        <f>Tabela10[[#This Row],[45886+JAKTAN DE OLIVEIRA RODRIGUES - 5836]]</f>
        <v>#REF!</v>
      </c>
      <c r="F60" s="33" t="s">
        <v>299</v>
      </c>
      <c r="G60" s="39" t="s">
        <v>52</v>
      </c>
      <c r="H60" s="4">
        <f>COUNTIF(Tabela10[45885+JAKTAN DE OLIVEIRA RODRIGUES - 5836],Tabela10[[#This Row],[45885+JAKTAN DE OLIVEIRA RODRIGUES - 5836]])</f>
        <v>2</v>
      </c>
      <c r="I60" s="45">
        <f>IF(Tabela7[[#This Row],[NOME]]&lt;&gt;0,15,"")</f>
        <v>15</v>
      </c>
      <c r="J60" s="33" t="e" cm="1">
        <f t="array" ref="J60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60" s="36">
        <f>Tabela7[[#This Row],[ID]]</f>
        <v>0</v>
      </c>
      <c r="M60" s="17" t="str">
        <f>_xlfn.CONCAT(Tabela7[[#This Row],[DATA]],"+",Tabela7[[#This Row],[NOME]])</f>
        <v>45892+ANTONIO JOSE PEREIRA SOARES - 1774</v>
      </c>
      <c r="N60" s="11" t="e" cm="1">
        <f t="array" ref="N60">_xlfn.XLOOKUP(M60,tabE.Flux[[#All],[COMP.AT. MOT A]],#REF!,"NÃO",0,1)</f>
        <v>#REF!</v>
      </c>
      <c r="O60" s="11" t="e" cm="1">
        <f t="array" ref="O60">_xlfn.XLOOKUP(M60,tabE.Flux[[#All],[COMP.AT. MOT B]],#REF!,"NÃO",0,1)</f>
        <v>#REF!</v>
      </c>
      <c r="P60" s="12" t="e">
        <f>IF(N60="NÃO",(IF(O60="NÃO",(_xlfn.CONCAT(Tabela7[[#This Row],[DATA]]-1,"+",Tabela7[[#This Row],[NOME]])),"NÃO")),"NÃO")</f>
        <v>#REF!</v>
      </c>
      <c r="Q60" s="11" t="e" cm="1">
        <f t="array" ref="Q60">IF(P60="NÃO","NÃO",_xlfn.XLOOKUP(P60,tabE.Flux[COMP.AT. MOT A],#REF!,"NÃO",0,1))</f>
        <v>#REF!</v>
      </c>
      <c r="R60" s="14" t="e" cm="1">
        <f t="array" ref="R60">IF(P60="NÃO","NÃO",_xlfn.XLOOKUP(P60,tabE.Flux[COMP.AT. MOT B],#REF!,"NÃO",0,1))</f>
        <v>#REF!</v>
      </c>
      <c r="S60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60" s="16" t="e" cm="1">
        <f t="array" ref="T6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60" s="41" t="e" cm="1">
        <f t="array" ref="U6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61" spans="2:21" x14ac:dyDescent="0.25">
      <c r="B61" s="31"/>
      <c r="C61" s="37">
        <v>45893</v>
      </c>
      <c r="D61" s="33" t="e">
        <f>IF(IFERROR(Tabela10[[#This Row],[SIM]],"")="NÃO",(IF(Tabela7[[#This Row],[NOME]]=0,"","PASSE?")),Tabela10[[#This Row],[SIM]])</f>
        <v>#REF!</v>
      </c>
      <c r="E61" s="34" t="e">
        <f>Tabela10[[#This Row],[45886+JAKTAN DE OLIVEIRA RODRIGUES - 5836]]</f>
        <v>#REF!</v>
      </c>
      <c r="F61" s="33" t="s">
        <v>299</v>
      </c>
      <c r="G61" s="33" t="s">
        <v>86</v>
      </c>
      <c r="H61" s="4">
        <f>COUNTIF(Tabela10[45885+JAKTAN DE OLIVEIRA RODRIGUES - 5836],Tabela10[[#This Row],[45885+JAKTAN DE OLIVEIRA RODRIGUES - 5836]])</f>
        <v>1</v>
      </c>
      <c r="I61" s="45">
        <f>IF(Tabela7[[#This Row],[NOME]]&lt;&gt;0,15,"")</f>
        <v>15</v>
      </c>
      <c r="J61" s="33" t="e" cm="1">
        <f t="array" ref="J61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61" s="36">
        <f>Tabela7[[#This Row],[ID]]</f>
        <v>0</v>
      </c>
      <c r="M61" s="17" t="str">
        <f>_xlfn.CONCAT(Tabela7[[#This Row],[DATA]],"+",Tabela7[[#This Row],[NOME]])</f>
        <v>45893+LAUCEANDO DA SILVA ROCHA - 6220</v>
      </c>
      <c r="N61" s="11" t="e" cm="1">
        <f t="array" ref="N61">_xlfn.XLOOKUP(M61,tabE.Flux[[#All],[COMP.AT. MOT A]],#REF!,"NÃO",0,1)</f>
        <v>#REF!</v>
      </c>
      <c r="O61" s="11" t="e" cm="1">
        <f t="array" ref="O61">_xlfn.XLOOKUP(M61,tabE.Flux[[#All],[COMP.AT. MOT B]],#REF!,"NÃO",0,1)</f>
        <v>#REF!</v>
      </c>
      <c r="P61" s="12" t="e">
        <f>IF(N61="NÃO",(IF(O61="NÃO",(_xlfn.CONCAT(Tabela7[[#This Row],[DATA]]-1,"+",Tabela7[[#This Row],[NOME]])),"NÃO")),"NÃO")</f>
        <v>#REF!</v>
      </c>
      <c r="Q61" s="11" t="e" cm="1">
        <f t="array" ref="Q61">IF(P61="NÃO","NÃO",_xlfn.XLOOKUP(P61,tabE.Flux[COMP.AT. MOT A],#REF!,"NÃO",0,1))</f>
        <v>#REF!</v>
      </c>
      <c r="R61" s="14" t="e" cm="1">
        <f t="array" ref="R61">IF(P61="NÃO","NÃO",_xlfn.XLOOKUP(P61,tabE.Flux[COMP.AT. MOT B],#REF!,"NÃO",0,1))</f>
        <v>#REF!</v>
      </c>
      <c r="S61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61" s="16" t="e" cm="1">
        <f t="array" ref="T6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61" s="41" t="e" cm="1">
        <f t="array" ref="U6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62" spans="2:21" x14ac:dyDescent="0.25">
      <c r="B62" s="31"/>
      <c r="C62" s="37">
        <v>45893</v>
      </c>
      <c r="D62" s="33" t="e">
        <f>IF(IFERROR(Tabela10[[#This Row],[SIM]],"")="NÃO",(IF(Tabela7[[#This Row],[NOME]]=0,"","PASSE?")),Tabela10[[#This Row],[SIM]])</f>
        <v>#REF!</v>
      </c>
      <c r="E62" s="34" t="e">
        <f>Tabela10[[#This Row],[45886+JAKTAN DE OLIVEIRA RODRIGUES - 5836]]</f>
        <v>#REF!</v>
      </c>
      <c r="F62" s="33" t="s">
        <v>299</v>
      </c>
      <c r="G62" s="33" t="s">
        <v>89</v>
      </c>
      <c r="H62" s="4">
        <f>COUNTIF(Tabela10[45885+JAKTAN DE OLIVEIRA RODRIGUES - 5836],Tabela10[[#This Row],[45885+JAKTAN DE OLIVEIRA RODRIGUES - 5836]])</f>
        <v>1</v>
      </c>
      <c r="I62" s="45">
        <f>IF(Tabela7[[#This Row],[NOME]]&lt;&gt;0,15,"")</f>
        <v>15</v>
      </c>
      <c r="J62" s="33" t="e" cm="1">
        <f t="array" ref="J62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62" s="36">
        <f>Tabela7[[#This Row],[ID]]</f>
        <v>0</v>
      </c>
      <c r="M62" s="17" t="str">
        <f>_xlfn.CONCAT(Tabela7[[#This Row],[DATA]],"+",Tabela7[[#This Row],[NOME]])</f>
        <v>45893+EDIMILSON LUIS FRANÇA - 5442</v>
      </c>
      <c r="N62" s="11" t="e" cm="1">
        <f t="array" ref="N62">_xlfn.XLOOKUP(M62,tabE.Flux[[#All],[COMP.AT. MOT A]],#REF!,"NÃO",0,1)</f>
        <v>#REF!</v>
      </c>
      <c r="O62" s="11" t="e" cm="1">
        <f t="array" ref="O62">_xlfn.XLOOKUP(M62,tabE.Flux[[#All],[COMP.AT. MOT B]],#REF!,"NÃO",0,1)</f>
        <v>#REF!</v>
      </c>
      <c r="P62" s="12" t="e">
        <f>IF(N62="NÃO",(IF(O62="NÃO",(_xlfn.CONCAT(Tabela7[[#This Row],[DATA]]-1,"+",Tabela7[[#This Row],[NOME]])),"NÃO")),"NÃO")</f>
        <v>#REF!</v>
      </c>
      <c r="Q62" s="11" t="e" cm="1">
        <f t="array" ref="Q62">IF(P62="NÃO","NÃO",_xlfn.XLOOKUP(P62,tabE.Flux[COMP.AT. MOT A],#REF!,"NÃO",0,1))</f>
        <v>#REF!</v>
      </c>
      <c r="R62" s="14" t="e" cm="1">
        <f t="array" ref="R62">IF(P62="NÃO","NÃO",_xlfn.XLOOKUP(P62,tabE.Flux[COMP.AT. MOT B],#REF!,"NÃO",0,1))</f>
        <v>#REF!</v>
      </c>
      <c r="S62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62" s="16" t="e" cm="1">
        <f t="array" ref="T6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62" s="41" t="e" cm="1">
        <f t="array" ref="U6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63" spans="2:21" x14ac:dyDescent="0.25">
      <c r="B63" s="31"/>
      <c r="C63" s="37">
        <v>45893</v>
      </c>
      <c r="D63" s="33" t="e">
        <f>IF(IFERROR(Tabela10[[#This Row],[SIM]],"")="NÃO",(IF(Tabela7[[#This Row],[NOME]]=0,"","PASSE?")),Tabela10[[#This Row],[SIM]])</f>
        <v>#REF!</v>
      </c>
      <c r="E63" s="34" t="e">
        <f>Tabela10[[#This Row],[45886+JAKTAN DE OLIVEIRA RODRIGUES - 5836]]</f>
        <v>#REF!</v>
      </c>
      <c r="F63" s="33" t="s">
        <v>299</v>
      </c>
      <c r="G63" s="33" t="s">
        <v>46</v>
      </c>
      <c r="H63" s="4">
        <f>COUNTIF(Tabela10[45885+JAKTAN DE OLIVEIRA RODRIGUES - 5836],Tabela10[[#This Row],[45885+JAKTAN DE OLIVEIRA RODRIGUES - 5836]])</f>
        <v>1</v>
      </c>
      <c r="I63" s="45">
        <f>IF(Tabela7[[#This Row],[NOME]]&lt;&gt;0,15,"")</f>
        <v>15</v>
      </c>
      <c r="J63" s="33" t="e" cm="1">
        <f t="array" ref="J63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63" s="36">
        <f>Tabela7[[#This Row],[ID]]</f>
        <v>0</v>
      </c>
      <c r="M63" s="17" t="str">
        <f>_xlfn.CONCAT(Tabela7[[#This Row],[DATA]],"+",Tabela7[[#This Row],[NOME]])</f>
        <v>45893+ESIEL COSTA RODRIGUES - 1749</v>
      </c>
      <c r="N63" s="11" t="e" cm="1">
        <f t="array" ref="N63">_xlfn.XLOOKUP(M63,tabE.Flux[[#All],[COMP.AT. MOT A]],#REF!,"NÃO",0,1)</f>
        <v>#REF!</v>
      </c>
      <c r="O63" s="11" t="e" cm="1">
        <f t="array" ref="O63">_xlfn.XLOOKUP(M63,tabE.Flux[[#All],[COMP.AT. MOT B]],#REF!,"NÃO",0,1)</f>
        <v>#REF!</v>
      </c>
      <c r="P63" s="12" t="e">
        <f>IF(N63="NÃO",(IF(O63="NÃO",(_xlfn.CONCAT(Tabela7[[#This Row],[DATA]]-1,"+",Tabela7[[#This Row],[NOME]])),"NÃO")),"NÃO")</f>
        <v>#REF!</v>
      </c>
      <c r="Q63" s="11" t="e" cm="1">
        <f t="array" ref="Q63">IF(P63="NÃO","NÃO",_xlfn.XLOOKUP(P63,tabE.Flux[COMP.AT. MOT A],#REF!,"NÃO",0,1))</f>
        <v>#REF!</v>
      </c>
      <c r="R63" s="14" t="e" cm="1">
        <f t="array" ref="R63">IF(P63="NÃO","NÃO",_xlfn.XLOOKUP(P63,tabE.Flux[COMP.AT. MOT B],#REF!,"NÃO",0,1))</f>
        <v>#REF!</v>
      </c>
      <c r="S63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63" s="16" t="e" cm="1">
        <f t="array" ref="T6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63" s="41" t="e" cm="1">
        <f t="array" ref="U6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64" spans="2:21" x14ac:dyDescent="0.25">
      <c r="B64" s="31"/>
      <c r="C64" s="37">
        <v>45893</v>
      </c>
      <c r="D64" s="33" t="e">
        <f>IF(IFERROR(Tabela10[[#This Row],[SIM]],"")="NÃO",(IF(Tabela7[[#This Row],[NOME]]=0,"","PASSE?")),Tabela10[[#This Row],[SIM]])</f>
        <v>#REF!</v>
      </c>
      <c r="E64" s="34" t="e">
        <f>Tabela10[[#This Row],[45886+JAKTAN DE OLIVEIRA RODRIGUES - 5836]]</f>
        <v>#REF!</v>
      </c>
      <c r="F64" s="33" t="s">
        <v>299</v>
      </c>
      <c r="G64" s="33" t="s">
        <v>150</v>
      </c>
      <c r="H64" s="4">
        <f>COUNTIF(Tabela10[45885+JAKTAN DE OLIVEIRA RODRIGUES - 5836],Tabela10[[#This Row],[45885+JAKTAN DE OLIVEIRA RODRIGUES - 5836]])</f>
        <v>1</v>
      </c>
      <c r="I64" s="45">
        <f>IF(Tabela7[[#This Row],[NOME]]&lt;&gt;0,15,"")</f>
        <v>15</v>
      </c>
      <c r="J64" s="33" t="e" cm="1">
        <f t="array" ref="J64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64" s="36">
        <f>Tabela7[[#This Row],[ID]]</f>
        <v>0</v>
      </c>
      <c r="M64" s="17" t="str">
        <f>_xlfn.CONCAT(Tabela7[[#This Row],[DATA]],"+",Tabela7[[#This Row],[NOME]])</f>
        <v>45893+JARDEL DE SOUSA OLIVEIRA - 5992</v>
      </c>
      <c r="N64" s="11" t="e" cm="1">
        <f t="array" ref="N64">_xlfn.XLOOKUP(M64,tabE.Flux[[#All],[COMP.AT. MOT A]],#REF!,"NÃO",0,1)</f>
        <v>#REF!</v>
      </c>
      <c r="O64" s="11" t="e" cm="1">
        <f t="array" ref="O64">_xlfn.XLOOKUP(M64,tabE.Flux[[#All],[COMP.AT. MOT B]],#REF!,"NÃO",0,1)</f>
        <v>#REF!</v>
      </c>
      <c r="P64" s="12" t="e">
        <f>IF(N64="NÃO",(IF(O64="NÃO",(_xlfn.CONCAT(Tabela7[[#This Row],[DATA]]-1,"+",Tabela7[[#This Row],[NOME]])),"NÃO")),"NÃO")</f>
        <v>#REF!</v>
      </c>
      <c r="Q64" s="11" t="e" cm="1">
        <f t="array" ref="Q64">IF(P64="NÃO","NÃO",_xlfn.XLOOKUP(P64,tabE.Flux[COMP.AT. MOT A],#REF!,"NÃO",0,1))</f>
        <v>#REF!</v>
      </c>
      <c r="R64" s="14" t="e" cm="1">
        <f t="array" ref="R64">IF(P64="NÃO","NÃO",_xlfn.XLOOKUP(P64,tabE.Flux[COMP.AT. MOT B],#REF!,"NÃO",0,1))</f>
        <v>#REF!</v>
      </c>
      <c r="S64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64" s="16" t="e" cm="1">
        <f t="array" ref="T6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64" s="41" t="e" cm="1">
        <f t="array" ref="U6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65" spans="2:21" x14ac:dyDescent="0.25">
      <c r="B65" s="31"/>
      <c r="C65" s="37">
        <v>45893</v>
      </c>
      <c r="D65" s="33" t="e">
        <f>IF(IFERROR(Tabela10[[#This Row],[SIM]],"")="NÃO",(IF(Tabela7[[#This Row],[NOME]]=0,"","PASSE?")),Tabela10[[#This Row],[SIM]])</f>
        <v>#REF!</v>
      </c>
      <c r="E65" s="34" t="e">
        <f>Tabela10[[#This Row],[45886+JAKTAN DE OLIVEIRA RODRIGUES - 5836]]</f>
        <v>#REF!</v>
      </c>
      <c r="F65" s="33" t="s">
        <v>299</v>
      </c>
      <c r="G65" s="33" t="s">
        <v>34</v>
      </c>
      <c r="H65" s="4">
        <f>COUNTIF(Tabela10[45885+JAKTAN DE OLIVEIRA RODRIGUES - 5836],Tabela10[[#This Row],[45885+JAKTAN DE OLIVEIRA RODRIGUES - 5836]])</f>
        <v>1</v>
      </c>
      <c r="I65" s="45">
        <f>IF(Tabela7[[#This Row],[NOME]]&lt;&gt;0,15,"")</f>
        <v>15</v>
      </c>
      <c r="J65" s="33" t="e" cm="1">
        <f t="array" ref="J65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65" s="36">
        <f>Tabela7[[#This Row],[ID]]</f>
        <v>0</v>
      </c>
      <c r="M65" s="17" t="str">
        <f>_xlfn.CONCAT(Tabela7[[#This Row],[DATA]],"+",Tabela7[[#This Row],[NOME]])</f>
        <v>45893+VALDEY OLIVEIRA ARAUJO - 2790</v>
      </c>
      <c r="N65" s="11" t="e" cm="1">
        <f t="array" ref="N65">_xlfn.XLOOKUP(M65,tabE.Flux[[#All],[COMP.AT. MOT A]],#REF!,"NÃO",0,1)</f>
        <v>#REF!</v>
      </c>
      <c r="O65" s="11" t="e" cm="1">
        <f t="array" ref="O65">_xlfn.XLOOKUP(M65,tabE.Flux[[#All],[COMP.AT. MOT B]],#REF!,"NÃO",0,1)</f>
        <v>#REF!</v>
      </c>
      <c r="P65" s="12" t="e">
        <f>IF(N65="NÃO",(IF(O65="NÃO",(_xlfn.CONCAT(Tabela7[[#This Row],[DATA]]-1,"+",Tabela7[[#This Row],[NOME]])),"NÃO")),"NÃO")</f>
        <v>#REF!</v>
      </c>
      <c r="Q65" s="11" t="e" cm="1">
        <f t="array" ref="Q65">IF(P65="NÃO","NÃO",_xlfn.XLOOKUP(P65,tabE.Flux[COMP.AT. MOT A],#REF!,"NÃO",0,1))</f>
        <v>#REF!</v>
      </c>
      <c r="R65" s="14" t="e" cm="1">
        <f t="array" ref="R65">IF(P65="NÃO","NÃO",_xlfn.XLOOKUP(P65,tabE.Flux[COMP.AT. MOT B],#REF!,"NÃO",0,1))</f>
        <v>#REF!</v>
      </c>
      <c r="S65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65" s="16" t="e" cm="1">
        <f t="array" ref="T6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65" s="41" t="e" cm="1">
        <f t="array" ref="U6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66" spans="2:21" x14ac:dyDescent="0.25">
      <c r="B66" s="31"/>
      <c r="C66" s="37">
        <v>45893</v>
      </c>
      <c r="D66" s="33" t="e">
        <f>IF(IFERROR(Tabela10[[#This Row],[SIM]],"")="NÃO",(IF(Tabela7[[#This Row],[NOME]]=0,"","PASSE?")),Tabela10[[#This Row],[SIM]])</f>
        <v>#REF!</v>
      </c>
      <c r="E66" s="34" t="e">
        <f>Tabela10[[#This Row],[45886+JAKTAN DE OLIVEIRA RODRIGUES - 5836]]</f>
        <v>#REF!</v>
      </c>
      <c r="F66" s="33" t="s">
        <v>299</v>
      </c>
      <c r="G66" s="33" t="s">
        <v>43</v>
      </c>
      <c r="H66" s="4">
        <f>COUNTIF(Tabela10[45885+JAKTAN DE OLIVEIRA RODRIGUES - 5836],Tabela10[[#This Row],[45885+JAKTAN DE OLIVEIRA RODRIGUES - 5836]])</f>
        <v>1</v>
      </c>
      <c r="I66" s="45">
        <f>IF(Tabela7[[#This Row],[NOME]]&lt;&gt;0,15,"")</f>
        <v>15</v>
      </c>
      <c r="J66" s="33" t="e" cm="1">
        <f t="array" ref="J66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66" s="36">
        <f>Tabela7[[#This Row],[ID]]</f>
        <v>0</v>
      </c>
      <c r="M66" s="17" t="str">
        <f>_xlfn.CONCAT(Tabela7[[#This Row],[DATA]],"+",Tabela7[[#This Row],[NOME]])</f>
        <v>45893+PAULO ENEAS FARIAS ARAUJO - 6218</v>
      </c>
      <c r="N66" s="11" t="e" cm="1">
        <f t="array" ref="N66">_xlfn.XLOOKUP(M66,tabE.Flux[[#All],[COMP.AT. MOT A]],#REF!,"NÃO",0,1)</f>
        <v>#REF!</v>
      </c>
      <c r="O66" s="11" t="e" cm="1">
        <f t="array" ref="O66">_xlfn.XLOOKUP(M66,tabE.Flux[[#All],[COMP.AT. MOT B]],#REF!,"NÃO",0,1)</f>
        <v>#REF!</v>
      </c>
      <c r="P66" s="12" t="e">
        <f>IF(N66="NÃO",(IF(O66="NÃO",(_xlfn.CONCAT(Tabela7[[#This Row],[DATA]]-1,"+",Tabela7[[#This Row],[NOME]])),"NÃO")),"NÃO")</f>
        <v>#REF!</v>
      </c>
      <c r="Q66" s="11" t="e" cm="1">
        <f t="array" ref="Q66">IF(P66="NÃO","NÃO",_xlfn.XLOOKUP(P66,tabE.Flux[COMP.AT. MOT A],#REF!,"NÃO",0,1))</f>
        <v>#REF!</v>
      </c>
      <c r="R66" s="14" t="e" cm="1">
        <f t="array" ref="R66">IF(P66="NÃO","NÃO",_xlfn.XLOOKUP(P66,tabE.Flux[COMP.AT. MOT B],#REF!,"NÃO",0,1))</f>
        <v>#REF!</v>
      </c>
      <c r="S66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66" s="16" t="e" cm="1">
        <f t="array" ref="T6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66" s="41" t="e" cm="1">
        <f t="array" ref="U6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67" spans="2:21" x14ac:dyDescent="0.25">
      <c r="B67" s="31"/>
      <c r="C67" s="37">
        <v>45893</v>
      </c>
      <c r="D67" s="33" t="e">
        <f>IF(IFERROR(Tabela10[[#This Row],[SIM]],"")="NÃO",(IF(Tabela7[[#This Row],[NOME]]=0,"","PASSE?")),Tabela10[[#This Row],[SIM]])</f>
        <v>#REF!</v>
      </c>
      <c r="E67" s="34" t="e">
        <f>Tabela10[[#This Row],[45886+JAKTAN DE OLIVEIRA RODRIGUES - 5836]]</f>
        <v>#REF!</v>
      </c>
      <c r="F67" s="33" t="s">
        <v>299</v>
      </c>
      <c r="G67" s="33" t="s">
        <v>113</v>
      </c>
      <c r="H67" s="4">
        <f>COUNTIF(Tabela10[45885+JAKTAN DE OLIVEIRA RODRIGUES - 5836],Tabela10[[#This Row],[45885+JAKTAN DE OLIVEIRA RODRIGUES - 5836]])</f>
        <v>1</v>
      </c>
      <c r="I67" s="45">
        <f>IF(Tabela7[[#This Row],[NOME]]&lt;&gt;0,15,"")</f>
        <v>15</v>
      </c>
      <c r="J67" s="33" t="e" cm="1">
        <f t="array" ref="J67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67" s="36">
        <f>Tabela7[[#This Row],[ID]]</f>
        <v>0</v>
      </c>
      <c r="M67" s="17" t="str">
        <f>_xlfn.CONCAT(Tabela7[[#This Row],[DATA]],"+",Tabela7[[#This Row],[NOME]])</f>
        <v>45893+MARCOS ATAIDE SILVA - 1352</v>
      </c>
      <c r="N67" s="11" t="e" cm="1">
        <f t="array" ref="N67">_xlfn.XLOOKUP(M67,tabE.Flux[[#All],[COMP.AT. MOT A]],#REF!,"NÃO",0,1)</f>
        <v>#REF!</v>
      </c>
      <c r="O67" s="11" t="e" cm="1">
        <f t="array" ref="O67">_xlfn.XLOOKUP(M67,tabE.Flux[[#All],[COMP.AT. MOT B]],#REF!,"NÃO",0,1)</f>
        <v>#REF!</v>
      </c>
      <c r="P67" s="12" t="e">
        <f>IF(N67="NÃO",(IF(O67="NÃO",(_xlfn.CONCAT(Tabela7[[#This Row],[DATA]]-1,"+",Tabela7[[#This Row],[NOME]])),"NÃO")),"NÃO")</f>
        <v>#REF!</v>
      </c>
      <c r="Q67" s="11" t="e" cm="1">
        <f t="array" ref="Q67">IF(P67="NÃO","NÃO",_xlfn.XLOOKUP(P67,tabE.Flux[COMP.AT. MOT A],#REF!,"NÃO",0,1))</f>
        <v>#REF!</v>
      </c>
      <c r="R67" s="14" t="e" cm="1">
        <f t="array" ref="R67">IF(P67="NÃO","NÃO",_xlfn.XLOOKUP(P67,tabE.Flux[COMP.AT. MOT B],#REF!,"NÃO",0,1))</f>
        <v>#REF!</v>
      </c>
      <c r="S67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67" s="16" t="e" cm="1">
        <f t="array" ref="T6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67" s="41" t="e" cm="1">
        <f t="array" ref="U6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68" spans="2:21" x14ac:dyDescent="0.25">
      <c r="B68" s="31"/>
      <c r="C68" s="37">
        <v>45894</v>
      </c>
      <c r="D68" s="33" t="e">
        <f>IF(IFERROR(Tabela10[[#This Row],[SIM]],"")="NÃO",(IF(Tabela7[[#This Row],[NOME]]=0,"","PASSE?")),Tabela10[[#This Row],[SIM]])</f>
        <v>#REF!</v>
      </c>
      <c r="E68" s="34" t="e">
        <f>Tabela10[[#This Row],[45886+JAKTAN DE OLIVEIRA RODRIGUES - 5836]]</f>
        <v>#REF!</v>
      </c>
      <c r="F68" s="33" t="s">
        <v>299</v>
      </c>
      <c r="G68" s="33" t="s">
        <v>84</v>
      </c>
      <c r="H68" s="4">
        <f>COUNTIF(Tabela10[45885+JAKTAN DE OLIVEIRA RODRIGUES - 5836],Tabela10[[#This Row],[45885+JAKTAN DE OLIVEIRA RODRIGUES - 5836]])</f>
        <v>1</v>
      </c>
      <c r="I68" s="45">
        <f>IF(Tabela7[[#This Row],[NOME]]&lt;&gt;0,15,"")</f>
        <v>15</v>
      </c>
      <c r="J68" s="33" t="e" cm="1">
        <f t="array" ref="J68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68" s="36">
        <f>Tabela7[[#This Row],[ID]]</f>
        <v>0</v>
      </c>
      <c r="M68" s="17" t="str">
        <f>_xlfn.CONCAT(Tabela7[[#This Row],[DATA]],"+",Tabela7[[#This Row],[NOME]])</f>
        <v>45894+REINAN JOSE BORGES SOUSA - 1075</v>
      </c>
      <c r="N68" s="11" t="e" cm="1">
        <f t="array" ref="N68">_xlfn.XLOOKUP(M68,tabE.Flux[[#All],[COMP.AT. MOT A]],#REF!,"NÃO",0,1)</f>
        <v>#REF!</v>
      </c>
      <c r="O68" s="11" t="e" cm="1">
        <f t="array" ref="O68">_xlfn.XLOOKUP(M68,tabE.Flux[[#All],[COMP.AT. MOT B]],#REF!,"NÃO",0,1)</f>
        <v>#REF!</v>
      </c>
      <c r="P68" s="12" t="e">
        <f>IF(N68="NÃO",(IF(O68="NÃO",(_xlfn.CONCAT(Tabela7[[#This Row],[DATA]]-1,"+",Tabela7[[#This Row],[NOME]])),"NÃO")),"NÃO")</f>
        <v>#REF!</v>
      </c>
      <c r="Q68" s="11" t="e" cm="1">
        <f t="array" ref="Q68">IF(P68="NÃO","NÃO",_xlfn.XLOOKUP(P68,tabE.Flux[COMP.AT. MOT A],#REF!,"NÃO",0,1))</f>
        <v>#REF!</v>
      </c>
      <c r="R68" s="14" t="e" cm="1">
        <f t="array" ref="R68">IF(P68="NÃO","NÃO",_xlfn.XLOOKUP(P68,tabE.Flux[COMP.AT. MOT B],#REF!,"NÃO",0,1))</f>
        <v>#REF!</v>
      </c>
      <c r="S68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68" s="16" t="e" cm="1">
        <f t="array" ref="T6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68" s="41" t="e" cm="1">
        <f t="array" ref="U6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69" spans="2:21" x14ac:dyDescent="0.25">
      <c r="B69" s="31"/>
      <c r="C69" s="37">
        <v>45894</v>
      </c>
      <c r="D69" s="33" t="e">
        <f>IF(IFERROR(Tabela10[[#This Row],[SIM]],"")="NÃO",(IF(Tabela7[[#This Row],[NOME]]=0,"","PASSE?")),Tabela10[[#This Row],[SIM]])</f>
        <v>#REF!</v>
      </c>
      <c r="E69" s="34" t="e">
        <f>Tabela10[[#This Row],[45886+JAKTAN DE OLIVEIRA RODRIGUES - 5836]]</f>
        <v>#REF!</v>
      </c>
      <c r="F69" s="33" t="s">
        <v>299</v>
      </c>
      <c r="G69" s="33" t="s">
        <v>55</v>
      </c>
      <c r="H69" s="4">
        <f>COUNTIF(Tabela10[45885+JAKTAN DE OLIVEIRA RODRIGUES - 5836],Tabela10[[#This Row],[45885+JAKTAN DE OLIVEIRA RODRIGUES - 5836]])</f>
        <v>1</v>
      </c>
      <c r="I69" s="45">
        <f>IF(Tabela7[[#This Row],[NOME]]&lt;&gt;0,15,"")</f>
        <v>15</v>
      </c>
      <c r="J69" s="33" t="e" cm="1">
        <f t="array" ref="J69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69" s="36">
        <f>Tabela7[[#This Row],[ID]]</f>
        <v>0</v>
      </c>
      <c r="M69" s="17" t="str">
        <f>_xlfn.CONCAT(Tabela7[[#This Row],[DATA]],"+",Tabela7[[#This Row],[NOME]])</f>
        <v>45894+EDIVALDO DE ARAUJO - 6217</v>
      </c>
      <c r="N69" s="11" t="e" cm="1">
        <f t="array" ref="N69">_xlfn.XLOOKUP(M69,tabE.Flux[[#All],[COMP.AT. MOT A]],#REF!,"NÃO",0,1)</f>
        <v>#REF!</v>
      </c>
      <c r="O69" s="11" t="e" cm="1">
        <f t="array" ref="O69">_xlfn.XLOOKUP(M69,tabE.Flux[[#All],[COMP.AT. MOT B]],#REF!,"NÃO",0,1)</f>
        <v>#REF!</v>
      </c>
      <c r="P69" s="12" t="e">
        <f>IF(N69="NÃO",(IF(O69="NÃO",(_xlfn.CONCAT(Tabela7[[#This Row],[DATA]]-1,"+",Tabela7[[#This Row],[NOME]])),"NÃO")),"NÃO")</f>
        <v>#REF!</v>
      </c>
      <c r="Q69" s="11" t="e" cm="1">
        <f t="array" ref="Q69">IF(P69="NÃO","NÃO",_xlfn.XLOOKUP(P69,tabE.Flux[COMP.AT. MOT A],#REF!,"NÃO",0,1))</f>
        <v>#REF!</v>
      </c>
      <c r="R69" s="14" t="e" cm="1">
        <f t="array" ref="R69">IF(P69="NÃO","NÃO",_xlfn.XLOOKUP(P69,tabE.Flux[COMP.AT. MOT B],#REF!,"NÃO",0,1))</f>
        <v>#REF!</v>
      </c>
      <c r="S69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69" s="16" t="e" cm="1">
        <f t="array" ref="T6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69" s="41" t="e" cm="1">
        <f t="array" ref="U6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70" spans="2:21" x14ac:dyDescent="0.25">
      <c r="B70" s="31"/>
      <c r="C70" s="37">
        <v>45894</v>
      </c>
      <c r="D70" s="33" t="e">
        <f>IF(IFERROR(Tabela10[[#This Row],[SIM]],"")="NÃO",(IF(Tabela7[[#This Row],[NOME]]=0,"","PASSE?")),Tabela10[[#This Row],[SIM]])</f>
        <v>#REF!</v>
      </c>
      <c r="E70" s="34" t="e">
        <f>Tabela10[[#This Row],[45886+JAKTAN DE OLIVEIRA RODRIGUES - 5836]]</f>
        <v>#REF!</v>
      </c>
      <c r="F70" s="33" t="s">
        <v>299</v>
      </c>
      <c r="G70" s="33" t="s">
        <v>104</v>
      </c>
      <c r="H70" s="4">
        <f>COUNTIF(Tabela10[45885+JAKTAN DE OLIVEIRA RODRIGUES - 5836],Tabela10[[#This Row],[45885+JAKTAN DE OLIVEIRA RODRIGUES - 5836]])</f>
        <v>1</v>
      </c>
      <c r="I70" s="45">
        <f>IF(Tabela7[[#This Row],[NOME]]&lt;&gt;0,15,"")</f>
        <v>15</v>
      </c>
      <c r="J70" s="33" t="e" cm="1">
        <f t="array" ref="J70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70" s="36">
        <f>Tabela7[[#This Row],[ID]]</f>
        <v>0</v>
      </c>
      <c r="M70" s="17" t="str">
        <f>_xlfn.CONCAT(Tabela7[[#This Row],[DATA]],"+",Tabela7[[#This Row],[NOME]])</f>
        <v>45894+JACINTO BATISTA DE SOUSA - 5271</v>
      </c>
      <c r="N70" s="11" t="e" cm="1">
        <f t="array" ref="N70">_xlfn.XLOOKUP(M70,tabE.Flux[[#All],[COMP.AT. MOT A]],#REF!,"NÃO",0,1)</f>
        <v>#REF!</v>
      </c>
      <c r="O70" s="11" t="e" cm="1">
        <f t="array" ref="O70">_xlfn.XLOOKUP(M70,tabE.Flux[[#All],[COMP.AT. MOT B]],#REF!,"NÃO",0,1)</f>
        <v>#REF!</v>
      </c>
      <c r="P70" s="12" t="e">
        <f>IF(N70="NÃO",(IF(O70="NÃO",(_xlfn.CONCAT(Tabela7[[#This Row],[DATA]]-1,"+",Tabela7[[#This Row],[NOME]])),"NÃO")),"NÃO")</f>
        <v>#REF!</v>
      </c>
      <c r="Q70" s="11" t="e" cm="1">
        <f t="array" ref="Q70">IF(P70="NÃO","NÃO",_xlfn.XLOOKUP(P70,tabE.Flux[COMP.AT. MOT A],#REF!,"NÃO",0,1))</f>
        <v>#REF!</v>
      </c>
      <c r="R70" s="14" t="e" cm="1">
        <f t="array" ref="R70">IF(P70="NÃO","NÃO",_xlfn.XLOOKUP(P70,tabE.Flux[COMP.AT. MOT B],#REF!,"NÃO",0,1))</f>
        <v>#REF!</v>
      </c>
      <c r="S70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70" s="16" t="e" cm="1">
        <f t="array" ref="T7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70" s="41" t="e" cm="1">
        <f t="array" ref="U7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71" spans="2:21" x14ac:dyDescent="0.25">
      <c r="B71" s="31"/>
      <c r="C71" s="37">
        <v>45894</v>
      </c>
      <c r="D71" s="33" t="e">
        <f>IF(IFERROR(Tabela10[[#This Row],[SIM]],"")="NÃO",(IF(Tabela7[[#This Row],[NOME]]=0,"","PASSE?")),Tabela10[[#This Row],[SIM]])</f>
        <v>#REF!</v>
      </c>
      <c r="E71" s="34" t="e">
        <f>Tabela10[[#This Row],[45886+JAKTAN DE OLIVEIRA RODRIGUES - 5836]]</f>
        <v>#REF!</v>
      </c>
      <c r="F71" s="33" t="s">
        <v>299</v>
      </c>
      <c r="G71" s="33" t="s">
        <v>64</v>
      </c>
      <c r="H71" s="4">
        <f>COUNTIF(Tabela10[45885+JAKTAN DE OLIVEIRA RODRIGUES - 5836],Tabela10[[#This Row],[45885+JAKTAN DE OLIVEIRA RODRIGUES - 5836]])</f>
        <v>1</v>
      </c>
      <c r="I71" s="45">
        <f>IF(Tabela7[[#This Row],[NOME]]&lt;&gt;0,15,"")</f>
        <v>15</v>
      </c>
      <c r="J71" s="33" t="e" cm="1">
        <f t="array" ref="J71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71" s="36">
        <f>Tabela7[[#This Row],[ID]]</f>
        <v>0</v>
      </c>
      <c r="M71" s="17" t="str">
        <f>_xlfn.CONCAT(Tabela7[[#This Row],[DATA]],"+",Tabela7[[#This Row],[NOME]])</f>
        <v>45894+LEANDRO DE OLIVEIRA MELO - 2151</v>
      </c>
      <c r="N71" s="11" t="e" cm="1">
        <f t="array" ref="N71">_xlfn.XLOOKUP(M71,tabE.Flux[[#All],[COMP.AT. MOT A]],#REF!,"NÃO",0,1)</f>
        <v>#REF!</v>
      </c>
      <c r="O71" s="11" t="e" cm="1">
        <f t="array" ref="O71">_xlfn.XLOOKUP(M71,tabE.Flux[[#All],[COMP.AT. MOT B]],#REF!,"NÃO",0,1)</f>
        <v>#REF!</v>
      </c>
      <c r="P71" s="12" t="e">
        <f>IF(N71="NÃO",(IF(O71="NÃO",(_xlfn.CONCAT(Tabela7[[#This Row],[DATA]]-1,"+",Tabela7[[#This Row],[NOME]])),"NÃO")),"NÃO")</f>
        <v>#REF!</v>
      </c>
      <c r="Q71" s="11" t="e" cm="1">
        <f t="array" ref="Q71">IF(P71="NÃO","NÃO",_xlfn.XLOOKUP(P71,tabE.Flux[COMP.AT. MOT A],#REF!,"NÃO",0,1))</f>
        <v>#REF!</v>
      </c>
      <c r="R71" s="14" t="e" cm="1">
        <f t="array" ref="R71">IF(P71="NÃO","NÃO",_xlfn.XLOOKUP(P71,tabE.Flux[COMP.AT. MOT B],#REF!,"NÃO",0,1))</f>
        <v>#REF!</v>
      </c>
      <c r="S71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71" s="16" t="e" cm="1">
        <f t="array" ref="T7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71" s="41" t="e" cm="1">
        <f t="array" ref="U7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72" spans="2:21" x14ac:dyDescent="0.25">
      <c r="B72" s="31"/>
      <c r="C72" s="37">
        <v>45894</v>
      </c>
      <c r="D72" s="33" t="e">
        <f>IF(IFERROR(Tabela10[[#This Row],[SIM]],"")="NÃO",(IF(Tabela7[[#This Row],[NOME]]=0,"","PASSE?")),Tabela10[[#This Row],[SIM]])</f>
        <v>#REF!</v>
      </c>
      <c r="E72" s="34" t="e">
        <f>Tabela10[[#This Row],[45886+JAKTAN DE OLIVEIRA RODRIGUES - 5836]]</f>
        <v>#REF!</v>
      </c>
      <c r="F72" s="33" t="s">
        <v>299</v>
      </c>
      <c r="G72" s="33" t="s">
        <v>75</v>
      </c>
      <c r="H72" s="4">
        <f>COUNTIF(Tabela10[45885+JAKTAN DE OLIVEIRA RODRIGUES - 5836],Tabela10[[#This Row],[45885+JAKTAN DE OLIVEIRA RODRIGUES - 5836]])</f>
        <v>1</v>
      </c>
      <c r="I72" s="45">
        <f>IF(Tabela7[[#This Row],[NOME]]&lt;&gt;0,15,"")</f>
        <v>15</v>
      </c>
      <c r="J72" s="33" t="e" cm="1">
        <f t="array" ref="J72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72" s="36">
        <f>Tabela7[[#This Row],[ID]]</f>
        <v>0</v>
      </c>
      <c r="M72" s="17" t="str">
        <f>_xlfn.CONCAT(Tabela7[[#This Row],[DATA]],"+",Tabela7[[#This Row],[NOME]])</f>
        <v>45894+NILSON CORTEZ MIRANDA - 5636</v>
      </c>
      <c r="N72" s="11" t="e" cm="1">
        <f t="array" ref="N72">_xlfn.XLOOKUP(M72,tabE.Flux[[#All],[COMP.AT. MOT A]],#REF!,"NÃO",0,1)</f>
        <v>#REF!</v>
      </c>
      <c r="O72" s="11" t="e" cm="1">
        <f t="array" ref="O72">_xlfn.XLOOKUP(M72,tabE.Flux[[#All],[COMP.AT. MOT B]],#REF!,"NÃO",0,1)</f>
        <v>#REF!</v>
      </c>
      <c r="P72" s="12" t="e">
        <f>IF(N72="NÃO",(IF(O72="NÃO",(_xlfn.CONCAT(Tabela7[[#This Row],[DATA]]-1,"+",Tabela7[[#This Row],[NOME]])),"NÃO")),"NÃO")</f>
        <v>#REF!</v>
      </c>
      <c r="Q72" s="11" t="e" cm="1">
        <f t="array" ref="Q72">IF(P72="NÃO","NÃO",_xlfn.XLOOKUP(P72,tabE.Flux[COMP.AT. MOT A],#REF!,"NÃO",0,1))</f>
        <v>#REF!</v>
      </c>
      <c r="R72" s="14" t="e" cm="1">
        <f t="array" ref="R72">IF(P72="NÃO","NÃO",_xlfn.XLOOKUP(P72,tabE.Flux[COMP.AT. MOT B],#REF!,"NÃO",0,1))</f>
        <v>#REF!</v>
      </c>
      <c r="S72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72" s="16" t="e" cm="1">
        <f t="array" ref="T7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72" s="41" t="e" cm="1">
        <f t="array" ref="U7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73" spans="2:21" x14ac:dyDescent="0.25">
      <c r="B73" s="31"/>
      <c r="C73" s="37">
        <v>45894</v>
      </c>
      <c r="D73" s="33" t="e">
        <f>IF(IFERROR(Tabela10[[#This Row],[SIM]],"")="NÃO",(IF(Tabela7[[#This Row],[NOME]]=0,"","PASSE?")),Tabela10[[#This Row],[SIM]])</f>
        <v>#REF!</v>
      </c>
      <c r="E73" s="34" t="e">
        <f>Tabela10[[#This Row],[45886+JAKTAN DE OLIVEIRA RODRIGUES - 5836]]</f>
        <v>#REF!</v>
      </c>
      <c r="F73" s="33" t="s">
        <v>299</v>
      </c>
      <c r="G73" s="33" t="s">
        <v>110</v>
      </c>
      <c r="H73" s="4">
        <f>COUNTIF(Tabela10[45885+JAKTAN DE OLIVEIRA RODRIGUES - 5836],Tabela10[[#This Row],[45885+JAKTAN DE OLIVEIRA RODRIGUES - 5836]])</f>
        <v>1</v>
      </c>
      <c r="I73" s="45">
        <f>IF(Tabela7[[#This Row],[NOME]]&lt;&gt;0,15,"")</f>
        <v>15</v>
      </c>
      <c r="J73" s="33" t="e" cm="1">
        <f t="array" ref="J73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73" s="36">
        <f>Tabela7[[#This Row],[ID]]</f>
        <v>0</v>
      </c>
      <c r="M73" s="17" t="str">
        <f>_xlfn.CONCAT(Tabela7[[#This Row],[DATA]],"+",Tabela7[[#This Row],[NOME]])</f>
        <v>45894+CARLOS ADRIANO DE SOUZA DO NASCIMENTO - 6222</v>
      </c>
      <c r="N73" s="11" t="e" cm="1">
        <f t="array" ref="N73">_xlfn.XLOOKUP(M73,tabE.Flux[[#All],[COMP.AT. MOT A]],#REF!,"NÃO",0,1)</f>
        <v>#REF!</v>
      </c>
      <c r="O73" s="11" t="e" cm="1">
        <f t="array" ref="O73">_xlfn.XLOOKUP(M73,tabE.Flux[[#All],[COMP.AT. MOT B]],#REF!,"NÃO",0,1)</f>
        <v>#REF!</v>
      </c>
      <c r="P73" s="12" t="e">
        <f>IF(N73="NÃO",(IF(O73="NÃO",(_xlfn.CONCAT(Tabela7[[#This Row],[DATA]]-1,"+",Tabela7[[#This Row],[NOME]])),"NÃO")),"NÃO")</f>
        <v>#REF!</v>
      </c>
      <c r="Q73" s="11" t="e" cm="1">
        <f t="array" ref="Q73">IF(P73="NÃO","NÃO",_xlfn.XLOOKUP(P73,tabE.Flux[COMP.AT. MOT A],#REF!,"NÃO",0,1))</f>
        <v>#REF!</v>
      </c>
      <c r="R73" s="14" t="e" cm="1">
        <f t="array" ref="R73">IF(P73="NÃO","NÃO",_xlfn.XLOOKUP(P73,tabE.Flux[COMP.AT. MOT B],#REF!,"NÃO",0,1))</f>
        <v>#REF!</v>
      </c>
      <c r="S73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73" s="16" t="e" cm="1">
        <f t="array" ref="T7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73" s="41" t="e" cm="1">
        <f t="array" ref="U7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74" spans="2:21" x14ac:dyDescent="0.25">
      <c r="B74" s="31"/>
      <c r="C74" s="37">
        <v>45895</v>
      </c>
      <c r="D74" s="33" t="e">
        <f>IF(IFERROR(Tabela10[[#This Row],[SIM]],"")="NÃO",(IF(Tabela7[[#This Row],[NOME]]=0,"","PASSE?")),Tabela10[[#This Row],[SIM]])</f>
        <v>#REF!</v>
      </c>
      <c r="E74" s="34" t="e">
        <f>Tabela10[[#This Row],[45886+JAKTAN DE OLIVEIRA RODRIGUES - 5836]]</f>
        <v>#REF!</v>
      </c>
      <c r="F74" s="33" t="s">
        <v>299</v>
      </c>
      <c r="G74" s="33" t="s">
        <v>90</v>
      </c>
      <c r="H74" s="4">
        <f>COUNTIF(Tabela10[45885+JAKTAN DE OLIVEIRA RODRIGUES - 5836],Tabela10[[#This Row],[45885+JAKTAN DE OLIVEIRA RODRIGUES - 5836]])</f>
        <v>1</v>
      </c>
      <c r="I74" s="45">
        <f>IF(Tabela7[[#This Row],[NOME]]&lt;&gt;0,15,"")</f>
        <v>15</v>
      </c>
      <c r="J74" s="33" t="e" cm="1">
        <f t="array" ref="J74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74" s="36">
        <f>Tabela7[[#This Row],[ID]]</f>
        <v>0</v>
      </c>
      <c r="M74" s="17" t="str">
        <f>_xlfn.CONCAT(Tabela7[[#This Row],[DATA]],"+",Tabela7[[#This Row],[NOME]])</f>
        <v>45895+JOSE ALVES DE FREITAS NETO - 5027</v>
      </c>
      <c r="N74" s="11" t="e" cm="1">
        <f t="array" ref="N74">_xlfn.XLOOKUP(M74,tabE.Flux[[#All],[COMP.AT. MOT A]],#REF!,"NÃO",0,1)</f>
        <v>#REF!</v>
      </c>
      <c r="O74" s="11" t="e" cm="1">
        <f t="array" ref="O74">_xlfn.XLOOKUP(M74,tabE.Flux[[#All],[COMP.AT. MOT B]],#REF!,"NÃO",0,1)</f>
        <v>#REF!</v>
      </c>
      <c r="P74" s="12" t="e">
        <f>IF(N74="NÃO",(IF(O74="NÃO",(_xlfn.CONCAT(Tabela7[[#This Row],[DATA]]-1,"+",Tabela7[[#This Row],[NOME]])),"NÃO")),"NÃO")</f>
        <v>#REF!</v>
      </c>
      <c r="Q74" s="11" t="e" cm="1">
        <f t="array" ref="Q74">IF(P74="NÃO","NÃO",_xlfn.XLOOKUP(P74,tabE.Flux[COMP.AT. MOT A],#REF!,"NÃO",0,1))</f>
        <v>#REF!</v>
      </c>
      <c r="R74" s="14" t="e" cm="1">
        <f t="array" ref="R74">IF(P74="NÃO","NÃO",_xlfn.XLOOKUP(P74,tabE.Flux[COMP.AT. MOT B],#REF!,"NÃO",0,1))</f>
        <v>#REF!</v>
      </c>
      <c r="S74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74" s="16" t="e" cm="1">
        <f t="array" ref="T7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74" s="41" t="e" cm="1">
        <f t="array" ref="U7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75" spans="2:21" x14ac:dyDescent="0.25">
      <c r="B75" s="31"/>
      <c r="C75" s="37">
        <v>45895</v>
      </c>
      <c r="D75" s="33" t="e">
        <f>IF(IFERROR(Tabela10[[#This Row],[SIM]],"")="NÃO",(IF(Tabela7[[#This Row],[NOME]]=0,"","PASSE?")),Tabela10[[#This Row],[SIM]])</f>
        <v>#REF!</v>
      </c>
      <c r="E75" s="34" t="e">
        <f>Tabela10[[#This Row],[45886+JAKTAN DE OLIVEIRA RODRIGUES - 5836]]</f>
        <v>#REF!</v>
      </c>
      <c r="F75" s="33" t="s">
        <v>299</v>
      </c>
      <c r="G75" s="33" t="s">
        <v>40</v>
      </c>
      <c r="H75" s="4">
        <f>COUNTIF(Tabela10[45885+JAKTAN DE OLIVEIRA RODRIGUES - 5836],Tabela10[[#This Row],[45885+JAKTAN DE OLIVEIRA RODRIGUES - 5836]])</f>
        <v>1</v>
      </c>
      <c r="I75" s="45">
        <f>IF(Tabela7[[#This Row],[NOME]]&lt;&gt;0,15,"")</f>
        <v>15</v>
      </c>
      <c r="J75" s="33" t="e" cm="1">
        <f t="array" ref="J75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75" s="36">
        <f>Tabela7[[#This Row],[ID]]</f>
        <v>0</v>
      </c>
      <c r="M75" s="17" t="str">
        <f>_xlfn.CONCAT(Tabela7[[#This Row],[DATA]],"+",Tabela7[[#This Row],[NOME]])</f>
        <v>45895+ADEMILTON DE OLIVEIRA SILVA - 5559</v>
      </c>
      <c r="N75" s="11" t="e" cm="1">
        <f t="array" ref="N75">_xlfn.XLOOKUP(M75,tabE.Flux[[#All],[COMP.AT. MOT A]],#REF!,"NÃO",0,1)</f>
        <v>#REF!</v>
      </c>
      <c r="O75" s="11" t="e" cm="1">
        <f t="array" ref="O75">_xlfn.XLOOKUP(M75,tabE.Flux[[#All],[COMP.AT. MOT B]],#REF!,"NÃO",0,1)</f>
        <v>#REF!</v>
      </c>
      <c r="P75" s="12" t="e">
        <f>IF(N75="NÃO",(IF(O75="NÃO",(_xlfn.CONCAT(Tabela7[[#This Row],[DATA]]-1,"+",Tabela7[[#This Row],[NOME]])),"NÃO")),"NÃO")</f>
        <v>#REF!</v>
      </c>
      <c r="Q75" s="11" t="e" cm="1">
        <f t="array" ref="Q75">IF(P75="NÃO","NÃO",_xlfn.XLOOKUP(P75,tabE.Flux[COMP.AT. MOT A],#REF!,"NÃO",0,1))</f>
        <v>#REF!</v>
      </c>
      <c r="R75" s="14" t="e" cm="1">
        <f t="array" ref="R75">IF(P75="NÃO","NÃO",_xlfn.XLOOKUP(P75,tabE.Flux[COMP.AT. MOT B],#REF!,"NÃO",0,1))</f>
        <v>#REF!</v>
      </c>
      <c r="S75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75" s="16" t="e" cm="1">
        <f t="array" ref="T7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75" s="41" t="e" cm="1">
        <f t="array" ref="U7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76" spans="2:21" x14ac:dyDescent="0.25">
      <c r="B76" s="31"/>
      <c r="C76" s="37">
        <v>45895</v>
      </c>
      <c r="D76" s="33" t="e">
        <f>IF(IFERROR(Tabela10[[#This Row],[SIM]],"")="NÃO",(IF(Tabela7[[#This Row],[NOME]]=0,"","PASSE?")),Tabela10[[#This Row],[SIM]])</f>
        <v>#REF!</v>
      </c>
      <c r="E76" s="34" t="e">
        <f>Tabela10[[#This Row],[45886+JAKTAN DE OLIVEIRA RODRIGUES - 5836]]</f>
        <v>#REF!</v>
      </c>
      <c r="F76" s="33" t="s">
        <v>299</v>
      </c>
      <c r="G76" s="33" t="s">
        <v>54</v>
      </c>
      <c r="H76" s="4">
        <f>COUNTIF(Tabela10[45885+JAKTAN DE OLIVEIRA RODRIGUES - 5836],Tabela10[[#This Row],[45885+JAKTAN DE OLIVEIRA RODRIGUES - 5836]])</f>
        <v>1</v>
      </c>
      <c r="I76" s="45">
        <f>IF(Tabela7[[#This Row],[NOME]]&lt;&gt;0,15,"")</f>
        <v>15</v>
      </c>
      <c r="J76" s="33" t="e" cm="1">
        <f t="array" ref="J76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76" s="36">
        <f>Tabela7[[#This Row],[ID]]</f>
        <v>0</v>
      </c>
      <c r="M76" s="17" t="str">
        <f>_xlfn.CONCAT(Tabela7[[#This Row],[DATA]],"+",Tabela7[[#This Row],[NOME]])</f>
        <v>45895+JOSE POLICARPO DE SOUSA NETO - 1472</v>
      </c>
      <c r="N76" s="11" t="e" cm="1">
        <f t="array" ref="N76">_xlfn.XLOOKUP(M76,tabE.Flux[[#All],[COMP.AT. MOT A]],#REF!,"NÃO",0,1)</f>
        <v>#REF!</v>
      </c>
      <c r="O76" s="11" t="e" cm="1">
        <f t="array" ref="O76">_xlfn.XLOOKUP(M76,tabE.Flux[[#All],[COMP.AT. MOT B]],#REF!,"NÃO",0,1)</f>
        <v>#REF!</v>
      </c>
      <c r="P76" s="12" t="e">
        <f>IF(N76="NÃO",(IF(O76="NÃO",(_xlfn.CONCAT(Tabela7[[#This Row],[DATA]]-1,"+",Tabela7[[#This Row],[NOME]])),"NÃO")),"NÃO")</f>
        <v>#REF!</v>
      </c>
      <c r="Q76" s="11" t="e" cm="1">
        <f t="array" ref="Q76">IF(P76="NÃO","NÃO",_xlfn.XLOOKUP(P76,tabE.Flux[COMP.AT. MOT A],#REF!,"NÃO",0,1))</f>
        <v>#REF!</v>
      </c>
      <c r="R76" s="14" t="e" cm="1">
        <f t="array" ref="R76">IF(P76="NÃO","NÃO",_xlfn.XLOOKUP(P76,tabE.Flux[COMP.AT. MOT B],#REF!,"NÃO",0,1))</f>
        <v>#REF!</v>
      </c>
      <c r="S76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76" s="16" t="e" cm="1">
        <f t="array" ref="T7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76" s="41" t="e" cm="1">
        <f t="array" ref="U7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77" spans="2:21" x14ac:dyDescent="0.25">
      <c r="B77" s="31"/>
      <c r="C77" s="37">
        <v>45895</v>
      </c>
      <c r="D77" s="33" t="e">
        <f>IF(IFERROR(Tabela10[[#This Row],[SIM]],"")="NÃO",(IF(Tabela7[[#This Row],[NOME]]=0,"","PASSE?")),Tabela10[[#This Row],[SIM]])</f>
        <v>#REF!</v>
      </c>
      <c r="E77" s="34" t="e">
        <f>Tabela10[[#This Row],[45886+JAKTAN DE OLIVEIRA RODRIGUES - 5836]]</f>
        <v>#REF!</v>
      </c>
      <c r="F77" s="33" t="s">
        <v>299</v>
      </c>
      <c r="G77" s="33" t="s">
        <v>147</v>
      </c>
      <c r="H77" s="4">
        <f>COUNTIF(Tabela10[45885+JAKTAN DE OLIVEIRA RODRIGUES - 5836],Tabela10[[#This Row],[45885+JAKTAN DE OLIVEIRA RODRIGUES - 5836]])</f>
        <v>1</v>
      </c>
      <c r="I77" s="45">
        <f>IF(Tabela7[[#This Row],[NOME]]&lt;&gt;0,15,"")</f>
        <v>15</v>
      </c>
      <c r="J77" s="33" t="e" cm="1">
        <f t="array" ref="J77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77" s="36">
        <f>Tabela7[[#This Row],[ID]]</f>
        <v>0</v>
      </c>
      <c r="M77" s="17" t="str">
        <f>_xlfn.CONCAT(Tabela7[[#This Row],[DATA]],"+",Tabela7[[#This Row],[NOME]])</f>
        <v>45895+BRUNO MATOS DA ROCHA - 6013</v>
      </c>
      <c r="N77" s="11" t="e" cm="1">
        <f t="array" ref="N77">_xlfn.XLOOKUP(M77,tabE.Flux[[#All],[COMP.AT. MOT A]],#REF!,"NÃO",0,1)</f>
        <v>#REF!</v>
      </c>
      <c r="O77" s="11" t="e" cm="1">
        <f t="array" ref="O77">_xlfn.XLOOKUP(M77,tabE.Flux[[#All],[COMP.AT. MOT B]],#REF!,"NÃO",0,1)</f>
        <v>#REF!</v>
      </c>
      <c r="P77" s="12" t="e">
        <f>IF(N77="NÃO",(IF(O77="NÃO",(_xlfn.CONCAT(Tabela7[[#This Row],[DATA]]-1,"+",Tabela7[[#This Row],[NOME]])),"NÃO")),"NÃO")</f>
        <v>#REF!</v>
      </c>
      <c r="Q77" s="11" t="e" cm="1">
        <f t="array" ref="Q77">IF(P77="NÃO","NÃO",_xlfn.XLOOKUP(P77,tabE.Flux[COMP.AT. MOT A],#REF!,"NÃO",0,1))</f>
        <v>#REF!</v>
      </c>
      <c r="R77" s="14" t="e" cm="1">
        <f t="array" ref="R77">IF(P77="NÃO","NÃO",_xlfn.XLOOKUP(P77,tabE.Flux[COMP.AT. MOT B],#REF!,"NÃO",0,1))</f>
        <v>#REF!</v>
      </c>
      <c r="S77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77" s="16" t="e" cm="1">
        <f t="array" ref="T7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77" s="41" t="e" cm="1">
        <f t="array" ref="U7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78" spans="2:21" x14ac:dyDescent="0.25">
      <c r="B78" s="31"/>
      <c r="C78" s="37">
        <v>45895</v>
      </c>
      <c r="D78" s="33" t="e">
        <f>IF(IFERROR(Tabela10[[#This Row],[SIM]],"")="NÃO",(IF(Tabela7[[#This Row],[NOME]]=0,"","PASSE?")),Tabela10[[#This Row],[SIM]])</f>
        <v>#REF!</v>
      </c>
      <c r="E78" s="34" t="e">
        <f>Tabela10[[#This Row],[45886+JAKTAN DE OLIVEIRA RODRIGUES - 5836]]</f>
        <v>#REF!</v>
      </c>
      <c r="F78" s="33" t="s">
        <v>299</v>
      </c>
      <c r="G78" s="33" t="s">
        <v>53</v>
      </c>
      <c r="H78" s="4">
        <f>COUNTIF(Tabela10[45885+JAKTAN DE OLIVEIRA RODRIGUES - 5836],Tabela10[[#This Row],[45885+JAKTAN DE OLIVEIRA RODRIGUES - 5836]])</f>
        <v>1</v>
      </c>
      <c r="I78" s="45">
        <f>IF(Tabela7[[#This Row],[NOME]]&lt;&gt;0,15,"")</f>
        <v>15</v>
      </c>
      <c r="J78" s="33" t="e" cm="1">
        <f t="array" ref="J78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78" s="36">
        <f>Tabela7[[#This Row],[ID]]</f>
        <v>0</v>
      </c>
      <c r="M78" s="17" t="str">
        <f>_xlfn.CONCAT(Tabela7[[#This Row],[DATA]],"+",Tabela7[[#This Row],[NOME]])</f>
        <v>45895+ELIEZIO JOSE DOS SANTOS - 2645</v>
      </c>
      <c r="N78" s="11" t="e" cm="1">
        <f t="array" ref="N78">_xlfn.XLOOKUP(M78,tabE.Flux[[#All],[COMP.AT. MOT A]],#REF!,"NÃO",0,1)</f>
        <v>#REF!</v>
      </c>
      <c r="O78" s="11" t="e" cm="1">
        <f t="array" ref="O78">_xlfn.XLOOKUP(M78,tabE.Flux[[#All],[COMP.AT. MOT B]],#REF!,"NÃO",0,1)</f>
        <v>#REF!</v>
      </c>
      <c r="P78" s="12" t="e">
        <f>IF(N78="NÃO",(IF(O78="NÃO",(_xlfn.CONCAT(Tabela7[[#This Row],[DATA]]-1,"+",Tabela7[[#This Row],[NOME]])),"NÃO")),"NÃO")</f>
        <v>#REF!</v>
      </c>
      <c r="Q78" s="11" t="e" cm="1">
        <f t="array" ref="Q78">IF(P78="NÃO","NÃO",_xlfn.XLOOKUP(P78,tabE.Flux[COMP.AT. MOT A],#REF!,"NÃO",0,1))</f>
        <v>#REF!</v>
      </c>
      <c r="R78" s="14" t="e" cm="1">
        <f t="array" ref="R78">IF(P78="NÃO","NÃO",_xlfn.XLOOKUP(P78,tabE.Flux[COMP.AT. MOT B],#REF!,"NÃO",0,1))</f>
        <v>#REF!</v>
      </c>
      <c r="S78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78" s="16" t="e" cm="1">
        <f t="array" ref="T7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78" s="41" t="e" cm="1">
        <f t="array" ref="U7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79" spans="2:21" x14ac:dyDescent="0.25">
      <c r="B79" s="31"/>
      <c r="C79" s="37">
        <v>45896</v>
      </c>
      <c r="D79" s="33" t="e">
        <f>IF(IFERROR(Tabela10[[#This Row],[SIM]],"")="NÃO",(IF(Tabela7[[#This Row],[NOME]]=0,"","PASSE?")),Tabela10[[#This Row],[SIM]])</f>
        <v>#REF!</v>
      </c>
      <c r="E79" s="34" t="e">
        <f>Tabela10[[#This Row],[45886+JAKTAN DE OLIVEIRA RODRIGUES - 5836]]</f>
        <v>#REF!</v>
      </c>
      <c r="F79" s="33" t="s">
        <v>299</v>
      </c>
      <c r="G79" s="33" t="s">
        <v>125</v>
      </c>
      <c r="H79" s="4">
        <f>COUNTIF(Tabela10[45885+JAKTAN DE OLIVEIRA RODRIGUES - 5836],Tabela10[[#This Row],[45885+JAKTAN DE OLIVEIRA RODRIGUES - 5836]])</f>
        <v>1</v>
      </c>
      <c r="I79" s="45">
        <f>IF(Tabela7[[#This Row],[NOME]]&lt;&gt;0,15,"")</f>
        <v>15</v>
      </c>
      <c r="J79" s="33" t="e" cm="1">
        <f t="array" ref="J79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79" s="36">
        <f>Tabela7[[#This Row],[ID]]</f>
        <v>0</v>
      </c>
      <c r="M79" s="17" t="str">
        <f>_xlfn.CONCAT(Tabela7[[#This Row],[DATA]],"+",Tabela7[[#This Row],[NOME]])</f>
        <v>45896+ANTONIO DE PADUA DA  SILVA - 5645</v>
      </c>
      <c r="N79" s="11" t="e" cm="1">
        <f t="array" ref="N79">_xlfn.XLOOKUP(M79,tabE.Flux[[#All],[COMP.AT. MOT A]],#REF!,"NÃO",0,1)</f>
        <v>#REF!</v>
      </c>
      <c r="O79" s="11" t="e" cm="1">
        <f t="array" ref="O79">_xlfn.XLOOKUP(M79,tabE.Flux[[#All],[COMP.AT. MOT B]],#REF!,"NÃO",0,1)</f>
        <v>#REF!</v>
      </c>
      <c r="P79" s="12" t="e">
        <f>IF(N79="NÃO",(IF(O79="NÃO",(_xlfn.CONCAT(Tabela7[[#This Row],[DATA]]-1,"+",Tabela7[[#This Row],[NOME]])),"NÃO")),"NÃO")</f>
        <v>#REF!</v>
      </c>
      <c r="Q79" s="11" t="e" cm="1">
        <f t="array" ref="Q79">IF(P79="NÃO","NÃO",_xlfn.XLOOKUP(P79,tabE.Flux[COMP.AT. MOT A],#REF!,"NÃO",0,1))</f>
        <v>#REF!</v>
      </c>
      <c r="R79" s="14" t="e" cm="1">
        <f t="array" ref="R79">IF(P79="NÃO","NÃO",_xlfn.XLOOKUP(P79,tabE.Flux[COMP.AT. MOT B],#REF!,"NÃO",0,1))</f>
        <v>#REF!</v>
      </c>
      <c r="S79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79" s="16" t="e" cm="1">
        <f t="array" ref="T7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79" s="41" t="e" cm="1">
        <f t="array" ref="U7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80" spans="2:21" x14ac:dyDescent="0.25">
      <c r="B80" s="31"/>
      <c r="C80" s="37">
        <v>45896</v>
      </c>
      <c r="D80" s="33" t="e">
        <f>IF(IFERROR(Tabela10[[#This Row],[SIM]],"")="NÃO",(IF(Tabela7[[#This Row],[NOME]]=0,"","PASSE?")),Tabela10[[#This Row],[SIM]])</f>
        <v>#REF!</v>
      </c>
      <c r="E80" s="34" t="e">
        <f>Tabela10[[#This Row],[45886+JAKTAN DE OLIVEIRA RODRIGUES - 5836]]</f>
        <v>#REF!</v>
      </c>
      <c r="F80" s="33" t="s">
        <v>299</v>
      </c>
      <c r="G80" s="33" t="s">
        <v>57</v>
      </c>
      <c r="H80" s="4">
        <f>COUNTIF(Tabela10[45885+JAKTAN DE OLIVEIRA RODRIGUES - 5836],Tabela10[[#This Row],[45885+JAKTAN DE OLIVEIRA RODRIGUES - 5836]])</f>
        <v>1</v>
      </c>
      <c r="I80" s="45">
        <f>IF(Tabela7[[#This Row],[NOME]]&lt;&gt;0,15,"")</f>
        <v>15</v>
      </c>
      <c r="J80" s="33" t="e" cm="1">
        <f t="array" ref="J80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80" s="36">
        <f>Tabela7[[#This Row],[ID]]</f>
        <v>0</v>
      </c>
      <c r="M80" s="17" t="str">
        <f>_xlfn.CONCAT(Tabela7[[#This Row],[DATA]],"+",Tabela7[[#This Row],[NOME]])</f>
        <v>45896+ALTEMAR DO NASCIMENTO LIMA - 6225</v>
      </c>
      <c r="N80" s="11" t="e" cm="1">
        <f t="array" ref="N80">_xlfn.XLOOKUP(M80,tabE.Flux[[#All],[COMP.AT. MOT A]],#REF!,"NÃO",0,1)</f>
        <v>#REF!</v>
      </c>
      <c r="O80" s="11" t="e" cm="1">
        <f t="array" ref="O80">_xlfn.XLOOKUP(M80,tabE.Flux[[#All],[COMP.AT. MOT B]],#REF!,"NÃO",0,1)</f>
        <v>#REF!</v>
      </c>
      <c r="P80" s="12" t="e">
        <f>IF(N80="NÃO",(IF(O80="NÃO",(_xlfn.CONCAT(Tabela7[[#This Row],[DATA]]-1,"+",Tabela7[[#This Row],[NOME]])),"NÃO")),"NÃO")</f>
        <v>#REF!</v>
      </c>
      <c r="Q80" s="11" t="e" cm="1">
        <f t="array" ref="Q80">IF(P80="NÃO","NÃO",_xlfn.XLOOKUP(P80,tabE.Flux[COMP.AT. MOT A],#REF!,"NÃO",0,1))</f>
        <v>#REF!</v>
      </c>
      <c r="R80" s="14" t="e" cm="1">
        <f t="array" ref="R80">IF(P80="NÃO","NÃO",_xlfn.XLOOKUP(P80,tabE.Flux[COMP.AT. MOT B],#REF!,"NÃO",0,1))</f>
        <v>#REF!</v>
      </c>
      <c r="S80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80" s="16" t="e" cm="1">
        <f t="array" ref="T8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80" s="41" t="e" cm="1">
        <f t="array" ref="U8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81" spans="2:21" x14ac:dyDescent="0.25">
      <c r="B81" s="31"/>
      <c r="C81" s="37">
        <v>45896</v>
      </c>
      <c r="D81" s="33" t="e">
        <f>IF(IFERROR(Tabela10[[#This Row],[SIM]],"")="NÃO",(IF(Tabela7[[#This Row],[NOME]]=0,"","PASSE?")),Tabela10[[#This Row],[SIM]])</f>
        <v>#REF!</v>
      </c>
      <c r="E81" s="34" t="e">
        <f>Tabela10[[#This Row],[45886+JAKTAN DE OLIVEIRA RODRIGUES - 5836]]</f>
        <v>#REF!</v>
      </c>
      <c r="F81" s="33" t="s">
        <v>299</v>
      </c>
      <c r="G81" s="33" t="s">
        <v>112</v>
      </c>
      <c r="H81" s="4">
        <f>COUNTIF(Tabela10[45885+JAKTAN DE OLIVEIRA RODRIGUES - 5836],Tabela10[[#This Row],[45885+JAKTAN DE OLIVEIRA RODRIGUES - 5836]])</f>
        <v>1</v>
      </c>
      <c r="I81" s="45">
        <f>IF(Tabela7[[#This Row],[NOME]]&lt;&gt;0,15,"")</f>
        <v>15</v>
      </c>
      <c r="J81" s="33" t="e" cm="1">
        <f t="array" ref="J81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81" s="36">
        <f>Tabela7[[#This Row],[ID]]</f>
        <v>0</v>
      </c>
      <c r="M81" s="17" t="str">
        <f>_xlfn.CONCAT(Tabela7[[#This Row],[DATA]],"+",Tabela7[[#This Row],[NOME]])</f>
        <v>45896+WESLEY SILVA PAIVA - 5638</v>
      </c>
      <c r="N81" s="11" t="e" cm="1">
        <f t="array" ref="N81">_xlfn.XLOOKUP(M81,tabE.Flux[[#All],[COMP.AT. MOT A]],#REF!,"NÃO",0,1)</f>
        <v>#REF!</v>
      </c>
      <c r="O81" s="11" t="e" cm="1">
        <f t="array" ref="O81">_xlfn.XLOOKUP(M81,tabE.Flux[[#All],[COMP.AT. MOT B]],#REF!,"NÃO",0,1)</f>
        <v>#REF!</v>
      </c>
      <c r="P81" s="12" t="e">
        <f>IF(N81="NÃO",(IF(O81="NÃO",(_xlfn.CONCAT(Tabela7[[#This Row],[DATA]]-1,"+",Tabela7[[#This Row],[NOME]])),"NÃO")),"NÃO")</f>
        <v>#REF!</v>
      </c>
      <c r="Q81" s="11" t="e" cm="1">
        <f t="array" ref="Q81">IF(P81="NÃO","NÃO",_xlfn.XLOOKUP(P81,tabE.Flux[COMP.AT. MOT A],#REF!,"NÃO",0,1))</f>
        <v>#REF!</v>
      </c>
      <c r="R81" s="14" t="e" cm="1">
        <f t="array" ref="R81">IF(P81="NÃO","NÃO",_xlfn.XLOOKUP(P81,tabE.Flux[COMP.AT. MOT B],#REF!,"NÃO",0,1))</f>
        <v>#REF!</v>
      </c>
      <c r="S81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81" s="16" t="e" cm="1">
        <f t="array" ref="T8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81" s="41" t="e" cm="1">
        <f t="array" ref="U8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82" spans="2:21" x14ac:dyDescent="0.25">
      <c r="B82" s="31"/>
      <c r="C82" s="37">
        <v>45896</v>
      </c>
      <c r="D82" s="33" t="e">
        <f>IF(IFERROR(Tabela10[[#This Row],[SIM]],"")="NÃO",(IF(Tabela7[[#This Row],[NOME]]=0,"","PASSE?")),Tabela10[[#This Row],[SIM]])</f>
        <v>#REF!</v>
      </c>
      <c r="E82" s="34" t="e">
        <f>Tabela10[[#This Row],[45886+JAKTAN DE OLIVEIRA RODRIGUES - 5836]]</f>
        <v>#REF!</v>
      </c>
      <c r="F82" s="33" t="s">
        <v>299</v>
      </c>
      <c r="G82" s="33" t="s">
        <v>128</v>
      </c>
      <c r="H82" s="4">
        <f>COUNTIF(Tabela10[45885+JAKTAN DE OLIVEIRA RODRIGUES - 5836],Tabela10[[#This Row],[45885+JAKTAN DE OLIVEIRA RODRIGUES - 5836]])</f>
        <v>1</v>
      </c>
      <c r="I82" s="45">
        <f>IF(Tabela7[[#This Row],[NOME]]&lt;&gt;0,15,"")</f>
        <v>15</v>
      </c>
      <c r="J82" s="33" t="e" cm="1">
        <f t="array" ref="J82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82" s="36">
        <f>Tabela7[[#This Row],[ID]]</f>
        <v>0</v>
      </c>
      <c r="M82" s="17" t="str">
        <f>_xlfn.CONCAT(Tabela7[[#This Row],[DATA]],"+",Tabela7[[#This Row],[NOME]])</f>
        <v>45896+FRANCISCO BATISTA DE LIMA - 1827</v>
      </c>
      <c r="N82" s="11" t="e" cm="1">
        <f t="array" ref="N82">_xlfn.XLOOKUP(M82,tabE.Flux[[#All],[COMP.AT. MOT A]],#REF!,"NÃO",0,1)</f>
        <v>#REF!</v>
      </c>
      <c r="O82" s="11" t="e" cm="1">
        <f t="array" ref="O82">_xlfn.XLOOKUP(M82,tabE.Flux[[#All],[COMP.AT. MOT B]],#REF!,"NÃO",0,1)</f>
        <v>#REF!</v>
      </c>
      <c r="P82" s="12" t="e">
        <f>IF(N82="NÃO",(IF(O82="NÃO",(_xlfn.CONCAT(Tabela7[[#This Row],[DATA]]-1,"+",Tabela7[[#This Row],[NOME]])),"NÃO")),"NÃO")</f>
        <v>#REF!</v>
      </c>
      <c r="Q82" s="11" t="e" cm="1">
        <f t="array" ref="Q82">IF(P82="NÃO","NÃO",_xlfn.XLOOKUP(P82,tabE.Flux[COMP.AT. MOT A],#REF!,"NÃO",0,1))</f>
        <v>#REF!</v>
      </c>
      <c r="R82" s="14" t="e" cm="1">
        <f t="array" ref="R82">IF(P82="NÃO","NÃO",_xlfn.XLOOKUP(P82,tabE.Flux[COMP.AT. MOT B],#REF!,"NÃO",0,1))</f>
        <v>#REF!</v>
      </c>
      <c r="S82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82" s="16" t="e" cm="1">
        <f t="array" ref="T8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82" s="41" t="e" cm="1">
        <f t="array" ref="U8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83" spans="2:21" x14ac:dyDescent="0.25">
      <c r="B83" s="31"/>
      <c r="C83" s="37">
        <v>45896</v>
      </c>
      <c r="D83" s="33" t="e">
        <f>IF(IFERROR(Tabela10[[#This Row],[SIM]],"")="NÃO",(IF(Tabela7[[#This Row],[NOME]]=0,"","PASSE?")),Tabela10[[#This Row],[SIM]])</f>
        <v>#REF!</v>
      </c>
      <c r="E83" s="34" t="e">
        <f>Tabela10[[#This Row],[45886+JAKTAN DE OLIVEIRA RODRIGUES - 5836]]</f>
        <v>#REF!</v>
      </c>
      <c r="F83" s="33" t="s">
        <v>299</v>
      </c>
      <c r="G83" s="33" t="s">
        <v>61</v>
      </c>
      <c r="H83" s="4">
        <f>COUNTIF(Tabela10[45885+JAKTAN DE OLIVEIRA RODRIGUES - 5836],Tabela10[[#This Row],[45885+JAKTAN DE OLIVEIRA RODRIGUES - 5836]])</f>
        <v>1</v>
      </c>
      <c r="I83" s="45">
        <f>IF(Tabela7[[#This Row],[NOME]]&lt;&gt;0,15,"")</f>
        <v>15</v>
      </c>
      <c r="J83" s="33" t="e" cm="1">
        <f t="array" ref="J83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83" s="36">
        <f>Tabela7[[#This Row],[ID]]</f>
        <v>0</v>
      </c>
      <c r="M83" s="17" t="str">
        <f>_xlfn.CONCAT(Tabela7[[#This Row],[DATA]],"+",Tabela7[[#This Row],[NOME]])</f>
        <v>45896+JOAO FERREIRA COSTA - 5545</v>
      </c>
      <c r="N83" s="11" t="e" cm="1">
        <f t="array" ref="N83">_xlfn.XLOOKUP(M83,tabE.Flux[[#All],[COMP.AT. MOT A]],#REF!,"NÃO",0,1)</f>
        <v>#REF!</v>
      </c>
      <c r="O83" s="11" t="e" cm="1">
        <f t="array" ref="O83">_xlfn.XLOOKUP(M83,tabE.Flux[[#All],[COMP.AT. MOT B]],#REF!,"NÃO",0,1)</f>
        <v>#REF!</v>
      </c>
      <c r="P83" s="12" t="e">
        <f>IF(N83="NÃO",(IF(O83="NÃO",(_xlfn.CONCAT(Tabela7[[#This Row],[DATA]]-1,"+",Tabela7[[#This Row],[NOME]])),"NÃO")),"NÃO")</f>
        <v>#REF!</v>
      </c>
      <c r="Q83" s="11" t="e" cm="1">
        <f t="array" ref="Q83">IF(P83="NÃO","NÃO",_xlfn.XLOOKUP(P83,tabE.Flux[COMP.AT. MOT A],#REF!,"NÃO",0,1))</f>
        <v>#REF!</v>
      </c>
      <c r="R83" s="14" t="e" cm="1">
        <f t="array" ref="R83">IF(P83="NÃO","NÃO",_xlfn.XLOOKUP(P83,tabE.Flux[COMP.AT. MOT B],#REF!,"NÃO",0,1))</f>
        <v>#REF!</v>
      </c>
      <c r="S83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83" s="16" t="e" cm="1">
        <f t="array" ref="T8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83" s="41" t="e" cm="1">
        <f t="array" ref="U8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84" spans="2:21" x14ac:dyDescent="0.25">
      <c r="B84" s="31"/>
      <c r="C84" s="37">
        <v>45896</v>
      </c>
      <c r="D84" s="33" t="e">
        <f>IF(IFERROR(Tabela10[[#This Row],[SIM]],"")="NÃO",(IF(Tabela7[[#This Row],[NOME]]=0,"","PASSE?")),Tabela10[[#This Row],[SIM]])</f>
        <v>#REF!</v>
      </c>
      <c r="E84" s="34" t="e">
        <f>Tabela10[[#This Row],[45886+JAKTAN DE OLIVEIRA RODRIGUES - 5836]]</f>
        <v>#REF!</v>
      </c>
      <c r="F84" s="33" t="s">
        <v>299</v>
      </c>
      <c r="G84" s="33" t="s">
        <v>43</v>
      </c>
      <c r="H84" s="4">
        <f>COUNTIF(Tabela10[45885+JAKTAN DE OLIVEIRA RODRIGUES - 5836],Tabela10[[#This Row],[45885+JAKTAN DE OLIVEIRA RODRIGUES - 5836]])</f>
        <v>1</v>
      </c>
      <c r="I84" s="45">
        <f>IF(Tabela7[[#This Row],[NOME]]&lt;&gt;0,15,"")</f>
        <v>15</v>
      </c>
      <c r="J84" s="33" t="e" cm="1">
        <f t="array" ref="J84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84" s="36">
        <f>Tabela7[[#This Row],[ID]]</f>
        <v>0</v>
      </c>
      <c r="M84" s="17" t="str">
        <f>_xlfn.CONCAT(Tabela7[[#This Row],[DATA]],"+",Tabela7[[#This Row],[NOME]])</f>
        <v>45896+PAULO ENEAS FARIAS ARAUJO - 6218</v>
      </c>
      <c r="N84" s="11" t="e" cm="1">
        <f t="array" ref="N84">_xlfn.XLOOKUP(M84,tabE.Flux[[#All],[COMP.AT. MOT A]],#REF!,"NÃO",0,1)</f>
        <v>#REF!</v>
      </c>
      <c r="O84" s="11" t="e" cm="1">
        <f t="array" ref="O84">_xlfn.XLOOKUP(M84,tabE.Flux[[#All],[COMP.AT. MOT B]],#REF!,"NÃO",0,1)</f>
        <v>#REF!</v>
      </c>
      <c r="P84" s="12" t="e">
        <f>IF(N84="NÃO",(IF(O84="NÃO",(_xlfn.CONCAT(Tabela7[[#This Row],[DATA]]-1,"+",Tabela7[[#This Row],[NOME]])),"NÃO")),"NÃO")</f>
        <v>#REF!</v>
      </c>
      <c r="Q84" s="11" t="e" cm="1">
        <f t="array" ref="Q84">IF(P84="NÃO","NÃO",_xlfn.XLOOKUP(P84,tabE.Flux[COMP.AT. MOT A],#REF!,"NÃO",0,1))</f>
        <v>#REF!</v>
      </c>
      <c r="R84" s="14" t="e" cm="1">
        <f t="array" ref="R84">IF(P84="NÃO","NÃO",_xlfn.XLOOKUP(P84,tabE.Flux[COMP.AT. MOT B],#REF!,"NÃO",0,1))</f>
        <v>#REF!</v>
      </c>
      <c r="S84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84" s="16" t="e" cm="1">
        <f t="array" ref="T8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84" s="41" t="e" cm="1">
        <f t="array" ref="U8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85" spans="2:21" x14ac:dyDescent="0.25">
      <c r="B85" s="31"/>
      <c r="C85" s="37">
        <v>45897</v>
      </c>
      <c r="D85" s="33" t="e">
        <f>IF(IFERROR(Tabela10[[#This Row],[SIM]],"")="NÃO",(IF(Tabela7[[#This Row],[NOME]]=0,"","PASSE?")),Tabela10[[#This Row],[SIM]])</f>
        <v>#REF!</v>
      </c>
      <c r="E85" s="34" t="e">
        <f>Tabela10[[#This Row],[45886+JAKTAN DE OLIVEIRA RODRIGUES - 5836]]</f>
        <v>#REF!</v>
      </c>
      <c r="F85" s="33" t="s">
        <v>299</v>
      </c>
      <c r="G85" s="33" t="s">
        <v>79</v>
      </c>
      <c r="H85" s="4">
        <f>COUNTIF(Tabela10[45885+JAKTAN DE OLIVEIRA RODRIGUES - 5836],Tabela10[[#This Row],[45885+JAKTAN DE OLIVEIRA RODRIGUES - 5836]])</f>
        <v>1</v>
      </c>
      <c r="I85" s="45">
        <f>IF(Tabela7[[#This Row],[NOME]]&lt;&gt;0,15,"")</f>
        <v>15</v>
      </c>
      <c r="J85" s="33" t="e" cm="1">
        <f t="array" ref="J85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85" s="36">
        <f>Tabela7[[#This Row],[ID]]</f>
        <v>0</v>
      </c>
      <c r="M85" s="17" t="str">
        <f>_xlfn.CONCAT(Tabela7[[#This Row],[DATA]],"+",Tabela7[[#This Row],[NOME]])</f>
        <v>45897+ANTONIO RAMIRO WEBER - 5452</v>
      </c>
      <c r="N85" s="11" t="e" cm="1">
        <f t="array" ref="N85">_xlfn.XLOOKUP(M85,tabE.Flux[[#All],[COMP.AT. MOT A]],#REF!,"NÃO",0,1)</f>
        <v>#REF!</v>
      </c>
      <c r="O85" s="11" t="e" cm="1">
        <f t="array" ref="O85">_xlfn.XLOOKUP(M85,tabE.Flux[[#All],[COMP.AT. MOT B]],#REF!,"NÃO",0,1)</f>
        <v>#REF!</v>
      </c>
      <c r="P85" s="12" t="e">
        <f>IF(N85="NÃO",(IF(O85="NÃO",(_xlfn.CONCAT(Tabela7[[#This Row],[DATA]]-1,"+",Tabela7[[#This Row],[NOME]])),"NÃO")),"NÃO")</f>
        <v>#REF!</v>
      </c>
      <c r="Q85" s="11" t="e" cm="1">
        <f t="array" ref="Q85">IF(P85="NÃO","NÃO",_xlfn.XLOOKUP(P85,tabE.Flux[COMP.AT. MOT A],#REF!,"NÃO",0,1))</f>
        <v>#REF!</v>
      </c>
      <c r="R85" s="14" t="e" cm="1">
        <f t="array" ref="R85">IF(P85="NÃO","NÃO",_xlfn.XLOOKUP(P85,tabE.Flux[COMP.AT. MOT B],#REF!,"NÃO",0,1))</f>
        <v>#REF!</v>
      </c>
      <c r="S85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85" s="16" t="e" cm="1">
        <f t="array" ref="T8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85" s="41" t="e" cm="1">
        <f t="array" ref="U8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86" spans="2:21" x14ac:dyDescent="0.25">
      <c r="B86" s="31"/>
      <c r="C86" s="37">
        <v>45897</v>
      </c>
      <c r="D86" s="33" t="e">
        <f>IF(IFERROR(Tabela10[[#This Row],[SIM]],"")="NÃO",(IF(Tabela7[[#This Row],[NOME]]=0,"","PASSE?")),Tabela10[[#This Row],[SIM]])</f>
        <v>#REF!</v>
      </c>
      <c r="E86" s="34" t="e">
        <f>Tabela10[[#This Row],[45886+JAKTAN DE OLIVEIRA RODRIGUES - 5836]]</f>
        <v>#REF!</v>
      </c>
      <c r="F86" s="33" t="s">
        <v>299</v>
      </c>
      <c r="G86" s="33" t="s">
        <v>53</v>
      </c>
      <c r="H86" s="4">
        <f>COUNTIF(Tabela10[45885+JAKTAN DE OLIVEIRA RODRIGUES - 5836],Tabela10[[#This Row],[45885+JAKTAN DE OLIVEIRA RODRIGUES - 5836]])</f>
        <v>1</v>
      </c>
      <c r="I86" s="45">
        <f>IF(Tabela7[[#This Row],[NOME]]&lt;&gt;0,15,"")</f>
        <v>15</v>
      </c>
      <c r="J86" s="33" t="e" cm="1">
        <f t="array" ref="J86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86" s="36">
        <f>Tabela7[[#This Row],[ID]]</f>
        <v>0</v>
      </c>
      <c r="M86" s="17" t="str">
        <f>_xlfn.CONCAT(Tabela7[[#This Row],[DATA]],"+",Tabela7[[#This Row],[NOME]])</f>
        <v>45897+ELIEZIO JOSE DOS SANTOS - 2645</v>
      </c>
      <c r="N86" s="11" t="e" cm="1">
        <f t="array" ref="N86">_xlfn.XLOOKUP(M86,tabE.Flux[[#All],[COMP.AT. MOT A]],#REF!,"NÃO",0,1)</f>
        <v>#REF!</v>
      </c>
      <c r="O86" s="11" t="e" cm="1">
        <f t="array" ref="O86">_xlfn.XLOOKUP(M86,tabE.Flux[[#All],[COMP.AT. MOT B]],#REF!,"NÃO",0,1)</f>
        <v>#REF!</v>
      </c>
      <c r="P86" s="12" t="e">
        <f>IF(N86="NÃO",(IF(O86="NÃO",(_xlfn.CONCAT(Tabela7[[#This Row],[DATA]]-1,"+",Tabela7[[#This Row],[NOME]])),"NÃO")),"NÃO")</f>
        <v>#REF!</v>
      </c>
      <c r="Q86" s="11" t="e" cm="1">
        <f t="array" ref="Q86">IF(P86="NÃO","NÃO",_xlfn.XLOOKUP(P86,tabE.Flux[COMP.AT. MOT A],#REF!,"NÃO",0,1))</f>
        <v>#REF!</v>
      </c>
      <c r="R86" s="14" t="e" cm="1">
        <f t="array" ref="R86">IF(P86="NÃO","NÃO",_xlfn.XLOOKUP(P86,tabE.Flux[COMP.AT. MOT B],#REF!,"NÃO",0,1))</f>
        <v>#REF!</v>
      </c>
      <c r="S86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86" s="16" t="e" cm="1">
        <f t="array" ref="T8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86" s="41" t="e" cm="1">
        <f t="array" ref="U8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87" spans="2:21" x14ac:dyDescent="0.25">
      <c r="B87" s="31"/>
      <c r="C87" s="37">
        <v>45897</v>
      </c>
      <c r="D87" s="33" t="e">
        <f>IF(IFERROR(Tabela10[[#This Row],[SIM]],"")="NÃO",(IF(Tabela7[[#This Row],[NOME]]=0,"","PASSE?")),Tabela10[[#This Row],[SIM]])</f>
        <v>#REF!</v>
      </c>
      <c r="E87" s="34" t="e">
        <f>Tabela10[[#This Row],[45886+JAKTAN DE OLIVEIRA RODRIGUES - 5836]]</f>
        <v>#REF!</v>
      </c>
      <c r="F87" s="33" t="s">
        <v>299</v>
      </c>
      <c r="G87" s="33" t="s">
        <v>83</v>
      </c>
      <c r="H87" s="4">
        <f>COUNTIF(Tabela10[45885+JAKTAN DE OLIVEIRA RODRIGUES - 5836],Tabela10[[#This Row],[45885+JAKTAN DE OLIVEIRA RODRIGUES - 5836]])</f>
        <v>1</v>
      </c>
      <c r="I87" s="45">
        <f>IF(Tabela7[[#This Row],[NOME]]&lt;&gt;0,15,"")</f>
        <v>15</v>
      </c>
      <c r="J87" s="33" t="e" cm="1">
        <f t="array" ref="J87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87" s="36">
        <f>Tabela7[[#This Row],[ID]]</f>
        <v>0</v>
      </c>
      <c r="M87" s="17" t="str">
        <f>_xlfn.CONCAT(Tabela7[[#This Row],[DATA]],"+",Tabela7[[#This Row],[NOME]])</f>
        <v>45897+IZALMIR RODRIGUES COELHO - 958</v>
      </c>
      <c r="N87" s="11" t="e" cm="1">
        <f t="array" ref="N87">_xlfn.XLOOKUP(M87,tabE.Flux[[#All],[COMP.AT. MOT A]],#REF!,"NÃO",0,1)</f>
        <v>#REF!</v>
      </c>
      <c r="O87" s="11" t="e" cm="1">
        <f t="array" ref="O87">_xlfn.XLOOKUP(M87,tabE.Flux[[#All],[COMP.AT. MOT B]],#REF!,"NÃO",0,1)</f>
        <v>#REF!</v>
      </c>
      <c r="P87" s="12" t="e">
        <f>IF(N87="NÃO",(IF(O87="NÃO",(_xlfn.CONCAT(Tabela7[[#This Row],[DATA]]-1,"+",Tabela7[[#This Row],[NOME]])),"NÃO")),"NÃO")</f>
        <v>#REF!</v>
      </c>
      <c r="Q87" s="11" t="e" cm="1">
        <f t="array" ref="Q87">IF(P87="NÃO","NÃO",_xlfn.XLOOKUP(P87,tabE.Flux[COMP.AT. MOT A],#REF!,"NÃO",0,1))</f>
        <v>#REF!</v>
      </c>
      <c r="R87" s="14" t="e" cm="1">
        <f t="array" ref="R87">IF(P87="NÃO","NÃO",_xlfn.XLOOKUP(P87,tabE.Flux[COMP.AT. MOT B],#REF!,"NÃO",0,1))</f>
        <v>#REF!</v>
      </c>
      <c r="S87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87" s="16" t="e" cm="1">
        <f t="array" ref="T8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87" s="41" t="e" cm="1">
        <f t="array" ref="U8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88" spans="2:21" x14ac:dyDescent="0.25">
      <c r="B88" s="31"/>
      <c r="C88" s="37">
        <v>45897</v>
      </c>
      <c r="D88" s="33" t="e">
        <f>IF(IFERROR(Tabela10[[#This Row],[SIM]],"")="NÃO",(IF(Tabela7[[#This Row],[NOME]]=0,"","PASSE?")),Tabela10[[#This Row],[SIM]])</f>
        <v>#REF!</v>
      </c>
      <c r="E88" s="34" t="e">
        <f>Tabela10[[#This Row],[45886+JAKTAN DE OLIVEIRA RODRIGUES - 5836]]</f>
        <v>#REF!</v>
      </c>
      <c r="F88" s="33" t="s">
        <v>299</v>
      </c>
      <c r="G88" s="33" t="s">
        <v>221</v>
      </c>
      <c r="H88" s="4">
        <f>COUNTIF(Tabela10[45885+JAKTAN DE OLIVEIRA RODRIGUES - 5836],Tabela10[[#This Row],[45885+JAKTAN DE OLIVEIRA RODRIGUES - 5836]])</f>
        <v>1</v>
      </c>
      <c r="I88" s="45">
        <f>IF(Tabela7[[#This Row],[NOME]]&lt;&gt;0,15,"")</f>
        <v>15</v>
      </c>
      <c r="J88" s="33" t="e" cm="1">
        <f t="array" ref="J88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88" s="36">
        <f>Tabela7[[#This Row],[ID]]</f>
        <v>0</v>
      </c>
      <c r="M88" s="17" t="str">
        <f>_xlfn.CONCAT(Tabela7[[#This Row],[DATA]],"+",Tabela7[[#This Row],[NOME]])</f>
        <v>45897+MARCOS AUGUSTO SILVA ROCHA - 5268</v>
      </c>
      <c r="N88" s="11" t="e" cm="1">
        <f t="array" ref="N88">_xlfn.XLOOKUP(M88,tabE.Flux[[#All],[COMP.AT. MOT A]],#REF!,"NÃO",0,1)</f>
        <v>#REF!</v>
      </c>
      <c r="O88" s="11" t="e" cm="1">
        <f t="array" ref="O88">_xlfn.XLOOKUP(M88,tabE.Flux[[#All],[COMP.AT. MOT B]],#REF!,"NÃO",0,1)</f>
        <v>#REF!</v>
      </c>
      <c r="P88" s="12" t="e">
        <f>IF(N88="NÃO",(IF(O88="NÃO",(_xlfn.CONCAT(Tabela7[[#This Row],[DATA]]-1,"+",Tabela7[[#This Row],[NOME]])),"NÃO")),"NÃO")</f>
        <v>#REF!</v>
      </c>
      <c r="Q88" s="11" t="e" cm="1">
        <f t="array" ref="Q88">IF(P88="NÃO","NÃO",_xlfn.XLOOKUP(P88,tabE.Flux[COMP.AT. MOT A],#REF!,"NÃO",0,1))</f>
        <v>#REF!</v>
      </c>
      <c r="R88" s="14" t="e" cm="1">
        <f t="array" ref="R88">IF(P88="NÃO","NÃO",_xlfn.XLOOKUP(P88,tabE.Flux[COMP.AT. MOT B],#REF!,"NÃO",0,1))</f>
        <v>#REF!</v>
      </c>
      <c r="S88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88" s="16" t="e" cm="1">
        <f t="array" ref="T8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88" s="41" t="e" cm="1">
        <f t="array" ref="U8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89" spans="2:21" x14ac:dyDescent="0.25">
      <c r="B89" s="31"/>
      <c r="C89" s="37">
        <v>45897</v>
      </c>
      <c r="D89" s="33" t="e">
        <f>IF(IFERROR(Tabela10[[#This Row],[SIM]],"")="NÃO",(IF(Tabela7[[#This Row],[NOME]]=0,"","PASSE?")),Tabela10[[#This Row],[SIM]])</f>
        <v>#REF!</v>
      </c>
      <c r="E89" s="34" t="e">
        <f>Tabela10[[#This Row],[45886+JAKTAN DE OLIVEIRA RODRIGUES - 5836]]</f>
        <v>#REF!</v>
      </c>
      <c r="F89" s="33" t="s">
        <v>299</v>
      </c>
      <c r="G89" s="33" t="s">
        <v>86</v>
      </c>
      <c r="H89" s="4">
        <f>COUNTIF(Tabela10[45885+JAKTAN DE OLIVEIRA RODRIGUES - 5836],Tabela10[[#This Row],[45885+JAKTAN DE OLIVEIRA RODRIGUES - 5836]])</f>
        <v>1</v>
      </c>
      <c r="I89" s="45">
        <f>IF(Tabela7[[#This Row],[NOME]]&lt;&gt;0,15,"")</f>
        <v>15</v>
      </c>
      <c r="J89" s="33" t="e" cm="1">
        <f t="array" ref="J89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89" s="36">
        <f>Tabela7[[#This Row],[ID]]</f>
        <v>0</v>
      </c>
      <c r="M89" s="17" t="str">
        <f>_xlfn.CONCAT(Tabela7[[#This Row],[DATA]],"+",Tabela7[[#This Row],[NOME]])</f>
        <v>45897+LAUCEANDO DA SILVA ROCHA - 6220</v>
      </c>
      <c r="N89" s="11" t="e" cm="1">
        <f t="array" ref="N89">_xlfn.XLOOKUP(M89,tabE.Flux[[#All],[COMP.AT. MOT A]],#REF!,"NÃO",0,1)</f>
        <v>#REF!</v>
      </c>
      <c r="O89" s="11" t="e" cm="1">
        <f t="array" ref="O89">_xlfn.XLOOKUP(M89,tabE.Flux[[#All],[COMP.AT. MOT B]],#REF!,"NÃO",0,1)</f>
        <v>#REF!</v>
      </c>
      <c r="P89" s="12" t="e">
        <f>IF(N89="NÃO",(IF(O89="NÃO",(_xlfn.CONCAT(Tabela7[[#This Row],[DATA]]-1,"+",Tabela7[[#This Row],[NOME]])),"NÃO")),"NÃO")</f>
        <v>#REF!</v>
      </c>
      <c r="Q89" s="11" t="e" cm="1">
        <f t="array" ref="Q89">IF(P89="NÃO","NÃO",_xlfn.XLOOKUP(P89,tabE.Flux[COMP.AT. MOT A],#REF!,"NÃO",0,1))</f>
        <v>#REF!</v>
      </c>
      <c r="R89" s="14" t="e" cm="1">
        <f t="array" ref="R89">IF(P89="NÃO","NÃO",_xlfn.XLOOKUP(P89,tabE.Flux[COMP.AT. MOT B],#REF!,"NÃO",0,1))</f>
        <v>#REF!</v>
      </c>
      <c r="S89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89" s="16" t="e" cm="1">
        <f t="array" ref="T8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89" s="41" t="e" cm="1">
        <f t="array" ref="U8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90" spans="2:21" x14ac:dyDescent="0.25">
      <c r="B90" s="31"/>
      <c r="C90" s="37">
        <v>45897</v>
      </c>
      <c r="D90" s="33" t="e">
        <f>IF(IFERROR(Tabela10[[#This Row],[SIM]],"")="NÃO",(IF(Tabela7[[#This Row],[NOME]]=0,"","PASSE?")),Tabela10[[#This Row],[SIM]])</f>
        <v>#REF!</v>
      </c>
      <c r="E90" s="34" t="e">
        <f>Tabela10[[#This Row],[45886+JAKTAN DE OLIVEIRA RODRIGUES - 5836]]</f>
        <v>#REF!</v>
      </c>
      <c r="F90" s="33" t="s">
        <v>299</v>
      </c>
      <c r="G90" s="33" t="s">
        <v>55</v>
      </c>
      <c r="H90" s="4">
        <f>COUNTIF(Tabela10[45885+JAKTAN DE OLIVEIRA RODRIGUES - 5836],Tabela10[[#This Row],[45885+JAKTAN DE OLIVEIRA RODRIGUES - 5836]])</f>
        <v>1</v>
      </c>
      <c r="I90" s="45">
        <f>IF(Tabela7[[#This Row],[NOME]]&lt;&gt;0,15,"")</f>
        <v>15</v>
      </c>
      <c r="J90" s="33" t="e" cm="1">
        <f t="array" ref="J90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90" s="36">
        <f>Tabela7[[#This Row],[ID]]</f>
        <v>0</v>
      </c>
      <c r="M90" s="17" t="str">
        <f>_xlfn.CONCAT(Tabela7[[#This Row],[DATA]],"+",Tabela7[[#This Row],[NOME]])</f>
        <v>45897+EDIVALDO DE ARAUJO - 6217</v>
      </c>
      <c r="N90" s="11" t="e" cm="1">
        <f t="array" ref="N90">_xlfn.XLOOKUP(M90,tabE.Flux[[#All],[COMP.AT. MOT A]],#REF!,"NÃO",0,1)</f>
        <v>#REF!</v>
      </c>
      <c r="O90" s="11" t="e" cm="1">
        <f t="array" ref="O90">_xlfn.XLOOKUP(M90,tabE.Flux[[#All],[COMP.AT. MOT B]],#REF!,"NÃO",0,1)</f>
        <v>#REF!</v>
      </c>
      <c r="P90" s="12" t="e">
        <f>IF(N90="NÃO",(IF(O90="NÃO",(_xlfn.CONCAT(Tabela7[[#This Row],[DATA]]-1,"+",Tabela7[[#This Row],[NOME]])),"NÃO")),"NÃO")</f>
        <v>#REF!</v>
      </c>
      <c r="Q90" s="11" t="e" cm="1">
        <f t="array" ref="Q90">IF(P90="NÃO","NÃO",_xlfn.XLOOKUP(P90,tabE.Flux[COMP.AT. MOT A],#REF!,"NÃO",0,1))</f>
        <v>#REF!</v>
      </c>
      <c r="R90" s="14" t="e" cm="1">
        <f t="array" ref="R90">IF(P90="NÃO","NÃO",_xlfn.XLOOKUP(P90,tabE.Flux[COMP.AT. MOT B],#REF!,"NÃO",0,1))</f>
        <v>#REF!</v>
      </c>
      <c r="S90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90" s="16" t="e" cm="1">
        <f t="array" ref="T9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90" s="41" t="e" cm="1">
        <f t="array" ref="U9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91" spans="2:21" x14ac:dyDescent="0.25">
      <c r="B91" s="31"/>
      <c r="C91" s="37">
        <v>45898</v>
      </c>
      <c r="D91" s="33" t="e">
        <f>IF(IFERROR(Tabela10[[#This Row],[SIM]],"")="NÃO",(IF(Tabela7[[#This Row],[NOME]]=0,"","PASSE?")),Tabela10[[#This Row],[SIM]])</f>
        <v>#REF!</v>
      </c>
      <c r="E91" s="34" t="e">
        <f>Tabela10[[#This Row],[45886+JAKTAN DE OLIVEIRA RODRIGUES - 5836]]</f>
        <v>#REF!</v>
      </c>
      <c r="F91" s="33" t="s">
        <v>299</v>
      </c>
      <c r="G91" s="33" t="s">
        <v>73</v>
      </c>
      <c r="H91" s="4">
        <f>COUNTIF(Tabela10[45885+JAKTAN DE OLIVEIRA RODRIGUES - 5836],Tabela10[[#This Row],[45885+JAKTAN DE OLIVEIRA RODRIGUES - 5836]])</f>
        <v>1</v>
      </c>
      <c r="I91" s="45">
        <f>IF(Tabela7[[#This Row],[NOME]]&lt;&gt;0,15,"")</f>
        <v>15</v>
      </c>
      <c r="J91" s="33" t="e" cm="1">
        <f t="array" ref="J91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91" s="36">
        <f>Tabela7[[#This Row],[ID]]</f>
        <v>0</v>
      </c>
      <c r="M91" s="17" t="str">
        <f>_xlfn.CONCAT(Tabela7[[#This Row],[DATA]],"+",Tabela7[[#This Row],[NOME]])</f>
        <v>45898+ANTONIO MARQUES NETO DOS SANTOS - 1738</v>
      </c>
      <c r="N91" s="11" t="e" cm="1">
        <f t="array" ref="N91">_xlfn.XLOOKUP(M91,tabE.Flux[[#All],[COMP.AT. MOT A]],#REF!,"NÃO",0,1)</f>
        <v>#REF!</v>
      </c>
      <c r="O91" s="11" t="e" cm="1">
        <f t="array" ref="O91">_xlfn.XLOOKUP(M91,tabE.Flux[[#All],[COMP.AT. MOT B]],#REF!,"NÃO",0,1)</f>
        <v>#REF!</v>
      </c>
      <c r="P91" s="12" t="e">
        <f>IF(N91="NÃO",(IF(O91="NÃO",(_xlfn.CONCAT(Tabela7[[#This Row],[DATA]]-1,"+",Tabela7[[#This Row],[NOME]])),"NÃO")),"NÃO")</f>
        <v>#REF!</v>
      </c>
      <c r="Q91" s="11" t="e" cm="1">
        <f t="array" ref="Q91">IF(P91="NÃO","NÃO",_xlfn.XLOOKUP(P91,tabE.Flux[COMP.AT. MOT A],#REF!,"NÃO",0,1))</f>
        <v>#REF!</v>
      </c>
      <c r="R91" s="14" t="e" cm="1">
        <f t="array" ref="R91">IF(P91="NÃO","NÃO",_xlfn.XLOOKUP(P91,tabE.Flux[COMP.AT. MOT B],#REF!,"NÃO",0,1))</f>
        <v>#REF!</v>
      </c>
      <c r="S91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91" s="16" t="e" cm="1">
        <f t="array" ref="T9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91" s="41" t="e" cm="1">
        <f t="array" ref="U9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92" spans="2:21" x14ac:dyDescent="0.25">
      <c r="B92" s="31"/>
      <c r="C92" s="37">
        <v>45898</v>
      </c>
      <c r="D92" s="33" t="e">
        <f>IF(IFERROR(Tabela10[[#This Row],[SIM]],"")="NÃO",(IF(Tabela7[[#This Row],[NOME]]=0,"","PASSE?")),Tabela10[[#This Row],[SIM]])</f>
        <v>#REF!</v>
      </c>
      <c r="E92" s="34" t="e">
        <f>Tabela10[[#This Row],[45886+JAKTAN DE OLIVEIRA RODRIGUES - 5836]]</f>
        <v>#REF!</v>
      </c>
      <c r="F92" s="33" t="s">
        <v>299</v>
      </c>
      <c r="G92" s="33" t="s">
        <v>130</v>
      </c>
      <c r="H92" s="4">
        <f>COUNTIF(Tabela10[45885+JAKTAN DE OLIVEIRA RODRIGUES - 5836],Tabela10[[#This Row],[45885+JAKTAN DE OLIVEIRA RODRIGUES - 5836]])</f>
        <v>1</v>
      </c>
      <c r="I92" s="45">
        <f>IF(Tabela7[[#This Row],[NOME]]&lt;&gt;0,15,"")</f>
        <v>15</v>
      </c>
      <c r="J92" s="33" t="e" cm="1">
        <f t="array" ref="J92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92" s="36">
        <f>Tabela7[[#This Row],[ID]]</f>
        <v>0</v>
      </c>
      <c r="M92" s="17" t="str">
        <f>_xlfn.CONCAT(Tabela7[[#This Row],[DATA]],"+",Tabela7[[#This Row],[NOME]])</f>
        <v>45898+JERZUALDO DA SILVA GOMES - 4077</v>
      </c>
      <c r="N92" s="11" t="e" cm="1">
        <f t="array" ref="N92">_xlfn.XLOOKUP(M92,tabE.Flux[[#All],[COMP.AT. MOT A]],#REF!,"NÃO",0,1)</f>
        <v>#REF!</v>
      </c>
      <c r="O92" s="11" t="e" cm="1">
        <f t="array" ref="O92">_xlfn.XLOOKUP(M92,tabE.Flux[[#All],[COMP.AT. MOT B]],#REF!,"NÃO",0,1)</f>
        <v>#REF!</v>
      </c>
      <c r="P92" s="12" t="e">
        <f>IF(N92="NÃO",(IF(O92="NÃO",(_xlfn.CONCAT(Tabela7[[#This Row],[DATA]]-1,"+",Tabela7[[#This Row],[NOME]])),"NÃO")),"NÃO")</f>
        <v>#REF!</v>
      </c>
      <c r="Q92" s="11" t="e" cm="1">
        <f t="array" ref="Q92">IF(P92="NÃO","NÃO",_xlfn.XLOOKUP(P92,tabE.Flux[COMP.AT. MOT A],#REF!,"NÃO",0,1))</f>
        <v>#REF!</v>
      </c>
      <c r="R92" s="14" t="e" cm="1">
        <f t="array" ref="R92">IF(P92="NÃO","NÃO",_xlfn.XLOOKUP(P92,tabE.Flux[COMP.AT. MOT B],#REF!,"NÃO",0,1))</f>
        <v>#REF!</v>
      </c>
      <c r="S92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92" s="16" t="e" cm="1">
        <f t="array" ref="T9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92" s="41" t="e" cm="1">
        <f t="array" ref="U9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93" spans="2:21" x14ac:dyDescent="0.25">
      <c r="B93" s="31"/>
      <c r="C93" s="37">
        <v>45898</v>
      </c>
      <c r="D93" s="33" t="e">
        <f>IF(IFERROR(Tabela10[[#This Row],[SIM]],"")="NÃO",(IF(Tabela7[[#This Row],[NOME]]=0,"","PASSE?")),Tabela10[[#This Row],[SIM]])</f>
        <v>#REF!</v>
      </c>
      <c r="E93" s="34" t="e">
        <f>Tabela10[[#This Row],[45886+JAKTAN DE OLIVEIRA RODRIGUES - 5836]]</f>
        <v>#REF!</v>
      </c>
      <c r="F93" s="33" t="s">
        <v>299</v>
      </c>
      <c r="G93" s="33" t="s">
        <v>80</v>
      </c>
      <c r="H93" s="4">
        <f>COUNTIF(Tabela10[45885+JAKTAN DE OLIVEIRA RODRIGUES - 5836],Tabela10[[#This Row],[45885+JAKTAN DE OLIVEIRA RODRIGUES - 5836]])</f>
        <v>1</v>
      </c>
      <c r="I93" s="45">
        <f>IF(Tabela7[[#This Row],[NOME]]&lt;&gt;0,15,"")</f>
        <v>15</v>
      </c>
      <c r="J93" s="33" t="e" cm="1">
        <f t="array" ref="J93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93" s="36">
        <f>Tabela7[[#This Row],[ID]]</f>
        <v>0</v>
      </c>
      <c r="M93" s="17" t="str">
        <f>_xlfn.CONCAT(Tabela7[[#This Row],[DATA]],"+",Tabela7[[#This Row],[NOME]])</f>
        <v>45898+KAYLSON KLEYTON DA SILVA COSTA - 6224</v>
      </c>
      <c r="N93" s="11" t="e" cm="1">
        <f t="array" ref="N93">_xlfn.XLOOKUP(M93,tabE.Flux[[#All],[COMP.AT. MOT A]],#REF!,"NÃO",0,1)</f>
        <v>#REF!</v>
      </c>
      <c r="O93" s="11" t="e" cm="1">
        <f t="array" ref="O93">_xlfn.XLOOKUP(M93,tabE.Flux[[#All],[COMP.AT. MOT B]],#REF!,"NÃO",0,1)</f>
        <v>#REF!</v>
      </c>
      <c r="P93" s="12" t="e">
        <f>IF(N93="NÃO",(IF(O93="NÃO",(_xlfn.CONCAT(Tabela7[[#This Row],[DATA]]-1,"+",Tabela7[[#This Row],[NOME]])),"NÃO")),"NÃO")</f>
        <v>#REF!</v>
      </c>
      <c r="Q93" s="11" t="e" cm="1">
        <f t="array" ref="Q93">IF(P93="NÃO","NÃO",_xlfn.XLOOKUP(P93,tabE.Flux[COMP.AT. MOT A],#REF!,"NÃO",0,1))</f>
        <v>#REF!</v>
      </c>
      <c r="R93" s="14" t="e" cm="1">
        <f t="array" ref="R93">IF(P93="NÃO","NÃO",_xlfn.XLOOKUP(P93,tabE.Flux[COMP.AT. MOT B],#REF!,"NÃO",0,1))</f>
        <v>#REF!</v>
      </c>
      <c r="S93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93" s="16" t="e" cm="1">
        <f t="array" ref="T9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93" s="41" t="e" cm="1">
        <f t="array" ref="U9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94" spans="2:21" x14ac:dyDescent="0.25">
      <c r="B94" s="31"/>
      <c r="C94" s="37">
        <v>45898</v>
      </c>
      <c r="D94" s="33" t="e">
        <f>IF(IFERROR(Tabela10[[#This Row],[SIM]],"")="NÃO",(IF(Tabela7[[#This Row],[NOME]]=0,"","PASSE?")),Tabela10[[#This Row],[SIM]])</f>
        <v>#REF!</v>
      </c>
      <c r="E94" s="34" t="e">
        <f>Tabela10[[#This Row],[45886+JAKTAN DE OLIVEIRA RODRIGUES - 5836]]</f>
        <v>#REF!</v>
      </c>
      <c r="F94" s="33" t="s">
        <v>299</v>
      </c>
      <c r="G94" s="33" t="s">
        <v>102</v>
      </c>
      <c r="H94" s="4">
        <f>COUNTIF(Tabela10[45885+JAKTAN DE OLIVEIRA RODRIGUES - 5836],Tabela10[[#This Row],[45885+JAKTAN DE OLIVEIRA RODRIGUES - 5836]])</f>
        <v>1</v>
      </c>
      <c r="I94" s="45">
        <f>IF(Tabela7[[#This Row],[NOME]]&lt;&gt;0,15,"")</f>
        <v>15</v>
      </c>
      <c r="J94" s="33" t="e" cm="1">
        <f t="array" ref="J94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94" s="36">
        <f>Tabela7[[#This Row],[ID]]</f>
        <v>0</v>
      </c>
      <c r="M94" s="17" t="str">
        <f>_xlfn.CONCAT(Tabela7[[#This Row],[DATA]],"+",Tabela7[[#This Row],[NOME]])</f>
        <v>45898+KLEBER OLIVEIRA LIMA - 5849</v>
      </c>
      <c r="N94" s="11" t="e" cm="1">
        <f t="array" ref="N94">_xlfn.XLOOKUP(M94,tabE.Flux[[#All],[COMP.AT. MOT A]],#REF!,"NÃO",0,1)</f>
        <v>#REF!</v>
      </c>
      <c r="O94" s="11" t="e" cm="1">
        <f t="array" ref="O94">_xlfn.XLOOKUP(M94,tabE.Flux[[#All],[COMP.AT. MOT B]],#REF!,"NÃO",0,1)</f>
        <v>#REF!</v>
      </c>
      <c r="P94" s="12" t="e">
        <f>IF(N94="NÃO",(IF(O94="NÃO",(_xlfn.CONCAT(Tabela7[[#This Row],[DATA]]-1,"+",Tabela7[[#This Row],[NOME]])),"NÃO")),"NÃO")</f>
        <v>#REF!</v>
      </c>
      <c r="Q94" s="11" t="e" cm="1">
        <f t="array" ref="Q94">IF(P94="NÃO","NÃO",_xlfn.XLOOKUP(P94,tabE.Flux[COMP.AT. MOT A],#REF!,"NÃO",0,1))</f>
        <v>#REF!</v>
      </c>
      <c r="R94" s="14" t="e" cm="1">
        <f t="array" ref="R94">IF(P94="NÃO","NÃO",_xlfn.XLOOKUP(P94,tabE.Flux[COMP.AT. MOT B],#REF!,"NÃO",0,1))</f>
        <v>#REF!</v>
      </c>
      <c r="S94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94" s="16" t="e" cm="1">
        <f t="array" ref="T9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94" s="41" t="e" cm="1">
        <f t="array" ref="U9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95" spans="2:21" x14ac:dyDescent="0.25">
      <c r="B95" s="31"/>
      <c r="C95" s="37">
        <v>45898</v>
      </c>
      <c r="D95" s="33" t="e">
        <f>IF(IFERROR(Tabela10[[#This Row],[SIM]],"")="NÃO",(IF(Tabela7[[#This Row],[NOME]]=0,"","PASSE?")),Tabela10[[#This Row],[SIM]])</f>
        <v>#REF!</v>
      </c>
      <c r="E95" s="34" t="e">
        <f>Tabela10[[#This Row],[45886+JAKTAN DE OLIVEIRA RODRIGUES - 5836]]</f>
        <v>#REF!</v>
      </c>
      <c r="F95" s="33" t="s">
        <v>299</v>
      </c>
      <c r="G95" s="33" t="s">
        <v>43</v>
      </c>
      <c r="H95" s="4">
        <f>COUNTIF(Tabela10[45885+JAKTAN DE OLIVEIRA RODRIGUES - 5836],Tabela10[[#This Row],[45885+JAKTAN DE OLIVEIRA RODRIGUES - 5836]])</f>
        <v>1</v>
      </c>
      <c r="I95" s="45">
        <f>IF(Tabela7[[#This Row],[NOME]]&lt;&gt;0,15,"")</f>
        <v>15</v>
      </c>
      <c r="J95" s="33" t="e" cm="1">
        <f t="array" ref="J95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95" s="36">
        <f>Tabela7[[#This Row],[ID]]</f>
        <v>0</v>
      </c>
      <c r="M95" s="17" t="str">
        <f>_xlfn.CONCAT(Tabela7[[#This Row],[DATA]],"+",Tabela7[[#This Row],[NOME]])</f>
        <v>45898+PAULO ENEAS FARIAS ARAUJO - 6218</v>
      </c>
      <c r="N95" s="11" t="e" cm="1">
        <f t="array" ref="N95">_xlfn.XLOOKUP(M95,tabE.Flux[[#All],[COMP.AT. MOT A]],#REF!,"NÃO",0,1)</f>
        <v>#REF!</v>
      </c>
      <c r="O95" s="11" t="e" cm="1">
        <f t="array" ref="O95">_xlfn.XLOOKUP(M95,tabE.Flux[[#All],[COMP.AT. MOT B]],#REF!,"NÃO",0,1)</f>
        <v>#REF!</v>
      </c>
      <c r="P95" s="12" t="e">
        <f>IF(N95="NÃO",(IF(O95="NÃO",(_xlfn.CONCAT(Tabela7[[#This Row],[DATA]]-1,"+",Tabela7[[#This Row],[NOME]])),"NÃO")),"NÃO")</f>
        <v>#REF!</v>
      </c>
      <c r="Q95" s="11" t="e" cm="1">
        <f t="array" ref="Q95">IF(P95="NÃO","NÃO",_xlfn.XLOOKUP(P95,tabE.Flux[COMP.AT. MOT A],#REF!,"NÃO",0,1))</f>
        <v>#REF!</v>
      </c>
      <c r="R95" s="14" t="e" cm="1">
        <f t="array" ref="R95">IF(P95="NÃO","NÃO",_xlfn.XLOOKUP(P95,tabE.Flux[COMP.AT. MOT B],#REF!,"NÃO",0,1))</f>
        <v>#REF!</v>
      </c>
      <c r="S95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95" s="16" t="e" cm="1">
        <f t="array" ref="T9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95" s="41" t="e" cm="1">
        <f t="array" ref="U9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96" spans="2:21" x14ac:dyDescent="0.25">
      <c r="B96" s="31"/>
      <c r="C96" s="37">
        <v>45899</v>
      </c>
      <c r="D96" s="33" t="e">
        <f>IF(IFERROR(Tabela10[[#This Row],[SIM]],"")="NÃO",(IF(Tabela7[[#This Row],[NOME]]=0,"","PASSE?")),Tabela10[[#This Row],[SIM]])</f>
        <v>#REF!</v>
      </c>
      <c r="E96" s="34" t="e">
        <f>Tabela10[[#This Row],[45886+JAKTAN DE OLIVEIRA RODRIGUES - 5836]]</f>
        <v>#REF!</v>
      </c>
      <c r="F96" s="33" t="s">
        <v>299</v>
      </c>
      <c r="G96" s="33" t="s">
        <v>57</v>
      </c>
      <c r="H96" s="4">
        <f>COUNTIF(Tabela10[45885+JAKTAN DE OLIVEIRA RODRIGUES - 5836],Tabela10[[#This Row],[45885+JAKTAN DE OLIVEIRA RODRIGUES - 5836]])</f>
        <v>1</v>
      </c>
      <c r="I96" s="45">
        <f>IF(Tabela7[[#This Row],[NOME]]&lt;&gt;0,15,"")</f>
        <v>15</v>
      </c>
      <c r="J96" s="33" t="e" cm="1">
        <f t="array" ref="J96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96" s="36">
        <f>Tabela7[[#This Row],[ID]]</f>
        <v>0</v>
      </c>
      <c r="M96" s="17" t="str">
        <f>_xlfn.CONCAT(Tabela7[[#This Row],[DATA]],"+",Tabela7[[#This Row],[NOME]])</f>
        <v>45899+ALTEMAR DO NASCIMENTO LIMA - 6225</v>
      </c>
      <c r="N96" s="11" t="e" cm="1">
        <f t="array" ref="N96">_xlfn.XLOOKUP(M96,tabE.Flux[[#All],[COMP.AT. MOT A]],#REF!,"NÃO",0,1)</f>
        <v>#REF!</v>
      </c>
      <c r="O96" s="11" t="e" cm="1">
        <f t="array" ref="O96">_xlfn.XLOOKUP(M96,tabE.Flux[[#All],[COMP.AT. MOT B]],#REF!,"NÃO",0,1)</f>
        <v>#REF!</v>
      </c>
      <c r="P96" s="12" t="e">
        <f>IF(N96="NÃO",(IF(O96="NÃO",(_xlfn.CONCAT(Tabela7[[#This Row],[DATA]]-1,"+",Tabela7[[#This Row],[NOME]])),"NÃO")),"NÃO")</f>
        <v>#REF!</v>
      </c>
      <c r="Q96" s="11" t="e" cm="1">
        <f t="array" ref="Q96">IF(P96="NÃO","NÃO",_xlfn.XLOOKUP(P96,tabE.Flux[COMP.AT. MOT A],#REF!,"NÃO",0,1))</f>
        <v>#REF!</v>
      </c>
      <c r="R96" s="14" t="e" cm="1">
        <f t="array" ref="R96">IF(P96="NÃO","NÃO",_xlfn.XLOOKUP(P96,tabE.Flux[COMP.AT. MOT B],#REF!,"NÃO",0,1))</f>
        <v>#REF!</v>
      </c>
      <c r="S96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96" s="16" t="e" cm="1">
        <f t="array" ref="T9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96" s="41" t="e" cm="1">
        <f t="array" ref="U9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97" spans="2:21" x14ac:dyDescent="0.25">
      <c r="B97" s="31"/>
      <c r="C97" s="37">
        <v>45899</v>
      </c>
      <c r="D97" s="33" t="e">
        <f>IF(IFERROR(Tabela10[[#This Row],[SIM]],"")="NÃO",(IF(Tabela7[[#This Row],[NOME]]=0,"","PASSE?")),Tabela10[[#This Row],[SIM]])</f>
        <v>#REF!</v>
      </c>
      <c r="E97" s="34" t="e">
        <f>Tabela10[[#This Row],[45886+JAKTAN DE OLIVEIRA RODRIGUES - 5836]]</f>
        <v>#REF!</v>
      </c>
      <c r="F97" s="33" t="s">
        <v>299</v>
      </c>
      <c r="G97" s="33" t="s">
        <v>86</v>
      </c>
      <c r="H97" s="4">
        <f>COUNTIF(Tabela10[45885+JAKTAN DE OLIVEIRA RODRIGUES - 5836],Tabela10[[#This Row],[45885+JAKTAN DE OLIVEIRA RODRIGUES - 5836]])</f>
        <v>1</v>
      </c>
      <c r="I97" s="45">
        <f>IF(Tabela7[[#This Row],[NOME]]&lt;&gt;0,15,"")</f>
        <v>15</v>
      </c>
      <c r="J97" s="33" t="e" cm="1">
        <f t="array" ref="J97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97" s="36">
        <f>Tabela7[[#This Row],[ID]]</f>
        <v>0</v>
      </c>
      <c r="M97" s="17" t="str">
        <f>_xlfn.CONCAT(Tabela7[[#This Row],[DATA]],"+",Tabela7[[#This Row],[NOME]])</f>
        <v>45899+LAUCEANDO DA SILVA ROCHA - 6220</v>
      </c>
      <c r="N97" s="11" t="e" cm="1">
        <f t="array" ref="N97">_xlfn.XLOOKUP(M97,tabE.Flux[[#All],[COMP.AT. MOT A]],#REF!,"NÃO",0,1)</f>
        <v>#REF!</v>
      </c>
      <c r="O97" s="11" t="e" cm="1">
        <f t="array" ref="O97">_xlfn.XLOOKUP(M97,tabE.Flux[[#All],[COMP.AT. MOT B]],#REF!,"NÃO",0,1)</f>
        <v>#REF!</v>
      </c>
      <c r="P97" s="12" t="e">
        <f>IF(N97="NÃO",(IF(O97="NÃO",(_xlfn.CONCAT(Tabela7[[#This Row],[DATA]]-1,"+",Tabela7[[#This Row],[NOME]])),"NÃO")),"NÃO")</f>
        <v>#REF!</v>
      </c>
      <c r="Q97" s="11" t="e" cm="1">
        <f t="array" ref="Q97">IF(P97="NÃO","NÃO",_xlfn.XLOOKUP(P97,tabE.Flux[COMP.AT. MOT A],#REF!,"NÃO",0,1))</f>
        <v>#REF!</v>
      </c>
      <c r="R97" s="14" t="e" cm="1">
        <f t="array" ref="R97">IF(P97="NÃO","NÃO",_xlfn.XLOOKUP(P97,tabE.Flux[COMP.AT. MOT B],#REF!,"NÃO",0,1))</f>
        <v>#REF!</v>
      </c>
      <c r="S97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97" s="16" t="e" cm="1">
        <f t="array" ref="T9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97" s="41" t="e" cm="1">
        <f t="array" ref="U9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98" spans="2:21" x14ac:dyDescent="0.25">
      <c r="B98" s="31"/>
      <c r="C98" s="37">
        <v>45899</v>
      </c>
      <c r="D98" s="33" t="e">
        <f>IF(IFERROR(Tabela10[[#This Row],[SIM]],"")="NÃO",(IF(Tabela7[[#This Row],[NOME]]=0,"","PASSE?")),Tabela10[[#This Row],[SIM]])</f>
        <v>#REF!</v>
      </c>
      <c r="E98" s="34" t="e">
        <f>Tabela10[[#This Row],[45886+JAKTAN DE OLIVEIRA RODRIGUES - 5836]]</f>
        <v>#REF!</v>
      </c>
      <c r="F98" s="33" t="s">
        <v>299</v>
      </c>
      <c r="G98" s="33" t="s">
        <v>111</v>
      </c>
      <c r="H98" s="4">
        <f>COUNTIF(Tabela10[45885+JAKTAN DE OLIVEIRA RODRIGUES - 5836],Tabela10[[#This Row],[45885+JAKTAN DE OLIVEIRA RODRIGUES - 5836]])</f>
        <v>1</v>
      </c>
      <c r="I98" s="45">
        <f>IF(Tabela7[[#This Row],[NOME]]&lt;&gt;0,15,"")</f>
        <v>15</v>
      </c>
      <c r="J98" s="33" t="e" cm="1">
        <f t="array" ref="J98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98" s="36">
        <f>Tabela7[[#This Row],[ID]]</f>
        <v>0</v>
      </c>
      <c r="M98" s="17" t="str">
        <f>_xlfn.CONCAT(Tabela7[[#This Row],[DATA]],"+",Tabela7[[#This Row],[NOME]])</f>
        <v>45899+ANTONIO LEONESIO CAMPELO DA SILVA - 5303</v>
      </c>
      <c r="N98" s="11" t="e" cm="1">
        <f t="array" ref="N98">_xlfn.XLOOKUP(M98,tabE.Flux[[#All],[COMP.AT. MOT A]],#REF!,"NÃO",0,1)</f>
        <v>#REF!</v>
      </c>
      <c r="O98" s="11" t="e" cm="1">
        <f t="array" ref="O98">_xlfn.XLOOKUP(M98,tabE.Flux[[#All],[COMP.AT. MOT B]],#REF!,"NÃO",0,1)</f>
        <v>#REF!</v>
      </c>
      <c r="P98" s="12" t="e">
        <f>IF(N98="NÃO",(IF(O98="NÃO",(_xlfn.CONCAT(Tabela7[[#This Row],[DATA]]-1,"+",Tabela7[[#This Row],[NOME]])),"NÃO")),"NÃO")</f>
        <v>#REF!</v>
      </c>
      <c r="Q98" s="11" t="e" cm="1">
        <f t="array" ref="Q98">IF(P98="NÃO","NÃO",_xlfn.XLOOKUP(P98,tabE.Flux[COMP.AT. MOT A],#REF!,"NÃO",0,1))</f>
        <v>#REF!</v>
      </c>
      <c r="R98" s="14" t="e" cm="1">
        <f t="array" ref="R98">IF(P98="NÃO","NÃO",_xlfn.XLOOKUP(P98,tabE.Flux[COMP.AT. MOT B],#REF!,"NÃO",0,1))</f>
        <v>#REF!</v>
      </c>
      <c r="S98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98" s="16" t="e" cm="1">
        <f t="array" ref="T9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98" s="41" t="e" cm="1">
        <f t="array" ref="U9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99" spans="2:21" x14ac:dyDescent="0.25">
      <c r="B99" s="31"/>
      <c r="C99" s="37">
        <v>45899</v>
      </c>
      <c r="D99" s="33" t="e">
        <f>IF(IFERROR(Tabela10[[#This Row],[SIM]],"")="NÃO",(IF(Tabela7[[#This Row],[NOME]]=0,"","PASSE?")),Tabela10[[#This Row],[SIM]])</f>
        <v>#REF!</v>
      </c>
      <c r="E99" s="34" t="e">
        <f>Tabela10[[#This Row],[45886+JAKTAN DE OLIVEIRA RODRIGUES - 5836]]</f>
        <v>#REF!</v>
      </c>
      <c r="F99" s="33" t="s">
        <v>299</v>
      </c>
      <c r="G99" s="33" t="s">
        <v>175</v>
      </c>
      <c r="H99" s="4">
        <f>COUNTIF(Tabela10[45885+JAKTAN DE OLIVEIRA RODRIGUES - 5836],Tabela10[[#This Row],[45885+JAKTAN DE OLIVEIRA RODRIGUES - 5836]])</f>
        <v>1</v>
      </c>
      <c r="I99" s="45">
        <f>IF(Tabela7[[#This Row],[NOME]]&lt;&gt;0,15,"")</f>
        <v>15</v>
      </c>
      <c r="J99" s="33" t="e" cm="1">
        <f t="array" ref="J99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99" s="36">
        <f>Tabela7[[#This Row],[ID]]</f>
        <v>0</v>
      </c>
      <c r="M99" s="17" t="str">
        <f>_xlfn.CONCAT(Tabela7[[#This Row],[DATA]],"+",Tabela7[[#This Row],[NOME]])</f>
        <v>45899+PEDRO PAULO DO NASCIMENTO DO CARMO - 2559</v>
      </c>
      <c r="N99" s="11" t="e" cm="1">
        <f t="array" ref="N99">_xlfn.XLOOKUP(M99,tabE.Flux[[#All],[COMP.AT. MOT A]],#REF!,"NÃO",0,1)</f>
        <v>#REF!</v>
      </c>
      <c r="O99" s="11" t="e" cm="1">
        <f t="array" ref="O99">_xlfn.XLOOKUP(M99,tabE.Flux[[#All],[COMP.AT. MOT B]],#REF!,"NÃO",0,1)</f>
        <v>#REF!</v>
      </c>
      <c r="P99" s="12" t="e">
        <f>IF(N99="NÃO",(IF(O99="NÃO",(_xlfn.CONCAT(Tabela7[[#This Row],[DATA]]-1,"+",Tabela7[[#This Row],[NOME]])),"NÃO")),"NÃO")</f>
        <v>#REF!</v>
      </c>
      <c r="Q99" s="11" t="e" cm="1">
        <f t="array" ref="Q99">IF(P99="NÃO","NÃO",_xlfn.XLOOKUP(P99,tabE.Flux[COMP.AT. MOT A],#REF!,"NÃO",0,1))</f>
        <v>#REF!</v>
      </c>
      <c r="R99" s="14" t="e" cm="1">
        <f t="array" ref="R99">IF(P99="NÃO","NÃO",_xlfn.XLOOKUP(P99,tabE.Flux[COMP.AT. MOT B],#REF!,"NÃO",0,1))</f>
        <v>#REF!</v>
      </c>
      <c r="S99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99" s="16" t="e" cm="1">
        <f t="array" ref="T9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99" s="41" t="e" cm="1">
        <f t="array" ref="U9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00" spans="2:21" x14ac:dyDescent="0.25">
      <c r="B100" s="31"/>
      <c r="C100" s="37">
        <v>45899</v>
      </c>
      <c r="D100" s="33" t="e">
        <f>IF(IFERROR(Tabela10[[#This Row],[SIM]],"")="NÃO",(IF(Tabela7[[#This Row],[NOME]]=0,"","PASSE?")),Tabela10[[#This Row],[SIM]])</f>
        <v>#REF!</v>
      </c>
      <c r="E100" s="34" t="e">
        <f>Tabela10[[#This Row],[45886+JAKTAN DE OLIVEIRA RODRIGUES - 5836]]</f>
        <v>#REF!</v>
      </c>
      <c r="F100" s="33" t="s">
        <v>299</v>
      </c>
      <c r="G100" s="33" t="s">
        <v>150</v>
      </c>
      <c r="H100" s="4">
        <f>COUNTIF(Tabela10[45885+JAKTAN DE OLIVEIRA RODRIGUES - 5836],Tabela10[[#This Row],[45885+JAKTAN DE OLIVEIRA RODRIGUES - 5836]])</f>
        <v>1</v>
      </c>
      <c r="I100" s="45">
        <f>IF(Tabela7[[#This Row],[NOME]]&lt;&gt;0,15,"")</f>
        <v>15</v>
      </c>
      <c r="J100" s="33" t="e" cm="1">
        <f t="array" ref="J100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00" s="36">
        <f>Tabela7[[#This Row],[ID]]</f>
        <v>0</v>
      </c>
      <c r="M100" s="17" t="str">
        <f>_xlfn.CONCAT(Tabela7[[#This Row],[DATA]],"+",Tabela7[[#This Row],[NOME]])</f>
        <v>45899+JARDEL DE SOUSA OLIVEIRA - 5992</v>
      </c>
      <c r="N100" s="11" t="e" cm="1">
        <f t="array" ref="N100">_xlfn.XLOOKUP(M100,tabE.Flux[[#All],[COMP.AT. MOT A]],#REF!,"NÃO",0,1)</f>
        <v>#REF!</v>
      </c>
      <c r="O100" s="11" t="e" cm="1">
        <f t="array" ref="O100">_xlfn.XLOOKUP(M100,tabE.Flux[[#All],[COMP.AT. MOT B]],#REF!,"NÃO",0,1)</f>
        <v>#REF!</v>
      </c>
      <c r="P100" s="12" t="e">
        <f>IF(N100="NÃO",(IF(O100="NÃO",(_xlfn.CONCAT(Tabela7[[#This Row],[DATA]]-1,"+",Tabela7[[#This Row],[NOME]])),"NÃO")),"NÃO")</f>
        <v>#REF!</v>
      </c>
      <c r="Q100" s="11" t="e" cm="1">
        <f t="array" ref="Q100">IF(P100="NÃO","NÃO",_xlfn.XLOOKUP(P100,tabE.Flux[COMP.AT. MOT A],#REF!,"NÃO",0,1))</f>
        <v>#REF!</v>
      </c>
      <c r="R100" s="14" t="e" cm="1">
        <f t="array" ref="R100">IF(P100="NÃO","NÃO",_xlfn.XLOOKUP(P100,tabE.Flux[COMP.AT. MOT B],#REF!,"NÃO",0,1))</f>
        <v>#REF!</v>
      </c>
      <c r="S100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00" s="16" t="e" cm="1">
        <f t="array" ref="T10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00" s="41" t="e" cm="1">
        <f t="array" ref="U10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01" spans="2:21" x14ac:dyDescent="0.25">
      <c r="B101" s="31"/>
      <c r="C101" s="37">
        <v>45900</v>
      </c>
      <c r="D101" s="33" t="e">
        <f>IF(IFERROR(Tabela10[[#This Row],[SIM]],"")="NÃO",(IF(Tabela7[[#This Row],[NOME]]=0,"","PASSE?")),Tabela10[[#This Row],[SIM]])</f>
        <v>#REF!</v>
      </c>
      <c r="E101" s="34" t="e">
        <f>Tabela10[[#This Row],[45886+JAKTAN DE OLIVEIRA RODRIGUES - 5836]]</f>
        <v>#REF!</v>
      </c>
      <c r="F101" s="33" t="s">
        <v>299</v>
      </c>
      <c r="G101" s="33" t="s">
        <v>55</v>
      </c>
      <c r="H101" s="4">
        <f>COUNTIF(Tabela10[45885+JAKTAN DE OLIVEIRA RODRIGUES - 5836],Tabela10[[#This Row],[45885+JAKTAN DE OLIVEIRA RODRIGUES - 5836]])</f>
        <v>1</v>
      </c>
      <c r="I101" s="45">
        <f>IF(Tabela7[[#This Row],[NOME]]&lt;&gt;0,15,"")</f>
        <v>15</v>
      </c>
      <c r="J101" s="33" t="e" cm="1">
        <f t="array" ref="J101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01" s="36">
        <f>Tabela7[[#This Row],[ID]]</f>
        <v>0</v>
      </c>
      <c r="M101" s="17" t="str">
        <f>_xlfn.CONCAT(Tabela7[[#This Row],[DATA]],"+",Tabela7[[#This Row],[NOME]])</f>
        <v>45900+EDIVALDO DE ARAUJO - 6217</v>
      </c>
      <c r="N101" s="11" t="e" cm="1">
        <f t="array" ref="N101">_xlfn.XLOOKUP(M101,tabE.Flux[[#All],[COMP.AT. MOT A]],#REF!,"NÃO",0,1)</f>
        <v>#REF!</v>
      </c>
      <c r="O101" s="11" t="e" cm="1">
        <f t="array" ref="O101">_xlfn.XLOOKUP(M101,tabE.Flux[[#All],[COMP.AT. MOT B]],#REF!,"NÃO",0,1)</f>
        <v>#REF!</v>
      </c>
      <c r="P101" s="12" t="e">
        <f>IF(N101="NÃO",(IF(O101="NÃO",(_xlfn.CONCAT(Tabela7[[#This Row],[DATA]]-1,"+",Tabela7[[#This Row],[NOME]])),"NÃO")),"NÃO")</f>
        <v>#REF!</v>
      </c>
      <c r="Q101" s="11" t="e" cm="1">
        <f t="array" ref="Q101">IF(P101="NÃO","NÃO",_xlfn.XLOOKUP(P101,tabE.Flux[COMP.AT. MOT A],#REF!,"NÃO",0,1))</f>
        <v>#REF!</v>
      </c>
      <c r="R101" s="14" t="e" cm="1">
        <f t="array" ref="R101">IF(P101="NÃO","NÃO",_xlfn.XLOOKUP(P101,tabE.Flux[COMP.AT. MOT B],#REF!,"NÃO",0,1))</f>
        <v>#REF!</v>
      </c>
      <c r="S101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01" s="16" t="e" cm="1">
        <f t="array" ref="T10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01" s="41" t="e" cm="1">
        <f t="array" ref="U10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02" spans="2:21" x14ac:dyDescent="0.25">
      <c r="B102" s="31"/>
      <c r="C102" s="37">
        <v>45900</v>
      </c>
      <c r="D102" s="33" t="e">
        <f>IF(IFERROR(Tabela10[[#This Row],[SIM]],"")="NÃO",(IF(Tabela7[[#This Row],[NOME]]=0,"","PASSE?")),Tabela10[[#This Row],[SIM]])</f>
        <v>#REF!</v>
      </c>
      <c r="E102" s="34" t="e">
        <f>Tabela10[[#This Row],[45886+JAKTAN DE OLIVEIRA RODRIGUES - 5836]]</f>
        <v>#REF!</v>
      </c>
      <c r="F102" s="33" t="s">
        <v>299</v>
      </c>
      <c r="G102" s="33" t="s">
        <v>110</v>
      </c>
      <c r="H102" s="4">
        <f>COUNTIF(Tabela10[45885+JAKTAN DE OLIVEIRA RODRIGUES - 5836],Tabela10[[#This Row],[45885+JAKTAN DE OLIVEIRA RODRIGUES - 5836]])</f>
        <v>1</v>
      </c>
      <c r="I102" s="45">
        <f>IF(Tabela7[[#This Row],[NOME]]&lt;&gt;0,15,"")</f>
        <v>15</v>
      </c>
      <c r="J102" s="33" t="e" cm="1">
        <f t="array" ref="J102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02" s="40">
        <f>Tabela7[[#This Row],[ID]]</f>
        <v>0</v>
      </c>
      <c r="M102" s="17" t="str">
        <f>_xlfn.CONCAT(Tabela7[[#This Row],[DATA]],"+",Tabela7[[#This Row],[NOME]])</f>
        <v>45900+CARLOS ADRIANO DE SOUZA DO NASCIMENTO - 6222</v>
      </c>
      <c r="N102" s="11" t="e" cm="1">
        <f t="array" ref="N102">_xlfn.XLOOKUP(M102,tabE.Flux[[#All],[COMP.AT. MOT A]],#REF!,"NÃO",0,1)</f>
        <v>#REF!</v>
      </c>
      <c r="O102" s="11" t="e" cm="1">
        <f t="array" ref="O102">_xlfn.XLOOKUP(M102,tabE.Flux[[#All],[COMP.AT. MOT B]],#REF!,"NÃO",0,1)</f>
        <v>#REF!</v>
      </c>
      <c r="P102" s="12" t="e">
        <f>IF(N102="NÃO",(IF(O102="NÃO",(_xlfn.CONCAT(Tabela7[[#This Row],[DATA]]-1,"+",Tabela7[[#This Row],[NOME]])),"NÃO")),"NÃO")</f>
        <v>#REF!</v>
      </c>
      <c r="Q102" s="11" t="e" cm="1">
        <f t="array" ref="Q102">IF(P102="NÃO","NÃO",_xlfn.XLOOKUP(P102,tabE.Flux[COMP.AT. MOT A],#REF!,"NÃO",0,1))</f>
        <v>#REF!</v>
      </c>
      <c r="R102" s="14" t="e" cm="1">
        <f t="array" ref="R102">IF(P102="NÃO","NÃO",_xlfn.XLOOKUP(P102,tabE.Flux[COMP.AT. MOT B],#REF!,"NÃO",0,1))</f>
        <v>#REF!</v>
      </c>
      <c r="S102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02" s="16" t="e" cm="1">
        <f t="array" ref="T10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02" s="41" t="e" cm="1">
        <f t="array" ref="U10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03" spans="2:21" x14ac:dyDescent="0.25">
      <c r="B103" s="31"/>
      <c r="C103" s="37">
        <v>45900</v>
      </c>
      <c r="D103" s="33" t="e">
        <f>IF(IFERROR(Tabela10[[#This Row],[SIM]],"")="NÃO",(IF(Tabela7[[#This Row],[NOME]]=0,"","PASSE?")),Tabela10[[#This Row],[SIM]])</f>
        <v>#REF!</v>
      </c>
      <c r="E103" s="34" t="e">
        <f>Tabela10[[#This Row],[45886+JAKTAN DE OLIVEIRA RODRIGUES - 5836]]</f>
        <v>#REF!</v>
      </c>
      <c r="F103" s="33" t="s">
        <v>299</v>
      </c>
      <c r="G103" s="33" t="s">
        <v>41</v>
      </c>
      <c r="H103" s="4">
        <f>COUNTIF(Tabela10[45885+JAKTAN DE OLIVEIRA RODRIGUES - 5836],Tabela10[[#This Row],[45885+JAKTAN DE OLIVEIRA RODRIGUES - 5836]])</f>
        <v>1</v>
      </c>
      <c r="I103" s="45">
        <f>IF(Tabela7[[#This Row],[NOME]]&lt;&gt;0,15,"")</f>
        <v>15</v>
      </c>
      <c r="J103" s="33" t="e" cm="1">
        <f t="array" ref="J103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03" s="36">
        <f>Tabela7[[#This Row],[ID]]</f>
        <v>0</v>
      </c>
      <c r="M103" s="17" t="str">
        <f>_xlfn.CONCAT(Tabela7[[#This Row],[DATA]],"+",Tabela7[[#This Row],[NOME]])</f>
        <v>45900+RONALDO ADRIANO COSTA SANTOS - 5637</v>
      </c>
      <c r="N103" s="13" t="e" cm="1">
        <f t="array" ref="N103">_xlfn.XLOOKUP(M103,tabE.Flux[[#All],[COMP.AT. MOT A]],#REF!,"NÃO",0,1)</f>
        <v>#REF!</v>
      </c>
      <c r="O103" s="13" t="e" cm="1">
        <f t="array" ref="O103">_xlfn.XLOOKUP(M103,tabE.Flux[[#All],[COMP.AT. MOT B]],#REF!,"NÃO",0,1)</f>
        <v>#REF!</v>
      </c>
      <c r="P103" s="12" t="e">
        <f>IF(N103="NÃO",(IF(O103="NÃO",(_xlfn.CONCAT(Tabela7[[#This Row],[DATA]]-1,"+",Tabela7[[#This Row],[NOME]])),"NÃO")),"NÃO")</f>
        <v>#REF!</v>
      </c>
      <c r="Q103" s="13" t="e" cm="1">
        <f t="array" ref="Q103">IF(P103="NÃO","NÃO",_xlfn.XLOOKUP(P103,tabE.Flux[COMP.AT. MOT A],#REF!,"NÃO",0,1))</f>
        <v>#REF!</v>
      </c>
      <c r="R103" s="15" t="e" cm="1">
        <f t="array" ref="R103">IF(P103="NÃO","NÃO",_xlfn.XLOOKUP(P103,tabE.Flux[COMP.AT. MOT B],#REF!,"NÃO",0,1))</f>
        <v>#REF!</v>
      </c>
      <c r="S103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03" s="16" t="e" cm="1">
        <f t="array" ref="T10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03" s="41" t="e" cm="1">
        <f t="array" ref="U10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04" spans="2:21" x14ac:dyDescent="0.25">
      <c r="B104" s="31"/>
      <c r="C104" s="37">
        <v>45900</v>
      </c>
      <c r="D104" s="33" t="e">
        <f>IF(IFERROR(Tabela10[[#This Row],[SIM]],"")="NÃO",(IF(Tabela7[[#This Row],[NOME]]=0,"","PASSE?")),Tabela10[[#This Row],[SIM]])</f>
        <v>#REF!</v>
      </c>
      <c r="E104" s="34" t="e">
        <f>Tabela10[[#This Row],[45886+JAKTAN DE OLIVEIRA RODRIGUES - 5836]]</f>
        <v>#REF!</v>
      </c>
      <c r="F104" s="33" t="s">
        <v>299</v>
      </c>
      <c r="G104" s="33" t="s">
        <v>225</v>
      </c>
      <c r="H104" s="4">
        <f>COUNTIF(Tabela10[45885+JAKTAN DE OLIVEIRA RODRIGUES - 5836],Tabela10[[#This Row],[45885+JAKTAN DE OLIVEIRA RODRIGUES - 5836]])</f>
        <v>1</v>
      </c>
      <c r="I104" s="45">
        <f>IF(Tabela7[[#This Row],[NOME]]&lt;&gt;0,15,"")</f>
        <v>15</v>
      </c>
      <c r="J104" s="33" t="e" cm="1">
        <f t="array" ref="J104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04" s="36">
        <f>Tabela7[[#This Row],[ID]]</f>
        <v>0</v>
      </c>
      <c r="M104" s="17" t="str">
        <f>_xlfn.CONCAT(Tabela7[[#This Row],[DATA]],"+",Tabela7[[#This Row],[NOME]])</f>
        <v>45900+PAULO MORAES DOS SANTOS - 1534</v>
      </c>
      <c r="N104" s="11" t="e" cm="1">
        <f t="array" ref="N104">_xlfn.XLOOKUP(M104,tabE.Flux[[#All],[COMP.AT. MOT A]],#REF!,"NÃO",0,1)</f>
        <v>#REF!</v>
      </c>
      <c r="O104" s="11" t="e" cm="1">
        <f t="array" ref="O104">_xlfn.XLOOKUP(M104,tabE.Flux[[#All],[COMP.AT. MOT B]],#REF!,"NÃO",0,1)</f>
        <v>#REF!</v>
      </c>
      <c r="P104" s="12" t="e">
        <f>IF(N104="NÃO",(IF(O104="NÃO",(_xlfn.CONCAT(Tabela7[[#This Row],[DATA]]-1,"+",Tabela7[[#This Row],[NOME]])),"NÃO")),"NÃO")</f>
        <v>#REF!</v>
      </c>
      <c r="Q104" s="11" t="e" cm="1">
        <f t="array" ref="Q104">IF(P104="NÃO","NÃO",_xlfn.XLOOKUP(P104,tabE.Flux[COMP.AT. MOT A],#REF!,"NÃO",0,1))</f>
        <v>#REF!</v>
      </c>
      <c r="R104" s="14" t="e" cm="1">
        <f t="array" ref="R104">IF(P104="NÃO","NÃO",_xlfn.XLOOKUP(P104,tabE.Flux[COMP.AT. MOT B],#REF!,"NÃO",0,1))</f>
        <v>#REF!</v>
      </c>
      <c r="S104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04" s="16" t="e" cm="1">
        <f t="array" ref="T10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04" s="41" t="e" cm="1">
        <f t="array" ref="U10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05" spans="2:21" x14ac:dyDescent="0.25">
      <c r="B105" s="31"/>
      <c r="C105" s="37">
        <v>45900</v>
      </c>
      <c r="D105" s="33" t="e">
        <f>IF(IFERROR(Tabela10[[#This Row],[SIM]],"")="NÃO",(IF(Tabela7[[#This Row],[NOME]]=0,"","PASSE?")),Tabela10[[#This Row],[SIM]])</f>
        <v>#REF!</v>
      </c>
      <c r="E105" s="34" t="e">
        <f>Tabela10[[#This Row],[45886+JAKTAN DE OLIVEIRA RODRIGUES - 5836]]</f>
        <v>#REF!</v>
      </c>
      <c r="F105" s="33" t="s">
        <v>299</v>
      </c>
      <c r="G105" s="33" t="s">
        <v>143</v>
      </c>
      <c r="H105" s="4">
        <f>COUNTIF(Tabela10[45885+JAKTAN DE OLIVEIRA RODRIGUES - 5836],Tabela10[[#This Row],[45885+JAKTAN DE OLIVEIRA RODRIGUES - 5836]])</f>
        <v>1</v>
      </c>
      <c r="I105" s="45">
        <f>IF(Tabela7[[#This Row],[NOME]]&lt;&gt;0,15,"")</f>
        <v>15</v>
      </c>
      <c r="J105" s="33" t="e" cm="1">
        <f t="array" ref="J105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05" s="36">
        <f>Tabela7[[#This Row],[ID]]</f>
        <v>0</v>
      </c>
      <c r="M105" s="17" t="str">
        <f>_xlfn.CONCAT(Tabela7[[#This Row],[DATA]],"+",Tabela7[[#This Row],[NOME]])</f>
        <v>45900+RAIMUNDO FERNANDES RIBEIRO - 907</v>
      </c>
      <c r="N105" s="11" t="e" cm="1">
        <f t="array" ref="N105">_xlfn.XLOOKUP(M105,tabE.Flux[[#All],[COMP.AT. MOT A]],#REF!,"NÃO",0,1)</f>
        <v>#REF!</v>
      </c>
      <c r="O105" s="11" t="e" cm="1">
        <f t="array" ref="O105">_xlfn.XLOOKUP(M105,tabE.Flux[[#All],[COMP.AT. MOT B]],#REF!,"NÃO",0,1)</f>
        <v>#REF!</v>
      </c>
      <c r="P105" s="12" t="e">
        <f>IF(N105="NÃO",(IF(O105="NÃO",(_xlfn.CONCAT(Tabela7[[#This Row],[DATA]]-1,"+",Tabela7[[#This Row],[NOME]])),"NÃO")),"NÃO")</f>
        <v>#REF!</v>
      </c>
      <c r="Q105" s="11" t="e" cm="1">
        <f t="array" ref="Q105">IF(P105="NÃO","NÃO",_xlfn.XLOOKUP(P105,tabE.Flux[COMP.AT. MOT A],#REF!,"NÃO",0,1))</f>
        <v>#REF!</v>
      </c>
      <c r="R105" s="14" t="e" cm="1">
        <f t="array" ref="R105">IF(P105="NÃO","NÃO",_xlfn.XLOOKUP(P105,tabE.Flux[COMP.AT. MOT B],#REF!,"NÃO",0,1))</f>
        <v>#REF!</v>
      </c>
      <c r="S105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05" s="16" t="e" cm="1">
        <f t="array" ref="T10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05" s="41" t="e" cm="1">
        <f t="array" ref="U10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06" spans="2:21" x14ac:dyDescent="0.25">
      <c r="B106" s="31"/>
      <c r="C106" s="37">
        <v>45900</v>
      </c>
      <c r="D106" s="33" t="e">
        <f>IF(IFERROR(Tabela10[[#This Row],[SIM]],"")="NÃO",(IF(Tabela7[[#This Row],[NOME]]=0,"","PASSE?")),Tabela10[[#This Row],[SIM]])</f>
        <v>#REF!</v>
      </c>
      <c r="E106" s="34" t="e">
        <f>Tabela10[[#This Row],[45886+JAKTAN DE OLIVEIRA RODRIGUES - 5836]]</f>
        <v>#REF!</v>
      </c>
      <c r="F106" s="33" t="s">
        <v>299</v>
      </c>
      <c r="G106" s="33" t="s">
        <v>101</v>
      </c>
      <c r="H106" s="4">
        <f>COUNTIF(Tabela10[45885+JAKTAN DE OLIVEIRA RODRIGUES - 5836],Tabela10[[#This Row],[45885+JAKTAN DE OLIVEIRA RODRIGUES - 5836]])</f>
        <v>1</v>
      </c>
      <c r="I106" s="45">
        <f>IF(Tabela7[[#This Row],[NOME]]&lt;&gt;0,15,"")</f>
        <v>15</v>
      </c>
      <c r="J106" s="33" t="e" cm="1">
        <f t="array" ref="J106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06" s="36">
        <f>Tabela7[[#This Row],[ID]]</f>
        <v>0</v>
      </c>
      <c r="M106" s="17" t="str">
        <f>_xlfn.CONCAT(Tabela7[[#This Row],[DATA]],"+",Tabela7[[#This Row],[NOME]])</f>
        <v>45900+RAIMUNDO NONATO MAGALHAES DO NASCIMENTO - 5662</v>
      </c>
      <c r="N106" s="11" t="e" cm="1">
        <f t="array" ref="N106">_xlfn.XLOOKUP(M106,tabE.Flux[[#All],[COMP.AT. MOT A]],#REF!,"NÃO",0,1)</f>
        <v>#REF!</v>
      </c>
      <c r="O106" s="11" t="e" cm="1">
        <f t="array" ref="O106">_xlfn.XLOOKUP(M106,tabE.Flux[[#All],[COMP.AT. MOT B]],#REF!,"NÃO",0,1)</f>
        <v>#REF!</v>
      </c>
      <c r="P106" s="12" t="e">
        <f>IF(N106="NÃO",(IF(O106="NÃO",(_xlfn.CONCAT(Tabela7[[#This Row],[DATA]]-1,"+",Tabela7[[#This Row],[NOME]])),"NÃO")),"NÃO")</f>
        <v>#REF!</v>
      </c>
      <c r="Q106" s="11" t="e" cm="1">
        <f t="array" ref="Q106">IF(P106="NÃO","NÃO",_xlfn.XLOOKUP(P106,tabE.Flux[COMP.AT. MOT A],#REF!,"NÃO",0,1))</f>
        <v>#REF!</v>
      </c>
      <c r="R106" s="14" t="e" cm="1">
        <f t="array" ref="R106">IF(P106="NÃO","NÃO",_xlfn.XLOOKUP(P106,tabE.Flux[COMP.AT. MOT B],#REF!,"NÃO",0,1))</f>
        <v>#REF!</v>
      </c>
      <c r="S106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06" s="16" t="e" cm="1">
        <f t="array" ref="T10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06" s="41" t="e" cm="1">
        <f t="array" ref="U10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07" spans="2:21" x14ac:dyDescent="0.25">
      <c r="B107" s="31"/>
      <c r="C107" s="37">
        <v>45900</v>
      </c>
      <c r="D107" s="33" t="e">
        <f>IF(IFERROR(Tabela10[[#This Row],[SIM]],"")="NÃO",(IF(Tabela7[[#This Row],[NOME]]=0,"","PASSE?")),Tabela10[[#This Row],[SIM]])</f>
        <v>#REF!</v>
      </c>
      <c r="E107" s="34" t="e">
        <f>Tabela10[[#This Row],[45886+JAKTAN DE OLIVEIRA RODRIGUES - 5836]]</f>
        <v>#REF!</v>
      </c>
      <c r="F107" s="33" t="s">
        <v>299</v>
      </c>
      <c r="G107" s="33" t="s">
        <v>88</v>
      </c>
      <c r="H107" s="4">
        <f>COUNTIF(Tabela10[45885+JAKTAN DE OLIVEIRA RODRIGUES - 5836],Tabela10[[#This Row],[45885+JAKTAN DE OLIVEIRA RODRIGUES - 5836]])</f>
        <v>1</v>
      </c>
      <c r="I107" s="45">
        <f>IF(Tabela7[[#This Row],[NOME]]&lt;&gt;0,15,"")</f>
        <v>15</v>
      </c>
      <c r="J107" s="33" t="e" cm="1">
        <f t="array" ref="J107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07" s="36">
        <f>Tabela7[[#This Row],[ID]]</f>
        <v>0</v>
      </c>
      <c r="M107" s="17" t="str">
        <f>_xlfn.CONCAT(Tabela7[[#This Row],[DATA]],"+",Tabela7[[#This Row],[NOME]])</f>
        <v>45900+AELSON PEREIRA DO NASCIMENTO - 5682</v>
      </c>
      <c r="N107" s="11" t="e" cm="1">
        <f t="array" ref="N107">_xlfn.XLOOKUP(M107,tabE.Flux[[#All],[COMP.AT. MOT A]],#REF!,"NÃO",0,1)</f>
        <v>#REF!</v>
      </c>
      <c r="O107" s="11" t="e" cm="1">
        <f t="array" ref="O107">_xlfn.XLOOKUP(M107,tabE.Flux[[#All],[COMP.AT. MOT B]],#REF!,"NÃO",0,1)</f>
        <v>#REF!</v>
      </c>
      <c r="P107" s="12" t="e">
        <f>IF(N107="NÃO",(IF(O107="NÃO",(_xlfn.CONCAT(Tabela7[[#This Row],[DATA]]-1,"+",Tabela7[[#This Row],[NOME]])),"NÃO")),"NÃO")</f>
        <v>#REF!</v>
      </c>
      <c r="Q107" s="11" t="e" cm="1">
        <f t="array" ref="Q107">IF(P107="NÃO","NÃO",_xlfn.XLOOKUP(P107,tabE.Flux[COMP.AT. MOT A],#REF!,"NÃO",0,1))</f>
        <v>#REF!</v>
      </c>
      <c r="R107" s="14" t="e" cm="1">
        <f t="array" ref="R107">IF(P107="NÃO","NÃO",_xlfn.XLOOKUP(P107,tabE.Flux[COMP.AT. MOT B],#REF!,"NÃO",0,1))</f>
        <v>#REF!</v>
      </c>
      <c r="S107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07" s="16" t="e" cm="1">
        <f t="array" ref="T10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07" s="41" t="e" cm="1">
        <f t="array" ref="U10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08" spans="2:21" x14ac:dyDescent="0.25">
      <c r="B108" s="31"/>
      <c r="C108" s="42"/>
      <c r="D108" s="31" t="e">
        <f>IF(IFERROR(Tabela10[[#This Row],[SIM]],"")="NÃO",(IF(Tabela7[[#This Row],[NOME]]=0,"","PASSE?")),Tabela10[[#This Row],[SIM]])</f>
        <v>#REF!</v>
      </c>
      <c r="E108" s="34" t="e">
        <f>Tabela10[[#This Row],[45886+JAKTAN DE OLIVEIRA RODRIGUES - 5836]]</f>
        <v>#REF!</v>
      </c>
      <c r="F108" s="31"/>
      <c r="G108" s="31"/>
      <c r="H108" s="7">
        <f>COUNTIF(Tabela10[45885+JAKTAN DE OLIVEIRA RODRIGUES - 5836],Tabela10[[#This Row],[45885+JAKTAN DE OLIVEIRA RODRIGUES - 5836]])</f>
        <v>1</v>
      </c>
      <c r="I108" s="46" t="str">
        <f>IF(Tabela7[[#This Row],[NOME]]&lt;&gt;0,15,"")</f>
        <v/>
      </c>
      <c r="J108" s="31" t="e" cm="1">
        <f t="array" ref="J108">_xlfn.IFS(AND(Tabela10[[#This Row],[NÃO3]]="NÃO", Tabela10[[#This Row],[NÃO2]]="NÃO"),Tabela10[[#This Row],[NÃO]],AND(Tabela10[[#This Row],[NÃO3]]="NÃO", Tabela10[[#This Row],[NÃO]]="NÃO"),Tabela10[[#This Row],[NÃO2]],AND(Tabela10[[#This Row],[NÃO3]]="NÃO", Tabela10[[#This Row],[NÃO]]&lt;&gt;"NÃO"),Tabela10[[#This Row],[NÃO]],AND(Tabela10[[#This Row],[NÃO3]]&lt;&gt;"NÃO",Tabela10[[#This Row],[GOIANIA (GO) X TERESINA (PI) VIA STI]]="NÃO"),Tabela10[[#This Row],[45884+JAKTAN DE OLIVEIRA RODRIGUES - 5836]],AND(Tabela10[[#This Row],[NÃO3]]&lt;&gt;"NÃO", Tabela10[[#This Row],[45884+JAKTAN DE OLIVEIRA RODRIGUES - 5836]]="NÃO"),Tabela10[[#This Row],[GOIANIA (GO) X TERESINA (PI) VIA STI]],AND(Tabela10[[#This Row],[NÃO3]]&lt;&gt;"NÃO",Tabela10[[#This Row],[45884+JAKTAN DE OLIVEIRA RODRIGUES - 5836]]&lt;&gt;"NÃO"),Tabela10[[#This Row],[45884+JAKTAN DE OLIVEIRA RODRIGUES - 5836]])</f>
        <v>#REF!</v>
      </c>
      <c r="L108" s="41">
        <f>Tabela7[[#This Row],[ID]]</f>
        <v>0</v>
      </c>
      <c r="M108" s="17" t="str">
        <f>_xlfn.CONCAT(Tabela7[[#This Row],[DATA]],"+",Tabela7[[#This Row],[NOME]])</f>
        <v>+</v>
      </c>
      <c r="N108" s="11" t="e" cm="1">
        <f t="array" ref="N108">_xlfn.XLOOKUP(M108,tabE.Flux[[#All],[COMP.AT. MOT A]],#REF!,"NÃO",0,1)</f>
        <v>#REF!</v>
      </c>
      <c r="O108" s="11" t="e" cm="1">
        <f t="array" ref="O108">_xlfn.XLOOKUP(M108,tabE.Flux[[#All],[COMP.AT. MOT B]],#REF!,"NÃO",0,1)</f>
        <v>#REF!</v>
      </c>
      <c r="P108" s="12" t="e">
        <f>IF(N108="NÃO",(IF(O108="NÃO",(_xlfn.CONCAT(Tabela7[[#This Row],[DATA]]-1,"+",Tabela7[[#This Row],[NOME]])),"NÃO")),"NÃO")</f>
        <v>#REF!</v>
      </c>
      <c r="Q108" s="11" t="e" cm="1">
        <f t="array" ref="Q108">IF(P108="NÃO","NÃO",_xlfn.XLOOKUP(P108,tabE.Flux[COMP.AT. MOT A],#REF!,"NÃO",0,1))</f>
        <v>#REF!</v>
      </c>
      <c r="R108" s="14" t="e" cm="1">
        <f t="array" ref="R108">IF(P108="NÃO","NÃO",_xlfn.XLOOKUP(P108,tabE.Flux[COMP.AT. MOT B],#REF!,"NÃO",0,1))</f>
        <v>#REF!</v>
      </c>
      <c r="S108" s="11" t="e">
        <f>IF(Tabela10[[#This Row],[NÃO3]]="NÃO",_xlfn.CONCAT(Tabela10[[#This Row],[45885+JAKTAN DE OLIVEIRA RODRIGUES - 5836]],"+",Tabela7[[#This Row],[LINHA]]),_xlfn.CONCAT(Tabela10[[#This Row],[NÃO3]],"+",Tabela7[[#This Row],[LINHA]]))</f>
        <v>#REF!</v>
      </c>
      <c r="T108" s="16" t="e" cm="1">
        <f t="array" ref="T10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  <c r="U108" s="41" t="e" cm="1">
        <f t="array" ref="U10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#REF!</v>
      </c>
    </row>
    <row r="109" spans="2:21" x14ac:dyDescent="0.25">
      <c r="L109" s="36" t="e">
        <f>Tabela7[[#This Row],[ID]]</f>
        <v>#VALUE!</v>
      </c>
      <c r="M109" s="18" t="e">
        <f>_xlfn.CONCAT(Tabela7[[#This Row],[DATA]],"+",Tabela7[[#This Row],[NOME]])</f>
        <v>#VALUE!</v>
      </c>
      <c r="N109" s="16" t="e" cm="1">
        <f t="array" ref="N109">_xlfn.XLOOKUP(M109,tabE.Flux[[#All],[COMP.AT. MOT A]],#REF!,"NÃO",0,1)</f>
        <v>#VALUE!</v>
      </c>
      <c r="O109" s="16" t="e" cm="1">
        <f t="array" ref="O109">_xlfn.XLOOKUP(M109,tabE.Flux[[#All],[COMP.AT. MOT B]],#REF!,"NÃO",0,1)</f>
        <v>#VALUE!</v>
      </c>
      <c r="P109" s="19" t="e">
        <f>IF(N109="NÃO",(IF(O109="NÃO",(_xlfn.CONCAT(Tabela7[[#This Row],[DATA]]-1,"+",Tabela7[[#This Row],[NOME]])),"NÃO")),"NÃO")</f>
        <v>#VALUE!</v>
      </c>
      <c r="Q109" s="16" t="e" cm="1">
        <f t="array" ref="Q109">IF(P109="NÃO","NÃO",_xlfn.XLOOKUP(P109,tabE.Flux[COMP.AT. MOT A],#REF!,"NÃO",0,1))</f>
        <v>#VALUE!</v>
      </c>
      <c r="R109" s="16" t="e" cm="1">
        <f t="array" ref="R109">IF(P109="NÃO","NÃO",_xlfn.XLOOKUP(P109,tabE.Flux[COMP.AT. MOT B],#REF!,"NÃO",0,1))</f>
        <v>#VALUE!</v>
      </c>
      <c r="S109" s="16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09" s="16" t="e" cm="1">
        <f t="array" ref="T10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09" s="41" t="e" cm="1">
        <f t="array" ref="U10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10" spans="2:21" x14ac:dyDescent="0.25">
      <c r="L110" s="36" t="e">
        <f>Tabela7[[#This Row],[ID]]</f>
        <v>#VALUE!</v>
      </c>
      <c r="M110" s="17" t="e">
        <f>_xlfn.CONCAT(Tabela7[[#This Row],[DATA]],"+",Tabela7[[#This Row],[NOME]])</f>
        <v>#VALUE!</v>
      </c>
      <c r="N110" s="11" t="e" cm="1">
        <f t="array" ref="N110">_xlfn.XLOOKUP(M110,tabE.Flux[[#All],[COMP.AT. MOT A]],#REF!,"NÃO",0,1)</f>
        <v>#VALUE!</v>
      </c>
      <c r="O110" s="11" t="e" cm="1">
        <f t="array" ref="O110">_xlfn.XLOOKUP(M110,tabE.Flux[[#All],[COMP.AT. MOT B]],#REF!,"NÃO",0,1)</f>
        <v>#VALUE!</v>
      </c>
      <c r="P110" s="12" t="e">
        <f>IF(N110="NÃO",(IF(O110="NÃO",(_xlfn.CONCAT(Tabela7[[#This Row],[DATA]]-1,"+",Tabela7[[#This Row],[NOME]])),"NÃO")),"NÃO")</f>
        <v>#VALUE!</v>
      </c>
      <c r="Q110" s="11" t="e" cm="1">
        <f t="array" ref="Q110">IF(P110="NÃO","NÃO",_xlfn.XLOOKUP(P110,tabE.Flux[COMP.AT. MOT A],#REF!,"NÃO",0,1))</f>
        <v>#VALUE!</v>
      </c>
      <c r="R110" s="14" t="e" cm="1">
        <f t="array" ref="R110">IF(P110="NÃO","NÃO",_xlfn.XLOOKUP(P110,tabE.Flux[COMP.AT. MOT B],#REF!,"NÃO",0,1))</f>
        <v>#VALUE!</v>
      </c>
      <c r="S11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10" s="16" t="e" cm="1">
        <f t="array" ref="T11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10" s="41" t="e" cm="1">
        <f t="array" ref="U11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11" spans="2:21" x14ac:dyDescent="0.25">
      <c r="L111" s="36" t="e">
        <f>Tabela7[[#This Row],[ID]]</f>
        <v>#VALUE!</v>
      </c>
      <c r="M111" s="17" t="e">
        <f>_xlfn.CONCAT(Tabela7[[#This Row],[DATA]],"+",Tabela7[[#This Row],[NOME]])</f>
        <v>#VALUE!</v>
      </c>
      <c r="N111" s="11" t="e" cm="1">
        <f t="array" ref="N111">_xlfn.XLOOKUP(M111,tabE.Flux[[#All],[COMP.AT. MOT A]],#REF!,"NÃO",0,1)</f>
        <v>#VALUE!</v>
      </c>
      <c r="O111" s="11" t="e" cm="1">
        <f t="array" ref="O111">_xlfn.XLOOKUP(M111,tabE.Flux[[#All],[COMP.AT. MOT B]],#REF!,"NÃO",0,1)</f>
        <v>#VALUE!</v>
      </c>
      <c r="P111" s="12" t="e">
        <f>IF(N111="NÃO",(IF(O111="NÃO",(_xlfn.CONCAT(Tabela7[[#This Row],[DATA]]-1,"+",Tabela7[[#This Row],[NOME]])),"NÃO")),"NÃO")</f>
        <v>#VALUE!</v>
      </c>
      <c r="Q111" s="11" t="e" cm="1">
        <f t="array" ref="Q111">IF(P111="NÃO","NÃO",_xlfn.XLOOKUP(P111,tabE.Flux[COMP.AT. MOT A],#REF!,"NÃO",0,1))</f>
        <v>#VALUE!</v>
      </c>
      <c r="R111" s="14" t="e" cm="1">
        <f t="array" ref="R111">IF(P111="NÃO","NÃO",_xlfn.XLOOKUP(P111,tabE.Flux[COMP.AT. MOT B],#REF!,"NÃO",0,1))</f>
        <v>#VALUE!</v>
      </c>
      <c r="S11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11" s="16" t="e" cm="1">
        <f t="array" ref="T11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11" s="41" t="e" cm="1">
        <f t="array" ref="U11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12" spans="2:21" x14ac:dyDescent="0.25">
      <c r="L112" s="36" t="e">
        <f>Tabela7[[#This Row],[ID]]</f>
        <v>#VALUE!</v>
      </c>
      <c r="M112" s="17" t="e">
        <f>_xlfn.CONCAT(Tabela7[[#This Row],[DATA]],"+",Tabela7[[#This Row],[NOME]])</f>
        <v>#VALUE!</v>
      </c>
      <c r="N112" s="11" t="e" cm="1">
        <f t="array" ref="N112">_xlfn.XLOOKUP(M112,tabE.Flux[[#All],[COMP.AT. MOT A]],#REF!,"NÃO",0,1)</f>
        <v>#VALUE!</v>
      </c>
      <c r="O112" s="11" t="e" cm="1">
        <f t="array" ref="O112">_xlfn.XLOOKUP(M112,tabE.Flux[[#All],[COMP.AT. MOT B]],#REF!,"NÃO",0,1)</f>
        <v>#VALUE!</v>
      </c>
      <c r="P112" s="12" t="e">
        <f>IF(N112="NÃO",(IF(O112="NÃO",(_xlfn.CONCAT(Tabela7[[#This Row],[DATA]]-1,"+",Tabela7[[#This Row],[NOME]])),"NÃO")),"NÃO")</f>
        <v>#VALUE!</v>
      </c>
      <c r="Q112" s="11" t="e" cm="1">
        <f t="array" ref="Q112">IF(P112="NÃO","NÃO",_xlfn.XLOOKUP(P112,tabE.Flux[COMP.AT. MOT A],#REF!,"NÃO",0,1))</f>
        <v>#VALUE!</v>
      </c>
      <c r="R112" s="14" t="e" cm="1">
        <f t="array" ref="R112">IF(P112="NÃO","NÃO",_xlfn.XLOOKUP(P112,tabE.Flux[COMP.AT. MOT B],#REF!,"NÃO",0,1))</f>
        <v>#VALUE!</v>
      </c>
      <c r="S11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12" s="16" t="e" cm="1">
        <f t="array" ref="T11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12" s="41" t="e" cm="1">
        <f t="array" ref="U11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13" spans="12:21" x14ac:dyDescent="0.25">
      <c r="L113" s="36" t="e">
        <f>Tabela7[[#This Row],[ID]]</f>
        <v>#VALUE!</v>
      </c>
      <c r="M113" s="17" t="e">
        <f>_xlfn.CONCAT(Tabela7[[#This Row],[DATA]],"+",Tabela7[[#This Row],[NOME]])</f>
        <v>#VALUE!</v>
      </c>
      <c r="N113" s="11" t="e" cm="1">
        <f t="array" ref="N113">_xlfn.XLOOKUP(M113,tabE.Flux[[#All],[COMP.AT. MOT A]],#REF!,"NÃO",0,1)</f>
        <v>#VALUE!</v>
      </c>
      <c r="O113" s="11" t="e" cm="1">
        <f t="array" ref="O113">_xlfn.XLOOKUP(M113,tabE.Flux[[#All],[COMP.AT. MOT B]],#REF!,"NÃO",0,1)</f>
        <v>#VALUE!</v>
      </c>
      <c r="P113" s="12" t="e">
        <f>IF(N113="NÃO",(IF(O113="NÃO",(_xlfn.CONCAT(Tabela7[[#This Row],[DATA]]-1,"+",Tabela7[[#This Row],[NOME]])),"NÃO")),"NÃO")</f>
        <v>#VALUE!</v>
      </c>
      <c r="Q113" s="11" t="e" cm="1">
        <f t="array" ref="Q113">IF(P113="NÃO","NÃO",_xlfn.XLOOKUP(P113,tabE.Flux[COMP.AT. MOT A],#REF!,"NÃO",0,1))</f>
        <v>#VALUE!</v>
      </c>
      <c r="R113" s="14" t="e" cm="1">
        <f t="array" ref="R113">IF(P113="NÃO","NÃO",_xlfn.XLOOKUP(P113,tabE.Flux[COMP.AT. MOT B],#REF!,"NÃO",0,1))</f>
        <v>#VALUE!</v>
      </c>
      <c r="S11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13" s="16" t="e" cm="1">
        <f t="array" ref="T11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13" s="41" t="e" cm="1">
        <f t="array" ref="U11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14" spans="12:21" x14ac:dyDescent="0.25">
      <c r="L114" s="36" t="e">
        <f>Tabela7[[#This Row],[ID]]</f>
        <v>#VALUE!</v>
      </c>
      <c r="M114" s="17" t="e">
        <f>_xlfn.CONCAT(Tabela7[[#This Row],[DATA]],"+",Tabela7[[#This Row],[NOME]])</f>
        <v>#VALUE!</v>
      </c>
      <c r="N114" s="11" t="e" cm="1">
        <f t="array" ref="N114">_xlfn.XLOOKUP(M114,tabE.Flux[[#All],[COMP.AT. MOT A]],#REF!,"NÃO",0,1)</f>
        <v>#VALUE!</v>
      </c>
      <c r="O114" s="11" t="e" cm="1">
        <f t="array" ref="O114">_xlfn.XLOOKUP(M114,tabE.Flux[[#All],[COMP.AT. MOT B]],#REF!,"NÃO",0,1)</f>
        <v>#VALUE!</v>
      </c>
      <c r="P114" s="12" t="e">
        <f>IF(N114="NÃO",(IF(O114="NÃO",(_xlfn.CONCAT(Tabela7[[#This Row],[DATA]]-1,"+",Tabela7[[#This Row],[NOME]])),"NÃO")),"NÃO")</f>
        <v>#VALUE!</v>
      </c>
      <c r="Q114" s="11" t="e" cm="1">
        <f t="array" ref="Q114">IF(P114="NÃO","NÃO",_xlfn.XLOOKUP(P114,tabE.Flux[COMP.AT. MOT A],#REF!,"NÃO",0,1))</f>
        <v>#VALUE!</v>
      </c>
      <c r="R114" s="14" t="e" cm="1">
        <f t="array" ref="R114">IF(P114="NÃO","NÃO",_xlfn.XLOOKUP(P114,tabE.Flux[COMP.AT. MOT B],#REF!,"NÃO",0,1))</f>
        <v>#VALUE!</v>
      </c>
      <c r="S11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14" s="16" t="e" cm="1">
        <f t="array" ref="T11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14" s="41" t="e" cm="1">
        <f t="array" ref="U11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15" spans="12:21" x14ac:dyDescent="0.25">
      <c r="L115" s="36" t="e">
        <f>Tabela7[[#This Row],[ID]]</f>
        <v>#VALUE!</v>
      </c>
      <c r="M115" s="17" t="e">
        <f>_xlfn.CONCAT(Tabela7[[#This Row],[DATA]],"+",Tabela7[[#This Row],[NOME]])</f>
        <v>#VALUE!</v>
      </c>
      <c r="N115" s="11" t="e" cm="1">
        <f t="array" ref="N115">_xlfn.XLOOKUP(M115,tabE.Flux[[#All],[COMP.AT. MOT A]],#REF!,"NÃO",0,1)</f>
        <v>#VALUE!</v>
      </c>
      <c r="O115" s="11" t="e" cm="1">
        <f t="array" ref="O115">_xlfn.XLOOKUP(M115,tabE.Flux[[#All],[COMP.AT. MOT B]],#REF!,"NÃO",0,1)</f>
        <v>#VALUE!</v>
      </c>
      <c r="P115" s="12" t="e">
        <f>IF(N115="NÃO",(IF(O115="NÃO",(_xlfn.CONCAT(Tabela7[[#This Row],[DATA]]-1,"+",Tabela7[[#This Row],[NOME]])),"NÃO")),"NÃO")</f>
        <v>#VALUE!</v>
      </c>
      <c r="Q115" s="11" t="e" cm="1">
        <f t="array" ref="Q115">IF(P115="NÃO","NÃO",_xlfn.XLOOKUP(P115,tabE.Flux[COMP.AT. MOT A],#REF!,"NÃO",0,1))</f>
        <v>#VALUE!</v>
      </c>
      <c r="R115" s="14" t="e" cm="1">
        <f t="array" ref="R115">IF(P115="NÃO","NÃO",_xlfn.XLOOKUP(P115,tabE.Flux[COMP.AT. MOT B],#REF!,"NÃO",0,1))</f>
        <v>#VALUE!</v>
      </c>
      <c r="S11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15" s="16" t="e" cm="1">
        <f t="array" ref="T11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15" s="41" t="e" cm="1">
        <f t="array" ref="U11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16" spans="12:21" x14ac:dyDescent="0.25">
      <c r="L116" s="36" t="e">
        <f>Tabela7[[#This Row],[ID]]</f>
        <v>#VALUE!</v>
      </c>
      <c r="M116" s="17" t="e">
        <f>_xlfn.CONCAT(Tabela7[[#This Row],[DATA]],"+",Tabela7[[#This Row],[NOME]])</f>
        <v>#VALUE!</v>
      </c>
      <c r="N116" s="11" t="e" cm="1">
        <f t="array" ref="N116">_xlfn.XLOOKUP(M116,tabE.Flux[[#All],[COMP.AT. MOT A]],#REF!,"NÃO",0,1)</f>
        <v>#VALUE!</v>
      </c>
      <c r="O116" s="11" t="e" cm="1">
        <f t="array" ref="O116">_xlfn.XLOOKUP(M116,tabE.Flux[[#All],[COMP.AT. MOT B]],#REF!,"NÃO",0,1)</f>
        <v>#VALUE!</v>
      </c>
      <c r="P116" s="12" t="e">
        <f>IF(N116="NÃO",(IF(O116="NÃO",(_xlfn.CONCAT(Tabela7[[#This Row],[DATA]]-1,"+",Tabela7[[#This Row],[NOME]])),"NÃO")),"NÃO")</f>
        <v>#VALUE!</v>
      </c>
      <c r="Q116" s="11" t="e" cm="1">
        <f t="array" ref="Q116">IF(P116="NÃO","NÃO",_xlfn.XLOOKUP(P116,tabE.Flux[COMP.AT. MOT A],#REF!,"NÃO",0,1))</f>
        <v>#VALUE!</v>
      </c>
      <c r="R116" s="14" t="e" cm="1">
        <f t="array" ref="R116">IF(P116="NÃO","NÃO",_xlfn.XLOOKUP(P116,tabE.Flux[COMP.AT. MOT B],#REF!,"NÃO",0,1))</f>
        <v>#VALUE!</v>
      </c>
      <c r="S11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16" s="16" t="e" cm="1">
        <f t="array" ref="T11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16" s="41" t="e" cm="1">
        <f t="array" ref="U11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17" spans="12:21" x14ac:dyDescent="0.25">
      <c r="L117" s="36" t="e">
        <f>Tabela7[[#This Row],[ID]]</f>
        <v>#VALUE!</v>
      </c>
      <c r="M117" s="17" t="e">
        <f>_xlfn.CONCAT(Tabela7[[#This Row],[DATA]],"+",Tabela7[[#This Row],[NOME]])</f>
        <v>#VALUE!</v>
      </c>
      <c r="N117" s="11" t="e" cm="1">
        <f t="array" ref="N117">_xlfn.XLOOKUP(M117,tabE.Flux[[#All],[COMP.AT. MOT A]],#REF!,"NÃO",0,1)</f>
        <v>#VALUE!</v>
      </c>
      <c r="O117" s="11" t="e" cm="1">
        <f t="array" ref="O117">_xlfn.XLOOKUP(M117,tabE.Flux[[#All],[COMP.AT. MOT B]],#REF!,"NÃO",0,1)</f>
        <v>#VALUE!</v>
      </c>
      <c r="P117" s="12" t="e">
        <f>IF(N117="NÃO",(IF(O117="NÃO",(_xlfn.CONCAT(Tabela7[[#This Row],[DATA]]-1,"+",Tabela7[[#This Row],[NOME]])),"NÃO")),"NÃO")</f>
        <v>#VALUE!</v>
      </c>
      <c r="Q117" s="11" t="e" cm="1">
        <f t="array" ref="Q117">IF(P117="NÃO","NÃO",_xlfn.XLOOKUP(P117,tabE.Flux[COMP.AT. MOT A],#REF!,"NÃO",0,1))</f>
        <v>#VALUE!</v>
      </c>
      <c r="R117" s="14" t="e" cm="1">
        <f t="array" ref="R117">IF(P117="NÃO","NÃO",_xlfn.XLOOKUP(P117,tabE.Flux[COMP.AT. MOT B],#REF!,"NÃO",0,1))</f>
        <v>#VALUE!</v>
      </c>
      <c r="S11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17" s="16" t="e" cm="1">
        <f t="array" ref="T11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17" s="41" t="e" cm="1">
        <f t="array" ref="U11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18" spans="12:21" x14ac:dyDescent="0.25">
      <c r="L118" s="36" t="e">
        <f>Tabela7[[#This Row],[ID]]</f>
        <v>#VALUE!</v>
      </c>
      <c r="M118" s="17" t="e">
        <f>_xlfn.CONCAT(Tabela7[[#This Row],[DATA]],"+",Tabela7[[#This Row],[NOME]])</f>
        <v>#VALUE!</v>
      </c>
      <c r="N118" s="11" t="e" cm="1">
        <f t="array" ref="N118">_xlfn.XLOOKUP(M118,tabE.Flux[[#All],[COMP.AT. MOT A]],#REF!,"NÃO",0,1)</f>
        <v>#VALUE!</v>
      </c>
      <c r="O118" s="11" t="e" cm="1">
        <f t="array" ref="O118">_xlfn.XLOOKUP(M118,tabE.Flux[[#All],[COMP.AT. MOT B]],#REF!,"NÃO",0,1)</f>
        <v>#VALUE!</v>
      </c>
      <c r="P118" s="12" t="e">
        <f>IF(N118="NÃO",(IF(O118="NÃO",(_xlfn.CONCAT(Tabela7[[#This Row],[DATA]]-1,"+",Tabela7[[#This Row],[NOME]])),"NÃO")),"NÃO")</f>
        <v>#VALUE!</v>
      </c>
      <c r="Q118" s="11" t="e" cm="1">
        <f t="array" ref="Q118">IF(P118="NÃO","NÃO",_xlfn.XLOOKUP(P118,tabE.Flux[COMP.AT. MOT A],#REF!,"NÃO",0,1))</f>
        <v>#VALUE!</v>
      </c>
      <c r="R118" s="14" t="e" cm="1">
        <f t="array" ref="R118">IF(P118="NÃO","NÃO",_xlfn.XLOOKUP(P118,tabE.Flux[COMP.AT. MOT B],#REF!,"NÃO",0,1))</f>
        <v>#VALUE!</v>
      </c>
      <c r="S11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18" s="16" t="e" cm="1">
        <f t="array" ref="T11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18" s="41" t="e" cm="1">
        <f t="array" ref="U11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19" spans="12:21" x14ac:dyDescent="0.25">
      <c r="L119" s="36" t="e">
        <f>Tabela7[[#This Row],[ID]]</f>
        <v>#VALUE!</v>
      </c>
      <c r="M119" s="17" t="e">
        <f>_xlfn.CONCAT(Tabela7[[#This Row],[DATA]],"+",Tabela7[[#This Row],[NOME]])</f>
        <v>#VALUE!</v>
      </c>
      <c r="N119" s="11" t="e" cm="1">
        <f t="array" ref="N119">_xlfn.XLOOKUP(M119,tabE.Flux[[#All],[COMP.AT. MOT A]],#REF!,"NÃO",0,1)</f>
        <v>#VALUE!</v>
      </c>
      <c r="O119" s="11" t="e" cm="1">
        <f t="array" ref="O119">_xlfn.XLOOKUP(M119,tabE.Flux[[#All],[COMP.AT. MOT B]],#REF!,"NÃO",0,1)</f>
        <v>#VALUE!</v>
      </c>
      <c r="P119" s="12" t="e">
        <f>IF(N119="NÃO",(IF(O119="NÃO",(_xlfn.CONCAT(Tabela7[[#This Row],[DATA]]-1,"+",Tabela7[[#This Row],[NOME]])),"NÃO")),"NÃO")</f>
        <v>#VALUE!</v>
      </c>
      <c r="Q119" s="11" t="e" cm="1">
        <f t="array" ref="Q119">IF(P119="NÃO","NÃO",_xlfn.XLOOKUP(P119,tabE.Flux[COMP.AT. MOT A],#REF!,"NÃO",0,1))</f>
        <v>#VALUE!</v>
      </c>
      <c r="R119" s="14" t="e" cm="1">
        <f t="array" ref="R119">IF(P119="NÃO","NÃO",_xlfn.XLOOKUP(P119,tabE.Flux[COMP.AT. MOT B],#REF!,"NÃO",0,1))</f>
        <v>#VALUE!</v>
      </c>
      <c r="S11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19" s="16" t="e" cm="1">
        <f t="array" ref="T11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19" s="41" t="e" cm="1">
        <f t="array" ref="U11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20" spans="12:21" x14ac:dyDescent="0.25">
      <c r="L120" s="36" t="e">
        <f>Tabela7[[#This Row],[ID]]</f>
        <v>#VALUE!</v>
      </c>
      <c r="M120" s="17" t="e">
        <f>_xlfn.CONCAT(Tabela7[[#This Row],[DATA]],"+",Tabela7[[#This Row],[NOME]])</f>
        <v>#VALUE!</v>
      </c>
      <c r="N120" s="11" t="e" cm="1">
        <f t="array" ref="N120">_xlfn.XLOOKUP(M120,tabE.Flux[[#All],[COMP.AT. MOT A]],#REF!,"NÃO",0,1)</f>
        <v>#VALUE!</v>
      </c>
      <c r="O120" s="11" t="e" cm="1">
        <f t="array" ref="O120">_xlfn.XLOOKUP(M120,tabE.Flux[[#All],[COMP.AT. MOT B]],#REF!,"NÃO",0,1)</f>
        <v>#VALUE!</v>
      </c>
      <c r="P120" s="12" t="e">
        <f>IF(N120="NÃO",(IF(O120="NÃO",(_xlfn.CONCAT(Tabela7[[#This Row],[DATA]]-1,"+",Tabela7[[#This Row],[NOME]])),"NÃO")),"NÃO")</f>
        <v>#VALUE!</v>
      </c>
      <c r="Q120" s="11" t="e" cm="1">
        <f t="array" ref="Q120">IF(P120="NÃO","NÃO",_xlfn.XLOOKUP(P120,tabE.Flux[COMP.AT. MOT A],#REF!,"NÃO",0,1))</f>
        <v>#VALUE!</v>
      </c>
      <c r="R120" s="14" t="e" cm="1">
        <f t="array" ref="R120">IF(P120="NÃO","NÃO",_xlfn.XLOOKUP(P120,tabE.Flux[COMP.AT. MOT B],#REF!,"NÃO",0,1))</f>
        <v>#VALUE!</v>
      </c>
      <c r="S12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20" s="16" t="e" cm="1">
        <f t="array" ref="T12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20" s="41" t="e" cm="1">
        <f t="array" ref="U12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21" spans="12:21" x14ac:dyDescent="0.25">
      <c r="L121" s="36" t="e">
        <f>Tabela7[[#This Row],[ID]]</f>
        <v>#VALUE!</v>
      </c>
      <c r="M121" s="17" t="e">
        <f>_xlfn.CONCAT(Tabela7[[#This Row],[DATA]],"+",Tabela7[[#This Row],[NOME]])</f>
        <v>#VALUE!</v>
      </c>
      <c r="N121" s="11" t="e" cm="1">
        <f t="array" ref="N121">_xlfn.XLOOKUP(M121,tabE.Flux[[#All],[COMP.AT. MOT A]],#REF!,"NÃO",0,1)</f>
        <v>#VALUE!</v>
      </c>
      <c r="O121" s="11" t="e" cm="1">
        <f t="array" ref="O121">_xlfn.XLOOKUP(M121,tabE.Flux[[#All],[COMP.AT. MOT B]],#REF!,"NÃO",0,1)</f>
        <v>#VALUE!</v>
      </c>
      <c r="P121" s="12" t="e">
        <f>IF(N121="NÃO",(IF(O121="NÃO",(_xlfn.CONCAT(Tabela7[[#This Row],[DATA]]-1,"+",Tabela7[[#This Row],[NOME]])),"NÃO")),"NÃO")</f>
        <v>#VALUE!</v>
      </c>
      <c r="Q121" s="11" t="e" cm="1">
        <f t="array" ref="Q121">IF(P121="NÃO","NÃO",_xlfn.XLOOKUP(P121,tabE.Flux[COMP.AT. MOT A],#REF!,"NÃO",0,1))</f>
        <v>#VALUE!</v>
      </c>
      <c r="R121" s="14" t="e" cm="1">
        <f t="array" ref="R121">IF(P121="NÃO","NÃO",_xlfn.XLOOKUP(P121,tabE.Flux[COMP.AT. MOT B],#REF!,"NÃO",0,1))</f>
        <v>#VALUE!</v>
      </c>
      <c r="S12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21" s="16" t="e" cm="1">
        <f t="array" ref="T12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21" s="41" t="e" cm="1">
        <f t="array" ref="U12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22" spans="12:21" x14ac:dyDescent="0.25">
      <c r="L122" s="36" t="e">
        <f>Tabela7[[#This Row],[ID]]</f>
        <v>#VALUE!</v>
      </c>
      <c r="M122" s="17" t="e">
        <f>_xlfn.CONCAT(Tabela7[[#This Row],[DATA]],"+",Tabela7[[#This Row],[NOME]])</f>
        <v>#VALUE!</v>
      </c>
      <c r="N122" s="11" t="e" cm="1">
        <f t="array" ref="N122">_xlfn.XLOOKUP(M122,tabE.Flux[[#All],[COMP.AT. MOT A]],#REF!,"NÃO",0,1)</f>
        <v>#VALUE!</v>
      </c>
      <c r="O122" s="11" t="e" cm="1">
        <f t="array" ref="O122">_xlfn.XLOOKUP(M122,tabE.Flux[[#All],[COMP.AT. MOT B]],#REF!,"NÃO",0,1)</f>
        <v>#VALUE!</v>
      </c>
      <c r="P122" s="12" t="e">
        <f>IF(N122="NÃO",(IF(O122="NÃO",(_xlfn.CONCAT(Tabela7[[#This Row],[DATA]]-1,"+",Tabela7[[#This Row],[NOME]])),"NÃO")),"NÃO")</f>
        <v>#VALUE!</v>
      </c>
      <c r="Q122" s="11" t="e" cm="1">
        <f t="array" ref="Q122">IF(P122="NÃO","NÃO",_xlfn.XLOOKUP(P122,tabE.Flux[COMP.AT. MOT A],#REF!,"NÃO",0,1))</f>
        <v>#VALUE!</v>
      </c>
      <c r="R122" s="14" t="e" cm="1">
        <f t="array" ref="R122">IF(P122="NÃO","NÃO",_xlfn.XLOOKUP(P122,tabE.Flux[COMP.AT. MOT B],#REF!,"NÃO",0,1))</f>
        <v>#VALUE!</v>
      </c>
      <c r="S12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22" s="16" t="e" cm="1">
        <f t="array" ref="T12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22" s="41" t="e" cm="1">
        <f t="array" ref="U12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23" spans="12:21" x14ac:dyDescent="0.25">
      <c r="L123" s="36" t="e">
        <f>Tabela7[[#This Row],[ID]]</f>
        <v>#VALUE!</v>
      </c>
      <c r="M123" s="17" t="e">
        <f>_xlfn.CONCAT(Tabela7[[#This Row],[DATA]],"+",Tabela7[[#This Row],[NOME]])</f>
        <v>#VALUE!</v>
      </c>
      <c r="N123" s="11" t="e" cm="1">
        <f t="array" ref="N123">_xlfn.XLOOKUP(M123,tabE.Flux[[#All],[COMP.AT. MOT A]],#REF!,"NÃO",0,1)</f>
        <v>#VALUE!</v>
      </c>
      <c r="O123" s="11" t="e" cm="1">
        <f t="array" ref="O123">_xlfn.XLOOKUP(M123,tabE.Flux[[#All],[COMP.AT. MOT B]],#REF!,"NÃO",0,1)</f>
        <v>#VALUE!</v>
      </c>
      <c r="P123" s="12" t="e">
        <f>IF(N123="NÃO",(IF(O123="NÃO",(_xlfn.CONCAT(Tabela7[[#This Row],[DATA]]-1,"+",Tabela7[[#This Row],[NOME]])),"NÃO")),"NÃO")</f>
        <v>#VALUE!</v>
      </c>
      <c r="Q123" s="11" t="e" cm="1">
        <f t="array" ref="Q123">IF(P123="NÃO","NÃO",_xlfn.XLOOKUP(P123,tabE.Flux[COMP.AT. MOT A],#REF!,"NÃO",0,1))</f>
        <v>#VALUE!</v>
      </c>
      <c r="R123" s="14" t="e" cm="1">
        <f t="array" ref="R123">IF(P123="NÃO","NÃO",_xlfn.XLOOKUP(P123,tabE.Flux[COMP.AT. MOT B],#REF!,"NÃO",0,1))</f>
        <v>#VALUE!</v>
      </c>
      <c r="S12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23" s="16" t="e" cm="1">
        <f t="array" ref="T12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23" s="41" t="e" cm="1">
        <f t="array" ref="U12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24" spans="12:21" x14ac:dyDescent="0.25">
      <c r="L124" s="36" t="e">
        <f>Tabela7[[#This Row],[ID]]</f>
        <v>#VALUE!</v>
      </c>
      <c r="M124" s="17" t="e">
        <f>_xlfn.CONCAT(Tabela7[[#This Row],[DATA]],"+",Tabela7[[#This Row],[NOME]])</f>
        <v>#VALUE!</v>
      </c>
      <c r="N124" s="11" t="e" cm="1">
        <f t="array" ref="N124">_xlfn.XLOOKUP(M124,tabE.Flux[[#All],[COMP.AT. MOT A]],#REF!,"NÃO",0,1)</f>
        <v>#VALUE!</v>
      </c>
      <c r="O124" s="11" t="e" cm="1">
        <f t="array" ref="O124">_xlfn.XLOOKUP(M124,tabE.Flux[[#All],[COMP.AT. MOT B]],#REF!,"NÃO",0,1)</f>
        <v>#VALUE!</v>
      </c>
      <c r="P124" s="12" t="e">
        <f>IF(N124="NÃO",(IF(O124="NÃO",(_xlfn.CONCAT(Tabela7[[#This Row],[DATA]]-1,"+",Tabela7[[#This Row],[NOME]])),"NÃO")),"NÃO")</f>
        <v>#VALUE!</v>
      </c>
      <c r="Q124" s="11" t="e" cm="1">
        <f t="array" ref="Q124">IF(P124="NÃO","NÃO",_xlfn.XLOOKUP(P124,tabE.Flux[COMP.AT. MOT A],#REF!,"NÃO",0,1))</f>
        <v>#VALUE!</v>
      </c>
      <c r="R124" s="14" t="e" cm="1">
        <f t="array" ref="R124">IF(P124="NÃO","NÃO",_xlfn.XLOOKUP(P124,tabE.Flux[COMP.AT. MOT B],#REF!,"NÃO",0,1))</f>
        <v>#VALUE!</v>
      </c>
      <c r="S12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24" s="16" t="e" cm="1">
        <f t="array" ref="T12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24" s="41" t="e" cm="1">
        <f t="array" ref="U12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25" spans="12:21" x14ac:dyDescent="0.25">
      <c r="L125" s="36" t="e">
        <f>Tabela7[[#This Row],[ID]]</f>
        <v>#VALUE!</v>
      </c>
      <c r="M125" s="17" t="e">
        <f>_xlfn.CONCAT(Tabela7[[#This Row],[DATA]],"+",Tabela7[[#This Row],[NOME]])</f>
        <v>#VALUE!</v>
      </c>
      <c r="N125" s="11" t="e" cm="1">
        <f t="array" ref="N125">_xlfn.XLOOKUP(M125,tabE.Flux[[#All],[COMP.AT. MOT A]],#REF!,"NÃO",0,1)</f>
        <v>#VALUE!</v>
      </c>
      <c r="O125" s="11" t="e" cm="1">
        <f t="array" ref="O125">_xlfn.XLOOKUP(M125,tabE.Flux[[#All],[COMP.AT. MOT B]],#REF!,"NÃO",0,1)</f>
        <v>#VALUE!</v>
      </c>
      <c r="P125" s="12" t="e">
        <f>IF(N125="NÃO",(IF(O125="NÃO",(_xlfn.CONCAT(Tabela7[[#This Row],[DATA]]-1,"+",Tabela7[[#This Row],[NOME]])),"NÃO")),"NÃO")</f>
        <v>#VALUE!</v>
      </c>
      <c r="Q125" s="11" t="e" cm="1">
        <f t="array" ref="Q125">IF(P125="NÃO","NÃO",_xlfn.XLOOKUP(P125,tabE.Flux[COMP.AT. MOT A],#REF!,"NÃO",0,1))</f>
        <v>#VALUE!</v>
      </c>
      <c r="R125" s="14" t="e" cm="1">
        <f t="array" ref="R125">IF(P125="NÃO","NÃO",_xlfn.XLOOKUP(P125,tabE.Flux[COMP.AT. MOT B],#REF!,"NÃO",0,1))</f>
        <v>#VALUE!</v>
      </c>
      <c r="S12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25" s="16" t="e" cm="1">
        <f t="array" ref="T12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25" s="41" t="e" cm="1">
        <f t="array" ref="U12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26" spans="12:21" x14ac:dyDescent="0.25">
      <c r="L126" s="36" t="e">
        <f>Tabela7[[#This Row],[ID]]</f>
        <v>#VALUE!</v>
      </c>
      <c r="M126" s="17" t="e">
        <f>_xlfn.CONCAT(Tabela7[[#This Row],[DATA]],"+",Tabela7[[#This Row],[NOME]])</f>
        <v>#VALUE!</v>
      </c>
      <c r="N126" s="11" t="e" cm="1">
        <f t="array" ref="N126">_xlfn.XLOOKUP(M126,tabE.Flux[[#All],[COMP.AT. MOT A]],#REF!,"NÃO",0,1)</f>
        <v>#VALUE!</v>
      </c>
      <c r="O126" s="11" t="e" cm="1">
        <f t="array" ref="O126">_xlfn.XLOOKUP(M126,tabE.Flux[[#All],[COMP.AT. MOT B]],#REF!,"NÃO",0,1)</f>
        <v>#VALUE!</v>
      </c>
      <c r="P126" s="12" t="e">
        <f>IF(N126="NÃO",(IF(O126="NÃO",(_xlfn.CONCAT(Tabela7[[#This Row],[DATA]]-1,"+",Tabela7[[#This Row],[NOME]])),"NÃO")),"NÃO")</f>
        <v>#VALUE!</v>
      </c>
      <c r="Q126" s="11" t="e" cm="1">
        <f t="array" ref="Q126">IF(P126="NÃO","NÃO",_xlfn.XLOOKUP(P126,tabE.Flux[COMP.AT. MOT A],#REF!,"NÃO",0,1))</f>
        <v>#VALUE!</v>
      </c>
      <c r="R126" s="14" t="e" cm="1">
        <f t="array" ref="R126">IF(P126="NÃO","NÃO",_xlfn.XLOOKUP(P126,tabE.Flux[COMP.AT. MOT B],#REF!,"NÃO",0,1))</f>
        <v>#VALUE!</v>
      </c>
      <c r="S12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26" s="16" t="e" cm="1">
        <f t="array" ref="T12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26" s="41" t="e" cm="1">
        <f t="array" ref="U12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27" spans="12:21" x14ac:dyDescent="0.25">
      <c r="L127" s="36" t="e">
        <f>Tabela7[[#This Row],[ID]]</f>
        <v>#VALUE!</v>
      </c>
      <c r="M127" s="17" t="e">
        <f>_xlfn.CONCAT(Tabela7[[#This Row],[DATA]],"+",Tabela7[[#This Row],[NOME]])</f>
        <v>#VALUE!</v>
      </c>
      <c r="N127" s="11" t="e" cm="1">
        <f t="array" ref="N127">_xlfn.XLOOKUP(M127,tabE.Flux[[#All],[COMP.AT. MOT A]],#REF!,"NÃO",0,1)</f>
        <v>#VALUE!</v>
      </c>
      <c r="O127" s="11" t="e" cm="1">
        <f t="array" ref="O127">_xlfn.XLOOKUP(M127,tabE.Flux[[#All],[COMP.AT. MOT B]],#REF!,"NÃO",0,1)</f>
        <v>#VALUE!</v>
      </c>
      <c r="P127" s="12" t="e">
        <f>IF(N127="NÃO",(IF(O127="NÃO",(_xlfn.CONCAT(Tabela7[[#This Row],[DATA]]-1,"+",Tabela7[[#This Row],[NOME]])),"NÃO")),"NÃO")</f>
        <v>#VALUE!</v>
      </c>
      <c r="Q127" s="11" t="e" cm="1">
        <f t="array" ref="Q127">IF(P127="NÃO","NÃO",_xlfn.XLOOKUP(P127,tabE.Flux[COMP.AT. MOT A],#REF!,"NÃO",0,1))</f>
        <v>#VALUE!</v>
      </c>
      <c r="R127" s="14" t="e" cm="1">
        <f t="array" ref="R127">IF(P127="NÃO","NÃO",_xlfn.XLOOKUP(P127,tabE.Flux[COMP.AT. MOT B],#REF!,"NÃO",0,1))</f>
        <v>#VALUE!</v>
      </c>
      <c r="S12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27" s="16" t="e" cm="1">
        <f t="array" ref="T12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27" s="41" t="e" cm="1">
        <f t="array" ref="U12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28" spans="12:21" x14ac:dyDescent="0.25">
      <c r="L128" s="36" t="e">
        <f>Tabela7[[#This Row],[ID]]</f>
        <v>#VALUE!</v>
      </c>
      <c r="M128" s="17" t="e">
        <f>_xlfn.CONCAT(Tabela7[[#This Row],[DATA]],"+",Tabela7[[#This Row],[NOME]])</f>
        <v>#VALUE!</v>
      </c>
      <c r="N128" s="11" t="e" cm="1">
        <f t="array" ref="N128">_xlfn.XLOOKUP(M128,tabE.Flux[[#All],[COMP.AT. MOT A]],#REF!,"NÃO",0,1)</f>
        <v>#VALUE!</v>
      </c>
      <c r="O128" s="11" t="e" cm="1">
        <f t="array" ref="O128">_xlfn.XLOOKUP(M128,tabE.Flux[[#All],[COMP.AT. MOT B]],#REF!,"NÃO",0,1)</f>
        <v>#VALUE!</v>
      </c>
      <c r="P128" s="12" t="e">
        <f>IF(N128="NÃO",(IF(O128="NÃO",(_xlfn.CONCAT(Tabela7[[#This Row],[DATA]]-1,"+",Tabela7[[#This Row],[NOME]])),"NÃO")),"NÃO")</f>
        <v>#VALUE!</v>
      </c>
      <c r="Q128" s="11" t="e" cm="1">
        <f t="array" ref="Q128">IF(P128="NÃO","NÃO",_xlfn.XLOOKUP(P128,tabE.Flux[COMP.AT. MOT A],#REF!,"NÃO",0,1))</f>
        <v>#VALUE!</v>
      </c>
      <c r="R128" s="14" t="e" cm="1">
        <f t="array" ref="R128">IF(P128="NÃO","NÃO",_xlfn.XLOOKUP(P128,tabE.Flux[COMP.AT. MOT B],#REF!,"NÃO",0,1))</f>
        <v>#VALUE!</v>
      </c>
      <c r="S12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28" s="16" t="e" cm="1">
        <f t="array" ref="T12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28" s="41" t="e" cm="1">
        <f t="array" ref="U12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29" spans="12:21" x14ac:dyDescent="0.25">
      <c r="L129" s="36" t="e">
        <f>Tabela7[[#This Row],[ID]]</f>
        <v>#VALUE!</v>
      </c>
      <c r="M129" s="17" t="e">
        <f>_xlfn.CONCAT(Tabela7[[#This Row],[DATA]],"+",Tabela7[[#This Row],[NOME]])</f>
        <v>#VALUE!</v>
      </c>
      <c r="N129" s="11" t="e" cm="1">
        <f t="array" ref="N129">_xlfn.XLOOKUP(M129,tabE.Flux[[#All],[COMP.AT. MOT A]],#REF!,"NÃO",0,1)</f>
        <v>#VALUE!</v>
      </c>
      <c r="O129" s="11" t="e" cm="1">
        <f t="array" ref="O129">_xlfn.XLOOKUP(M129,tabE.Flux[[#All],[COMP.AT. MOT B]],#REF!,"NÃO",0,1)</f>
        <v>#VALUE!</v>
      </c>
      <c r="P129" s="12" t="e">
        <f>IF(N129="NÃO",(IF(O129="NÃO",(_xlfn.CONCAT(Tabela7[[#This Row],[DATA]]-1,"+",Tabela7[[#This Row],[NOME]])),"NÃO")),"NÃO")</f>
        <v>#VALUE!</v>
      </c>
      <c r="Q129" s="11" t="e" cm="1">
        <f t="array" ref="Q129">IF(P129="NÃO","NÃO",_xlfn.XLOOKUP(P129,tabE.Flux[COMP.AT. MOT A],#REF!,"NÃO",0,1))</f>
        <v>#VALUE!</v>
      </c>
      <c r="R129" s="14" t="e" cm="1">
        <f t="array" ref="R129">IF(P129="NÃO","NÃO",_xlfn.XLOOKUP(P129,tabE.Flux[COMP.AT. MOT B],#REF!,"NÃO",0,1))</f>
        <v>#VALUE!</v>
      </c>
      <c r="S12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29" s="16" t="e" cm="1">
        <f t="array" ref="T12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29" s="41" t="e" cm="1">
        <f t="array" ref="U12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30" spans="12:21" x14ac:dyDescent="0.25">
      <c r="L130" s="36" t="e">
        <f>Tabela7[[#This Row],[ID]]</f>
        <v>#VALUE!</v>
      </c>
      <c r="M130" s="17" t="e">
        <f>_xlfn.CONCAT(Tabela7[[#This Row],[DATA]],"+",Tabela7[[#This Row],[NOME]])</f>
        <v>#VALUE!</v>
      </c>
      <c r="N130" s="11" t="e" cm="1">
        <f t="array" ref="N130">_xlfn.XLOOKUP(M130,tabE.Flux[[#All],[COMP.AT. MOT A]],#REF!,"NÃO",0,1)</f>
        <v>#VALUE!</v>
      </c>
      <c r="O130" s="11" t="e" cm="1">
        <f t="array" ref="O130">_xlfn.XLOOKUP(M130,tabE.Flux[[#All],[COMP.AT. MOT B]],#REF!,"NÃO",0,1)</f>
        <v>#VALUE!</v>
      </c>
      <c r="P130" s="12" t="e">
        <f>IF(N130="NÃO",(IF(O130="NÃO",(_xlfn.CONCAT(Tabela7[[#This Row],[DATA]]-1,"+",Tabela7[[#This Row],[NOME]])),"NÃO")),"NÃO")</f>
        <v>#VALUE!</v>
      </c>
      <c r="Q130" s="11" t="e" cm="1">
        <f t="array" ref="Q130">IF(P130="NÃO","NÃO",_xlfn.XLOOKUP(P130,tabE.Flux[COMP.AT. MOT A],#REF!,"NÃO",0,1))</f>
        <v>#VALUE!</v>
      </c>
      <c r="R130" s="14" t="e" cm="1">
        <f t="array" ref="R130">IF(P130="NÃO","NÃO",_xlfn.XLOOKUP(P130,tabE.Flux[COMP.AT. MOT B],#REF!,"NÃO",0,1))</f>
        <v>#VALUE!</v>
      </c>
      <c r="S13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30" s="16" t="e" cm="1">
        <f t="array" ref="T13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30" s="41" t="e" cm="1">
        <f t="array" ref="U13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31" spans="12:21" x14ac:dyDescent="0.25">
      <c r="L131" s="36" t="e">
        <f>Tabela7[[#This Row],[ID]]</f>
        <v>#VALUE!</v>
      </c>
      <c r="M131" s="17" t="e">
        <f>_xlfn.CONCAT(Tabela7[[#This Row],[DATA]],"+",Tabela7[[#This Row],[NOME]])</f>
        <v>#VALUE!</v>
      </c>
      <c r="N131" s="11" t="e" cm="1">
        <f t="array" ref="N131">_xlfn.XLOOKUP(M131,tabE.Flux[[#All],[COMP.AT. MOT A]],#REF!,"NÃO",0,1)</f>
        <v>#VALUE!</v>
      </c>
      <c r="O131" s="11" t="e" cm="1">
        <f t="array" ref="O131">_xlfn.XLOOKUP(M131,tabE.Flux[[#All],[COMP.AT. MOT B]],#REF!,"NÃO",0,1)</f>
        <v>#VALUE!</v>
      </c>
      <c r="P131" s="12" t="e">
        <f>IF(N131="NÃO",(IF(O131="NÃO",(_xlfn.CONCAT(Tabela7[[#This Row],[DATA]]-1,"+",Tabela7[[#This Row],[NOME]])),"NÃO")),"NÃO")</f>
        <v>#VALUE!</v>
      </c>
      <c r="Q131" s="11" t="e" cm="1">
        <f t="array" ref="Q131">IF(P131="NÃO","NÃO",_xlfn.XLOOKUP(P131,tabE.Flux[COMP.AT. MOT A],#REF!,"NÃO",0,1))</f>
        <v>#VALUE!</v>
      </c>
      <c r="R131" s="14" t="e" cm="1">
        <f t="array" ref="R131">IF(P131="NÃO","NÃO",_xlfn.XLOOKUP(P131,tabE.Flux[COMP.AT. MOT B],#REF!,"NÃO",0,1))</f>
        <v>#VALUE!</v>
      </c>
      <c r="S13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31" s="16" t="e" cm="1">
        <f t="array" ref="T13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31" s="41" t="e" cm="1">
        <f t="array" ref="U13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32" spans="12:21" x14ac:dyDescent="0.25">
      <c r="L132" s="36" t="e">
        <f>Tabela7[[#This Row],[ID]]</f>
        <v>#VALUE!</v>
      </c>
      <c r="M132" s="17" t="e">
        <f>_xlfn.CONCAT(Tabela7[[#This Row],[DATA]],"+",Tabela7[[#This Row],[NOME]])</f>
        <v>#VALUE!</v>
      </c>
      <c r="N132" s="11" t="e" cm="1">
        <f t="array" ref="N132">_xlfn.XLOOKUP(M132,tabE.Flux[[#All],[COMP.AT. MOT A]],#REF!,"NÃO",0,1)</f>
        <v>#VALUE!</v>
      </c>
      <c r="O132" s="11" t="e" cm="1">
        <f t="array" ref="O132">_xlfn.XLOOKUP(M132,tabE.Flux[[#All],[COMP.AT. MOT B]],#REF!,"NÃO",0,1)</f>
        <v>#VALUE!</v>
      </c>
      <c r="P132" s="12" t="e">
        <f>IF(N132="NÃO",(IF(O132="NÃO",(_xlfn.CONCAT(Tabela7[[#This Row],[DATA]]-1,"+",Tabela7[[#This Row],[NOME]])),"NÃO")),"NÃO")</f>
        <v>#VALUE!</v>
      </c>
      <c r="Q132" s="11" t="e" cm="1">
        <f t="array" ref="Q132">IF(P132="NÃO","NÃO",_xlfn.XLOOKUP(P132,tabE.Flux[COMP.AT. MOT A],#REF!,"NÃO",0,1))</f>
        <v>#VALUE!</v>
      </c>
      <c r="R132" s="14" t="e" cm="1">
        <f t="array" ref="R132">IF(P132="NÃO","NÃO",_xlfn.XLOOKUP(P132,tabE.Flux[COMP.AT. MOT B],#REF!,"NÃO",0,1))</f>
        <v>#VALUE!</v>
      </c>
      <c r="S13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32" s="16" t="e" cm="1">
        <f t="array" ref="T13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32" s="41" t="e" cm="1">
        <f t="array" ref="U13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33" spans="12:21" x14ac:dyDescent="0.25">
      <c r="L133" s="36" t="e">
        <f>Tabela7[[#This Row],[ID]]</f>
        <v>#VALUE!</v>
      </c>
      <c r="M133" s="17" t="e">
        <f>_xlfn.CONCAT(Tabela7[[#This Row],[DATA]],"+",Tabela7[[#This Row],[NOME]])</f>
        <v>#VALUE!</v>
      </c>
      <c r="N133" s="11" t="e" cm="1">
        <f t="array" ref="N133">_xlfn.XLOOKUP(M133,tabE.Flux[[#All],[COMP.AT. MOT A]],#REF!,"NÃO",0,1)</f>
        <v>#VALUE!</v>
      </c>
      <c r="O133" s="11" t="e" cm="1">
        <f t="array" ref="O133">_xlfn.XLOOKUP(M133,tabE.Flux[[#All],[COMP.AT. MOT B]],#REF!,"NÃO",0,1)</f>
        <v>#VALUE!</v>
      </c>
      <c r="P133" s="12" t="e">
        <f>IF(N133="NÃO",(IF(O133="NÃO",(_xlfn.CONCAT(Tabela7[[#This Row],[DATA]]-1,"+",Tabela7[[#This Row],[NOME]])),"NÃO")),"NÃO")</f>
        <v>#VALUE!</v>
      </c>
      <c r="Q133" s="11" t="e" cm="1">
        <f t="array" ref="Q133">IF(P133="NÃO","NÃO",_xlfn.XLOOKUP(P133,tabE.Flux[COMP.AT. MOT A],#REF!,"NÃO",0,1))</f>
        <v>#VALUE!</v>
      </c>
      <c r="R133" s="14" t="e" cm="1">
        <f t="array" ref="R133">IF(P133="NÃO","NÃO",_xlfn.XLOOKUP(P133,tabE.Flux[COMP.AT. MOT B],#REF!,"NÃO",0,1))</f>
        <v>#VALUE!</v>
      </c>
      <c r="S13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33" s="16" t="e" cm="1">
        <f t="array" ref="T13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33" s="41" t="e" cm="1">
        <f t="array" ref="U13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34" spans="12:21" x14ac:dyDescent="0.25">
      <c r="L134" s="36" t="e">
        <f>Tabela7[[#This Row],[ID]]</f>
        <v>#VALUE!</v>
      </c>
      <c r="M134" s="17" t="e">
        <f>_xlfn.CONCAT(Tabela7[[#This Row],[DATA]],"+",Tabela7[[#This Row],[NOME]])</f>
        <v>#VALUE!</v>
      </c>
      <c r="N134" s="11" t="e" cm="1">
        <f t="array" ref="N134">_xlfn.XLOOKUP(M134,tabE.Flux[[#All],[COMP.AT. MOT A]],#REF!,"NÃO",0,1)</f>
        <v>#VALUE!</v>
      </c>
      <c r="O134" s="11" t="e" cm="1">
        <f t="array" ref="O134">_xlfn.XLOOKUP(M134,tabE.Flux[[#All],[COMP.AT. MOT B]],#REF!,"NÃO",0,1)</f>
        <v>#VALUE!</v>
      </c>
      <c r="P134" s="12" t="e">
        <f>IF(N134="NÃO",(IF(O134="NÃO",(_xlfn.CONCAT(Tabela7[[#This Row],[DATA]]-1,"+",Tabela7[[#This Row],[NOME]])),"NÃO")),"NÃO")</f>
        <v>#VALUE!</v>
      </c>
      <c r="Q134" s="11" t="e" cm="1">
        <f t="array" ref="Q134">IF(P134="NÃO","NÃO",_xlfn.XLOOKUP(P134,tabE.Flux[COMP.AT. MOT A],#REF!,"NÃO",0,1))</f>
        <v>#VALUE!</v>
      </c>
      <c r="R134" s="14" t="e" cm="1">
        <f t="array" ref="R134">IF(P134="NÃO","NÃO",_xlfn.XLOOKUP(P134,tabE.Flux[COMP.AT. MOT B],#REF!,"NÃO",0,1))</f>
        <v>#VALUE!</v>
      </c>
      <c r="S13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34" s="16" t="e" cm="1">
        <f t="array" ref="T13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34" s="41" t="e" cm="1">
        <f t="array" ref="U13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35" spans="12:21" x14ac:dyDescent="0.25">
      <c r="L135" s="36" t="e">
        <f>Tabela7[[#This Row],[ID]]</f>
        <v>#VALUE!</v>
      </c>
      <c r="M135" s="17" t="e">
        <f>_xlfn.CONCAT(Tabela7[[#This Row],[DATA]],"+",Tabela7[[#This Row],[NOME]])</f>
        <v>#VALUE!</v>
      </c>
      <c r="N135" s="11" t="e" cm="1">
        <f t="array" ref="N135">_xlfn.XLOOKUP(M135,tabE.Flux[[#All],[COMP.AT. MOT A]],#REF!,"NÃO",0,1)</f>
        <v>#VALUE!</v>
      </c>
      <c r="O135" s="11" t="e" cm="1">
        <f t="array" ref="O135">_xlfn.XLOOKUP(M135,tabE.Flux[[#All],[COMP.AT. MOT B]],#REF!,"NÃO",0,1)</f>
        <v>#VALUE!</v>
      </c>
      <c r="P135" s="12" t="e">
        <f>IF(N135="NÃO",(IF(O135="NÃO",(_xlfn.CONCAT(Tabela7[[#This Row],[DATA]]-1,"+",Tabela7[[#This Row],[NOME]])),"NÃO")),"NÃO")</f>
        <v>#VALUE!</v>
      </c>
      <c r="Q135" s="11" t="e" cm="1">
        <f t="array" ref="Q135">IF(P135="NÃO","NÃO",_xlfn.XLOOKUP(P135,tabE.Flux[COMP.AT. MOT A],#REF!,"NÃO",0,1))</f>
        <v>#VALUE!</v>
      </c>
      <c r="R135" s="14" t="e" cm="1">
        <f t="array" ref="R135">IF(P135="NÃO","NÃO",_xlfn.XLOOKUP(P135,tabE.Flux[COMP.AT. MOT B],#REF!,"NÃO",0,1))</f>
        <v>#VALUE!</v>
      </c>
      <c r="S13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35" s="16" t="e" cm="1">
        <f t="array" ref="T13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35" s="41" t="e" cm="1">
        <f t="array" ref="U13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36" spans="12:21" x14ac:dyDescent="0.25">
      <c r="L136" s="36" t="e">
        <f>Tabela7[[#This Row],[ID]]</f>
        <v>#VALUE!</v>
      </c>
      <c r="M136" s="17" t="e">
        <f>_xlfn.CONCAT(Tabela7[[#This Row],[DATA]],"+",Tabela7[[#This Row],[NOME]])</f>
        <v>#VALUE!</v>
      </c>
      <c r="N136" s="11" t="e" cm="1">
        <f t="array" ref="N136">_xlfn.XLOOKUP(M136,tabE.Flux[[#All],[COMP.AT. MOT A]],#REF!,"NÃO",0,1)</f>
        <v>#VALUE!</v>
      </c>
      <c r="O136" s="11" t="e" cm="1">
        <f t="array" ref="O136">_xlfn.XLOOKUP(M136,tabE.Flux[[#All],[COMP.AT. MOT B]],#REF!,"NÃO",0,1)</f>
        <v>#VALUE!</v>
      </c>
      <c r="P136" s="12" t="e">
        <f>IF(N136="NÃO",(IF(O136="NÃO",(_xlfn.CONCAT(Tabela7[[#This Row],[DATA]]-1,"+",Tabela7[[#This Row],[NOME]])),"NÃO")),"NÃO")</f>
        <v>#VALUE!</v>
      </c>
      <c r="Q136" s="11" t="e" cm="1">
        <f t="array" ref="Q136">IF(P136="NÃO","NÃO",_xlfn.XLOOKUP(P136,tabE.Flux[COMP.AT. MOT A],#REF!,"NÃO",0,1))</f>
        <v>#VALUE!</v>
      </c>
      <c r="R136" s="14" t="e" cm="1">
        <f t="array" ref="R136">IF(P136="NÃO","NÃO",_xlfn.XLOOKUP(P136,tabE.Flux[COMP.AT. MOT B],#REF!,"NÃO",0,1))</f>
        <v>#VALUE!</v>
      </c>
      <c r="S13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36" s="16" t="e" cm="1">
        <f t="array" ref="T13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36" s="41" t="e" cm="1">
        <f t="array" ref="U13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37" spans="12:21" x14ac:dyDescent="0.25">
      <c r="L137" s="36" t="e">
        <f>Tabela7[[#This Row],[ID]]</f>
        <v>#VALUE!</v>
      </c>
      <c r="M137" s="17" t="e">
        <f>_xlfn.CONCAT(Tabela7[[#This Row],[DATA]],"+",Tabela7[[#This Row],[NOME]])</f>
        <v>#VALUE!</v>
      </c>
      <c r="N137" s="11" t="e" cm="1">
        <f t="array" ref="N137">_xlfn.XLOOKUP(M137,tabE.Flux[[#All],[COMP.AT. MOT A]],#REF!,"NÃO",0,1)</f>
        <v>#VALUE!</v>
      </c>
      <c r="O137" s="11" t="e" cm="1">
        <f t="array" ref="O137">_xlfn.XLOOKUP(M137,tabE.Flux[[#All],[COMP.AT. MOT B]],#REF!,"NÃO",0,1)</f>
        <v>#VALUE!</v>
      </c>
      <c r="P137" s="12" t="e">
        <f>IF(N137="NÃO",(IF(O137="NÃO",(_xlfn.CONCAT(Tabela7[[#This Row],[DATA]]-1,"+",Tabela7[[#This Row],[NOME]])),"NÃO")),"NÃO")</f>
        <v>#VALUE!</v>
      </c>
      <c r="Q137" s="11" t="e" cm="1">
        <f t="array" ref="Q137">IF(P137="NÃO","NÃO",_xlfn.XLOOKUP(P137,tabE.Flux[COMP.AT. MOT A],#REF!,"NÃO",0,1))</f>
        <v>#VALUE!</v>
      </c>
      <c r="R137" s="14" t="e" cm="1">
        <f t="array" ref="R137">IF(P137="NÃO","NÃO",_xlfn.XLOOKUP(P137,tabE.Flux[COMP.AT. MOT B],#REF!,"NÃO",0,1))</f>
        <v>#VALUE!</v>
      </c>
      <c r="S13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37" s="16" t="e" cm="1">
        <f t="array" ref="T13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37" s="41" t="e" cm="1">
        <f t="array" ref="U13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38" spans="12:21" x14ac:dyDescent="0.25">
      <c r="L138" s="36" t="e">
        <f>Tabela7[[#This Row],[ID]]</f>
        <v>#VALUE!</v>
      </c>
      <c r="M138" s="17" t="e">
        <f>_xlfn.CONCAT(Tabela7[[#This Row],[DATA]],"+",Tabela7[[#This Row],[NOME]])</f>
        <v>#VALUE!</v>
      </c>
      <c r="N138" s="11" t="e" cm="1">
        <f t="array" ref="N138">_xlfn.XLOOKUP(M138,tabE.Flux[[#All],[COMP.AT. MOT A]],#REF!,"NÃO",0,1)</f>
        <v>#VALUE!</v>
      </c>
      <c r="O138" s="11" t="e" cm="1">
        <f t="array" ref="O138">_xlfn.XLOOKUP(M138,tabE.Flux[[#All],[COMP.AT. MOT B]],#REF!,"NÃO",0,1)</f>
        <v>#VALUE!</v>
      </c>
      <c r="P138" s="12" t="e">
        <f>IF(N138="NÃO",(IF(O138="NÃO",(_xlfn.CONCAT(Tabela7[[#This Row],[DATA]]-1,"+",Tabela7[[#This Row],[NOME]])),"NÃO")),"NÃO")</f>
        <v>#VALUE!</v>
      </c>
      <c r="Q138" s="11" t="e" cm="1">
        <f t="array" ref="Q138">IF(P138="NÃO","NÃO",_xlfn.XLOOKUP(P138,tabE.Flux[COMP.AT. MOT A],#REF!,"NÃO",0,1))</f>
        <v>#VALUE!</v>
      </c>
      <c r="R138" s="14" t="e" cm="1">
        <f t="array" ref="R138">IF(P138="NÃO","NÃO",_xlfn.XLOOKUP(P138,tabE.Flux[COMP.AT. MOT B],#REF!,"NÃO",0,1))</f>
        <v>#VALUE!</v>
      </c>
      <c r="S13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38" s="16" t="e" cm="1">
        <f t="array" ref="T13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38" s="41" t="e" cm="1">
        <f t="array" ref="U13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39" spans="12:21" x14ac:dyDescent="0.25">
      <c r="L139" s="36" t="e">
        <f>Tabela7[[#This Row],[ID]]</f>
        <v>#VALUE!</v>
      </c>
      <c r="M139" s="17" t="e">
        <f>_xlfn.CONCAT(Tabela7[[#This Row],[DATA]],"+",Tabela7[[#This Row],[NOME]])</f>
        <v>#VALUE!</v>
      </c>
      <c r="N139" s="11" t="e" cm="1">
        <f t="array" ref="N139">_xlfn.XLOOKUP(M139,tabE.Flux[[#All],[COMP.AT. MOT A]],#REF!,"NÃO",0,1)</f>
        <v>#VALUE!</v>
      </c>
      <c r="O139" s="11" t="e" cm="1">
        <f t="array" ref="O139">_xlfn.XLOOKUP(M139,tabE.Flux[[#All],[COMP.AT. MOT B]],#REF!,"NÃO",0,1)</f>
        <v>#VALUE!</v>
      </c>
      <c r="P139" s="12" t="e">
        <f>IF(N139="NÃO",(IF(O139="NÃO",(_xlfn.CONCAT(Tabela7[[#This Row],[DATA]]-1,"+",Tabela7[[#This Row],[NOME]])),"NÃO")),"NÃO")</f>
        <v>#VALUE!</v>
      </c>
      <c r="Q139" s="11" t="e" cm="1">
        <f t="array" ref="Q139">IF(P139="NÃO","NÃO",_xlfn.XLOOKUP(P139,tabE.Flux[COMP.AT. MOT A],#REF!,"NÃO",0,1))</f>
        <v>#VALUE!</v>
      </c>
      <c r="R139" s="14" t="e" cm="1">
        <f t="array" ref="R139">IF(P139="NÃO","NÃO",_xlfn.XLOOKUP(P139,tabE.Flux[COMP.AT. MOT B],#REF!,"NÃO",0,1))</f>
        <v>#VALUE!</v>
      </c>
      <c r="S13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39" s="16" t="e" cm="1">
        <f t="array" ref="T13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39" s="41" t="e" cm="1">
        <f t="array" ref="U13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40" spans="12:21" x14ac:dyDescent="0.25">
      <c r="L140" s="36" t="e">
        <f>Tabela7[[#This Row],[ID]]</f>
        <v>#VALUE!</v>
      </c>
      <c r="M140" s="17" t="e">
        <f>_xlfn.CONCAT(Tabela7[[#This Row],[DATA]],"+",Tabela7[[#This Row],[NOME]])</f>
        <v>#VALUE!</v>
      </c>
      <c r="N140" s="11" t="e" cm="1">
        <f t="array" ref="N140">_xlfn.XLOOKUP(M140,tabE.Flux[[#All],[COMP.AT. MOT A]],#REF!,"NÃO",0,1)</f>
        <v>#VALUE!</v>
      </c>
      <c r="O140" s="11" t="e" cm="1">
        <f t="array" ref="O140">_xlfn.XLOOKUP(M140,tabE.Flux[[#All],[COMP.AT. MOT B]],#REF!,"NÃO",0,1)</f>
        <v>#VALUE!</v>
      </c>
      <c r="P140" s="12" t="e">
        <f>IF(N140="NÃO",(IF(O140="NÃO",(_xlfn.CONCAT(Tabela7[[#This Row],[DATA]]-1,"+",Tabela7[[#This Row],[NOME]])),"NÃO")),"NÃO")</f>
        <v>#VALUE!</v>
      </c>
      <c r="Q140" s="11" t="e" cm="1">
        <f t="array" ref="Q140">IF(P140="NÃO","NÃO",_xlfn.XLOOKUP(P140,tabE.Flux[COMP.AT. MOT A],#REF!,"NÃO",0,1))</f>
        <v>#VALUE!</v>
      </c>
      <c r="R140" s="14" t="e" cm="1">
        <f t="array" ref="R140">IF(P140="NÃO","NÃO",_xlfn.XLOOKUP(P140,tabE.Flux[COMP.AT. MOT B],#REF!,"NÃO",0,1))</f>
        <v>#VALUE!</v>
      </c>
      <c r="S14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40" s="16" t="e" cm="1">
        <f t="array" ref="T14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40" s="41" t="e" cm="1">
        <f t="array" ref="U14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41" spans="12:21" x14ac:dyDescent="0.25">
      <c r="L141" s="36" t="e">
        <f>Tabela7[[#This Row],[ID]]</f>
        <v>#VALUE!</v>
      </c>
      <c r="M141" s="17" t="e">
        <f>_xlfn.CONCAT(Tabela7[[#This Row],[DATA]],"+",Tabela7[[#This Row],[NOME]])</f>
        <v>#VALUE!</v>
      </c>
      <c r="N141" s="11" t="e" cm="1">
        <f t="array" ref="N141">_xlfn.XLOOKUP(M141,tabE.Flux[[#All],[COMP.AT. MOT A]],#REF!,"NÃO",0,1)</f>
        <v>#VALUE!</v>
      </c>
      <c r="O141" s="11" t="e" cm="1">
        <f t="array" ref="O141">_xlfn.XLOOKUP(M141,tabE.Flux[[#All],[COMP.AT. MOT B]],#REF!,"NÃO",0,1)</f>
        <v>#VALUE!</v>
      </c>
      <c r="P141" s="12" t="e">
        <f>IF(N141="NÃO",(IF(O141="NÃO",(_xlfn.CONCAT(Tabela7[[#This Row],[DATA]]-1,"+",Tabela7[[#This Row],[NOME]])),"NÃO")),"NÃO")</f>
        <v>#VALUE!</v>
      </c>
      <c r="Q141" s="11" t="e" cm="1">
        <f t="array" ref="Q141">IF(P141="NÃO","NÃO",_xlfn.XLOOKUP(P141,tabE.Flux[COMP.AT. MOT A],#REF!,"NÃO",0,1))</f>
        <v>#VALUE!</v>
      </c>
      <c r="R141" s="14" t="e" cm="1">
        <f t="array" ref="R141">IF(P141="NÃO","NÃO",_xlfn.XLOOKUP(P141,tabE.Flux[COMP.AT. MOT B],#REF!,"NÃO",0,1))</f>
        <v>#VALUE!</v>
      </c>
      <c r="S14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41" s="16" t="e" cm="1">
        <f t="array" ref="T14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41" s="41" t="e" cm="1">
        <f t="array" ref="U14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42" spans="12:21" x14ac:dyDescent="0.25">
      <c r="L142" s="36" t="e">
        <f>Tabela7[[#This Row],[ID]]</f>
        <v>#VALUE!</v>
      </c>
      <c r="M142" s="17" t="e">
        <f>_xlfn.CONCAT(Tabela7[[#This Row],[DATA]],"+",Tabela7[[#This Row],[NOME]])</f>
        <v>#VALUE!</v>
      </c>
      <c r="N142" s="11" t="e" cm="1">
        <f t="array" ref="N142">_xlfn.XLOOKUP(M142,tabE.Flux[[#All],[COMP.AT. MOT A]],#REF!,"NÃO",0,1)</f>
        <v>#VALUE!</v>
      </c>
      <c r="O142" s="11" t="e" cm="1">
        <f t="array" ref="O142">_xlfn.XLOOKUP(M142,tabE.Flux[[#All],[COMP.AT. MOT B]],#REF!,"NÃO",0,1)</f>
        <v>#VALUE!</v>
      </c>
      <c r="P142" s="12" t="e">
        <f>IF(N142="NÃO",(IF(O142="NÃO",(_xlfn.CONCAT(Tabela7[[#This Row],[DATA]]-1,"+",Tabela7[[#This Row],[NOME]])),"NÃO")),"NÃO")</f>
        <v>#VALUE!</v>
      </c>
      <c r="Q142" s="11" t="e" cm="1">
        <f t="array" ref="Q142">IF(P142="NÃO","NÃO",_xlfn.XLOOKUP(P142,tabE.Flux[COMP.AT. MOT A],#REF!,"NÃO",0,1))</f>
        <v>#VALUE!</v>
      </c>
      <c r="R142" s="14" t="e" cm="1">
        <f t="array" ref="R142">IF(P142="NÃO","NÃO",_xlfn.XLOOKUP(P142,tabE.Flux[COMP.AT. MOT B],#REF!,"NÃO",0,1))</f>
        <v>#VALUE!</v>
      </c>
      <c r="S14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42" s="16" t="e" cm="1">
        <f t="array" ref="T14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42" s="41" t="e" cm="1">
        <f t="array" ref="U14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43" spans="12:21" x14ac:dyDescent="0.25">
      <c r="L143" s="36" t="e">
        <f>Tabela7[[#This Row],[ID]]</f>
        <v>#VALUE!</v>
      </c>
      <c r="M143" s="17" t="e">
        <f>_xlfn.CONCAT(Tabela7[[#This Row],[DATA]],"+",Tabela7[[#This Row],[NOME]])</f>
        <v>#VALUE!</v>
      </c>
      <c r="N143" s="11" t="e" cm="1">
        <f t="array" ref="N143">_xlfn.XLOOKUP(M143,tabE.Flux[[#All],[COMP.AT. MOT A]],#REF!,"NÃO",0,1)</f>
        <v>#VALUE!</v>
      </c>
      <c r="O143" s="11" t="e" cm="1">
        <f t="array" ref="O143">_xlfn.XLOOKUP(M143,tabE.Flux[[#All],[COMP.AT. MOT B]],#REF!,"NÃO",0,1)</f>
        <v>#VALUE!</v>
      </c>
      <c r="P143" s="12" t="e">
        <f>IF(N143="NÃO",(IF(O143="NÃO",(_xlfn.CONCAT(Tabela7[[#This Row],[DATA]]-1,"+",Tabela7[[#This Row],[NOME]])),"NÃO")),"NÃO")</f>
        <v>#VALUE!</v>
      </c>
      <c r="Q143" s="11" t="e" cm="1">
        <f t="array" ref="Q143">IF(P143="NÃO","NÃO",_xlfn.XLOOKUP(P143,tabE.Flux[COMP.AT. MOT A],#REF!,"NÃO",0,1))</f>
        <v>#VALUE!</v>
      </c>
      <c r="R143" s="14" t="e" cm="1">
        <f t="array" ref="R143">IF(P143="NÃO","NÃO",_xlfn.XLOOKUP(P143,tabE.Flux[COMP.AT. MOT B],#REF!,"NÃO",0,1))</f>
        <v>#VALUE!</v>
      </c>
      <c r="S14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43" s="16" t="e" cm="1">
        <f t="array" ref="T14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43" s="41" t="e" cm="1">
        <f t="array" ref="U14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44" spans="12:21" x14ac:dyDescent="0.25">
      <c r="L144" s="36" t="e">
        <f>Tabela7[[#This Row],[ID]]</f>
        <v>#VALUE!</v>
      </c>
      <c r="M144" s="17" t="e">
        <f>_xlfn.CONCAT(Tabela7[[#This Row],[DATA]],"+",Tabela7[[#This Row],[NOME]])</f>
        <v>#VALUE!</v>
      </c>
      <c r="N144" s="11" t="e" cm="1">
        <f t="array" ref="N144">_xlfn.XLOOKUP(M144,tabE.Flux[[#All],[COMP.AT. MOT A]],#REF!,"NÃO",0,1)</f>
        <v>#VALUE!</v>
      </c>
      <c r="O144" s="11" t="e" cm="1">
        <f t="array" ref="O144">_xlfn.XLOOKUP(M144,tabE.Flux[[#All],[COMP.AT. MOT B]],#REF!,"NÃO",0,1)</f>
        <v>#VALUE!</v>
      </c>
      <c r="P144" s="12" t="e">
        <f>IF(N144="NÃO",(IF(O144="NÃO",(_xlfn.CONCAT(Tabela7[[#This Row],[DATA]]-1,"+",Tabela7[[#This Row],[NOME]])),"NÃO")),"NÃO")</f>
        <v>#VALUE!</v>
      </c>
      <c r="Q144" s="11" t="e" cm="1">
        <f t="array" ref="Q144">IF(P144="NÃO","NÃO",_xlfn.XLOOKUP(P144,tabE.Flux[COMP.AT. MOT A],#REF!,"NÃO",0,1))</f>
        <v>#VALUE!</v>
      </c>
      <c r="R144" s="14" t="e" cm="1">
        <f t="array" ref="R144">IF(P144="NÃO","NÃO",_xlfn.XLOOKUP(P144,tabE.Flux[COMP.AT. MOT B],#REF!,"NÃO",0,1))</f>
        <v>#VALUE!</v>
      </c>
      <c r="S14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44" s="16" t="e" cm="1">
        <f t="array" ref="T14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44" s="41" t="e" cm="1">
        <f t="array" ref="U14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45" spans="12:21" x14ac:dyDescent="0.25">
      <c r="L145" s="36" t="e">
        <f>Tabela7[[#This Row],[ID]]</f>
        <v>#VALUE!</v>
      </c>
      <c r="M145" s="17" t="e">
        <f>_xlfn.CONCAT(Tabela7[[#This Row],[DATA]],"+",Tabela7[[#This Row],[NOME]])</f>
        <v>#VALUE!</v>
      </c>
      <c r="N145" s="11" t="e" cm="1">
        <f t="array" ref="N145">_xlfn.XLOOKUP(M145,tabE.Flux[[#All],[COMP.AT. MOT A]],#REF!,"NÃO",0,1)</f>
        <v>#VALUE!</v>
      </c>
      <c r="O145" s="11" t="e" cm="1">
        <f t="array" ref="O145">_xlfn.XLOOKUP(M145,tabE.Flux[[#All],[COMP.AT. MOT B]],#REF!,"NÃO",0,1)</f>
        <v>#VALUE!</v>
      </c>
      <c r="P145" s="12" t="e">
        <f>IF(N145="NÃO",(IF(O145="NÃO",(_xlfn.CONCAT(Tabela7[[#This Row],[DATA]]-1,"+",Tabela7[[#This Row],[NOME]])),"NÃO")),"NÃO")</f>
        <v>#VALUE!</v>
      </c>
      <c r="Q145" s="11" t="e" cm="1">
        <f t="array" ref="Q145">IF(P145="NÃO","NÃO",_xlfn.XLOOKUP(P145,tabE.Flux[COMP.AT. MOT A],#REF!,"NÃO",0,1))</f>
        <v>#VALUE!</v>
      </c>
      <c r="R145" s="14" t="e" cm="1">
        <f t="array" ref="R145">IF(P145="NÃO","NÃO",_xlfn.XLOOKUP(P145,tabE.Flux[COMP.AT. MOT B],#REF!,"NÃO",0,1))</f>
        <v>#VALUE!</v>
      </c>
      <c r="S14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45" s="16" t="e" cm="1">
        <f t="array" ref="T14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45" s="41" t="e" cm="1">
        <f t="array" ref="U14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46" spans="12:21" x14ac:dyDescent="0.25">
      <c r="L146" s="36" t="e">
        <f>Tabela7[[#This Row],[ID]]</f>
        <v>#VALUE!</v>
      </c>
      <c r="M146" s="17" t="e">
        <f>_xlfn.CONCAT(Tabela7[[#This Row],[DATA]],"+",Tabela7[[#This Row],[NOME]])</f>
        <v>#VALUE!</v>
      </c>
      <c r="N146" s="11" t="e" cm="1">
        <f t="array" ref="N146">_xlfn.XLOOKUP(M146,tabE.Flux[[#All],[COMP.AT. MOT A]],#REF!,"NÃO",0,1)</f>
        <v>#VALUE!</v>
      </c>
      <c r="O146" s="11" t="e" cm="1">
        <f t="array" ref="O146">_xlfn.XLOOKUP(M146,tabE.Flux[[#All],[COMP.AT. MOT B]],#REF!,"NÃO",0,1)</f>
        <v>#VALUE!</v>
      </c>
      <c r="P146" s="12" t="e">
        <f>IF(N146="NÃO",(IF(O146="NÃO",(_xlfn.CONCAT(Tabela7[[#This Row],[DATA]]-1,"+",Tabela7[[#This Row],[NOME]])),"NÃO")),"NÃO")</f>
        <v>#VALUE!</v>
      </c>
      <c r="Q146" s="11" t="e" cm="1">
        <f t="array" ref="Q146">IF(P146="NÃO","NÃO",_xlfn.XLOOKUP(P146,tabE.Flux[COMP.AT. MOT A],#REF!,"NÃO",0,1))</f>
        <v>#VALUE!</v>
      </c>
      <c r="R146" s="14" t="e" cm="1">
        <f t="array" ref="R146">IF(P146="NÃO","NÃO",_xlfn.XLOOKUP(P146,tabE.Flux[COMP.AT. MOT B],#REF!,"NÃO",0,1))</f>
        <v>#VALUE!</v>
      </c>
      <c r="S14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46" s="16" t="e" cm="1">
        <f t="array" ref="T14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46" s="41" t="e" cm="1">
        <f t="array" ref="U14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47" spans="12:21" x14ac:dyDescent="0.25">
      <c r="L147" s="36" t="e">
        <f>Tabela7[[#This Row],[ID]]</f>
        <v>#VALUE!</v>
      </c>
      <c r="M147" s="17" t="e">
        <f>_xlfn.CONCAT(Tabela7[[#This Row],[DATA]],"+",Tabela7[[#This Row],[NOME]])</f>
        <v>#VALUE!</v>
      </c>
      <c r="N147" s="11" t="e" cm="1">
        <f t="array" ref="N147">_xlfn.XLOOKUP(M147,tabE.Flux[[#All],[COMP.AT. MOT A]],#REF!,"NÃO",0,1)</f>
        <v>#VALUE!</v>
      </c>
      <c r="O147" s="11" t="e" cm="1">
        <f t="array" ref="O147">_xlfn.XLOOKUP(M147,tabE.Flux[[#All],[COMP.AT. MOT B]],#REF!,"NÃO",0,1)</f>
        <v>#VALUE!</v>
      </c>
      <c r="P147" s="12" t="e">
        <f>IF(N147="NÃO",(IF(O147="NÃO",(_xlfn.CONCAT(Tabela7[[#This Row],[DATA]]-1,"+",Tabela7[[#This Row],[NOME]])),"NÃO")),"NÃO")</f>
        <v>#VALUE!</v>
      </c>
      <c r="Q147" s="11" t="e" cm="1">
        <f t="array" ref="Q147">IF(P147="NÃO","NÃO",_xlfn.XLOOKUP(P147,tabE.Flux[COMP.AT. MOT A],#REF!,"NÃO",0,1))</f>
        <v>#VALUE!</v>
      </c>
      <c r="R147" s="14" t="e" cm="1">
        <f t="array" ref="R147">IF(P147="NÃO","NÃO",_xlfn.XLOOKUP(P147,tabE.Flux[COMP.AT. MOT B],#REF!,"NÃO",0,1))</f>
        <v>#VALUE!</v>
      </c>
      <c r="S14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47" s="16" t="e" cm="1">
        <f t="array" ref="T14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47" s="41" t="e" cm="1">
        <f t="array" ref="U14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48" spans="12:21" x14ac:dyDescent="0.25">
      <c r="L148" s="36" t="e">
        <f>Tabela7[[#This Row],[ID]]</f>
        <v>#VALUE!</v>
      </c>
      <c r="M148" s="17" t="e">
        <f>_xlfn.CONCAT(Tabela7[[#This Row],[DATA]],"+",Tabela7[[#This Row],[NOME]])</f>
        <v>#VALUE!</v>
      </c>
      <c r="N148" s="11" t="e" cm="1">
        <f t="array" ref="N148">_xlfn.XLOOKUP(M148,tabE.Flux[[#All],[COMP.AT. MOT A]],#REF!,"NÃO",0,1)</f>
        <v>#VALUE!</v>
      </c>
      <c r="O148" s="11" t="e" cm="1">
        <f t="array" ref="O148">_xlfn.XLOOKUP(M148,tabE.Flux[[#All],[COMP.AT. MOT B]],#REF!,"NÃO",0,1)</f>
        <v>#VALUE!</v>
      </c>
      <c r="P148" s="12" t="e">
        <f>IF(N148="NÃO",(IF(O148="NÃO",(_xlfn.CONCAT(Tabela7[[#This Row],[DATA]]-1,"+",Tabela7[[#This Row],[NOME]])),"NÃO")),"NÃO")</f>
        <v>#VALUE!</v>
      </c>
      <c r="Q148" s="11" t="e" cm="1">
        <f t="array" ref="Q148">IF(P148="NÃO","NÃO",_xlfn.XLOOKUP(P148,tabE.Flux[COMP.AT. MOT A],#REF!,"NÃO",0,1))</f>
        <v>#VALUE!</v>
      </c>
      <c r="R148" s="14" t="e" cm="1">
        <f t="array" ref="R148">IF(P148="NÃO","NÃO",_xlfn.XLOOKUP(P148,tabE.Flux[COMP.AT. MOT B],#REF!,"NÃO",0,1))</f>
        <v>#VALUE!</v>
      </c>
      <c r="S14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48" s="16" t="e" cm="1">
        <f t="array" ref="T14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48" s="41" t="e" cm="1">
        <f t="array" ref="U14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49" spans="12:21" x14ac:dyDescent="0.25">
      <c r="L149" s="36" t="e">
        <f>Tabela7[[#This Row],[ID]]</f>
        <v>#VALUE!</v>
      </c>
      <c r="M149" s="17" t="e">
        <f>_xlfn.CONCAT(Tabela7[[#This Row],[DATA]],"+",Tabela7[[#This Row],[NOME]])</f>
        <v>#VALUE!</v>
      </c>
      <c r="N149" s="11" t="e" cm="1">
        <f t="array" ref="N149">_xlfn.XLOOKUP(M149,tabE.Flux[[#All],[COMP.AT. MOT A]],#REF!,"NÃO",0,1)</f>
        <v>#VALUE!</v>
      </c>
      <c r="O149" s="11" t="e" cm="1">
        <f t="array" ref="O149">_xlfn.XLOOKUP(M149,tabE.Flux[[#All],[COMP.AT. MOT B]],#REF!,"NÃO",0,1)</f>
        <v>#VALUE!</v>
      </c>
      <c r="P149" s="12" t="e">
        <f>IF(N149="NÃO",(IF(O149="NÃO",(_xlfn.CONCAT(Tabela7[[#This Row],[DATA]]-1,"+",Tabela7[[#This Row],[NOME]])),"NÃO")),"NÃO")</f>
        <v>#VALUE!</v>
      </c>
      <c r="Q149" s="11" t="e" cm="1">
        <f t="array" ref="Q149">IF(P149="NÃO","NÃO",_xlfn.XLOOKUP(P149,tabE.Flux[COMP.AT. MOT A],#REF!,"NÃO",0,1))</f>
        <v>#VALUE!</v>
      </c>
      <c r="R149" s="14" t="e" cm="1">
        <f t="array" ref="R149">IF(P149="NÃO","NÃO",_xlfn.XLOOKUP(P149,tabE.Flux[COMP.AT. MOT B],#REF!,"NÃO",0,1))</f>
        <v>#VALUE!</v>
      </c>
      <c r="S14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49" s="16" t="e" cm="1">
        <f t="array" ref="T14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49" s="41" t="e" cm="1">
        <f t="array" ref="U14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50" spans="12:21" x14ac:dyDescent="0.25">
      <c r="L150" s="36" t="e">
        <f>Tabela7[[#This Row],[ID]]</f>
        <v>#VALUE!</v>
      </c>
      <c r="M150" s="17" t="e">
        <f>_xlfn.CONCAT(Tabela7[[#This Row],[DATA]],"+",Tabela7[[#This Row],[NOME]])</f>
        <v>#VALUE!</v>
      </c>
      <c r="N150" s="11" t="e" cm="1">
        <f t="array" ref="N150">_xlfn.XLOOKUP(M150,tabE.Flux[[#All],[COMP.AT. MOT A]],#REF!,"NÃO",0,1)</f>
        <v>#VALUE!</v>
      </c>
      <c r="O150" s="11" t="e" cm="1">
        <f t="array" ref="O150">_xlfn.XLOOKUP(M150,tabE.Flux[[#All],[COMP.AT. MOT B]],#REF!,"NÃO",0,1)</f>
        <v>#VALUE!</v>
      </c>
      <c r="P150" s="12" t="e">
        <f>IF(N150="NÃO",(IF(O150="NÃO",(_xlfn.CONCAT(Tabela7[[#This Row],[DATA]]-1,"+",Tabela7[[#This Row],[NOME]])),"NÃO")),"NÃO")</f>
        <v>#VALUE!</v>
      </c>
      <c r="Q150" s="11" t="e" cm="1">
        <f t="array" ref="Q150">IF(P150="NÃO","NÃO",_xlfn.XLOOKUP(P150,tabE.Flux[COMP.AT. MOT A],#REF!,"NÃO",0,1))</f>
        <v>#VALUE!</v>
      </c>
      <c r="R150" s="14" t="e" cm="1">
        <f t="array" ref="R150">IF(P150="NÃO","NÃO",_xlfn.XLOOKUP(P150,tabE.Flux[COMP.AT. MOT B],#REF!,"NÃO",0,1))</f>
        <v>#VALUE!</v>
      </c>
      <c r="S15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50" s="16" t="e" cm="1">
        <f t="array" ref="T15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50" s="41" t="e" cm="1">
        <f t="array" ref="U15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51" spans="12:21" x14ac:dyDescent="0.25">
      <c r="L151" s="36" t="e">
        <f>Tabela7[[#This Row],[ID]]</f>
        <v>#VALUE!</v>
      </c>
      <c r="M151" s="17" t="e">
        <f>_xlfn.CONCAT(Tabela7[[#This Row],[DATA]],"+",Tabela7[[#This Row],[NOME]])</f>
        <v>#VALUE!</v>
      </c>
      <c r="N151" s="11" t="e" cm="1">
        <f t="array" ref="N151">_xlfn.XLOOKUP(M151,tabE.Flux[[#All],[COMP.AT. MOT A]],#REF!,"NÃO",0,1)</f>
        <v>#VALUE!</v>
      </c>
      <c r="O151" s="11" t="e" cm="1">
        <f t="array" ref="O151">_xlfn.XLOOKUP(M151,tabE.Flux[[#All],[COMP.AT. MOT B]],#REF!,"NÃO",0,1)</f>
        <v>#VALUE!</v>
      </c>
      <c r="P151" s="12" t="e">
        <f>IF(N151="NÃO",(IF(O151="NÃO",(_xlfn.CONCAT(Tabela7[[#This Row],[DATA]]-1,"+",Tabela7[[#This Row],[NOME]])),"NÃO")),"NÃO")</f>
        <v>#VALUE!</v>
      </c>
      <c r="Q151" s="11" t="e" cm="1">
        <f t="array" ref="Q151">IF(P151="NÃO","NÃO",_xlfn.XLOOKUP(P151,tabE.Flux[COMP.AT. MOT A],#REF!,"NÃO",0,1))</f>
        <v>#VALUE!</v>
      </c>
      <c r="R151" s="14" t="e" cm="1">
        <f t="array" ref="R151">IF(P151="NÃO","NÃO",_xlfn.XLOOKUP(P151,tabE.Flux[COMP.AT. MOT B],#REF!,"NÃO",0,1))</f>
        <v>#VALUE!</v>
      </c>
      <c r="S15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51" s="16" t="e" cm="1">
        <f t="array" ref="T15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51" s="41" t="e" cm="1">
        <f t="array" ref="U15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52" spans="12:21" x14ac:dyDescent="0.25">
      <c r="L152" s="36" t="e">
        <f>Tabela7[[#This Row],[ID]]</f>
        <v>#VALUE!</v>
      </c>
      <c r="M152" s="17" t="e">
        <f>_xlfn.CONCAT(Tabela7[[#This Row],[DATA]],"+",Tabela7[[#This Row],[NOME]])</f>
        <v>#VALUE!</v>
      </c>
      <c r="N152" s="11" t="e" cm="1">
        <f t="array" ref="N152">_xlfn.XLOOKUP(M152,tabE.Flux[[#All],[COMP.AT. MOT A]],#REF!,"NÃO",0,1)</f>
        <v>#VALUE!</v>
      </c>
      <c r="O152" s="11" t="e" cm="1">
        <f t="array" ref="O152">_xlfn.XLOOKUP(M152,tabE.Flux[[#All],[COMP.AT. MOT B]],#REF!,"NÃO",0,1)</f>
        <v>#VALUE!</v>
      </c>
      <c r="P152" s="12" t="e">
        <f>IF(N152="NÃO",(IF(O152="NÃO",(_xlfn.CONCAT(Tabela7[[#This Row],[DATA]]-1,"+",Tabela7[[#This Row],[NOME]])),"NÃO")),"NÃO")</f>
        <v>#VALUE!</v>
      </c>
      <c r="Q152" s="11" t="e" cm="1">
        <f t="array" ref="Q152">IF(P152="NÃO","NÃO",_xlfn.XLOOKUP(P152,tabE.Flux[COMP.AT. MOT A],#REF!,"NÃO",0,1))</f>
        <v>#VALUE!</v>
      </c>
      <c r="R152" s="14" t="e" cm="1">
        <f t="array" ref="R152">IF(P152="NÃO","NÃO",_xlfn.XLOOKUP(P152,tabE.Flux[COMP.AT. MOT B],#REF!,"NÃO",0,1))</f>
        <v>#VALUE!</v>
      </c>
      <c r="S15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52" s="16" t="e" cm="1">
        <f t="array" ref="T15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52" s="41" t="e" cm="1">
        <f t="array" ref="U15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53" spans="12:21" x14ac:dyDescent="0.25">
      <c r="L153" s="36" t="e">
        <f>Tabela7[[#This Row],[ID]]</f>
        <v>#VALUE!</v>
      </c>
      <c r="M153" s="17" t="e">
        <f>_xlfn.CONCAT(Tabela7[[#This Row],[DATA]],"+",Tabela7[[#This Row],[NOME]])</f>
        <v>#VALUE!</v>
      </c>
      <c r="N153" s="11" t="e" cm="1">
        <f t="array" ref="N153">_xlfn.XLOOKUP(M153,tabE.Flux[[#All],[COMP.AT. MOT A]],#REF!,"NÃO",0,1)</f>
        <v>#VALUE!</v>
      </c>
      <c r="O153" s="11" t="e" cm="1">
        <f t="array" ref="O153">_xlfn.XLOOKUP(M153,tabE.Flux[[#All],[COMP.AT. MOT B]],#REF!,"NÃO",0,1)</f>
        <v>#VALUE!</v>
      </c>
      <c r="P153" s="12" t="e">
        <f>IF(N153="NÃO",(IF(O153="NÃO",(_xlfn.CONCAT(Tabela7[[#This Row],[DATA]]-1,"+",Tabela7[[#This Row],[NOME]])),"NÃO")),"NÃO")</f>
        <v>#VALUE!</v>
      </c>
      <c r="Q153" s="11" t="e" cm="1">
        <f t="array" ref="Q153">IF(P153="NÃO","NÃO",_xlfn.XLOOKUP(P153,tabE.Flux[COMP.AT. MOT A],#REF!,"NÃO",0,1))</f>
        <v>#VALUE!</v>
      </c>
      <c r="R153" s="14" t="e" cm="1">
        <f t="array" ref="R153">IF(P153="NÃO","NÃO",_xlfn.XLOOKUP(P153,tabE.Flux[COMP.AT. MOT B],#REF!,"NÃO",0,1))</f>
        <v>#VALUE!</v>
      </c>
      <c r="S15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53" s="16" t="e" cm="1">
        <f t="array" ref="T15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53" s="41" t="e" cm="1">
        <f t="array" ref="U15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54" spans="12:21" x14ac:dyDescent="0.25">
      <c r="L154" s="36" t="e">
        <f>Tabela7[[#This Row],[ID]]</f>
        <v>#VALUE!</v>
      </c>
      <c r="M154" s="17" t="e">
        <f>_xlfn.CONCAT(Tabela7[[#This Row],[DATA]],"+",Tabela7[[#This Row],[NOME]])</f>
        <v>#VALUE!</v>
      </c>
      <c r="N154" s="11" t="e" cm="1">
        <f t="array" ref="N154">_xlfn.XLOOKUP(M154,tabE.Flux[[#All],[COMP.AT. MOT A]],#REF!,"NÃO",0,1)</f>
        <v>#VALUE!</v>
      </c>
      <c r="O154" s="11" t="e" cm="1">
        <f t="array" ref="O154">_xlfn.XLOOKUP(M154,tabE.Flux[[#All],[COMP.AT. MOT B]],#REF!,"NÃO",0,1)</f>
        <v>#VALUE!</v>
      </c>
      <c r="P154" s="12" t="e">
        <f>IF(N154="NÃO",(IF(O154="NÃO",(_xlfn.CONCAT(Tabela7[[#This Row],[DATA]]-1,"+",Tabela7[[#This Row],[NOME]])),"NÃO")),"NÃO")</f>
        <v>#VALUE!</v>
      </c>
      <c r="Q154" s="11" t="e" cm="1">
        <f t="array" ref="Q154">IF(P154="NÃO","NÃO",_xlfn.XLOOKUP(P154,tabE.Flux[COMP.AT. MOT A],#REF!,"NÃO",0,1))</f>
        <v>#VALUE!</v>
      </c>
      <c r="R154" s="14" t="e" cm="1">
        <f t="array" ref="R154">IF(P154="NÃO","NÃO",_xlfn.XLOOKUP(P154,tabE.Flux[COMP.AT. MOT B],#REF!,"NÃO",0,1))</f>
        <v>#VALUE!</v>
      </c>
      <c r="S15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54" s="16" t="e" cm="1">
        <f t="array" ref="T15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54" s="41" t="e" cm="1">
        <f t="array" ref="U15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55" spans="12:21" x14ac:dyDescent="0.25">
      <c r="L155" s="36" t="e">
        <f>Tabela7[[#This Row],[ID]]</f>
        <v>#VALUE!</v>
      </c>
      <c r="M155" s="17" t="e">
        <f>_xlfn.CONCAT(Tabela7[[#This Row],[DATA]],"+",Tabela7[[#This Row],[NOME]])</f>
        <v>#VALUE!</v>
      </c>
      <c r="N155" s="11" t="e" cm="1">
        <f t="array" ref="N155">_xlfn.XLOOKUP(M155,tabE.Flux[[#All],[COMP.AT. MOT A]],#REF!,"NÃO",0,1)</f>
        <v>#VALUE!</v>
      </c>
      <c r="O155" s="11" t="e" cm="1">
        <f t="array" ref="O155">_xlfn.XLOOKUP(M155,tabE.Flux[[#All],[COMP.AT. MOT B]],#REF!,"NÃO",0,1)</f>
        <v>#VALUE!</v>
      </c>
      <c r="P155" s="12" t="e">
        <f>IF(N155="NÃO",(IF(O155="NÃO",(_xlfn.CONCAT(Tabela7[[#This Row],[DATA]]-1,"+",Tabela7[[#This Row],[NOME]])),"NÃO")),"NÃO")</f>
        <v>#VALUE!</v>
      </c>
      <c r="Q155" s="11" t="e" cm="1">
        <f t="array" ref="Q155">IF(P155="NÃO","NÃO",_xlfn.XLOOKUP(P155,tabE.Flux[COMP.AT. MOT A],#REF!,"NÃO",0,1))</f>
        <v>#VALUE!</v>
      </c>
      <c r="R155" s="14" t="e" cm="1">
        <f t="array" ref="R155">IF(P155="NÃO","NÃO",_xlfn.XLOOKUP(P155,tabE.Flux[COMP.AT. MOT B],#REF!,"NÃO",0,1))</f>
        <v>#VALUE!</v>
      </c>
      <c r="S15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55" s="16" t="e" cm="1">
        <f t="array" ref="T15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55" s="41" t="e" cm="1">
        <f t="array" ref="U15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56" spans="12:21" x14ac:dyDescent="0.25">
      <c r="L156" s="36" t="e">
        <f>Tabela7[[#This Row],[ID]]</f>
        <v>#VALUE!</v>
      </c>
      <c r="M156" s="17" t="e">
        <f>_xlfn.CONCAT(Tabela7[[#This Row],[DATA]],"+",Tabela7[[#This Row],[NOME]])</f>
        <v>#VALUE!</v>
      </c>
      <c r="N156" s="11" t="e" cm="1">
        <f t="array" ref="N156">_xlfn.XLOOKUP(M156,tabE.Flux[[#All],[COMP.AT. MOT A]],#REF!,"NÃO",0,1)</f>
        <v>#VALUE!</v>
      </c>
      <c r="O156" s="11" t="e" cm="1">
        <f t="array" ref="O156">_xlfn.XLOOKUP(M156,tabE.Flux[[#All],[COMP.AT. MOT B]],#REF!,"NÃO",0,1)</f>
        <v>#VALUE!</v>
      </c>
      <c r="P156" s="12" t="e">
        <f>IF(N156="NÃO",(IF(O156="NÃO",(_xlfn.CONCAT(Tabela7[[#This Row],[DATA]]-1,"+",Tabela7[[#This Row],[NOME]])),"NÃO")),"NÃO")</f>
        <v>#VALUE!</v>
      </c>
      <c r="Q156" s="11" t="e" cm="1">
        <f t="array" ref="Q156">IF(P156="NÃO","NÃO",_xlfn.XLOOKUP(P156,tabE.Flux[COMP.AT. MOT A],#REF!,"NÃO",0,1))</f>
        <v>#VALUE!</v>
      </c>
      <c r="R156" s="14" t="e" cm="1">
        <f t="array" ref="R156">IF(P156="NÃO","NÃO",_xlfn.XLOOKUP(P156,tabE.Flux[COMP.AT. MOT B],#REF!,"NÃO",0,1))</f>
        <v>#VALUE!</v>
      </c>
      <c r="S15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56" s="16" t="e" cm="1">
        <f t="array" ref="T15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56" s="41" t="e" cm="1">
        <f t="array" ref="U15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57" spans="12:21" x14ac:dyDescent="0.25">
      <c r="L157" s="36" t="e">
        <f>Tabela7[[#This Row],[ID]]</f>
        <v>#VALUE!</v>
      </c>
      <c r="M157" s="17" t="e">
        <f>_xlfn.CONCAT(Tabela7[[#This Row],[DATA]],"+",Tabela7[[#This Row],[NOME]])</f>
        <v>#VALUE!</v>
      </c>
      <c r="N157" s="11" t="e" cm="1">
        <f t="array" ref="N157">_xlfn.XLOOKUP(M157,tabE.Flux[[#All],[COMP.AT. MOT A]],#REF!,"NÃO",0,1)</f>
        <v>#VALUE!</v>
      </c>
      <c r="O157" s="11" t="e" cm="1">
        <f t="array" ref="O157">_xlfn.XLOOKUP(M157,tabE.Flux[[#All],[COMP.AT. MOT B]],#REF!,"NÃO",0,1)</f>
        <v>#VALUE!</v>
      </c>
      <c r="P157" s="12" t="e">
        <f>IF(N157="NÃO",(IF(O157="NÃO",(_xlfn.CONCAT(Tabela7[[#This Row],[DATA]]-1,"+",Tabela7[[#This Row],[NOME]])),"NÃO")),"NÃO")</f>
        <v>#VALUE!</v>
      </c>
      <c r="Q157" s="11" t="e" cm="1">
        <f t="array" ref="Q157">IF(P157="NÃO","NÃO",_xlfn.XLOOKUP(P157,tabE.Flux[COMP.AT. MOT A],#REF!,"NÃO",0,1))</f>
        <v>#VALUE!</v>
      </c>
      <c r="R157" s="14" t="e" cm="1">
        <f t="array" ref="R157">IF(P157="NÃO","NÃO",_xlfn.XLOOKUP(P157,tabE.Flux[COMP.AT. MOT B],#REF!,"NÃO",0,1))</f>
        <v>#VALUE!</v>
      </c>
      <c r="S15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57" s="16" t="e" cm="1">
        <f t="array" ref="T15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57" s="41" t="e" cm="1">
        <f t="array" ref="U15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58" spans="12:21" x14ac:dyDescent="0.25">
      <c r="L158" s="36" t="e">
        <f>Tabela7[[#This Row],[ID]]</f>
        <v>#VALUE!</v>
      </c>
      <c r="M158" s="17" t="e">
        <f>_xlfn.CONCAT(Tabela7[[#This Row],[DATA]],"+",Tabela7[[#This Row],[NOME]])</f>
        <v>#VALUE!</v>
      </c>
      <c r="N158" s="11" t="e" cm="1">
        <f t="array" ref="N158">_xlfn.XLOOKUP(M158,tabE.Flux[[#All],[COMP.AT. MOT A]],#REF!,"NÃO",0,1)</f>
        <v>#VALUE!</v>
      </c>
      <c r="O158" s="11" t="e" cm="1">
        <f t="array" ref="O158">_xlfn.XLOOKUP(M158,tabE.Flux[[#All],[COMP.AT. MOT B]],#REF!,"NÃO",0,1)</f>
        <v>#VALUE!</v>
      </c>
      <c r="P158" s="12" t="e">
        <f>IF(N158="NÃO",(IF(O158="NÃO",(_xlfn.CONCAT(Tabela7[[#This Row],[DATA]]-1,"+",Tabela7[[#This Row],[NOME]])),"NÃO")),"NÃO")</f>
        <v>#VALUE!</v>
      </c>
      <c r="Q158" s="11" t="e" cm="1">
        <f t="array" ref="Q158">IF(P158="NÃO","NÃO",_xlfn.XLOOKUP(P158,tabE.Flux[COMP.AT. MOT A],#REF!,"NÃO",0,1))</f>
        <v>#VALUE!</v>
      </c>
      <c r="R158" s="14" t="e" cm="1">
        <f t="array" ref="R158">IF(P158="NÃO","NÃO",_xlfn.XLOOKUP(P158,tabE.Flux[COMP.AT. MOT B],#REF!,"NÃO",0,1))</f>
        <v>#VALUE!</v>
      </c>
      <c r="S15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58" s="16" t="e" cm="1">
        <f t="array" ref="T15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58" s="41" t="e" cm="1">
        <f t="array" ref="U15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59" spans="12:21" x14ac:dyDescent="0.25">
      <c r="L159" s="36" t="e">
        <f>Tabela7[[#This Row],[ID]]</f>
        <v>#VALUE!</v>
      </c>
      <c r="M159" s="17" t="e">
        <f>_xlfn.CONCAT(Tabela7[[#This Row],[DATA]],"+",Tabela7[[#This Row],[NOME]])</f>
        <v>#VALUE!</v>
      </c>
      <c r="N159" s="11" t="e" cm="1">
        <f t="array" ref="N159">_xlfn.XLOOKUP(M159,tabE.Flux[[#All],[COMP.AT. MOT A]],#REF!,"NÃO",0,1)</f>
        <v>#VALUE!</v>
      </c>
      <c r="O159" s="11" t="e" cm="1">
        <f t="array" ref="O159">_xlfn.XLOOKUP(M159,tabE.Flux[[#All],[COMP.AT. MOT B]],#REF!,"NÃO",0,1)</f>
        <v>#VALUE!</v>
      </c>
      <c r="P159" s="12" t="e">
        <f>IF(N159="NÃO",(IF(O159="NÃO",(_xlfn.CONCAT(Tabela7[[#This Row],[DATA]]-1,"+",Tabela7[[#This Row],[NOME]])),"NÃO")),"NÃO")</f>
        <v>#VALUE!</v>
      </c>
      <c r="Q159" s="11" t="e" cm="1">
        <f t="array" ref="Q159">IF(P159="NÃO","NÃO",_xlfn.XLOOKUP(P159,tabE.Flux[COMP.AT. MOT A],#REF!,"NÃO",0,1))</f>
        <v>#VALUE!</v>
      </c>
      <c r="R159" s="14" t="e" cm="1">
        <f t="array" ref="R159">IF(P159="NÃO","NÃO",_xlfn.XLOOKUP(P159,tabE.Flux[COMP.AT. MOT B],#REF!,"NÃO",0,1))</f>
        <v>#VALUE!</v>
      </c>
      <c r="S15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59" s="16" t="e" cm="1">
        <f t="array" ref="T15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59" s="41" t="e" cm="1">
        <f t="array" ref="U15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60" spans="12:21" x14ac:dyDescent="0.25">
      <c r="L160" s="36" t="e">
        <f>Tabela7[[#This Row],[ID]]</f>
        <v>#VALUE!</v>
      </c>
      <c r="M160" s="17" t="e">
        <f>_xlfn.CONCAT(Tabela7[[#This Row],[DATA]],"+",Tabela7[[#This Row],[NOME]])</f>
        <v>#VALUE!</v>
      </c>
      <c r="N160" s="11" t="e" cm="1">
        <f t="array" ref="N160">_xlfn.XLOOKUP(M160,tabE.Flux[[#All],[COMP.AT. MOT A]],#REF!,"NÃO",0,1)</f>
        <v>#VALUE!</v>
      </c>
      <c r="O160" s="11" t="e" cm="1">
        <f t="array" ref="O160">_xlfn.XLOOKUP(M160,tabE.Flux[[#All],[COMP.AT. MOT B]],#REF!,"NÃO",0,1)</f>
        <v>#VALUE!</v>
      </c>
      <c r="P160" s="12" t="e">
        <f>IF(N160="NÃO",(IF(O160="NÃO",(_xlfn.CONCAT(Tabela7[[#This Row],[DATA]]-1,"+",Tabela7[[#This Row],[NOME]])),"NÃO")),"NÃO")</f>
        <v>#VALUE!</v>
      </c>
      <c r="Q160" s="11" t="e" cm="1">
        <f t="array" ref="Q160">IF(P160="NÃO","NÃO",_xlfn.XLOOKUP(P160,tabE.Flux[COMP.AT. MOT A],#REF!,"NÃO",0,1))</f>
        <v>#VALUE!</v>
      </c>
      <c r="R160" s="14" t="e" cm="1">
        <f t="array" ref="R160">IF(P160="NÃO","NÃO",_xlfn.XLOOKUP(P160,tabE.Flux[COMP.AT. MOT B],#REF!,"NÃO",0,1))</f>
        <v>#VALUE!</v>
      </c>
      <c r="S16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60" s="16" t="e" cm="1">
        <f t="array" ref="T16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60" s="41" t="e" cm="1">
        <f t="array" ref="U16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61" spans="12:21" x14ac:dyDescent="0.25">
      <c r="L161" s="36" t="e">
        <f>Tabela7[[#This Row],[ID]]</f>
        <v>#VALUE!</v>
      </c>
      <c r="M161" s="17" t="e">
        <f>_xlfn.CONCAT(Tabela7[[#This Row],[DATA]],"+",Tabela7[[#This Row],[NOME]])</f>
        <v>#VALUE!</v>
      </c>
      <c r="N161" s="11" t="e" cm="1">
        <f t="array" ref="N161">_xlfn.XLOOKUP(M161,tabE.Flux[[#All],[COMP.AT. MOT A]],#REF!,"NÃO",0,1)</f>
        <v>#VALUE!</v>
      </c>
      <c r="O161" s="11" t="e" cm="1">
        <f t="array" ref="O161">_xlfn.XLOOKUP(M161,tabE.Flux[[#All],[COMP.AT. MOT B]],#REF!,"NÃO",0,1)</f>
        <v>#VALUE!</v>
      </c>
      <c r="P161" s="12" t="e">
        <f>IF(N161="NÃO",(IF(O161="NÃO",(_xlfn.CONCAT(Tabela7[[#This Row],[DATA]]-1,"+",Tabela7[[#This Row],[NOME]])),"NÃO")),"NÃO")</f>
        <v>#VALUE!</v>
      </c>
      <c r="Q161" s="11" t="e" cm="1">
        <f t="array" ref="Q161">IF(P161="NÃO","NÃO",_xlfn.XLOOKUP(P161,tabE.Flux[COMP.AT. MOT A],#REF!,"NÃO",0,1))</f>
        <v>#VALUE!</v>
      </c>
      <c r="R161" s="14" t="e" cm="1">
        <f t="array" ref="R161">IF(P161="NÃO","NÃO",_xlfn.XLOOKUP(P161,tabE.Flux[COMP.AT. MOT B],#REF!,"NÃO",0,1))</f>
        <v>#VALUE!</v>
      </c>
      <c r="S16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61" s="16" t="e" cm="1">
        <f t="array" ref="T16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61" s="41" t="e" cm="1">
        <f t="array" ref="U16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62" spans="12:21" x14ac:dyDescent="0.25">
      <c r="L162" s="36" t="e">
        <f>Tabela7[[#This Row],[ID]]</f>
        <v>#VALUE!</v>
      </c>
      <c r="M162" s="17" t="e">
        <f>_xlfn.CONCAT(Tabela7[[#This Row],[DATA]],"+",Tabela7[[#This Row],[NOME]])</f>
        <v>#VALUE!</v>
      </c>
      <c r="N162" s="11" t="e" cm="1">
        <f t="array" ref="N162">_xlfn.XLOOKUP(M162,tabE.Flux[[#All],[COMP.AT. MOT A]],#REF!,"NÃO",0,1)</f>
        <v>#VALUE!</v>
      </c>
      <c r="O162" s="11" t="e" cm="1">
        <f t="array" ref="O162">_xlfn.XLOOKUP(M162,tabE.Flux[[#All],[COMP.AT. MOT B]],#REF!,"NÃO",0,1)</f>
        <v>#VALUE!</v>
      </c>
      <c r="P162" s="12" t="e">
        <f>IF(N162="NÃO",(IF(O162="NÃO",(_xlfn.CONCAT(Tabela7[[#This Row],[DATA]]-1,"+",Tabela7[[#This Row],[NOME]])),"NÃO")),"NÃO")</f>
        <v>#VALUE!</v>
      </c>
      <c r="Q162" s="11" t="e" cm="1">
        <f t="array" ref="Q162">IF(P162="NÃO","NÃO",_xlfn.XLOOKUP(P162,tabE.Flux[COMP.AT. MOT A],#REF!,"NÃO",0,1))</f>
        <v>#VALUE!</v>
      </c>
      <c r="R162" s="14" t="e" cm="1">
        <f t="array" ref="R162">IF(P162="NÃO","NÃO",_xlfn.XLOOKUP(P162,tabE.Flux[COMP.AT. MOT B],#REF!,"NÃO",0,1))</f>
        <v>#VALUE!</v>
      </c>
      <c r="S16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62" s="16" t="e" cm="1">
        <f t="array" ref="T16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62" s="41" t="e" cm="1">
        <f t="array" ref="U16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63" spans="12:21" x14ac:dyDescent="0.25">
      <c r="L163" s="36" t="e">
        <f>Tabela7[[#This Row],[ID]]</f>
        <v>#VALUE!</v>
      </c>
      <c r="M163" s="17" t="e">
        <f>_xlfn.CONCAT(Tabela7[[#This Row],[DATA]],"+",Tabela7[[#This Row],[NOME]])</f>
        <v>#VALUE!</v>
      </c>
      <c r="N163" s="11" t="e" cm="1">
        <f t="array" ref="N163">_xlfn.XLOOKUP(M163,tabE.Flux[[#All],[COMP.AT. MOT A]],#REF!,"NÃO",0,1)</f>
        <v>#VALUE!</v>
      </c>
      <c r="O163" s="11" t="e" cm="1">
        <f t="array" ref="O163">_xlfn.XLOOKUP(M163,tabE.Flux[[#All],[COMP.AT. MOT B]],#REF!,"NÃO",0,1)</f>
        <v>#VALUE!</v>
      </c>
      <c r="P163" s="12" t="e">
        <f>IF(N163="NÃO",(IF(O163="NÃO",(_xlfn.CONCAT(Tabela7[[#This Row],[DATA]]-1,"+",Tabela7[[#This Row],[NOME]])),"NÃO")),"NÃO")</f>
        <v>#VALUE!</v>
      </c>
      <c r="Q163" s="11" t="e" cm="1">
        <f t="array" ref="Q163">IF(P163="NÃO","NÃO",_xlfn.XLOOKUP(P163,tabE.Flux[COMP.AT. MOT A],#REF!,"NÃO",0,1))</f>
        <v>#VALUE!</v>
      </c>
      <c r="R163" s="14" t="e" cm="1">
        <f t="array" ref="R163">IF(P163="NÃO","NÃO",_xlfn.XLOOKUP(P163,tabE.Flux[COMP.AT. MOT B],#REF!,"NÃO",0,1))</f>
        <v>#VALUE!</v>
      </c>
      <c r="S16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63" s="16" t="e" cm="1">
        <f t="array" ref="T16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63" s="41" t="e" cm="1">
        <f t="array" ref="U16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64" spans="12:21" x14ac:dyDescent="0.25">
      <c r="L164" s="36" t="e">
        <f>Tabela7[[#This Row],[ID]]</f>
        <v>#VALUE!</v>
      </c>
      <c r="M164" s="17" t="e">
        <f>_xlfn.CONCAT(Tabela7[[#This Row],[DATA]],"+",Tabela7[[#This Row],[NOME]])</f>
        <v>#VALUE!</v>
      </c>
      <c r="N164" s="11" t="e" cm="1">
        <f t="array" ref="N164">_xlfn.XLOOKUP(M164,tabE.Flux[[#All],[COMP.AT. MOT A]],#REF!,"NÃO",0,1)</f>
        <v>#VALUE!</v>
      </c>
      <c r="O164" s="11" t="e" cm="1">
        <f t="array" ref="O164">_xlfn.XLOOKUP(M164,tabE.Flux[[#All],[COMP.AT. MOT B]],#REF!,"NÃO",0,1)</f>
        <v>#VALUE!</v>
      </c>
      <c r="P164" s="12" t="e">
        <f>IF(N164="NÃO",(IF(O164="NÃO",(_xlfn.CONCAT(Tabela7[[#This Row],[DATA]]-1,"+",Tabela7[[#This Row],[NOME]])),"NÃO")),"NÃO")</f>
        <v>#VALUE!</v>
      </c>
      <c r="Q164" s="11" t="e" cm="1">
        <f t="array" ref="Q164">IF(P164="NÃO","NÃO",_xlfn.XLOOKUP(P164,tabE.Flux[COMP.AT. MOT A],#REF!,"NÃO",0,1))</f>
        <v>#VALUE!</v>
      </c>
      <c r="R164" s="14" t="e" cm="1">
        <f t="array" ref="R164">IF(P164="NÃO","NÃO",_xlfn.XLOOKUP(P164,tabE.Flux[COMP.AT. MOT B],#REF!,"NÃO",0,1))</f>
        <v>#VALUE!</v>
      </c>
      <c r="S16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64" s="16" t="e" cm="1">
        <f t="array" ref="T16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64" s="41" t="e" cm="1">
        <f t="array" ref="U16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65" spans="12:21" x14ac:dyDescent="0.25">
      <c r="L165" s="36" t="e">
        <f>Tabela7[[#This Row],[ID]]</f>
        <v>#VALUE!</v>
      </c>
      <c r="M165" s="17" t="e">
        <f>_xlfn.CONCAT(Tabela7[[#This Row],[DATA]],"+",Tabela7[[#This Row],[NOME]])</f>
        <v>#VALUE!</v>
      </c>
      <c r="N165" s="11" t="e" cm="1">
        <f t="array" ref="N165">_xlfn.XLOOKUP(M165,tabE.Flux[[#All],[COMP.AT. MOT A]],#REF!,"NÃO",0,1)</f>
        <v>#VALUE!</v>
      </c>
      <c r="O165" s="11" t="e" cm="1">
        <f t="array" ref="O165">_xlfn.XLOOKUP(M165,tabE.Flux[[#All],[COMP.AT. MOT B]],#REF!,"NÃO",0,1)</f>
        <v>#VALUE!</v>
      </c>
      <c r="P165" s="12" t="e">
        <f>IF(N165="NÃO",(IF(O165="NÃO",(_xlfn.CONCAT(Tabela7[[#This Row],[DATA]]-1,"+",Tabela7[[#This Row],[NOME]])),"NÃO")),"NÃO")</f>
        <v>#VALUE!</v>
      </c>
      <c r="Q165" s="11" t="e" cm="1">
        <f t="array" ref="Q165">IF(P165="NÃO","NÃO",_xlfn.XLOOKUP(P165,tabE.Flux[COMP.AT. MOT A],#REF!,"NÃO",0,1))</f>
        <v>#VALUE!</v>
      </c>
      <c r="R165" s="14" t="e" cm="1">
        <f t="array" ref="R165">IF(P165="NÃO","NÃO",_xlfn.XLOOKUP(P165,tabE.Flux[COMP.AT. MOT B],#REF!,"NÃO",0,1))</f>
        <v>#VALUE!</v>
      </c>
      <c r="S16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65" s="16" t="e" cm="1">
        <f t="array" ref="T16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65" s="41" t="e" cm="1">
        <f t="array" ref="U16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66" spans="12:21" x14ac:dyDescent="0.25">
      <c r="L166" s="36" t="e">
        <f>Tabela7[[#This Row],[ID]]</f>
        <v>#VALUE!</v>
      </c>
      <c r="M166" s="17" t="e">
        <f>_xlfn.CONCAT(Tabela7[[#This Row],[DATA]],"+",Tabela7[[#This Row],[NOME]])</f>
        <v>#VALUE!</v>
      </c>
      <c r="N166" s="11" t="e" cm="1">
        <f t="array" ref="N166">_xlfn.XLOOKUP(M166,tabE.Flux[[#All],[COMP.AT. MOT A]],#REF!,"NÃO",0,1)</f>
        <v>#VALUE!</v>
      </c>
      <c r="O166" s="11" t="e" cm="1">
        <f t="array" ref="O166">_xlfn.XLOOKUP(M166,tabE.Flux[[#All],[COMP.AT. MOT B]],#REF!,"NÃO",0,1)</f>
        <v>#VALUE!</v>
      </c>
      <c r="P166" s="12" t="e">
        <f>IF(N166="NÃO",(IF(O166="NÃO",(_xlfn.CONCAT(Tabela7[[#This Row],[DATA]]-1,"+",Tabela7[[#This Row],[NOME]])),"NÃO")),"NÃO")</f>
        <v>#VALUE!</v>
      </c>
      <c r="Q166" s="11" t="e" cm="1">
        <f t="array" ref="Q166">IF(P166="NÃO","NÃO",_xlfn.XLOOKUP(P166,tabE.Flux[COMP.AT. MOT A],#REF!,"NÃO",0,1))</f>
        <v>#VALUE!</v>
      </c>
      <c r="R166" s="14" t="e" cm="1">
        <f t="array" ref="R166">IF(P166="NÃO","NÃO",_xlfn.XLOOKUP(P166,tabE.Flux[COMP.AT. MOT B],#REF!,"NÃO",0,1))</f>
        <v>#VALUE!</v>
      </c>
      <c r="S16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66" s="16" t="e" cm="1">
        <f t="array" ref="T16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66" s="41" t="e" cm="1">
        <f t="array" ref="U16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67" spans="12:21" x14ac:dyDescent="0.25">
      <c r="L167" s="36" t="e">
        <f>Tabela7[[#This Row],[ID]]</f>
        <v>#VALUE!</v>
      </c>
      <c r="M167" s="17" t="e">
        <f>_xlfn.CONCAT(Tabela7[[#This Row],[DATA]],"+",Tabela7[[#This Row],[NOME]])</f>
        <v>#VALUE!</v>
      </c>
      <c r="N167" s="11" t="e" cm="1">
        <f t="array" ref="N167">_xlfn.XLOOKUP(M167,tabE.Flux[[#All],[COMP.AT. MOT A]],#REF!,"NÃO",0,1)</f>
        <v>#VALUE!</v>
      </c>
      <c r="O167" s="11" t="e" cm="1">
        <f t="array" ref="O167">_xlfn.XLOOKUP(M167,tabE.Flux[[#All],[COMP.AT. MOT B]],#REF!,"NÃO",0,1)</f>
        <v>#VALUE!</v>
      </c>
      <c r="P167" s="12" t="e">
        <f>IF(N167="NÃO",(IF(O167="NÃO",(_xlfn.CONCAT(Tabela7[[#This Row],[DATA]]-1,"+",Tabela7[[#This Row],[NOME]])),"NÃO")),"NÃO")</f>
        <v>#VALUE!</v>
      </c>
      <c r="Q167" s="11" t="e" cm="1">
        <f t="array" ref="Q167">IF(P167="NÃO","NÃO",_xlfn.XLOOKUP(P167,tabE.Flux[COMP.AT. MOT A],#REF!,"NÃO",0,1))</f>
        <v>#VALUE!</v>
      </c>
      <c r="R167" s="14" t="e" cm="1">
        <f t="array" ref="R167">IF(P167="NÃO","NÃO",_xlfn.XLOOKUP(P167,tabE.Flux[COMP.AT. MOT B],#REF!,"NÃO",0,1))</f>
        <v>#VALUE!</v>
      </c>
      <c r="S16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67" s="16" t="e" cm="1">
        <f t="array" ref="T16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67" s="41" t="e" cm="1">
        <f t="array" ref="U16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68" spans="12:21" x14ac:dyDescent="0.25">
      <c r="L168" s="36" t="e">
        <f>Tabela7[[#This Row],[ID]]</f>
        <v>#VALUE!</v>
      </c>
      <c r="M168" s="17" t="e">
        <f>_xlfn.CONCAT(Tabela7[[#This Row],[DATA]],"+",Tabela7[[#This Row],[NOME]])</f>
        <v>#VALUE!</v>
      </c>
      <c r="N168" s="11" t="e" cm="1">
        <f t="array" ref="N168">_xlfn.XLOOKUP(M168,tabE.Flux[[#All],[COMP.AT. MOT A]],#REF!,"NÃO",0,1)</f>
        <v>#VALUE!</v>
      </c>
      <c r="O168" s="11" t="e" cm="1">
        <f t="array" ref="O168">_xlfn.XLOOKUP(M168,tabE.Flux[[#All],[COMP.AT. MOT B]],#REF!,"NÃO",0,1)</f>
        <v>#VALUE!</v>
      </c>
      <c r="P168" s="12" t="e">
        <f>IF(N168="NÃO",(IF(O168="NÃO",(_xlfn.CONCAT(Tabela7[[#This Row],[DATA]]-1,"+",Tabela7[[#This Row],[NOME]])),"NÃO")),"NÃO")</f>
        <v>#VALUE!</v>
      </c>
      <c r="Q168" s="11" t="e" cm="1">
        <f t="array" ref="Q168">IF(P168="NÃO","NÃO",_xlfn.XLOOKUP(P168,tabE.Flux[COMP.AT. MOT A],#REF!,"NÃO",0,1))</f>
        <v>#VALUE!</v>
      </c>
      <c r="R168" s="14" t="e" cm="1">
        <f t="array" ref="R168">IF(P168="NÃO","NÃO",_xlfn.XLOOKUP(P168,tabE.Flux[COMP.AT. MOT B],#REF!,"NÃO",0,1))</f>
        <v>#VALUE!</v>
      </c>
      <c r="S16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68" s="16" t="e" cm="1">
        <f t="array" ref="T16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68" s="41" t="e" cm="1">
        <f t="array" ref="U16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69" spans="12:21" x14ac:dyDescent="0.25">
      <c r="L169" s="36" t="e">
        <f>Tabela7[[#This Row],[ID]]</f>
        <v>#VALUE!</v>
      </c>
      <c r="M169" s="17" t="e">
        <f>_xlfn.CONCAT(Tabela7[[#This Row],[DATA]],"+",Tabela7[[#This Row],[NOME]])</f>
        <v>#VALUE!</v>
      </c>
      <c r="N169" s="11" t="e" cm="1">
        <f t="array" ref="N169">_xlfn.XLOOKUP(M169,tabE.Flux[[#All],[COMP.AT. MOT A]],#REF!,"NÃO",0,1)</f>
        <v>#VALUE!</v>
      </c>
      <c r="O169" s="11" t="e" cm="1">
        <f t="array" ref="O169">_xlfn.XLOOKUP(M169,tabE.Flux[[#All],[COMP.AT. MOT B]],#REF!,"NÃO",0,1)</f>
        <v>#VALUE!</v>
      </c>
      <c r="P169" s="12" t="e">
        <f>IF(N169="NÃO",(IF(O169="NÃO",(_xlfn.CONCAT(Tabela7[[#This Row],[DATA]]-1,"+",Tabela7[[#This Row],[NOME]])),"NÃO")),"NÃO")</f>
        <v>#VALUE!</v>
      </c>
      <c r="Q169" s="11" t="e" cm="1">
        <f t="array" ref="Q169">IF(P169="NÃO","NÃO",_xlfn.XLOOKUP(P169,tabE.Flux[COMP.AT. MOT A],#REF!,"NÃO",0,1))</f>
        <v>#VALUE!</v>
      </c>
      <c r="R169" s="14" t="e" cm="1">
        <f t="array" ref="R169">IF(P169="NÃO","NÃO",_xlfn.XLOOKUP(P169,tabE.Flux[COMP.AT. MOT B],#REF!,"NÃO",0,1))</f>
        <v>#VALUE!</v>
      </c>
      <c r="S16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69" s="16" t="e" cm="1">
        <f t="array" ref="T16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69" s="41" t="e" cm="1">
        <f t="array" ref="U16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70" spans="12:21" x14ac:dyDescent="0.25">
      <c r="L170" s="36" t="e">
        <f>Tabela7[[#This Row],[ID]]</f>
        <v>#VALUE!</v>
      </c>
      <c r="M170" s="17" t="e">
        <f>_xlfn.CONCAT(Tabela7[[#This Row],[DATA]],"+",Tabela7[[#This Row],[NOME]])</f>
        <v>#VALUE!</v>
      </c>
      <c r="N170" s="11" t="e" cm="1">
        <f t="array" ref="N170">_xlfn.XLOOKUP(M170,tabE.Flux[[#All],[COMP.AT. MOT A]],#REF!,"NÃO",0,1)</f>
        <v>#VALUE!</v>
      </c>
      <c r="O170" s="11" t="e" cm="1">
        <f t="array" ref="O170">_xlfn.XLOOKUP(M170,tabE.Flux[[#All],[COMP.AT. MOT B]],#REF!,"NÃO",0,1)</f>
        <v>#VALUE!</v>
      </c>
      <c r="P170" s="12" t="e">
        <f>IF(N170="NÃO",(IF(O170="NÃO",(_xlfn.CONCAT(Tabela7[[#This Row],[DATA]]-1,"+",Tabela7[[#This Row],[NOME]])),"NÃO")),"NÃO")</f>
        <v>#VALUE!</v>
      </c>
      <c r="Q170" s="11" t="e" cm="1">
        <f t="array" ref="Q170">IF(P170="NÃO","NÃO",_xlfn.XLOOKUP(P170,tabE.Flux[COMP.AT. MOT A],#REF!,"NÃO",0,1))</f>
        <v>#VALUE!</v>
      </c>
      <c r="R170" s="14" t="e" cm="1">
        <f t="array" ref="R170">IF(P170="NÃO","NÃO",_xlfn.XLOOKUP(P170,tabE.Flux[COMP.AT. MOT B],#REF!,"NÃO",0,1))</f>
        <v>#VALUE!</v>
      </c>
      <c r="S17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70" s="16" t="e" cm="1">
        <f t="array" ref="T17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70" s="41" t="e" cm="1">
        <f t="array" ref="U17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71" spans="12:21" x14ac:dyDescent="0.25">
      <c r="L171" s="36" t="e">
        <f>Tabela7[[#This Row],[ID]]</f>
        <v>#VALUE!</v>
      </c>
      <c r="M171" s="17" t="e">
        <f>_xlfn.CONCAT(Tabela7[[#This Row],[DATA]],"+",Tabela7[[#This Row],[NOME]])</f>
        <v>#VALUE!</v>
      </c>
      <c r="N171" s="11" t="e" cm="1">
        <f t="array" ref="N171">_xlfn.XLOOKUP(M171,tabE.Flux[[#All],[COMP.AT. MOT A]],#REF!,"NÃO",0,1)</f>
        <v>#VALUE!</v>
      </c>
      <c r="O171" s="11" t="e" cm="1">
        <f t="array" ref="O171">_xlfn.XLOOKUP(M171,tabE.Flux[[#All],[COMP.AT. MOT B]],#REF!,"NÃO",0,1)</f>
        <v>#VALUE!</v>
      </c>
      <c r="P171" s="12" t="e">
        <f>IF(N171="NÃO",(IF(O171="NÃO",(_xlfn.CONCAT(Tabela7[[#This Row],[DATA]]-1,"+",Tabela7[[#This Row],[NOME]])),"NÃO")),"NÃO")</f>
        <v>#VALUE!</v>
      </c>
      <c r="Q171" s="11" t="e" cm="1">
        <f t="array" ref="Q171">IF(P171="NÃO","NÃO",_xlfn.XLOOKUP(P171,tabE.Flux[COMP.AT. MOT A],#REF!,"NÃO",0,1))</f>
        <v>#VALUE!</v>
      </c>
      <c r="R171" s="14" t="e" cm="1">
        <f t="array" ref="R171">IF(P171="NÃO","NÃO",_xlfn.XLOOKUP(P171,tabE.Flux[COMP.AT. MOT B],#REF!,"NÃO",0,1))</f>
        <v>#VALUE!</v>
      </c>
      <c r="S17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71" s="16" t="e" cm="1">
        <f t="array" ref="T17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71" s="41" t="e" cm="1">
        <f t="array" ref="U17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72" spans="12:21" x14ac:dyDescent="0.25">
      <c r="L172" s="36" t="e">
        <f>Tabela7[[#This Row],[ID]]</f>
        <v>#VALUE!</v>
      </c>
      <c r="M172" s="17" t="e">
        <f>_xlfn.CONCAT(Tabela7[[#This Row],[DATA]],"+",Tabela7[[#This Row],[NOME]])</f>
        <v>#VALUE!</v>
      </c>
      <c r="N172" s="11" t="e" cm="1">
        <f t="array" ref="N172">_xlfn.XLOOKUP(M172,tabE.Flux[[#All],[COMP.AT. MOT A]],#REF!,"NÃO",0,1)</f>
        <v>#VALUE!</v>
      </c>
      <c r="O172" s="11" t="e" cm="1">
        <f t="array" ref="O172">_xlfn.XLOOKUP(M172,tabE.Flux[[#All],[COMP.AT. MOT B]],#REF!,"NÃO",0,1)</f>
        <v>#VALUE!</v>
      </c>
      <c r="P172" s="12" t="e">
        <f>IF(N172="NÃO",(IF(O172="NÃO",(_xlfn.CONCAT(Tabela7[[#This Row],[DATA]]-1,"+",Tabela7[[#This Row],[NOME]])),"NÃO")),"NÃO")</f>
        <v>#VALUE!</v>
      </c>
      <c r="Q172" s="11" t="e" cm="1">
        <f t="array" ref="Q172">IF(P172="NÃO","NÃO",_xlfn.XLOOKUP(P172,tabE.Flux[COMP.AT. MOT A],#REF!,"NÃO",0,1))</f>
        <v>#VALUE!</v>
      </c>
      <c r="R172" s="14" t="e" cm="1">
        <f t="array" ref="R172">IF(P172="NÃO","NÃO",_xlfn.XLOOKUP(P172,tabE.Flux[COMP.AT. MOT B],#REF!,"NÃO",0,1))</f>
        <v>#VALUE!</v>
      </c>
      <c r="S17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72" s="16" t="e" cm="1">
        <f t="array" ref="T17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72" s="41" t="e" cm="1">
        <f t="array" ref="U17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73" spans="12:21" x14ac:dyDescent="0.25">
      <c r="L173" s="36" t="e">
        <f>Tabela7[[#This Row],[ID]]</f>
        <v>#VALUE!</v>
      </c>
      <c r="M173" s="17" t="e">
        <f>_xlfn.CONCAT(Tabela7[[#This Row],[DATA]],"+",Tabela7[[#This Row],[NOME]])</f>
        <v>#VALUE!</v>
      </c>
      <c r="N173" s="11" t="e" cm="1">
        <f t="array" ref="N173">_xlfn.XLOOKUP(M173,tabE.Flux[[#All],[COMP.AT. MOT A]],#REF!,"NÃO",0,1)</f>
        <v>#VALUE!</v>
      </c>
      <c r="O173" s="11" t="e" cm="1">
        <f t="array" ref="O173">_xlfn.XLOOKUP(M173,tabE.Flux[[#All],[COMP.AT. MOT B]],#REF!,"NÃO",0,1)</f>
        <v>#VALUE!</v>
      </c>
      <c r="P173" s="12" t="e">
        <f>IF(N173="NÃO",(IF(O173="NÃO",(_xlfn.CONCAT(Tabela7[[#This Row],[DATA]]-1,"+",Tabela7[[#This Row],[NOME]])),"NÃO")),"NÃO")</f>
        <v>#VALUE!</v>
      </c>
      <c r="Q173" s="11" t="e" cm="1">
        <f t="array" ref="Q173">IF(P173="NÃO","NÃO",_xlfn.XLOOKUP(P173,tabE.Flux[COMP.AT. MOT A],#REF!,"NÃO",0,1))</f>
        <v>#VALUE!</v>
      </c>
      <c r="R173" s="14" t="e" cm="1">
        <f t="array" ref="R173">IF(P173="NÃO","NÃO",_xlfn.XLOOKUP(P173,tabE.Flux[COMP.AT. MOT B],#REF!,"NÃO",0,1))</f>
        <v>#VALUE!</v>
      </c>
      <c r="S17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73" s="16" t="e" cm="1">
        <f t="array" ref="T17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73" s="41" t="e" cm="1">
        <f t="array" ref="U17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74" spans="12:21" x14ac:dyDescent="0.25">
      <c r="L174" s="36" t="e">
        <f>Tabela7[[#This Row],[ID]]</f>
        <v>#VALUE!</v>
      </c>
      <c r="M174" s="17" t="e">
        <f>_xlfn.CONCAT(Tabela7[[#This Row],[DATA]],"+",Tabela7[[#This Row],[NOME]])</f>
        <v>#VALUE!</v>
      </c>
      <c r="N174" s="11" t="e" cm="1">
        <f t="array" ref="N174">_xlfn.XLOOKUP(M174,tabE.Flux[[#All],[COMP.AT. MOT A]],#REF!,"NÃO",0,1)</f>
        <v>#VALUE!</v>
      </c>
      <c r="O174" s="11" t="e" cm="1">
        <f t="array" ref="O174">_xlfn.XLOOKUP(M174,tabE.Flux[[#All],[COMP.AT. MOT B]],#REF!,"NÃO",0,1)</f>
        <v>#VALUE!</v>
      </c>
      <c r="P174" s="12" t="e">
        <f>IF(N174="NÃO",(IF(O174="NÃO",(_xlfn.CONCAT(Tabela7[[#This Row],[DATA]]-1,"+",Tabela7[[#This Row],[NOME]])),"NÃO")),"NÃO")</f>
        <v>#VALUE!</v>
      </c>
      <c r="Q174" s="11" t="e" cm="1">
        <f t="array" ref="Q174">IF(P174="NÃO","NÃO",_xlfn.XLOOKUP(P174,tabE.Flux[COMP.AT. MOT A],#REF!,"NÃO",0,1))</f>
        <v>#VALUE!</v>
      </c>
      <c r="R174" s="14" t="e" cm="1">
        <f t="array" ref="R174">IF(P174="NÃO","NÃO",_xlfn.XLOOKUP(P174,tabE.Flux[COMP.AT. MOT B],#REF!,"NÃO",0,1))</f>
        <v>#VALUE!</v>
      </c>
      <c r="S17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74" s="16" t="e" cm="1">
        <f t="array" ref="T17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74" s="41" t="e" cm="1">
        <f t="array" ref="U17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75" spans="12:21" x14ac:dyDescent="0.25">
      <c r="L175" s="36" t="e">
        <f>Tabela7[[#This Row],[ID]]</f>
        <v>#VALUE!</v>
      </c>
      <c r="M175" s="17" t="e">
        <f>_xlfn.CONCAT(Tabela7[[#This Row],[DATA]],"+",Tabela7[[#This Row],[NOME]])</f>
        <v>#VALUE!</v>
      </c>
      <c r="N175" s="11" t="e" cm="1">
        <f t="array" ref="N175">_xlfn.XLOOKUP(M175,tabE.Flux[[#All],[COMP.AT. MOT A]],#REF!,"NÃO",0,1)</f>
        <v>#VALUE!</v>
      </c>
      <c r="O175" s="11" t="e" cm="1">
        <f t="array" ref="O175">_xlfn.XLOOKUP(M175,tabE.Flux[[#All],[COMP.AT. MOT B]],#REF!,"NÃO",0,1)</f>
        <v>#VALUE!</v>
      </c>
      <c r="P175" s="12" t="e">
        <f>IF(N175="NÃO",(IF(O175="NÃO",(_xlfn.CONCAT(Tabela7[[#This Row],[DATA]]-1,"+",Tabela7[[#This Row],[NOME]])),"NÃO")),"NÃO")</f>
        <v>#VALUE!</v>
      </c>
      <c r="Q175" s="11" t="e" cm="1">
        <f t="array" ref="Q175">IF(P175="NÃO","NÃO",_xlfn.XLOOKUP(P175,tabE.Flux[COMP.AT. MOT A],#REF!,"NÃO",0,1))</f>
        <v>#VALUE!</v>
      </c>
      <c r="R175" s="14" t="e" cm="1">
        <f t="array" ref="R175">IF(P175="NÃO","NÃO",_xlfn.XLOOKUP(P175,tabE.Flux[COMP.AT. MOT B],#REF!,"NÃO",0,1))</f>
        <v>#VALUE!</v>
      </c>
      <c r="S17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75" s="16" t="e" cm="1">
        <f t="array" ref="T17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75" s="41" t="e" cm="1">
        <f t="array" ref="U17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76" spans="12:21" x14ac:dyDescent="0.25">
      <c r="L176" s="36" t="e">
        <f>Tabela7[[#This Row],[ID]]</f>
        <v>#VALUE!</v>
      </c>
      <c r="M176" s="17" t="e">
        <f>_xlfn.CONCAT(Tabela7[[#This Row],[DATA]],"+",Tabela7[[#This Row],[NOME]])</f>
        <v>#VALUE!</v>
      </c>
      <c r="N176" s="11" t="e" cm="1">
        <f t="array" ref="N176">_xlfn.XLOOKUP(M176,tabE.Flux[[#All],[COMP.AT. MOT A]],#REF!,"NÃO",0,1)</f>
        <v>#VALUE!</v>
      </c>
      <c r="O176" s="11" t="e" cm="1">
        <f t="array" ref="O176">_xlfn.XLOOKUP(M176,tabE.Flux[[#All],[COMP.AT. MOT B]],#REF!,"NÃO",0,1)</f>
        <v>#VALUE!</v>
      </c>
      <c r="P176" s="12" t="e">
        <f>IF(N176="NÃO",(IF(O176="NÃO",(_xlfn.CONCAT(Tabela7[[#This Row],[DATA]]-1,"+",Tabela7[[#This Row],[NOME]])),"NÃO")),"NÃO")</f>
        <v>#VALUE!</v>
      </c>
      <c r="Q176" s="11" t="e" cm="1">
        <f t="array" ref="Q176">IF(P176="NÃO","NÃO",_xlfn.XLOOKUP(P176,tabE.Flux[COMP.AT. MOT A],#REF!,"NÃO",0,1))</f>
        <v>#VALUE!</v>
      </c>
      <c r="R176" s="14" t="e" cm="1">
        <f t="array" ref="R176">IF(P176="NÃO","NÃO",_xlfn.XLOOKUP(P176,tabE.Flux[COMP.AT. MOT B],#REF!,"NÃO",0,1))</f>
        <v>#VALUE!</v>
      </c>
      <c r="S17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76" s="16" t="e" cm="1">
        <f t="array" ref="T17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76" s="41" t="e" cm="1">
        <f t="array" ref="U17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77" spans="12:21" x14ac:dyDescent="0.25">
      <c r="L177" s="36" t="e">
        <f>Tabela7[[#This Row],[ID]]</f>
        <v>#VALUE!</v>
      </c>
      <c r="M177" s="17" t="e">
        <f>_xlfn.CONCAT(Tabela7[[#This Row],[DATA]],"+",Tabela7[[#This Row],[NOME]])</f>
        <v>#VALUE!</v>
      </c>
      <c r="N177" s="11" t="e" cm="1">
        <f t="array" ref="N177">_xlfn.XLOOKUP(M177,tabE.Flux[[#All],[COMP.AT. MOT A]],#REF!,"NÃO",0,1)</f>
        <v>#VALUE!</v>
      </c>
      <c r="O177" s="11" t="e" cm="1">
        <f t="array" ref="O177">_xlfn.XLOOKUP(M177,tabE.Flux[[#All],[COMP.AT. MOT B]],#REF!,"NÃO",0,1)</f>
        <v>#VALUE!</v>
      </c>
      <c r="P177" s="12" t="e">
        <f>IF(N177="NÃO",(IF(O177="NÃO",(_xlfn.CONCAT(Tabela7[[#This Row],[DATA]]-1,"+",Tabela7[[#This Row],[NOME]])),"NÃO")),"NÃO")</f>
        <v>#VALUE!</v>
      </c>
      <c r="Q177" s="11" t="e" cm="1">
        <f t="array" ref="Q177">IF(P177="NÃO","NÃO",_xlfn.XLOOKUP(P177,tabE.Flux[COMP.AT. MOT A],#REF!,"NÃO",0,1))</f>
        <v>#VALUE!</v>
      </c>
      <c r="R177" s="14" t="e" cm="1">
        <f t="array" ref="R177">IF(P177="NÃO","NÃO",_xlfn.XLOOKUP(P177,tabE.Flux[COMP.AT. MOT B],#REF!,"NÃO",0,1))</f>
        <v>#VALUE!</v>
      </c>
      <c r="S17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77" s="16" t="e" cm="1">
        <f t="array" ref="T17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77" s="41" t="e" cm="1">
        <f t="array" ref="U17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78" spans="12:21" x14ac:dyDescent="0.25">
      <c r="L178" s="36" t="e">
        <f>Tabela7[[#This Row],[ID]]</f>
        <v>#VALUE!</v>
      </c>
      <c r="M178" s="17" t="e">
        <f>_xlfn.CONCAT(Tabela7[[#This Row],[DATA]],"+",Tabela7[[#This Row],[NOME]])</f>
        <v>#VALUE!</v>
      </c>
      <c r="N178" s="11" t="e" cm="1">
        <f t="array" ref="N178">_xlfn.XLOOKUP(M178,tabE.Flux[[#All],[COMP.AT. MOT A]],#REF!,"NÃO",0,1)</f>
        <v>#VALUE!</v>
      </c>
      <c r="O178" s="11" t="e" cm="1">
        <f t="array" ref="O178">_xlfn.XLOOKUP(M178,tabE.Flux[[#All],[COMP.AT. MOT B]],#REF!,"NÃO",0,1)</f>
        <v>#VALUE!</v>
      </c>
      <c r="P178" s="12" t="e">
        <f>IF(N178="NÃO",(IF(O178="NÃO",(_xlfn.CONCAT(Tabela7[[#This Row],[DATA]]-1,"+",Tabela7[[#This Row],[NOME]])),"NÃO")),"NÃO")</f>
        <v>#VALUE!</v>
      </c>
      <c r="Q178" s="11" t="e" cm="1">
        <f t="array" ref="Q178">IF(P178="NÃO","NÃO",_xlfn.XLOOKUP(P178,tabE.Flux[COMP.AT. MOT A],#REF!,"NÃO",0,1))</f>
        <v>#VALUE!</v>
      </c>
      <c r="R178" s="14" t="e" cm="1">
        <f t="array" ref="R178">IF(P178="NÃO","NÃO",_xlfn.XLOOKUP(P178,tabE.Flux[COMP.AT. MOT B],#REF!,"NÃO",0,1))</f>
        <v>#VALUE!</v>
      </c>
      <c r="S17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78" s="16" t="e" cm="1">
        <f t="array" ref="T17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78" s="41" t="e" cm="1">
        <f t="array" ref="U17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79" spans="12:21" x14ac:dyDescent="0.25">
      <c r="L179" s="36" t="e">
        <f>Tabela7[[#This Row],[ID]]</f>
        <v>#VALUE!</v>
      </c>
      <c r="M179" s="17" t="e">
        <f>_xlfn.CONCAT(Tabela7[[#This Row],[DATA]],"+",Tabela7[[#This Row],[NOME]])</f>
        <v>#VALUE!</v>
      </c>
      <c r="N179" s="11" t="e" cm="1">
        <f t="array" ref="N179">_xlfn.XLOOKUP(M179,tabE.Flux[[#All],[COMP.AT. MOT A]],#REF!,"NÃO",0,1)</f>
        <v>#VALUE!</v>
      </c>
      <c r="O179" s="11" t="e" cm="1">
        <f t="array" ref="O179">_xlfn.XLOOKUP(M179,tabE.Flux[[#All],[COMP.AT. MOT B]],#REF!,"NÃO",0,1)</f>
        <v>#VALUE!</v>
      </c>
      <c r="P179" s="12" t="e">
        <f>IF(N179="NÃO",(IF(O179="NÃO",(_xlfn.CONCAT(Tabela7[[#This Row],[DATA]]-1,"+",Tabela7[[#This Row],[NOME]])),"NÃO")),"NÃO")</f>
        <v>#VALUE!</v>
      </c>
      <c r="Q179" s="11" t="e" cm="1">
        <f t="array" ref="Q179">IF(P179="NÃO","NÃO",_xlfn.XLOOKUP(P179,tabE.Flux[COMP.AT. MOT A],#REF!,"NÃO",0,1))</f>
        <v>#VALUE!</v>
      </c>
      <c r="R179" s="14" t="e" cm="1">
        <f t="array" ref="R179">IF(P179="NÃO","NÃO",_xlfn.XLOOKUP(P179,tabE.Flux[COMP.AT. MOT B],#REF!,"NÃO",0,1))</f>
        <v>#VALUE!</v>
      </c>
      <c r="S17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79" s="16" t="e" cm="1">
        <f t="array" ref="T17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79" s="41" t="e" cm="1">
        <f t="array" ref="U17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80" spans="12:21" x14ac:dyDescent="0.25">
      <c r="L180" s="36" t="e">
        <f>Tabela7[[#This Row],[ID]]</f>
        <v>#VALUE!</v>
      </c>
      <c r="M180" s="17" t="e">
        <f>_xlfn.CONCAT(Tabela7[[#This Row],[DATA]],"+",Tabela7[[#This Row],[NOME]])</f>
        <v>#VALUE!</v>
      </c>
      <c r="N180" s="11" t="e" cm="1">
        <f t="array" ref="N180">_xlfn.XLOOKUP(M180,tabE.Flux[[#All],[COMP.AT. MOT A]],#REF!,"NÃO",0,1)</f>
        <v>#VALUE!</v>
      </c>
      <c r="O180" s="11" t="e" cm="1">
        <f t="array" ref="O180">_xlfn.XLOOKUP(M180,tabE.Flux[[#All],[COMP.AT. MOT B]],#REF!,"NÃO",0,1)</f>
        <v>#VALUE!</v>
      </c>
      <c r="P180" s="12" t="e">
        <f>IF(N180="NÃO",(IF(O180="NÃO",(_xlfn.CONCAT(Tabela7[[#This Row],[DATA]]-1,"+",Tabela7[[#This Row],[NOME]])),"NÃO")),"NÃO")</f>
        <v>#VALUE!</v>
      </c>
      <c r="Q180" s="11" t="e" cm="1">
        <f t="array" ref="Q180">IF(P180="NÃO","NÃO",_xlfn.XLOOKUP(P180,tabE.Flux[COMP.AT. MOT A],#REF!,"NÃO",0,1))</f>
        <v>#VALUE!</v>
      </c>
      <c r="R180" s="14" t="e" cm="1">
        <f t="array" ref="R180">IF(P180="NÃO","NÃO",_xlfn.XLOOKUP(P180,tabE.Flux[COMP.AT. MOT B],#REF!,"NÃO",0,1))</f>
        <v>#VALUE!</v>
      </c>
      <c r="S18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80" s="16" t="e" cm="1">
        <f t="array" ref="T18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80" s="41" t="e" cm="1">
        <f t="array" ref="U18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81" spans="12:21" x14ac:dyDescent="0.25">
      <c r="L181" s="36" t="e">
        <f>Tabela7[[#This Row],[ID]]</f>
        <v>#VALUE!</v>
      </c>
      <c r="M181" s="17" t="e">
        <f>_xlfn.CONCAT(Tabela7[[#This Row],[DATA]],"+",Tabela7[[#This Row],[NOME]])</f>
        <v>#VALUE!</v>
      </c>
      <c r="N181" s="11" t="e" cm="1">
        <f t="array" ref="N181">_xlfn.XLOOKUP(M181,tabE.Flux[[#All],[COMP.AT. MOT A]],#REF!,"NÃO",0,1)</f>
        <v>#VALUE!</v>
      </c>
      <c r="O181" s="11" t="e" cm="1">
        <f t="array" ref="O181">_xlfn.XLOOKUP(M181,tabE.Flux[[#All],[COMP.AT. MOT B]],#REF!,"NÃO",0,1)</f>
        <v>#VALUE!</v>
      </c>
      <c r="P181" s="12" t="e">
        <f>IF(N181="NÃO",(IF(O181="NÃO",(_xlfn.CONCAT(Tabela7[[#This Row],[DATA]]-1,"+",Tabela7[[#This Row],[NOME]])),"NÃO")),"NÃO")</f>
        <v>#VALUE!</v>
      </c>
      <c r="Q181" s="11" t="e" cm="1">
        <f t="array" ref="Q181">IF(P181="NÃO","NÃO",_xlfn.XLOOKUP(P181,tabE.Flux[COMP.AT. MOT A],#REF!,"NÃO",0,1))</f>
        <v>#VALUE!</v>
      </c>
      <c r="R181" s="14" t="e" cm="1">
        <f t="array" ref="R181">IF(P181="NÃO","NÃO",_xlfn.XLOOKUP(P181,tabE.Flux[COMP.AT. MOT B],#REF!,"NÃO",0,1))</f>
        <v>#VALUE!</v>
      </c>
      <c r="S18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81" s="16" t="e" cm="1">
        <f t="array" ref="T18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81" s="41" t="e" cm="1">
        <f t="array" ref="U18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82" spans="12:21" x14ac:dyDescent="0.25">
      <c r="L182" s="36" t="e">
        <f>Tabela7[[#This Row],[ID]]</f>
        <v>#VALUE!</v>
      </c>
      <c r="M182" s="17" t="e">
        <f>_xlfn.CONCAT(Tabela7[[#This Row],[DATA]],"+",Tabela7[[#This Row],[NOME]])</f>
        <v>#VALUE!</v>
      </c>
      <c r="N182" s="11" t="e" cm="1">
        <f t="array" ref="N182">_xlfn.XLOOKUP(M182,tabE.Flux[[#All],[COMP.AT. MOT A]],#REF!,"NÃO",0,1)</f>
        <v>#VALUE!</v>
      </c>
      <c r="O182" s="11" t="e" cm="1">
        <f t="array" ref="O182">_xlfn.XLOOKUP(M182,tabE.Flux[[#All],[COMP.AT. MOT B]],#REF!,"NÃO",0,1)</f>
        <v>#VALUE!</v>
      </c>
      <c r="P182" s="12" t="e">
        <f>IF(N182="NÃO",(IF(O182="NÃO",(_xlfn.CONCAT(Tabela7[[#This Row],[DATA]]-1,"+",Tabela7[[#This Row],[NOME]])),"NÃO")),"NÃO")</f>
        <v>#VALUE!</v>
      </c>
      <c r="Q182" s="11" t="e" cm="1">
        <f t="array" ref="Q182">IF(P182="NÃO","NÃO",_xlfn.XLOOKUP(P182,tabE.Flux[COMP.AT. MOT A],#REF!,"NÃO",0,1))</f>
        <v>#VALUE!</v>
      </c>
      <c r="R182" s="14" t="e" cm="1">
        <f t="array" ref="R182">IF(P182="NÃO","NÃO",_xlfn.XLOOKUP(P182,tabE.Flux[COMP.AT. MOT B],#REF!,"NÃO",0,1))</f>
        <v>#VALUE!</v>
      </c>
      <c r="S18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82" s="16" t="e" cm="1">
        <f t="array" ref="T18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82" s="41" t="e" cm="1">
        <f t="array" ref="U18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83" spans="12:21" x14ac:dyDescent="0.25">
      <c r="L183" s="36" t="e">
        <f>Tabela7[[#This Row],[ID]]</f>
        <v>#VALUE!</v>
      </c>
      <c r="M183" s="17" t="e">
        <f>_xlfn.CONCAT(Tabela7[[#This Row],[DATA]],"+",Tabela7[[#This Row],[NOME]])</f>
        <v>#VALUE!</v>
      </c>
      <c r="N183" s="11" t="e" cm="1">
        <f t="array" ref="N183">_xlfn.XLOOKUP(M183,tabE.Flux[[#All],[COMP.AT. MOT A]],#REF!,"NÃO",0,1)</f>
        <v>#VALUE!</v>
      </c>
      <c r="O183" s="11" t="e" cm="1">
        <f t="array" ref="O183">_xlfn.XLOOKUP(M183,tabE.Flux[[#All],[COMP.AT. MOT B]],#REF!,"NÃO",0,1)</f>
        <v>#VALUE!</v>
      </c>
      <c r="P183" s="12" t="e">
        <f>IF(N183="NÃO",(IF(O183="NÃO",(_xlfn.CONCAT(Tabela7[[#This Row],[DATA]]-1,"+",Tabela7[[#This Row],[NOME]])),"NÃO")),"NÃO")</f>
        <v>#VALUE!</v>
      </c>
      <c r="Q183" s="11" t="e" cm="1">
        <f t="array" ref="Q183">IF(P183="NÃO","NÃO",_xlfn.XLOOKUP(P183,tabE.Flux[COMP.AT. MOT A],#REF!,"NÃO",0,1))</f>
        <v>#VALUE!</v>
      </c>
      <c r="R183" s="14" t="e" cm="1">
        <f t="array" ref="R183">IF(P183="NÃO","NÃO",_xlfn.XLOOKUP(P183,tabE.Flux[COMP.AT. MOT B],#REF!,"NÃO",0,1))</f>
        <v>#VALUE!</v>
      </c>
      <c r="S18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83" s="16" t="e" cm="1">
        <f t="array" ref="T18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83" s="41" t="e" cm="1">
        <f t="array" ref="U18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84" spans="12:21" x14ac:dyDescent="0.25">
      <c r="L184" s="36" t="e">
        <f>Tabela7[[#This Row],[ID]]</f>
        <v>#VALUE!</v>
      </c>
      <c r="M184" s="17" t="e">
        <f>_xlfn.CONCAT(Tabela7[[#This Row],[DATA]],"+",Tabela7[[#This Row],[NOME]])</f>
        <v>#VALUE!</v>
      </c>
      <c r="N184" s="11" t="e" cm="1">
        <f t="array" ref="N184">_xlfn.XLOOKUP(M184,tabE.Flux[[#All],[COMP.AT. MOT A]],#REF!,"NÃO",0,1)</f>
        <v>#VALUE!</v>
      </c>
      <c r="O184" s="11" t="e" cm="1">
        <f t="array" ref="O184">_xlfn.XLOOKUP(M184,tabE.Flux[[#All],[COMP.AT. MOT B]],#REF!,"NÃO",0,1)</f>
        <v>#VALUE!</v>
      </c>
      <c r="P184" s="12" t="e">
        <f>IF(N184="NÃO",(IF(O184="NÃO",(_xlfn.CONCAT(Tabela7[[#This Row],[DATA]]-1,"+",Tabela7[[#This Row],[NOME]])),"NÃO")),"NÃO")</f>
        <v>#VALUE!</v>
      </c>
      <c r="Q184" s="11" t="e" cm="1">
        <f t="array" ref="Q184">IF(P184="NÃO","NÃO",_xlfn.XLOOKUP(P184,tabE.Flux[COMP.AT. MOT A],#REF!,"NÃO",0,1))</f>
        <v>#VALUE!</v>
      </c>
      <c r="R184" s="14" t="e" cm="1">
        <f t="array" ref="R184">IF(P184="NÃO","NÃO",_xlfn.XLOOKUP(P184,tabE.Flux[COMP.AT. MOT B],#REF!,"NÃO",0,1))</f>
        <v>#VALUE!</v>
      </c>
      <c r="S18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84" s="16" t="e" cm="1">
        <f t="array" ref="T18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84" s="41" t="e" cm="1">
        <f t="array" ref="U18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85" spans="12:21" x14ac:dyDescent="0.25">
      <c r="L185" s="36" t="e">
        <f>Tabela7[[#This Row],[ID]]</f>
        <v>#VALUE!</v>
      </c>
      <c r="M185" s="17" t="e">
        <f>_xlfn.CONCAT(Tabela7[[#This Row],[DATA]],"+",Tabela7[[#This Row],[NOME]])</f>
        <v>#VALUE!</v>
      </c>
      <c r="N185" s="11" t="e" cm="1">
        <f t="array" ref="N185">_xlfn.XLOOKUP(M185,tabE.Flux[[#All],[COMP.AT. MOT A]],#REF!,"NÃO",0,1)</f>
        <v>#VALUE!</v>
      </c>
      <c r="O185" s="11" t="e" cm="1">
        <f t="array" ref="O185">_xlfn.XLOOKUP(M185,tabE.Flux[[#All],[COMP.AT. MOT B]],#REF!,"NÃO",0,1)</f>
        <v>#VALUE!</v>
      </c>
      <c r="P185" s="12" t="e">
        <f>IF(N185="NÃO",(IF(O185="NÃO",(_xlfn.CONCAT(Tabela7[[#This Row],[DATA]]-1,"+",Tabela7[[#This Row],[NOME]])),"NÃO")),"NÃO")</f>
        <v>#VALUE!</v>
      </c>
      <c r="Q185" s="11" t="e" cm="1">
        <f t="array" ref="Q185">IF(P185="NÃO","NÃO",_xlfn.XLOOKUP(P185,tabE.Flux[COMP.AT. MOT A],#REF!,"NÃO",0,1))</f>
        <v>#VALUE!</v>
      </c>
      <c r="R185" s="14" t="e" cm="1">
        <f t="array" ref="R185">IF(P185="NÃO","NÃO",_xlfn.XLOOKUP(P185,tabE.Flux[COMP.AT. MOT B],#REF!,"NÃO",0,1))</f>
        <v>#VALUE!</v>
      </c>
      <c r="S18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85" s="16" t="e" cm="1">
        <f t="array" ref="T18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85" s="41" t="e" cm="1">
        <f t="array" ref="U18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86" spans="12:21" x14ac:dyDescent="0.25">
      <c r="L186" s="36" t="e">
        <f>Tabela7[[#This Row],[ID]]</f>
        <v>#VALUE!</v>
      </c>
      <c r="M186" s="17" t="e">
        <f>_xlfn.CONCAT(Tabela7[[#This Row],[DATA]],"+",Tabela7[[#This Row],[NOME]])</f>
        <v>#VALUE!</v>
      </c>
      <c r="N186" s="11" t="e" cm="1">
        <f t="array" ref="N186">_xlfn.XLOOKUP(M186,tabE.Flux[[#All],[COMP.AT. MOT A]],#REF!,"NÃO",0,1)</f>
        <v>#VALUE!</v>
      </c>
      <c r="O186" s="11" t="e" cm="1">
        <f t="array" ref="O186">_xlfn.XLOOKUP(M186,tabE.Flux[[#All],[COMP.AT. MOT B]],#REF!,"NÃO",0,1)</f>
        <v>#VALUE!</v>
      </c>
      <c r="P186" s="12" t="e">
        <f>IF(N186="NÃO",(IF(O186="NÃO",(_xlfn.CONCAT(Tabela7[[#This Row],[DATA]]-1,"+",Tabela7[[#This Row],[NOME]])),"NÃO")),"NÃO")</f>
        <v>#VALUE!</v>
      </c>
      <c r="Q186" s="11" t="e" cm="1">
        <f t="array" ref="Q186">IF(P186="NÃO","NÃO",_xlfn.XLOOKUP(P186,tabE.Flux[COMP.AT. MOT A],#REF!,"NÃO",0,1))</f>
        <v>#VALUE!</v>
      </c>
      <c r="R186" s="14" t="e" cm="1">
        <f t="array" ref="R186">IF(P186="NÃO","NÃO",_xlfn.XLOOKUP(P186,tabE.Flux[COMP.AT. MOT B],#REF!,"NÃO",0,1))</f>
        <v>#VALUE!</v>
      </c>
      <c r="S18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86" s="16" t="e" cm="1">
        <f t="array" ref="T18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86" s="41" t="e" cm="1">
        <f t="array" ref="U18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87" spans="12:21" x14ac:dyDescent="0.25">
      <c r="L187" s="36" t="e">
        <f>Tabela7[[#This Row],[ID]]</f>
        <v>#VALUE!</v>
      </c>
      <c r="M187" s="17" t="e">
        <f>_xlfn.CONCAT(Tabela7[[#This Row],[DATA]],"+",Tabela7[[#This Row],[NOME]])</f>
        <v>#VALUE!</v>
      </c>
      <c r="N187" s="11" t="e" cm="1">
        <f t="array" ref="N187">_xlfn.XLOOKUP(M187,tabE.Flux[[#All],[COMP.AT. MOT A]],#REF!,"NÃO",0,1)</f>
        <v>#VALUE!</v>
      </c>
      <c r="O187" s="11" t="e" cm="1">
        <f t="array" ref="O187">_xlfn.XLOOKUP(M187,tabE.Flux[[#All],[COMP.AT. MOT B]],#REF!,"NÃO",0,1)</f>
        <v>#VALUE!</v>
      </c>
      <c r="P187" s="12" t="e">
        <f>IF(N187="NÃO",(IF(O187="NÃO",(_xlfn.CONCAT(Tabela7[[#This Row],[DATA]]-1,"+",Tabela7[[#This Row],[NOME]])),"NÃO")),"NÃO")</f>
        <v>#VALUE!</v>
      </c>
      <c r="Q187" s="11" t="e" cm="1">
        <f t="array" ref="Q187">IF(P187="NÃO","NÃO",_xlfn.XLOOKUP(P187,tabE.Flux[COMP.AT. MOT A],#REF!,"NÃO",0,1))</f>
        <v>#VALUE!</v>
      </c>
      <c r="R187" s="14" t="e" cm="1">
        <f t="array" ref="R187">IF(P187="NÃO","NÃO",_xlfn.XLOOKUP(P187,tabE.Flux[COMP.AT. MOT B],#REF!,"NÃO",0,1))</f>
        <v>#VALUE!</v>
      </c>
      <c r="S18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87" s="16" t="e" cm="1">
        <f t="array" ref="T18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87" s="41" t="e" cm="1">
        <f t="array" ref="U18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88" spans="12:21" x14ac:dyDescent="0.25">
      <c r="L188" s="36" t="e">
        <f>Tabela7[[#This Row],[ID]]</f>
        <v>#VALUE!</v>
      </c>
      <c r="M188" s="17" t="e">
        <f>_xlfn.CONCAT(Tabela7[[#This Row],[DATA]],"+",Tabela7[[#This Row],[NOME]])</f>
        <v>#VALUE!</v>
      </c>
      <c r="N188" s="11" t="e" cm="1">
        <f t="array" ref="N188">_xlfn.XLOOKUP(M188,tabE.Flux[[#All],[COMP.AT. MOT A]],#REF!,"NÃO",0,1)</f>
        <v>#VALUE!</v>
      </c>
      <c r="O188" s="11" t="e" cm="1">
        <f t="array" ref="O188">_xlfn.XLOOKUP(M188,tabE.Flux[[#All],[COMP.AT. MOT B]],#REF!,"NÃO",0,1)</f>
        <v>#VALUE!</v>
      </c>
      <c r="P188" s="12" t="e">
        <f>IF(N188="NÃO",(IF(O188="NÃO",(_xlfn.CONCAT(Tabela7[[#This Row],[DATA]]-1,"+",Tabela7[[#This Row],[NOME]])),"NÃO")),"NÃO")</f>
        <v>#VALUE!</v>
      </c>
      <c r="Q188" s="11" t="e" cm="1">
        <f t="array" ref="Q188">IF(P188="NÃO","NÃO",_xlfn.XLOOKUP(P188,tabE.Flux[COMP.AT. MOT A],#REF!,"NÃO",0,1))</f>
        <v>#VALUE!</v>
      </c>
      <c r="R188" s="14" t="e" cm="1">
        <f t="array" ref="R188">IF(P188="NÃO","NÃO",_xlfn.XLOOKUP(P188,tabE.Flux[COMP.AT. MOT B],#REF!,"NÃO",0,1))</f>
        <v>#VALUE!</v>
      </c>
      <c r="S18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88" s="16" t="e" cm="1">
        <f t="array" ref="T18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88" s="41" t="e" cm="1">
        <f t="array" ref="U18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89" spans="12:21" x14ac:dyDescent="0.25">
      <c r="L189" s="36" t="e">
        <f>Tabela7[[#This Row],[ID]]</f>
        <v>#VALUE!</v>
      </c>
      <c r="M189" s="17" t="e">
        <f>_xlfn.CONCAT(Tabela7[[#This Row],[DATA]],"+",Tabela7[[#This Row],[NOME]])</f>
        <v>#VALUE!</v>
      </c>
      <c r="N189" s="11" t="e" cm="1">
        <f t="array" ref="N189">_xlfn.XLOOKUP(M189,tabE.Flux[[#All],[COMP.AT. MOT A]],#REF!,"NÃO",0,1)</f>
        <v>#VALUE!</v>
      </c>
      <c r="O189" s="11" t="e" cm="1">
        <f t="array" ref="O189">_xlfn.XLOOKUP(M189,tabE.Flux[[#All],[COMP.AT. MOT B]],#REF!,"NÃO",0,1)</f>
        <v>#VALUE!</v>
      </c>
      <c r="P189" s="12" t="e">
        <f>IF(N189="NÃO",(IF(O189="NÃO",(_xlfn.CONCAT(Tabela7[[#This Row],[DATA]]-1,"+",Tabela7[[#This Row],[NOME]])),"NÃO")),"NÃO")</f>
        <v>#VALUE!</v>
      </c>
      <c r="Q189" s="11" t="e" cm="1">
        <f t="array" ref="Q189">IF(P189="NÃO","NÃO",_xlfn.XLOOKUP(P189,tabE.Flux[COMP.AT. MOT A],#REF!,"NÃO",0,1))</f>
        <v>#VALUE!</v>
      </c>
      <c r="R189" s="14" t="e" cm="1">
        <f t="array" ref="R189">IF(P189="NÃO","NÃO",_xlfn.XLOOKUP(P189,tabE.Flux[COMP.AT. MOT B],#REF!,"NÃO",0,1))</f>
        <v>#VALUE!</v>
      </c>
      <c r="S18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89" s="16" t="e" cm="1">
        <f t="array" ref="T18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89" s="41" t="e" cm="1">
        <f t="array" ref="U18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90" spans="12:21" x14ac:dyDescent="0.25">
      <c r="L190" s="36" t="e">
        <f>Tabela7[[#This Row],[ID]]</f>
        <v>#VALUE!</v>
      </c>
      <c r="M190" s="17" t="e">
        <f>_xlfn.CONCAT(Tabela7[[#This Row],[DATA]],"+",Tabela7[[#This Row],[NOME]])</f>
        <v>#VALUE!</v>
      </c>
      <c r="N190" s="11" t="e" cm="1">
        <f t="array" ref="N190">_xlfn.XLOOKUP(M190,tabE.Flux[[#All],[COMP.AT. MOT A]],#REF!,"NÃO",0,1)</f>
        <v>#VALUE!</v>
      </c>
      <c r="O190" s="11" t="e" cm="1">
        <f t="array" ref="O190">_xlfn.XLOOKUP(M190,tabE.Flux[[#All],[COMP.AT. MOT B]],#REF!,"NÃO",0,1)</f>
        <v>#VALUE!</v>
      </c>
      <c r="P190" s="12" t="e">
        <f>IF(N190="NÃO",(IF(O190="NÃO",(_xlfn.CONCAT(Tabela7[[#This Row],[DATA]]-1,"+",Tabela7[[#This Row],[NOME]])),"NÃO")),"NÃO")</f>
        <v>#VALUE!</v>
      </c>
      <c r="Q190" s="11" t="e" cm="1">
        <f t="array" ref="Q190">IF(P190="NÃO","NÃO",_xlfn.XLOOKUP(P190,tabE.Flux[COMP.AT. MOT A],#REF!,"NÃO",0,1))</f>
        <v>#VALUE!</v>
      </c>
      <c r="R190" s="14" t="e" cm="1">
        <f t="array" ref="R190">IF(P190="NÃO","NÃO",_xlfn.XLOOKUP(P190,tabE.Flux[COMP.AT. MOT B],#REF!,"NÃO",0,1))</f>
        <v>#VALUE!</v>
      </c>
      <c r="S19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90" s="16" t="e" cm="1">
        <f t="array" ref="T19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90" s="41" t="e" cm="1">
        <f t="array" ref="U19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91" spans="12:21" x14ac:dyDescent="0.25">
      <c r="L191" s="36" t="e">
        <f>Tabela7[[#This Row],[ID]]</f>
        <v>#VALUE!</v>
      </c>
      <c r="M191" s="17" t="e">
        <f>_xlfn.CONCAT(Tabela7[[#This Row],[DATA]],"+",Tabela7[[#This Row],[NOME]])</f>
        <v>#VALUE!</v>
      </c>
      <c r="N191" s="11" t="e" cm="1">
        <f t="array" ref="N191">_xlfn.XLOOKUP(M191,tabE.Flux[[#All],[COMP.AT. MOT A]],#REF!,"NÃO",0,1)</f>
        <v>#VALUE!</v>
      </c>
      <c r="O191" s="11" t="e" cm="1">
        <f t="array" ref="O191">_xlfn.XLOOKUP(M191,tabE.Flux[[#All],[COMP.AT. MOT B]],#REF!,"NÃO",0,1)</f>
        <v>#VALUE!</v>
      </c>
      <c r="P191" s="12" t="e">
        <f>IF(N191="NÃO",(IF(O191="NÃO",(_xlfn.CONCAT(Tabela7[[#This Row],[DATA]]-1,"+",Tabela7[[#This Row],[NOME]])),"NÃO")),"NÃO")</f>
        <v>#VALUE!</v>
      </c>
      <c r="Q191" s="11" t="e" cm="1">
        <f t="array" ref="Q191">IF(P191="NÃO","NÃO",_xlfn.XLOOKUP(P191,tabE.Flux[COMP.AT. MOT A],#REF!,"NÃO",0,1))</f>
        <v>#VALUE!</v>
      </c>
      <c r="R191" s="14" t="e" cm="1">
        <f t="array" ref="R191">IF(P191="NÃO","NÃO",_xlfn.XLOOKUP(P191,tabE.Flux[COMP.AT. MOT B],#REF!,"NÃO",0,1))</f>
        <v>#VALUE!</v>
      </c>
      <c r="S19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91" s="16" t="e" cm="1">
        <f t="array" ref="T19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91" s="41" t="e" cm="1">
        <f t="array" ref="U19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92" spans="12:21" x14ac:dyDescent="0.25">
      <c r="L192" s="36" t="e">
        <f>Tabela7[[#This Row],[ID]]</f>
        <v>#VALUE!</v>
      </c>
      <c r="M192" s="17" t="e">
        <f>_xlfn.CONCAT(Tabela7[[#This Row],[DATA]],"+",Tabela7[[#This Row],[NOME]])</f>
        <v>#VALUE!</v>
      </c>
      <c r="N192" s="11" t="e" cm="1">
        <f t="array" ref="N192">_xlfn.XLOOKUP(M192,tabE.Flux[[#All],[COMP.AT. MOT A]],#REF!,"NÃO",0,1)</f>
        <v>#VALUE!</v>
      </c>
      <c r="O192" s="11" t="e" cm="1">
        <f t="array" ref="O192">_xlfn.XLOOKUP(M192,tabE.Flux[[#All],[COMP.AT. MOT B]],#REF!,"NÃO",0,1)</f>
        <v>#VALUE!</v>
      </c>
      <c r="P192" s="12" t="e">
        <f>IF(N192="NÃO",(IF(O192="NÃO",(_xlfn.CONCAT(Tabela7[[#This Row],[DATA]]-1,"+",Tabela7[[#This Row],[NOME]])),"NÃO")),"NÃO")</f>
        <v>#VALUE!</v>
      </c>
      <c r="Q192" s="11" t="e" cm="1">
        <f t="array" ref="Q192">IF(P192="NÃO","NÃO",_xlfn.XLOOKUP(P192,tabE.Flux[COMP.AT. MOT A],#REF!,"NÃO",0,1))</f>
        <v>#VALUE!</v>
      </c>
      <c r="R192" s="14" t="e" cm="1">
        <f t="array" ref="R192">IF(P192="NÃO","NÃO",_xlfn.XLOOKUP(P192,tabE.Flux[COMP.AT. MOT B],#REF!,"NÃO",0,1))</f>
        <v>#VALUE!</v>
      </c>
      <c r="S19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92" s="16" t="e" cm="1">
        <f t="array" ref="T19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92" s="41" t="e" cm="1">
        <f t="array" ref="U19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93" spans="12:21" x14ac:dyDescent="0.25">
      <c r="L193" s="36" t="e">
        <f>Tabela7[[#This Row],[ID]]</f>
        <v>#VALUE!</v>
      </c>
      <c r="M193" s="17" t="e">
        <f>_xlfn.CONCAT(Tabela7[[#This Row],[DATA]],"+",Tabela7[[#This Row],[NOME]])</f>
        <v>#VALUE!</v>
      </c>
      <c r="N193" s="11" t="e" cm="1">
        <f t="array" ref="N193">_xlfn.XLOOKUP(M193,tabE.Flux[[#All],[COMP.AT. MOT A]],#REF!,"NÃO",0,1)</f>
        <v>#VALUE!</v>
      </c>
      <c r="O193" s="11" t="e" cm="1">
        <f t="array" ref="O193">_xlfn.XLOOKUP(M193,tabE.Flux[[#All],[COMP.AT. MOT B]],#REF!,"NÃO",0,1)</f>
        <v>#VALUE!</v>
      </c>
      <c r="P193" s="12" t="e">
        <f>IF(N193="NÃO",(IF(O193="NÃO",(_xlfn.CONCAT(Tabela7[[#This Row],[DATA]]-1,"+",Tabela7[[#This Row],[NOME]])),"NÃO")),"NÃO")</f>
        <v>#VALUE!</v>
      </c>
      <c r="Q193" s="11" t="e" cm="1">
        <f t="array" ref="Q193">IF(P193="NÃO","NÃO",_xlfn.XLOOKUP(P193,tabE.Flux[COMP.AT. MOT A],#REF!,"NÃO",0,1))</f>
        <v>#VALUE!</v>
      </c>
      <c r="R193" s="14" t="e" cm="1">
        <f t="array" ref="R193">IF(P193="NÃO","NÃO",_xlfn.XLOOKUP(P193,tabE.Flux[COMP.AT. MOT B],#REF!,"NÃO",0,1))</f>
        <v>#VALUE!</v>
      </c>
      <c r="S19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93" s="16" t="e" cm="1">
        <f t="array" ref="T19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93" s="41" t="e" cm="1">
        <f t="array" ref="U19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94" spans="12:21" x14ac:dyDescent="0.25">
      <c r="L194" s="36" t="e">
        <f>Tabela7[[#This Row],[ID]]</f>
        <v>#VALUE!</v>
      </c>
      <c r="M194" s="17" t="e">
        <f>_xlfn.CONCAT(Tabela7[[#This Row],[DATA]],"+",Tabela7[[#This Row],[NOME]])</f>
        <v>#VALUE!</v>
      </c>
      <c r="N194" s="11" t="e" cm="1">
        <f t="array" ref="N194">_xlfn.XLOOKUP(M194,tabE.Flux[[#All],[COMP.AT. MOT A]],#REF!,"NÃO",0,1)</f>
        <v>#VALUE!</v>
      </c>
      <c r="O194" s="11" t="e" cm="1">
        <f t="array" ref="O194">_xlfn.XLOOKUP(M194,tabE.Flux[[#All],[COMP.AT. MOT B]],#REF!,"NÃO",0,1)</f>
        <v>#VALUE!</v>
      </c>
      <c r="P194" s="12" t="e">
        <f>IF(N194="NÃO",(IF(O194="NÃO",(_xlfn.CONCAT(Tabela7[[#This Row],[DATA]]-1,"+",Tabela7[[#This Row],[NOME]])),"NÃO")),"NÃO")</f>
        <v>#VALUE!</v>
      </c>
      <c r="Q194" s="11" t="e" cm="1">
        <f t="array" ref="Q194">IF(P194="NÃO","NÃO",_xlfn.XLOOKUP(P194,tabE.Flux[COMP.AT. MOT A],#REF!,"NÃO",0,1))</f>
        <v>#VALUE!</v>
      </c>
      <c r="R194" s="14" t="e" cm="1">
        <f t="array" ref="R194">IF(P194="NÃO","NÃO",_xlfn.XLOOKUP(P194,tabE.Flux[COMP.AT. MOT B],#REF!,"NÃO",0,1))</f>
        <v>#VALUE!</v>
      </c>
      <c r="S19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94" s="16" t="e" cm="1">
        <f t="array" ref="T19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94" s="41" t="e" cm="1">
        <f t="array" ref="U19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95" spans="12:21" x14ac:dyDescent="0.25">
      <c r="L195" s="36" t="e">
        <f>Tabela7[[#This Row],[ID]]</f>
        <v>#VALUE!</v>
      </c>
      <c r="M195" s="17" t="e">
        <f>_xlfn.CONCAT(Tabela7[[#This Row],[DATA]],"+",Tabela7[[#This Row],[NOME]])</f>
        <v>#VALUE!</v>
      </c>
      <c r="N195" s="11" t="e" cm="1">
        <f t="array" ref="N195">_xlfn.XLOOKUP(M195,tabE.Flux[[#All],[COMP.AT. MOT A]],#REF!,"NÃO",0,1)</f>
        <v>#VALUE!</v>
      </c>
      <c r="O195" s="11" t="e" cm="1">
        <f t="array" ref="O195">_xlfn.XLOOKUP(M195,tabE.Flux[[#All],[COMP.AT. MOT B]],#REF!,"NÃO",0,1)</f>
        <v>#VALUE!</v>
      </c>
      <c r="P195" s="12" t="e">
        <f>IF(N195="NÃO",(IF(O195="NÃO",(_xlfn.CONCAT(Tabela7[[#This Row],[DATA]]-1,"+",Tabela7[[#This Row],[NOME]])),"NÃO")),"NÃO")</f>
        <v>#VALUE!</v>
      </c>
      <c r="Q195" s="11" t="e" cm="1">
        <f t="array" ref="Q195">IF(P195="NÃO","NÃO",_xlfn.XLOOKUP(P195,tabE.Flux[COMP.AT. MOT A],#REF!,"NÃO",0,1))</f>
        <v>#VALUE!</v>
      </c>
      <c r="R195" s="14" t="e" cm="1">
        <f t="array" ref="R195">IF(P195="NÃO","NÃO",_xlfn.XLOOKUP(P195,tabE.Flux[COMP.AT. MOT B],#REF!,"NÃO",0,1))</f>
        <v>#VALUE!</v>
      </c>
      <c r="S19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95" s="16" t="e" cm="1">
        <f t="array" ref="T19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95" s="41" t="e" cm="1">
        <f t="array" ref="U19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96" spans="12:21" x14ac:dyDescent="0.25">
      <c r="L196" s="36" t="e">
        <f>Tabela7[[#This Row],[ID]]</f>
        <v>#VALUE!</v>
      </c>
      <c r="M196" s="17" t="e">
        <f>_xlfn.CONCAT(Tabela7[[#This Row],[DATA]],"+",Tabela7[[#This Row],[NOME]])</f>
        <v>#VALUE!</v>
      </c>
      <c r="N196" s="11" t="e" cm="1">
        <f t="array" ref="N196">_xlfn.XLOOKUP(M196,tabE.Flux[[#All],[COMP.AT. MOT A]],#REF!,"NÃO",0,1)</f>
        <v>#VALUE!</v>
      </c>
      <c r="O196" s="11" t="e" cm="1">
        <f t="array" ref="O196">_xlfn.XLOOKUP(M196,tabE.Flux[[#All],[COMP.AT. MOT B]],#REF!,"NÃO",0,1)</f>
        <v>#VALUE!</v>
      </c>
      <c r="P196" s="12" t="e">
        <f>IF(N196="NÃO",(IF(O196="NÃO",(_xlfn.CONCAT(Tabela7[[#This Row],[DATA]]-1,"+",Tabela7[[#This Row],[NOME]])),"NÃO")),"NÃO")</f>
        <v>#VALUE!</v>
      </c>
      <c r="Q196" s="11" t="e" cm="1">
        <f t="array" ref="Q196">IF(P196="NÃO","NÃO",_xlfn.XLOOKUP(P196,tabE.Flux[COMP.AT. MOT A],#REF!,"NÃO",0,1))</f>
        <v>#VALUE!</v>
      </c>
      <c r="R196" s="14" t="e" cm="1">
        <f t="array" ref="R196">IF(P196="NÃO","NÃO",_xlfn.XLOOKUP(P196,tabE.Flux[COMP.AT. MOT B],#REF!,"NÃO",0,1))</f>
        <v>#VALUE!</v>
      </c>
      <c r="S19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96" s="16" t="e" cm="1">
        <f t="array" ref="T19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96" s="41" t="e" cm="1">
        <f t="array" ref="U19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97" spans="12:21" x14ac:dyDescent="0.25">
      <c r="L197" s="36" t="e">
        <f>Tabela7[[#This Row],[ID]]</f>
        <v>#VALUE!</v>
      </c>
      <c r="M197" s="17" t="e">
        <f>_xlfn.CONCAT(Tabela7[[#This Row],[DATA]],"+",Tabela7[[#This Row],[NOME]])</f>
        <v>#VALUE!</v>
      </c>
      <c r="N197" s="11" t="e" cm="1">
        <f t="array" ref="N197">_xlfn.XLOOKUP(M197,tabE.Flux[[#All],[COMP.AT. MOT A]],#REF!,"NÃO",0,1)</f>
        <v>#VALUE!</v>
      </c>
      <c r="O197" s="11" t="e" cm="1">
        <f t="array" ref="O197">_xlfn.XLOOKUP(M197,tabE.Flux[[#All],[COMP.AT. MOT B]],#REF!,"NÃO",0,1)</f>
        <v>#VALUE!</v>
      </c>
      <c r="P197" s="12" t="e">
        <f>IF(N197="NÃO",(IF(O197="NÃO",(_xlfn.CONCAT(Tabela7[[#This Row],[DATA]]-1,"+",Tabela7[[#This Row],[NOME]])),"NÃO")),"NÃO")</f>
        <v>#VALUE!</v>
      </c>
      <c r="Q197" s="11" t="e" cm="1">
        <f t="array" ref="Q197">IF(P197="NÃO","NÃO",_xlfn.XLOOKUP(P197,tabE.Flux[COMP.AT. MOT A],#REF!,"NÃO",0,1))</f>
        <v>#VALUE!</v>
      </c>
      <c r="R197" s="14" t="e" cm="1">
        <f t="array" ref="R197">IF(P197="NÃO","NÃO",_xlfn.XLOOKUP(P197,tabE.Flux[COMP.AT. MOT B],#REF!,"NÃO",0,1))</f>
        <v>#VALUE!</v>
      </c>
      <c r="S19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97" s="16" t="e" cm="1">
        <f t="array" ref="T19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97" s="41" t="e" cm="1">
        <f t="array" ref="U19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98" spans="12:21" x14ac:dyDescent="0.25">
      <c r="L198" s="36" t="e">
        <f>Tabela7[[#This Row],[ID]]</f>
        <v>#VALUE!</v>
      </c>
      <c r="M198" s="17" t="e">
        <f>_xlfn.CONCAT(Tabela7[[#This Row],[DATA]],"+",Tabela7[[#This Row],[NOME]])</f>
        <v>#VALUE!</v>
      </c>
      <c r="N198" s="11" t="e" cm="1">
        <f t="array" ref="N198">_xlfn.XLOOKUP(M198,tabE.Flux[[#All],[COMP.AT. MOT A]],#REF!,"NÃO",0,1)</f>
        <v>#VALUE!</v>
      </c>
      <c r="O198" s="11" t="e" cm="1">
        <f t="array" ref="O198">_xlfn.XLOOKUP(M198,tabE.Flux[[#All],[COMP.AT. MOT B]],#REF!,"NÃO",0,1)</f>
        <v>#VALUE!</v>
      </c>
      <c r="P198" s="12" t="e">
        <f>IF(N198="NÃO",(IF(O198="NÃO",(_xlfn.CONCAT(Tabela7[[#This Row],[DATA]]-1,"+",Tabela7[[#This Row],[NOME]])),"NÃO")),"NÃO")</f>
        <v>#VALUE!</v>
      </c>
      <c r="Q198" s="11" t="e" cm="1">
        <f t="array" ref="Q198">IF(P198="NÃO","NÃO",_xlfn.XLOOKUP(P198,tabE.Flux[COMP.AT. MOT A],#REF!,"NÃO",0,1))</f>
        <v>#VALUE!</v>
      </c>
      <c r="R198" s="14" t="e" cm="1">
        <f t="array" ref="R198">IF(P198="NÃO","NÃO",_xlfn.XLOOKUP(P198,tabE.Flux[COMP.AT. MOT B],#REF!,"NÃO",0,1))</f>
        <v>#VALUE!</v>
      </c>
      <c r="S19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98" s="16" t="e" cm="1">
        <f t="array" ref="T19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98" s="41" t="e" cm="1">
        <f t="array" ref="U19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199" spans="12:21" x14ac:dyDescent="0.25">
      <c r="L199" s="36" t="e">
        <f>Tabela7[[#This Row],[ID]]</f>
        <v>#VALUE!</v>
      </c>
      <c r="M199" s="17" t="e">
        <f>_xlfn.CONCAT(Tabela7[[#This Row],[DATA]],"+",Tabela7[[#This Row],[NOME]])</f>
        <v>#VALUE!</v>
      </c>
      <c r="N199" s="11" t="e" cm="1">
        <f t="array" ref="N199">_xlfn.XLOOKUP(M199,tabE.Flux[[#All],[COMP.AT. MOT A]],#REF!,"NÃO",0,1)</f>
        <v>#VALUE!</v>
      </c>
      <c r="O199" s="11" t="e" cm="1">
        <f t="array" ref="O199">_xlfn.XLOOKUP(M199,tabE.Flux[[#All],[COMP.AT. MOT B]],#REF!,"NÃO",0,1)</f>
        <v>#VALUE!</v>
      </c>
      <c r="P199" s="12" t="e">
        <f>IF(N199="NÃO",(IF(O199="NÃO",(_xlfn.CONCAT(Tabela7[[#This Row],[DATA]]-1,"+",Tabela7[[#This Row],[NOME]])),"NÃO")),"NÃO")</f>
        <v>#VALUE!</v>
      </c>
      <c r="Q199" s="11" t="e" cm="1">
        <f t="array" ref="Q199">IF(P199="NÃO","NÃO",_xlfn.XLOOKUP(P199,tabE.Flux[COMP.AT. MOT A],#REF!,"NÃO",0,1))</f>
        <v>#VALUE!</v>
      </c>
      <c r="R199" s="14" t="e" cm="1">
        <f t="array" ref="R199">IF(P199="NÃO","NÃO",_xlfn.XLOOKUP(P199,tabE.Flux[COMP.AT. MOT B],#REF!,"NÃO",0,1))</f>
        <v>#VALUE!</v>
      </c>
      <c r="S19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199" s="16" t="e" cm="1">
        <f t="array" ref="T19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199" s="41" t="e" cm="1">
        <f t="array" ref="U19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00" spans="12:21" x14ac:dyDescent="0.25">
      <c r="L200" s="36" t="e">
        <f>Tabela7[[#This Row],[ID]]</f>
        <v>#VALUE!</v>
      </c>
      <c r="M200" s="17" t="e">
        <f>_xlfn.CONCAT(Tabela7[[#This Row],[DATA]],"+",Tabela7[[#This Row],[NOME]])</f>
        <v>#VALUE!</v>
      </c>
      <c r="N200" s="11" t="e" cm="1">
        <f t="array" ref="N200">_xlfn.XLOOKUP(M200,tabE.Flux[[#All],[COMP.AT. MOT A]],#REF!,"NÃO",0,1)</f>
        <v>#VALUE!</v>
      </c>
      <c r="O200" s="11" t="e" cm="1">
        <f t="array" ref="O200">_xlfn.XLOOKUP(M200,tabE.Flux[[#All],[COMP.AT. MOT B]],#REF!,"NÃO",0,1)</f>
        <v>#VALUE!</v>
      </c>
      <c r="P200" s="12" t="e">
        <f>IF(N200="NÃO",(IF(O200="NÃO",(_xlfn.CONCAT(Tabela7[[#This Row],[DATA]]-1,"+",Tabela7[[#This Row],[NOME]])),"NÃO")),"NÃO")</f>
        <v>#VALUE!</v>
      </c>
      <c r="Q200" s="11" t="e" cm="1">
        <f t="array" ref="Q200">IF(P200="NÃO","NÃO",_xlfn.XLOOKUP(P200,tabE.Flux[COMP.AT. MOT A],#REF!,"NÃO",0,1))</f>
        <v>#VALUE!</v>
      </c>
      <c r="R200" s="14" t="e" cm="1">
        <f t="array" ref="R200">IF(P200="NÃO","NÃO",_xlfn.XLOOKUP(P200,tabE.Flux[COMP.AT. MOT B],#REF!,"NÃO",0,1))</f>
        <v>#VALUE!</v>
      </c>
      <c r="S20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00" s="16" t="e" cm="1">
        <f t="array" ref="T20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00" s="41" t="e" cm="1">
        <f t="array" ref="U20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01" spans="12:21" x14ac:dyDescent="0.25">
      <c r="L201" s="36" t="e">
        <f>Tabela7[[#This Row],[ID]]</f>
        <v>#VALUE!</v>
      </c>
      <c r="M201" s="17" t="e">
        <f>_xlfn.CONCAT(Tabela7[[#This Row],[DATA]],"+",Tabela7[[#This Row],[NOME]])</f>
        <v>#VALUE!</v>
      </c>
      <c r="N201" s="11" t="e" cm="1">
        <f t="array" ref="N201">_xlfn.XLOOKUP(M201,tabE.Flux[[#All],[COMP.AT. MOT A]],#REF!,"NÃO",0,1)</f>
        <v>#VALUE!</v>
      </c>
      <c r="O201" s="11" t="e" cm="1">
        <f t="array" ref="O201">_xlfn.XLOOKUP(M201,tabE.Flux[[#All],[COMP.AT. MOT B]],#REF!,"NÃO",0,1)</f>
        <v>#VALUE!</v>
      </c>
      <c r="P201" s="12" t="e">
        <f>IF(N201="NÃO",(IF(O201="NÃO",(_xlfn.CONCAT(Tabela7[[#This Row],[DATA]]-1,"+",Tabela7[[#This Row],[NOME]])),"NÃO")),"NÃO")</f>
        <v>#VALUE!</v>
      </c>
      <c r="Q201" s="11" t="e" cm="1">
        <f t="array" ref="Q201">IF(P201="NÃO","NÃO",_xlfn.XLOOKUP(P201,tabE.Flux[COMP.AT. MOT A],#REF!,"NÃO",0,1))</f>
        <v>#VALUE!</v>
      </c>
      <c r="R201" s="14" t="e" cm="1">
        <f t="array" ref="R201">IF(P201="NÃO","NÃO",_xlfn.XLOOKUP(P201,tabE.Flux[COMP.AT. MOT B],#REF!,"NÃO",0,1))</f>
        <v>#VALUE!</v>
      </c>
      <c r="S20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01" s="16" t="e" cm="1">
        <f t="array" ref="T20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01" s="41" t="e" cm="1">
        <f t="array" ref="U20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02" spans="12:21" x14ac:dyDescent="0.25">
      <c r="L202" s="36" t="e">
        <f>Tabela7[[#This Row],[ID]]</f>
        <v>#VALUE!</v>
      </c>
      <c r="M202" s="17" t="e">
        <f>_xlfn.CONCAT(Tabela7[[#This Row],[DATA]],"+",Tabela7[[#This Row],[NOME]])</f>
        <v>#VALUE!</v>
      </c>
      <c r="N202" s="11" t="e" cm="1">
        <f t="array" ref="N202">_xlfn.XLOOKUP(M202,tabE.Flux[[#All],[COMP.AT. MOT A]],#REF!,"NÃO",0,1)</f>
        <v>#VALUE!</v>
      </c>
      <c r="O202" s="11" t="e" cm="1">
        <f t="array" ref="O202">_xlfn.XLOOKUP(M202,tabE.Flux[[#All],[COMP.AT. MOT B]],#REF!,"NÃO",0,1)</f>
        <v>#VALUE!</v>
      </c>
      <c r="P202" s="12" t="e">
        <f>IF(N202="NÃO",(IF(O202="NÃO",(_xlfn.CONCAT(Tabela7[[#This Row],[DATA]]-1,"+",Tabela7[[#This Row],[NOME]])),"NÃO")),"NÃO")</f>
        <v>#VALUE!</v>
      </c>
      <c r="Q202" s="11" t="e" cm="1">
        <f t="array" ref="Q202">IF(P202="NÃO","NÃO",_xlfn.XLOOKUP(P202,tabE.Flux[COMP.AT. MOT A],#REF!,"NÃO",0,1))</f>
        <v>#VALUE!</v>
      </c>
      <c r="R202" s="14" t="e" cm="1">
        <f t="array" ref="R202">IF(P202="NÃO","NÃO",_xlfn.XLOOKUP(P202,tabE.Flux[COMP.AT. MOT B],#REF!,"NÃO",0,1))</f>
        <v>#VALUE!</v>
      </c>
      <c r="S20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02" s="16" t="e" cm="1">
        <f t="array" ref="T20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02" s="41" t="e" cm="1">
        <f t="array" ref="U20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03" spans="12:21" x14ac:dyDescent="0.25">
      <c r="L203" s="36" t="e">
        <f>Tabela7[[#This Row],[ID]]</f>
        <v>#VALUE!</v>
      </c>
      <c r="M203" s="17" t="e">
        <f>_xlfn.CONCAT(Tabela7[[#This Row],[DATA]],"+",Tabela7[[#This Row],[NOME]])</f>
        <v>#VALUE!</v>
      </c>
      <c r="N203" s="11" t="e" cm="1">
        <f t="array" ref="N203">_xlfn.XLOOKUP(M203,tabE.Flux[[#All],[COMP.AT. MOT A]],#REF!,"NÃO",0,1)</f>
        <v>#VALUE!</v>
      </c>
      <c r="O203" s="11" t="e" cm="1">
        <f t="array" ref="O203">_xlfn.XLOOKUP(M203,tabE.Flux[[#All],[COMP.AT. MOT B]],#REF!,"NÃO",0,1)</f>
        <v>#VALUE!</v>
      </c>
      <c r="P203" s="12" t="e">
        <f>IF(N203="NÃO",(IF(O203="NÃO",(_xlfn.CONCAT(Tabela7[[#This Row],[DATA]]-1,"+",Tabela7[[#This Row],[NOME]])),"NÃO")),"NÃO")</f>
        <v>#VALUE!</v>
      </c>
      <c r="Q203" s="11" t="e" cm="1">
        <f t="array" ref="Q203">IF(P203="NÃO","NÃO",_xlfn.XLOOKUP(P203,tabE.Flux[COMP.AT. MOT A],#REF!,"NÃO",0,1))</f>
        <v>#VALUE!</v>
      </c>
      <c r="R203" s="14" t="e" cm="1">
        <f t="array" ref="R203">IF(P203="NÃO","NÃO",_xlfn.XLOOKUP(P203,tabE.Flux[COMP.AT. MOT B],#REF!,"NÃO",0,1))</f>
        <v>#VALUE!</v>
      </c>
      <c r="S20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03" s="16" t="e" cm="1">
        <f t="array" ref="T20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03" s="41" t="e" cm="1">
        <f t="array" ref="U20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04" spans="12:21" x14ac:dyDescent="0.25">
      <c r="L204" s="36" t="e">
        <f>Tabela7[[#This Row],[ID]]</f>
        <v>#VALUE!</v>
      </c>
      <c r="M204" s="17" t="e">
        <f>_xlfn.CONCAT(Tabela7[[#This Row],[DATA]],"+",Tabela7[[#This Row],[NOME]])</f>
        <v>#VALUE!</v>
      </c>
      <c r="N204" s="11" t="e" cm="1">
        <f t="array" ref="N204">_xlfn.XLOOKUP(M204,tabE.Flux[[#All],[COMP.AT. MOT A]],#REF!,"NÃO",0,1)</f>
        <v>#VALUE!</v>
      </c>
      <c r="O204" s="11" t="e" cm="1">
        <f t="array" ref="O204">_xlfn.XLOOKUP(M204,tabE.Flux[[#All],[COMP.AT. MOT B]],#REF!,"NÃO",0,1)</f>
        <v>#VALUE!</v>
      </c>
      <c r="P204" s="12" t="e">
        <f>IF(N204="NÃO",(IF(O204="NÃO",(_xlfn.CONCAT(Tabela7[[#This Row],[DATA]]-1,"+",Tabela7[[#This Row],[NOME]])),"NÃO")),"NÃO")</f>
        <v>#VALUE!</v>
      </c>
      <c r="Q204" s="11" t="e" cm="1">
        <f t="array" ref="Q204">IF(P204="NÃO","NÃO",_xlfn.XLOOKUP(P204,tabE.Flux[COMP.AT. MOT A],#REF!,"NÃO",0,1))</f>
        <v>#VALUE!</v>
      </c>
      <c r="R204" s="14" t="e" cm="1">
        <f t="array" ref="R204">IF(P204="NÃO","NÃO",_xlfn.XLOOKUP(P204,tabE.Flux[COMP.AT. MOT B],#REF!,"NÃO",0,1))</f>
        <v>#VALUE!</v>
      </c>
      <c r="S20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04" s="16" t="e" cm="1">
        <f t="array" ref="T20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04" s="41" t="e" cm="1">
        <f t="array" ref="U20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05" spans="12:21" x14ac:dyDescent="0.25">
      <c r="L205" s="36" t="e">
        <f>Tabela7[[#This Row],[ID]]</f>
        <v>#VALUE!</v>
      </c>
      <c r="M205" s="17" t="e">
        <f>_xlfn.CONCAT(Tabela7[[#This Row],[DATA]],"+",Tabela7[[#This Row],[NOME]])</f>
        <v>#VALUE!</v>
      </c>
      <c r="N205" s="11" t="e" cm="1">
        <f t="array" ref="N205">_xlfn.XLOOKUP(M205,tabE.Flux[[#All],[COMP.AT. MOT A]],#REF!,"NÃO",0,1)</f>
        <v>#VALUE!</v>
      </c>
      <c r="O205" s="11" t="e" cm="1">
        <f t="array" ref="O205">_xlfn.XLOOKUP(M205,tabE.Flux[[#All],[COMP.AT. MOT B]],#REF!,"NÃO",0,1)</f>
        <v>#VALUE!</v>
      </c>
      <c r="P205" s="12" t="e">
        <f>IF(N205="NÃO",(IF(O205="NÃO",(_xlfn.CONCAT(Tabela7[[#This Row],[DATA]]-1,"+",Tabela7[[#This Row],[NOME]])),"NÃO")),"NÃO")</f>
        <v>#VALUE!</v>
      </c>
      <c r="Q205" s="11" t="e" cm="1">
        <f t="array" ref="Q205">IF(P205="NÃO","NÃO",_xlfn.XLOOKUP(P205,tabE.Flux[COMP.AT. MOT A],#REF!,"NÃO",0,1))</f>
        <v>#VALUE!</v>
      </c>
      <c r="R205" s="14" t="e" cm="1">
        <f t="array" ref="R205">IF(P205="NÃO","NÃO",_xlfn.XLOOKUP(P205,tabE.Flux[COMP.AT. MOT B],#REF!,"NÃO",0,1))</f>
        <v>#VALUE!</v>
      </c>
      <c r="S20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05" s="16" t="e" cm="1">
        <f t="array" ref="T20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05" s="41" t="e" cm="1">
        <f t="array" ref="U20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06" spans="12:21" x14ac:dyDescent="0.25">
      <c r="L206" s="36" t="e">
        <f>Tabela7[[#This Row],[ID]]</f>
        <v>#VALUE!</v>
      </c>
      <c r="M206" s="17" t="e">
        <f>_xlfn.CONCAT(Tabela7[[#This Row],[DATA]],"+",Tabela7[[#This Row],[NOME]])</f>
        <v>#VALUE!</v>
      </c>
      <c r="N206" s="11" t="e" cm="1">
        <f t="array" ref="N206">_xlfn.XLOOKUP(M206,tabE.Flux[[#All],[COMP.AT. MOT A]],#REF!,"NÃO",0,1)</f>
        <v>#VALUE!</v>
      </c>
      <c r="O206" s="11" t="e" cm="1">
        <f t="array" ref="O206">_xlfn.XLOOKUP(M206,tabE.Flux[[#All],[COMP.AT. MOT B]],#REF!,"NÃO",0,1)</f>
        <v>#VALUE!</v>
      </c>
      <c r="P206" s="12" t="e">
        <f>IF(N206="NÃO",(IF(O206="NÃO",(_xlfn.CONCAT(Tabela7[[#This Row],[DATA]]-1,"+",Tabela7[[#This Row],[NOME]])),"NÃO")),"NÃO")</f>
        <v>#VALUE!</v>
      </c>
      <c r="Q206" s="11" t="e" cm="1">
        <f t="array" ref="Q206">IF(P206="NÃO","NÃO",_xlfn.XLOOKUP(P206,tabE.Flux[COMP.AT. MOT A],#REF!,"NÃO",0,1))</f>
        <v>#VALUE!</v>
      </c>
      <c r="R206" s="14" t="e" cm="1">
        <f t="array" ref="R206">IF(P206="NÃO","NÃO",_xlfn.XLOOKUP(P206,tabE.Flux[COMP.AT. MOT B],#REF!,"NÃO",0,1))</f>
        <v>#VALUE!</v>
      </c>
      <c r="S20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06" s="16" t="e" cm="1">
        <f t="array" ref="T20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06" s="41" t="e" cm="1">
        <f t="array" ref="U20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07" spans="12:21" x14ac:dyDescent="0.25">
      <c r="L207" s="36" t="e">
        <f>Tabela7[[#This Row],[ID]]</f>
        <v>#VALUE!</v>
      </c>
      <c r="M207" s="17" t="e">
        <f>_xlfn.CONCAT(Tabela7[[#This Row],[DATA]],"+",Tabela7[[#This Row],[NOME]])</f>
        <v>#VALUE!</v>
      </c>
      <c r="N207" s="11" t="e" cm="1">
        <f t="array" ref="N207">_xlfn.XLOOKUP(M207,tabE.Flux[[#All],[COMP.AT. MOT A]],#REF!,"NÃO",0,1)</f>
        <v>#VALUE!</v>
      </c>
      <c r="O207" s="11" t="e" cm="1">
        <f t="array" ref="O207">_xlfn.XLOOKUP(M207,tabE.Flux[[#All],[COMP.AT. MOT B]],#REF!,"NÃO",0,1)</f>
        <v>#VALUE!</v>
      </c>
      <c r="P207" s="12" t="e">
        <f>IF(N207="NÃO",(IF(O207="NÃO",(_xlfn.CONCAT(Tabela7[[#This Row],[DATA]]-1,"+",Tabela7[[#This Row],[NOME]])),"NÃO")),"NÃO")</f>
        <v>#VALUE!</v>
      </c>
      <c r="Q207" s="11" t="e" cm="1">
        <f t="array" ref="Q207">IF(P207="NÃO","NÃO",_xlfn.XLOOKUP(P207,tabE.Flux[COMP.AT. MOT A],#REF!,"NÃO",0,1))</f>
        <v>#VALUE!</v>
      </c>
      <c r="R207" s="14" t="e" cm="1">
        <f t="array" ref="R207">IF(P207="NÃO","NÃO",_xlfn.XLOOKUP(P207,tabE.Flux[COMP.AT. MOT B],#REF!,"NÃO",0,1))</f>
        <v>#VALUE!</v>
      </c>
      <c r="S20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07" s="16" t="e" cm="1">
        <f t="array" ref="T20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07" s="41" t="e" cm="1">
        <f t="array" ref="U20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08" spans="12:21" x14ac:dyDescent="0.25">
      <c r="L208" s="36" t="e">
        <f>Tabela7[[#This Row],[ID]]</f>
        <v>#VALUE!</v>
      </c>
      <c r="M208" s="17" t="e">
        <f>_xlfn.CONCAT(Tabela7[[#This Row],[DATA]],"+",Tabela7[[#This Row],[NOME]])</f>
        <v>#VALUE!</v>
      </c>
      <c r="N208" s="11" t="e" cm="1">
        <f t="array" ref="N208">_xlfn.XLOOKUP(M208,tabE.Flux[[#All],[COMP.AT. MOT A]],#REF!,"NÃO",0,1)</f>
        <v>#VALUE!</v>
      </c>
      <c r="O208" s="11" t="e" cm="1">
        <f t="array" ref="O208">_xlfn.XLOOKUP(M208,tabE.Flux[[#All],[COMP.AT. MOT B]],#REF!,"NÃO",0,1)</f>
        <v>#VALUE!</v>
      </c>
      <c r="P208" s="12" t="e">
        <f>IF(N208="NÃO",(IF(O208="NÃO",(_xlfn.CONCAT(Tabela7[[#This Row],[DATA]]-1,"+",Tabela7[[#This Row],[NOME]])),"NÃO")),"NÃO")</f>
        <v>#VALUE!</v>
      </c>
      <c r="Q208" s="11" t="e" cm="1">
        <f t="array" ref="Q208">IF(P208="NÃO","NÃO",_xlfn.XLOOKUP(P208,tabE.Flux[COMP.AT. MOT A],#REF!,"NÃO",0,1))</f>
        <v>#VALUE!</v>
      </c>
      <c r="R208" s="14" t="e" cm="1">
        <f t="array" ref="R208">IF(P208="NÃO","NÃO",_xlfn.XLOOKUP(P208,tabE.Flux[COMP.AT. MOT B],#REF!,"NÃO",0,1))</f>
        <v>#VALUE!</v>
      </c>
      <c r="S20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08" s="16" t="e" cm="1">
        <f t="array" ref="T20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08" s="41" t="e" cm="1">
        <f t="array" ref="U20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09" spans="12:21" x14ac:dyDescent="0.25">
      <c r="L209" s="36" t="e">
        <f>Tabela7[[#This Row],[ID]]</f>
        <v>#VALUE!</v>
      </c>
      <c r="M209" s="17" t="e">
        <f>_xlfn.CONCAT(Tabela7[[#This Row],[DATA]],"+",Tabela7[[#This Row],[NOME]])</f>
        <v>#VALUE!</v>
      </c>
      <c r="N209" s="11" t="e" cm="1">
        <f t="array" ref="N209">_xlfn.XLOOKUP(M209,tabE.Flux[[#All],[COMP.AT. MOT A]],#REF!,"NÃO",0,1)</f>
        <v>#VALUE!</v>
      </c>
      <c r="O209" s="11" t="e" cm="1">
        <f t="array" ref="O209">_xlfn.XLOOKUP(M209,tabE.Flux[[#All],[COMP.AT. MOT B]],#REF!,"NÃO",0,1)</f>
        <v>#VALUE!</v>
      </c>
      <c r="P209" s="12" t="e">
        <f>IF(N209="NÃO",(IF(O209="NÃO",(_xlfn.CONCAT(Tabela7[[#This Row],[DATA]]-1,"+",Tabela7[[#This Row],[NOME]])),"NÃO")),"NÃO")</f>
        <v>#VALUE!</v>
      </c>
      <c r="Q209" s="11" t="e" cm="1">
        <f t="array" ref="Q209">IF(P209="NÃO","NÃO",_xlfn.XLOOKUP(P209,tabE.Flux[COMP.AT. MOT A],#REF!,"NÃO",0,1))</f>
        <v>#VALUE!</v>
      </c>
      <c r="R209" s="14" t="e" cm="1">
        <f t="array" ref="R209">IF(P209="NÃO","NÃO",_xlfn.XLOOKUP(P209,tabE.Flux[COMP.AT. MOT B],#REF!,"NÃO",0,1))</f>
        <v>#VALUE!</v>
      </c>
      <c r="S20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09" s="16" t="e" cm="1">
        <f t="array" ref="T20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09" s="41" t="e" cm="1">
        <f t="array" ref="U20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10" spans="12:21" x14ac:dyDescent="0.25">
      <c r="L210" s="36" t="e">
        <f>Tabela7[[#This Row],[ID]]</f>
        <v>#VALUE!</v>
      </c>
      <c r="M210" s="17" t="e">
        <f>_xlfn.CONCAT(Tabela7[[#This Row],[DATA]],"+",Tabela7[[#This Row],[NOME]])</f>
        <v>#VALUE!</v>
      </c>
      <c r="N210" s="11" t="e" cm="1">
        <f t="array" ref="N210">_xlfn.XLOOKUP(M210,tabE.Flux[[#All],[COMP.AT. MOT A]],#REF!,"NÃO",0,1)</f>
        <v>#VALUE!</v>
      </c>
      <c r="O210" s="11" t="e" cm="1">
        <f t="array" ref="O210">_xlfn.XLOOKUP(M210,tabE.Flux[[#All],[COMP.AT. MOT B]],#REF!,"NÃO",0,1)</f>
        <v>#VALUE!</v>
      </c>
      <c r="P210" s="12" t="e">
        <f>IF(N210="NÃO",(IF(O210="NÃO",(_xlfn.CONCAT(Tabela7[[#This Row],[DATA]]-1,"+",Tabela7[[#This Row],[NOME]])),"NÃO")),"NÃO")</f>
        <v>#VALUE!</v>
      </c>
      <c r="Q210" s="11" t="e" cm="1">
        <f t="array" ref="Q210">IF(P210="NÃO","NÃO",_xlfn.XLOOKUP(P210,tabE.Flux[COMP.AT. MOT A],#REF!,"NÃO",0,1))</f>
        <v>#VALUE!</v>
      </c>
      <c r="R210" s="14" t="e" cm="1">
        <f t="array" ref="R210">IF(P210="NÃO","NÃO",_xlfn.XLOOKUP(P210,tabE.Flux[COMP.AT. MOT B],#REF!,"NÃO",0,1))</f>
        <v>#VALUE!</v>
      </c>
      <c r="S21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10" s="16" t="e" cm="1">
        <f t="array" ref="T21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10" s="41" t="e" cm="1">
        <f t="array" ref="U21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11" spans="12:21" x14ac:dyDescent="0.25">
      <c r="L211" s="36" t="e">
        <f>Tabela7[[#This Row],[ID]]</f>
        <v>#VALUE!</v>
      </c>
      <c r="M211" s="17" t="e">
        <f>_xlfn.CONCAT(Tabela7[[#This Row],[DATA]],"+",Tabela7[[#This Row],[NOME]])</f>
        <v>#VALUE!</v>
      </c>
      <c r="N211" s="11" t="e" cm="1">
        <f t="array" ref="N211">_xlfn.XLOOKUP(M211,tabE.Flux[[#All],[COMP.AT. MOT A]],#REF!,"NÃO",0,1)</f>
        <v>#VALUE!</v>
      </c>
      <c r="O211" s="11" t="e" cm="1">
        <f t="array" ref="O211">_xlfn.XLOOKUP(M211,tabE.Flux[[#All],[COMP.AT. MOT B]],#REF!,"NÃO",0,1)</f>
        <v>#VALUE!</v>
      </c>
      <c r="P211" s="12" t="e">
        <f>IF(N211="NÃO",(IF(O211="NÃO",(_xlfn.CONCAT(Tabela7[[#This Row],[DATA]]-1,"+",Tabela7[[#This Row],[NOME]])),"NÃO")),"NÃO")</f>
        <v>#VALUE!</v>
      </c>
      <c r="Q211" s="11" t="e" cm="1">
        <f t="array" ref="Q211">IF(P211="NÃO","NÃO",_xlfn.XLOOKUP(P211,tabE.Flux[COMP.AT. MOT A],#REF!,"NÃO",0,1))</f>
        <v>#VALUE!</v>
      </c>
      <c r="R211" s="14" t="e" cm="1">
        <f t="array" ref="R211">IF(P211="NÃO","NÃO",_xlfn.XLOOKUP(P211,tabE.Flux[COMP.AT. MOT B],#REF!,"NÃO",0,1))</f>
        <v>#VALUE!</v>
      </c>
      <c r="S21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11" s="16" t="e" cm="1">
        <f t="array" ref="T21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11" s="41" t="e" cm="1">
        <f t="array" ref="U21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12" spans="12:21" x14ac:dyDescent="0.25">
      <c r="L212" s="36" t="e">
        <f>Tabela7[[#This Row],[ID]]</f>
        <v>#VALUE!</v>
      </c>
      <c r="M212" s="17" t="e">
        <f>_xlfn.CONCAT(Tabela7[[#This Row],[DATA]],"+",Tabela7[[#This Row],[NOME]])</f>
        <v>#VALUE!</v>
      </c>
      <c r="N212" s="11" t="e" cm="1">
        <f t="array" ref="N212">_xlfn.XLOOKUP(M212,tabE.Flux[[#All],[COMP.AT. MOT A]],#REF!,"NÃO",0,1)</f>
        <v>#VALUE!</v>
      </c>
      <c r="O212" s="11" t="e" cm="1">
        <f t="array" ref="O212">_xlfn.XLOOKUP(M212,tabE.Flux[[#All],[COMP.AT. MOT B]],#REF!,"NÃO",0,1)</f>
        <v>#VALUE!</v>
      </c>
      <c r="P212" s="12" t="e">
        <f>IF(N212="NÃO",(IF(O212="NÃO",(_xlfn.CONCAT(Tabela7[[#This Row],[DATA]]-1,"+",Tabela7[[#This Row],[NOME]])),"NÃO")),"NÃO")</f>
        <v>#VALUE!</v>
      </c>
      <c r="Q212" s="11" t="e" cm="1">
        <f t="array" ref="Q212">IF(P212="NÃO","NÃO",_xlfn.XLOOKUP(P212,tabE.Flux[COMP.AT. MOT A],#REF!,"NÃO",0,1))</f>
        <v>#VALUE!</v>
      </c>
      <c r="R212" s="14" t="e" cm="1">
        <f t="array" ref="R212">IF(P212="NÃO","NÃO",_xlfn.XLOOKUP(P212,tabE.Flux[COMP.AT. MOT B],#REF!,"NÃO",0,1))</f>
        <v>#VALUE!</v>
      </c>
      <c r="S21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12" s="16" t="e" cm="1">
        <f t="array" ref="T21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12" s="41" t="e" cm="1">
        <f t="array" ref="U21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13" spans="12:21" x14ac:dyDescent="0.25">
      <c r="L213" s="36" t="e">
        <f>Tabela7[[#This Row],[ID]]</f>
        <v>#VALUE!</v>
      </c>
      <c r="M213" s="17" t="e">
        <f>_xlfn.CONCAT(Tabela7[[#This Row],[DATA]],"+",Tabela7[[#This Row],[NOME]])</f>
        <v>#VALUE!</v>
      </c>
      <c r="N213" s="11" t="e" cm="1">
        <f t="array" ref="N213">_xlfn.XLOOKUP(M213,tabE.Flux[[#All],[COMP.AT. MOT A]],#REF!,"NÃO",0,1)</f>
        <v>#VALUE!</v>
      </c>
      <c r="O213" s="11" t="e" cm="1">
        <f t="array" ref="O213">_xlfn.XLOOKUP(M213,tabE.Flux[[#All],[COMP.AT. MOT B]],#REF!,"NÃO",0,1)</f>
        <v>#VALUE!</v>
      </c>
      <c r="P213" s="12" t="e">
        <f>IF(N213="NÃO",(IF(O213="NÃO",(_xlfn.CONCAT(Tabela7[[#This Row],[DATA]]-1,"+",Tabela7[[#This Row],[NOME]])),"NÃO")),"NÃO")</f>
        <v>#VALUE!</v>
      </c>
      <c r="Q213" s="11" t="e" cm="1">
        <f t="array" ref="Q213">IF(P213="NÃO","NÃO",_xlfn.XLOOKUP(P213,tabE.Flux[COMP.AT. MOT A],#REF!,"NÃO",0,1))</f>
        <v>#VALUE!</v>
      </c>
      <c r="R213" s="14" t="e" cm="1">
        <f t="array" ref="R213">IF(P213="NÃO","NÃO",_xlfn.XLOOKUP(P213,tabE.Flux[COMP.AT. MOT B],#REF!,"NÃO",0,1))</f>
        <v>#VALUE!</v>
      </c>
      <c r="S21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13" s="16" t="e" cm="1">
        <f t="array" ref="T21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13" s="41" t="e" cm="1">
        <f t="array" ref="U21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14" spans="12:21" x14ac:dyDescent="0.25">
      <c r="L214" s="36" t="e">
        <f>Tabela7[[#This Row],[ID]]</f>
        <v>#VALUE!</v>
      </c>
      <c r="M214" s="17" t="e">
        <f>_xlfn.CONCAT(Tabela7[[#This Row],[DATA]],"+",Tabela7[[#This Row],[NOME]])</f>
        <v>#VALUE!</v>
      </c>
      <c r="N214" s="11" t="e" cm="1">
        <f t="array" ref="N214">_xlfn.XLOOKUP(M214,tabE.Flux[[#All],[COMP.AT. MOT A]],#REF!,"NÃO",0,1)</f>
        <v>#VALUE!</v>
      </c>
      <c r="O214" s="11" t="e" cm="1">
        <f t="array" ref="O214">_xlfn.XLOOKUP(M214,tabE.Flux[[#All],[COMP.AT. MOT B]],#REF!,"NÃO",0,1)</f>
        <v>#VALUE!</v>
      </c>
      <c r="P214" s="12" t="e">
        <f>IF(N214="NÃO",(IF(O214="NÃO",(_xlfn.CONCAT(Tabela7[[#This Row],[DATA]]-1,"+",Tabela7[[#This Row],[NOME]])),"NÃO")),"NÃO")</f>
        <v>#VALUE!</v>
      </c>
      <c r="Q214" s="11" t="e" cm="1">
        <f t="array" ref="Q214">IF(P214="NÃO","NÃO",_xlfn.XLOOKUP(P214,tabE.Flux[COMP.AT. MOT A],#REF!,"NÃO",0,1))</f>
        <v>#VALUE!</v>
      </c>
      <c r="R214" s="14" t="e" cm="1">
        <f t="array" ref="R214">IF(P214="NÃO","NÃO",_xlfn.XLOOKUP(P214,tabE.Flux[COMP.AT. MOT B],#REF!,"NÃO",0,1))</f>
        <v>#VALUE!</v>
      </c>
      <c r="S21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14" s="16" t="e" cm="1">
        <f t="array" ref="T21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14" s="41" t="e" cm="1">
        <f t="array" ref="U21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15" spans="12:21" x14ac:dyDescent="0.25">
      <c r="L215" s="36" t="e">
        <f>Tabela7[[#This Row],[ID]]</f>
        <v>#VALUE!</v>
      </c>
      <c r="M215" s="17" t="e">
        <f>_xlfn.CONCAT(Tabela7[[#This Row],[DATA]],"+",Tabela7[[#This Row],[NOME]])</f>
        <v>#VALUE!</v>
      </c>
      <c r="N215" s="11" t="e" cm="1">
        <f t="array" ref="N215">_xlfn.XLOOKUP(M215,tabE.Flux[[#All],[COMP.AT. MOT A]],#REF!,"NÃO",0,1)</f>
        <v>#VALUE!</v>
      </c>
      <c r="O215" s="11" t="e" cm="1">
        <f t="array" ref="O215">_xlfn.XLOOKUP(M215,tabE.Flux[[#All],[COMP.AT. MOT B]],#REF!,"NÃO",0,1)</f>
        <v>#VALUE!</v>
      </c>
      <c r="P215" s="12" t="e">
        <f>IF(N215="NÃO",(IF(O215="NÃO",(_xlfn.CONCAT(Tabela7[[#This Row],[DATA]]-1,"+",Tabela7[[#This Row],[NOME]])),"NÃO")),"NÃO")</f>
        <v>#VALUE!</v>
      </c>
      <c r="Q215" s="11" t="e" cm="1">
        <f t="array" ref="Q215">IF(P215="NÃO","NÃO",_xlfn.XLOOKUP(P215,tabE.Flux[COMP.AT. MOT A],#REF!,"NÃO",0,1))</f>
        <v>#VALUE!</v>
      </c>
      <c r="R215" s="14" t="e" cm="1">
        <f t="array" ref="R215">IF(P215="NÃO","NÃO",_xlfn.XLOOKUP(P215,tabE.Flux[COMP.AT. MOT B],#REF!,"NÃO",0,1))</f>
        <v>#VALUE!</v>
      </c>
      <c r="S21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15" s="16" t="e" cm="1">
        <f t="array" ref="T21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15" s="41" t="e" cm="1">
        <f t="array" ref="U21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16" spans="12:21" x14ac:dyDescent="0.25">
      <c r="L216" s="36" t="e">
        <f>Tabela7[[#This Row],[ID]]</f>
        <v>#VALUE!</v>
      </c>
      <c r="M216" s="17" t="e">
        <f>_xlfn.CONCAT(Tabela7[[#This Row],[DATA]],"+",Tabela7[[#This Row],[NOME]])</f>
        <v>#VALUE!</v>
      </c>
      <c r="N216" s="11" t="e" cm="1">
        <f t="array" ref="N216">_xlfn.XLOOKUP(M216,tabE.Flux[[#All],[COMP.AT. MOT A]],#REF!,"NÃO",0,1)</f>
        <v>#VALUE!</v>
      </c>
      <c r="O216" s="11" t="e" cm="1">
        <f t="array" ref="O216">_xlfn.XLOOKUP(M216,tabE.Flux[[#All],[COMP.AT. MOT B]],#REF!,"NÃO",0,1)</f>
        <v>#VALUE!</v>
      </c>
      <c r="P216" s="12" t="e">
        <f>IF(N216="NÃO",(IF(O216="NÃO",(_xlfn.CONCAT(Tabela7[[#This Row],[DATA]]-1,"+",Tabela7[[#This Row],[NOME]])),"NÃO")),"NÃO")</f>
        <v>#VALUE!</v>
      </c>
      <c r="Q216" s="11" t="e" cm="1">
        <f t="array" ref="Q216">IF(P216="NÃO","NÃO",_xlfn.XLOOKUP(P216,tabE.Flux[COMP.AT. MOT A],#REF!,"NÃO",0,1))</f>
        <v>#VALUE!</v>
      </c>
      <c r="R216" s="14" t="e" cm="1">
        <f t="array" ref="R216">IF(P216="NÃO","NÃO",_xlfn.XLOOKUP(P216,tabE.Flux[COMP.AT. MOT B],#REF!,"NÃO",0,1))</f>
        <v>#VALUE!</v>
      </c>
      <c r="S21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16" s="16" t="e" cm="1">
        <f t="array" ref="T21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16" s="41" t="e" cm="1">
        <f t="array" ref="U21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17" spans="12:21" x14ac:dyDescent="0.25">
      <c r="L217" s="36" t="e">
        <f>Tabela7[[#This Row],[ID]]</f>
        <v>#VALUE!</v>
      </c>
      <c r="M217" s="17" t="e">
        <f>_xlfn.CONCAT(Tabela7[[#This Row],[DATA]],"+",Tabela7[[#This Row],[NOME]])</f>
        <v>#VALUE!</v>
      </c>
      <c r="N217" s="11" t="e" cm="1">
        <f t="array" ref="N217">_xlfn.XLOOKUP(M217,tabE.Flux[[#All],[COMP.AT. MOT A]],#REF!,"NÃO",0,1)</f>
        <v>#VALUE!</v>
      </c>
      <c r="O217" s="11" t="e" cm="1">
        <f t="array" ref="O217">_xlfn.XLOOKUP(M217,tabE.Flux[[#All],[COMP.AT. MOT B]],#REF!,"NÃO",0,1)</f>
        <v>#VALUE!</v>
      </c>
      <c r="P217" s="12" t="e">
        <f>IF(N217="NÃO",(IF(O217="NÃO",(_xlfn.CONCAT(Tabela7[[#This Row],[DATA]]-1,"+",Tabela7[[#This Row],[NOME]])),"NÃO")),"NÃO")</f>
        <v>#VALUE!</v>
      </c>
      <c r="Q217" s="11" t="e" cm="1">
        <f t="array" ref="Q217">IF(P217="NÃO","NÃO",_xlfn.XLOOKUP(P217,tabE.Flux[COMP.AT. MOT A],#REF!,"NÃO",0,1))</f>
        <v>#VALUE!</v>
      </c>
      <c r="R217" s="14" t="e" cm="1">
        <f t="array" ref="R217">IF(P217="NÃO","NÃO",_xlfn.XLOOKUP(P217,tabE.Flux[COMP.AT. MOT B],#REF!,"NÃO",0,1))</f>
        <v>#VALUE!</v>
      </c>
      <c r="S21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17" s="16" t="e" cm="1">
        <f t="array" ref="T21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17" s="41" t="e" cm="1">
        <f t="array" ref="U21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18" spans="12:21" x14ac:dyDescent="0.25">
      <c r="L218" s="36" t="e">
        <f>Tabela7[[#This Row],[ID]]</f>
        <v>#VALUE!</v>
      </c>
      <c r="M218" s="17" t="e">
        <f>_xlfn.CONCAT(Tabela7[[#This Row],[DATA]],"+",Tabela7[[#This Row],[NOME]])</f>
        <v>#VALUE!</v>
      </c>
      <c r="N218" s="11" t="e" cm="1">
        <f t="array" ref="N218">_xlfn.XLOOKUP(M218,tabE.Flux[[#All],[COMP.AT. MOT A]],#REF!,"NÃO",0,1)</f>
        <v>#VALUE!</v>
      </c>
      <c r="O218" s="11" t="e" cm="1">
        <f t="array" ref="O218">_xlfn.XLOOKUP(M218,tabE.Flux[[#All],[COMP.AT. MOT B]],#REF!,"NÃO",0,1)</f>
        <v>#VALUE!</v>
      </c>
      <c r="P218" s="12" t="e">
        <f>IF(N218="NÃO",(IF(O218="NÃO",(_xlfn.CONCAT(Tabela7[[#This Row],[DATA]]-1,"+",Tabela7[[#This Row],[NOME]])),"NÃO")),"NÃO")</f>
        <v>#VALUE!</v>
      </c>
      <c r="Q218" s="11" t="e" cm="1">
        <f t="array" ref="Q218">IF(P218="NÃO","NÃO",_xlfn.XLOOKUP(P218,tabE.Flux[COMP.AT. MOT A],#REF!,"NÃO",0,1))</f>
        <v>#VALUE!</v>
      </c>
      <c r="R218" s="14" t="e" cm="1">
        <f t="array" ref="R218">IF(P218="NÃO","NÃO",_xlfn.XLOOKUP(P218,tabE.Flux[COMP.AT. MOT B],#REF!,"NÃO",0,1))</f>
        <v>#VALUE!</v>
      </c>
      <c r="S21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18" s="16" t="e" cm="1">
        <f t="array" ref="T21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18" s="41" t="e" cm="1">
        <f t="array" ref="U21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19" spans="12:21" x14ac:dyDescent="0.25">
      <c r="L219" s="36" t="e">
        <f>Tabela7[[#This Row],[ID]]</f>
        <v>#VALUE!</v>
      </c>
      <c r="M219" s="17" t="e">
        <f>_xlfn.CONCAT(Tabela7[[#This Row],[DATA]],"+",Tabela7[[#This Row],[NOME]])</f>
        <v>#VALUE!</v>
      </c>
      <c r="N219" s="11" t="e" cm="1">
        <f t="array" ref="N219">_xlfn.XLOOKUP(M219,tabE.Flux[[#All],[COMP.AT. MOT A]],#REF!,"NÃO",0,1)</f>
        <v>#VALUE!</v>
      </c>
      <c r="O219" s="11" t="e" cm="1">
        <f t="array" ref="O219">_xlfn.XLOOKUP(M219,tabE.Flux[[#All],[COMP.AT. MOT B]],#REF!,"NÃO",0,1)</f>
        <v>#VALUE!</v>
      </c>
      <c r="P219" s="12" t="e">
        <f>IF(N219="NÃO",(IF(O219="NÃO",(_xlfn.CONCAT(Tabela7[[#This Row],[DATA]]-1,"+",Tabela7[[#This Row],[NOME]])),"NÃO")),"NÃO")</f>
        <v>#VALUE!</v>
      </c>
      <c r="Q219" s="11" t="e" cm="1">
        <f t="array" ref="Q219">IF(P219="NÃO","NÃO",_xlfn.XLOOKUP(P219,tabE.Flux[COMP.AT. MOT A],#REF!,"NÃO",0,1))</f>
        <v>#VALUE!</v>
      </c>
      <c r="R219" s="14" t="e" cm="1">
        <f t="array" ref="R219">IF(P219="NÃO","NÃO",_xlfn.XLOOKUP(P219,tabE.Flux[COMP.AT. MOT B],#REF!,"NÃO",0,1))</f>
        <v>#VALUE!</v>
      </c>
      <c r="S21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19" s="16" t="e" cm="1">
        <f t="array" ref="T21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19" s="41" t="e" cm="1">
        <f t="array" ref="U21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20" spans="12:21" x14ac:dyDescent="0.25">
      <c r="L220" s="36" t="e">
        <f>Tabela7[[#This Row],[ID]]</f>
        <v>#VALUE!</v>
      </c>
      <c r="M220" s="17" t="e">
        <f>_xlfn.CONCAT(Tabela7[[#This Row],[DATA]],"+",Tabela7[[#This Row],[NOME]])</f>
        <v>#VALUE!</v>
      </c>
      <c r="N220" s="11" t="e" cm="1">
        <f t="array" ref="N220">_xlfn.XLOOKUP(M220,tabE.Flux[[#All],[COMP.AT. MOT A]],#REF!,"NÃO",0,1)</f>
        <v>#VALUE!</v>
      </c>
      <c r="O220" s="11" t="e" cm="1">
        <f t="array" ref="O220">_xlfn.XLOOKUP(M220,tabE.Flux[[#All],[COMP.AT. MOT B]],#REF!,"NÃO",0,1)</f>
        <v>#VALUE!</v>
      </c>
      <c r="P220" s="12" t="e">
        <f>IF(N220="NÃO",(IF(O220="NÃO",(_xlfn.CONCAT(Tabela7[[#This Row],[DATA]]-1,"+",Tabela7[[#This Row],[NOME]])),"NÃO")),"NÃO")</f>
        <v>#VALUE!</v>
      </c>
      <c r="Q220" s="11" t="e" cm="1">
        <f t="array" ref="Q220">IF(P220="NÃO","NÃO",_xlfn.XLOOKUP(P220,tabE.Flux[COMP.AT. MOT A],#REF!,"NÃO",0,1))</f>
        <v>#VALUE!</v>
      </c>
      <c r="R220" s="14" t="e" cm="1">
        <f t="array" ref="R220">IF(P220="NÃO","NÃO",_xlfn.XLOOKUP(P220,tabE.Flux[COMP.AT. MOT B],#REF!,"NÃO",0,1))</f>
        <v>#VALUE!</v>
      </c>
      <c r="S22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20" s="16" t="e" cm="1">
        <f t="array" ref="T22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20" s="41" t="e" cm="1">
        <f t="array" ref="U22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21" spans="12:21" x14ac:dyDescent="0.25">
      <c r="L221" s="36" t="e">
        <f>Tabela7[[#This Row],[ID]]</f>
        <v>#VALUE!</v>
      </c>
      <c r="M221" s="17" t="e">
        <f>_xlfn.CONCAT(Tabela7[[#This Row],[DATA]],"+",Tabela7[[#This Row],[NOME]])</f>
        <v>#VALUE!</v>
      </c>
      <c r="N221" s="11" t="e" cm="1">
        <f t="array" ref="N221">_xlfn.XLOOKUP(M221,tabE.Flux[[#All],[COMP.AT. MOT A]],#REF!,"NÃO",0,1)</f>
        <v>#VALUE!</v>
      </c>
      <c r="O221" s="11" t="e" cm="1">
        <f t="array" ref="O221">_xlfn.XLOOKUP(M221,tabE.Flux[[#All],[COMP.AT. MOT B]],#REF!,"NÃO",0,1)</f>
        <v>#VALUE!</v>
      </c>
      <c r="P221" s="12" t="e">
        <f>IF(N221="NÃO",(IF(O221="NÃO",(_xlfn.CONCAT(Tabela7[[#This Row],[DATA]]-1,"+",Tabela7[[#This Row],[NOME]])),"NÃO")),"NÃO")</f>
        <v>#VALUE!</v>
      </c>
      <c r="Q221" s="11" t="e" cm="1">
        <f t="array" ref="Q221">IF(P221="NÃO","NÃO",_xlfn.XLOOKUP(P221,tabE.Flux[COMP.AT. MOT A],#REF!,"NÃO",0,1))</f>
        <v>#VALUE!</v>
      </c>
      <c r="R221" s="14" t="e" cm="1">
        <f t="array" ref="R221">IF(P221="NÃO","NÃO",_xlfn.XLOOKUP(P221,tabE.Flux[COMP.AT. MOT B],#REF!,"NÃO",0,1))</f>
        <v>#VALUE!</v>
      </c>
      <c r="S22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21" s="16" t="e" cm="1">
        <f t="array" ref="T22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21" s="41" t="e" cm="1">
        <f t="array" ref="U22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22" spans="12:21" x14ac:dyDescent="0.25">
      <c r="L222" s="36" t="e">
        <f>Tabela7[[#This Row],[ID]]</f>
        <v>#VALUE!</v>
      </c>
      <c r="M222" s="17" t="e">
        <f>_xlfn.CONCAT(Tabela7[[#This Row],[DATA]],"+",Tabela7[[#This Row],[NOME]])</f>
        <v>#VALUE!</v>
      </c>
      <c r="N222" s="11" t="e" cm="1">
        <f t="array" ref="N222">_xlfn.XLOOKUP(M222,tabE.Flux[[#All],[COMP.AT. MOT A]],#REF!,"NÃO",0,1)</f>
        <v>#VALUE!</v>
      </c>
      <c r="O222" s="11" t="e" cm="1">
        <f t="array" ref="O222">_xlfn.XLOOKUP(M222,tabE.Flux[[#All],[COMP.AT. MOT B]],#REF!,"NÃO",0,1)</f>
        <v>#VALUE!</v>
      </c>
      <c r="P222" s="12" t="e">
        <f>IF(N222="NÃO",(IF(O222="NÃO",(_xlfn.CONCAT(Tabela7[[#This Row],[DATA]]-1,"+",Tabela7[[#This Row],[NOME]])),"NÃO")),"NÃO")</f>
        <v>#VALUE!</v>
      </c>
      <c r="Q222" s="11" t="e" cm="1">
        <f t="array" ref="Q222">IF(P222="NÃO","NÃO",_xlfn.XLOOKUP(P222,tabE.Flux[COMP.AT. MOT A],#REF!,"NÃO",0,1))</f>
        <v>#VALUE!</v>
      </c>
      <c r="R222" s="14" t="e" cm="1">
        <f t="array" ref="R222">IF(P222="NÃO","NÃO",_xlfn.XLOOKUP(P222,tabE.Flux[COMP.AT. MOT B],#REF!,"NÃO",0,1))</f>
        <v>#VALUE!</v>
      </c>
      <c r="S22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22" s="16" t="e" cm="1">
        <f t="array" ref="T22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22" s="41" t="e" cm="1">
        <f t="array" ref="U22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23" spans="12:21" x14ac:dyDescent="0.25">
      <c r="L223" s="36" t="e">
        <f>Tabela7[[#This Row],[ID]]</f>
        <v>#VALUE!</v>
      </c>
      <c r="M223" s="17" t="e">
        <f>_xlfn.CONCAT(Tabela7[[#This Row],[DATA]],"+",Tabela7[[#This Row],[NOME]])</f>
        <v>#VALUE!</v>
      </c>
      <c r="N223" s="11" t="e" cm="1">
        <f t="array" ref="N223">_xlfn.XLOOKUP(M223,tabE.Flux[[#All],[COMP.AT. MOT A]],#REF!,"NÃO",0,1)</f>
        <v>#VALUE!</v>
      </c>
      <c r="O223" s="11" t="e" cm="1">
        <f t="array" ref="O223">_xlfn.XLOOKUP(M223,tabE.Flux[[#All],[COMP.AT. MOT B]],#REF!,"NÃO",0,1)</f>
        <v>#VALUE!</v>
      </c>
      <c r="P223" s="12" t="e">
        <f>IF(N223="NÃO",(IF(O223="NÃO",(_xlfn.CONCAT(Tabela7[[#This Row],[DATA]]-1,"+",Tabela7[[#This Row],[NOME]])),"NÃO")),"NÃO")</f>
        <v>#VALUE!</v>
      </c>
      <c r="Q223" s="11" t="e" cm="1">
        <f t="array" ref="Q223">IF(P223="NÃO","NÃO",_xlfn.XLOOKUP(P223,tabE.Flux[COMP.AT. MOT A],#REF!,"NÃO",0,1))</f>
        <v>#VALUE!</v>
      </c>
      <c r="R223" s="14" t="e" cm="1">
        <f t="array" ref="R223">IF(P223="NÃO","NÃO",_xlfn.XLOOKUP(P223,tabE.Flux[COMP.AT. MOT B],#REF!,"NÃO",0,1))</f>
        <v>#VALUE!</v>
      </c>
      <c r="S22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23" s="16" t="e" cm="1">
        <f t="array" ref="T22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23" s="41" t="e" cm="1">
        <f t="array" ref="U22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24" spans="12:21" x14ac:dyDescent="0.25">
      <c r="L224" s="36" t="e">
        <f>Tabela7[[#This Row],[ID]]</f>
        <v>#VALUE!</v>
      </c>
      <c r="M224" s="17" t="e">
        <f>_xlfn.CONCAT(Tabela7[[#This Row],[DATA]],"+",Tabela7[[#This Row],[NOME]])</f>
        <v>#VALUE!</v>
      </c>
      <c r="N224" s="11" t="e" cm="1">
        <f t="array" ref="N224">_xlfn.XLOOKUP(M224,tabE.Flux[[#All],[COMP.AT. MOT A]],#REF!,"NÃO",0,1)</f>
        <v>#VALUE!</v>
      </c>
      <c r="O224" s="11" t="e" cm="1">
        <f t="array" ref="O224">_xlfn.XLOOKUP(M224,tabE.Flux[[#All],[COMP.AT. MOT B]],#REF!,"NÃO",0,1)</f>
        <v>#VALUE!</v>
      </c>
      <c r="P224" s="12" t="e">
        <f>IF(N224="NÃO",(IF(O224="NÃO",(_xlfn.CONCAT(Tabela7[[#This Row],[DATA]]-1,"+",Tabela7[[#This Row],[NOME]])),"NÃO")),"NÃO")</f>
        <v>#VALUE!</v>
      </c>
      <c r="Q224" s="11" t="e" cm="1">
        <f t="array" ref="Q224">IF(P224="NÃO","NÃO",_xlfn.XLOOKUP(P224,tabE.Flux[COMP.AT. MOT A],#REF!,"NÃO",0,1))</f>
        <v>#VALUE!</v>
      </c>
      <c r="R224" s="14" t="e" cm="1">
        <f t="array" ref="R224">IF(P224="NÃO","NÃO",_xlfn.XLOOKUP(P224,tabE.Flux[COMP.AT. MOT B],#REF!,"NÃO",0,1))</f>
        <v>#VALUE!</v>
      </c>
      <c r="S22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24" s="16" t="e" cm="1">
        <f t="array" ref="T22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24" s="41" t="e" cm="1">
        <f t="array" ref="U22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25" spans="12:21" x14ac:dyDescent="0.25">
      <c r="L225" s="36" t="e">
        <f>Tabela7[[#This Row],[ID]]</f>
        <v>#VALUE!</v>
      </c>
      <c r="M225" s="17" t="e">
        <f>_xlfn.CONCAT(Tabela7[[#This Row],[DATA]],"+",Tabela7[[#This Row],[NOME]])</f>
        <v>#VALUE!</v>
      </c>
      <c r="N225" s="11" t="e" cm="1">
        <f t="array" ref="N225">_xlfn.XLOOKUP(M225,tabE.Flux[[#All],[COMP.AT. MOT A]],#REF!,"NÃO",0,1)</f>
        <v>#VALUE!</v>
      </c>
      <c r="O225" s="11" t="e" cm="1">
        <f t="array" ref="O225">_xlfn.XLOOKUP(M225,tabE.Flux[[#All],[COMP.AT. MOT B]],#REF!,"NÃO",0,1)</f>
        <v>#VALUE!</v>
      </c>
      <c r="P225" s="12" t="e">
        <f>IF(N225="NÃO",(IF(O225="NÃO",(_xlfn.CONCAT(Tabela7[[#This Row],[DATA]]-1,"+",Tabela7[[#This Row],[NOME]])),"NÃO")),"NÃO")</f>
        <v>#VALUE!</v>
      </c>
      <c r="Q225" s="11" t="e" cm="1">
        <f t="array" ref="Q225">IF(P225="NÃO","NÃO",_xlfn.XLOOKUP(P225,tabE.Flux[COMP.AT. MOT A],#REF!,"NÃO",0,1))</f>
        <v>#VALUE!</v>
      </c>
      <c r="R225" s="14" t="e" cm="1">
        <f t="array" ref="R225">IF(P225="NÃO","NÃO",_xlfn.XLOOKUP(P225,tabE.Flux[COMP.AT. MOT B],#REF!,"NÃO",0,1))</f>
        <v>#VALUE!</v>
      </c>
      <c r="S22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25" s="16" t="e" cm="1">
        <f t="array" ref="T22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25" s="41" t="e" cm="1">
        <f t="array" ref="U22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26" spans="12:21" x14ac:dyDescent="0.25">
      <c r="L226" s="36" t="e">
        <f>Tabela7[[#This Row],[ID]]</f>
        <v>#VALUE!</v>
      </c>
      <c r="M226" s="17" t="e">
        <f>_xlfn.CONCAT(Tabela7[[#This Row],[DATA]],"+",Tabela7[[#This Row],[NOME]])</f>
        <v>#VALUE!</v>
      </c>
      <c r="N226" s="11" t="e" cm="1">
        <f t="array" ref="N226">_xlfn.XLOOKUP(M226,tabE.Flux[[#All],[COMP.AT. MOT A]],#REF!,"NÃO",0,1)</f>
        <v>#VALUE!</v>
      </c>
      <c r="O226" s="11" t="e" cm="1">
        <f t="array" ref="O226">_xlfn.XLOOKUP(M226,tabE.Flux[[#All],[COMP.AT. MOT B]],#REF!,"NÃO",0,1)</f>
        <v>#VALUE!</v>
      </c>
      <c r="P226" s="12" t="e">
        <f>IF(N226="NÃO",(IF(O226="NÃO",(_xlfn.CONCAT(Tabela7[[#This Row],[DATA]]-1,"+",Tabela7[[#This Row],[NOME]])),"NÃO")),"NÃO")</f>
        <v>#VALUE!</v>
      </c>
      <c r="Q226" s="11" t="e" cm="1">
        <f t="array" ref="Q226">IF(P226="NÃO","NÃO",_xlfn.XLOOKUP(P226,tabE.Flux[COMP.AT. MOT A],#REF!,"NÃO",0,1))</f>
        <v>#VALUE!</v>
      </c>
      <c r="R226" s="14" t="e" cm="1">
        <f t="array" ref="R226">IF(P226="NÃO","NÃO",_xlfn.XLOOKUP(P226,tabE.Flux[COMP.AT. MOT B],#REF!,"NÃO",0,1))</f>
        <v>#VALUE!</v>
      </c>
      <c r="S22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26" s="16" t="e" cm="1">
        <f t="array" ref="T22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26" s="41" t="e" cm="1">
        <f t="array" ref="U22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27" spans="12:21" x14ac:dyDescent="0.25">
      <c r="L227" s="36" t="e">
        <f>Tabela7[[#This Row],[ID]]</f>
        <v>#VALUE!</v>
      </c>
      <c r="M227" s="17" t="e">
        <f>_xlfn.CONCAT(Tabela7[[#This Row],[DATA]],"+",Tabela7[[#This Row],[NOME]])</f>
        <v>#VALUE!</v>
      </c>
      <c r="N227" s="11" t="e" cm="1">
        <f t="array" ref="N227">_xlfn.XLOOKUP(M227,tabE.Flux[[#All],[COMP.AT. MOT A]],#REF!,"NÃO",0,1)</f>
        <v>#VALUE!</v>
      </c>
      <c r="O227" s="11" t="e" cm="1">
        <f t="array" ref="O227">_xlfn.XLOOKUP(M227,tabE.Flux[[#All],[COMP.AT. MOT B]],#REF!,"NÃO",0,1)</f>
        <v>#VALUE!</v>
      </c>
      <c r="P227" s="12" t="e">
        <f>IF(N227="NÃO",(IF(O227="NÃO",(_xlfn.CONCAT(Tabela7[[#This Row],[DATA]]-1,"+",Tabela7[[#This Row],[NOME]])),"NÃO")),"NÃO")</f>
        <v>#VALUE!</v>
      </c>
      <c r="Q227" s="11" t="e" cm="1">
        <f t="array" ref="Q227">IF(P227="NÃO","NÃO",_xlfn.XLOOKUP(P227,tabE.Flux[COMP.AT. MOT A],#REF!,"NÃO",0,1))</f>
        <v>#VALUE!</v>
      </c>
      <c r="R227" s="14" t="e" cm="1">
        <f t="array" ref="R227">IF(P227="NÃO","NÃO",_xlfn.XLOOKUP(P227,tabE.Flux[COMP.AT. MOT B],#REF!,"NÃO",0,1))</f>
        <v>#VALUE!</v>
      </c>
      <c r="S22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27" s="16" t="e" cm="1">
        <f t="array" ref="T22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27" s="41" t="e" cm="1">
        <f t="array" ref="U22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28" spans="12:21" x14ac:dyDescent="0.25">
      <c r="L228" s="36" t="e">
        <f>Tabela7[[#This Row],[ID]]</f>
        <v>#VALUE!</v>
      </c>
      <c r="M228" s="17" t="e">
        <f>_xlfn.CONCAT(Tabela7[[#This Row],[DATA]],"+",Tabela7[[#This Row],[NOME]])</f>
        <v>#VALUE!</v>
      </c>
      <c r="N228" s="11" t="e" cm="1">
        <f t="array" ref="N228">_xlfn.XLOOKUP(M228,tabE.Flux[[#All],[COMP.AT. MOT A]],#REF!,"NÃO",0,1)</f>
        <v>#VALUE!</v>
      </c>
      <c r="O228" s="11" t="e" cm="1">
        <f t="array" ref="O228">_xlfn.XLOOKUP(M228,tabE.Flux[[#All],[COMP.AT. MOT B]],#REF!,"NÃO",0,1)</f>
        <v>#VALUE!</v>
      </c>
      <c r="P228" s="12" t="e">
        <f>IF(N228="NÃO",(IF(O228="NÃO",(_xlfn.CONCAT(Tabela7[[#This Row],[DATA]]-1,"+",Tabela7[[#This Row],[NOME]])),"NÃO")),"NÃO")</f>
        <v>#VALUE!</v>
      </c>
      <c r="Q228" s="11" t="e" cm="1">
        <f t="array" ref="Q228">IF(P228="NÃO","NÃO",_xlfn.XLOOKUP(P228,tabE.Flux[COMP.AT. MOT A],#REF!,"NÃO",0,1))</f>
        <v>#VALUE!</v>
      </c>
      <c r="R228" s="14" t="e" cm="1">
        <f t="array" ref="R228">IF(P228="NÃO","NÃO",_xlfn.XLOOKUP(P228,tabE.Flux[COMP.AT. MOT B],#REF!,"NÃO",0,1))</f>
        <v>#VALUE!</v>
      </c>
      <c r="S22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28" s="16" t="e" cm="1">
        <f t="array" ref="T22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28" s="41" t="e" cm="1">
        <f t="array" ref="U22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29" spans="12:21" x14ac:dyDescent="0.25">
      <c r="L229" s="36" t="e">
        <f>Tabela7[[#This Row],[ID]]</f>
        <v>#VALUE!</v>
      </c>
      <c r="M229" s="17" t="e">
        <f>_xlfn.CONCAT(Tabela7[[#This Row],[DATA]],"+",Tabela7[[#This Row],[NOME]])</f>
        <v>#VALUE!</v>
      </c>
      <c r="N229" s="11" t="e" cm="1">
        <f t="array" ref="N229">_xlfn.XLOOKUP(M229,tabE.Flux[[#All],[COMP.AT. MOT A]],#REF!,"NÃO",0,1)</f>
        <v>#VALUE!</v>
      </c>
      <c r="O229" s="11" t="e" cm="1">
        <f t="array" ref="O229">_xlfn.XLOOKUP(M229,tabE.Flux[[#All],[COMP.AT. MOT B]],#REF!,"NÃO",0,1)</f>
        <v>#VALUE!</v>
      </c>
      <c r="P229" s="12" t="e">
        <f>IF(N229="NÃO",(IF(O229="NÃO",(_xlfn.CONCAT(Tabela7[[#This Row],[DATA]]-1,"+",Tabela7[[#This Row],[NOME]])),"NÃO")),"NÃO")</f>
        <v>#VALUE!</v>
      </c>
      <c r="Q229" s="11" t="e" cm="1">
        <f t="array" ref="Q229">IF(P229="NÃO","NÃO",_xlfn.XLOOKUP(P229,tabE.Flux[COMP.AT. MOT A],#REF!,"NÃO",0,1))</f>
        <v>#VALUE!</v>
      </c>
      <c r="R229" s="14" t="e" cm="1">
        <f t="array" ref="R229">IF(P229="NÃO","NÃO",_xlfn.XLOOKUP(P229,tabE.Flux[COMP.AT. MOT B],#REF!,"NÃO",0,1))</f>
        <v>#VALUE!</v>
      </c>
      <c r="S22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29" s="16" t="e" cm="1">
        <f t="array" ref="T22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29" s="41" t="e" cm="1">
        <f t="array" ref="U22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30" spans="12:21" x14ac:dyDescent="0.25">
      <c r="L230" s="36" t="e">
        <f>Tabela7[[#This Row],[ID]]</f>
        <v>#VALUE!</v>
      </c>
      <c r="M230" s="17" t="e">
        <f>_xlfn.CONCAT(Tabela7[[#This Row],[DATA]],"+",Tabela7[[#This Row],[NOME]])</f>
        <v>#VALUE!</v>
      </c>
      <c r="N230" s="11" t="e" cm="1">
        <f t="array" ref="N230">_xlfn.XLOOKUP(M230,tabE.Flux[[#All],[COMP.AT. MOT A]],#REF!,"NÃO",0,1)</f>
        <v>#VALUE!</v>
      </c>
      <c r="O230" s="11" t="e" cm="1">
        <f t="array" ref="O230">_xlfn.XLOOKUP(M230,tabE.Flux[[#All],[COMP.AT. MOT B]],#REF!,"NÃO",0,1)</f>
        <v>#VALUE!</v>
      </c>
      <c r="P230" s="12" t="e">
        <f>IF(N230="NÃO",(IF(O230="NÃO",(_xlfn.CONCAT(Tabela7[[#This Row],[DATA]]-1,"+",Tabela7[[#This Row],[NOME]])),"NÃO")),"NÃO")</f>
        <v>#VALUE!</v>
      </c>
      <c r="Q230" s="11" t="e" cm="1">
        <f t="array" ref="Q230">IF(P230="NÃO","NÃO",_xlfn.XLOOKUP(P230,tabE.Flux[COMP.AT. MOT A],#REF!,"NÃO",0,1))</f>
        <v>#VALUE!</v>
      </c>
      <c r="R230" s="14" t="e" cm="1">
        <f t="array" ref="R230">IF(P230="NÃO","NÃO",_xlfn.XLOOKUP(P230,tabE.Flux[COMP.AT. MOT B],#REF!,"NÃO",0,1))</f>
        <v>#VALUE!</v>
      </c>
      <c r="S23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30" s="16" t="e" cm="1">
        <f t="array" ref="T23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30" s="41" t="e" cm="1">
        <f t="array" ref="U23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31" spans="12:21" x14ac:dyDescent="0.25">
      <c r="L231" s="36" t="e">
        <f>Tabela7[[#This Row],[ID]]</f>
        <v>#VALUE!</v>
      </c>
      <c r="M231" s="17" t="e">
        <f>_xlfn.CONCAT(Tabela7[[#This Row],[DATA]],"+",Tabela7[[#This Row],[NOME]])</f>
        <v>#VALUE!</v>
      </c>
      <c r="N231" s="11" t="e" cm="1">
        <f t="array" ref="N231">_xlfn.XLOOKUP(M231,tabE.Flux[[#All],[COMP.AT. MOT A]],#REF!,"NÃO",0,1)</f>
        <v>#VALUE!</v>
      </c>
      <c r="O231" s="11" t="e" cm="1">
        <f t="array" ref="O231">_xlfn.XLOOKUP(M231,tabE.Flux[[#All],[COMP.AT. MOT B]],#REF!,"NÃO",0,1)</f>
        <v>#VALUE!</v>
      </c>
      <c r="P231" s="12" t="e">
        <f>IF(N231="NÃO",(IF(O231="NÃO",(_xlfn.CONCAT(Tabela7[[#This Row],[DATA]]-1,"+",Tabela7[[#This Row],[NOME]])),"NÃO")),"NÃO")</f>
        <v>#VALUE!</v>
      </c>
      <c r="Q231" s="11" t="e" cm="1">
        <f t="array" ref="Q231">IF(P231="NÃO","NÃO",_xlfn.XLOOKUP(P231,tabE.Flux[COMP.AT. MOT A],#REF!,"NÃO",0,1))</f>
        <v>#VALUE!</v>
      </c>
      <c r="R231" s="14" t="e" cm="1">
        <f t="array" ref="R231">IF(P231="NÃO","NÃO",_xlfn.XLOOKUP(P231,tabE.Flux[COMP.AT. MOT B],#REF!,"NÃO",0,1))</f>
        <v>#VALUE!</v>
      </c>
      <c r="S23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31" s="16" t="e" cm="1">
        <f t="array" ref="T23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31" s="41" t="e" cm="1">
        <f t="array" ref="U23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32" spans="12:21" x14ac:dyDescent="0.25">
      <c r="L232" s="36" t="e">
        <f>Tabela7[[#This Row],[ID]]</f>
        <v>#VALUE!</v>
      </c>
      <c r="M232" s="17" t="e">
        <f>_xlfn.CONCAT(Tabela7[[#This Row],[DATA]],"+",Tabela7[[#This Row],[NOME]])</f>
        <v>#VALUE!</v>
      </c>
      <c r="N232" s="11" t="e" cm="1">
        <f t="array" ref="N232">_xlfn.XLOOKUP(M232,tabE.Flux[[#All],[COMP.AT. MOT A]],#REF!,"NÃO",0,1)</f>
        <v>#VALUE!</v>
      </c>
      <c r="O232" s="11" t="e" cm="1">
        <f t="array" ref="O232">_xlfn.XLOOKUP(M232,tabE.Flux[[#All],[COMP.AT. MOT B]],#REF!,"NÃO",0,1)</f>
        <v>#VALUE!</v>
      </c>
      <c r="P232" s="12" t="e">
        <f>IF(N232="NÃO",(IF(O232="NÃO",(_xlfn.CONCAT(Tabela7[[#This Row],[DATA]]-1,"+",Tabela7[[#This Row],[NOME]])),"NÃO")),"NÃO")</f>
        <v>#VALUE!</v>
      </c>
      <c r="Q232" s="11" t="e" cm="1">
        <f t="array" ref="Q232">IF(P232="NÃO","NÃO",_xlfn.XLOOKUP(P232,tabE.Flux[COMP.AT. MOT A],#REF!,"NÃO",0,1))</f>
        <v>#VALUE!</v>
      </c>
      <c r="R232" s="14" t="e" cm="1">
        <f t="array" ref="R232">IF(P232="NÃO","NÃO",_xlfn.XLOOKUP(P232,tabE.Flux[COMP.AT. MOT B],#REF!,"NÃO",0,1))</f>
        <v>#VALUE!</v>
      </c>
      <c r="S23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32" s="16" t="e" cm="1">
        <f t="array" ref="T23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32" s="41" t="e" cm="1">
        <f t="array" ref="U23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33" spans="12:21" x14ac:dyDescent="0.25">
      <c r="L233" s="36" t="e">
        <f>Tabela7[[#This Row],[ID]]</f>
        <v>#VALUE!</v>
      </c>
      <c r="M233" s="17" t="e">
        <f>_xlfn.CONCAT(Tabela7[[#This Row],[DATA]],"+",Tabela7[[#This Row],[NOME]])</f>
        <v>#VALUE!</v>
      </c>
      <c r="N233" s="11" t="e" cm="1">
        <f t="array" ref="N233">_xlfn.XLOOKUP(M233,tabE.Flux[[#All],[COMP.AT. MOT A]],#REF!,"NÃO",0,1)</f>
        <v>#VALUE!</v>
      </c>
      <c r="O233" s="11" t="e" cm="1">
        <f t="array" ref="O233">_xlfn.XLOOKUP(M233,tabE.Flux[[#All],[COMP.AT. MOT B]],#REF!,"NÃO",0,1)</f>
        <v>#VALUE!</v>
      </c>
      <c r="P233" s="12" t="e">
        <f>IF(N233="NÃO",(IF(O233="NÃO",(_xlfn.CONCAT(Tabela7[[#This Row],[DATA]]-1,"+",Tabela7[[#This Row],[NOME]])),"NÃO")),"NÃO")</f>
        <v>#VALUE!</v>
      </c>
      <c r="Q233" s="11" t="e" cm="1">
        <f t="array" ref="Q233">IF(P233="NÃO","NÃO",_xlfn.XLOOKUP(P233,tabE.Flux[COMP.AT. MOT A],#REF!,"NÃO",0,1))</f>
        <v>#VALUE!</v>
      </c>
      <c r="R233" s="14" t="e" cm="1">
        <f t="array" ref="R233">IF(P233="NÃO","NÃO",_xlfn.XLOOKUP(P233,tabE.Flux[COMP.AT. MOT B],#REF!,"NÃO",0,1))</f>
        <v>#VALUE!</v>
      </c>
      <c r="S23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33" s="16" t="e" cm="1">
        <f t="array" ref="T23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33" s="41" t="e" cm="1">
        <f t="array" ref="U23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34" spans="12:21" x14ac:dyDescent="0.25">
      <c r="L234" s="36" t="e">
        <f>Tabela7[[#This Row],[ID]]</f>
        <v>#VALUE!</v>
      </c>
      <c r="M234" s="17" t="e">
        <f>_xlfn.CONCAT(Tabela7[[#This Row],[DATA]],"+",Tabela7[[#This Row],[NOME]])</f>
        <v>#VALUE!</v>
      </c>
      <c r="N234" s="11" t="e" cm="1">
        <f t="array" ref="N234">_xlfn.XLOOKUP(M234,tabE.Flux[[#All],[COMP.AT. MOT A]],#REF!,"NÃO",0,1)</f>
        <v>#VALUE!</v>
      </c>
      <c r="O234" s="11" t="e" cm="1">
        <f t="array" ref="O234">_xlfn.XLOOKUP(M234,tabE.Flux[[#All],[COMP.AT. MOT B]],#REF!,"NÃO",0,1)</f>
        <v>#VALUE!</v>
      </c>
      <c r="P234" s="12" t="e">
        <f>IF(N234="NÃO",(IF(O234="NÃO",(_xlfn.CONCAT(Tabela7[[#This Row],[DATA]]-1,"+",Tabela7[[#This Row],[NOME]])),"NÃO")),"NÃO")</f>
        <v>#VALUE!</v>
      </c>
      <c r="Q234" s="11" t="e" cm="1">
        <f t="array" ref="Q234">IF(P234="NÃO","NÃO",_xlfn.XLOOKUP(P234,tabE.Flux[COMP.AT. MOT A],#REF!,"NÃO",0,1))</f>
        <v>#VALUE!</v>
      </c>
      <c r="R234" s="14" t="e" cm="1">
        <f t="array" ref="R234">IF(P234="NÃO","NÃO",_xlfn.XLOOKUP(P234,tabE.Flux[COMP.AT. MOT B],#REF!,"NÃO",0,1))</f>
        <v>#VALUE!</v>
      </c>
      <c r="S23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34" s="16" t="e" cm="1">
        <f t="array" ref="T23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34" s="41" t="e" cm="1">
        <f t="array" ref="U23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35" spans="12:21" x14ac:dyDescent="0.25">
      <c r="L235" s="36" t="e">
        <f>Tabela7[[#This Row],[ID]]</f>
        <v>#VALUE!</v>
      </c>
      <c r="M235" s="17" t="e">
        <f>_xlfn.CONCAT(Tabela7[[#This Row],[DATA]],"+",Tabela7[[#This Row],[NOME]])</f>
        <v>#VALUE!</v>
      </c>
      <c r="N235" s="11" t="e" cm="1">
        <f t="array" ref="N235">_xlfn.XLOOKUP(M235,tabE.Flux[[#All],[COMP.AT. MOT A]],#REF!,"NÃO",0,1)</f>
        <v>#VALUE!</v>
      </c>
      <c r="O235" s="11" t="e" cm="1">
        <f t="array" ref="O235">_xlfn.XLOOKUP(M235,tabE.Flux[[#All],[COMP.AT. MOT B]],#REF!,"NÃO",0,1)</f>
        <v>#VALUE!</v>
      </c>
      <c r="P235" s="12" t="e">
        <f>IF(N235="NÃO",(IF(O235="NÃO",(_xlfn.CONCAT(Tabela7[[#This Row],[DATA]]-1,"+",Tabela7[[#This Row],[NOME]])),"NÃO")),"NÃO")</f>
        <v>#VALUE!</v>
      </c>
      <c r="Q235" s="11" t="e" cm="1">
        <f t="array" ref="Q235">IF(P235="NÃO","NÃO",_xlfn.XLOOKUP(P235,tabE.Flux[COMP.AT. MOT A],#REF!,"NÃO",0,1))</f>
        <v>#VALUE!</v>
      </c>
      <c r="R235" s="14" t="e" cm="1">
        <f t="array" ref="R235">IF(P235="NÃO","NÃO",_xlfn.XLOOKUP(P235,tabE.Flux[COMP.AT. MOT B],#REF!,"NÃO",0,1))</f>
        <v>#VALUE!</v>
      </c>
      <c r="S23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35" s="16" t="e" cm="1">
        <f t="array" ref="T23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35" s="41" t="e" cm="1">
        <f t="array" ref="U23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36" spans="12:21" x14ac:dyDescent="0.25">
      <c r="L236" s="36" t="e">
        <f>Tabela7[[#This Row],[ID]]</f>
        <v>#VALUE!</v>
      </c>
      <c r="M236" s="17" t="e">
        <f>_xlfn.CONCAT(Tabela7[[#This Row],[DATA]],"+",Tabela7[[#This Row],[NOME]])</f>
        <v>#VALUE!</v>
      </c>
      <c r="N236" s="11" t="e" cm="1">
        <f t="array" ref="N236">_xlfn.XLOOKUP(M236,tabE.Flux[[#All],[COMP.AT. MOT A]],#REF!,"NÃO",0,1)</f>
        <v>#VALUE!</v>
      </c>
      <c r="O236" s="11" t="e" cm="1">
        <f t="array" ref="O236">_xlfn.XLOOKUP(M236,tabE.Flux[[#All],[COMP.AT. MOT B]],#REF!,"NÃO",0,1)</f>
        <v>#VALUE!</v>
      </c>
      <c r="P236" s="12" t="e">
        <f>IF(N236="NÃO",(IF(O236="NÃO",(_xlfn.CONCAT(Tabela7[[#This Row],[DATA]]-1,"+",Tabela7[[#This Row],[NOME]])),"NÃO")),"NÃO")</f>
        <v>#VALUE!</v>
      </c>
      <c r="Q236" s="11" t="e" cm="1">
        <f t="array" ref="Q236">IF(P236="NÃO","NÃO",_xlfn.XLOOKUP(P236,tabE.Flux[COMP.AT. MOT A],#REF!,"NÃO",0,1))</f>
        <v>#VALUE!</v>
      </c>
      <c r="R236" s="14" t="e" cm="1">
        <f t="array" ref="R236">IF(P236="NÃO","NÃO",_xlfn.XLOOKUP(P236,tabE.Flux[COMP.AT. MOT B],#REF!,"NÃO",0,1))</f>
        <v>#VALUE!</v>
      </c>
      <c r="S23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36" s="16" t="e" cm="1">
        <f t="array" ref="T23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36" s="41" t="e" cm="1">
        <f t="array" ref="U23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37" spans="12:21" x14ac:dyDescent="0.25">
      <c r="L237" s="36" t="e">
        <f>Tabela7[[#This Row],[ID]]</f>
        <v>#VALUE!</v>
      </c>
      <c r="M237" s="17" t="e">
        <f>_xlfn.CONCAT(Tabela7[[#This Row],[DATA]],"+",Tabela7[[#This Row],[NOME]])</f>
        <v>#VALUE!</v>
      </c>
      <c r="N237" s="11" t="e" cm="1">
        <f t="array" ref="N237">_xlfn.XLOOKUP(M237,tabE.Flux[[#All],[COMP.AT. MOT A]],#REF!,"NÃO",0,1)</f>
        <v>#VALUE!</v>
      </c>
      <c r="O237" s="11" t="e" cm="1">
        <f t="array" ref="O237">_xlfn.XLOOKUP(M237,tabE.Flux[[#All],[COMP.AT. MOT B]],#REF!,"NÃO",0,1)</f>
        <v>#VALUE!</v>
      </c>
      <c r="P237" s="12" t="e">
        <f>IF(N237="NÃO",(IF(O237="NÃO",(_xlfn.CONCAT(Tabela7[[#This Row],[DATA]]-1,"+",Tabela7[[#This Row],[NOME]])),"NÃO")),"NÃO")</f>
        <v>#VALUE!</v>
      </c>
      <c r="Q237" s="11" t="e" cm="1">
        <f t="array" ref="Q237">IF(P237="NÃO","NÃO",_xlfn.XLOOKUP(P237,tabE.Flux[COMP.AT. MOT A],#REF!,"NÃO",0,1))</f>
        <v>#VALUE!</v>
      </c>
      <c r="R237" s="14" t="e" cm="1">
        <f t="array" ref="R237">IF(P237="NÃO","NÃO",_xlfn.XLOOKUP(P237,tabE.Flux[COMP.AT. MOT B],#REF!,"NÃO",0,1))</f>
        <v>#VALUE!</v>
      </c>
      <c r="S23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37" s="16" t="e" cm="1">
        <f t="array" ref="T23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37" s="41" t="e" cm="1">
        <f t="array" ref="U23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38" spans="12:21" x14ac:dyDescent="0.25">
      <c r="L238" s="36" t="e">
        <f>Tabela7[[#This Row],[ID]]</f>
        <v>#VALUE!</v>
      </c>
      <c r="M238" s="17" t="e">
        <f>_xlfn.CONCAT(Tabela7[[#This Row],[DATA]],"+",Tabela7[[#This Row],[NOME]])</f>
        <v>#VALUE!</v>
      </c>
      <c r="N238" s="11" t="e" cm="1">
        <f t="array" ref="N238">_xlfn.XLOOKUP(M238,tabE.Flux[[#All],[COMP.AT. MOT A]],#REF!,"NÃO",0,1)</f>
        <v>#VALUE!</v>
      </c>
      <c r="O238" s="11" t="e" cm="1">
        <f t="array" ref="O238">_xlfn.XLOOKUP(M238,tabE.Flux[[#All],[COMP.AT. MOT B]],#REF!,"NÃO",0,1)</f>
        <v>#VALUE!</v>
      </c>
      <c r="P238" s="12" t="e">
        <f>IF(N238="NÃO",(IF(O238="NÃO",(_xlfn.CONCAT(Tabela7[[#This Row],[DATA]]-1,"+",Tabela7[[#This Row],[NOME]])),"NÃO")),"NÃO")</f>
        <v>#VALUE!</v>
      </c>
      <c r="Q238" s="11" t="e" cm="1">
        <f t="array" ref="Q238">IF(P238="NÃO","NÃO",_xlfn.XLOOKUP(P238,tabE.Flux[COMP.AT. MOT A],#REF!,"NÃO",0,1))</f>
        <v>#VALUE!</v>
      </c>
      <c r="R238" s="14" t="e" cm="1">
        <f t="array" ref="R238">IF(P238="NÃO","NÃO",_xlfn.XLOOKUP(P238,tabE.Flux[COMP.AT. MOT B],#REF!,"NÃO",0,1))</f>
        <v>#VALUE!</v>
      </c>
      <c r="S23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38" s="16" t="e" cm="1">
        <f t="array" ref="T23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38" s="41" t="e" cm="1">
        <f t="array" ref="U23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39" spans="12:21" x14ac:dyDescent="0.25">
      <c r="L239" s="36" t="e">
        <f>Tabela7[[#This Row],[ID]]</f>
        <v>#VALUE!</v>
      </c>
      <c r="M239" s="17" t="e">
        <f>_xlfn.CONCAT(Tabela7[[#This Row],[DATA]],"+",Tabela7[[#This Row],[NOME]])</f>
        <v>#VALUE!</v>
      </c>
      <c r="N239" s="11" t="e" cm="1">
        <f t="array" ref="N239">_xlfn.XLOOKUP(M239,tabE.Flux[[#All],[COMP.AT. MOT A]],#REF!,"NÃO",0,1)</f>
        <v>#VALUE!</v>
      </c>
      <c r="O239" s="11" t="e" cm="1">
        <f t="array" ref="O239">_xlfn.XLOOKUP(M239,tabE.Flux[[#All],[COMP.AT. MOT B]],#REF!,"NÃO",0,1)</f>
        <v>#VALUE!</v>
      </c>
      <c r="P239" s="12" t="e">
        <f>IF(N239="NÃO",(IF(O239="NÃO",(_xlfn.CONCAT(Tabela7[[#This Row],[DATA]]-1,"+",Tabela7[[#This Row],[NOME]])),"NÃO")),"NÃO")</f>
        <v>#VALUE!</v>
      </c>
      <c r="Q239" s="11" t="e" cm="1">
        <f t="array" ref="Q239">IF(P239="NÃO","NÃO",_xlfn.XLOOKUP(P239,tabE.Flux[COMP.AT. MOT A],#REF!,"NÃO",0,1))</f>
        <v>#VALUE!</v>
      </c>
      <c r="R239" s="14" t="e" cm="1">
        <f t="array" ref="R239">IF(P239="NÃO","NÃO",_xlfn.XLOOKUP(P239,tabE.Flux[COMP.AT. MOT B],#REF!,"NÃO",0,1))</f>
        <v>#VALUE!</v>
      </c>
      <c r="S23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39" s="16" t="e" cm="1">
        <f t="array" ref="T23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39" s="41" t="e" cm="1">
        <f t="array" ref="U23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40" spans="12:21" x14ac:dyDescent="0.25">
      <c r="L240" s="36" t="e">
        <f>Tabela7[[#This Row],[ID]]</f>
        <v>#VALUE!</v>
      </c>
      <c r="M240" s="17" t="e">
        <f>_xlfn.CONCAT(Tabela7[[#This Row],[DATA]],"+",Tabela7[[#This Row],[NOME]])</f>
        <v>#VALUE!</v>
      </c>
      <c r="N240" s="11" t="e" cm="1">
        <f t="array" ref="N240">_xlfn.XLOOKUP(M240,tabE.Flux[[#All],[COMP.AT. MOT A]],#REF!,"NÃO",0,1)</f>
        <v>#VALUE!</v>
      </c>
      <c r="O240" s="11" t="e" cm="1">
        <f t="array" ref="O240">_xlfn.XLOOKUP(M240,tabE.Flux[[#All],[COMP.AT. MOT B]],#REF!,"NÃO",0,1)</f>
        <v>#VALUE!</v>
      </c>
      <c r="P240" s="12" t="e">
        <f>IF(N240="NÃO",(IF(O240="NÃO",(_xlfn.CONCAT(Tabela7[[#This Row],[DATA]]-1,"+",Tabela7[[#This Row],[NOME]])),"NÃO")),"NÃO")</f>
        <v>#VALUE!</v>
      </c>
      <c r="Q240" s="11" t="e" cm="1">
        <f t="array" ref="Q240">IF(P240="NÃO","NÃO",_xlfn.XLOOKUP(P240,tabE.Flux[COMP.AT. MOT A],#REF!,"NÃO",0,1))</f>
        <v>#VALUE!</v>
      </c>
      <c r="R240" s="14" t="e" cm="1">
        <f t="array" ref="R240">IF(P240="NÃO","NÃO",_xlfn.XLOOKUP(P240,tabE.Flux[COMP.AT. MOT B],#REF!,"NÃO",0,1))</f>
        <v>#VALUE!</v>
      </c>
      <c r="S24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40" s="16" t="e" cm="1">
        <f t="array" ref="T24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40" s="41" t="e" cm="1">
        <f t="array" ref="U24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41" spans="12:21" x14ac:dyDescent="0.25">
      <c r="L241" s="36" t="e">
        <f>Tabela7[[#This Row],[ID]]</f>
        <v>#VALUE!</v>
      </c>
      <c r="M241" s="17" t="e">
        <f>_xlfn.CONCAT(Tabela7[[#This Row],[DATA]],"+",Tabela7[[#This Row],[NOME]])</f>
        <v>#VALUE!</v>
      </c>
      <c r="N241" s="11" t="e" cm="1">
        <f t="array" ref="N241">_xlfn.XLOOKUP(M241,tabE.Flux[[#All],[COMP.AT. MOT A]],#REF!,"NÃO",0,1)</f>
        <v>#VALUE!</v>
      </c>
      <c r="O241" s="11" t="e" cm="1">
        <f t="array" ref="O241">_xlfn.XLOOKUP(M241,tabE.Flux[[#All],[COMP.AT. MOT B]],#REF!,"NÃO",0,1)</f>
        <v>#VALUE!</v>
      </c>
      <c r="P241" s="12" t="e">
        <f>IF(N241="NÃO",(IF(O241="NÃO",(_xlfn.CONCAT(Tabela7[[#This Row],[DATA]]-1,"+",Tabela7[[#This Row],[NOME]])),"NÃO")),"NÃO")</f>
        <v>#VALUE!</v>
      </c>
      <c r="Q241" s="11" t="e" cm="1">
        <f t="array" ref="Q241">IF(P241="NÃO","NÃO",_xlfn.XLOOKUP(P241,tabE.Flux[COMP.AT. MOT A],#REF!,"NÃO",0,1))</f>
        <v>#VALUE!</v>
      </c>
      <c r="R241" s="14" t="e" cm="1">
        <f t="array" ref="R241">IF(P241="NÃO","NÃO",_xlfn.XLOOKUP(P241,tabE.Flux[COMP.AT. MOT B],#REF!,"NÃO",0,1))</f>
        <v>#VALUE!</v>
      </c>
      <c r="S24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41" s="16" t="e" cm="1">
        <f t="array" ref="T24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41" s="41" t="e" cm="1">
        <f t="array" ref="U24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42" spans="12:21" x14ac:dyDescent="0.25">
      <c r="L242" s="36" t="e">
        <f>Tabela7[[#This Row],[ID]]</f>
        <v>#VALUE!</v>
      </c>
      <c r="M242" s="17" t="e">
        <f>_xlfn.CONCAT(Tabela7[[#This Row],[DATA]],"+",Tabela7[[#This Row],[NOME]])</f>
        <v>#VALUE!</v>
      </c>
      <c r="N242" s="11" t="e" cm="1">
        <f t="array" ref="N242">_xlfn.XLOOKUP(M242,tabE.Flux[[#All],[COMP.AT. MOT A]],#REF!,"NÃO",0,1)</f>
        <v>#VALUE!</v>
      </c>
      <c r="O242" s="11" t="e" cm="1">
        <f t="array" ref="O242">_xlfn.XLOOKUP(M242,tabE.Flux[[#All],[COMP.AT. MOT B]],#REF!,"NÃO",0,1)</f>
        <v>#VALUE!</v>
      </c>
      <c r="P242" s="12" t="e">
        <f>IF(N242="NÃO",(IF(O242="NÃO",(_xlfn.CONCAT(Tabela7[[#This Row],[DATA]]-1,"+",Tabela7[[#This Row],[NOME]])),"NÃO")),"NÃO")</f>
        <v>#VALUE!</v>
      </c>
      <c r="Q242" s="11" t="e" cm="1">
        <f t="array" ref="Q242">IF(P242="NÃO","NÃO",_xlfn.XLOOKUP(P242,tabE.Flux[COMP.AT. MOT A],#REF!,"NÃO",0,1))</f>
        <v>#VALUE!</v>
      </c>
      <c r="R242" s="14" t="e" cm="1">
        <f t="array" ref="R242">IF(P242="NÃO","NÃO",_xlfn.XLOOKUP(P242,tabE.Flux[COMP.AT. MOT B],#REF!,"NÃO",0,1))</f>
        <v>#VALUE!</v>
      </c>
      <c r="S24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42" s="16" t="e" cm="1">
        <f t="array" ref="T24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42" s="41" t="e" cm="1">
        <f t="array" ref="U24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43" spans="12:21" x14ac:dyDescent="0.25">
      <c r="L243" s="36" t="e">
        <f>Tabela7[[#This Row],[ID]]</f>
        <v>#VALUE!</v>
      </c>
      <c r="M243" s="17" t="e">
        <f>_xlfn.CONCAT(Tabela7[[#This Row],[DATA]],"+",Tabela7[[#This Row],[NOME]])</f>
        <v>#VALUE!</v>
      </c>
      <c r="N243" s="11" t="e" cm="1">
        <f t="array" ref="N243">_xlfn.XLOOKUP(M243,tabE.Flux[[#All],[COMP.AT. MOT A]],#REF!,"NÃO",0,1)</f>
        <v>#VALUE!</v>
      </c>
      <c r="O243" s="11" t="e" cm="1">
        <f t="array" ref="O243">_xlfn.XLOOKUP(M243,tabE.Flux[[#All],[COMP.AT. MOT B]],#REF!,"NÃO",0,1)</f>
        <v>#VALUE!</v>
      </c>
      <c r="P243" s="12" t="e">
        <f>IF(N243="NÃO",(IF(O243="NÃO",(_xlfn.CONCAT(Tabela7[[#This Row],[DATA]]-1,"+",Tabela7[[#This Row],[NOME]])),"NÃO")),"NÃO")</f>
        <v>#VALUE!</v>
      </c>
      <c r="Q243" s="11" t="e" cm="1">
        <f t="array" ref="Q243">IF(P243="NÃO","NÃO",_xlfn.XLOOKUP(P243,tabE.Flux[COMP.AT. MOT A],#REF!,"NÃO",0,1))</f>
        <v>#VALUE!</v>
      </c>
      <c r="R243" s="14" t="e" cm="1">
        <f t="array" ref="R243">IF(P243="NÃO","NÃO",_xlfn.XLOOKUP(P243,tabE.Flux[COMP.AT. MOT B],#REF!,"NÃO",0,1))</f>
        <v>#VALUE!</v>
      </c>
      <c r="S24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43" s="16" t="e" cm="1">
        <f t="array" ref="T24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43" s="41" t="e" cm="1">
        <f t="array" ref="U24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44" spans="12:21" x14ac:dyDescent="0.25">
      <c r="L244" s="36" t="e">
        <f>Tabela7[[#This Row],[ID]]</f>
        <v>#VALUE!</v>
      </c>
      <c r="M244" s="17" t="e">
        <f>_xlfn.CONCAT(Tabela7[[#This Row],[DATA]],"+",Tabela7[[#This Row],[NOME]])</f>
        <v>#VALUE!</v>
      </c>
      <c r="N244" s="11" t="e" cm="1">
        <f t="array" ref="N244">_xlfn.XLOOKUP(M244,tabE.Flux[[#All],[COMP.AT. MOT A]],#REF!,"NÃO",0,1)</f>
        <v>#VALUE!</v>
      </c>
      <c r="O244" s="11" t="e" cm="1">
        <f t="array" ref="O244">_xlfn.XLOOKUP(M244,tabE.Flux[[#All],[COMP.AT. MOT B]],#REF!,"NÃO",0,1)</f>
        <v>#VALUE!</v>
      </c>
      <c r="P244" s="12" t="e">
        <f>IF(N244="NÃO",(IF(O244="NÃO",(_xlfn.CONCAT(Tabela7[[#This Row],[DATA]]-1,"+",Tabela7[[#This Row],[NOME]])),"NÃO")),"NÃO")</f>
        <v>#VALUE!</v>
      </c>
      <c r="Q244" s="11" t="e" cm="1">
        <f t="array" ref="Q244">IF(P244="NÃO","NÃO",_xlfn.XLOOKUP(P244,tabE.Flux[COMP.AT. MOT A],#REF!,"NÃO",0,1))</f>
        <v>#VALUE!</v>
      </c>
      <c r="R244" s="14" t="e" cm="1">
        <f t="array" ref="R244">IF(P244="NÃO","NÃO",_xlfn.XLOOKUP(P244,tabE.Flux[COMP.AT. MOT B],#REF!,"NÃO",0,1))</f>
        <v>#VALUE!</v>
      </c>
      <c r="S24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44" s="16" t="e" cm="1">
        <f t="array" ref="T24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44" s="41" t="e" cm="1">
        <f t="array" ref="U24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45" spans="12:21" x14ac:dyDescent="0.25">
      <c r="L245" s="36" t="e">
        <f>Tabela7[[#This Row],[ID]]</f>
        <v>#VALUE!</v>
      </c>
      <c r="M245" s="17" t="e">
        <f>_xlfn.CONCAT(Tabela7[[#This Row],[DATA]],"+",Tabela7[[#This Row],[NOME]])</f>
        <v>#VALUE!</v>
      </c>
      <c r="N245" s="11" t="e" cm="1">
        <f t="array" ref="N245">_xlfn.XLOOKUP(M245,tabE.Flux[[#All],[COMP.AT. MOT A]],#REF!,"NÃO",0,1)</f>
        <v>#VALUE!</v>
      </c>
      <c r="O245" s="11" t="e" cm="1">
        <f t="array" ref="O245">_xlfn.XLOOKUP(M245,tabE.Flux[[#All],[COMP.AT. MOT B]],#REF!,"NÃO",0,1)</f>
        <v>#VALUE!</v>
      </c>
      <c r="P245" s="12" t="e">
        <f>IF(N245="NÃO",(IF(O245="NÃO",(_xlfn.CONCAT(Tabela7[[#This Row],[DATA]]-1,"+",Tabela7[[#This Row],[NOME]])),"NÃO")),"NÃO")</f>
        <v>#VALUE!</v>
      </c>
      <c r="Q245" s="11" t="e" cm="1">
        <f t="array" ref="Q245">IF(P245="NÃO","NÃO",_xlfn.XLOOKUP(P245,tabE.Flux[COMP.AT. MOT A],#REF!,"NÃO",0,1))</f>
        <v>#VALUE!</v>
      </c>
      <c r="R245" s="14" t="e" cm="1">
        <f t="array" ref="R245">IF(P245="NÃO","NÃO",_xlfn.XLOOKUP(P245,tabE.Flux[COMP.AT. MOT B],#REF!,"NÃO",0,1))</f>
        <v>#VALUE!</v>
      </c>
      <c r="S24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45" s="16" t="e" cm="1">
        <f t="array" ref="T24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45" s="41" t="e" cm="1">
        <f t="array" ref="U24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46" spans="12:21" x14ac:dyDescent="0.25">
      <c r="L246" s="36" t="e">
        <f>Tabela7[[#This Row],[ID]]</f>
        <v>#VALUE!</v>
      </c>
      <c r="M246" s="17" t="e">
        <f>_xlfn.CONCAT(Tabela7[[#This Row],[DATA]],"+",Tabela7[[#This Row],[NOME]])</f>
        <v>#VALUE!</v>
      </c>
      <c r="N246" s="11" t="e" cm="1">
        <f t="array" ref="N246">_xlfn.XLOOKUP(M246,tabE.Flux[[#All],[COMP.AT. MOT A]],#REF!,"NÃO",0,1)</f>
        <v>#VALUE!</v>
      </c>
      <c r="O246" s="11" t="e" cm="1">
        <f t="array" ref="O246">_xlfn.XLOOKUP(M246,tabE.Flux[[#All],[COMP.AT. MOT B]],#REF!,"NÃO",0,1)</f>
        <v>#VALUE!</v>
      </c>
      <c r="P246" s="12" t="e">
        <f>IF(N246="NÃO",(IF(O246="NÃO",(_xlfn.CONCAT(Tabela7[[#This Row],[DATA]]-1,"+",Tabela7[[#This Row],[NOME]])),"NÃO")),"NÃO")</f>
        <v>#VALUE!</v>
      </c>
      <c r="Q246" s="11" t="e" cm="1">
        <f t="array" ref="Q246">IF(P246="NÃO","NÃO",_xlfn.XLOOKUP(P246,tabE.Flux[COMP.AT. MOT A],#REF!,"NÃO",0,1))</f>
        <v>#VALUE!</v>
      </c>
      <c r="R246" s="14" t="e" cm="1">
        <f t="array" ref="R246">IF(P246="NÃO","NÃO",_xlfn.XLOOKUP(P246,tabE.Flux[COMP.AT. MOT B],#REF!,"NÃO",0,1))</f>
        <v>#VALUE!</v>
      </c>
      <c r="S24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46" s="16" t="e" cm="1">
        <f t="array" ref="T24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46" s="41" t="e" cm="1">
        <f t="array" ref="U24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47" spans="12:21" x14ac:dyDescent="0.25">
      <c r="L247" s="36" t="e">
        <f>Tabela7[[#This Row],[ID]]</f>
        <v>#VALUE!</v>
      </c>
      <c r="M247" s="17" t="e">
        <f>_xlfn.CONCAT(Tabela7[[#This Row],[DATA]],"+",Tabela7[[#This Row],[NOME]])</f>
        <v>#VALUE!</v>
      </c>
      <c r="N247" s="11" t="e" cm="1">
        <f t="array" ref="N247">_xlfn.XLOOKUP(M247,tabE.Flux[[#All],[COMP.AT. MOT A]],#REF!,"NÃO",0,1)</f>
        <v>#VALUE!</v>
      </c>
      <c r="O247" s="11" t="e" cm="1">
        <f t="array" ref="O247">_xlfn.XLOOKUP(M247,tabE.Flux[[#All],[COMP.AT. MOT B]],#REF!,"NÃO",0,1)</f>
        <v>#VALUE!</v>
      </c>
      <c r="P247" s="12" t="e">
        <f>IF(N247="NÃO",(IF(O247="NÃO",(_xlfn.CONCAT(Tabela7[[#This Row],[DATA]]-1,"+",Tabela7[[#This Row],[NOME]])),"NÃO")),"NÃO")</f>
        <v>#VALUE!</v>
      </c>
      <c r="Q247" s="11" t="e" cm="1">
        <f t="array" ref="Q247">IF(P247="NÃO","NÃO",_xlfn.XLOOKUP(P247,tabE.Flux[COMP.AT. MOT A],#REF!,"NÃO",0,1))</f>
        <v>#VALUE!</v>
      </c>
      <c r="R247" s="14" t="e" cm="1">
        <f t="array" ref="R247">IF(P247="NÃO","NÃO",_xlfn.XLOOKUP(P247,tabE.Flux[COMP.AT. MOT B],#REF!,"NÃO",0,1))</f>
        <v>#VALUE!</v>
      </c>
      <c r="S24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47" s="16" t="e" cm="1">
        <f t="array" ref="T24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47" s="41" t="e" cm="1">
        <f t="array" ref="U24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48" spans="12:21" x14ac:dyDescent="0.25">
      <c r="L248" s="36" t="e">
        <f>Tabela7[[#This Row],[ID]]</f>
        <v>#VALUE!</v>
      </c>
      <c r="M248" s="17" t="e">
        <f>_xlfn.CONCAT(Tabela7[[#This Row],[DATA]],"+",Tabela7[[#This Row],[NOME]])</f>
        <v>#VALUE!</v>
      </c>
      <c r="N248" s="11" t="e" cm="1">
        <f t="array" ref="N248">_xlfn.XLOOKUP(M248,tabE.Flux[[#All],[COMP.AT. MOT A]],#REF!,"NÃO",0,1)</f>
        <v>#VALUE!</v>
      </c>
      <c r="O248" s="11" t="e" cm="1">
        <f t="array" ref="O248">_xlfn.XLOOKUP(M248,tabE.Flux[[#All],[COMP.AT. MOT B]],#REF!,"NÃO",0,1)</f>
        <v>#VALUE!</v>
      </c>
      <c r="P248" s="12" t="e">
        <f>IF(N248="NÃO",(IF(O248="NÃO",(_xlfn.CONCAT(Tabela7[[#This Row],[DATA]]-1,"+",Tabela7[[#This Row],[NOME]])),"NÃO")),"NÃO")</f>
        <v>#VALUE!</v>
      </c>
      <c r="Q248" s="11" t="e" cm="1">
        <f t="array" ref="Q248">IF(P248="NÃO","NÃO",_xlfn.XLOOKUP(P248,tabE.Flux[COMP.AT. MOT A],#REF!,"NÃO",0,1))</f>
        <v>#VALUE!</v>
      </c>
      <c r="R248" s="14" t="e" cm="1">
        <f t="array" ref="R248">IF(P248="NÃO","NÃO",_xlfn.XLOOKUP(P248,tabE.Flux[COMP.AT. MOT B],#REF!,"NÃO",0,1))</f>
        <v>#VALUE!</v>
      </c>
      <c r="S24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48" s="16" t="e" cm="1">
        <f t="array" ref="T24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48" s="41" t="e" cm="1">
        <f t="array" ref="U24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49" spans="12:21" x14ac:dyDescent="0.25">
      <c r="L249" s="36" t="e">
        <f>Tabela7[[#This Row],[ID]]</f>
        <v>#VALUE!</v>
      </c>
      <c r="M249" s="17" t="e">
        <f>_xlfn.CONCAT(Tabela7[[#This Row],[DATA]],"+",Tabela7[[#This Row],[NOME]])</f>
        <v>#VALUE!</v>
      </c>
      <c r="N249" s="11" t="e" cm="1">
        <f t="array" ref="N249">_xlfn.XLOOKUP(M249,tabE.Flux[[#All],[COMP.AT. MOT A]],#REF!,"NÃO",0,1)</f>
        <v>#VALUE!</v>
      </c>
      <c r="O249" s="11" t="e" cm="1">
        <f t="array" ref="O249">_xlfn.XLOOKUP(M249,tabE.Flux[[#All],[COMP.AT. MOT B]],#REF!,"NÃO",0,1)</f>
        <v>#VALUE!</v>
      </c>
      <c r="P249" s="12" t="e">
        <f>IF(N249="NÃO",(IF(O249="NÃO",(_xlfn.CONCAT(Tabela7[[#This Row],[DATA]]-1,"+",Tabela7[[#This Row],[NOME]])),"NÃO")),"NÃO")</f>
        <v>#VALUE!</v>
      </c>
      <c r="Q249" s="11" t="e" cm="1">
        <f t="array" ref="Q249">IF(P249="NÃO","NÃO",_xlfn.XLOOKUP(P249,tabE.Flux[COMP.AT. MOT A],#REF!,"NÃO",0,1))</f>
        <v>#VALUE!</v>
      </c>
      <c r="R249" s="14" t="e" cm="1">
        <f t="array" ref="R249">IF(P249="NÃO","NÃO",_xlfn.XLOOKUP(P249,tabE.Flux[COMP.AT. MOT B],#REF!,"NÃO",0,1))</f>
        <v>#VALUE!</v>
      </c>
      <c r="S24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49" s="16" t="e" cm="1">
        <f t="array" ref="T24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49" s="41" t="e" cm="1">
        <f t="array" ref="U24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50" spans="12:21" x14ac:dyDescent="0.25">
      <c r="L250" s="36" t="e">
        <f>Tabela7[[#This Row],[ID]]</f>
        <v>#VALUE!</v>
      </c>
      <c r="M250" s="17" t="e">
        <f>_xlfn.CONCAT(Tabela7[[#This Row],[DATA]],"+",Tabela7[[#This Row],[NOME]])</f>
        <v>#VALUE!</v>
      </c>
      <c r="N250" s="11" t="e" cm="1">
        <f t="array" ref="N250">_xlfn.XLOOKUP(M250,tabE.Flux[[#All],[COMP.AT. MOT A]],#REF!,"NÃO",0,1)</f>
        <v>#VALUE!</v>
      </c>
      <c r="O250" s="11" t="e" cm="1">
        <f t="array" ref="O250">_xlfn.XLOOKUP(M250,tabE.Flux[[#All],[COMP.AT. MOT B]],#REF!,"NÃO",0,1)</f>
        <v>#VALUE!</v>
      </c>
      <c r="P250" s="12" t="e">
        <f>IF(N250="NÃO",(IF(O250="NÃO",(_xlfn.CONCAT(Tabela7[[#This Row],[DATA]]-1,"+",Tabela7[[#This Row],[NOME]])),"NÃO")),"NÃO")</f>
        <v>#VALUE!</v>
      </c>
      <c r="Q250" s="11" t="e" cm="1">
        <f t="array" ref="Q250">IF(P250="NÃO","NÃO",_xlfn.XLOOKUP(P250,tabE.Flux[COMP.AT. MOT A],#REF!,"NÃO",0,1))</f>
        <v>#VALUE!</v>
      </c>
      <c r="R250" s="14" t="e" cm="1">
        <f t="array" ref="R250">IF(P250="NÃO","NÃO",_xlfn.XLOOKUP(P250,tabE.Flux[COMP.AT. MOT B],#REF!,"NÃO",0,1))</f>
        <v>#VALUE!</v>
      </c>
      <c r="S25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50" s="16" t="e" cm="1">
        <f t="array" ref="T25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50" s="41" t="e" cm="1">
        <f t="array" ref="U25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51" spans="12:21" x14ac:dyDescent="0.25">
      <c r="L251" s="36" t="e">
        <f>Tabela7[[#This Row],[ID]]</f>
        <v>#VALUE!</v>
      </c>
      <c r="M251" s="17" t="e">
        <f>_xlfn.CONCAT(Tabela7[[#This Row],[DATA]],"+",Tabela7[[#This Row],[NOME]])</f>
        <v>#VALUE!</v>
      </c>
      <c r="N251" s="11" t="e" cm="1">
        <f t="array" ref="N251">_xlfn.XLOOKUP(M251,tabE.Flux[[#All],[COMP.AT. MOT A]],#REF!,"NÃO",0,1)</f>
        <v>#VALUE!</v>
      </c>
      <c r="O251" s="11" t="e" cm="1">
        <f t="array" ref="O251">_xlfn.XLOOKUP(M251,tabE.Flux[[#All],[COMP.AT. MOT B]],#REF!,"NÃO",0,1)</f>
        <v>#VALUE!</v>
      </c>
      <c r="P251" s="12" t="e">
        <f>IF(N251="NÃO",(IF(O251="NÃO",(_xlfn.CONCAT(Tabela7[[#This Row],[DATA]]-1,"+",Tabela7[[#This Row],[NOME]])),"NÃO")),"NÃO")</f>
        <v>#VALUE!</v>
      </c>
      <c r="Q251" s="11" t="e" cm="1">
        <f t="array" ref="Q251">IF(P251="NÃO","NÃO",_xlfn.XLOOKUP(P251,tabE.Flux[COMP.AT. MOT A],#REF!,"NÃO",0,1))</f>
        <v>#VALUE!</v>
      </c>
      <c r="R251" s="14" t="e" cm="1">
        <f t="array" ref="R251">IF(P251="NÃO","NÃO",_xlfn.XLOOKUP(P251,tabE.Flux[COMP.AT. MOT B],#REF!,"NÃO",0,1))</f>
        <v>#VALUE!</v>
      </c>
      <c r="S25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51" s="16" t="e" cm="1">
        <f t="array" ref="T25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51" s="41" t="e" cm="1">
        <f t="array" ref="U25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52" spans="12:21" x14ac:dyDescent="0.25">
      <c r="L252" s="36" t="e">
        <f>Tabela7[[#This Row],[ID]]</f>
        <v>#VALUE!</v>
      </c>
      <c r="M252" s="17" t="e">
        <f>_xlfn.CONCAT(Tabela7[[#This Row],[DATA]],"+",Tabela7[[#This Row],[NOME]])</f>
        <v>#VALUE!</v>
      </c>
      <c r="N252" s="11" t="e" cm="1">
        <f t="array" ref="N252">_xlfn.XLOOKUP(M252,tabE.Flux[[#All],[COMP.AT. MOT A]],#REF!,"NÃO",0,1)</f>
        <v>#VALUE!</v>
      </c>
      <c r="O252" s="11" t="e" cm="1">
        <f t="array" ref="O252">_xlfn.XLOOKUP(M252,tabE.Flux[[#All],[COMP.AT. MOT B]],#REF!,"NÃO",0,1)</f>
        <v>#VALUE!</v>
      </c>
      <c r="P252" s="12" t="e">
        <f>IF(N252="NÃO",(IF(O252="NÃO",(_xlfn.CONCAT(Tabela7[[#This Row],[DATA]]-1,"+",Tabela7[[#This Row],[NOME]])),"NÃO")),"NÃO")</f>
        <v>#VALUE!</v>
      </c>
      <c r="Q252" s="11" t="e" cm="1">
        <f t="array" ref="Q252">IF(P252="NÃO","NÃO",_xlfn.XLOOKUP(P252,tabE.Flux[COMP.AT. MOT A],#REF!,"NÃO",0,1))</f>
        <v>#VALUE!</v>
      </c>
      <c r="R252" s="14" t="e" cm="1">
        <f t="array" ref="R252">IF(P252="NÃO","NÃO",_xlfn.XLOOKUP(P252,tabE.Flux[COMP.AT. MOT B],#REF!,"NÃO",0,1))</f>
        <v>#VALUE!</v>
      </c>
      <c r="S25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52" s="16" t="e" cm="1">
        <f t="array" ref="T25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52" s="41" t="e" cm="1">
        <f t="array" ref="U25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53" spans="12:21" x14ac:dyDescent="0.25">
      <c r="L253" s="36" t="e">
        <f>Tabela7[[#This Row],[ID]]</f>
        <v>#VALUE!</v>
      </c>
      <c r="M253" s="17" t="e">
        <f>_xlfn.CONCAT(Tabela7[[#This Row],[DATA]],"+",Tabela7[[#This Row],[NOME]])</f>
        <v>#VALUE!</v>
      </c>
      <c r="N253" s="11" t="e" cm="1">
        <f t="array" ref="N253">_xlfn.XLOOKUP(M253,tabE.Flux[[#All],[COMP.AT. MOT A]],#REF!,"NÃO",0,1)</f>
        <v>#VALUE!</v>
      </c>
      <c r="O253" s="11" t="e" cm="1">
        <f t="array" ref="O253">_xlfn.XLOOKUP(M253,tabE.Flux[[#All],[COMP.AT. MOT B]],#REF!,"NÃO",0,1)</f>
        <v>#VALUE!</v>
      </c>
      <c r="P253" s="12" t="e">
        <f>IF(N253="NÃO",(IF(O253="NÃO",(_xlfn.CONCAT(Tabela7[[#This Row],[DATA]]-1,"+",Tabela7[[#This Row],[NOME]])),"NÃO")),"NÃO")</f>
        <v>#VALUE!</v>
      </c>
      <c r="Q253" s="11" t="e" cm="1">
        <f t="array" ref="Q253">IF(P253="NÃO","NÃO",_xlfn.XLOOKUP(P253,tabE.Flux[COMP.AT. MOT A],#REF!,"NÃO",0,1))</f>
        <v>#VALUE!</v>
      </c>
      <c r="R253" s="14" t="e" cm="1">
        <f t="array" ref="R253">IF(P253="NÃO","NÃO",_xlfn.XLOOKUP(P253,tabE.Flux[COMP.AT. MOT B],#REF!,"NÃO",0,1))</f>
        <v>#VALUE!</v>
      </c>
      <c r="S25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53" s="16" t="e" cm="1">
        <f t="array" ref="T25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53" s="41" t="e" cm="1">
        <f t="array" ref="U25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54" spans="12:21" x14ac:dyDescent="0.25">
      <c r="L254" s="36" t="e">
        <f>Tabela7[[#This Row],[ID]]</f>
        <v>#VALUE!</v>
      </c>
      <c r="M254" s="17" t="e">
        <f>_xlfn.CONCAT(Tabela7[[#This Row],[DATA]],"+",Tabela7[[#This Row],[NOME]])</f>
        <v>#VALUE!</v>
      </c>
      <c r="N254" s="11" t="e" cm="1">
        <f t="array" ref="N254">_xlfn.XLOOKUP(M254,tabE.Flux[[#All],[COMP.AT. MOT A]],#REF!,"NÃO",0,1)</f>
        <v>#VALUE!</v>
      </c>
      <c r="O254" s="11" t="e" cm="1">
        <f t="array" ref="O254">_xlfn.XLOOKUP(M254,tabE.Flux[[#All],[COMP.AT. MOT B]],#REF!,"NÃO",0,1)</f>
        <v>#VALUE!</v>
      </c>
      <c r="P254" s="12" t="e">
        <f>IF(N254="NÃO",(IF(O254="NÃO",(_xlfn.CONCAT(Tabela7[[#This Row],[DATA]]-1,"+",Tabela7[[#This Row],[NOME]])),"NÃO")),"NÃO")</f>
        <v>#VALUE!</v>
      </c>
      <c r="Q254" s="11" t="e" cm="1">
        <f t="array" ref="Q254">IF(P254="NÃO","NÃO",_xlfn.XLOOKUP(P254,tabE.Flux[COMP.AT. MOT A],#REF!,"NÃO",0,1))</f>
        <v>#VALUE!</v>
      </c>
      <c r="R254" s="14" t="e" cm="1">
        <f t="array" ref="R254">IF(P254="NÃO","NÃO",_xlfn.XLOOKUP(P254,tabE.Flux[COMP.AT. MOT B],#REF!,"NÃO",0,1))</f>
        <v>#VALUE!</v>
      </c>
      <c r="S25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54" s="16" t="e" cm="1">
        <f t="array" ref="T25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54" s="41" t="e" cm="1">
        <f t="array" ref="U25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55" spans="12:21" x14ac:dyDescent="0.25">
      <c r="L255" s="36" t="e">
        <f>Tabela7[[#This Row],[ID]]</f>
        <v>#VALUE!</v>
      </c>
      <c r="M255" s="17" t="e">
        <f>_xlfn.CONCAT(Tabela7[[#This Row],[DATA]],"+",Tabela7[[#This Row],[NOME]])</f>
        <v>#VALUE!</v>
      </c>
      <c r="N255" s="11" t="e" cm="1">
        <f t="array" ref="N255">_xlfn.XLOOKUP(M255,tabE.Flux[[#All],[COMP.AT. MOT A]],#REF!,"NÃO",0,1)</f>
        <v>#VALUE!</v>
      </c>
      <c r="O255" s="11" t="e" cm="1">
        <f t="array" ref="O255">_xlfn.XLOOKUP(M255,tabE.Flux[[#All],[COMP.AT. MOT B]],#REF!,"NÃO",0,1)</f>
        <v>#VALUE!</v>
      </c>
      <c r="P255" s="12" t="e">
        <f>IF(N255="NÃO",(IF(O255="NÃO",(_xlfn.CONCAT(Tabela7[[#This Row],[DATA]]-1,"+",Tabela7[[#This Row],[NOME]])),"NÃO")),"NÃO")</f>
        <v>#VALUE!</v>
      </c>
      <c r="Q255" s="11" t="e" cm="1">
        <f t="array" ref="Q255">IF(P255="NÃO","NÃO",_xlfn.XLOOKUP(P255,tabE.Flux[COMP.AT. MOT A],#REF!,"NÃO",0,1))</f>
        <v>#VALUE!</v>
      </c>
      <c r="R255" s="14" t="e" cm="1">
        <f t="array" ref="R255">IF(P255="NÃO","NÃO",_xlfn.XLOOKUP(P255,tabE.Flux[COMP.AT. MOT B],#REF!,"NÃO",0,1))</f>
        <v>#VALUE!</v>
      </c>
      <c r="S25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55" s="16" t="e" cm="1">
        <f t="array" ref="T25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55" s="41" t="e" cm="1">
        <f t="array" ref="U25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56" spans="12:21" x14ac:dyDescent="0.25">
      <c r="L256" s="36" t="e">
        <f>Tabela7[[#This Row],[ID]]</f>
        <v>#VALUE!</v>
      </c>
      <c r="M256" s="17" t="e">
        <f>_xlfn.CONCAT(Tabela7[[#This Row],[DATA]],"+",Tabela7[[#This Row],[NOME]])</f>
        <v>#VALUE!</v>
      </c>
      <c r="N256" s="11" t="e" cm="1">
        <f t="array" ref="N256">_xlfn.XLOOKUP(M256,tabE.Flux[[#All],[COMP.AT. MOT A]],#REF!,"NÃO",0,1)</f>
        <v>#VALUE!</v>
      </c>
      <c r="O256" s="11" t="e" cm="1">
        <f t="array" ref="O256">_xlfn.XLOOKUP(M256,tabE.Flux[[#All],[COMP.AT. MOT B]],#REF!,"NÃO",0,1)</f>
        <v>#VALUE!</v>
      </c>
      <c r="P256" s="12" t="e">
        <f>IF(N256="NÃO",(IF(O256="NÃO",(_xlfn.CONCAT(Tabela7[[#This Row],[DATA]]-1,"+",Tabela7[[#This Row],[NOME]])),"NÃO")),"NÃO")</f>
        <v>#VALUE!</v>
      </c>
      <c r="Q256" s="11" t="e" cm="1">
        <f t="array" ref="Q256">IF(P256="NÃO","NÃO",_xlfn.XLOOKUP(P256,tabE.Flux[COMP.AT. MOT A],#REF!,"NÃO",0,1))</f>
        <v>#VALUE!</v>
      </c>
      <c r="R256" s="14" t="e" cm="1">
        <f t="array" ref="R256">IF(P256="NÃO","NÃO",_xlfn.XLOOKUP(P256,tabE.Flux[COMP.AT. MOT B],#REF!,"NÃO",0,1))</f>
        <v>#VALUE!</v>
      </c>
      <c r="S25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56" s="16" t="e" cm="1">
        <f t="array" ref="T25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56" s="41" t="e" cm="1">
        <f t="array" ref="U25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57" spans="12:21" x14ac:dyDescent="0.25">
      <c r="L257" s="36" t="e">
        <f>Tabela7[[#This Row],[ID]]</f>
        <v>#VALUE!</v>
      </c>
      <c r="M257" s="17" t="e">
        <f>_xlfn.CONCAT(Tabela7[[#This Row],[DATA]],"+",Tabela7[[#This Row],[NOME]])</f>
        <v>#VALUE!</v>
      </c>
      <c r="N257" s="11" t="e" cm="1">
        <f t="array" ref="N257">_xlfn.XLOOKUP(M257,tabE.Flux[[#All],[COMP.AT. MOT A]],#REF!,"NÃO",0,1)</f>
        <v>#VALUE!</v>
      </c>
      <c r="O257" s="11" t="e" cm="1">
        <f t="array" ref="O257">_xlfn.XLOOKUP(M257,tabE.Flux[[#All],[COMP.AT. MOT B]],#REF!,"NÃO",0,1)</f>
        <v>#VALUE!</v>
      </c>
      <c r="P257" s="12" t="e">
        <f>IF(N257="NÃO",(IF(O257="NÃO",(_xlfn.CONCAT(Tabela7[[#This Row],[DATA]]-1,"+",Tabela7[[#This Row],[NOME]])),"NÃO")),"NÃO")</f>
        <v>#VALUE!</v>
      </c>
      <c r="Q257" s="11" t="e" cm="1">
        <f t="array" ref="Q257">IF(P257="NÃO","NÃO",_xlfn.XLOOKUP(P257,tabE.Flux[COMP.AT. MOT A],#REF!,"NÃO",0,1))</f>
        <v>#VALUE!</v>
      </c>
      <c r="R257" s="14" t="e" cm="1">
        <f t="array" ref="R257">IF(P257="NÃO","NÃO",_xlfn.XLOOKUP(P257,tabE.Flux[COMP.AT. MOT B],#REF!,"NÃO",0,1))</f>
        <v>#VALUE!</v>
      </c>
      <c r="S25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57" s="16" t="e" cm="1">
        <f t="array" ref="T25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57" s="41" t="e" cm="1">
        <f t="array" ref="U25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58" spans="12:21" x14ac:dyDescent="0.25">
      <c r="L258" s="36" t="e">
        <f>Tabela7[[#This Row],[ID]]</f>
        <v>#VALUE!</v>
      </c>
      <c r="M258" s="17" t="e">
        <f>_xlfn.CONCAT(Tabela7[[#This Row],[DATA]],"+",Tabela7[[#This Row],[NOME]])</f>
        <v>#VALUE!</v>
      </c>
      <c r="N258" s="11" t="e" cm="1">
        <f t="array" ref="N258">_xlfn.XLOOKUP(M258,tabE.Flux[[#All],[COMP.AT. MOT A]],#REF!,"NÃO",0,1)</f>
        <v>#VALUE!</v>
      </c>
      <c r="O258" s="11" t="e" cm="1">
        <f t="array" ref="O258">_xlfn.XLOOKUP(M258,tabE.Flux[[#All],[COMP.AT. MOT B]],#REF!,"NÃO",0,1)</f>
        <v>#VALUE!</v>
      </c>
      <c r="P258" s="12" t="e">
        <f>IF(N258="NÃO",(IF(O258="NÃO",(_xlfn.CONCAT(Tabela7[[#This Row],[DATA]]-1,"+",Tabela7[[#This Row],[NOME]])),"NÃO")),"NÃO")</f>
        <v>#VALUE!</v>
      </c>
      <c r="Q258" s="11" t="e" cm="1">
        <f t="array" ref="Q258">IF(P258="NÃO","NÃO",_xlfn.XLOOKUP(P258,tabE.Flux[COMP.AT. MOT A],#REF!,"NÃO",0,1))</f>
        <v>#VALUE!</v>
      </c>
      <c r="R258" s="14" t="e" cm="1">
        <f t="array" ref="R258">IF(P258="NÃO","NÃO",_xlfn.XLOOKUP(P258,tabE.Flux[COMP.AT. MOT B],#REF!,"NÃO",0,1))</f>
        <v>#VALUE!</v>
      </c>
      <c r="S25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58" s="16" t="e" cm="1">
        <f t="array" ref="T25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58" s="41" t="e" cm="1">
        <f t="array" ref="U25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59" spans="12:21" x14ac:dyDescent="0.25">
      <c r="L259" s="36" t="e">
        <f>Tabela7[[#This Row],[ID]]</f>
        <v>#VALUE!</v>
      </c>
      <c r="M259" s="17" t="e">
        <f>_xlfn.CONCAT(Tabela7[[#This Row],[DATA]],"+",Tabela7[[#This Row],[NOME]])</f>
        <v>#VALUE!</v>
      </c>
      <c r="N259" s="11" t="e" cm="1">
        <f t="array" ref="N259">_xlfn.XLOOKUP(M259,tabE.Flux[[#All],[COMP.AT. MOT A]],#REF!,"NÃO",0,1)</f>
        <v>#VALUE!</v>
      </c>
      <c r="O259" s="11" t="e" cm="1">
        <f t="array" ref="O259">_xlfn.XLOOKUP(M259,tabE.Flux[[#All],[COMP.AT. MOT B]],#REF!,"NÃO",0,1)</f>
        <v>#VALUE!</v>
      </c>
      <c r="P259" s="12" t="e">
        <f>IF(N259="NÃO",(IF(O259="NÃO",(_xlfn.CONCAT(Tabela7[[#This Row],[DATA]]-1,"+",Tabela7[[#This Row],[NOME]])),"NÃO")),"NÃO")</f>
        <v>#VALUE!</v>
      </c>
      <c r="Q259" s="11" t="e" cm="1">
        <f t="array" ref="Q259">IF(P259="NÃO","NÃO",_xlfn.XLOOKUP(P259,tabE.Flux[COMP.AT. MOT A],#REF!,"NÃO",0,1))</f>
        <v>#VALUE!</v>
      </c>
      <c r="R259" s="14" t="e" cm="1">
        <f t="array" ref="R259">IF(P259="NÃO","NÃO",_xlfn.XLOOKUP(P259,tabE.Flux[COMP.AT. MOT B],#REF!,"NÃO",0,1))</f>
        <v>#VALUE!</v>
      </c>
      <c r="S25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59" s="16" t="e" cm="1">
        <f t="array" ref="T25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59" s="41" t="e" cm="1">
        <f t="array" ref="U25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60" spans="12:21" x14ac:dyDescent="0.25">
      <c r="L260" s="36" t="e">
        <f>Tabela7[[#This Row],[ID]]</f>
        <v>#VALUE!</v>
      </c>
      <c r="M260" s="17" t="e">
        <f>_xlfn.CONCAT(Tabela7[[#This Row],[DATA]],"+",Tabela7[[#This Row],[NOME]])</f>
        <v>#VALUE!</v>
      </c>
      <c r="N260" s="11" t="e" cm="1">
        <f t="array" ref="N260">_xlfn.XLOOKUP(M260,tabE.Flux[[#All],[COMP.AT. MOT A]],#REF!,"NÃO",0,1)</f>
        <v>#VALUE!</v>
      </c>
      <c r="O260" s="11" t="e" cm="1">
        <f t="array" ref="O260">_xlfn.XLOOKUP(M260,tabE.Flux[[#All],[COMP.AT. MOT B]],#REF!,"NÃO",0,1)</f>
        <v>#VALUE!</v>
      </c>
      <c r="P260" s="12" t="e">
        <f>IF(N260="NÃO",(IF(O260="NÃO",(_xlfn.CONCAT(Tabela7[[#This Row],[DATA]]-1,"+",Tabela7[[#This Row],[NOME]])),"NÃO")),"NÃO")</f>
        <v>#VALUE!</v>
      </c>
      <c r="Q260" s="11" t="e" cm="1">
        <f t="array" ref="Q260">IF(P260="NÃO","NÃO",_xlfn.XLOOKUP(P260,tabE.Flux[COMP.AT. MOT A],#REF!,"NÃO",0,1))</f>
        <v>#VALUE!</v>
      </c>
      <c r="R260" s="14" t="e" cm="1">
        <f t="array" ref="R260">IF(P260="NÃO","NÃO",_xlfn.XLOOKUP(P260,tabE.Flux[COMP.AT. MOT B],#REF!,"NÃO",0,1))</f>
        <v>#VALUE!</v>
      </c>
      <c r="S26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60" s="16" t="e" cm="1">
        <f t="array" ref="T26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60" s="41" t="e" cm="1">
        <f t="array" ref="U26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61" spans="12:21" x14ac:dyDescent="0.25">
      <c r="L261" s="36" t="e">
        <f>Tabela7[[#This Row],[ID]]</f>
        <v>#VALUE!</v>
      </c>
      <c r="M261" s="17" t="e">
        <f>_xlfn.CONCAT(Tabela7[[#This Row],[DATA]],"+",Tabela7[[#This Row],[NOME]])</f>
        <v>#VALUE!</v>
      </c>
      <c r="N261" s="11" t="e" cm="1">
        <f t="array" ref="N261">_xlfn.XLOOKUP(M261,tabE.Flux[[#All],[COMP.AT. MOT A]],#REF!,"NÃO",0,1)</f>
        <v>#VALUE!</v>
      </c>
      <c r="O261" s="11" t="e" cm="1">
        <f t="array" ref="O261">_xlfn.XLOOKUP(M261,tabE.Flux[[#All],[COMP.AT. MOT B]],#REF!,"NÃO",0,1)</f>
        <v>#VALUE!</v>
      </c>
      <c r="P261" s="12" t="e">
        <f>IF(N261="NÃO",(IF(O261="NÃO",(_xlfn.CONCAT(Tabela7[[#This Row],[DATA]]-1,"+",Tabela7[[#This Row],[NOME]])),"NÃO")),"NÃO")</f>
        <v>#VALUE!</v>
      </c>
      <c r="Q261" s="11" t="e" cm="1">
        <f t="array" ref="Q261">IF(P261="NÃO","NÃO",_xlfn.XLOOKUP(P261,tabE.Flux[COMP.AT. MOT A],#REF!,"NÃO",0,1))</f>
        <v>#VALUE!</v>
      </c>
      <c r="R261" s="14" t="e" cm="1">
        <f t="array" ref="R261">IF(P261="NÃO","NÃO",_xlfn.XLOOKUP(P261,tabE.Flux[COMP.AT. MOT B],#REF!,"NÃO",0,1))</f>
        <v>#VALUE!</v>
      </c>
      <c r="S26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61" s="16" t="e" cm="1">
        <f t="array" ref="T26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61" s="41" t="e" cm="1">
        <f t="array" ref="U26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62" spans="12:21" x14ac:dyDescent="0.25">
      <c r="L262" s="36" t="e">
        <f>Tabela7[[#This Row],[ID]]</f>
        <v>#VALUE!</v>
      </c>
      <c r="M262" s="17" t="e">
        <f>_xlfn.CONCAT(Tabela7[[#This Row],[DATA]],"+",Tabela7[[#This Row],[NOME]])</f>
        <v>#VALUE!</v>
      </c>
      <c r="N262" s="11" t="e" cm="1">
        <f t="array" ref="N262">_xlfn.XLOOKUP(M262,tabE.Flux[[#All],[COMP.AT. MOT A]],#REF!,"NÃO",0,1)</f>
        <v>#VALUE!</v>
      </c>
      <c r="O262" s="11" t="e" cm="1">
        <f t="array" ref="O262">_xlfn.XLOOKUP(M262,tabE.Flux[[#All],[COMP.AT. MOT B]],#REF!,"NÃO",0,1)</f>
        <v>#VALUE!</v>
      </c>
      <c r="P262" s="12" t="e">
        <f>IF(N262="NÃO",(IF(O262="NÃO",(_xlfn.CONCAT(Tabela7[[#This Row],[DATA]]-1,"+",Tabela7[[#This Row],[NOME]])),"NÃO")),"NÃO")</f>
        <v>#VALUE!</v>
      </c>
      <c r="Q262" s="11" t="e" cm="1">
        <f t="array" ref="Q262">IF(P262="NÃO","NÃO",_xlfn.XLOOKUP(P262,tabE.Flux[COMP.AT. MOT A],#REF!,"NÃO",0,1))</f>
        <v>#VALUE!</v>
      </c>
      <c r="R262" s="14" t="e" cm="1">
        <f t="array" ref="R262">IF(P262="NÃO","NÃO",_xlfn.XLOOKUP(P262,tabE.Flux[COMP.AT. MOT B],#REF!,"NÃO",0,1))</f>
        <v>#VALUE!</v>
      </c>
      <c r="S26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62" s="16" t="e" cm="1">
        <f t="array" ref="T26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62" s="41" t="e" cm="1">
        <f t="array" ref="U26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63" spans="12:21" x14ac:dyDescent="0.25">
      <c r="L263" s="36" t="e">
        <f>Tabela7[[#This Row],[ID]]</f>
        <v>#VALUE!</v>
      </c>
      <c r="M263" s="17" t="e">
        <f>_xlfn.CONCAT(Tabela7[[#This Row],[DATA]],"+",Tabela7[[#This Row],[NOME]])</f>
        <v>#VALUE!</v>
      </c>
      <c r="N263" s="11" t="e" cm="1">
        <f t="array" ref="N263">_xlfn.XLOOKUP(M263,tabE.Flux[[#All],[COMP.AT. MOT A]],#REF!,"NÃO",0,1)</f>
        <v>#VALUE!</v>
      </c>
      <c r="O263" s="11" t="e" cm="1">
        <f t="array" ref="O263">_xlfn.XLOOKUP(M263,tabE.Flux[[#All],[COMP.AT. MOT B]],#REF!,"NÃO",0,1)</f>
        <v>#VALUE!</v>
      </c>
      <c r="P263" s="12" t="e">
        <f>IF(N263="NÃO",(IF(O263="NÃO",(_xlfn.CONCAT(Tabela7[[#This Row],[DATA]]-1,"+",Tabela7[[#This Row],[NOME]])),"NÃO")),"NÃO")</f>
        <v>#VALUE!</v>
      </c>
      <c r="Q263" s="11" t="e" cm="1">
        <f t="array" ref="Q263">IF(P263="NÃO","NÃO",_xlfn.XLOOKUP(P263,tabE.Flux[COMP.AT. MOT A],#REF!,"NÃO",0,1))</f>
        <v>#VALUE!</v>
      </c>
      <c r="R263" s="14" t="e" cm="1">
        <f t="array" ref="R263">IF(P263="NÃO","NÃO",_xlfn.XLOOKUP(P263,tabE.Flux[COMP.AT. MOT B],#REF!,"NÃO",0,1))</f>
        <v>#VALUE!</v>
      </c>
      <c r="S26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63" s="16" t="e" cm="1">
        <f t="array" ref="T26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63" s="41" t="e" cm="1">
        <f t="array" ref="U26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64" spans="12:21" x14ac:dyDescent="0.25">
      <c r="L264" s="36" t="e">
        <f>Tabela7[[#This Row],[ID]]</f>
        <v>#VALUE!</v>
      </c>
      <c r="M264" s="17" t="e">
        <f>_xlfn.CONCAT(Tabela7[[#This Row],[DATA]],"+",Tabela7[[#This Row],[NOME]])</f>
        <v>#VALUE!</v>
      </c>
      <c r="N264" s="11" t="e" cm="1">
        <f t="array" ref="N264">_xlfn.XLOOKUP(M264,tabE.Flux[[#All],[COMP.AT. MOT A]],#REF!,"NÃO",0,1)</f>
        <v>#VALUE!</v>
      </c>
      <c r="O264" s="11" t="e" cm="1">
        <f t="array" ref="O264">_xlfn.XLOOKUP(M264,tabE.Flux[[#All],[COMP.AT. MOT B]],#REF!,"NÃO",0,1)</f>
        <v>#VALUE!</v>
      </c>
      <c r="P264" s="12" t="e">
        <f>IF(N264="NÃO",(IF(O264="NÃO",(_xlfn.CONCAT(Tabela7[[#This Row],[DATA]]-1,"+",Tabela7[[#This Row],[NOME]])),"NÃO")),"NÃO")</f>
        <v>#VALUE!</v>
      </c>
      <c r="Q264" s="11" t="e" cm="1">
        <f t="array" ref="Q264">IF(P264="NÃO","NÃO",_xlfn.XLOOKUP(P264,tabE.Flux[COMP.AT. MOT A],#REF!,"NÃO",0,1))</f>
        <v>#VALUE!</v>
      </c>
      <c r="R264" s="14" t="e" cm="1">
        <f t="array" ref="R264">IF(P264="NÃO","NÃO",_xlfn.XLOOKUP(P264,tabE.Flux[COMP.AT. MOT B],#REF!,"NÃO",0,1))</f>
        <v>#VALUE!</v>
      </c>
      <c r="S26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64" s="16" t="e" cm="1">
        <f t="array" ref="T26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64" s="41" t="e" cm="1">
        <f t="array" ref="U26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65" spans="12:21" x14ac:dyDescent="0.25">
      <c r="L265" s="36" t="e">
        <f>Tabela7[[#This Row],[ID]]</f>
        <v>#VALUE!</v>
      </c>
      <c r="M265" s="17" t="e">
        <f>_xlfn.CONCAT(Tabela7[[#This Row],[DATA]],"+",Tabela7[[#This Row],[NOME]])</f>
        <v>#VALUE!</v>
      </c>
      <c r="N265" s="11" t="e" cm="1">
        <f t="array" ref="N265">_xlfn.XLOOKUP(M265,tabE.Flux[[#All],[COMP.AT. MOT A]],#REF!,"NÃO",0,1)</f>
        <v>#VALUE!</v>
      </c>
      <c r="O265" s="11" t="e" cm="1">
        <f t="array" ref="O265">_xlfn.XLOOKUP(M265,tabE.Flux[[#All],[COMP.AT. MOT B]],#REF!,"NÃO",0,1)</f>
        <v>#VALUE!</v>
      </c>
      <c r="P265" s="12" t="e">
        <f>IF(N265="NÃO",(IF(O265="NÃO",(_xlfn.CONCAT(Tabela7[[#This Row],[DATA]]-1,"+",Tabela7[[#This Row],[NOME]])),"NÃO")),"NÃO")</f>
        <v>#VALUE!</v>
      </c>
      <c r="Q265" s="11" t="e" cm="1">
        <f t="array" ref="Q265">IF(P265="NÃO","NÃO",_xlfn.XLOOKUP(P265,tabE.Flux[COMP.AT. MOT A],#REF!,"NÃO",0,1))</f>
        <v>#VALUE!</v>
      </c>
      <c r="R265" s="14" t="e" cm="1">
        <f t="array" ref="R265">IF(P265="NÃO","NÃO",_xlfn.XLOOKUP(P265,tabE.Flux[COMP.AT. MOT B],#REF!,"NÃO",0,1))</f>
        <v>#VALUE!</v>
      </c>
      <c r="S26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65" s="16" t="e" cm="1">
        <f t="array" ref="T26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65" s="41" t="e" cm="1">
        <f t="array" ref="U26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66" spans="12:21" x14ac:dyDescent="0.25">
      <c r="L266" s="36" t="e">
        <f>Tabela7[[#This Row],[ID]]</f>
        <v>#VALUE!</v>
      </c>
      <c r="M266" s="17" t="e">
        <f>_xlfn.CONCAT(Tabela7[[#This Row],[DATA]],"+",Tabela7[[#This Row],[NOME]])</f>
        <v>#VALUE!</v>
      </c>
      <c r="N266" s="11" t="e" cm="1">
        <f t="array" ref="N266">_xlfn.XLOOKUP(M266,tabE.Flux[[#All],[COMP.AT. MOT A]],#REF!,"NÃO",0,1)</f>
        <v>#VALUE!</v>
      </c>
      <c r="O266" s="11" t="e" cm="1">
        <f t="array" ref="O266">_xlfn.XLOOKUP(M266,tabE.Flux[[#All],[COMP.AT. MOT B]],#REF!,"NÃO",0,1)</f>
        <v>#VALUE!</v>
      </c>
      <c r="P266" s="12" t="e">
        <f>IF(N266="NÃO",(IF(O266="NÃO",(_xlfn.CONCAT(Tabela7[[#This Row],[DATA]]-1,"+",Tabela7[[#This Row],[NOME]])),"NÃO")),"NÃO")</f>
        <v>#VALUE!</v>
      </c>
      <c r="Q266" s="11" t="e" cm="1">
        <f t="array" ref="Q266">IF(P266="NÃO","NÃO",_xlfn.XLOOKUP(P266,tabE.Flux[COMP.AT. MOT A],#REF!,"NÃO",0,1))</f>
        <v>#VALUE!</v>
      </c>
      <c r="R266" s="14" t="e" cm="1">
        <f t="array" ref="R266">IF(P266="NÃO","NÃO",_xlfn.XLOOKUP(P266,tabE.Flux[COMP.AT. MOT B],#REF!,"NÃO",0,1))</f>
        <v>#VALUE!</v>
      </c>
      <c r="S26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66" s="16" t="e" cm="1">
        <f t="array" ref="T26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66" s="41" t="e" cm="1">
        <f t="array" ref="U26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67" spans="12:21" x14ac:dyDescent="0.25">
      <c r="L267" s="36" t="e">
        <f>Tabela7[[#This Row],[ID]]</f>
        <v>#VALUE!</v>
      </c>
      <c r="M267" s="17" t="e">
        <f>_xlfn.CONCAT(Tabela7[[#This Row],[DATA]],"+",Tabela7[[#This Row],[NOME]])</f>
        <v>#VALUE!</v>
      </c>
      <c r="N267" s="11" t="e" cm="1">
        <f t="array" ref="N267">_xlfn.XLOOKUP(M267,tabE.Flux[[#All],[COMP.AT. MOT A]],#REF!,"NÃO",0,1)</f>
        <v>#VALUE!</v>
      </c>
      <c r="O267" s="11" t="e" cm="1">
        <f t="array" ref="O267">_xlfn.XLOOKUP(M267,tabE.Flux[[#All],[COMP.AT. MOT B]],#REF!,"NÃO",0,1)</f>
        <v>#VALUE!</v>
      </c>
      <c r="P267" s="12" t="e">
        <f>IF(N267="NÃO",(IF(O267="NÃO",(_xlfn.CONCAT(Tabela7[[#This Row],[DATA]]-1,"+",Tabela7[[#This Row],[NOME]])),"NÃO")),"NÃO")</f>
        <v>#VALUE!</v>
      </c>
      <c r="Q267" s="11" t="e" cm="1">
        <f t="array" ref="Q267">IF(P267="NÃO","NÃO",_xlfn.XLOOKUP(P267,tabE.Flux[COMP.AT. MOT A],#REF!,"NÃO",0,1))</f>
        <v>#VALUE!</v>
      </c>
      <c r="R267" s="14" t="e" cm="1">
        <f t="array" ref="R267">IF(P267="NÃO","NÃO",_xlfn.XLOOKUP(P267,tabE.Flux[COMP.AT. MOT B],#REF!,"NÃO",0,1))</f>
        <v>#VALUE!</v>
      </c>
      <c r="S26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67" s="16" t="e" cm="1">
        <f t="array" ref="T26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67" s="41" t="e" cm="1">
        <f t="array" ref="U26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68" spans="12:21" x14ac:dyDescent="0.25">
      <c r="L268" s="36" t="e">
        <f>Tabela7[[#This Row],[ID]]</f>
        <v>#VALUE!</v>
      </c>
      <c r="M268" s="17" t="e">
        <f>_xlfn.CONCAT(Tabela7[[#This Row],[DATA]],"+",Tabela7[[#This Row],[NOME]])</f>
        <v>#VALUE!</v>
      </c>
      <c r="N268" s="11" t="e" cm="1">
        <f t="array" ref="N268">_xlfn.XLOOKUP(M268,tabE.Flux[[#All],[COMP.AT. MOT A]],#REF!,"NÃO",0,1)</f>
        <v>#VALUE!</v>
      </c>
      <c r="O268" s="11" t="e" cm="1">
        <f t="array" ref="O268">_xlfn.XLOOKUP(M268,tabE.Flux[[#All],[COMP.AT. MOT B]],#REF!,"NÃO",0,1)</f>
        <v>#VALUE!</v>
      </c>
      <c r="P268" s="12" t="e">
        <f>IF(N268="NÃO",(IF(O268="NÃO",(_xlfn.CONCAT(Tabela7[[#This Row],[DATA]]-1,"+",Tabela7[[#This Row],[NOME]])),"NÃO")),"NÃO")</f>
        <v>#VALUE!</v>
      </c>
      <c r="Q268" s="11" t="e" cm="1">
        <f t="array" ref="Q268">IF(P268="NÃO","NÃO",_xlfn.XLOOKUP(P268,tabE.Flux[COMP.AT. MOT A],#REF!,"NÃO",0,1))</f>
        <v>#VALUE!</v>
      </c>
      <c r="R268" s="14" t="e" cm="1">
        <f t="array" ref="R268">IF(P268="NÃO","NÃO",_xlfn.XLOOKUP(P268,tabE.Flux[COMP.AT. MOT B],#REF!,"NÃO",0,1))</f>
        <v>#VALUE!</v>
      </c>
      <c r="S26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68" s="16" t="e" cm="1">
        <f t="array" ref="T26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68" s="41" t="e" cm="1">
        <f t="array" ref="U26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69" spans="12:21" x14ac:dyDescent="0.25">
      <c r="L269" s="36" t="e">
        <f>Tabela7[[#This Row],[ID]]</f>
        <v>#VALUE!</v>
      </c>
      <c r="M269" s="17" t="e">
        <f>_xlfn.CONCAT(Tabela7[[#This Row],[DATA]],"+",Tabela7[[#This Row],[NOME]])</f>
        <v>#VALUE!</v>
      </c>
      <c r="N269" s="11" t="e" cm="1">
        <f t="array" ref="N269">_xlfn.XLOOKUP(M269,tabE.Flux[[#All],[COMP.AT. MOT A]],#REF!,"NÃO",0,1)</f>
        <v>#VALUE!</v>
      </c>
      <c r="O269" s="11" t="e" cm="1">
        <f t="array" ref="O269">_xlfn.XLOOKUP(M269,tabE.Flux[[#All],[COMP.AT. MOT B]],#REF!,"NÃO",0,1)</f>
        <v>#VALUE!</v>
      </c>
      <c r="P269" s="12" t="e">
        <f>IF(N269="NÃO",(IF(O269="NÃO",(_xlfn.CONCAT(Tabela7[[#This Row],[DATA]]-1,"+",Tabela7[[#This Row],[NOME]])),"NÃO")),"NÃO")</f>
        <v>#VALUE!</v>
      </c>
      <c r="Q269" s="11" t="e" cm="1">
        <f t="array" ref="Q269">IF(P269="NÃO","NÃO",_xlfn.XLOOKUP(P269,tabE.Flux[COMP.AT. MOT A],#REF!,"NÃO",0,1))</f>
        <v>#VALUE!</v>
      </c>
      <c r="R269" s="14" t="e" cm="1">
        <f t="array" ref="R269">IF(P269="NÃO","NÃO",_xlfn.XLOOKUP(P269,tabE.Flux[COMP.AT. MOT B],#REF!,"NÃO",0,1))</f>
        <v>#VALUE!</v>
      </c>
      <c r="S26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69" s="16" t="e" cm="1">
        <f t="array" ref="T26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69" s="41" t="e" cm="1">
        <f t="array" ref="U26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70" spans="12:21" x14ac:dyDescent="0.25">
      <c r="L270" s="36" t="e">
        <f>Tabela7[[#This Row],[ID]]</f>
        <v>#VALUE!</v>
      </c>
      <c r="M270" s="17" t="e">
        <f>_xlfn.CONCAT(Tabela7[[#This Row],[DATA]],"+",Tabela7[[#This Row],[NOME]])</f>
        <v>#VALUE!</v>
      </c>
      <c r="N270" s="11" t="e" cm="1">
        <f t="array" ref="N270">_xlfn.XLOOKUP(M270,tabE.Flux[[#All],[COMP.AT. MOT A]],#REF!,"NÃO",0,1)</f>
        <v>#VALUE!</v>
      </c>
      <c r="O270" s="11" t="e" cm="1">
        <f t="array" ref="O270">_xlfn.XLOOKUP(M270,tabE.Flux[[#All],[COMP.AT. MOT B]],#REF!,"NÃO",0,1)</f>
        <v>#VALUE!</v>
      </c>
      <c r="P270" s="12" t="e">
        <f>IF(N270="NÃO",(IF(O270="NÃO",(_xlfn.CONCAT(Tabela7[[#This Row],[DATA]]-1,"+",Tabela7[[#This Row],[NOME]])),"NÃO")),"NÃO")</f>
        <v>#VALUE!</v>
      </c>
      <c r="Q270" s="11" t="e" cm="1">
        <f t="array" ref="Q270">IF(P270="NÃO","NÃO",_xlfn.XLOOKUP(P270,tabE.Flux[COMP.AT. MOT A],#REF!,"NÃO",0,1))</f>
        <v>#VALUE!</v>
      </c>
      <c r="R270" s="14" t="e" cm="1">
        <f t="array" ref="R270">IF(P270="NÃO","NÃO",_xlfn.XLOOKUP(P270,tabE.Flux[COMP.AT. MOT B],#REF!,"NÃO",0,1))</f>
        <v>#VALUE!</v>
      </c>
      <c r="S27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70" s="16" t="e" cm="1">
        <f t="array" ref="T27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70" s="41" t="e" cm="1">
        <f t="array" ref="U27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71" spans="12:21" x14ac:dyDescent="0.25">
      <c r="L271" s="36" t="e">
        <f>Tabela7[[#This Row],[ID]]</f>
        <v>#VALUE!</v>
      </c>
      <c r="M271" s="17" t="e">
        <f>_xlfn.CONCAT(Tabela7[[#This Row],[DATA]],"+",Tabela7[[#This Row],[NOME]])</f>
        <v>#VALUE!</v>
      </c>
      <c r="N271" s="11" t="e" cm="1">
        <f t="array" ref="N271">_xlfn.XLOOKUP(M271,tabE.Flux[[#All],[COMP.AT. MOT A]],#REF!,"NÃO",0,1)</f>
        <v>#VALUE!</v>
      </c>
      <c r="O271" s="11" t="e" cm="1">
        <f t="array" ref="O271">_xlfn.XLOOKUP(M271,tabE.Flux[[#All],[COMP.AT. MOT B]],#REF!,"NÃO",0,1)</f>
        <v>#VALUE!</v>
      </c>
      <c r="P271" s="12" t="e">
        <f>IF(N271="NÃO",(IF(O271="NÃO",(_xlfn.CONCAT(Tabela7[[#This Row],[DATA]]-1,"+",Tabela7[[#This Row],[NOME]])),"NÃO")),"NÃO")</f>
        <v>#VALUE!</v>
      </c>
      <c r="Q271" s="11" t="e" cm="1">
        <f t="array" ref="Q271">IF(P271="NÃO","NÃO",_xlfn.XLOOKUP(P271,tabE.Flux[COMP.AT. MOT A],#REF!,"NÃO",0,1))</f>
        <v>#VALUE!</v>
      </c>
      <c r="R271" s="14" t="e" cm="1">
        <f t="array" ref="R271">IF(P271="NÃO","NÃO",_xlfn.XLOOKUP(P271,tabE.Flux[COMP.AT. MOT B],#REF!,"NÃO",0,1))</f>
        <v>#VALUE!</v>
      </c>
      <c r="S27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71" s="16" t="e" cm="1">
        <f t="array" ref="T27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71" s="41" t="e" cm="1">
        <f t="array" ref="U27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72" spans="12:21" x14ac:dyDescent="0.25">
      <c r="L272" s="36" t="e">
        <f>Tabela7[[#This Row],[ID]]</f>
        <v>#VALUE!</v>
      </c>
      <c r="M272" s="17" t="e">
        <f>_xlfn.CONCAT(Tabela7[[#This Row],[DATA]],"+",Tabela7[[#This Row],[NOME]])</f>
        <v>#VALUE!</v>
      </c>
      <c r="N272" s="11" t="e" cm="1">
        <f t="array" ref="N272">_xlfn.XLOOKUP(M272,tabE.Flux[[#All],[COMP.AT. MOT A]],#REF!,"NÃO",0,1)</f>
        <v>#VALUE!</v>
      </c>
      <c r="O272" s="11" t="e" cm="1">
        <f t="array" ref="O272">_xlfn.XLOOKUP(M272,tabE.Flux[[#All],[COMP.AT. MOT B]],#REF!,"NÃO",0,1)</f>
        <v>#VALUE!</v>
      </c>
      <c r="P272" s="12" t="e">
        <f>IF(N272="NÃO",(IF(O272="NÃO",(_xlfn.CONCAT(Tabela7[[#This Row],[DATA]]-1,"+",Tabela7[[#This Row],[NOME]])),"NÃO")),"NÃO")</f>
        <v>#VALUE!</v>
      </c>
      <c r="Q272" s="11" t="e" cm="1">
        <f t="array" ref="Q272">IF(P272="NÃO","NÃO",_xlfn.XLOOKUP(P272,tabE.Flux[COMP.AT. MOT A],#REF!,"NÃO",0,1))</f>
        <v>#VALUE!</v>
      </c>
      <c r="R272" s="14" t="e" cm="1">
        <f t="array" ref="R272">IF(P272="NÃO","NÃO",_xlfn.XLOOKUP(P272,tabE.Flux[COMP.AT. MOT B],#REF!,"NÃO",0,1))</f>
        <v>#VALUE!</v>
      </c>
      <c r="S27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72" s="16" t="e" cm="1">
        <f t="array" ref="T27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72" s="41" t="e" cm="1">
        <f t="array" ref="U27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73" spans="12:21" x14ac:dyDescent="0.25">
      <c r="L273" s="36" t="e">
        <f>Tabela7[[#This Row],[ID]]</f>
        <v>#VALUE!</v>
      </c>
      <c r="M273" s="17" t="e">
        <f>_xlfn.CONCAT(Tabela7[[#This Row],[DATA]],"+",Tabela7[[#This Row],[NOME]])</f>
        <v>#VALUE!</v>
      </c>
      <c r="N273" s="11" t="e" cm="1">
        <f t="array" ref="N273">_xlfn.XLOOKUP(M273,tabE.Flux[[#All],[COMP.AT. MOT A]],#REF!,"NÃO",0,1)</f>
        <v>#VALUE!</v>
      </c>
      <c r="O273" s="11" t="e" cm="1">
        <f t="array" ref="O273">_xlfn.XLOOKUP(M273,tabE.Flux[[#All],[COMP.AT. MOT B]],#REF!,"NÃO",0,1)</f>
        <v>#VALUE!</v>
      </c>
      <c r="P273" s="12" t="e">
        <f>IF(N273="NÃO",(IF(O273="NÃO",(_xlfn.CONCAT(Tabela7[[#This Row],[DATA]]-1,"+",Tabela7[[#This Row],[NOME]])),"NÃO")),"NÃO")</f>
        <v>#VALUE!</v>
      </c>
      <c r="Q273" s="11" t="e" cm="1">
        <f t="array" ref="Q273">IF(P273="NÃO","NÃO",_xlfn.XLOOKUP(P273,tabE.Flux[COMP.AT. MOT A],#REF!,"NÃO",0,1))</f>
        <v>#VALUE!</v>
      </c>
      <c r="R273" s="14" t="e" cm="1">
        <f t="array" ref="R273">IF(P273="NÃO","NÃO",_xlfn.XLOOKUP(P273,tabE.Flux[COMP.AT. MOT B],#REF!,"NÃO",0,1))</f>
        <v>#VALUE!</v>
      </c>
      <c r="S27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73" s="16" t="e" cm="1">
        <f t="array" ref="T27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73" s="41" t="e" cm="1">
        <f t="array" ref="U27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74" spans="12:21" x14ac:dyDescent="0.25">
      <c r="L274" s="36" t="e">
        <f>Tabela7[[#This Row],[ID]]</f>
        <v>#VALUE!</v>
      </c>
      <c r="M274" s="17" t="e">
        <f>_xlfn.CONCAT(Tabela7[[#This Row],[DATA]],"+",Tabela7[[#This Row],[NOME]])</f>
        <v>#VALUE!</v>
      </c>
      <c r="N274" s="11" t="e" cm="1">
        <f t="array" ref="N274">_xlfn.XLOOKUP(M274,tabE.Flux[[#All],[COMP.AT. MOT A]],#REF!,"NÃO",0,1)</f>
        <v>#VALUE!</v>
      </c>
      <c r="O274" s="11" t="e" cm="1">
        <f t="array" ref="O274">_xlfn.XLOOKUP(M274,tabE.Flux[[#All],[COMP.AT. MOT B]],#REF!,"NÃO",0,1)</f>
        <v>#VALUE!</v>
      </c>
      <c r="P274" s="12" t="e">
        <f>IF(N274="NÃO",(IF(O274="NÃO",(_xlfn.CONCAT(Tabela7[[#This Row],[DATA]]-1,"+",Tabela7[[#This Row],[NOME]])),"NÃO")),"NÃO")</f>
        <v>#VALUE!</v>
      </c>
      <c r="Q274" s="11" t="e" cm="1">
        <f t="array" ref="Q274">IF(P274="NÃO","NÃO",_xlfn.XLOOKUP(P274,tabE.Flux[COMP.AT. MOT A],#REF!,"NÃO",0,1))</f>
        <v>#VALUE!</v>
      </c>
      <c r="R274" s="14" t="e" cm="1">
        <f t="array" ref="R274">IF(P274="NÃO","NÃO",_xlfn.XLOOKUP(P274,tabE.Flux[COMP.AT. MOT B],#REF!,"NÃO",0,1))</f>
        <v>#VALUE!</v>
      </c>
      <c r="S27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74" s="16" t="e" cm="1">
        <f t="array" ref="T27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74" s="41" t="e" cm="1">
        <f t="array" ref="U27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75" spans="12:21" x14ac:dyDescent="0.25">
      <c r="L275" s="36" t="e">
        <f>Tabela7[[#This Row],[ID]]</f>
        <v>#VALUE!</v>
      </c>
      <c r="M275" s="17" t="e">
        <f>_xlfn.CONCAT(Tabela7[[#This Row],[DATA]],"+",Tabela7[[#This Row],[NOME]])</f>
        <v>#VALUE!</v>
      </c>
      <c r="N275" s="11" t="e" cm="1">
        <f t="array" ref="N275">_xlfn.XLOOKUP(M275,tabE.Flux[[#All],[COMP.AT. MOT A]],#REF!,"NÃO",0,1)</f>
        <v>#VALUE!</v>
      </c>
      <c r="O275" s="11" t="e" cm="1">
        <f t="array" ref="O275">_xlfn.XLOOKUP(M275,tabE.Flux[[#All],[COMP.AT. MOT B]],#REF!,"NÃO",0,1)</f>
        <v>#VALUE!</v>
      </c>
      <c r="P275" s="12" t="e">
        <f>IF(N275="NÃO",(IF(O275="NÃO",(_xlfn.CONCAT(Tabela7[[#This Row],[DATA]]-1,"+",Tabela7[[#This Row],[NOME]])),"NÃO")),"NÃO")</f>
        <v>#VALUE!</v>
      </c>
      <c r="Q275" s="11" t="e" cm="1">
        <f t="array" ref="Q275">IF(P275="NÃO","NÃO",_xlfn.XLOOKUP(P275,tabE.Flux[COMP.AT. MOT A],#REF!,"NÃO",0,1))</f>
        <v>#VALUE!</v>
      </c>
      <c r="R275" s="14" t="e" cm="1">
        <f t="array" ref="R275">IF(P275="NÃO","NÃO",_xlfn.XLOOKUP(P275,tabE.Flux[COMP.AT. MOT B],#REF!,"NÃO",0,1))</f>
        <v>#VALUE!</v>
      </c>
      <c r="S27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75" s="16" t="e" cm="1">
        <f t="array" ref="T27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75" s="41" t="e" cm="1">
        <f t="array" ref="U27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76" spans="12:21" x14ac:dyDescent="0.25">
      <c r="L276" s="36" t="e">
        <f>Tabela7[[#This Row],[ID]]</f>
        <v>#VALUE!</v>
      </c>
      <c r="M276" s="17" t="e">
        <f>_xlfn.CONCAT(Tabela7[[#This Row],[DATA]],"+",Tabela7[[#This Row],[NOME]])</f>
        <v>#VALUE!</v>
      </c>
      <c r="N276" s="11" t="e" cm="1">
        <f t="array" ref="N276">_xlfn.XLOOKUP(M276,tabE.Flux[[#All],[COMP.AT. MOT A]],#REF!,"NÃO",0,1)</f>
        <v>#VALUE!</v>
      </c>
      <c r="O276" s="11" t="e" cm="1">
        <f t="array" ref="O276">_xlfn.XLOOKUP(M276,tabE.Flux[[#All],[COMP.AT. MOT B]],#REF!,"NÃO",0,1)</f>
        <v>#VALUE!</v>
      </c>
      <c r="P276" s="12" t="e">
        <f>IF(N276="NÃO",(IF(O276="NÃO",(_xlfn.CONCAT(Tabela7[[#This Row],[DATA]]-1,"+",Tabela7[[#This Row],[NOME]])),"NÃO")),"NÃO")</f>
        <v>#VALUE!</v>
      </c>
      <c r="Q276" s="11" t="e" cm="1">
        <f t="array" ref="Q276">IF(P276="NÃO","NÃO",_xlfn.XLOOKUP(P276,tabE.Flux[COMP.AT. MOT A],#REF!,"NÃO",0,1))</f>
        <v>#VALUE!</v>
      </c>
      <c r="R276" s="14" t="e" cm="1">
        <f t="array" ref="R276">IF(P276="NÃO","NÃO",_xlfn.XLOOKUP(P276,tabE.Flux[COMP.AT. MOT B],#REF!,"NÃO",0,1))</f>
        <v>#VALUE!</v>
      </c>
      <c r="S27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76" s="16" t="e" cm="1">
        <f t="array" ref="T27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76" s="41" t="e" cm="1">
        <f t="array" ref="U27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77" spans="12:21" x14ac:dyDescent="0.25">
      <c r="L277" s="36" t="e">
        <f>Tabela7[[#This Row],[ID]]</f>
        <v>#VALUE!</v>
      </c>
      <c r="M277" s="17" t="e">
        <f>_xlfn.CONCAT(Tabela7[[#This Row],[DATA]],"+",Tabela7[[#This Row],[NOME]])</f>
        <v>#VALUE!</v>
      </c>
      <c r="N277" s="11" t="e" cm="1">
        <f t="array" ref="N277">_xlfn.XLOOKUP(M277,tabE.Flux[[#All],[COMP.AT. MOT A]],#REF!,"NÃO",0,1)</f>
        <v>#VALUE!</v>
      </c>
      <c r="O277" s="11" t="e" cm="1">
        <f t="array" ref="O277">_xlfn.XLOOKUP(M277,tabE.Flux[[#All],[COMP.AT. MOT B]],#REF!,"NÃO",0,1)</f>
        <v>#VALUE!</v>
      </c>
      <c r="P277" s="12" t="e">
        <f>IF(N277="NÃO",(IF(O277="NÃO",(_xlfn.CONCAT(Tabela7[[#This Row],[DATA]]-1,"+",Tabela7[[#This Row],[NOME]])),"NÃO")),"NÃO")</f>
        <v>#VALUE!</v>
      </c>
      <c r="Q277" s="11" t="e" cm="1">
        <f t="array" ref="Q277">IF(P277="NÃO","NÃO",_xlfn.XLOOKUP(P277,tabE.Flux[COMP.AT. MOT A],#REF!,"NÃO",0,1))</f>
        <v>#VALUE!</v>
      </c>
      <c r="R277" s="14" t="e" cm="1">
        <f t="array" ref="R277">IF(P277="NÃO","NÃO",_xlfn.XLOOKUP(P277,tabE.Flux[COMP.AT. MOT B],#REF!,"NÃO",0,1))</f>
        <v>#VALUE!</v>
      </c>
      <c r="S27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77" s="16" t="e" cm="1">
        <f t="array" ref="T27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77" s="41" t="e" cm="1">
        <f t="array" ref="U27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78" spans="12:21" x14ac:dyDescent="0.25">
      <c r="L278" s="36" t="e">
        <f>Tabela7[[#This Row],[ID]]</f>
        <v>#VALUE!</v>
      </c>
      <c r="M278" s="17" t="e">
        <f>_xlfn.CONCAT(Tabela7[[#This Row],[DATA]],"+",Tabela7[[#This Row],[NOME]])</f>
        <v>#VALUE!</v>
      </c>
      <c r="N278" s="11" t="e" cm="1">
        <f t="array" ref="N278">_xlfn.XLOOKUP(M278,tabE.Flux[[#All],[COMP.AT. MOT A]],#REF!,"NÃO",0,1)</f>
        <v>#VALUE!</v>
      </c>
      <c r="O278" s="11" t="e" cm="1">
        <f t="array" ref="O278">_xlfn.XLOOKUP(M278,tabE.Flux[[#All],[COMP.AT. MOT B]],#REF!,"NÃO",0,1)</f>
        <v>#VALUE!</v>
      </c>
      <c r="P278" s="12" t="e">
        <f>IF(N278="NÃO",(IF(O278="NÃO",(_xlfn.CONCAT(Tabela7[[#This Row],[DATA]]-1,"+",Tabela7[[#This Row],[NOME]])),"NÃO")),"NÃO")</f>
        <v>#VALUE!</v>
      </c>
      <c r="Q278" s="11" t="e" cm="1">
        <f t="array" ref="Q278">IF(P278="NÃO","NÃO",_xlfn.XLOOKUP(P278,tabE.Flux[COMP.AT. MOT A],#REF!,"NÃO",0,1))</f>
        <v>#VALUE!</v>
      </c>
      <c r="R278" s="14" t="e" cm="1">
        <f t="array" ref="R278">IF(P278="NÃO","NÃO",_xlfn.XLOOKUP(P278,tabE.Flux[COMP.AT. MOT B],#REF!,"NÃO",0,1))</f>
        <v>#VALUE!</v>
      </c>
      <c r="S27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78" s="16" t="e" cm="1">
        <f t="array" ref="T27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78" s="41" t="e" cm="1">
        <f t="array" ref="U27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79" spans="12:21" x14ac:dyDescent="0.25">
      <c r="L279" s="36" t="e">
        <f>Tabela7[[#This Row],[ID]]</f>
        <v>#VALUE!</v>
      </c>
      <c r="M279" s="17" t="e">
        <f>_xlfn.CONCAT(Tabela7[[#This Row],[DATA]],"+",Tabela7[[#This Row],[NOME]])</f>
        <v>#VALUE!</v>
      </c>
      <c r="N279" s="11" t="e" cm="1">
        <f t="array" ref="N279">_xlfn.XLOOKUP(M279,tabE.Flux[[#All],[COMP.AT. MOT A]],#REF!,"NÃO",0,1)</f>
        <v>#VALUE!</v>
      </c>
      <c r="O279" s="11" t="e" cm="1">
        <f t="array" ref="O279">_xlfn.XLOOKUP(M279,tabE.Flux[[#All],[COMP.AT. MOT B]],#REF!,"NÃO",0,1)</f>
        <v>#VALUE!</v>
      </c>
      <c r="P279" s="12" t="e">
        <f>IF(N279="NÃO",(IF(O279="NÃO",(_xlfn.CONCAT(Tabela7[[#This Row],[DATA]]-1,"+",Tabela7[[#This Row],[NOME]])),"NÃO")),"NÃO")</f>
        <v>#VALUE!</v>
      </c>
      <c r="Q279" s="11" t="e" cm="1">
        <f t="array" ref="Q279">IF(P279="NÃO","NÃO",_xlfn.XLOOKUP(P279,tabE.Flux[COMP.AT. MOT A],#REF!,"NÃO",0,1))</f>
        <v>#VALUE!</v>
      </c>
      <c r="R279" s="14" t="e" cm="1">
        <f t="array" ref="R279">IF(P279="NÃO","NÃO",_xlfn.XLOOKUP(P279,tabE.Flux[COMP.AT. MOT B],#REF!,"NÃO",0,1))</f>
        <v>#VALUE!</v>
      </c>
      <c r="S27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79" s="16" t="e" cm="1">
        <f t="array" ref="T27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79" s="41" t="e" cm="1">
        <f t="array" ref="U27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80" spans="12:21" x14ac:dyDescent="0.25">
      <c r="L280" s="36" t="e">
        <f>Tabela7[[#This Row],[ID]]</f>
        <v>#VALUE!</v>
      </c>
      <c r="M280" s="17" t="e">
        <f>_xlfn.CONCAT(Tabela7[[#This Row],[DATA]],"+",Tabela7[[#This Row],[NOME]])</f>
        <v>#VALUE!</v>
      </c>
      <c r="N280" s="11" t="e" cm="1">
        <f t="array" ref="N280">_xlfn.XLOOKUP(M280,tabE.Flux[[#All],[COMP.AT. MOT A]],#REF!,"NÃO",0,1)</f>
        <v>#VALUE!</v>
      </c>
      <c r="O280" s="11" t="e" cm="1">
        <f t="array" ref="O280">_xlfn.XLOOKUP(M280,tabE.Flux[[#All],[COMP.AT. MOT B]],#REF!,"NÃO",0,1)</f>
        <v>#VALUE!</v>
      </c>
      <c r="P280" s="12" t="e">
        <f>IF(N280="NÃO",(IF(O280="NÃO",(_xlfn.CONCAT(Tabela7[[#This Row],[DATA]]-1,"+",Tabela7[[#This Row],[NOME]])),"NÃO")),"NÃO")</f>
        <v>#VALUE!</v>
      </c>
      <c r="Q280" s="11" t="e" cm="1">
        <f t="array" ref="Q280">IF(P280="NÃO","NÃO",_xlfn.XLOOKUP(P280,tabE.Flux[COMP.AT. MOT A],#REF!,"NÃO",0,1))</f>
        <v>#VALUE!</v>
      </c>
      <c r="R280" s="14" t="e" cm="1">
        <f t="array" ref="R280">IF(P280="NÃO","NÃO",_xlfn.XLOOKUP(P280,tabE.Flux[COMP.AT. MOT B],#REF!,"NÃO",0,1))</f>
        <v>#VALUE!</v>
      </c>
      <c r="S28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80" s="16" t="e" cm="1">
        <f t="array" ref="T28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80" s="41" t="e" cm="1">
        <f t="array" ref="U28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81" spans="12:21" x14ac:dyDescent="0.25">
      <c r="L281" s="36" t="e">
        <f>Tabela7[[#This Row],[ID]]</f>
        <v>#VALUE!</v>
      </c>
      <c r="M281" s="17" t="e">
        <f>_xlfn.CONCAT(Tabela7[[#This Row],[DATA]],"+",Tabela7[[#This Row],[NOME]])</f>
        <v>#VALUE!</v>
      </c>
      <c r="N281" s="11" t="e" cm="1">
        <f t="array" ref="N281">_xlfn.XLOOKUP(M281,tabE.Flux[[#All],[COMP.AT. MOT A]],#REF!,"NÃO",0,1)</f>
        <v>#VALUE!</v>
      </c>
      <c r="O281" s="11" t="e" cm="1">
        <f t="array" ref="O281">_xlfn.XLOOKUP(M281,tabE.Flux[[#All],[COMP.AT. MOT B]],#REF!,"NÃO",0,1)</f>
        <v>#VALUE!</v>
      </c>
      <c r="P281" s="12" t="e">
        <f>IF(N281="NÃO",(IF(O281="NÃO",(_xlfn.CONCAT(Tabela7[[#This Row],[DATA]]-1,"+",Tabela7[[#This Row],[NOME]])),"NÃO")),"NÃO")</f>
        <v>#VALUE!</v>
      </c>
      <c r="Q281" s="11" t="e" cm="1">
        <f t="array" ref="Q281">IF(P281="NÃO","NÃO",_xlfn.XLOOKUP(P281,tabE.Flux[COMP.AT. MOT A],#REF!,"NÃO",0,1))</f>
        <v>#VALUE!</v>
      </c>
      <c r="R281" s="14" t="e" cm="1">
        <f t="array" ref="R281">IF(P281="NÃO","NÃO",_xlfn.XLOOKUP(P281,tabE.Flux[COMP.AT. MOT B],#REF!,"NÃO",0,1))</f>
        <v>#VALUE!</v>
      </c>
      <c r="S28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81" s="16" t="e" cm="1">
        <f t="array" ref="T28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81" s="41" t="e" cm="1">
        <f t="array" ref="U28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82" spans="12:21" x14ac:dyDescent="0.25">
      <c r="L282" s="36" t="e">
        <f>Tabela7[[#This Row],[ID]]</f>
        <v>#VALUE!</v>
      </c>
      <c r="M282" s="17" t="e">
        <f>_xlfn.CONCAT(Tabela7[[#This Row],[DATA]],"+",Tabela7[[#This Row],[NOME]])</f>
        <v>#VALUE!</v>
      </c>
      <c r="N282" s="11" t="e" cm="1">
        <f t="array" ref="N282">_xlfn.XLOOKUP(M282,tabE.Flux[[#All],[COMP.AT. MOT A]],#REF!,"NÃO",0,1)</f>
        <v>#VALUE!</v>
      </c>
      <c r="O282" s="11" t="e" cm="1">
        <f t="array" ref="O282">_xlfn.XLOOKUP(M282,tabE.Flux[[#All],[COMP.AT. MOT B]],#REF!,"NÃO",0,1)</f>
        <v>#VALUE!</v>
      </c>
      <c r="P282" s="12" t="e">
        <f>IF(N282="NÃO",(IF(O282="NÃO",(_xlfn.CONCAT(Tabela7[[#This Row],[DATA]]-1,"+",Tabela7[[#This Row],[NOME]])),"NÃO")),"NÃO")</f>
        <v>#VALUE!</v>
      </c>
      <c r="Q282" s="11" t="e" cm="1">
        <f t="array" ref="Q282">IF(P282="NÃO","NÃO",_xlfn.XLOOKUP(P282,tabE.Flux[COMP.AT. MOT A],#REF!,"NÃO",0,1))</f>
        <v>#VALUE!</v>
      </c>
      <c r="R282" s="14" t="e" cm="1">
        <f t="array" ref="R282">IF(P282="NÃO","NÃO",_xlfn.XLOOKUP(P282,tabE.Flux[COMP.AT. MOT B],#REF!,"NÃO",0,1))</f>
        <v>#VALUE!</v>
      </c>
      <c r="S28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82" s="16" t="e" cm="1">
        <f t="array" ref="T28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82" s="41" t="e" cm="1">
        <f t="array" ref="U28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83" spans="12:21" x14ac:dyDescent="0.25">
      <c r="L283" s="36" t="e">
        <f>Tabela7[[#This Row],[ID]]</f>
        <v>#VALUE!</v>
      </c>
      <c r="M283" s="17" t="e">
        <f>_xlfn.CONCAT(Tabela7[[#This Row],[DATA]],"+",Tabela7[[#This Row],[NOME]])</f>
        <v>#VALUE!</v>
      </c>
      <c r="N283" s="11" t="e" cm="1">
        <f t="array" ref="N283">_xlfn.XLOOKUP(M283,tabE.Flux[[#All],[COMP.AT. MOT A]],#REF!,"NÃO",0,1)</f>
        <v>#VALUE!</v>
      </c>
      <c r="O283" s="11" t="e" cm="1">
        <f t="array" ref="O283">_xlfn.XLOOKUP(M283,tabE.Flux[[#All],[COMP.AT. MOT B]],#REF!,"NÃO",0,1)</f>
        <v>#VALUE!</v>
      </c>
      <c r="P283" s="12" t="e">
        <f>IF(N283="NÃO",(IF(O283="NÃO",(_xlfn.CONCAT(Tabela7[[#This Row],[DATA]]-1,"+",Tabela7[[#This Row],[NOME]])),"NÃO")),"NÃO")</f>
        <v>#VALUE!</v>
      </c>
      <c r="Q283" s="11" t="e" cm="1">
        <f t="array" ref="Q283">IF(P283="NÃO","NÃO",_xlfn.XLOOKUP(P283,tabE.Flux[COMP.AT. MOT A],#REF!,"NÃO",0,1))</f>
        <v>#VALUE!</v>
      </c>
      <c r="R283" s="14" t="e" cm="1">
        <f t="array" ref="R283">IF(P283="NÃO","NÃO",_xlfn.XLOOKUP(P283,tabE.Flux[COMP.AT. MOT B],#REF!,"NÃO",0,1))</f>
        <v>#VALUE!</v>
      </c>
      <c r="S28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83" s="16" t="e" cm="1">
        <f t="array" ref="T28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83" s="41" t="e" cm="1">
        <f t="array" ref="U28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84" spans="12:21" x14ac:dyDescent="0.25">
      <c r="L284" s="36" t="e">
        <f>Tabela7[[#This Row],[ID]]</f>
        <v>#VALUE!</v>
      </c>
      <c r="M284" s="17" t="e">
        <f>_xlfn.CONCAT(Tabela7[[#This Row],[DATA]],"+",Tabela7[[#This Row],[NOME]])</f>
        <v>#VALUE!</v>
      </c>
      <c r="N284" s="11" t="e" cm="1">
        <f t="array" ref="N284">_xlfn.XLOOKUP(M284,tabE.Flux[[#All],[COMP.AT. MOT A]],#REF!,"NÃO",0,1)</f>
        <v>#VALUE!</v>
      </c>
      <c r="O284" s="11" t="e" cm="1">
        <f t="array" ref="O284">_xlfn.XLOOKUP(M284,tabE.Flux[[#All],[COMP.AT. MOT B]],#REF!,"NÃO",0,1)</f>
        <v>#VALUE!</v>
      </c>
      <c r="P284" s="12" t="e">
        <f>IF(N284="NÃO",(IF(O284="NÃO",(_xlfn.CONCAT(Tabela7[[#This Row],[DATA]]-1,"+",Tabela7[[#This Row],[NOME]])),"NÃO")),"NÃO")</f>
        <v>#VALUE!</v>
      </c>
      <c r="Q284" s="11" t="e" cm="1">
        <f t="array" ref="Q284">IF(P284="NÃO","NÃO",_xlfn.XLOOKUP(P284,tabE.Flux[COMP.AT. MOT A],#REF!,"NÃO",0,1))</f>
        <v>#VALUE!</v>
      </c>
      <c r="R284" s="14" t="e" cm="1">
        <f t="array" ref="R284">IF(P284="NÃO","NÃO",_xlfn.XLOOKUP(P284,tabE.Flux[COMP.AT. MOT B],#REF!,"NÃO",0,1))</f>
        <v>#VALUE!</v>
      </c>
      <c r="S28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84" s="16" t="e" cm="1">
        <f t="array" ref="T28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84" s="41" t="e" cm="1">
        <f t="array" ref="U28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85" spans="12:21" x14ac:dyDescent="0.25">
      <c r="L285" s="36" t="e">
        <f>Tabela7[[#This Row],[ID]]</f>
        <v>#VALUE!</v>
      </c>
      <c r="M285" s="17" t="e">
        <f>_xlfn.CONCAT(Tabela7[[#This Row],[DATA]],"+",Tabela7[[#This Row],[NOME]])</f>
        <v>#VALUE!</v>
      </c>
      <c r="N285" s="11" t="e" cm="1">
        <f t="array" ref="N285">_xlfn.XLOOKUP(M285,tabE.Flux[[#All],[COMP.AT. MOT A]],#REF!,"NÃO",0,1)</f>
        <v>#VALUE!</v>
      </c>
      <c r="O285" s="11" t="e" cm="1">
        <f t="array" ref="O285">_xlfn.XLOOKUP(M285,tabE.Flux[[#All],[COMP.AT. MOT B]],#REF!,"NÃO",0,1)</f>
        <v>#VALUE!</v>
      </c>
      <c r="P285" s="12" t="e">
        <f>IF(N285="NÃO",(IF(O285="NÃO",(_xlfn.CONCAT(Tabela7[[#This Row],[DATA]]-1,"+",Tabela7[[#This Row],[NOME]])),"NÃO")),"NÃO")</f>
        <v>#VALUE!</v>
      </c>
      <c r="Q285" s="11" t="e" cm="1">
        <f t="array" ref="Q285">IF(P285="NÃO","NÃO",_xlfn.XLOOKUP(P285,tabE.Flux[COMP.AT. MOT A],#REF!,"NÃO",0,1))</f>
        <v>#VALUE!</v>
      </c>
      <c r="R285" s="14" t="e" cm="1">
        <f t="array" ref="R285">IF(P285="NÃO","NÃO",_xlfn.XLOOKUP(P285,tabE.Flux[COMP.AT. MOT B],#REF!,"NÃO",0,1))</f>
        <v>#VALUE!</v>
      </c>
      <c r="S28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85" s="16" t="e" cm="1">
        <f t="array" ref="T28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85" s="41" t="e" cm="1">
        <f t="array" ref="U28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86" spans="12:21" x14ac:dyDescent="0.25">
      <c r="L286" s="36" t="e">
        <f>Tabela7[[#This Row],[ID]]</f>
        <v>#VALUE!</v>
      </c>
      <c r="M286" s="17" t="e">
        <f>_xlfn.CONCAT(Tabela7[[#This Row],[DATA]],"+",Tabela7[[#This Row],[NOME]])</f>
        <v>#VALUE!</v>
      </c>
      <c r="N286" s="11" t="e" cm="1">
        <f t="array" ref="N286">_xlfn.XLOOKUP(M286,tabE.Flux[[#All],[COMP.AT. MOT A]],#REF!,"NÃO",0,1)</f>
        <v>#VALUE!</v>
      </c>
      <c r="O286" s="11" t="e" cm="1">
        <f t="array" ref="O286">_xlfn.XLOOKUP(M286,tabE.Flux[[#All],[COMP.AT. MOT B]],#REF!,"NÃO",0,1)</f>
        <v>#VALUE!</v>
      </c>
      <c r="P286" s="12" t="e">
        <f>IF(N286="NÃO",(IF(O286="NÃO",(_xlfn.CONCAT(Tabela7[[#This Row],[DATA]]-1,"+",Tabela7[[#This Row],[NOME]])),"NÃO")),"NÃO")</f>
        <v>#VALUE!</v>
      </c>
      <c r="Q286" s="11" t="e" cm="1">
        <f t="array" ref="Q286">IF(P286="NÃO","NÃO",_xlfn.XLOOKUP(P286,tabE.Flux[COMP.AT. MOT A],#REF!,"NÃO",0,1))</f>
        <v>#VALUE!</v>
      </c>
      <c r="R286" s="14" t="e" cm="1">
        <f t="array" ref="R286">IF(P286="NÃO","NÃO",_xlfn.XLOOKUP(P286,tabE.Flux[COMP.AT. MOT B],#REF!,"NÃO",0,1))</f>
        <v>#VALUE!</v>
      </c>
      <c r="S28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86" s="16" t="e" cm="1">
        <f t="array" ref="T28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86" s="41" t="e" cm="1">
        <f t="array" ref="U28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87" spans="12:21" x14ac:dyDescent="0.25">
      <c r="L287" s="36" t="e">
        <f>Tabela7[[#This Row],[ID]]</f>
        <v>#VALUE!</v>
      </c>
      <c r="M287" s="17" t="e">
        <f>_xlfn.CONCAT(Tabela7[[#This Row],[DATA]],"+",Tabela7[[#This Row],[NOME]])</f>
        <v>#VALUE!</v>
      </c>
      <c r="N287" s="11" t="e" cm="1">
        <f t="array" ref="N287">_xlfn.XLOOKUP(M287,tabE.Flux[[#All],[COMP.AT. MOT A]],#REF!,"NÃO",0,1)</f>
        <v>#VALUE!</v>
      </c>
      <c r="O287" s="11" t="e" cm="1">
        <f t="array" ref="O287">_xlfn.XLOOKUP(M287,tabE.Flux[[#All],[COMP.AT. MOT B]],#REF!,"NÃO",0,1)</f>
        <v>#VALUE!</v>
      </c>
      <c r="P287" s="12" t="e">
        <f>IF(N287="NÃO",(IF(O287="NÃO",(_xlfn.CONCAT(Tabela7[[#This Row],[DATA]]-1,"+",Tabela7[[#This Row],[NOME]])),"NÃO")),"NÃO")</f>
        <v>#VALUE!</v>
      </c>
      <c r="Q287" s="11" t="e" cm="1">
        <f t="array" ref="Q287">IF(P287="NÃO","NÃO",_xlfn.XLOOKUP(P287,tabE.Flux[COMP.AT. MOT A],#REF!,"NÃO",0,1))</f>
        <v>#VALUE!</v>
      </c>
      <c r="R287" s="14" t="e" cm="1">
        <f t="array" ref="R287">IF(P287="NÃO","NÃO",_xlfn.XLOOKUP(P287,tabE.Flux[COMP.AT. MOT B],#REF!,"NÃO",0,1))</f>
        <v>#VALUE!</v>
      </c>
      <c r="S28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87" s="16" t="e" cm="1">
        <f t="array" ref="T28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87" s="41" t="e" cm="1">
        <f t="array" ref="U28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88" spans="12:21" x14ac:dyDescent="0.25">
      <c r="L288" s="36" t="e">
        <f>Tabela7[[#This Row],[ID]]</f>
        <v>#VALUE!</v>
      </c>
      <c r="M288" s="17" t="e">
        <f>_xlfn.CONCAT(Tabela7[[#This Row],[DATA]],"+",Tabela7[[#This Row],[NOME]])</f>
        <v>#VALUE!</v>
      </c>
      <c r="N288" s="11" t="e" cm="1">
        <f t="array" ref="N288">_xlfn.XLOOKUP(M288,tabE.Flux[[#All],[COMP.AT. MOT A]],#REF!,"NÃO",0,1)</f>
        <v>#VALUE!</v>
      </c>
      <c r="O288" s="11" t="e" cm="1">
        <f t="array" ref="O288">_xlfn.XLOOKUP(M288,tabE.Flux[[#All],[COMP.AT. MOT B]],#REF!,"NÃO",0,1)</f>
        <v>#VALUE!</v>
      </c>
      <c r="P288" s="12" t="e">
        <f>IF(N288="NÃO",(IF(O288="NÃO",(_xlfn.CONCAT(Tabela7[[#This Row],[DATA]]-1,"+",Tabela7[[#This Row],[NOME]])),"NÃO")),"NÃO")</f>
        <v>#VALUE!</v>
      </c>
      <c r="Q288" s="11" t="e" cm="1">
        <f t="array" ref="Q288">IF(P288="NÃO","NÃO",_xlfn.XLOOKUP(P288,tabE.Flux[COMP.AT. MOT A],#REF!,"NÃO",0,1))</f>
        <v>#VALUE!</v>
      </c>
      <c r="R288" s="14" t="e" cm="1">
        <f t="array" ref="R288">IF(P288="NÃO","NÃO",_xlfn.XLOOKUP(P288,tabE.Flux[COMP.AT. MOT B],#REF!,"NÃO",0,1))</f>
        <v>#VALUE!</v>
      </c>
      <c r="S28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88" s="16" t="e" cm="1">
        <f t="array" ref="T28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88" s="41" t="e" cm="1">
        <f t="array" ref="U28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89" spans="12:21" x14ac:dyDescent="0.25">
      <c r="L289" s="36" t="e">
        <f>Tabela7[[#This Row],[ID]]</f>
        <v>#VALUE!</v>
      </c>
      <c r="M289" s="17" t="e">
        <f>_xlfn.CONCAT(Tabela7[[#This Row],[DATA]],"+",Tabela7[[#This Row],[NOME]])</f>
        <v>#VALUE!</v>
      </c>
      <c r="N289" s="11" t="e" cm="1">
        <f t="array" ref="N289">_xlfn.XLOOKUP(M289,tabE.Flux[[#All],[COMP.AT. MOT A]],#REF!,"NÃO",0,1)</f>
        <v>#VALUE!</v>
      </c>
      <c r="O289" s="11" t="e" cm="1">
        <f t="array" ref="O289">_xlfn.XLOOKUP(M289,tabE.Flux[[#All],[COMP.AT. MOT B]],#REF!,"NÃO",0,1)</f>
        <v>#VALUE!</v>
      </c>
      <c r="P289" s="12" t="e">
        <f>IF(N289="NÃO",(IF(O289="NÃO",(_xlfn.CONCAT(Tabela7[[#This Row],[DATA]]-1,"+",Tabela7[[#This Row],[NOME]])),"NÃO")),"NÃO")</f>
        <v>#VALUE!</v>
      </c>
      <c r="Q289" s="11" t="e" cm="1">
        <f t="array" ref="Q289">IF(P289="NÃO","NÃO",_xlfn.XLOOKUP(P289,tabE.Flux[COMP.AT. MOT A],#REF!,"NÃO",0,1))</f>
        <v>#VALUE!</v>
      </c>
      <c r="R289" s="14" t="e" cm="1">
        <f t="array" ref="R289">IF(P289="NÃO","NÃO",_xlfn.XLOOKUP(P289,tabE.Flux[COMP.AT. MOT B],#REF!,"NÃO",0,1))</f>
        <v>#VALUE!</v>
      </c>
      <c r="S28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89" s="16" t="e" cm="1">
        <f t="array" ref="T28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89" s="41" t="e" cm="1">
        <f t="array" ref="U28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90" spans="12:21" x14ac:dyDescent="0.25">
      <c r="L290" s="36" t="e">
        <f>Tabela7[[#This Row],[ID]]</f>
        <v>#VALUE!</v>
      </c>
      <c r="M290" s="17" t="e">
        <f>_xlfn.CONCAT(Tabela7[[#This Row],[DATA]],"+",Tabela7[[#This Row],[NOME]])</f>
        <v>#VALUE!</v>
      </c>
      <c r="N290" s="11" t="e" cm="1">
        <f t="array" ref="N290">_xlfn.XLOOKUP(M290,tabE.Flux[[#All],[COMP.AT. MOT A]],#REF!,"NÃO",0,1)</f>
        <v>#VALUE!</v>
      </c>
      <c r="O290" s="11" t="e" cm="1">
        <f t="array" ref="O290">_xlfn.XLOOKUP(M290,tabE.Flux[[#All],[COMP.AT. MOT B]],#REF!,"NÃO",0,1)</f>
        <v>#VALUE!</v>
      </c>
      <c r="P290" s="12" t="e">
        <f>IF(N290="NÃO",(IF(O290="NÃO",(_xlfn.CONCAT(Tabela7[[#This Row],[DATA]]-1,"+",Tabela7[[#This Row],[NOME]])),"NÃO")),"NÃO")</f>
        <v>#VALUE!</v>
      </c>
      <c r="Q290" s="11" t="e" cm="1">
        <f t="array" ref="Q290">IF(P290="NÃO","NÃO",_xlfn.XLOOKUP(P290,tabE.Flux[COMP.AT. MOT A],#REF!,"NÃO",0,1))</f>
        <v>#VALUE!</v>
      </c>
      <c r="R290" s="14" t="e" cm="1">
        <f t="array" ref="R290">IF(P290="NÃO","NÃO",_xlfn.XLOOKUP(P290,tabE.Flux[COMP.AT. MOT B],#REF!,"NÃO",0,1))</f>
        <v>#VALUE!</v>
      </c>
      <c r="S29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90" s="16" t="e" cm="1">
        <f t="array" ref="T29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90" s="41" t="e" cm="1">
        <f t="array" ref="U29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91" spans="12:21" x14ac:dyDescent="0.25">
      <c r="L291" s="36" t="e">
        <f>Tabela7[[#This Row],[ID]]</f>
        <v>#VALUE!</v>
      </c>
      <c r="M291" s="17" t="e">
        <f>_xlfn.CONCAT(Tabela7[[#This Row],[DATA]],"+",Tabela7[[#This Row],[NOME]])</f>
        <v>#VALUE!</v>
      </c>
      <c r="N291" s="11" t="e" cm="1">
        <f t="array" ref="N291">_xlfn.XLOOKUP(M291,tabE.Flux[[#All],[COMP.AT. MOT A]],#REF!,"NÃO",0,1)</f>
        <v>#VALUE!</v>
      </c>
      <c r="O291" s="11" t="e" cm="1">
        <f t="array" ref="O291">_xlfn.XLOOKUP(M291,tabE.Flux[[#All],[COMP.AT. MOT B]],#REF!,"NÃO",0,1)</f>
        <v>#VALUE!</v>
      </c>
      <c r="P291" s="12" t="e">
        <f>IF(N291="NÃO",(IF(O291="NÃO",(_xlfn.CONCAT(Tabela7[[#This Row],[DATA]]-1,"+",Tabela7[[#This Row],[NOME]])),"NÃO")),"NÃO")</f>
        <v>#VALUE!</v>
      </c>
      <c r="Q291" s="11" t="e" cm="1">
        <f t="array" ref="Q291">IF(P291="NÃO","NÃO",_xlfn.XLOOKUP(P291,tabE.Flux[COMP.AT. MOT A],#REF!,"NÃO",0,1))</f>
        <v>#VALUE!</v>
      </c>
      <c r="R291" s="14" t="e" cm="1">
        <f t="array" ref="R291">IF(P291="NÃO","NÃO",_xlfn.XLOOKUP(P291,tabE.Flux[COMP.AT. MOT B],#REF!,"NÃO",0,1))</f>
        <v>#VALUE!</v>
      </c>
      <c r="S29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91" s="16" t="e" cm="1">
        <f t="array" ref="T29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91" s="41" t="e" cm="1">
        <f t="array" ref="U29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92" spans="12:21" x14ac:dyDescent="0.25">
      <c r="L292" s="36" t="e">
        <f>Tabela7[[#This Row],[ID]]</f>
        <v>#VALUE!</v>
      </c>
      <c r="M292" s="17" t="e">
        <f>_xlfn.CONCAT(Tabela7[[#This Row],[DATA]],"+",Tabela7[[#This Row],[NOME]])</f>
        <v>#VALUE!</v>
      </c>
      <c r="N292" s="11" t="e" cm="1">
        <f t="array" ref="N292">_xlfn.XLOOKUP(M292,tabE.Flux[[#All],[COMP.AT. MOT A]],#REF!,"NÃO",0,1)</f>
        <v>#VALUE!</v>
      </c>
      <c r="O292" s="11" t="e" cm="1">
        <f t="array" ref="O292">_xlfn.XLOOKUP(M292,tabE.Flux[[#All],[COMP.AT. MOT B]],#REF!,"NÃO",0,1)</f>
        <v>#VALUE!</v>
      </c>
      <c r="P292" s="12" t="e">
        <f>IF(N292="NÃO",(IF(O292="NÃO",(_xlfn.CONCAT(Tabela7[[#This Row],[DATA]]-1,"+",Tabela7[[#This Row],[NOME]])),"NÃO")),"NÃO")</f>
        <v>#VALUE!</v>
      </c>
      <c r="Q292" s="11" t="e" cm="1">
        <f t="array" ref="Q292">IF(P292="NÃO","NÃO",_xlfn.XLOOKUP(P292,tabE.Flux[COMP.AT. MOT A],#REF!,"NÃO",0,1))</f>
        <v>#VALUE!</v>
      </c>
      <c r="R292" s="14" t="e" cm="1">
        <f t="array" ref="R292">IF(P292="NÃO","NÃO",_xlfn.XLOOKUP(P292,tabE.Flux[COMP.AT. MOT B],#REF!,"NÃO",0,1))</f>
        <v>#VALUE!</v>
      </c>
      <c r="S29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92" s="16" t="e" cm="1">
        <f t="array" ref="T29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92" s="41" t="e" cm="1">
        <f t="array" ref="U29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93" spans="12:21" x14ac:dyDescent="0.25">
      <c r="L293" s="36" t="e">
        <f>Tabela7[[#This Row],[ID]]</f>
        <v>#VALUE!</v>
      </c>
      <c r="M293" s="17" t="e">
        <f>_xlfn.CONCAT(Tabela7[[#This Row],[DATA]],"+",Tabela7[[#This Row],[NOME]])</f>
        <v>#VALUE!</v>
      </c>
      <c r="N293" s="11" t="e" cm="1">
        <f t="array" ref="N293">_xlfn.XLOOKUP(M293,tabE.Flux[[#All],[COMP.AT. MOT A]],#REF!,"NÃO",0,1)</f>
        <v>#VALUE!</v>
      </c>
      <c r="O293" s="11" t="e" cm="1">
        <f t="array" ref="O293">_xlfn.XLOOKUP(M293,tabE.Flux[[#All],[COMP.AT. MOT B]],#REF!,"NÃO",0,1)</f>
        <v>#VALUE!</v>
      </c>
      <c r="P293" s="12" t="e">
        <f>IF(N293="NÃO",(IF(O293="NÃO",(_xlfn.CONCAT(Tabela7[[#This Row],[DATA]]-1,"+",Tabela7[[#This Row],[NOME]])),"NÃO")),"NÃO")</f>
        <v>#VALUE!</v>
      </c>
      <c r="Q293" s="11" t="e" cm="1">
        <f t="array" ref="Q293">IF(P293="NÃO","NÃO",_xlfn.XLOOKUP(P293,tabE.Flux[COMP.AT. MOT A],#REF!,"NÃO",0,1))</f>
        <v>#VALUE!</v>
      </c>
      <c r="R293" s="14" t="e" cm="1">
        <f t="array" ref="R293">IF(P293="NÃO","NÃO",_xlfn.XLOOKUP(P293,tabE.Flux[COMP.AT. MOT B],#REF!,"NÃO",0,1))</f>
        <v>#VALUE!</v>
      </c>
      <c r="S29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93" s="16" t="e" cm="1">
        <f t="array" ref="T29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93" s="41" t="e" cm="1">
        <f t="array" ref="U29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94" spans="12:21" x14ac:dyDescent="0.25">
      <c r="L294" s="36" t="e">
        <f>Tabela7[[#This Row],[ID]]</f>
        <v>#VALUE!</v>
      </c>
      <c r="M294" s="17" t="e">
        <f>_xlfn.CONCAT(Tabela7[[#This Row],[DATA]],"+",Tabela7[[#This Row],[NOME]])</f>
        <v>#VALUE!</v>
      </c>
      <c r="N294" s="11" t="e" cm="1">
        <f t="array" ref="N294">_xlfn.XLOOKUP(M294,tabE.Flux[[#All],[COMP.AT. MOT A]],#REF!,"NÃO",0,1)</f>
        <v>#VALUE!</v>
      </c>
      <c r="O294" s="11" t="e" cm="1">
        <f t="array" ref="O294">_xlfn.XLOOKUP(M294,tabE.Flux[[#All],[COMP.AT. MOT B]],#REF!,"NÃO",0,1)</f>
        <v>#VALUE!</v>
      </c>
      <c r="P294" s="12" t="e">
        <f>IF(N294="NÃO",(IF(O294="NÃO",(_xlfn.CONCAT(Tabela7[[#This Row],[DATA]]-1,"+",Tabela7[[#This Row],[NOME]])),"NÃO")),"NÃO")</f>
        <v>#VALUE!</v>
      </c>
      <c r="Q294" s="11" t="e" cm="1">
        <f t="array" ref="Q294">IF(P294="NÃO","NÃO",_xlfn.XLOOKUP(P294,tabE.Flux[COMP.AT. MOT A],#REF!,"NÃO",0,1))</f>
        <v>#VALUE!</v>
      </c>
      <c r="R294" s="14" t="e" cm="1">
        <f t="array" ref="R294">IF(P294="NÃO","NÃO",_xlfn.XLOOKUP(P294,tabE.Flux[COMP.AT. MOT B],#REF!,"NÃO",0,1))</f>
        <v>#VALUE!</v>
      </c>
      <c r="S29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94" s="16" t="e" cm="1">
        <f t="array" ref="T29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94" s="41" t="e" cm="1">
        <f t="array" ref="U29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95" spans="12:21" x14ac:dyDescent="0.25">
      <c r="L295" s="36" t="e">
        <f>Tabela7[[#This Row],[ID]]</f>
        <v>#VALUE!</v>
      </c>
      <c r="M295" s="17" t="e">
        <f>_xlfn.CONCAT(Tabela7[[#This Row],[DATA]],"+",Tabela7[[#This Row],[NOME]])</f>
        <v>#VALUE!</v>
      </c>
      <c r="N295" s="11" t="e" cm="1">
        <f t="array" ref="N295">_xlfn.XLOOKUP(M295,tabE.Flux[[#All],[COMP.AT. MOT A]],#REF!,"NÃO",0,1)</f>
        <v>#VALUE!</v>
      </c>
      <c r="O295" s="11" t="e" cm="1">
        <f t="array" ref="O295">_xlfn.XLOOKUP(M295,tabE.Flux[[#All],[COMP.AT. MOT B]],#REF!,"NÃO",0,1)</f>
        <v>#VALUE!</v>
      </c>
      <c r="P295" s="12" t="e">
        <f>IF(N295="NÃO",(IF(O295="NÃO",(_xlfn.CONCAT(Tabela7[[#This Row],[DATA]]-1,"+",Tabela7[[#This Row],[NOME]])),"NÃO")),"NÃO")</f>
        <v>#VALUE!</v>
      </c>
      <c r="Q295" s="11" t="e" cm="1">
        <f t="array" ref="Q295">IF(P295="NÃO","NÃO",_xlfn.XLOOKUP(P295,tabE.Flux[COMP.AT. MOT A],#REF!,"NÃO",0,1))</f>
        <v>#VALUE!</v>
      </c>
      <c r="R295" s="14" t="e" cm="1">
        <f t="array" ref="R295">IF(P295="NÃO","NÃO",_xlfn.XLOOKUP(P295,tabE.Flux[COMP.AT. MOT B],#REF!,"NÃO",0,1))</f>
        <v>#VALUE!</v>
      </c>
      <c r="S29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95" s="16" t="e" cm="1">
        <f t="array" ref="T29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95" s="41" t="e" cm="1">
        <f t="array" ref="U29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96" spans="12:21" x14ac:dyDescent="0.25">
      <c r="L296" s="36" t="e">
        <f>Tabela7[[#This Row],[ID]]</f>
        <v>#VALUE!</v>
      </c>
      <c r="M296" s="17" t="e">
        <f>_xlfn.CONCAT(Tabela7[[#This Row],[DATA]],"+",Tabela7[[#This Row],[NOME]])</f>
        <v>#VALUE!</v>
      </c>
      <c r="N296" s="11" t="e" cm="1">
        <f t="array" ref="N296">_xlfn.XLOOKUP(M296,tabE.Flux[[#All],[COMP.AT. MOT A]],#REF!,"NÃO",0,1)</f>
        <v>#VALUE!</v>
      </c>
      <c r="O296" s="11" t="e" cm="1">
        <f t="array" ref="O296">_xlfn.XLOOKUP(M296,tabE.Flux[[#All],[COMP.AT. MOT B]],#REF!,"NÃO",0,1)</f>
        <v>#VALUE!</v>
      </c>
      <c r="P296" s="12" t="e">
        <f>IF(N296="NÃO",(IF(O296="NÃO",(_xlfn.CONCAT(Tabela7[[#This Row],[DATA]]-1,"+",Tabela7[[#This Row],[NOME]])),"NÃO")),"NÃO")</f>
        <v>#VALUE!</v>
      </c>
      <c r="Q296" s="11" t="e" cm="1">
        <f t="array" ref="Q296">IF(P296="NÃO","NÃO",_xlfn.XLOOKUP(P296,tabE.Flux[COMP.AT. MOT A],#REF!,"NÃO",0,1))</f>
        <v>#VALUE!</v>
      </c>
      <c r="R296" s="14" t="e" cm="1">
        <f t="array" ref="R296">IF(P296="NÃO","NÃO",_xlfn.XLOOKUP(P296,tabE.Flux[COMP.AT. MOT B],#REF!,"NÃO",0,1))</f>
        <v>#VALUE!</v>
      </c>
      <c r="S29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96" s="16" t="e" cm="1">
        <f t="array" ref="T29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96" s="41" t="e" cm="1">
        <f t="array" ref="U29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97" spans="12:21" x14ac:dyDescent="0.25">
      <c r="L297" s="36" t="e">
        <f>Tabela7[[#This Row],[ID]]</f>
        <v>#VALUE!</v>
      </c>
      <c r="M297" s="17" t="e">
        <f>_xlfn.CONCAT(Tabela7[[#This Row],[DATA]],"+",Tabela7[[#This Row],[NOME]])</f>
        <v>#VALUE!</v>
      </c>
      <c r="N297" s="11" t="e" cm="1">
        <f t="array" ref="N297">_xlfn.XLOOKUP(M297,tabE.Flux[[#All],[COMP.AT. MOT A]],#REF!,"NÃO",0,1)</f>
        <v>#VALUE!</v>
      </c>
      <c r="O297" s="11" t="e" cm="1">
        <f t="array" ref="O297">_xlfn.XLOOKUP(M297,tabE.Flux[[#All],[COMP.AT. MOT B]],#REF!,"NÃO",0,1)</f>
        <v>#VALUE!</v>
      </c>
      <c r="P297" s="12" t="e">
        <f>IF(N297="NÃO",(IF(O297="NÃO",(_xlfn.CONCAT(Tabela7[[#This Row],[DATA]]-1,"+",Tabela7[[#This Row],[NOME]])),"NÃO")),"NÃO")</f>
        <v>#VALUE!</v>
      </c>
      <c r="Q297" s="11" t="e" cm="1">
        <f t="array" ref="Q297">IF(P297="NÃO","NÃO",_xlfn.XLOOKUP(P297,tabE.Flux[COMP.AT. MOT A],#REF!,"NÃO",0,1))</f>
        <v>#VALUE!</v>
      </c>
      <c r="R297" s="14" t="e" cm="1">
        <f t="array" ref="R297">IF(P297="NÃO","NÃO",_xlfn.XLOOKUP(P297,tabE.Flux[COMP.AT. MOT B],#REF!,"NÃO",0,1))</f>
        <v>#VALUE!</v>
      </c>
      <c r="S29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97" s="16" t="e" cm="1">
        <f t="array" ref="T29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97" s="41" t="e" cm="1">
        <f t="array" ref="U29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98" spans="12:21" x14ac:dyDescent="0.25">
      <c r="L298" s="36" t="e">
        <f>Tabela7[[#This Row],[ID]]</f>
        <v>#VALUE!</v>
      </c>
      <c r="M298" s="17" t="e">
        <f>_xlfn.CONCAT(Tabela7[[#This Row],[DATA]],"+",Tabela7[[#This Row],[NOME]])</f>
        <v>#VALUE!</v>
      </c>
      <c r="N298" s="11" t="e" cm="1">
        <f t="array" ref="N298">_xlfn.XLOOKUP(M298,tabE.Flux[[#All],[COMP.AT. MOT A]],#REF!,"NÃO",0,1)</f>
        <v>#VALUE!</v>
      </c>
      <c r="O298" s="11" t="e" cm="1">
        <f t="array" ref="O298">_xlfn.XLOOKUP(M298,tabE.Flux[[#All],[COMP.AT. MOT B]],#REF!,"NÃO",0,1)</f>
        <v>#VALUE!</v>
      </c>
      <c r="P298" s="12" t="e">
        <f>IF(N298="NÃO",(IF(O298="NÃO",(_xlfn.CONCAT(Tabela7[[#This Row],[DATA]]-1,"+",Tabela7[[#This Row],[NOME]])),"NÃO")),"NÃO")</f>
        <v>#VALUE!</v>
      </c>
      <c r="Q298" s="11" t="e" cm="1">
        <f t="array" ref="Q298">IF(P298="NÃO","NÃO",_xlfn.XLOOKUP(P298,tabE.Flux[COMP.AT. MOT A],#REF!,"NÃO",0,1))</f>
        <v>#VALUE!</v>
      </c>
      <c r="R298" s="14" t="e" cm="1">
        <f t="array" ref="R298">IF(P298="NÃO","NÃO",_xlfn.XLOOKUP(P298,tabE.Flux[COMP.AT. MOT B],#REF!,"NÃO",0,1))</f>
        <v>#VALUE!</v>
      </c>
      <c r="S29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98" s="16" t="e" cm="1">
        <f t="array" ref="T29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98" s="41" t="e" cm="1">
        <f t="array" ref="U29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299" spans="12:21" x14ac:dyDescent="0.25">
      <c r="L299" s="36" t="e">
        <f>Tabela7[[#This Row],[ID]]</f>
        <v>#VALUE!</v>
      </c>
      <c r="M299" s="17" t="e">
        <f>_xlfn.CONCAT(Tabela7[[#This Row],[DATA]],"+",Tabela7[[#This Row],[NOME]])</f>
        <v>#VALUE!</v>
      </c>
      <c r="N299" s="11" t="e" cm="1">
        <f t="array" ref="N299">_xlfn.XLOOKUP(M299,tabE.Flux[[#All],[COMP.AT. MOT A]],#REF!,"NÃO",0,1)</f>
        <v>#VALUE!</v>
      </c>
      <c r="O299" s="11" t="e" cm="1">
        <f t="array" ref="O299">_xlfn.XLOOKUP(M299,tabE.Flux[[#All],[COMP.AT. MOT B]],#REF!,"NÃO",0,1)</f>
        <v>#VALUE!</v>
      </c>
      <c r="P299" s="12" t="e">
        <f>IF(N299="NÃO",(IF(O299="NÃO",(_xlfn.CONCAT(Tabela7[[#This Row],[DATA]]-1,"+",Tabela7[[#This Row],[NOME]])),"NÃO")),"NÃO")</f>
        <v>#VALUE!</v>
      </c>
      <c r="Q299" s="11" t="e" cm="1">
        <f t="array" ref="Q299">IF(P299="NÃO","NÃO",_xlfn.XLOOKUP(P299,tabE.Flux[COMP.AT. MOT A],#REF!,"NÃO",0,1))</f>
        <v>#VALUE!</v>
      </c>
      <c r="R299" s="14" t="e" cm="1">
        <f t="array" ref="R299">IF(P299="NÃO","NÃO",_xlfn.XLOOKUP(P299,tabE.Flux[COMP.AT. MOT B],#REF!,"NÃO",0,1))</f>
        <v>#VALUE!</v>
      </c>
      <c r="S29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299" s="16" t="e" cm="1">
        <f t="array" ref="T29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299" s="41" t="e" cm="1">
        <f t="array" ref="U29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00" spans="12:21" x14ac:dyDescent="0.25">
      <c r="L300" s="36" t="e">
        <f>Tabela7[[#This Row],[ID]]</f>
        <v>#VALUE!</v>
      </c>
      <c r="M300" s="17" t="e">
        <f>_xlfn.CONCAT(Tabela7[[#This Row],[DATA]],"+",Tabela7[[#This Row],[NOME]])</f>
        <v>#VALUE!</v>
      </c>
      <c r="N300" s="11" t="e" cm="1">
        <f t="array" ref="N300">_xlfn.XLOOKUP(M300,tabE.Flux[[#All],[COMP.AT. MOT A]],#REF!,"NÃO",0,1)</f>
        <v>#VALUE!</v>
      </c>
      <c r="O300" s="11" t="e" cm="1">
        <f t="array" ref="O300">_xlfn.XLOOKUP(M300,tabE.Flux[[#All],[COMP.AT. MOT B]],#REF!,"NÃO",0,1)</f>
        <v>#VALUE!</v>
      </c>
      <c r="P300" s="12" t="e">
        <f>IF(N300="NÃO",(IF(O300="NÃO",(_xlfn.CONCAT(Tabela7[[#This Row],[DATA]]-1,"+",Tabela7[[#This Row],[NOME]])),"NÃO")),"NÃO")</f>
        <v>#VALUE!</v>
      </c>
      <c r="Q300" s="11" t="e" cm="1">
        <f t="array" ref="Q300">IF(P300="NÃO","NÃO",_xlfn.XLOOKUP(P300,tabE.Flux[COMP.AT. MOT A],#REF!,"NÃO",0,1))</f>
        <v>#VALUE!</v>
      </c>
      <c r="R300" s="14" t="e" cm="1">
        <f t="array" ref="R300">IF(P300="NÃO","NÃO",_xlfn.XLOOKUP(P300,tabE.Flux[COMP.AT. MOT B],#REF!,"NÃO",0,1))</f>
        <v>#VALUE!</v>
      </c>
      <c r="S30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00" s="16" t="e" cm="1">
        <f t="array" ref="T30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00" s="41" t="e" cm="1">
        <f t="array" ref="U30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01" spans="12:21" x14ac:dyDescent="0.25">
      <c r="L301" s="36" t="e">
        <f>Tabela7[[#This Row],[ID]]</f>
        <v>#VALUE!</v>
      </c>
      <c r="M301" s="17" t="e">
        <f>_xlfn.CONCAT(Tabela7[[#This Row],[DATA]],"+",Tabela7[[#This Row],[NOME]])</f>
        <v>#VALUE!</v>
      </c>
      <c r="N301" s="11" t="e" cm="1">
        <f t="array" ref="N301">_xlfn.XLOOKUP(M301,tabE.Flux[[#All],[COMP.AT. MOT A]],#REF!,"NÃO",0,1)</f>
        <v>#VALUE!</v>
      </c>
      <c r="O301" s="11" t="e" cm="1">
        <f t="array" ref="O301">_xlfn.XLOOKUP(M301,tabE.Flux[[#All],[COMP.AT. MOT B]],#REF!,"NÃO",0,1)</f>
        <v>#VALUE!</v>
      </c>
      <c r="P301" s="12" t="e">
        <f>IF(N301="NÃO",(IF(O301="NÃO",(_xlfn.CONCAT(Tabela7[[#This Row],[DATA]]-1,"+",Tabela7[[#This Row],[NOME]])),"NÃO")),"NÃO")</f>
        <v>#VALUE!</v>
      </c>
      <c r="Q301" s="11" t="e" cm="1">
        <f t="array" ref="Q301">IF(P301="NÃO","NÃO",_xlfn.XLOOKUP(P301,tabE.Flux[COMP.AT. MOT A],#REF!,"NÃO",0,1))</f>
        <v>#VALUE!</v>
      </c>
      <c r="R301" s="14" t="e" cm="1">
        <f t="array" ref="R301">IF(P301="NÃO","NÃO",_xlfn.XLOOKUP(P301,tabE.Flux[COMP.AT. MOT B],#REF!,"NÃO",0,1))</f>
        <v>#VALUE!</v>
      </c>
      <c r="S30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01" s="16" t="e" cm="1">
        <f t="array" ref="T30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01" s="41" t="e" cm="1">
        <f t="array" ref="U30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02" spans="12:21" x14ac:dyDescent="0.25">
      <c r="L302" s="36" t="e">
        <f>Tabela7[[#This Row],[ID]]</f>
        <v>#VALUE!</v>
      </c>
      <c r="M302" s="17" t="e">
        <f>_xlfn.CONCAT(Tabela7[[#This Row],[DATA]],"+",Tabela7[[#This Row],[NOME]])</f>
        <v>#VALUE!</v>
      </c>
      <c r="N302" s="11" t="e" cm="1">
        <f t="array" ref="N302">_xlfn.XLOOKUP(M302,tabE.Flux[[#All],[COMP.AT. MOT A]],#REF!,"NÃO",0,1)</f>
        <v>#VALUE!</v>
      </c>
      <c r="O302" s="11" t="e" cm="1">
        <f t="array" ref="O302">_xlfn.XLOOKUP(M302,tabE.Flux[[#All],[COMP.AT. MOT B]],#REF!,"NÃO",0,1)</f>
        <v>#VALUE!</v>
      </c>
      <c r="P302" s="12" t="e">
        <f>IF(N302="NÃO",(IF(O302="NÃO",(_xlfn.CONCAT(Tabela7[[#This Row],[DATA]]-1,"+",Tabela7[[#This Row],[NOME]])),"NÃO")),"NÃO")</f>
        <v>#VALUE!</v>
      </c>
      <c r="Q302" s="11" t="e" cm="1">
        <f t="array" ref="Q302">IF(P302="NÃO","NÃO",_xlfn.XLOOKUP(P302,tabE.Flux[COMP.AT. MOT A],#REF!,"NÃO",0,1))</f>
        <v>#VALUE!</v>
      </c>
      <c r="R302" s="14" t="e" cm="1">
        <f t="array" ref="R302">IF(P302="NÃO","NÃO",_xlfn.XLOOKUP(P302,tabE.Flux[COMP.AT. MOT B],#REF!,"NÃO",0,1))</f>
        <v>#VALUE!</v>
      </c>
      <c r="S30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02" s="16" t="e" cm="1">
        <f t="array" ref="T30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02" s="41" t="e" cm="1">
        <f t="array" ref="U30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03" spans="12:21" x14ac:dyDescent="0.25">
      <c r="L303" s="36" t="e">
        <f>Tabela7[[#This Row],[ID]]</f>
        <v>#VALUE!</v>
      </c>
      <c r="M303" s="17" t="e">
        <f>_xlfn.CONCAT(Tabela7[[#This Row],[DATA]],"+",Tabela7[[#This Row],[NOME]])</f>
        <v>#VALUE!</v>
      </c>
      <c r="N303" s="11" t="e" cm="1">
        <f t="array" ref="N303">_xlfn.XLOOKUP(M303,tabE.Flux[[#All],[COMP.AT. MOT A]],#REF!,"NÃO",0,1)</f>
        <v>#VALUE!</v>
      </c>
      <c r="O303" s="11" t="e" cm="1">
        <f t="array" ref="O303">_xlfn.XLOOKUP(M303,tabE.Flux[[#All],[COMP.AT. MOT B]],#REF!,"NÃO",0,1)</f>
        <v>#VALUE!</v>
      </c>
      <c r="P303" s="12" t="e">
        <f>IF(N303="NÃO",(IF(O303="NÃO",(_xlfn.CONCAT(Tabela7[[#This Row],[DATA]]-1,"+",Tabela7[[#This Row],[NOME]])),"NÃO")),"NÃO")</f>
        <v>#VALUE!</v>
      </c>
      <c r="Q303" s="11" t="e" cm="1">
        <f t="array" ref="Q303">IF(P303="NÃO","NÃO",_xlfn.XLOOKUP(P303,tabE.Flux[COMP.AT. MOT A],#REF!,"NÃO",0,1))</f>
        <v>#VALUE!</v>
      </c>
      <c r="R303" s="14" t="e" cm="1">
        <f t="array" ref="R303">IF(P303="NÃO","NÃO",_xlfn.XLOOKUP(P303,tabE.Flux[COMP.AT. MOT B],#REF!,"NÃO",0,1))</f>
        <v>#VALUE!</v>
      </c>
      <c r="S30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03" s="16" t="e" cm="1">
        <f t="array" ref="T30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03" s="41" t="e" cm="1">
        <f t="array" ref="U30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04" spans="12:21" x14ac:dyDescent="0.25">
      <c r="L304" s="36" t="e">
        <f>Tabela7[[#This Row],[ID]]</f>
        <v>#VALUE!</v>
      </c>
      <c r="M304" s="17" t="e">
        <f>_xlfn.CONCAT(Tabela7[[#This Row],[DATA]],"+",Tabela7[[#This Row],[NOME]])</f>
        <v>#VALUE!</v>
      </c>
      <c r="N304" s="11" t="e" cm="1">
        <f t="array" ref="N304">_xlfn.XLOOKUP(M304,tabE.Flux[[#All],[COMP.AT. MOT A]],#REF!,"NÃO",0,1)</f>
        <v>#VALUE!</v>
      </c>
      <c r="O304" s="11" t="e" cm="1">
        <f t="array" ref="O304">_xlfn.XLOOKUP(M304,tabE.Flux[[#All],[COMP.AT. MOT B]],#REF!,"NÃO",0,1)</f>
        <v>#VALUE!</v>
      </c>
      <c r="P304" s="12" t="e">
        <f>IF(N304="NÃO",(IF(O304="NÃO",(_xlfn.CONCAT(Tabela7[[#This Row],[DATA]]-1,"+",Tabela7[[#This Row],[NOME]])),"NÃO")),"NÃO")</f>
        <v>#VALUE!</v>
      </c>
      <c r="Q304" s="11" t="e" cm="1">
        <f t="array" ref="Q304">IF(P304="NÃO","NÃO",_xlfn.XLOOKUP(P304,tabE.Flux[COMP.AT. MOT A],#REF!,"NÃO",0,1))</f>
        <v>#VALUE!</v>
      </c>
      <c r="R304" s="14" t="e" cm="1">
        <f t="array" ref="R304">IF(P304="NÃO","NÃO",_xlfn.XLOOKUP(P304,tabE.Flux[COMP.AT. MOT B],#REF!,"NÃO",0,1))</f>
        <v>#VALUE!</v>
      </c>
      <c r="S30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04" s="16" t="e" cm="1">
        <f t="array" ref="T30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04" s="41" t="e" cm="1">
        <f t="array" ref="U30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05" spans="12:21" x14ac:dyDescent="0.25">
      <c r="L305" s="36" t="e">
        <f>Tabela7[[#This Row],[ID]]</f>
        <v>#VALUE!</v>
      </c>
      <c r="M305" s="17" t="e">
        <f>_xlfn.CONCAT(Tabela7[[#This Row],[DATA]],"+",Tabela7[[#This Row],[NOME]])</f>
        <v>#VALUE!</v>
      </c>
      <c r="N305" s="11" t="e" cm="1">
        <f t="array" ref="N305">_xlfn.XLOOKUP(M305,tabE.Flux[[#All],[COMP.AT. MOT A]],#REF!,"NÃO",0,1)</f>
        <v>#VALUE!</v>
      </c>
      <c r="O305" s="11" t="e" cm="1">
        <f t="array" ref="O305">_xlfn.XLOOKUP(M305,tabE.Flux[[#All],[COMP.AT. MOT B]],#REF!,"NÃO",0,1)</f>
        <v>#VALUE!</v>
      </c>
      <c r="P305" s="12" t="e">
        <f>IF(N305="NÃO",(IF(O305="NÃO",(_xlfn.CONCAT(Tabela7[[#This Row],[DATA]]-1,"+",Tabela7[[#This Row],[NOME]])),"NÃO")),"NÃO")</f>
        <v>#VALUE!</v>
      </c>
      <c r="Q305" s="11" t="e" cm="1">
        <f t="array" ref="Q305">IF(P305="NÃO","NÃO",_xlfn.XLOOKUP(P305,tabE.Flux[COMP.AT. MOT A],#REF!,"NÃO",0,1))</f>
        <v>#VALUE!</v>
      </c>
      <c r="R305" s="14" t="e" cm="1">
        <f t="array" ref="R305">IF(P305="NÃO","NÃO",_xlfn.XLOOKUP(P305,tabE.Flux[COMP.AT. MOT B],#REF!,"NÃO",0,1))</f>
        <v>#VALUE!</v>
      </c>
      <c r="S30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05" s="16" t="e" cm="1">
        <f t="array" ref="T30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05" s="41" t="e" cm="1">
        <f t="array" ref="U30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06" spans="12:21" x14ac:dyDescent="0.25">
      <c r="L306" s="36" t="e">
        <f>Tabela7[[#This Row],[ID]]</f>
        <v>#VALUE!</v>
      </c>
      <c r="M306" s="17" t="e">
        <f>_xlfn.CONCAT(Tabela7[[#This Row],[DATA]],"+",Tabela7[[#This Row],[NOME]])</f>
        <v>#VALUE!</v>
      </c>
      <c r="N306" s="11" t="e" cm="1">
        <f t="array" ref="N306">_xlfn.XLOOKUP(M306,tabE.Flux[[#All],[COMP.AT. MOT A]],#REF!,"NÃO",0,1)</f>
        <v>#VALUE!</v>
      </c>
      <c r="O306" s="11" t="e" cm="1">
        <f t="array" ref="O306">_xlfn.XLOOKUP(M306,tabE.Flux[[#All],[COMP.AT. MOT B]],#REF!,"NÃO",0,1)</f>
        <v>#VALUE!</v>
      </c>
      <c r="P306" s="12" t="e">
        <f>IF(N306="NÃO",(IF(O306="NÃO",(_xlfn.CONCAT(Tabela7[[#This Row],[DATA]]-1,"+",Tabela7[[#This Row],[NOME]])),"NÃO")),"NÃO")</f>
        <v>#VALUE!</v>
      </c>
      <c r="Q306" s="11" t="e" cm="1">
        <f t="array" ref="Q306">IF(P306="NÃO","NÃO",_xlfn.XLOOKUP(P306,tabE.Flux[COMP.AT. MOT A],#REF!,"NÃO",0,1))</f>
        <v>#VALUE!</v>
      </c>
      <c r="R306" s="14" t="e" cm="1">
        <f t="array" ref="R306">IF(P306="NÃO","NÃO",_xlfn.XLOOKUP(P306,tabE.Flux[COMP.AT. MOT B],#REF!,"NÃO",0,1))</f>
        <v>#VALUE!</v>
      </c>
      <c r="S30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06" s="16" t="e" cm="1">
        <f t="array" ref="T30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06" s="41" t="e" cm="1">
        <f t="array" ref="U30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07" spans="12:21" x14ac:dyDescent="0.25">
      <c r="L307" s="36" t="e">
        <f>Tabela7[[#This Row],[ID]]</f>
        <v>#VALUE!</v>
      </c>
      <c r="M307" s="17" t="e">
        <f>_xlfn.CONCAT(Tabela7[[#This Row],[DATA]],"+",Tabela7[[#This Row],[NOME]])</f>
        <v>#VALUE!</v>
      </c>
      <c r="N307" s="11" t="e" cm="1">
        <f t="array" ref="N307">_xlfn.XLOOKUP(M307,tabE.Flux[[#All],[COMP.AT. MOT A]],#REF!,"NÃO",0,1)</f>
        <v>#VALUE!</v>
      </c>
      <c r="O307" s="11" t="e" cm="1">
        <f t="array" ref="O307">_xlfn.XLOOKUP(M307,tabE.Flux[[#All],[COMP.AT. MOT B]],#REF!,"NÃO",0,1)</f>
        <v>#VALUE!</v>
      </c>
      <c r="P307" s="12" t="e">
        <f>IF(N307="NÃO",(IF(O307="NÃO",(_xlfn.CONCAT(Tabela7[[#This Row],[DATA]]-1,"+",Tabela7[[#This Row],[NOME]])),"NÃO")),"NÃO")</f>
        <v>#VALUE!</v>
      </c>
      <c r="Q307" s="11" t="e" cm="1">
        <f t="array" ref="Q307">IF(P307="NÃO","NÃO",_xlfn.XLOOKUP(P307,tabE.Flux[COMP.AT. MOT A],#REF!,"NÃO",0,1))</f>
        <v>#VALUE!</v>
      </c>
      <c r="R307" s="14" t="e" cm="1">
        <f t="array" ref="R307">IF(P307="NÃO","NÃO",_xlfn.XLOOKUP(P307,tabE.Flux[COMP.AT. MOT B],#REF!,"NÃO",0,1))</f>
        <v>#VALUE!</v>
      </c>
      <c r="S30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07" s="16" t="e" cm="1">
        <f t="array" ref="T30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07" s="41" t="e" cm="1">
        <f t="array" ref="U30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08" spans="12:21" x14ac:dyDescent="0.25">
      <c r="L308" s="36" t="e">
        <f>Tabela7[[#This Row],[ID]]</f>
        <v>#VALUE!</v>
      </c>
      <c r="M308" s="17" t="e">
        <f>_xlfn.CONCAT(Tabela7[[#This Row],[DATA]],"+",Tabela7[[#This Row],[NOME]])</f>
        <v>#VALUE!</v>
      </c>
      <c r="N308" s="11" t="e" cm="1">
        <f t="array" ref="N308">_xlfn.XLOOKUP(M308,tabE.Flux[[#All],[COMP.AT. MOT A]],#REF!,"NÃO",0,1)</f>
        <v>#VALUE!</v>
      </c>
      <c r="O308" s="11" t="e" cm="1">
        <f t="array" ref="O308">_xlfn.XLOOKUP(M308,tabE.Flux[[#All],[COMP.AT. MOT B]],#REF!,"NÃO",0,1)</f>
        <v>#VALUE!</v>
      </c>
      <c r="P308" s="12" t="e">
        <f>IF(N308="NÃO",(IF(O308="NÃO",(_xlfn.CONCAT(Tabela7[[#This Row],[DATA]]-1,"+",Tabela7[[#This Row],[NOME]])),"NÃO")),"NÃO")</f>
        <v>#VALUE!</v>
      </c>
      <c r="Q308" s="11" t="e" cm="1">
        <f t="array" ref="Q308">IF(P308="NÃO","NÃO",_xlfn.XLOOKUP(P308,tabE.Flux[COMP.AT. MOT A],#REF!,"NÃO",0,1))</f>
        <v>#VALUE!</v>
      </c>
      <c r="R308" s="14" t="e" cm="1">
        <f t="array" ref="R308">IF(P308="NÃO","NÃO",_xlfn.XLOOKUP(P308,tabE.Flux[COMP.AT. MOT B],#REF!,"NÃO",0,1))</f>
        <v>#VALUE!</v>
      </c>
      <c r="S30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08" s="16" t="e" cm="1">
        <f t="array" ref="T30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08" s="41" t="e" cm="1">
        <f t="array" ref="U30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09" spans="12:21" x14ac:dyDescent="0.25">
      <c r="L309" s="36" t="e">
        <f>Tabela7[[#This Row],[ID]]</f>
        <v>#VALUE!</v>
      </c>
      <c r="M309" s="17" t="e">
        <f>_xlfn.CONCAT(Tabela7[[#This Row],[DATA]],"+",Tabela7[[#This Row],[NOME]])</f>
        <v>#VALUE!</v>
      </c>
      <c r="N309" s="11" t="e" cm="1">
        <f t="array" ref="N309">_xlfn.XLOOKUP(M309,tabE.Flux[[#All],[COMP.AT. MOT A]],#REF!,"NÃO",0,1)</f>
        <v>#VALUE!</v>
      </c>
      <c r="O309" s="11" t="e" cm="1">
        <f t="array" ref="O309">_xlfn.XLOOKUP(M309,tabE.Flux[[#All],[COMP.AT. MOT B]],#REF!,"NÃO",0,1)</f>
        <v>#VALUE!</v>
      </c>
      <c r="P309" s="12" t="e">
        <f>IF(N309="NÃO",(IF(O309="NÃO",(_xlfn.CONCAT(Tabela7[[#This Row],[DATA]]-1,"+",Tabela7[[#This Row],[NOME]])),"NÃO")),"NÃO")</f>
        <v>#VALUE!</v>
      </c>
      <c r="Q309" s="11" t="e" cm="1">
        <f t="array" ref="Q309">IF(P309="NÃO","NÃO",_xlfn.XLOOKUP(P309,tabE.Flux[COMP.AT. MOT A],#REF!,"NÃO",0,1))</f>
        <v>#VALUE!</v>
      </c>
      <c r="R309" s="14" t="e" cm="1">
        <f t="array" ref="R309">IF(P309="NÃO","NÃO",_xlfn.XLOOKUP(P309,tabE.Flux[COMP.AT. MOT B],#REF!,"NÃO",0,1))</f>
        <v>#VALUE!</v>
      </c>
      <c r="S30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09" s="16" t="e" cm="1">
        <f t="array" ref="T30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09" s="41" t="e" cm="1">
        <f t="array" ref="U30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10" spans="12:21" x14ac:dyDescent="0.25">
      <c r="L310" s="36" t="e">
        <f>Tabela7[[#This Row],[ID]]</f>
        <v>#VALUE!</v>
      </c>
      <c r="M310" s="17" t="e">
        <f>_xlfn.CONCAT(Tabela7[[#This Row],[DATA]],"+",Tabela7[[#This Row],[NOME]])</f>
        <v>#VALUE!</v>
      </c>
      <c r="N310" s="11" t="e" cm="1">
        <f t="array" ref="N310">_xlfn.XLOOKUP(M310,tabE.Flux[[#All],[COMP.AT. MOT A]],#REF!,"NÃO",0,1)</f>
        <v>#VALUE!</v>
      </c>
      <c r="O310" s="11" t="e" cm="1">
        <f t="array" ref="O310">_xlfn.XLOOKUP(M310,tabE.Flux[[#All],[COMP.AT. MOT B]],#REF!,"NÃO",0,1)</f>
        <v>#VALUE!</v>
      </c>
      <c r="P310" s="12" t="e">
        <f>IF(N310="NÃO",(IF(O310="NÃO",(_xlfn.CONCAT(Tabela7[[#This Row],[DATA]]-1,"+",Tabela7[[#This Row],[NOME]])),"NÃO")),"NÃO")</f>
        <v>#VALUE!</v>
      </c>
      <c r="Q310" s="11" t="e" cm="1">
        <f t="array" ref="Q310">IF(P310="NÃO","NÃO",_xlfn.XLOOKUP(P310,tabE.Flux[COMP.AT. MOT A],#REF!,"NÃO",0,1))</f>
        <v>#VALUE!</v>
      </c>
      <c r="R310" s="14" t="e" cm="1">
        <f t="array" ref="R310">IF(P310="NÃO","NÃO",_xlfn.XLOOKUP(P310,tabE.Flux[COMP.AT. MOT B],#REF!,"NÃO",0,1))</f>
        <v>#VALUE!</v>
      </c>
      <c r="S31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10" s="16" t="e" cm="1">
        <f t="array" ref="T31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10" s="41" t="e" cm="1">
        <f t="array" ref="U31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11" spans="12:21" x14ac:dyDescent="0.25">
      <c r="L311" s="36" t="e">
        <f>Tabela7[[#This Row],[ID]]</f>
        <v>#VALUE!</v>
      </c>
      <c r="M311" s="17" t="e">
        <f>_xlfn.CONCAT(Tabela7[[#This Row],[DATA]],"+",Tabela7[[#This Row],[NOME]])</f>
        <v>#VALUE!</v>
      </c>
      <c r="N311" s="11" t="e" cm="1">
        <f t="array" ref="N311">_xlfn.XLOOKUP(M311,tabE.Flux[[#All],[COMP.AT. MOT A]],#REF!,"NÃO",0,1)</f>
        <v>#VALUE!</v>
      </c>
      <c r="O311" s="11" t="e" cm="1">
        <f t="array" ref="O311">_xlfn.XLOOKUP(M311,tabE.Flux[[#All],[COMP.AT. MOT B]],#REF!,"NÃO",0,1)</f>
        <v>#VALUE!</v>
      </c>
      <c r="P311" s="12" t="e">
        <f>IF(N311="NÃO",(IF(O311="NÃO",(_xlfn.CONCAT(Tabela7[[#This Row],[DATA]]-1,"+",Tabela7[[#This Row],[NOME]])),"NÃO")),"NÃO")</f>
        <v>#VALUE!</v>
      </c>
      <c r="Q311" s="11" t="e" cm="1">
        <f t="array" ref="Q311">IF(P311="NÃO","NÃO",_xlfn.XLOOKUP(P311,tabE.Flux[COMP.AT. MOT A],#REF!,"NÃO",0,1))</f>
        <v>#VALUE!</v>
      </c>
      <c r="R311" s="14" t="e" cm="1">
        <f t="array" ref="R311">IF(P311="NÃO","NÃO",_xlfn.XLOOKUP(P311,tabE.Flux[COMP.AT. MOT B],#REF!,"NÃO",0,1))</f>
        <v>#VALUE!</v>
      </c>
      <c r="S31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11" s="16" t="e" cm="1">
        <f t="array" ref="T31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11" s="41" t="e" cm="1">
        <f t="array" ref="U31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12" spans="12:21" x14ac:dyDescent="0.25">
      <c r="L312" s="36" t="e">
        <f>Tabela7[[#This Row],[ID]]</f>
        <v>#VALUE!</v>
      </c>
      <c r="M312" s="17" t="e">
        <f>_xlfn.CONCAT(Tabela7[[#This Row],[DATA]],"+",Tabela7[[#This Row],[NOME]])</f>
        <v>#VALUE!</v>
      </c>
      <c r="N312" s="11" t="e" cm="1">
        <f t="array" ref="N312">_xlfn.XLOOKUP(M312,tabE.Flux[[#All],[COMP.AT. MOT A]],#REF!,"NÃO",0,1)</f>
        <v>#VALUE!</v>
      </c>
      <c r="O312" s="11" t="e" cm="1">
        <f t="array" ref="O312">_xlfn.XLOOKUP(M312,tabE.Flux[[#All],[COMP.AT. MOT B]],#REF!,"NÃO",0,1)</f>
        <v>#VALUE!</v>
      </c>
      <c r="P312" s="12" t="e">
        <f>IF(N312="NÃO",(IF(O312="NÃO",(_xlfn.CONCAT(Tabela7[[#This Row],[DATA]]-1,"+",Tabela7[[#This Row],[NOME]])),"NÃO")),"NÃO")</f>
        <v>#VALUE!</v>
      </c>
      <c r="Q312" s="11" t="e" cm="1">
        <f t="array" ref="Q312">IF(P312="NÃO","NÃO",_xlfn.XLOOKUP(P312,tabE.Flux[COMP.AT. MOT A],#REF!,"NÃO",0,1))</f>
        <v>#VALUE!</v>
      </c>
      <c r="R312" s="14" t="e" cm="1">
        <f t="array" ref="R312">IF(P312="NÃO","NÃO",_xlfn.XLOOKUP(P312,tabE.Flux[COMP.AT. MOT B],#REF!,"NÃO",0,1))</f>
        <v>#VALUE!</v>
      </c>
      <c r="S31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12" s="16" t="e" cm="1">
        <f t="array" ref="T31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12" s="41" t="e" cm="1">
        <f t="array" ref="U31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13" spans="12:21" x14ac:dyDescent="0.25">
      <c r="L313" s="36" t="e">
        <f>Tabela7[[#This Row],[ID]]</f>
        <v>#VALUE!</v>
      </c>
      <c r="M313" s="17" t="e">
        <f>_xlfn.CONCAT(Tabela7[[#This Row],[DATA]],"+",Tabela7[[#This Row],[NOME]])</f>
        <v>#VALUE!</v>
      </c>
      <c r="N313" s="11" t="e" cm="1">
        <f t="array" ref="N313">_xlfn.XLOOKUP(M313,tabE.Flux[[#All],[COMP.AT. MOT A]],#REF!,"NÃO",0,1)</f>
        <v>#VALUE!</v>
      </c>
      <c r="O313" s="11" t="e" cm="1">
        <f t="array" ref="O313">_xlfn.XLOOKUP(M313,tabE.Flux[[#All],[COMP.AT. MOT B]],#REF!,"NÃO",0,1)</f>
        <v>#VALUE!</v>
      </c>
      <c r="P313" s="12" t="e">
        <f>IF(N313="NÃO",(IF(O313="NÃO",(_xlfn.CONCAT(Tabela7[[#This Row],[DATA]]-1,"+",Tabela7[[#This Row],[NOME]])),"NÃO")),"NÃO")</f>
        <v>#VALUE!</v>
      </c>
      <c r="Q313" s="11" t="e" cm="1">
        <f t="array" ref="Q313">IF(P313="NÃO","NÃO",_xlfn.XLOOKUP(P313,tabE.Flux[COMP.AT. MOT A],#REF!,"NÃO",0,1))</f>
        <v>#VALUE!</v>
      </c>
      <c r="R313" s="14" t="e" cm="1">
        <f t="array" ref="R313">IF(P313="NÃO","NÃO",_xlfn.XLOOKUP(P313,tabE.Flux[COMP.AT. MOT B],#REF!,"NÃO",0,1))</f>
        <v>#VALUE!</v>
      </c>
      <c r="S31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13" s="16" t="e" cm="1">
        <f t="array" ref="T31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13" s="41" t="e" cm="1">
        <f t="array" ref="U31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14" spans="12:21" x14ac:dyDescent="0.25">
      <c r="L314" s="36" t="e">
        <f>Tabela7[[#This Row],[ID]]</f>
        <v>#VALUE!</v>
      </c>
      <c r="M314" s="17" t="e">
        <f>_xlfn.CONCAT(Tabela7[[#This Row],[DATA]],"+",Tabela7[[#This Row],[NOME]])</f>
        <v>#VALUE!</v>
      </c>
      <c r="N314" s="11" t="e" cm="1">
        <f t="array" ref="N314">_xlfn.XLOOKUP(M314,tabE.Flux[[#All],[COMP.AT. MOT A]],#REF!,"NÃO",0,1)</f>
        <v>#VALUE!</v>
      </c>
      <c r="O314" s="11" t="e" cm="1">
        <f t="array" ref="O314">_xlfn.XLOOKUP(M314,tabE.Flux[[#All],[COMP.AT. MOT B]],#REF!,"NÃO",0,1)</f>
        <v>#VALUE!</v>
      </c>
      <c r="P314" s="12" t="e">
        <f>IF(N314="NÃO",(IF(O314="NÃO",(_xlfn.CONCAT(Tabela7[[#This Row],[DATA]]-1,"+",Tabela7[[#This Row],[NOME]])),"NÃO")),"NÃO")</f>
        <v>#VALUE!</v>
      </c>
      <c r="Q314" s="11" t="e" cm="1">
        <f t="array" ref="Q314">IF(P314="NÃO","NÃO",_xlfn.XLOOKUP(P314,tabE.Flux[COMP.AT. MOT A],#REF!,"NÃO",0,1))</f>
        <v>#VALUE!</v>
      </c>
      <c r="R314" s="14" t="e" cm="1">
        <f t="array" ref="R314">IF(P314="NÃO","NÃO",_xlfn.XLOOKUP(P314,tabE.Flux[COMP.AT. MOT B],#REF!,"NÃO",0,1))</f>
        <v>#VALUE!</v>
      </c>
      <c r="S31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14" s="16" t="e" cm="1">
        <f t="array" ref="T31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14" s="41" t="e" cm="1">
        <f t="array" ref="U31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15" spans="12:21" x14ac:dyDescent="0.25">
      <c r="L315" s="36" t="e">
        <f>Tabela7[[#This Row],[ID]]</f>
        <v>#VALUE!</v>
      </c>
      <c r="M315" s="17" t="e">
        <f>_xlfn.CONCAT(Tabela7[[#This Row],[DATA]],"+",Tabela7[[#This Row],[NOME]])</f>
        <v>#VALUE!</v>
      </c>
      <c r="N315" s="11" t="e" cm="1">
        <f t="array" ref="N315">_xlfn.XLOOKUP(M315,tabE.Flux[[#All],[COMP.AT. MOT A]],#REF!,"NÃO",0,1)</f>
        <v>#VALUE!</v>
      </c>
      <c r="O315" s="11" t="e" cm="1">
        <f t="array" ref="O315">_xlfn.XLOOKUP(M315,tabE.Flux[[#All],[COMP.AT. MOT B]],#REF!,"NÃO",0,1)</f>
        <v>#VALUE!</v>
      </c>
      <c r="P315" s="12" t="e">
        <f>IF(N315="NÃO",(IF(O315="NÃO",(_xlfn.CONCAT(Tabela7[[#This Row],[DATA]]-1,"+",Tabela7[[#This Row],[NOME]])),"NÃO")),"NÃO")</f>
        <v>#VALUE!</v>
      </c>
      <c r="Q315" s="11" t="e" cm="1">
        <f t="array" ref="Q315">IF(P315="NÃO","NÃO",_xlfn.XLOOKUP(P315,tabE.Flux[COMP.AT. MOT A],#REF!,"NÃO",0,1))</f>
        <v>#VALUE!</v>
      </c>
      <c r="R315" s="14" t="e" cm="1">
        <f t="array" ref="R315">IF(P315="NÃO","NÃO",_xlfn.XLOOKUP(P315,tabE.Flux[COMP.AT. MOT B],#REF!,"NÃO",0,1))</f>
        <v>#VALUE!</v>
      </c>
      <c r="S31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15" s="16" t="e" cm="1">
        <f t="array" ref="T31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15" s="41" t="e" cm="1">
        <f t="array" ref="U31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16" spans="12:21" x14ac:dyDescent="0.25">
      <c r="L316" s="36" t="e">
        <f>Tabela7[[#This Row],[ID]]</f>
        <v>#VALUE!</v>
      </c>
      <c r="M316" s="17" t="e">
        <f>_xlfn.CONCAT(Tabela7[[#This Row],[DATA]],"+",Tabela7[[#This Row],[NOME]])</f>
        <v>#VALUE!</v>
      </c>
      <c r="N316" s="11" t="e" cm="1">
        <f t="array" ref="N316">_xlfn.XLOOKUP(M316,tabE.Flux[[#All],[COMP.AT. MOT A]],#REF!,"NÃO",0,1)</f>
        <v>#VALUE!</v>
      </c>
      <c r="O316" s="11" t="e" cm="1">
        <f t="array" ref="O316">_xlfn.XLOOKUP(M316,tabE.Flux[[#All],[COMP.AT. MOT B]],#REF!,"NÃO",0,1)</f>
        <v>#VALUE!</v>
      </c>
      <c r="P316" s="12" t="e">
        <f>IF(N316="NÃO",(IF(O316="NÃO",(_xlfn.CONCAT(Tabela7[[#This Row],[DATA]]-1,"+",Tabela7[[#This Row],[NOME]])),"NÃO")),"NÃO")</f>
        <v>#VALUE!</v>
      </c>
      <c r="Q316" s="11" t="e" cm="1">
        <f t="array" ref="Q316">IF(P316="NÃO","NÃO",_xlfn.XLOOKUP(P316,tabE.Flux[COMP.AT. MOT A],#REF!,"NÃO",0,1))</f>
        <v>#VALUE!</v>
      </c>
      <c r="R316" s="14" t="e" cm="1">
        <f t="array" ref="R316">IF(P316="NÃO","NÃO",_xlfn.XLOOKUP(P316,tabE.Flux[COMP.AT. MOT B],#REF!,"NÃO",0,1))</f>
        <v>#VALUE!</v>
      </c>
      <c r="S31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16" s="16" t="e" cm="1">
        <f t="array" ref="T31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16" s="41" t="e" cm="1">
        <f t="array" ref="U31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17" spans="12:21" x14ac:dyDescent="0.25">
      <c r="L317" s="36" t="e">
        <f>Tabela7[[#This Row],[ID]]</f>
        <v>#VALUE!</v>
      </c>
      <c r="M317" s="17" t="e">
        <f>_xlfn.CONCAT(Tabela7[[#This Row],[DATA]],"+",Tabela7[[#This Row],[NOME]])</f>
        <v>#VALUE!</v>
      </c>
      <c r="N317" s="11" t="e" cm="1">
        <f t="array" ref="N317">_xlfn.XLOOKUP(M317,tabE.Flux[[#All],[COMP.AT. MOT A]],#REF!,"NÃO",0,1)</f>
        <v>#VALUE!</v>
      </c>
      <c r="O317" s="11" t="e" cm="1">
        <f t="array" ref="O317">_xlfn.XLOOKUP(M317,tabE.Flux[[#All],[COMP.AT. MOT B]],#REF!,"NÃO",0,1)</f>
        <v>#VALUE!</v>
      </c>
      <c r="P317" s="12" t="e">
        <f>IF(N317="NÃO",(IF(O317="NÃO",(_xlfn.CONCAT(Tabela7[[#This Row],[DATA]]-1,"+",Tabela7[[#This Row],[NOME]])),"NÃO")),"NÃO")</f>
        <v>#VALUE!</v>
      </c>
      <c r="Q317" s="11" t="e" cm="1">
        <f t="array" ref="Q317">IF(P317="NÃO","NÃO",_xlfn.XLOOKUP(P317,tabE.Flux[COMP.AT. MOT A],#REF!,"NÃO",0,1))</f>
        <v>#VALUE!</v>
      </c>
      <c r="R317" s="14" t="e" cm="1">
        <f t="array" ref="R317">IF(P317="NÃO","NÃO",_xlfn.XLOOKUP(P317,tabE.Flux[COMP.AT. MOT B],#REF!,"NÃO",0,1))</f>
        <v>#VALUE!</v>
      </c>
      <c r="S31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17" s="16" t="e" cm="1">
        <f t="array" ref="T31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17" s="41" t="e" cm="1">
        <f t="array" ref="U31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18" spans="12:21" x14ac:dyDescent="0.25">
      <c r="L318" s="36" t="e">
        <f>Tabela7[[#This Row],[ID]]</f>
        <v>#VALUE!</v>
      </c>
      <c r="M318" s="17" t="e">
        <f>_xlfn.CONCAT(Tabela7[[#This Row],[DATA]],"+",Tabela7[[#This Row],[NOME]])</f>
        <v>#VALUE!</v>
      </c>
      <c r="N318" s="11" t="e" cm="1">
        <f t="array" ref="N318">_xlfn.XLOOKUP(M318,tabE.Flux[[#All],[COMP.AT. MOT A]],#REF!,"NÃO",0,1)</f>
        <v>#VALUE!</v>
      </c>
      <c r="O318" s="11" t="e" cm="1">
        <f t="array" ref="O318">_xlfn.XLOOKUP(M318,tabE.Flux[[#All],[COMP.AT. MOT B]],#REF!,"NÃO",0,1)</f>
        <v>#VALUE!</v>
      </c>
      <c r="P318" s="12" t="e">
        <f>IF(N318="NÃO",(IF(O318="NÃO",(_xlfn.CONCAT(Tabela7[[#This Row],[DATA]]-1,"+",Tabela7[[#This Row],[NOME]])),"NÃO")),"NÃO")</f>
        <v>#VALUE!</v>
      </c>
      <c r="Q318" s="11" t="e" cm="1">
        <f t="array" ref="Q318">IF(P318="NÃO","NÃO",_xlfn.XLOOKUP(P318,tabE.Flux[COMP.AT. MOT A],#REF!,"NÃO",0,1))</f>
        <v>#VALUE!</v>
      </c>
      <c r="R318" s="14" t="e" cm="1">
        <f t="array" ref="R318">IF(P318="NÃO","NÃO",_xlfn.XLOOKUP(P318,tabE.Flux[COMP.AT. MOT B],#REF!,"NÃO",0,1))</f>
        <v>#VALUE!</v>
      </c>
      <c r="S31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18" s="16" t="e" cm="1">
        <f t="array" ref="T31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18" s="41" t="e" cm="1">
        <f t="array" ref="U31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19" spans="12:21" x14ac:dyDescent="0.25">
      <c r="L319" s="36" t="e">
        <f>Tabela7[[#This Row],[ID]]</f>
        <v>#VALUE!</v>
      </c>
      <c r="M319" s="17" t="e">
        <f>_xlfn.CONCAT(Tabela7[[#This Row],[DATA]],"+",Tabela7[[#This Row],[NOME]])</f>
        <v>#VALUE!</v>
      </c>
      <c r="N319" s="11" t="e" cm="1">
        <f t="array" ref="N319">_xlfn.XLOOKUP(M319,tabE.Flux[[#All],[COMP.AT. MOT A]],#REF!,"NÃO",0,1)</f>
        <v>#VALUE!</v>
      </c>
      <c r="O319" s="11" t="e" cm="1">
        <f t="array" ref="O319">_xlfn.XLOOKUP(M319,tabE.Flux[[#All],[COMP.AT. MOT B]],#REF!,"NÃO",0,1)</f>
        <v>#VALUE!</v>
      </c>
      <c r="P319" s="12" t="e">
        <f>IF(N319="NÃO",(IF(O319="NÃO",(_xlfn.CONCAT(Tabela7[[#This Row],[DATA]]-1,"+",Tabela7[[#This Row],[NOME]])),"NÃO")),"NÃO")</f>
        <v>#VALUE!</v>
      </c>
      <c r="Q319" s="11" t="e" cm="1">
        <f t="array" ref="Q319">IF(P319="NÃO","NÃO",_xlfn.XLOOKUP(P319,tabE.Flux[COMP.AT. MOT A],#REF!,"NÃO",0,1))</f>
        <v>#VALUE!</v>
      </c>
      <c r="R319" s="14" t="e" cm="1">
        <f t="array" ref="R319">IF(P319="NÃO","NÃO",_xlfn.XLOOKUP(P319,tabE.Flux[COMP.AT. MOT B],#REF!,"NÃO",0,1))</f>
        <v>#VALUE!</v>
      </c>
      <c r="S31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19" s="16" t="e" cm="1">
        <f t="array" ref="T31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19" s="41" t="e" cm="1">
        <f t="array" ref="U31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20" spans="12:21" x14ac:dyDescent="0.25">
      <c r="L320" s="36" t="e">
        <f>Tabela7[[#This Row],[ID]]</f>
        <v>#VALUE!</v>
      </c>
      <c r="M320" s="17" t="e">
        <f>_xlfn.CONCAT(Tabela7[[#This Row],[DATA]],"+",Tabela7[[#This Row],[NOME]])</f>
        <v>#VALUE!</v>
      </c>
      <c r="N320" s="11" t="e" cm="1">
        <f t="array" ref="N320">_xlfn.XLOOKUP(M320,tabE.Flux[[#All],[COMP.AT. MOT A]],#REF!,"NÃO",0,1)</f>
        <v>#VALUE!</v>
      </c>
      <c r="O320" s="11" t="e" cm="1">
        <f t="array" ref="O320">_xlfn.XLOOKUP(M320,tabE.Flux[[#All],[COMP.AT. MOT B]],#REF!,"NÃO",0,1)</f>
        <v>#VALUE!</v>
      </c>
      <c r="P320" s="12" t="e">
        <f>IF(N320="NÃO",(IF(O320="NÃO",(_xlfn.CONCAT(Tabela7[[#This Row],[DATA]]-1,"+",Tabela7[[#This Row],[NOME]])),"NÃO")),"NÃO")</f>
        <v>#VALUE!</v>
      </c>
      <c r="Q320" s="11" t="e" cm="1">
        <f t="array" ref="Q320">IF(P320="NÃO","NÃO",_xlfn.XLOOKUP(P320,tabE.Flux[COMP.AT. MOT A],#REF!,"NÃO",0,1))</f>
        <v>#VALUE!</v>
      </c>
      <c r="R320" s="14" t="e" cm="1">
        <f t="array" ref="R320">IF(P320="NÃO","NÃO",_xlfn.XLOOKUP(P320,tabE.Flux[COMP.AT. MOT B],#REF!,"NÃO",0,1))</f>
        <v>#VALUE!</v>
      </c>
      <c r="S32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20" s="16" t="e" cm="1">
        <f t="array" ref="T32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20" s="41" t="e" cm="1">
        <f t="array" ref="U32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21" spans="12:21" x14ac:dyDescent="0.25">
      <c r="L321" s="36" t="e">
        <f>Tabela7[[#This Row],[ID]]</f>
        <v>#VALUE!</v>
      </c>
      <c r="M321" s="17" t="e">
        <f>_xlfn.CONCAT(Tabela7[[#This Row],[DATA]],"+",Tabela7[[#This Row],[NOME]])</f>
        <v>#VALUE!</v>
      </c>
      <c r="N321" s="11" t="e" cm="1">
        <f t="array" ref="N321">_xlfn.XLOOKUP(M321,tabE.Flux[[#All],[COMP.AT. MOT A]],#REF!,"NÃO",0,1)</f>
        <v>#VALUE!</v>
      </c>
      <c r="O321" s="11" t="e" cm="1">
        <f t="array" ref="O321">_xlfn.XLOOKUP(M321,tabE.Flux[[#All],[COMP.AT. MOT B]],#REF!,"NÃO",0,1)</f>
        <v>#VALUE!</v>
      </c>
      <c r="P321" s="12" t="e">
        <f>IF(N321="NÃO",(IF(O321="NÃO",(_xlfn.CONCAT(Tabela7[[#This Row],[DATA]]-1,"+",Tabela7[[#This Row],[NOME]])),"NÃO")),"NÃO")</f>
        <v>#VALUE!</v>
      </c>
      <c r="Q321" s="11" t="e" cm="1">
        <f t="array" ref="Q321">IF(P321="NÃO","NÃO",_xlfn.XLOOKUP(P321,tabE.Flux[COMP.AT. MOT A],#REF!,"NÃO",0,1))</f>
        <v>#VALUE!</v>
      </c>
      <c r="R321" s="14" t="e" cm="1">
        <f t="array" ref="R321">IF(P321="NÃO","NÃO",_xlfn.XLOOKUP(P321,tabE.Flux[COMP.AT. MOT B],#REF!,"NÃO",0,1))</f>
        <v>#VALUE!</v>
      </c>
      <c r="S32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21" s="16" t="e" cm="1">
        <f t="array" ref="T32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21" s="41" t="e" cm="1">
        <f t="array" ref="U32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22" spans="12:21" x14ac:dyDescent="0.25">
      <c r="L322" s="36" t="e">
        <f>Tabela7[[#This Row],[ID]]</f>
        <v>#VALUE!</v>
      </c>
      <c r="M322" s="17" t="e">
        <f>_xlfn.CONCAT(Tabela7[[#This Row],[DATA]],"+",Tabela7[[#This Row],[NOME]])</f>
        <v>#VALUE!</v>
      </c>
      <c r="N322" s="11" t="e" cm="1">
        <f t="array" ref="N322">_xlfn.XLOOKUP(M322,tabE.Flux[[#All],[COMP.AT. MOT A]],#REF!,"NÃO",0,1)</f>
        <v>#VALUE!</v>
      </c>
      <c r="O322" s="11" t="e" cm="1">
        <f t="array" ref="O322">_xlfn.XLOOKUP(M322,tabE.Flux[[#All],[COMP.AT. MOT B]],#REF!,"NÃO",0,1)</f>
        <v>#VALUE!</v>
      </c>
      <c r="P322" s="12" t="e">
        <f>IF(N322="NÃO",(IF(O322="NÃO",(_xlfn.CONCAT(Tabela7[[#This Row],[DATA]]-1,"+",Tabela7[[#This Row],[NOME]])),"NÃO")),"NÃO")</f>
        <v>#VALUE!</v>
      </c>
      <c r="Q322" s="11" t="e" cm="1">
        <f t="array" ref="Q322">IF(P322="NÃO","NÃO",_xlfn.XLOOKUP(P322,tabE.Flux[COMP.AT. MOT A],#REF!,"NÃO",0,1))</f>
        <v>#VALUE!</v>
      </c>
      <c r="R322" s="14" t="e" cm="1">
        <f t="array" ref="R322">IF(P322="NÃO","NÃO",_xlfn.XLOOKUP(P322,tabE.Flux[COMP.AT. MOT B],#REF!,"NÃO",0,1))</f>
        <v>#VALUE!</v>
      </c>
      <c r="S32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22" s="16" t="e" cm="1">
        <f t="array" ref="T32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22" s="41" t="e" cm="1">
        <f t="array" ref="U32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23" spans="12:21" x14ac:dyDescent="0.25">
      <c r="L323" s="36" t="e">
        <f>Tabela7[[#This Row],[ID]]</f>
        <v>#VALUE!</v>
      </c>
      <c r="M323" s="17" t="e">
        <f>_xlfn.CONCAT(Tabela7[[#This Row],[DATA]],"+",Tabela7[[#This Row],[NOME]])</f>
        <v>#VALUE!</v>
      </c>
      <c r="N323" s="11" t="e" cm="1">
        <f t="array" ref="N323">_xlfn.XLOOKUP(M323,tabE.Flux[[#All],[COMP.AT. MOT A]],#REF!,"NÃO",0,1)</f>
        <v>#VALUE!</v>
      </c>
      <c r="O323" s="11" t="e" cm="1">
        <f t="array" ref="O323">_xlfn.XLOOKUP(M323,tabE.Flux[[#All],[COMP.AT. MOT B]],#REF!,"NÃO",0,1)</f>
        <v>#VALUE!</v>
      </c>
      <c r="P323" s="12" t="e">
        <f>IF(N323="NÃO",(IF(O323="NÃO",(_xlfn.CONCAT(Tabela7[[#This Row],[DATA]]-1,"+",Tabela7[[#This Row],[NOME]])),"NÃO")),"NÃO")</f>
        <v>#VALUE!</v>
      </c>
      <c r="Q323" s="11" t="e" cm="1">
        <f t="array" ref="Q323">IF(P323="NÃO","NÃO",_xlfn.XLOOKUP(P323,tabE.Flux[COMP.AT. MOT A],#REF!,"NÃO",0,1))</f>
        <v>#VALUE!</v>
      </c>
      <c r="R323" s="14" t="e" cm="1">
        <f t="array" ref="R323">IF(P323="NÃO","NÃO",_xlfn.XLOOKUP(P323,tabE.Flux[COMP.AT. MOT B],#REF!,"NÃO",0,1))</f>
        <v>#VALUE!</v>
      </c>
      <c r="S32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23" s="16" t="e" cm="1">
        <f t="array" ref="T32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23" s="41" t="e" cm="1">
        <f t="array" ref="U32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24" spans="12:21" x14ac:dyDescent="0.25">
      <c r="L324" s="36" t="e">
        <f>Tabela7[[#This Row],[ID]]</f>
        <v>#VALUE!</v>
      </c>
      <c r="M324" s="17" t="e">
        <f>_xlfn.CONCAT(Tabela7[[#This Row],[DATA]],"+",Tabela7[[#This Row],[NOME]])</f>
        <v>#VALUE!</v>
      </c>
      <c r="N324" s="11" t="e" cm="1">
        <f t="array" ref="N324">_xlfn.XLOOKUP(M324,tabE.Flux[[#All],[COMP.AT. MOT A]],#REF!,"NÃO",0,1)</f>
        <v>#VALUE!</v>
      </c>
      <c r="O324" s="11" t="e" cm="1">
        <f t="array" ref="O324">_xlfn.XLOOKUP(M324,tabE.Flux[[#All],[COMP.AT. MOT B]],#REF!,"NÃO",0,1)</f>
        <v>#VALUE!</v>
      </c>
      <c r="P324" s="12" t="e">
        <f>IF(N324="NÃO",(IF(O324="NÃO",(_xlfn.CONCAT(Tabela7[[#This Row],[DATA]]-1,"+",Tabela7[[#This Row],[NOME]])),"NÃO")),"NÃO")</f>
        <v>#VALUE!</v>
      </c>
      <c r="Q324" s="11" t="e" cm="1">
        <f t="array" ref="Q324">IF(P324="NÃO","NÃO",_xlfn.XLOOKUP(P324,tabE.Flux[COMP.AT. MOT A],#REF!,"NÃO",0,1))</f>
        <v>#VALUE!</v>
      </c>
      <c r="R324" s="14" t="e" cm="1">
        <f t="array" ref="R324">IF(P324="NÃO","NÃO",_xlfn.XLOOKUP(P324,tabE.Flux[COMP.AT. MOT B],#REF!,"NÃO",0,1))</f>
        <v>#VALUE!</v>
      </c>
      <c r="S32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24" s="16" t="e" cm="1">
        <f t="array" ref="T32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24" s="41" t="e" cm="1">
        <f t="array" ref="U32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25" spans="12:21" x14ac:dyDescent="0.25">
      <c r="L325" s="36" t="e">
        <f>Tabela7[[#This Row],[ID]]</f>
        <v>#VALUE!</v>
      </c>
      <c r="M325" s="17" t="e">
        <f>_xlfn.CONCAT(Tabela7[[#This Row],[DATA]],"+",Tabela7[[#This Row],[NOME]])</f>
        <v>#VALUE!</v>
      </c>
      <c r="N325" s="11" t="e" cm="1">
        <f t="array" ref="N325">_xlfn.XLOOKUP(M325,tabE.Flux[[#All],[COMP.AT. MOT A]],#REF!,"NÃO",0,1)</f>
        <v>#VALUE!</v>
      </c>
      <c r="O325" s="11" t="e" cm="1">
        <f t="array" ref="O325">_xlfn.XLOOKUP(M325,tabE.Flux[[#All],[COMP.AT. MOT B]],#REF!,"NÃO",0,1)</f>
        <v>#VALUE!</v>
      </c>
      <c r="P325" s="12" t="e">
        <f>IF(N325="NÃO",(IF(O325="NÃO",(_xlfn.CONCAT(Tabela7[[#This Row],[DATA]]-1,"+",Tabela7[[#This Row],[NOME]])),"NÃO")),"NÃO")</f>
        <v>#VALUE!</v>
      </c>
      <c r="Q325" s="11" t="e" cm="1">
        <f t="array" ref="Q325">IF(P325="NÃO","NÃO",_xlfn.XLOOKUP(P325,tabE.Flux[COMP.AT. MOT A],#REF!,"NÃO",0,1))</f>
        <v>#VALUE!</v>
      </c>
      <c r="R325" s="14" t="e" cm="1">
        <f t="array" ref="R325">IF(P325="NÃO","NÃO",_xlfn.XLOOKUP(P325,tabE.Flux[COMP.AT. MOT B],#REF!,"NÃO",0,1))</f>
        <v>#VALUE!</v>
      </c>
      <c r="S32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25" s="16" t="e" cm="1">
        <f t="array" ref="T32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25" s="41" t="e" cm="1">
        <f t="array" ref="U32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26" spans="12:21" x14ac:dyDescent="0.25">
      <c r="L326" s="36" t="e">
        <f>Tabela7[[#This Row],[ID]]</f>
        <v>#VALUE!</v>
      </c>
      <c r="M326" s="17" t="e">
        <f>_xlfn.CONCAT(Tabela7[[#This Row],[DATA]],"+",Tabela7[[#This Row],[NOME]])</f>
        <v>#VALUE!</v>
      </c>
      <c r="N326" s="11" t="e" cm="1">
        <f t="array" ref="N326">_xlfn.XLOOKUP(M326,tabE.Flux[[#All],[COMP.AT. MOT A]],#REF!,"NÃO",0,1)</f>
        <v>#VALUE!</v>
      </c>
      <c r="O326" s="11" t="e" cm="1">
        <f t="array" ref="O326">_xlfn.XLOOKUP(M326,tabE.Flux[[#All],[COMP.AT. MOT B]],#REF!,"NÃO",0,1)</f>
        <v>#VALUE!</v>
      </c>
      <c r="P326" s="12" t="e">
        <f>IF(N326="NÃO",(IF(O326="NÃO",(_xlfn.CONCAT(Tabela7[[#This Row],[DATA]]-1,"+",Tabela7[[#This Row],[NOME]])),"NÃO")),"NÃO")</f>
        <v>#VALUE!</v>
      </c>
      <c r="Q326" s="11" t="e" cm="1">
        <f t="array" ref="Q326">IF(P326="NÃO","NÃO",_xlfn.XLOOKUP(P326,tabE.Flux[COMP.AT. MOT A],#REF!,"NÃO",0,1))</f>
        <v>#VALUE!</v>
      </c>
      <c r="R326" s="14" t="e" cm="1">
        <f t="array" ref="R326">IF(P326="NÃO","NÃO",_xlfn.XLOOKUP(P326,tabE.Flux[COMP.AT. MOT B],#REF!,"NÃO",0,1))</f>
        <v>#VALUE!</v>
      </c>
      <c r="S32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26" s="16" t="e" cm="1">
        <f t="array" ref="T32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26" s="41" t="e" cm="1">
        <f t="array" ref="U32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27" spans="12:21" x14ac:dyDescent="0.25">
      <c r="L327" s="36" t="e">
        <f>Tabela7[[#This Row],[ID]]</f>
        <v>#VALUE!</v>
      </c>
      <c r="M327" s="17" t="e">
        <f>_xlfn.CONCAT(Tabela7[[#This Row],[DATA]],"+",Tabela7[[#This Row],[NOME]])</f>
        <v>#VALUE!</v>
      </c>
      <c r="N327" s="11" t="e" cm="1">
        <f t="array" ref="N327">_xlfn.XLOOKUP(M327,tabE.Flux[[#All],[COMP.AT. MOT A]],#REF!,"NÃO",0,1)</f>
        <v>#VALUE!</v>
      </c>
      <c r="O327" s="11" t="e" cm="1">
        <f t="array" ref="O327">_xlfn.XLOOKUP(M327,tabE.Flux[[#All],[COMP.AT. MOT B]],#REF!,"NÃO",0,1)</f>
        <v>#VALUE!</v>
      </c>
      <c r="P327" s="12" t="e">
        <f>IF(N327="NÃO",(IF(O327="NÃO",(_xlfn.CONCAT(Tabela7[[#This Row],[DATA]]-1,"+",Tabela7[[#This Row],[NOME]])),"NÃO")),"NÃO")</f>
        <v>#VALUE!</v>
      </c>
      <c r="Q327" s="11" t="e" cm="1">
        <f t="array" ref="Q327">IF(P327="NÃO","NÃO",_xlfn.XLOOKUP(P327,tabE.Flux[COMP.AT. MOT A],#REF!,"NÃO",0,1))</f>
        <v>#VALUE!</v>
      </c>
      <c r="R327" s="14" t="e" cm="1">
        <f t="array" ref="R327">IF(P327="NÃO","NÃO",_xlfn.XLOOKUP(P327,tabE.Flux[COMP.AT. MOT B],#REF!,"NÃO",0,1))</f>
        <v>#VALUE!</v>
      </c>
      <c r="S32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27" s="16" t="e" cm="1">
        <f t="array" ref="T32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27" s="41" t="e" cm="1">
        <f t="array" ref="U32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28" spans="12:21" x14ac:dyDescent="0.25">
      <c r="L328" s="36" t="e">
        <f>Tabela7[[#This Row],[ID]]</f>
        <v>#VALUE!</v>
      </c>
      <c r="M328" s="17" t="e">
        <f>_xlfn.CONCAT(Tabela7[[#This Row],[DATA]],"+",Tabela7[[#This Row],[NOME]])</f>
        <v>#VALUE!</v>
      </c>
      <c r="N328" s="11" t="e" cm="1">
        <f t="array" ref="N328">_xlfn.XLOOKUP(M328,tabE.Flux[[#All],[COMP.AT. MOT A]],#REF!,"NÃO",0,1)</f>
        <v>#VALUE!</v>
      </c>
      <c r="O328" s="11" t="e" cm="1">
        <f t="array" ref="O328">_xlfn.XLOOKUP(M328,tabE.Flux[[#All],[COMP.AT. MOT B]],#REF!,"NÃO",0,1)</f>
        <v>#VALUE!</v>
      </c>
      <c r="P328" s="12" t="e">
        <f>IF(N328="NÃO",(IF(O328="NÃO",(_xlfn.CONCAT(Tabela7[[#This Row],[DATA]]-1,"+",Tabela7[[#This Row],[NOME]])),"NÃO")),"NÃO")</f>
        <v>#VALUE!</v>
      </c>
      <c r="Q328" s="11" t="e" cm="1">
        <f t="array" ref="Q328">IF(P328="NÃO","NÃO",_xlfn.XLOOKUP(P328,tabE.Flux[COMP.AT. MOT A],#REF!,"NÃO",0,1))</f>
        <v>#VALUE!</v>
      </c>
      <c r="R328" s="14" t="e" cm="1">
        <f t="array" ref="R328">IF(P328="NÃO","NÃO",_xlfn.XLOOKUP(P328,tabE.Flux[COMP.AT. MOT B],#REF!,"NÃO",0,1))</f>
        <v>#VALUE!</v>
      </c>
      <c r="S32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28" s="16" t="e" cm="1">
        <f t="array" ref="T32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28" s="41" t="e" cm="1">
        <f t="array" ref="U32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29" spans="12:21" x14ac:dyDescent="0.25">
      <c r="L329" s="36" t="e">
        <f>Tabela7[[#This Row],[ID]]</f>
        <v>#VALUE!</v>
      </c>
      <c r="M329" s="17" t="e">
        <f>_xlfn.CONCAT(Tabela7[[#This Row],[DATA]],"+",Tabela7[[#This Row],[NOME]])</f>
        <v>#VALUE!</v>
      </c>
      <c r="N329" s="11" t="e" cm="1">
        <f t="array" ref="N329">_xlfn.XLOOKUP(M329,tabE.Flux[[#All],[COMP.AT. MOT A]],#REF!,"NÃO",0,1)</f>
        <v>#VALUE!</v>
      </c>
      <c r="O329" s="11" t="e" cm="1">
        <f t="array" ref="O329">_xlfn.XLOOKUP(M329,tabE.Flux[[#All],[COMP.AT. MOT B]],#REF!,"NÃO",0,1)</f>
        <v>#VALUE!</v>
      </c>
      <c r="P329" s="12" t="e">
        <f>IF(N329="NÃO",(IF(O329="NÃO",(_xlfn.CONCAT(Tabela7[[#This Row],[DATA]]-1,"+",Tabela7[[#This Row],[NOME]])),"NÃO")),"NÃO")</f>
        <v>#VALUE!</v>
      </c>
      <c r="Q329" s="11" t="e" cm="1">
        <f t="array" ref="Q329">IF(P329="NÃO","NÃO",_xlfn.XLOOKUP(P329,tabE.Flux[COMP.AT. MOT A],#REF!,"NÃO",0,1))</f>
        <v>#VALUE!</v>
      </c>
      <c r="R329" s="14" t="e" cm="1">
        <f t="array" ref="R329">IF(P329="NÃO","NÃO",_xlfn.XLOOKUP(P329,tabE.Flux[COMP.AT. MOT B],#REF!,"NÃO",0,1))</f>
        <v>#VALUE!</v>
      </c>
      <c r="S32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29" s="16" t="e" cm="1">
        <f t="array" ref="T32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29" s="41" t="e" cm="1">
        <f t="array" ref="U32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30" spans="12:21" x14ac:dyDescent="0.25">
      <c r="L330" s="36" t="e">
        <f>Tabela7[[#This Row],[ID]]</f>
        <v>#VALUE!</v>
      </c>
      <c r="M330" s="17" t="e">
        <f>_xlfn.CONCAT(Tabela7[[#This Row],[DATA]],"+",Tabela7[[#This Row],[NOME]])</f>
        <v>#VALUE!</v>
      </c>
      <c r="N330" s="11" t="e" cm="1">
        <f t="array" ref="N330">_xlfn.XLOOKUP(M330,tabE.Flux[[#All],[COMP.AT. MOT A]],#REF!,"NÃO",0,1)</f>
        <v>#VALUE!</v>
      </c>
      <c r="O330" s="11" t="e" cm="1">
        <f t="array" ref="O330">_xlfn.XLOOKUP(M330,tabE.Flux[[#All],[COMP.AT. MOT B]],#REF!,"NÃO",0,1)</f>
        <v>#VALUE!</v>
      </c>
      <c r="P330" s="12" t="e">
        <f>IF(N330="NÃO",(IF(O330="NÃO",(_xlfn.CONCAT(Tabela7[[#This Row],[DATA]]-1,"+",Tabela7[[#This Row],[NOME]])),"NÃO")),"NÃO")</f>
        <v>#VALUE!</v>
      </c>
      <c r="Q330" s="11" t="e" cm="1">
        <f t="array" ref="Q330">IF(P330="NÃO","NÃO",_xlfn.XLOOKUP(P330,tabE.Flux[COMP.AT. MOT A],#REF!,"NÃO",0,1))</f>
        <v>#VALUE!</v>
      </c>
      <c r="R330" s="14" t="e" cm="1">
        <f t="array" ref="R330">IF(P330="NÃO","NÃO",_xlfn.XLOOKUP(P330,tabE.Flux[COMP.AT. MOT B],#REF!,"NÃO",0,1))</f>
        <v>#VALUE!</v>
      </c>
      <c r="S33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30" s="16" t="e" cm="1">
        <f t="array" ref="T33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30" s="41" t="e" cm="1">
        <f t="array" ref="U33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31" spans="12:21" x14ac:dyDescent="0.25">
      <c r="L331" s="36" t="e">
        <f>Tabela7[[#This Row],[ID]]</f>
        <v>#VALUE!</v>
      </c>
      <c r="M331" s="17" t="e">
        <f>_xlfn.CONCAT(Tabela7[[#This Row],[DATA]],"+",Tabela7[[#This Row],[NOME]])</f>
        <v>#VALUE!</v>
      </c>
      <c r="N331" s="11" t="e" cm="1">
        <f t="array" ref="N331">_xlfn.XLOOKUP(M331,tabE.Flux[[#All],[COMP.AT. MOT A]],#REF!,"NÃO",0,1)</f>
        <v>#VALUE!</v>
      </c>
      <c r="O331" s="11" t="e" cm="1">
        <f t="array" ref="O331">_xlfn.XLOOKUP(M331,tabE.Flux[[#All],[COMP.AT. MOT B]],#REF!,"NÃO",0,1)</f>
        <v>#VALUE!</v>
      </c>
      <c r="P331" s="12" t="e">
        <f>IF(N331="NÃO",(IF(O331="NÃO",(_xlfn.CONCAT(Tabela7[[#This Row],[DATA]]-1,"+",Tabela7[[#This Row],[NOME]])),"NÃO")),"NÃO")</f>
        <v>#VALUE!</v>
      </c>
      <c r="Q331" s="11" t="e" cm="1">
        <f t="array" ref="Q331">IF(P331="NÃO","NÃO",_xlfn.XLOOKUP(P331,tabE.Flux[COMP.AT. MOT A],#REF!,"NÃO",0,1))</f>
        <v>#VALUE!</v>
      </c>
      <c r="R331" s="14" t="e" cm="1">
        <f t="array" ref="R331">IF(P331="NÃO","NÃO",_xlfn.XLOOKUP(P331,tabE.Flux[COMP.AT. MOT B],#REF!,"NÃO",0,1))</f>
        <v>#VALUE!</v>
      </c>
      <c r="S33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31" s="16" t="e" cm="1">
        <f t="array" ref="T33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31" s="41" t="e" cm="1">
        <f t="array" ref="U33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32" spans="12:21" x14ac:dyDescent="0.25">
      <c r="L332" s="36" t="e">
        <f>Tabela7[[#This Row],[ID]]</f>
        <v>#VALUE!</v>
      </c>
      <c r="M332" s="17" t="e">
        <f>_xlfn.CONCAT(Tabela7[[#This Row],[DATA]],"+",Tabela7[[#This Row],[NOME]])</f>
        <v>#VALUE!</v>
      </c>
      <c r="N332" s="11" t="e" cm="1">
        <f t="array" ref="N332">_xlfn.XLOOKUP(M332,tabE.Flux[[#All],[COMP.AT. MOT A]],#REF!,"NÃO",0,1)</f>
        <v>#VALUE!</v>
      </c>
      <c r="O332" s="11" t="e" cm="1">
        <f t="array" ref="O332">_xlfn.XLOOKUP(M332,tabE.Flux[[#All],[COMP.AT. MOT B]],#REF!,"NÃO",0,1)</f>
        <v>#VALUE!</v>
      </c>
      <c r="P332" s="12" t="e">
        <f>IF(N332="NÃO",(IF(O332="NÃO",(_xlfn.CONCAT(Tabela7[[#This Row],[DATA]]-1,"+",Tabela7[[#This Row],[NOME]])),"NÃO")),"NÃO")</f>
        <v>#VALUE!</v>
      </c>
      <c r="Q332" s="11" t="e" cm="1">
        <f t="array" ref="Q332">IF(P332="NÃO","NÃO",_xlfn.XLOOKUP(P332,tabE.Flux[COMP.AT. MOT A],#REF!,"NÃO",0,1))</f>
        <v>#VALUE!</v>
      </c>
      <c r="R332" s="14" t="e" cm="1">
        <f t="array" ref="R332">IF(P332="NÃO","NÃO",_xlfn.XLOOKUP(P332,tabE.Flux[COMP.AT. MOT B],#REF!,"NÃO",0,1))</f>
        <v>#VALUE!</v>
      </c>
      <c r="S33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32" s="16" t="e" cm="1">
        <f t="array" ref="T33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32" s="41" t="e" cm="1">
        <f t="array" ref="U33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33" spans="12:21" x14ac:dyDescent="0.25">
      <c r="L333" s="36" t="e">
        <f>Tabela7[[#This Row],[ID]]</f>
        <v>#VALUE!</v>
      </c>
      <c r="M333" s="17" t="e">
        <f>_xlfn.CONCAT(Tabela7[[#This Row],[DATA]],"+",Tabela7[[#This Row],[NOME]])</f>
        <v>#VALUE!</v>
      </c>
      <c r="N333" s="11" t="e" cm="1">
        <f t="array" ref="N333">_xlfn.XLOOKUP(M333,tabE.Flux[[#All],[COMP.AT. MOT A]],#REF!,"NÃO",0,1)</f>
        <v>#VALUE!</v>
      </c>
      <c r="O333" s="11" t="e" cm="1">
        <f t="array" ref="O333">_xlfn.XLOOKUP(M333,tabE.Flux[[#All],[COMP.AT. MOT B]],#REF!,"NÃO",0,1)</f>
        <v>#VALUE!</v>
      </c>
      <c r="P333" s="12" t="e">
        <f>IF(N333="NÃO",(IF(O333="NÃO",(_xlfn.CONCAT(Tabela7[[#This Row],[DATA]]-1,"+",Tabela7[[#This Row],[NOME]])),"NÃO")),"NÃO")</f>
        <v>#VALUE!</v>
      </c>
      <c r="Q333" s="11" t="e" cm="1">
        <f t="array" ref="Q333">IF(P333="NÃO","NÃO",_xlfn.XLOOKUP(P333,tabE.Flux[COMP.AT. MOT A],#REF!,"NÃO",0,1))</f>
        <v>#VALUE!</v>
      </c>
      <c r="R333" s="14" t="e" cm="1">
        <f t="array" ref="R333">IF(P333="NÃO","NÃO",_xlfn.XLOOKUP(P333,tabE.Flux[COMP.AT. MOT B],#REF!,"NÃO",0,1))</f>
        <v>#VALUE!</v>
      </c>
      <c r="S33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33" s="16" t="e" cm="1">
        <f t="array" ref="T33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33" s="41" t="e" cm="1">
        <f t="array" ref="U33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34" spans="12:21" x14ac:dyDescent="0.25">
      <c r="L334" s="36" t="e">
        <f>Tabela7[[#This Row],[ID]]</f>
        <v>#VALUE!</v>
      </c>
      <c r="M334" s="17" t="e">
        <f>_xlfn.CONCAT(Tabela7[[#This Row],[DATA]],"+",Tabela7[[#This Row],[NOME]])</f>
        <v>#VALUE!</v>
      </c>
      <c r="N334" s="11" t="e" cm="1">
        <f t="array" ref="N334">_xlfn.XLOOKUP(M334,tabE.Flux[[#All],[COMP.AT. MOT A]],#REF!,"NÃO",0,1)</f>
        <v>#VALUE!</v>
      </c>
      <c r="O334" s="11" t="e" cm="1">
        <f t="array" ref="O334">_xlfn.XLOOKUP(M334,tabE.Flux[[#All],[COMP.AT. MOT B]],#REF!,"NÃO",0,1)</f>
        <v>#VALUE!</v>
      </c>
      <c r="P334" s="12" t="e">
        <f>IF(N334="NÃO",(IF(O334="NÃO",(_xlfn.CONCAT(Tabela7[[#This Row],[DATA]]-1,"+",Tabela7[[#This Row],[NOME]])),"NÃO")),"NÃO")</f>
        <v>#VALUE!</v>
      </c>
      <c r="Q334" s="11" t="e" cm="1">
        <f t="array" ref="Q334">IF(P334="NÃO","NÃO",_xlfn.XLOOKUP(P334,tabE.Flux[COMP.AT. MOT A],#REF!,"NÃO",0,1))</f>
        <v>#VALUE!</v>
      </c>
      <c r="R334" s="14" t="e" cm="1">
        <f t="array" ref="R334">IF(P334="NÃO","NÃO",_xlfn.XLOOKUP(P334,tabE.Flux[COMP.AT. MOT B],#REF!,"NÃO",0,1))</f>
        <v>#VALUE!</v>
      </c>
      <c r="S33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34" s="16" t="e" cm="1">
        <f t="array" ref="T33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34" s="41" t="e" cm="1">
        <f t="array" ref="U33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35" spans="12:21" x14ac:dyDescent="0.25">
      <c r="L335" s="36" t="e">
        <f>Tabela7[[#This Row],[ID]]</f>
        <v>#VALUE!</v>
      </c>
      <c r="M335" s="17" t="e">
        <f>_xlfn.CONCAT(Tabela7[[#This Row],[DATA]],"+",Tabela7[[#This Row],[NOME]])</f>
        <v>#VALUE!</v>
      </c>
      <c r="N335" s="11" t="e" cm="1">
        <f t="array" ref="N335">_xlfn.XLOOKUP(M335,tabE.Flux[[#All],[COMP.AT. MOT A]],#REF!,"NÃO",0,1)</f>
        <v>#VALUE!</v>
      </c>
      <c r="O335" s="11" t="e" cm="1">
        <f t="array" ref="O335">_xlfn.XLOOKUP(M335,tabE.Flux[[#All],[COMP.AT. MOT B]],#REF!,"NÃO",0,1)</f>
        <v>#VALUE!</v>
      </c>
      <c r="P335" s="12" t="e">
        <f>IF(N335="NÃO",(IF(O335="NÃO",(_xlfn.CONCAT(Tabela7[[#This Row],[DATA]]-1,"+",Tabela7[[#This Row],[NOME]])),"NÃO")),"NÃO")</f>
        <v>#VALUE!</v>
      </c>
      <c r="Q335" s="11" t="e" cm="1">
        <f t="array" ref="Q335">IF(P335="NÃO","NÃO",_xlfn.XLOOKUP(P335,tabE.Flux[COMP.AT. MOT A],#REF!,"NÃO",0,1))</f>
        <v>#VALUE!</v>
      </c>
      <c r="R335" s="14" t="e" cm="1">
        <f t="array" ref="R335">IF(P335="NÃO","NÃO",_xlfn.XLOOKUP(P335,tabE.Flux[COMP.AT. MOT B],#REF!,"NÃO",0,1))</f>
        <v>#VALUE!</v>
      </c>
      <c r="S33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35" s="16" t="e" cm="1">
        <f t="array" ref="T33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35" s="41" t="e" cm="1">
        <f t="array" ref="U33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36" spans="12:21" x14ac:dyDescent="0.25">
      <c r="L336" s="36" t="e">
        <f>Tabela7[[#This Row],[ID]]</f>
        <v>#VALUE!</v>
      </c>
      <c r="M336" s="17" t="e">
        <f>_xlfn.CONCAT(Tabela7[[#This Row],[DATA]],"+",Tabela7[[#This Row],[NOME]])</f>
        <v>#VALUE!</v>
      </c>
      <c r="N336" s="11" t="e" cm="1">
        <f t="array" ref="N336">_xlfn.XLOOKUP(M336,tabE.Flux[[#All],[COMP.AT. MOT A]],#REF!,"NÃO",0,1)</f>
        <v>#VALUE!</v>
      </c>
      <c r="O336" s="11" t="e" cm="1">
        <f t="array" ref="O336">_xlfn.XLOOKUP(M336,tabE.Flux[[#All],[COMP.AT. MOT B]],#REF!,"NÃO",0,1)</f>
        <v>#VALUE!</v>
      </c>
      <c r="P336" s="12" t="e">
        <f>IF(N336="NÃO",(IF(O336="NÃO",(_xlfn.CONCAT(Tabela7[[#This Row],[DATA]]-1,"+",Tabela7[[#This Row],[NOME]])),"NÃO")),"NÃO")</f>
        <v>#VALUE!</v>
      </c>
      <c r="Q336" s="11" t="e" cm="1">
        <f t="array" ref="Q336">IF(P336="NÃO","NÃO",_xlfn.XLOOKUP(P336,tabE.Flux[COMP.AT. MOT A],#REF!,"NÃO",0,1))</f>
        <v>#VALUE!</v>
      </c>
      <c r="R336" s="14" t="e" cm="1">
        <f t="array" ref="R336">IF(P336="NÃO","NÃO",_xlfn.XLOOKUP(P336,tabE.Flux[COMP.AT. MOT B],#REF!,"NÃO",0,1))</f>
        <v>#VALUE!</v>
      </c>
      <c r="S33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36" s="16" t="e" cm="1">
        <f t="array" ref="T33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36" s="41" t="e" cm="1">
        <f t="array" ref="U33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37" spans="12:21" x14ac:dyDescent="0.25">
      <c r="L337" s="36" t="e">
        <f>Tabela7[[#This Row],[ID]]</f>
        <v>#VALUE!</v>
      </c>
      <c r="M337" s="17" t="e">
        <f>_xlfn.CONCAT(Tabela7[[#This Row],[DATA]],"+",Tabela7[[#This Row],[NOME]])</f>
        <v>#VALUE!</v>
      </c>
      <c r="N337" s="11" t="e" cm="1">
        <f t="array" ref="N337">_xlfn.XLOOKUP(M337,tabE.Flux[[#All],[COMP.AT. MOT A]],#REF!,"NÃO",0,1)</f>
        <v>#VALUE!</v>
      </c>
      <c r="O337" s="11" t="e" cm="1">
        <f t="array" ref="O337">_xlfn.XLOOKUP(M337,tabE.Flux[[#All],[COMP.AT. MOT B]],#REF!,"NÃO",0,1)</f>
        <v>#VALUE!</v>
      </c>
      <c r="P337" s="12" t="e">
        <f>IF(N337="NÃO",(IF(O337="NÃO",(_xlfn.CONCAT(Tabela7[[#This Row],[DATA]]-1,"+",Tabela7[[#This Row],[NOME]])),"NÃO")),"NÃO")</f>
        <v>#VALUE!</v>
      </c>
      <c r="Q337" s="11" t="e" cm="1">
        <f t="array" ref="Q337">IF(P337="NÃO","NÃO",_xlfn.XLOOKUP(P337,tabE.Flux[COMP.AT. MOT A],#REF!,"NÃO",0,1))</f>
        <v>#VALUE!</v>
      </c>
      <c r="R337" s="14" t="e" cm="1">
        <f t="array" ref="R337">IF(P337="NÃO","NÃO",_xlfn.XLOOKUP(P337,tabE.Flux[COMP.AT. MOT B],#REF!,"NÃO",0,1))</f>
        <v>#VALUE!</v>
      </c>
      <c r="S33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37" s="16" t="e" cm="1">
        <f t="array" ref="T33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37" s="41" t="e" cm="1">
        <f t="array" ref="U33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38" spans="12:21" x14ac:dyDescent="0.25">
      <c r="L338" s="36" t="e">
        <f>Tabela7[[#This Row],[ID]]</f>
        <v>#VALUE!</v>
      </c>
      <c r="M338" s="17" t="e">
        <f>_xlfn.CONCAT(Tabela7[[#This Row],[DATA]],"+",Tabela7[[#This Row],[NOME]])</f>
        <v>#VALUE!</v>
      </c>
      <c r="N338" s="11" t="e" cm="1">
        <f t="array" ref="N338">_xlfn.XLOOKUP(M338,tabE.Flux[[#All],[COMP.AT. MOT A]],#REF!,"NÃO",0,1)</f>
        <v>#VALUE!</v>
      </c>
      <c r="O338" s="11" t="e" cm="1">
        <f t="array" ref="O338">_xlfn.XLOOKUP(M338,tabE.Flux[[#All],[COMP.AT. MOT B]],#REF!,"NÃO",0,1)</f>
        <v>#VALUE!</v>
      </c>
      <c r="P338" s="12" t="e">
        <f>IF(N338="NÃO",(IF(O338="NÃO",(_xlfn.CONCAT(Tabela7[[#This Row],[DATA]]-1,"+",Tabela7[[#This Row],[NOME]])),"NÃO")),"NÃO")</f>
        <v>#VALUE!</v>
      </c>
      <c r="Q338" s="11" t="e" cm="1">
        <f t="array" ref="Q338">IF(P338="NÃO","NÃO",_xlfn.XLOOKUP(P338,tabE.Flux[COMP.AT. MOT A],#REF!,"NÃO",0,1))</f>
        <v>#VALUE!</v>
      </c>
      <c r="R338" s="14" t="e" cm="1">
        <f t="array" ref="R338">IF(P338="NÃO","NÃO",_xlfn.XLOOKUP(P338,tabE.Flux[COMP.AT. MOT B],#REF!,"NÃO",0,1))</f>
        <v>#VALUE!</v>
      </c>
      <c r="S33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38" s="16" t="e" cm="1">
        <f t="array" ref="T33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38" s="41" t="e" cm="1">
        <f t="array" ref="U33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39" spans="12:21" x14ac:dyDescent="0.25">
      <c r="L339" s="36" t="e">
        <f>Tabela7[[#This Row],[ID]]</f>
        <v>#VALUE!</v>
      </c>
      <c r="M339" s="17" t="e">
        <f>_xlfn.CONCAT(Tabela7[[#This Row],[DATA]],"+",Tabela7[[#This Row],[NOME]])</f>
        <v>#VALUE!</v>
      </c>
      <c r="N339" s="11" t="e" cm="1">
        <f t="array" ref="N339">_xlfn.XLOOKUP(M339,tabE.Flux[[#All],[COMP.AT. MOT A]],#REF!,"NÃO",0,1)</f>
        <v>#VALUE!</v>
      </c>
      <c r="O339" s="11" t="e" cm="1">
        <f t="array" ref="O339">_xlfn.XLOOKUP(M339,tabE.Flux[[#All],[COMP.AT. MOT B]],#REF!,"NÃO",0,1)</f>
        <v>#VALUE!</v>
      </c>
      <c r="P339" s="12" t="e">
        <f>IF(N339="NÃO",(IF(O339="NÃO",(_xlfn.CONCAT(Tabela7[[#This Row],[DATA]]-1,"+",Tabela7[[#This Row],[NOME]])),"NÃO")),"NÃO")</f>
        <v>#VALUE!</v>
      </c>
      <c r="Q339" s="11" t="e" cm="1">
        <f t="array" ref="Q339">IF(P339="NÃO","NÃO",_xlfn.XLOOKUP(P339,tabE.Flux[COMP.AT. MOT A],#REF!,"NÃO",0,1))</f>
        <v>#VALUE!</v>
      </c>
      <c r="R339" s="14" t="e" cm="1">
        <f t="array" ref="R339">IF(P339="NÃO","NÃO",_xlfn.XLOOKUP(P339,tabE.Flux[COMP.AT. MOT B],#REF!,"NÃO",0,1))</f>
        <v>#VALUE!</v>
      </c>
      <c r="S33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39" s="16" t="e" cm="1">
        <f t="array" ref="T33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39" s="41" t="e" cm="1">
        <f t="array" ref="U33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40" spans="12:21" x14ac:dyDescent="0.25">
      <c r="L340" s="36" t="e">
        <f>Tabela7[[#This Row],[ID]]</f>
        <v>#VALUE!</v>
      </c>
      <c r="M340" s="17" t="e">
        <f>_xlfn.CONCAT(Tabela7[[#This Row],[DATA]],"+",Tabela7[[#This Row],[NOME]])</f>
        <v>#VALUE!</v>
      </c>
      <c r="N340" s="11" t="e" cm="1">
        <f t="array" ref="N340">_xlfn.XLOOKUP(M340,tabE.Flux[[#All],[COMP.AT. MOT A]],#REF!,"NÃO",0,1)</f>
        <v>#VALUE!</v>
      </c>
      <c r="O340" s="11" t="e" cm="1">
        <f t="array" ref="O340">_xlfn.XLOOKUP(M340,tabE.Flux[[#All],[COMP.AT. MOT B]],#REF!,"NÃO",0,1)</f>
        <v>#VALUE!</v>
      </c>
      <c r="P340" s="12" t="e">
        <f>IF(N340="NÃO",(IF(O340="NÃO",(_xlfn.CONCAT(Tabela7[[#This Row],[DATA]]-1,"+",Tabela7[[#This Row],[NOME]])),"NÃO")),"NÃO")</f>
        <v>#VALUE!</v>
      </c>
      <c r="Q340" s="11" t="e" cm="1">
        <f t="array" ref="Q340">IF(P340="NÃO","NÃO",_xlfn.XLOOKUP(P340,tabE.Flux[COMP.AT. MOT A],#REF!,"NÃO",0,1))</f>
        <v>#VALUE!</v>
      </c>
      <c r="R340" s="14" t="e" cm="1">
        <f t="array" ref="R340">IF(P340="NÃO","NÃO",_xlfn.XLOOKUP(P340,tabE.Flux[COMP.AT. MOT B],#REF!,"NÃO",0,1))</f>
        <v>#VALUE!</v>
      </c>
      <c r="S34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40" s="16" t="e" cm="1">
        <f t="array" ref="T34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40" s="41" t="e" cm="1">
        <f t="array" ref="U34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41" spans="12:21" x14ac:dyDescent="0.25">
      <c r="L341" s="36" t="e">
        <f>Tabela7[[#This Row],[ID]]</f>
        <v>#VALUE!</v>
      </c>
      <c r="M341" s="17" t="e">
        <f>_xlfn.CONCAT(Tabela7[[#This Row],[DATA]],"+",Tabela7[[#This Row],[NOME]])</f>
        <v>#VALUE!</v>
      </c>
      <c r="N341" s="11" t="e" cm="1">
        <f t="array" ref="N341">_xlfn.XLOOKUP(M341,tabE.Flux[[#All],[COMP.AT. MOT A]],#REF!,"NÃO",0,1)</f>
        <v>#VALUE!</v>
      </c>
      <c r="O341" s="11" t="e" cm="1">
        <f t="array" ref="O341">_xlfn.XLOOKUP(M341,tabE.Flux[[#All],[COMP.AT. MOT B]],#REF!,"NÃO",0,1)</f>
        <v>#VALUE!</v>
      </c>
      <c r="P341" s="12" t="e">
        <f>IF(N341="NÃO",(IF(O341="NÃO",(_xlfn.CONCAT(Tabela7[[#This Row],[DATA]]-1,"+",Tabela7[[#This Row],[NOME]])),"NÃO")),"NÃO")</f>
        <v>#VALUE!</v>
      </c>
      <c r="Q341" s="11" t="e" cm="1">
        <f t="array" ref="Q341">IF(P341="NÃO","NÃO",_xlfn.XLOOKUP(P341,tabE.Flux[COMP.AT. MOT A],#REF!,"NÃO",0,1))</f>
        <v>#VALUE!</v>
      </c>
      <c r="R341" s="14" t="e" cm="1">
        <f t="array" ref="R341">IF(P341="NÃO","NÃO",_xlfn.XLOOKUP(P341,tabE.Flux[COMP.AT. MOT B],#REF!,"NÃO",0,1))</f>
        <v>#VALUE!</v>
      </c>
      <c r="S34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41" s="16" t="e" cm="1">
        <f t="array" ref="T34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41" s="41" t="e" cm="1">
        <f t="array" ref="U34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42" spans="12:21" x14ac:dyDescent="0.25">
      <c r="L342" s="36" t="e">
        <f>Tabela7[[#This Row],[ID]]</f>
        <v>#VALUE!</v>
      </c>
      <c r="M342" s="17" t="e">
        <f>_xlfn.CONCAT(Tabela7[[#This Row],[DATA]],"+",Tabela7[[#This Row],[NOME]])</f>
        <v>#VALUE!</v>
      </c>
      <c r="N342" s="11" t="e" cm="1">
        <f t="array" ref="N342">_xlfn.XLOOKUP(M342,tabE.Flux[[#All],[COMP.AT. MOT A]],#REF!,"NÃO",0,1)</f>
        <v>#VALUE!</v>
      </c>
      <c r="O342" s="11" t="e" cm="1">
        <f t="array" ref="O342">_xlfn.XLOOKUP(M342,tabE.Flux[[#All],[COMP.AT. MOT B]],#REF!,"NÃO",0,1)</f>
        <v>#VALUE!</v>
      </c>
      <c r="P342" s="12" t="e">
        <f>IF(N342="NÃO",(IF(O342="NÃO",(_xlfn.CONCAT(Tabela7[[#This Row],[DATA]]-1,"+",Tabela7[[#This Row],[NOME]])),"NÃO")),"NÃO")</f>
        <v>#VALUE!</v>
      </c>
      <c r="Q342" s="11" t="e" cm="1">
        <f t="array" ref="Q342">IF(P342="NÃO","NÃO",_xlfn.XLOOKUP(P342,tabE.Flux[COMP.AT. MOT A],#REF!,"NÃO",0,1))</f>
        <v>#VALUE!</v>
      </c>
      <c r="R342" s="14" t="e" cm="1">
        <f t="array" ref="R342">IF(P342="NÃO","NÃO",_xlfn.XLOOKUP(P342,tabE.Flux[COMP.AT. MOT B],#REF!,"NÃO",0,1))</f>
        <v>#VALUE!</v>
      </c>
      <c r="S34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42" s="16" t="e" cm="1">
        <f t="array" ref="T34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42" s="41" t="e" cm="1">
        <f t="array" ref="U34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43" spans="12:21" x14ac:dyDescent="0.25">
      <c r="L343" s="36" t="e">
        <f>Tabela7[[#This Row],[ID]]</f>
        <v>#VALUE!</v>
      </c>
      <c r="M343" s="17" t="e">
        <f>_xlfn.CONCAT(Tabela7[[#This Row],[DATA]],"+",Tabela7[[#This Row],[NOME]])</f>
        <v>#VALUE!</v>
      </c>
      <c r="N343" s="11" t="e" cm="1">
        <f t="array" ref="N343">_xlfn.XLOOKUP(M343,tabE.Flux[[#All],[COMP.AT. MOT A]],#REF!,"NÃO",0,1)</f>
        <v>#VALUE!</v>
      </c>
      <c r="O343" s="11" t="e" cm="1">
        <f t="array" ref="O343">_xlfn.XLOOKUP(M343,tabE.Flux[[#All],[COMP.AT. MOT B]],#REF!,"NÃO",0,1)</f>
        <v>#VALUE!</v>
      </c>
      <c r="P343" s="12" t="e">
        <f>IF(N343="NÃO",(IF(O343="NÃO",(_xlfn.CONCAT(Tabela7[[#This Row],[DATA]]-1,"+",Tabela7[[#This Row],[NOME]])),"NÃO")),"NÃO")</f>
        <v>#VALUE!</v>
      </c>
      <c r="Q343" s="11" t="e" cm="1">
        <f t="array" ref="Q343">IF(P343="NÃO","NÃO",_xlfn.XLOOKUP(P343,tabE.Flux[COMP.AT. MOT A],#REF!,"NÃO",0,1))</f>
        <v>#VALUE!</v>
      </c>
      <c r="R343" s="14" t="e" cm="1">
        <f t="array" ref="R343">IF(P343="NÃO","NÃO",_xlfn.XLOOKUP(P343,tabE.Flux[COMP.AT. MOT B],#REF!,"NÃO",0,1))</f>
        <v>#VALUE!</v>
      </c>
      <c r="S34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43" s="16" t="e" cm="1">
        <f t="array" ref="T34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43" s="41" t="e" cm="1">
        <f t="array" ref="U34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44" spans="12:21" x14ac:dyDescent="0.25">
      <c r="L344" s="36" t="e">
        <f>Tabela7[[#This Row],[ID]]</f>
        <v>#VALUE!</v>
      </c>
      <c r="M344" s="17" t="e">
        <f>_xlfn.CONCAT(Tabela7[[#This Row],[DATA]],"+",Tabela7[[#This Row],[NOME]])</f>
        <v>#VALUE!</v>
      </c>
      <c r="N344" s="11" t="e" cm="1">
        <f t="array" ref="N344">_xlfn.XLOOKUP(M344,tabE.Flux[[#All],[COMP.AT. MOT A]],#REF!,"NÃO",0,1)</f>
        <v>#VALUE!</v>
      </c>
      <c r="O344" s="11" t="e" cm="1">
        <f t="array" ref="O344">_xlfn.XLOOKUP(M344,tabE.Flux[[#All],[COMP.AT. MOT B]],#REF!,"NÃO",0,1)</f>
        <v>#VALUE!</v>
      </c>
      <c r="P344" s="12" t="e">
        <f>IF(N344="NÃO",(IF(O344="NÃO",(_xlfn.CONCAT(Tabela7[[#This Row],[DATA]]-1,"+",Tabela7[[#This Row],[NOME]])),"NÃO")),"NÃO")</f>
        <v>#VALUE!</v>
      </c>
      <c r="Q344" s="11" t="e" cm="1">
        <f t="array" ref="Q344">IF(P344="NÃO","NÃO",_xlfn.XLOOKUP(P344,tabE.Flux[COMP.AT. MOT A],#REF!,"NÃO",0,1))</f>
        <v>#VALUE!</v>
      </c>
      <c r="R344" s="14" t="e" cm="1">
        <f t="array" ref="R344">IF(P344="NÃO","NÃO",_xlfn.XLOOKUP(P344,tabE.Flux[COMP.AT. MOT B],#REF!,"NÃO",0,1))</f>
        <v>#VALUE!</v>
      </c>
      <c r="S34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44" s="16" t="e" cm="1">
        <f t="array" ref="T34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44" s="41" t="e" cm="1">
        <f t="array" ref="U34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45" spans="12:21" x14ac:dyDescent="0.25">
      <c r="L345" s="36" t="e">
        <f>Tabela7[[#This Row],[ID]]</f>
        <v>#VALUE!</v>
      </c>
      <c r="M345" s="17" t="e">
        <f>_xlfn.CONCAT(Tabela7[[#This Row],[DATA]],"+",Tabela7[[#This Row],[NOME]])</f>
        <v>#VALUE!</v>
      </c>
      <c r="N345" s="11" t="e" cm="1">
        <f t="array" ref="N345">_xlfn.XLOOKUP(M345,tabE.Flux[[#All],[COMP.AT. MOT A]],#REF!,"NÃO",0,1)</f>
        <v>#VALUE!</v>
      </c>
      <c r="O345" s="11" t="e" cm="1">
        <f t="array" ref="O345">_xlfn.XLOOKUP(M345,tabE.Flux[[#All],[COMP.AT. MOT B]],#REF!,"NÃO",0,1)</f>
        <v>#VALUE!</v>
      </c>
      <c r="P345" s="12" t="e">
        <f>IF(N345="NÃO",(IF(O345="NÃO",(_xlfn.CONCAT(Tabela7[[#This Row],[DATA]]-1,"+",Tabela7[[#This Row],[NOME]])),"NÃO")),"NÃO")</f>
        <v>#VALUE!</v>
      </c>
      <c r="Q345" s="11" t="e" cm="1">
        <f t="array" ref="Q345">IF(P345="NÃO","NÃO",_xlfn.XLOOKUP(P345,tabE.Flux[COMP.AT. MOT A],#REF!,"NÃO",0,1))</f>
        <v>#VALUE!</v>
      </c>
      <c r="R345" s="14" t="e" cm="1">
        <f t="array" ref="R345">IF(P345="NÃO","NÃO",_xlfn.XLOOKUP(P345,tabE.Flux[COMP.AT. MOT B],#REF!,"NÃO",0,1))</f>
        <v>#VALUE!</v>
      </c>
      <c r="S34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45" s="16" t="e" cm="1">
        <f t="array" ref="T34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45" s="41" t="e" cm="1">
        <f t="array" ref="U34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46" spans="12:21" x14ac:dyDescent="0.25">
      <c r="L346" s="36" t="e">
        <f>Tabela7[[#This Row],[ID]]</f>
        <v>#VALUE!</v>
      </c>
      <c r="M346" s="17" t="e">
        <f>_xlfn.CONCAT(Tabela7[[#This Row],[DATA]],"+",Tabela7[[#This Row],[NOME]])</f>
        <v>#VALUE!</v>
      </c>
      <c r="N346" s="11" t="e" cm="1">
        <f t="array" ref="N346">_xlfn.XLOOKUP(M346,tabE.Flux[[#All],[COMP.AT. MOT A]],#REF!,"NÃO",0,1)</f>
        <v>#VALUE!</v>
      </c>
      <c r="O346" s="11" t="e" cm="1">
        <f t="array" ref="O346">_xlfn.XLOOKUP(M346,tabE.Flux[[#All],[COMP.AT. MOT B]],#REF!,"NÃO",0,1)</f>
        <v>#VALUE!</v>
      </c>
      <c r="P346" s="12" t="e">
        <f>IF(N346="NÃO",(IF(O346="NÃO",(_xlfn.CONCAT(Tabela7[[#This Row],[DATA]]-1,"+",Tabela7[[#This Row],[NOME]])),"NÃO")),"NÃO")</f>
        <v>#VALUE!</v>
      </c>
      <c r="Q346" s="11" t="e" cm="1">
        <f t="array" ref="Q346">IF(P346="NÃO","NÃO",_xlfn.XLOOKUP(P346,tabE.Flux[COMP.AT. MOT A],#REF!,"NÃO",0,1))</f>
        <v>#VALUE!</v>
      </c>
      <c r="R346" s="14" t="e" cm="1">
        <f t="array" ref="R346">IF(P346="NÃO","NÃO",_xlfn.XLOOKUP(P346,tabE.Flux[COMP.AT. MOT B],#REF!,"NÃO",0,1))</f>
        <v>#VALUE!</v>
      </c>
      <c r="S34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46" s="16" t="e" cm="1">
        <f t="array" ref="T34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46" s="41" t="e" cm="1">
        <f t="array" ref="U34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47" spans="12:21" x14ac:dyDescent="0.25">
      <c r="L347" s="36" t="e">
        <f>Tabela7[[#This Row],[ID]]</f>
        <v>#VALUE!</v>
      </c>
      <c r="M347" s="17" t="e">
        <f>_xlfn.CONCAT(Tabela7[[#This Row],[DATA]],"+",Tabela7[[#This Row],[NOME]])</f>
        <v>#VALUE!</v>
      </c>
      <c r="N347" s="11" t="e" cm="1">
        <f t="array" ref="N347">_xlfn.XLOOKUP(M347,tabE.Flux[[#All],[COMP.AT. MOT A]],#REF!,"NÃO",0,1)</f>
        <v>#VALUE!</v>
      </c>
      <c r="O347" s="11" t="e" cm="1">
        <f t="array" ref="O347">_xlfn.XLOOKUP(M347,tabE.Flux[[#All],[COMP.AT. MOT B]],#REF!,"NÃO",0,1)</f>
        <v>#VALUE!</v>
      </c>
      <c r="P347" s="12" t="e">
        <f>IF(N347="NÃO",(IF(O347="NÃO",(_xlfn.CONCAT(Tabela7[[#This Row],[DATA]]-1,"+",Tabela7[[#This Row],[NOME]])),"NÃO")),"NÃO")</f>
        <v>#VALUE!</v>
      </c>
      <c r="Q347" s="11" t="e" cm="1">
        <f t="array" ref="Q347">IF(P347="NÃO","NÃO",_xlfn.XLOOKUP(P347,tabE.Flux[COMP.AT. MOT A],#REF!,"NÃO",0,1))</f>
        <v>#VALUE!</v>
      </c>
      <c r="R347" s="14" t="e" cm="1">
        <f t="array" ref="R347">IF(P347="NÃO","NÃO",_xlfn.XLOOKUP(P347,tabE.Flux[COMP.AT. MOT B],#REF!,"NÃO",0,1))</f>
        <v>#VALUE!</v>
      </c>
      <c r="S34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47" s="16" t="e" cm="1">
        <f t="array" ref="T34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47" s="41" t="e" cm="1">
        <f t="array" ref="U34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48" spans="12:21" x14ac:dyDescent="0.25">
      <c r="L348" s="36" t="e">
        <f>Tabela7[[#This Row],[ID]]</f>
        <v>#VALUE!</v>
      </c>
      <c r="M348" s="17" t="e">
        <f>_xlfn.CONCAT(Tabela7[[#This Row],[DATA]],"+",Tabela7[[#This Row],[NOME]])</f>
        <v>#VALUE!</v>
      </c>
      <c r="N348" s="11" t="e" cm="1">
        <f t="array" ref="N348">_xlfn.XLOOKUP(M348,tabE.Flux[[#All],[COMP.AT. MOT A]],#REF!,"NÃO",0,1)</f>
        <v>#VALUE!</v>
      </c>
      <c r="O348" s="11" t="e" cm="1">
        <f t="array" ref="O348">_xlfn.XLOOKUP(M348,tabE.Flux[[#All],[COMP.AT. MOT B]],#REF!,"NÃO",0,1)</f>
        <v>#VALUE!</v>
      </c>
      <c r="P348" s="12" t="e">
        <f>IF(N348="NÃO",(IF(O348="NÃO",(_xlfn.CONCAT(Tabela7[[#This Row],[DATA]]-1,"+",Tabela7[[#This Row],[NOME]])),"NÃO")),"NÃO")</f>
        <v>#VALUE!</v>
      </c>
      <c r="Q348" s="11" t="e" cm="1">
        <f t="array" ref="Q348">IF(P348="NÃO","NÃO",_xlfn.XLOOKUP(P348,tabE.Flux[COMP.AT. MOT A],#REF!,"NÃO",0,1))</f>
        <v>#VALUE!</v>
      </c>
      <c r="R348" s="14" t="e" cm="1">
        <f t="array" ref="R348">IF(P348="NÃO","NÃO",_xlfn.XLOOKUP(P348,tabE.Flux[COMP.AT. MOT B],#REF!,"NÃO",0,1))</f>
        <v>#VALUE!</v>
      </c>
      <c r="S34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48" s="16" t="e" cm="1">
        <f t="array" ref="T34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48" s="41" t="e" cm="1">
        <f t="array" ref="U34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49" spans="12:21" x14ac:dyDescent="0.25">
      <c r="L349" s="36" t="e">
        <f>Tabela7[[#This Row],[ID]]</f>
        <v>#VALUE!</v>
      </c>
      <c r="M349" s="17" t="e">
        <f>_xlfn.CONCAT(Tabela7[[#This Row],[DATA]],"+",Tabela7[[#This Row],[NOME]])</f>
        <v>#VALUE!</v>
      </c>
      <c r="N349" s="11" t="e" cm="1">
        <f t="array" ref="N349">_xlfn.XLOOKUP(M349,tabE.Flux[[#All],[COMP.AT. MOT A]],#REF!,"NÃO",0,1)</f>
        <v>#VALUE!</v>
      </c>
      <c r="O349" s="11" t="e" cm="1">
        <f t="array" ref="O349">_xlfn.XLOOKUP(M349,tabE.Flux[[#All],[COMP.AT. MOT B]],#REF!,"NÃO",0,1)</f>
        <v>#VALUE!</v>
      </c>
      <c r="P349" s="12" t="e">
        <f>IF(N349="NÃO",(IF(O349="NÃO",(_xlfn.CONCAT(Tabela7[[#This Row],[DATA]]-1,"+",Tabela7[[#This Row],[NOME]])),"NÃO")),"NÃO")</f>
        <v>#VALUE!</v>
      </c>
      <c r="Q349" s="11" t="e" cm="1">
        <f t="array" ref="Q349">IF(P349="NÃO","NÃO",_xlfn.XLOOKUP(P349,tabE.Flux[COMP.AT. MOT A],#REF!,"NÃO",0,1))</f>
        <v>#VALUE!</v>
      </c>
      <c r="R349" s="14" t="e" cm="1">
        <f t="array" ref="R349">IF(P349="NÃO","NÃO",_xlfn.XLOOKUP(P349,tabE.Flux[COMP.AT. MOT B],#REF!,"NÃO",0,1))</f>
        <v>#VALUE!</v>
      </c>
      <c r="S34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49" s="16" t="e" cm="1">
        <f t="array" ref="T34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49" s="41" t="e" cm="1">
        <f t="array" ref="U34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50" spans="12:21" x14ac:dyDescent="0.25">
      <c r="L350" s="36" t="e">
        <f>Tabela7[[#This Row],[ID]]</f>
        <v>#VALUE!</v>
      </c>
      <c r="M350" s="17" t="e">
        <f>_xlfn.CONCAT(Tabela7[[#This Row],[DATA]],"+",Tabela7[[#This Row],[NOME]])</f>
        <v>#VALUE!</v>
      </c>
      <c r="N350" s="11" t="e" cm="1">
        <f t="array" ref="N350">_xlfn.XLOOKUP(M350,tabE.Flux[[#All],[COMP.AT. MOT A]],#REF!,"NÃO",0,1)</f>
        <v>#VALUE!</v>
      </c>
      <c r="O350" s="11" t="e" cm="1">
        <f t="array" ref="O350">_xlfn.XLOOKUP(M350,tabE.Flux[[#All],[COMP.AT. MOT B]],#REF!,"NÃO",0,1)</f>
        <v>#VALUE!</v>
      </c>
      <c r="P350" s="12" t="e">
        <f>IF(N350="NÃO",(IF(O350="NÃO",(_xlfn.CONCAT(Tabela7[[#This Row],[DATA]]-1,"+",Tabela7[[#This Row],[NOME]])),"NÃO")),"NÃO")</f>
        <v>#VALUE!</v>
      </c>
      <c r="Q350" s="11" t="e" cm="1">
        <f t="array" ref="Q350">IF(P350="NÃO","NÃO",_xlfn.XLOOKUP(P350,tabE.Flux[COMP.AT. MOT A],#REF!,"NÃO",0,1))</f>
        <v>#VALUE!</v>
      </c>
      <c r="R350" s="14" t="e" cm="1">
        <f t="array" ref="R350">IF(P350="NÃO","NÃO",_xlfn.XLOOKUP(P350,tabE.Flux[COMP.AT. MOT B],#REF!,"NÃO",0,1))</f>
        <v>#VALUE!</v>
      </c>
      <c r="S35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50" s="16" t="e" cm="1">
        <f t="array" ref="T35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50" s="41" t="e" cm="1">
        <f t="array" ref="U35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51" spans="12:21" x14ac:dyDescent="0.25">
      <c r="L351" s="36" t="e">
        <f>Tabela7[[#This Row],[ID]]</f>
        <v>#VALUE!</v>
      </c>
      <c r="M351" s="17" t="e">
        <f>_xlfn.CONCAT(Tabela7[[#This Row],[DATA]],"+",Tabela7[[#This Row],[NOME]])</f>
        <v>#VALUE!</v>
      </c>
      <c r="N351" s="11" t="e" cm="1">
        <f t="array" ref="N351">_xlfn.XLOOKUP(M351,tabE.Flux[[#All],[COMP.AT. MOT A]],#REF!,"NÃO",0,1)</f>
        <v>#VALUE!</v>
      </c>
      <c r="O351" s="11" t="e" cm="1">
        <f t="array" ref="O351">_xlfn.XLOOKUP(M351,tabE.Flux[[#All],[COMP.AT. MOT B]],#REF!,"NÃO",0,1)</f>
        <v>#VALUE!</v>
      </c>
      <c r="P351" s="12" t="e">
        <f>IF(N351="NÃO",(IF(O351="NÃO",(_xlfn.CONCAT(Tabela7[[#This Row],[DATA]]-1,"+",Tabela7[[#This Row],[NOME]])),"NÃO")),"NÃO")</f>
        <v>#VALUE!</v>
      </c>
      <c r="Q351" s="11" t="e" cm="1">
        <f t="array" ref="Q351">IF(P351="NÃO","NÃO",_xlfn.XLOOKUP(P351,tabE.Flux[COMP.AT. MOT A],#REF!,"NÃO",0,1))</f>
        <v>#VALUE!</v>
      </c>
      <c r="R351" s="14" t="e" cm="1">
        <f t="array" ref="R351">IF(P351="NÃO","NÃO",_xlfn.XLOOKUP(P351,tabE.Flux[COMP.AT. MOT B],#REF!,"NÃO",0,1))</f>
        <v>#VALUE!</v>
      </c>
      <c r="S35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51" s="16" t="e" cm="1">
        <f t="array" ref="T35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51" s="41" t="e" cm="1">
        <f t="array" ref="U35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52" spans="12:21" x14ac:dyDescent="0.25">
      <c r="L352" s="36" t="e">
        <f>Tabela7[[#This Row],[ID]]</f>
        <v>#VALUE!</v>
      </c>
      <c r="M352" s="17" t="e">
        <f>_xlfn.CONCAT(Tabela7[[#This Row],[DATA]],"+",Tabela7[[#This Row],[NOME]])</f>
        <v>#VALUE!</v>
      </c>
      <c r="N352" s="11" t="e" cm="1">
        <f t="array" ref="N352">_xlfn.XLOOKUP(M352,tabE.Flux[[#All],[COMP.AT. MOT A]],#REF!,"NÃO",0,1)</f>
        <v>#VALUE!</v>
      </c>
      <c r="O352" s="11" t="e" cm="1">
        <f t="array" ref="O352">_xlfn.XLOOKUP(M352,tabE.Flux[[#All],[COMP.AT. MOT B]],#REF!,"NÃO",0,1)</f>
        <v>#VALUE!</v>
      </c>
      <c r="P352" s="12" t="e">
        <f>IF(N352="NÃO",(IF(O352="NÃO",(_xlfn.CONCAT(Tabela7[[#This Row],[DATA]]-1,"+",Tabela7[[#This Row],[NOME]])),"NÃO")),"NÃO")</f>
        <v>#VALUE!</v>
      </c>
      <c r="Q352" s="11" t="e" cm="1">
        <f t="array" ref="Q352">IF(P352="NÃO","NÃO",_xlfn.XLOOKUP(P352,tabE.Flux[COMP.AT. MOT A],#REF!,"NÃO",0,1))</f>
        <v>#VALUE!</v>
      </c>
      <c r="R352" s="14" t="e" cm="1">
        <f t="array" ref="R352">IF(P352="NÃO","NÃO",_xlfn.XLOOKUP(P352,tabE.Flux[COMP.AT. MOT B],#REF!,"NÃO",0,1))</f>
        <v>#VALUE!</v>
      </c>
      <c r="S35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52" s="16" t="e" cm="1">
        <f t="array" ref="T35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52" s="41" t="e" cm="1">
        <f t="array" ref="U35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53" spans="12:21" x14ac:dyDescent="0.25">
      <c r="L353" s="36" t="e">
        <f>Tabela7[[#This Row],[ID]]</f>
        <v>#VALUE!</v>
      </c>
      <c r="M353" s="17" t="e">
        <f>_xlfn.CONCAT(Tabela7[[#This Row],[DATA]],"+",Tabela7[[#This Row],[NOME]])</f>
        <v>#VALUE!</v>
      </c>
      <c r="N353" s="11" t="e" cm="1">
        <f t="array" ref="N353">_xlfn.XLOOKUP(M353,tabE.Flux[[#All],[COMP.AT. MOT A]],#REF!,"NÃO",0,1)</f>
        <v>#VALUE!</v>
      </c>
      <c r="O353" s="11" t="e" cm="1">
        <f t="array" ref="O353">_xlfn.XLOOKUP(M353,tabE.Flux[[#All],[COMP.AT. MOT B]],#REF!,"NÃO",0,1)</f>
        <v>#VALUE!</v>
      </c>
      <c r="P353" s="12" t="e">
        <f>IF(N353="NÃO",(IF(O353="NÃO",(_xlfn.CONCAT(Tabela7[[#This Row],[DATA]]-1,"+",Tabela7[[#This Row],[NOME]])),"NÃO")),"NÃO")</f>
        <v>#VALUE!</v>
      </c>
      <c r="Q353" s="11" t="e" cm="1">
        <f t="array" ref="Q353">IF(P353="NÃO","NÃO",_xlfn.XLOOKUP(P353,tabE.Flux[COMP.AT. MOT A],#REF!,"NÃO",0,1))</f>
        <v>#VALUE!</v>
      </c>
      <c r="R353" s="14" t="e" cm="1">
        <f t="array" ref="R353">IF(P353="NÃO","NÃO",_xlfn.XLOOKUP(P353,tabE.Flux[COMP.AT. MOT B],#REF!,"NÃO",0,1))</f>
        <v>#VALUE!</v>
      </c>
      <c r="S35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53" s="16" t="e" cm="1">
        <f t="array" ref="T35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53" s="41" t="e" cm="1">
        <f t="array" ref="U35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54" spans="12:21" x14ac:dyDescent="0.25">
      <c r="L354" s="36" t="e">
        <f>Tabela7[[#This Row],[ID]]</f>
        <v>#VALUE!</v>
      </c>
      <c r="M354" s="17" t="e">
        <f>_xlfn.CONCAT(Tabela7[[#This Row],[DATA]],"+",Tabela7[[#This Row],[NOME]])</f>
        <v>#VALUE!</v>
      </c>
      <c r="N354" s="11" t="e" cm="1">
        <f t="array" ref="N354">_xlfn.XLOOKUP(M354,tabE.Flux[[#All],[COMP.AT. MOT A]],#REF!,"NÃO",0,1)</f>
        <v>#VALUE!</v>
      </c>
      <c r="O354" s="11" t="e" cm="1">
        <f t="array" ref="O354">_xlfn.XLOOKUP(M354,tabE.Flux[[#All],[COMP.AT. MOT B]],#REF!,"NÃO",0,1)</f>
        <v>#VALUE!</v>
      </c>
      <c r="P354" s="12" t="e">
        <f>IF(N354="NÃO",(IF(O354="NÃO",(_xlfn.CONCAT(Tabela7[[#This Row],[DATA]]-1,"+",Tabela7[[#This Row],[NOME]])),"NÃO")),"NÃO")</f>
        <v>#VALUE!</v>
      </c>
      <c r="Q354" s="11" t="e" cm="1">
        <f t="array" ref="Q354">IF(P354="NÃO","NÃO",_xlfn.XLOOKUP(P354,tabE.Flux[COMP.AT. MOT A],#REF!,"NÃO",0,1))</f>
        <v>#VALUE!</v>
      </c>
      <c r="R354" s="14" t="e" cm="1">
        <f t="array" ref="R354">IF(P354="NÃO","NÃO",_xlfn.XLOOKUP(P354,tabE.Flux[COMP.AT. MOT B],#REF!,"NÃO",0,1))</f>
        <v>#VALUE!</v>
      </c>
      <c r="S35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54" s="16" t="e" cm="1">
        <f t="array" ref="T35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54" s="41" t="e" cm="1">
        <f t="array" ref="U35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55" spans="12:21" x14ac:dyDescent="0.25">
      <c r="L355" s="36" t="e">
        <f>Tabela7[[#This Row],[ID]]</f>
        <v>#VALUE!</v>
      </c>
      <c r="M355" s="17" t="e">
        <f>_xlfn.CONCAT(Tabela7[[#This Row],[DATA]],"+",Tabela7[[#This Row],[NOME]])</f>
        <v>#VALUE!</v>
      </c>
      <c r="N355" s="11" t="e" cm="1">
        <f t="array" ref="N355">_xlfn.XLOOKUP(M355,tabE.Flux[[#All],[COMP.AT. MOT A]],#REF!,"NÃO",0,1)</f>
        <v>#VALUE!</v>
      </c>
      <c r="O355" s="11" t="e" cm="1">
        <f t="array" ref="O355">_xlfn.XLOOKUP(M355,tabE.Flux[[#All],[COMP.AT. MOT B]],#REF!,"NÃO",0,1)</f>
        <v>#VALUE!</v>
      </c>
      <c r="P355" s="12" t="e">
        <f>IF(N355="NÃO",(IF(O355="NÃO",(_xlfn.CONCAT(Tabela7[[#This Row],[DATA]]-1,"+",Tabela7[[#This Row],[NOME]])),"NÃO")),"NÃO")</f>
        <v>#VALUE!</v>
      </c>
      <c r="Q355" s="11" t="e" cm="1">
        <f t="array" ref="Q355">IF(P355="NÃO","NÃO",_xlfn.XLOOKUP(P355,tabE.Flux[COMP.AT. MOT A],#REF!,"NÃO",0,1))</f>
        <v>#VALUE!</v>
      </c>
      <c r="R355" s="14" t="e" cm="1">
        <f t="array" ref="R355">IF(P355="NÃO","NÃO",_xlfn.XLOOKUP(P355,tabE.Flux[COMP.AT. MOT B],#REF!,"NÃO",0,1))</f>
        <v>#VALUE!</v>
      </c>
      <c r="S35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55" s="16" t="e" cm="1">
        <f t="array" ref="T35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55" s="41" t="e" cm="1">
        <f t="array" ref="U35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56" spans="12:21" x14ac:dyDescent="0.25">
      <c r="L356" s="36" t="e">
        <f>Tabela7[[#This Row],[ID]]</f>
        <v>#VALUE!</v>
      </c>
      <c r="M356" s="17" t="e">
        <f>_xlfn.CONCAT(Tabela7[[#This Row],[DATA]],"+",Tabela7[[#This Row],[NOME]])</f>
        <v>#VALUE!</v>
      </c>
      <c r="N356" s="11" t="e" cm="1">
        <f t="array" ref="N356">_xlfn.XLOOKUP(M356,tabE.Flux[[#All],[COMP.AT. MOT A]],#REF!,"NÃO",0,1)</f>
        <v>#VALUE!</v>
      </c>
      <c r="O356" s="11" t="e" cm="1">
        <f t="array" ref="O356">_xlfn.XLOOKUP(M356,tabE.Flux[[#All],[COMP.AT. MOT B]],#REF!,"NÃO",0,1)</f>
        <v>#VALUE!</v>
      </c>
      <c r="P356" s="12" t="e">
        <f>IF(N356="NÃO",(IF(O356="NÃO",(_xlfn.CONCAT(Tabela7[[#This Row],[DATA]]-1,"+",Tabela7[[#This Row],[NOME]])),"NÃO")),"NÃO")</f>
        <v>#VALUE!</v>
      </c>
      <c r="Q356" s="11" t="e" cm="1">
        <f t="array" ref="Q356">IF(P356="NÃO","NÃO",_xlfn.XLOOKUP(P356,tabE.Flux[COMP.AT. MOT A],#REF!,"NÃO",0,1))</f>
        <v>#VALUE!</v>
      </c>
      <c r="R356" s="14" t="e" cm="1">
        <f t="array" ref="R356">IF(P356="NÃO","NÃO",_xlfn.XLOOKUP(P356,tabE.Flux[COMP.AT. MOT B],#REF!,"NÃO",0,1))</f>
        <v>#VALUE!</v>
      </c>
      <c r="S35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56" s="16" t="e" cm="1">
        <f t="array" ref="T35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56" s="41" t="e" cm="1">
        <f t="array" ref="U35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57" spans="12:21" x14ac:dyDescent="0.25">
      <c r="L357" s="36" t="e">
        <f>Tabela7[[#This Row],[ID]]</f>
        <v>#VALUE!</v>
      </c>
      <c r="M357" s="17" t="e">
        <f>_xlfn.CONCAT(Tabela7[[#This Row],[DATA]],"+",Tabela7[[#This Row],[NOME]])</f>
        <v>#VALUE!</v>
      </c>
      <c r="N357" s="11" t="e" cm="1">
        <f t="array" ref="N357">_xlfn.XLOOKUP(M357,tabE.Flux[[#All],[COMP.AT. MOT A]],#REF!,"NÃO",0,1)</f>
        <v>#VALUE!</v>
      </c>
      <c r="O357" s="11" t="e" cm="1">
        <f t="array" ref="O357">_xlfn.XLOOKUP(M357,tabE.Flux[[#All],[COMP.AT. MOT B]],#REF!,"NÃO",0,1)</f>
        <v>#VALUE!</v>
      </c>
      <c r="P357" s="12" t="e">
        <f>IF(N357="NÃO",(IF(O357="NÃO",(_xlfn.CONCAT(Tabela7[[#This Row],[DATA]]-1,"+",Tabela7[[#This Row],[NOME]])),"NÃO")),"NÃO")</f>
        <v>#VALUE!</v>
      </c>
      <c r="Q357" s="11" t="e" cm="1">
        <f t="array" ref="Q357">IF(P357="NÃO","NÃO",_xlfn.XLOOKUP(P357,tabE.Flux[COMP.AT. MOT A],#REF!,"NÃO",0,1))</f>
        <v>#VALUE!</v>
      </c>
      <c r="R357" s="14" t="e" cm="1">
        <f t="array" ref="R357">IF(P357="NÃO","NÃO",_xlfn.XLOOKUP(P357,tabE.Flux[COMP.AT. MOT B],#REF!,"NÃO",0,1))</f>
        <v>#VALUE!</v>
      </c>
      <c r="S35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57" s="16" t="e" cm="1">
        <f t="array" ref="T35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57" s="41" t="e" cm="1">
        <f t="array" ref="U35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58" spans="12:21" x14ac:dyDescent="0.25">
      <c r="L358" s="36" t="e">
        <f>Tabela7[[#This Row],[ID]]</f>
        <v>#VALUE!</v>
      </c>
      <c r="M358" s="17" t="e">
        <f>_xlfn.CONCAT(Tabela7[[#This Row],[DATA]],"+",Tabela7[[#This Row],[NOME]])</f>
        <v>#VALUE!</v>
      </c>
      <c r="N358" s="11" t="e" cm="1">
        <f t="array" ref="N358">_xlfn.XLOOKUP(M358,tabE.Flux[[#All],[COMP.AT. MOT A]],#REF!,"NÃO",0,1)</f>
        <v>#VALUE!</v>
      </c>
      <c r="O358" s="11" t="e" cm="1">
        <f t="array" ref="O358">_xlfn.XLOOKUP(M358,tabE.Flux[[#All],[COMP.AT. MOT B]],#REF!,"NÃO",0,1)</f>
        <v>#VALUE!</v>
      </c>
      <c r="P358" s="12" t="e">
        <f>IF(N358="NÃO",(IF(O358="NÃO",(_xlfn.CONCAT(Tabela7[[#This Row],[DATA]]-1,"+",Tabela7[[#This Row],[NOME]])),"NÃO")),"NÃO")</f>
        <v>#VALUE!</v>
      </c>
      <c r="Q358" s="11" t="e" cm="1">
        <f t="array" ref="Q358">IF(P358="NÃO","NÃO",_xlfn.XLOOKUP(P358,tabE.Flux[COMP.AT. MOT A],#REF!,"NÃO",0,1))</f>
        <v>#VALUE!</v>
      </c>
      <c r="R358" s="14" t="e" cm="1">
        <f t="array" ref="R358">IF(P358="NÃO","NÃO",_xlfn.XLOOKUP(P358,tabE.Flux[COMP.AT. MOT B],#REF!,"NÃO",0,1))</f>
        <v>#VALUE!</v>
      </c>
      <c r="S35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58" s="16" t="e" cm="1">
        <f t="array" ref="T35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58" s="41" t="e" cm="1">
        <f t="array" ref="U35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59" spans="12:21" x14ac:dyDescent="0.25">
      <c r="L359" s="36" t="e">
        <f>Tabela7[[#This Row],[ID]]</f>
        <v>#VALUE!</v>
      </c>
      <c r="M359" s="17" t="e">
        <f>_xlfn.CONCAT(Tabela7[[#This Row],[DATA]],"+",Tabela7[[#This Row],[NOME]])</f>
        <v>#VALUE!</v>
      </c>
      <c r="N359" s="11" t="e" cm="1">
        <f t="array" ref="N359">_xlfn.XLOOKUP(M359,tabE.Flux[[#All],[COMP.AT. MOT A]],#REF!,"NÃO",0,1)</f>
        <v>#VALUE!</v>
      </c>
      <c r="O359" s="11" t="e" cm="1">
        <f t="array" ref="O359">_xlfn.XLOOKUP(M359,tabE.Flux[[#All],[COMP.AT. MOT B]],#REF!,"NÃO",0,1)</f>
        <v>#VALUE!</v>
      </c>
      <c r="P359" s="12" t="e">
        <f>IF(N359="NÃO",(IF(O359="NÃO",(_xlfn.CONCAT(Tabela7[[#This Row],[DATA]]-1,"+",Tabela7[[#This Row],[NOME]])),"NÃO")),"NÃO")</f>
        <v>#VALUE!</v>
      </c>
      <c r="Q359" s="11" t="e" cm="1">
        <f t="array" ref="Q359">IF(P359="NÃO","NÃO",_xlfn.XLOOKUP(P359,tabE.Flux[COMP.AT. MOT A],#REF!,"NÃO",0,1))</f>
        <v>#VALUE!</v>
      </c>
      <c r="R359" s="14" t="e" cm="1">
        <f t="array" ref="R359">IF(P359="NÃO","NÃO",_xlfn.XLOOKUP(P359,tabE.Flux[COMP.AT. MOT B],#REF!,"NÃO",0,1))</f>
        <v>#VALUE!</v>
      </c>
      <c r="S35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59" s="16" t="e" cm="1">
        <f t="array" ref="T35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59" s="41" t="e" cm="1">
        <f t="array" ref="U35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60" spans="12:21" x14ac:dyDescent="0.25">
      <c r="L360" s="36" t="e">
        <f>Tabela7[[#This Row],[ID]]</f>
        <v>#VALUE!</v>
      </c>
      <c r="M360" s="17" t="e">
        <f>_xlfn.CONCAT(Tabela7[[#This Row],[DATA]],"+",Tabela7[[#This Row],[NOME]])</f>
        <v>#VALUE!</v>
      </c>
      <c r="N360" s="11" t="e" cm="1">
        <f t="array" ref="N360">_xlfn.XLOOKUP(M360,tabE.Flux[[#All],[COMP.AT. MOT A]],#REF!,"NÃO",0,1)</f>
        <v>#VALUE!</v>
      </c>
      <c r="O360" s="11" t="e" cm="1">
        <f t="array" ref="O360">_xlfn.XLOOKUP(M360,tabE.Flux[[#All],[COMP.AT. MOT B]],#REF!,"NÃO",0,1)</f>
        <v>#VALUE!</v>
      </c>
      <c r="P360" s="12" t="e">
        <f>IF(N360="NÃO",(IF(O360="NÃO",(_xlfn.CONCAT(Tabela7[[#This Row],[DATA]]-1,"+",Tabela7[[#This Row],[NOME]])),"NÃO")),"NÃO")</f>
        <v>#VALUE!</v>
      </c>
      <c r="Q360" s="11" t="e" cm="1">
        <f t="array" ref="Q360">IF(P360="NÃO","NÃO",_xlfn.XLOOKUP(P360,tabE.Flux[COMP.AT. MOT A],#REF!,"NÃO",0,1))</f>
        <v>#VALUE!</v>
      </c>
      <c r="R360" s="14" t="e" cm="1">
        <f t="array" ref="R360">IF(P360="NÃO","NÃO",_xlfn.XLOOKUP(P360,tabE.Flux[COMP.AT. MOT B],#REF!,"NÃO",0,1))</f>
        <v>#VALUE!</v>
      </c>
      <c r="S36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60" s="16" t="e" cm="1">
        <f t="array" ref="T36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60" s="41" t="e" cm="1">
        <f t="array" ref="U36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61" spans="12:21" x14ac:dyDescent="0.25">
      <c r="L361" s="36" t="e">
        <f>Tabela7[[#This Row],[ID]]</f>
        <v>#VALUE!</v>
      </c>
      <c r="M361" s="17" t="e">
        <f>_xlfn.CONCAT(Tabela7[[#This Row],[DATA]],"+",Tabela7[[#This Row],[NOME]])</f>
        <v>#VALUE!</v>
      </c>
      <c r="N361" s="11" t="e" cm="1">
        <f t="array" ref="N361">_xlfn.XLOOKUP(M361,tabE.Flux[[#All],[COMP.AT. MOT A]],#REF!,"NÃO",0,1)</f>
        <v>#VALUE!</v>
      </c>
      <c r="O361" s="11" t="e" cm="1">
        <f t="array" ref="O361">_xlfn.XLOOKUP(M361,tabE.Flux[[#All],[COMP.AT. MOT B]],#REF!,"NÃO",0,1)</f>
        <v>#VALUE!</v>
      </c>
      <c r="P361" s="12" t="e">
        <f>IF(N361="NÃO",(IF(O361="NÃO",(_xlfn.CONCAT(Tabela7[[#This Row],[DATA]]-1,"+",Tabela7[[#This Row],[NOME]])),"NÃO")),"NÃO")</f>
        <v>#VALUE!</v>
      </c>
      <c r="Q361" s="11" t="e" cm="1">
        <f t="array" ref="Q361">IF(P361="NÃO","NÃO",_xlfn.XLOOKUP(P361,tabE.Flux[COMP.AT. MOT A],#REF!,"NÃO",0,1))</f>
        <v>#VALUE!</v>
      </c>
      <c r="R361" s="14" t="e" cm="1">
        <f t="array" ref="R361">IF(P361="NÃO","NÃO",_xlfn.XLOOKUP(P361,tabE.Flux[COMP.AT. MOT B],#REF!,"NÃO",0,1))</f>
        <v>#VALUE!</v>
      </c>
      <c r="S36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61" s="16" t="e" cm="1">
        <f t="array" ref="T36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61" s="41" t="e" cm="1">
        <f t="array" ref="U36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62" spans="12:21" x14ac:dyDescent="0.25">
      <c r="L362" s="36" t="e">
        <f>Tabela7[[#This Row],[ID]]</f>
        <v>#VALUE!</v>
      </c>
      <c r="M362" s="17" t="e">
        <f>_xlfn.CONCAT(Tabela7[[#This Row],[DATA]],"+",Tabela7[[#This Row],[NOME]])</f>
        <v>#VALUE!</v>
      </c>
      <c r="N362" s="11" t="e" cm="1">
        <f t="array" ref="N362">_xlfn.XLOOKUP(M362,tabE.Flux[[#All],[COMP.AT. MOT A]],#REF!,"NÃO",0,1)</f>
        <v>#VALUE!</v>
      </c>
      <c r="O362" s="11" t="e" cm="1">
        <f t="array" ref="O362">_xlfn.XLOOKUP(M362,tabE.Flux[[#All],[COMP.AT. MOT B]],#REF!,"NÃO",0,1)</f>
        <v>#VALUE!</v>
      </c>
      <c r="P362" s="12" t="e">
        <f>IF(N362="NÃO",(IF(O362="NÃO",(_xlfn.CONCAT(Tabela7[[#This Row],[DATA]]-1,"+",Tabela7[[#This Row],[NOME]])),"NÃO")),"NÃO")</f>
        <v>#VALUE!</v>
      </c>
      <c r="Q362" s="11" t="e" cm="1">
        <f t="array" ref="Q362">IF(P362="NÃO","NÃO",_xlfn.XLOOKUP(P362,tabE.Flux[COMP.AT. MOT A],#REF!,"NÃO",0,1))</f>
        <v>#VALUE!</v>
      </c>
      <c r="R362" s="14" t="e" cm="1">
        <f t="array" ref="R362">IF(P362="NÃO","NÃO",_xlfn.XLOOKUP(P362,tabE.Flux[COMP.AT. MOT B],#REF!,"NÃO",0,1))</f>
        <v>#VALUE!</v>
      </c>
      <c r="S36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62" s="16" t="e" cm="1">
        <f t="array" ref="T36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62" s="41" t="e" cm="1">
        <f t="array" ref="U36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63" spans="12:21" x14ac:dyDescent="0.25">
      <c r="L363" s="36" t="e">
        <f>Tabela7[[#This Row],[ID]]</f>
        <v>#VALUE!</v>
      </c>
      <c r="M363" s="17" t="e">
        <f>_xlfn.CONCAT(Tabela7[[#This Row],[DATA]],"+",Tabela7[[#This Row],[NOME]])</f>
        <v>#VALUE!</v>
      </c>
      <c r="N363" s="11" t="e" cm="1">
        <f t="array" ref="N363">_xlfn.XLOOKUP(M363,tabE.Flux[[#All],[COMP.AT. MOT A]],#REF!,"NÃO",0,1)</f>
        <v>#VALUE!</v>
      </c>
      <c r="O363" s="11" t="e" cm="1">
        <f t="array" ref="O363">_xlfn.XLOOKUP(M363,tabE.Flux[[#All],[COMP.AT. MOT B]],#REF!,"NÃO",0,1)</f>
        <v>#VALUE!</v>
      </c>
      <c r="P363" s="12" t="e">
        <f>IF(N363="NÃO",(IF(O363="NÃO",(_xlfn.CONCAT(Tabela7[[#This Row],[DATA]]-1,"+",Tabela7[[#This Row],[NOME]])),"NÃO")),"NÃO")</f>
        <v>#VALUE!</v>
      </c>
      <c r="Q363" s="11" t="e" cm="1">
        <f t="array" ref="Q363">IF(P363="NÃO","NÃO",_xlfn.XLOOKUP(P363,tabE.Flux[COMP.AT. MOT A],#REF!,"NÃO",0,1))</f>
        <v>#VALUE!</v>
      </c>
      <c r="R363" s="14" t="e" cm="1">
        <f t="array" ref="R363">IF(P363="NÃO","NÃO",_xlfn.XLOOKUP(P363,tabE.Flux[COMP.AT. MOT B],#REF!,"NÃO",0,1))</f>
        <v>#VALUE!</v>
      </c>
      <c r="S36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63" s="16" t="e" cm="1">
        <f t="array" ref="T36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63" s="41" t="e" cm="1">
        <f t="array" ref="U36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64" spans="12:21" x14ac:dyDescent="0.25">
      <c r="L364" s="36" t="e">
        <f>Tabela7[[#This Row],[ID]]</f>
        <v>#VALUE!</v>
      </c>
      <c r="M364" s="17" t="e">
        <f>_xlfn.CONCAT(Tabela7[[#This Row],[DATA]],"+",Tabela7[[#This Row],[NOME]])</f>
        <v>#VALUE!</v>
      </c>
      <c r="N364" s="11" t="e" cm="1">
        <f t="array" ref="N364">_xlfn.XLOOKUP(M364,tabE.Flux[[#All],[COMP.AT. MOT A]],#REF!,"NÃO",0,1)</f>
        <v>#VALUE!</v>
      </c>
      <c r="O364" s="11" t="e" cm="1">
        <f t="array" ref="O364">_xlfn.XLOOKUP(M364,tabE.Flux[[#All],[COMP.AT. MOT B]],#REF!,"NÃO",0,1)</f>
        <v>#VALUE!</v>
      </c>
      <c r="P364" s="12" t="e">
        <f>IF(N364="NÃO",(IF(O364="NÃO",(_xlfn.CONCAT(Tabela7[[#This Row],[DATA]]-1,"+",Tabela7[[#This Row],[NOME]])),"NÃO")),"NÃO")</f>
        <v>#VALUE!</v>
      </c>
      <c r="Q364" s="11" t="e" cm="1">
        <f t="array" ref="Q364">IF(P364="NÃO","NÃO",_xlfn.XLOOKUP(P364,tabE.Flux[COMP.AT. MOT A],#REF!,"NÃO",0,1))</f>
        <v>#VALUE!</v>
      </c>
      <c r="R364" s="14" t="e" cm="1">
        <f t="array" ref="R364">IF(P364="NÃO","NÃO",_xlfn.XLOOKUP(P364,tabE.Flux[COMP.AT. MOT B],#REF!,"NÃO",0,1))</f>
        <v>#VALUE!</v>
      </c>
      <c r="S36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64" s="16" t="e" cm="1">
        <f t="array" ref="T36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64" s="41" t="e" cm="1">
        <f t="array" ref="U36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65" spans="12:21" x14ac:dyDescent="0.25">
      <c r="L365" s="36" t="e">
        <f>Tabela7[[#This Row],[ID]]</f>
        <v>#VALUE!</v>
      </c>
      <c r="M365" s="17" t="e">
        <f>_xlfn.CONCAT(Tabela7[[#This Row],[DATA]],"+",Tabela7[[#This Row],[NOME]])</f>
        <v>#VALUE!</v>
      </c>
      <c r="N365" s="11" t="e" cm="1">
        <f t="array" ref="N365">_xlfn.XLOOKUP(M365,tabE.Flux[[#All],[COMP.AT. MOT A]],#REF!,"NÃO",0,1)</f>
        <v>#VALUE!</v>
      </c>
      <c r="O365" s="11" t="e" cm="1">
        <f t="array" ref="O365">_xlfn.XLOOKUP(M365,tabE.Flux[[#All],[COMP.AT. MOT B]],#REF!,"NÃO",0,1)</f>
        <v>#VALUE!</v>
      </c>
      <c r="P365" s="12" t="e">
        <f>IF(N365="NÃO",(IF(O365="NÃO",(_xlfn.CONCAT(Tabela7[[#This Row],[DATA]]-1,"+",Tabela7[[#This Row],[NOME]])),"NÃO")),"NÃO")</f>
        <v>#VALUE!</v>
      </c>
      <c r="Q365" s="11" t="e" cm="1">
        <f t="array" ref="Q365">IF(P365="NÃO","NÃO",_xlfn.XLOOKUP(P365,tabE.Flux[COMP.AT. MOT A],#REF!,"NÃO",0,1))</f>
        <v>#VALUE!</v>
      </c>
      <c r="R365" s="14" t="e" cm="1">
        <f t="array" ref="R365">IF(P365="NÃO","NÃO",_xlfn.XLOOKUP(P365,tabE.Flux[COMP.AT. MOT B],#REF!,"NÃO",0,1))</f>
        <v>#VALUE!</v>
      </c>
      <c r="S36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65" s="16" t="e" cm="1">
        <f t="array" ref="T36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65" s="41" t="e" cm="1">
        <f t="array" ref="U36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66" spans="12:21" x14ac:dyDescent="0.25">
      <c r="L366" s="36" t="e">
        <f>Tabela7[[#This Row],[ID]]</f>
        <v>#VALUE!</v>
      </c>
      <c r="M366" s="17" t="e">
        <f>_xlfn.CONCAT(Tabela7[[#This Row],[DATA]],"+",Tabela7[[#This Row],[NOME]])</f>
        <v>#VALUE!</v>
      </c>
      <c r="N366" s="11" t="e" cm="1">
        <f t="array" ref="N366">_xlfn.XLOOKUP(M366,tabE.Flux[[#All],[COMP.AT. MOT A]],#REF!,"NÃO",0,1)</f>
        <v>#VALUE!</v>
      </c>
      <c r="O366" s="11" t="e" cm="1">
        <f t="array" ref="O366">_xlfn.XLOOKUP(M366,tabE.Flux[[#All],[COMP.AT. MOT B]],#REF!,"NÃO",0,1)</f>
        <v>#VALUE!</v>
      </c>
      <c r="P366" s="12" t="e">
        <f>IF(N366="NÃO",(IF(O366="NÃO",(_xlfn.CONCAT(Tabela7[[#This Row],[DATA]]-1,"+",Tabela7[[#This Row],[NOME]])),"NÃO")),"NÃO")</f>
        <v>#VALUE!</v>
      </c>
      <c r="Q366" s="11" t="e" cm="1">
        <f t="array" ref="Q366">IF(P366="NÃO","NÃO",_xlfn.XLOOKUP(P366,tabE.Flux[COMP.AT. MOT A],#REF!,"NÃO",0,1))</f>
        <v>#VALUE!</v>
      </c>
      <c r="R366" s="14" t="e" cm="1">
        <f t="array" ref="R366">IF(P366="NÃO","NÃO",_xlfn.XLOOKUP(P366,tabE.Flux[COMP.AT. MOT B],#REF!,"NÃO",0,1))</f>
        <v>#VALUE!</v>
      </c>
      <c r="S36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66" s="16" t="e" cm="1">
        <f t="array" ref="T36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66" s="41" t="e" cm="1">
        <f t="array" ref="U36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67" spans="12:21" x14ac:dyDescent="0.25">
      <c r="L367" s="36" t="e">
        <f>Tabela7[[#This Row],[ID]]</f>
        <v>#VALUE!</v>
      </c>
      <c r="M367" s="17" t="e">
        <f>_xlfn.CONCAT(Tabela7[[#This Row],[DATA]],"+",Tabela7[[#This Row],[NOME]])</f>
        <v>#VALUE!</v>
      </c>
      <c r="N367" s="11" t="e" cm="1">
        <f t="array" ref="N367">_xlfn.XLOOKUP(M367,tabE.Flux[[#All],[COMP.AT. MOT A]],#REF!,"NÃO",0,1)</f>
        <v>#VALUE!</v>
      </c>
      <c r="O367" s="11" t="e" cm="1">
        <f t="array" ref="O367">_xlfn.XLOOKUP(M367,tabE.Flux[[#All],[COMP.AT. MOT B]],#REF!,"NÃO",0,1)</f>
        <v>#VALUE!</v>
      </c>
      <c r="P367" s="12" t="e">
        <f>IF(N367="NÃO",(IF(O367="NÃO",(_xlfn.CONCAT(Tabela7[[#This Row],[DATA]]-1,"+",Tabela7[[#This Row],[NOME]])),"NÃO")),"NÃO")</f>
        <v>#VALUE!</v>
      </c>
      <c r="Q367" s="11" t="e" cm="1">
        <f t="array" ref="Q367">IF(P367="NÃO","NÃO",_xlfn.XLOOKUP(P367,tabE.Flux[COMP.AT. MOT A],#REF!,"NÃO",0,1))</f>
        <v>#VALUE!</v>
      </c>
      <c r="R367" s="14" t="e" cm="1">
        <f t="array" ref="R367">IF(P367="NÃO","NÃO",_xlfn.XLOOKUP(P367,tabE.Flux[COMP.AT. MOT B],#REF!,"NÃO",0,1))</f>
        <v>#VALUE!</v>
      </c>
      <c r="S36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67" s="16" t="e" cm="1">
        <f t="array" ref="T36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67" s="41" t="e" cm="1">
        <f t="array" ref="U36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68" spans="12:21" x14ac:dyDescent="0.25">
      <c r="L368" s="36" t="e">
        <f>Tabela7[[#This Row],[ID]]</f>
        <v>#VALUE!</v>
      </c>
      <c r="M368" s="17" t="e">
        <f>_xlfn.CONCAT(Tabela7[[#This Row],[DATA]],"+",Tabela7[[#This Row],[NOME]])</f>
        <v>#VALUE!</v>
      </c>
      <c r="N368" s="11" t="e" cm="1">
        <f t="array" ref="N368">_xlfn.XLOOKUP(M368,tabE.Flux[[#All],[COMP.AT. MOT A]],#REF!,"NÃO",0,1)</f>
        <v>#VALUE!</v>
      </c>
      <c r="O368" s="11" t="e" cm="1">
        <f t="array" ref="O368">_xlfn.XLOOKUP(M368,tabE.Flux[[#All],[COMP.AT. MOT B]],#REF!,"NÃO",0,1)</f>
        <v>#VALUE!</v>
      </c>
      <c r="P368" s="12" t="e">
        <f>IF(N368="NÃO",(IF(O368="NÃO",(_xlfn.CONCAT(Tabela7[[#This Row],[DATA]]-1,"+",Tabela7[[#This Row],[NOME]])),"NÃO")),"NÃO")</f>
        <v>#VALUE!</v>
      </c>
      <c r="Q368" s="11" t="e" cm="1">
        <f t="array" ref="Q368">IF(P368="NÃO","NÃO",_xlfn.XLOOKUP(P368,tabE.Flux[COMP.AT. MOT A],#REF!,"NÃO",0,1))</f>
        <v>#VALUE!</v>
      </c>
      <c r="R368" s="14" t="e" cm="1">
        <f t="array" ref="R368">IF(P368="NÃO","NÃO",_xlfn.XLOOKUP(P368,tabE.Flux[COMP.AT. MOT B],#REF!,"NÃO",0,1))</f>
        <v>#VALUE!</v>
      </c>
      <c r="S36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68" s="16" t="e" cm="1">
        <f t="array" ref="T36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68" s="41" t="e" cm="1">
        <f t="array" ref="U36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69" spans="12:21" x14ac:dyDescent="0.25">
      <c r="L369" s="36" t="e">
        <f>Tabela7[[#This Row],[ID]]</f>
        <v>#VALUE!</v>
      </c>
      <c r="M369" s="17" t="e">
        <f>_xlfn.CONCAT(Tabela7[[#This Row],[DATA]],"+",Tabela7[[#This Row],[NOME]])</f>
        <v>#VALUE!</v>
      </c>
      <c r="N369" s="11" t="e" cm="1">
        <f t="array" ref="N369">_xlfn.XLOOKUP(M369,tabE.Flux[[#All],[COMP.AT. MOT A]],#REF!,"NÃO",0,1)</f>
        <v>#VALUE!</v>
      </c>
      <c r="O369" s="11" t="e" cm="1">
        <f t="array" ref="O369">_xlfn.XLOOKUP(M369,tabE.Flux[[#All],[COMP.AT. MOT B]],#REF!,"NÃO",0,1)</f>
        <v>#VALUE!</v>
      </c>
      <c r="P369" s="12" t="e">
        <f>IF(N369="NÃO",(IF(O369="NÃO",(_xlfn.CONCAT(Tabela7[[#This Row],[DATA]]-1,"+",Tabela7[[#This Row],[NOME]])),"NÃO")),"NÃO")</f>
        <v>#VALUE!</v>
      </c>
      <c r="Q369" s="11" t="e" cm="1">
        <f t="array" ref="Q369">IF(P369="NÃO","NÃO",_xlfn.XLOOKUP(P369,tabE.Flux[COMP.AT. MOT A],#REF!,"NÃO",0,1))</f>
        <v>#VALUE!</v>
      </c>
      <c r="R369" s="14" t="e" cm="1">
        <f t="array" ref="R369">IF(P369="NÃO","NÃO",_xlfn.XLOOKUP(P369,tabE.Flux[COMP.AT. MOT B],#REF!,"NÃO",0,1))</f>
        <v>#VALUE!</v>
      </c>
      <c r="S36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69" s="16" t="e" cm="1">
        <f t="array" ref="T36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69" s="41" t="e" cm="1">
        <f t="array" ref="U36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70" spans="12:21" x14ac:dyDescent="0.25">
      <c r="L370" s="36" t="e">
        <f>Tabela7[[#This Row],[ID]]</f>
        <v>#VALUE!</v>
      </c>
      <c r="M370" s="17" t="e">
        <f>_xlfn.CONCAT(Tabela7[[#This Row],[DATA]],"+",Tabela7[[#This Row],[NOME]])</f>
        <v>#VALUE!</v>
      </c>
      <c r="N370" s="11" t="e" cm="1">
        <f t="array" ref="N370">_xlfn.XLOOKUP(M370,tabE.Flux[[#All],[COMP.AT. MOT A]],#REF!,"NÃO",0,1)</f>
        <v>#VALUE!</v>
      </c>
      <c r="O370" s="11" t="e" cm="1">
        <f t="array" ref="O370">_xlfn.XLOOKUP(M370,tabE.Flux[[#All],[COMP.AT. MOT B]],#REF!,"NÃO",0,1)</f>
        <v>#VALUE!</v>
      </c>
      <c r="P370" s="12" t="e">
        <f>IF(N370="NÃO",(IF(O370="NÃO",(_xlfn.CONCAT(Tabela7[[#This Row],[DATA]]-1,"+",Tabela7[[#This Row],[NOME]])),"NÃO")),"NÃO")</f>
        <v>#VALUE!</v>
      </c>
      <c r="Q370" s="11" t="e" cm="1">
        <f t="array" ref="Q370">IF(P370="NÃO","NÃO",_xlfn.XLOOKUP(P370,tabE.Flux[COMP.AT. MOT A],#REF!,"NÃO",0,1))</f>
        <v>#VALUE!</v>
      </c>
      <c r="R370" s="14" t="e" cm="1">
        <f t="array" ref="R370">IF(P370="NÃO","NÃO",_xlfn.XLOOKUP(P370,tabE.Flux[COMP.AT. MOT B],#REF!,"NÃO",0,1))</f>
        <v>#VALUE!</v>
      </c>
      <c r="S37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70" s="16" t="e" cm="1">
        <f t="array" ref="T37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70" s="41" t="e" cm="1">
        <f t="array" ref="U37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71" spans="12:21" x14ac:dyDescent="0.25">
      <c r="L371" s="36" t="e">
        <f>Tabela7[[#This Row],[ID]]</f>
        <v>#VALUE!</v>
      </c>
      <c r="M371" s="17" t="e">
        <f>_xlfn.CONCAT(Tabela7[[#This Row],[DATA]],"+",Tabela7[[#This Row],[NOME]])</f>
        <v>#VALUE!</v>
      </c>
      <c r="N371" s="11" t="e" cm="1">
        <f t="array" ref="N371">_xlfn.XLOOKUP(M371,tabE.Flux[[#All],[COMP.AT. MOT A]],#REF!,"NÃO",0,1)</f>
        <v>#VALUE!</v>
      </c>
      <c r="O371" s="11" t="e" cm="1">
        <f t="array" ref="O371">_xlfn.XLOOKUP(M371,tabE.Flux[[#All],[COMP.AT. MOT B]],#REF!,"NÃO",0,1)</f>
        <v>#VALUE!</v>
      </c>
      <c r="P371" s="12" t="e">
        <f>IF(N371="NÃO",(IF(O371="NÃO",(_xlfn.CONCAT(Tabela7[[#This Row],[DATA]]-1,"+",Tabela7[[#This Row],[NOME]])),"NÃO")),"NÃO")</f>
        <v>#VALUE!</v>
      </c>
      <c r="Q371" s="11" t="e" cm="1">
        <f t="array" ref="Q371">IF(P371="NÃO","NÃO",_xlfn.XLOOKUP(P371,tabE.Flux[COMP.AT. MOT A],#REF!,"NÃO",0,1))</f>
        <v>#VALUE!</v>
      </c>
      <c r="R371" s="14" t="e" cm="1">
        <f t="array" ref="R371">IF(P371="NÃO","NÃO",_xlfn.XLOOKUP(P371,tabE.Flux[COMP.AT. MOT B],#REF!,"NÃO",0,1))</f>
        <v>#VALUE!</v>
      </c>
      <c r="S37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71" s="16" t="e" cm="1">
        <f t="array" ref="T37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71" s="41" t="e" cm="1">
        <f t="array" ref="U37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72" spans="12:21" x14ac:dyDescent="0.25">
      <c r="L372" s="36" t="e">
        <f>Tabela7[[#This Row],[ID]]</f>
        <v>#VALUE!</v>
      </c>
      <c r="M372" s="17" t="e">
        <f>_xlfn.CONCAT(Tabela7[[#This Row],[DATA]],"+",Tabela7[[#This Row],[NOME]])</f>
        <v>#VALUE!</v>
      </c>
      <c r="N372" s="11" t="e" cm="1">
        <f t="array" ref="N372">_xlfn.XLOOKUP(M372,tabE.Flux[[#All],[COMP.AT. MOT A]],#REF!,"NÃO",0,1)</f>
        <v>#VALUE!</v>
      </c>
      <c r="O372" s="11" t="e" cm="1">
        <f t="array" ref="O372">_xlfn.XLOOKUP(M372,tabE.Flux[[#All],[COMP.AT. MOT B]],#REF!,"NÃO",0,1)</f>
        <v>#VALUE!</v>
      </c>
      <c r="P372" s="12" t="e">
        <f>IF(N372="NÃO",(IF(O372="NÃO",(_xlfn.CONCAT(Tabela7[[#This Row],[DATA]]-1,"+",Tabela7[[#This Row],[NOME]])),"NÃO")),"NÃO")</f>
        <v>#VALUE!</v>
      </c>
      <c r="Q372" s="11" t="e" cm="1">
        <f t="array" ref="Q372">IF(P372="NÃO","NÃO",_xlfn.XLOOKUP(P372,tabE.Flux[COMP.AT. MOT A],#REF!,"NÃO",0,1))</f>
        <v>#VALUE!</v>
      </c>
      <c r="R372" s="14" t="e" cm="1">
        <f t="array" ref="R372">IF(P372="NÃO","NÃO",_xlfn.XLOOKUP(P372,tabE.Flux[COMP.AT. MOT B],#REF!,"NÃO",0,1))</f>
        <v>#VALUE!</v>
      </c>
      <c r="S37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72" s="16" t="e" cm="1">
        <f t="array" ref="T37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72" s="41" t="e" cm="1">
        <f t="array" ref="U37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73" spans="12:21" x14ac:dyDescent="0.25">
      <c r="L373" s="36" t="e">
        <f>Tabela7[[#This Row],[ID]]</f>
        <v>#VALUE!</v>
      </c>
      <c r="M373" s="17" t="e">
        <f>_xlfn.CONCAT(Tabela7[[#This Row],[DATA]],"+",Tabela7[[#This Row],[NOME]])</f>
        <v>#VALUE!</v>
      </c>
      <c r="N373" s="11" t="e" cm="1">
        <f t="array" ref="N373">_xlfn.XLOOKUP(M373,tabE.Flux[[#All],[COMP.AT. MOT A]],#REF!,"NÃO",0,1)</f>
        <v>#VALUE!</v>
      </c>
      <c r="O373" s="11" t="e" cm="1">
        <f t="array" ref="O373">_xlfn.XLOOKUP(M373,tabE.Flux[[#All],[COMP.AT. MOT B]],#REF!,"NÃO",0,1)</f>
        <v>#VALUE!</v>
      </c>
      <c r="P373" s="12" t="e">
        <f>IF(N373="NÃO",(IF(O373="NÃO",(_xlfn.CONCAT(Tabela7[[#This Row],[DATA]]-1,"+",Tabela7[[#This Row],[NOME]])),"NÃO")),"NÃO")</f>
        <v>#VALUE!</v>
      </c>
      <c r="Q373" s="11" t="e" cm="1">
        <f t="array" ref="Q373">IF(P373="NÃO","NÃO",_xlfn.XLOOKUP(P373,tabE.Flux[COMP.AT. MOT A],#REF!,"NÃO",0,1))</f>
        <v>#VALUE!</v>
      </c>
      <c r="R373" s="14" t="e" cm="1">
        <f t="array" ref="R373">IF(P373="NÃO","NÃO",_xlfn.XLOOKUP(P373,tabE.Flux[COMP.AT. MOT B],#REF!,"NÃO",0,1))</f>
        <v>#VALUE!</v>
      </c>
      <c r="S37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73" s="16" t="e" cm="1">
        <f t="array" ref="T37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73" s="41" t="e" cm="1">
        <f t="array" ref="U37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74" spans="12:21" x14ac:dyDescent="0.25">
      <c r="L374" s="36" t="e">
        <f>Tabela7[[#This Row],[ID]]</f>
        <v>#VALUE!</v>
      </c>
      <c r="M374" s="17" t="e">
        <f>_xlfn.CONCAT(Tabela7[[#This Row],[DATA]],"+",Tabela7[[#This Row],[NOME]])</f>
        <v>#VALUE!</v>
      </c>
      <c r="N374" s="11" t="e" cm="1">
        <f t="array" ref="N374">_xlfn.XLOOKUP(M374,tabE.Flux[[#All],[COMP.AT. MOT A]],#REF!,"NÃO",0,1)</f>
        <v>#VALUE!</v>
      </c>
      <c r="O374" s="11" t="e" cm="1">
        <f t="array" ref="O374">_xlfn.XLOOKUP(M374,tabE.Flux[[#All],[COMP.AT. MOT B]],#REF!,"NÃO",0,1)</f>
        <v>#VALUE!</v>
      </c>
      <c r="P374" s="12" t="e">
        <f>IF(N374="NÃO",(IF(O374="NÃO",(_xlfn.CONCAT(Tabela7[[#This Row],[DATA]]-1,"+",Tabela7[[#This Row],[NOME]])),"NÃO")),"NÃO")</f>
        <v>#VALUE!</v>
      </c>
      <c r="Q374" s="11" t="e" cm="1">
        <f t="array" ref="Q374">IF(P374="NÃO","NÃO",_xlfn.XLOOKUP(P374,tabE.Flux[COMP.AT. MOT A],#REF!,"NÃO",0,1))</f>
        <v>#VALUE!</v>
      </c>
      <c r="R374" s="14" t="e" cm="1">
        <f t="array" ref="R374">IF(P374="NÃO","NÃO",_xlfn.XLOOKUP(P374,tabE.Flux[COMP.AT. MOT B],#REF!,"NÃO",0,1))</f>
        <v>#VALUE!</v>
      </c>
      <c r="S37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74" s="16" t="e" cm="1">
        <f t="array" ref="T37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74" s="41" t="e" cm="1">
        <f t="array" ref="U37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75" spans="12:21" x14ac:dyDescent="0.25">
      <c r="L375" s="36" t="e">
        <f>Tabela7[[#This Row],[ID]]</f>
        <v>#VALUE!</v>
      </c>
      <c r="M375" s="17" t="e">
        <f>_xlfn.CONCAT(Tabela7[[#This Row],[DATA]],"+",Tabela7[[#This Row],[NOME]])</f>
        <v>#VALUE!</v>
      </c>
      <c r="N375" s="11" t="e" cm="1">
        <f t="array" ref="N375">_xlfn.XLOOKUP(M375,tabE.Flux[[#All],[COMP.AT. MOT A]],#REF!,"NÃO",0,1)</f>
        <v>#VALUE!</v>
      </c>
      <c r="O375" s="11" t="e" cm="1">
        <f t="array" ref="O375">_xlfn.XLOOKUP(M375,tabE.Flux[[#All],[COMP.AT. MOT B]],#REF!,"NÃO",0,1)</f>
        <v>#VALUE!</v>
      </c>
      <c r="P375" s="12" t="e">
        <f>IF(N375="NÃO",(IF(O375="NÃO",(_xlfn.CONCAT(Tabela7[[#This Row],[DATA]]-1,"+",Tabela7[[#This Row],[NOME]])),"NÃO")),"NÃO")</f>
        <v>#VALUE!</v>
      </c>
      <c r="Q375" s="11" t="e" cm="1">
        <f t="array" ref="Q375">IF(P375="NÃO","NÃO",_xlfn.XLOOKUP(P375,tabE.Flux[COMP.AT. MOT A],#REF!,"NÃO",0,1))</f>
        <v>#VALUE!</v>
      </c>
      <c r="R375" s="14" t="e" cm="1">
        <f t="array" ref="R375">IF(P375="NÃO","NÃO",_xlfn.XLOOKUP(P375,tabE.Flux[COMP.AT. MOT B],#REF!,"NÃO",0,1))</f>
        <v>#VALUE!</v>
      </c>
      <c r="S37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75" s="16" t="e" cm="1">
        <f t="array" ref="T37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75" s="41" t="e" cm="1">
        <f t="array" ref="U37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76" spans="12:21" x14ac:dyDescent="0.25">
      <c r="L376" s="36" t="e">
        <f>Tabela7[[#This Row],[ID]]</f>
        <v>#VALUE!</v>
      </c>
      <c r="M376" s="17" t="e">
        <f>_xlfn.CONCAT(Tabela7[[#This Row],[DATA]],"+",Tabela7[[#This Row],[NOME]])</f>
        <v>#VALUE!</v>
      </c>
      <c r="N376" s="11" t="e" cm="1">
        <f t="array" ref="N376">_xlfn.XLOOKUP(M376,tabE.Flux[[#All],[COMP.AT. MOT A]],#REF!,"NÃO",0,1)</f>
        <v>#VALUE!</v>
      </c>
      <c r="O376" s="11" t="e" cm="1">
        <f t="array" ref="O376">_xlfn.XLOOKUP(M376,tabE.Flux[[#All],[COMP.AT. MOT B]],#REF!,"NÃO",0,1)</f>
        <v>#VALUE!</v>
      </c>
      <c r="P376" s="12" t="e">
        <f>IF(N376="NÃO",(IF(O376="NÃO",(_xlfn.CONCAT(Tabela7[[#This Row],[DATA]]-1,"+",Tabela7[[#This Row],[NOME]])),"NÃO")),"NÃO")</f>
        <v>#VALUE!</v>
      </c>
      <c r="Q376" s="11" t="e" cm="1">
        <f t="array" ref="Q376">IF(P376="NÃO","NÃO",_xlfn.XLOOKUP(P376,tabE.Flux[COMP.AT. MOT A],#REF!,"NÃO",0,1))</f>
        <v>#VALUE!</v>
      </c>
      <c r="R376" s="14" t="e" cm="1">
        <f t="array" ref="R376">IF(P376="NÃO","NÃO",_xlfn.XLOOKUP(P376,tabE.Flux[COMP.AT. MOT B],#REF!,"NÃO",0,1))</f>
        <v>#VALUE!</v>
      </c>
      <c r="S37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76" s="16" t="e" cm="1">
        <f t="array" ref="T37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76" s="41" t="e" cm="1">
        <f t="array" ref="U37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77" spans="12:21" x14ac:dyDescent="0.25">
      <c r="L377" s="36" t="e">
        <f>Tabela7[[#This Row],[ID]]</f>
        <v>#VALUE!</v>
      </c>
      <c r="M377" s="17" t="e">
        <f>_xlfn.CONCAT(Tabela7[[#This Row],[DATA]],"+",Tabela7[[#This Row],[NOME]])</f>
        <v>#VALUE!</v>
      </c>
      <c r="N377" s="11" t="e" cm="1">
        <f t="array" ref="N377">_xlfn.XLOOKUP(M377,tabE.Flux[[#All],[COMP.AT. MOT A]],#REF!,"NÃO",0,1)</f>
        <v>#VALUE!</v>
      </c>
      <c r="O377" s="11" t="e" cm="1">
        <f t="array" ref="O377">_xlfn.XLOOKUP(M377,tabE.Flux[[#All],[COMP.AT. MOT B]],#REF!,"NÃO",0,1)</f>
        <v>#VALUE!</v>
      </c>
      <c r="P377" s="12" t="e">
        <f>IF(N377="NÃO",(IF(O377="NÃO",(_xlfn.CONCAT(Tabela7[[#This Row],[DATA]]-1,"+",Tabela7[[#This Row],[NOME]])),"NÃO")),"NÃO")</f>
        <v>#VALUE!</v>
      </c>
      <c r="Q377" s="11" t="e" cm="1">
        <f t="array" ref="Q377">IF(P377="NÃO","NÃO",_xlfn.XLOOKUP(P377,tabE.Flux[COMP.AT. MOT A],#REF!,"NÃO",0,1))</f>
        <v>#VALUE!</v>
      </c>
      <c r="R377" s="14" t="e" cm="1">
        <f t="array" ref="R377">IF(P377="NÃO","NÃO",_xlfn.XLOOKUP(P377,tabE.Flux[COMP.AT. MOT B],#REF!,"NÃO",0,1))</f>
        <v>#VALUE!</v>
      </c>
      <c r="S37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77" s="16" t="e" cm="1">
        <f t="array" ref="T37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77" s="41" t="e" cm="1">
        <f t="array" ref="U37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78" spans="12:21" x14ac:dyDescent="0.25">
      <c r="L378" s="36" t="e">
        <f>Tabela7[[#This Row],[ID]]</f>
        <v>#VALUE!</v>
      </c>
      <c r="M378" s="17" t="e">
        <f>_xlfn.CONCAT(Tabela7[[#This Row],[DATA]],"+",Tabela7[[#This Row],[NOME]])</f>
        <v>#VALUE!</v>
      </c>
      <c r="N378" s="11" t="e" cm="1">
        <f t="array" ref="N378">_xlfn.XLOOKUP(M378,tabE.Flux[[#All],[COMP.AT. MOT A]],#REF!,"NÃO",0,1)</f>
        <v>#VALUE!</v>
      </c>
      <c r="O378" s="11" t="e" cm="1">
        <f t="array" ref="O378">_xlfn.XLOOKUP(M378,tabE.Flux[[#All],[COMP.AT. MOT B]],#REF!,"NÃO",0,1)</f>
        <v>#VALUE!</v>
      </c>
      <c r="P378" s="12" t="e">
        <f>IF(N378="NÃO",(IF(O378="NÃO",(_xlfn.CONCAT(Tabela7[[#This Row],[DATA]]-1,"+",Tabela7[[#This Row],[NOME]])),"NÃO")),"NÃO")</f>
        <v>#VALUE!</v>
      </c>
      <c r="Q378" s="11" t="e" cm="1">
        <f t="array" ref="Q378">IF(P378="NÃO","NÃO",_xlfn.XLOOKUP(P378,tabE.Flux[COMP.AT. MOT A],#REF!,"NÃO",0,1))</f>
        <v>#VALUE!</v>
      </c>
      <c r="R378" s="14" t="e" cm="1">
        <f t="array" ref="R378">IF(P378="NÃO","NÃO",_xlfn.XLOOKUP(P378,tabE.Flux[COMP.AT. MOT B],#REF!,"NÃO",0,1))</f>
        <v>#VALUE!</v>
      </c>
      <c r="S37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78" s="16" t="e" cm="1">
        <f t="array" ref="T37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78" s="41" t="e" cm="1">
        <f t="array" ref="U37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79" spans="12:21" x14ac:dyDescent="0.25">
      <c r="L379" s="36" t="e">
        <f>Tabela7[[#This Row],[ID]]</f>
        <v>#VALUE!</v>
      </c>
      <c r="M379" s="17" t="e">
        <f>_xlfn.CONCAT(Tabela7[[#This Row],[DATA]],"+",Tabela7[[#This Row],[NOME]])</f>
        <v>#VALUE!</v>
      </c>
      <c r="N379" s="11" t="e" cm="1">
        <f t="array" ref="N379">_xlfn.XLOOKUP(M379,tabE.Flux[[#All],[COMP.AT. MOT A]],#REF!,"NÃO",0,1)</f>
        <v>#VALUE!</v>
      </c>
      <c r="O379" s="11" t="e" cm="1">
        <f t="array" ref="O379">_xlfn.XLOOKUP(M379,tabE.Flux[[#All],[COMP.AT. MOT B]],#REF!,"NÃO",0,1)</f>
        <v>#VALUE!</v>
      </c>
      <c r="P379" s="12" t="e">
        <f>IF(N379="NÃO",(IF(O379="NÃO",(_xlfn.CONCAT(Tabela7[[#This Row],[DATA]]-1,"+",Tabela7[[#This Row],[NOME]])),"NÃO")),"NÃO")</f>
        <v>#VALUE!</v>
      </c>
      <c r="Q379" s="11" t="e" cm="1">
        <f t="array" ref="Q379">IF(P379="NÃO","NÃO",_xlfn.XLOOKUP(P379,tabE.Flux[COMP.AT. MOT A],#REF!,"NÃO",0,1))</f>
        <v>#VALUE!</v>
      </c>
      <c r="R379" s="14" t="e" cm="1">
        <f t="array" ref="R379">IF(P379="NÃO","NÃO",_xlfn.XLOOKUP(P379,tabE.Flux[COMP.AT. MOT B],#REF!,"NÃO",0,1))</f>
        <v>#VALUE!</v>
      </c>
      <c r="S37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79" s="16" t="e" cm="1">
        <f t="array" ref="T37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79" s="41" t="e" cm="1">
        <f t="array" ref="U37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80" spans="12:21" x14ac:dyDescent="0.25">
      <c r="L380" s="36" t="e">
        <f>Tabela7[[#This Row],[ID]]</f>
        <v>#VALUE!</v>
      </c>
      <c r="M380" s="17" t="e">
        <f>_xlfn.CONCAT(Tabela7[[#This Row],[DATA]],"+",Tabela7[[#This Row],[NOME]])</f>
        <v>#VALUE!</v>
      </c>
      <c r="N380" s="11" t="e" cm="1">
        <f t="array" ref="N380">_xlfn.XLOOKUP(M380,tabE.Flux[[#All],[COMP.AT. MOT A]],#REF!,"NÃO",0,1)</f>
        <v>#VALUE!</v>
      </c>
      <c r="O380" s="11" t="e" cm="1">
        <f t="array" ref="O380">_xlfn.XLOOKUP(M380,tabE.Flux[[#All],[COMP.AT. MOT B]],#REF!,"NÃO",0,1)</f>
        <v>#VALUE!</v>
      </c>
      <c r="P380" s="12" t="e">
        <f>IF(N380="NÃO",(IF(O380="NÃO",(_xlfn.CONCAT(Tabela7[[#This Row],[DATA]]-1,"+",Tabela7[[#This Row],[NOME]])),"NÃO")),"NÃO")</f>
        <v>#VALUE!</v>
      </c>
      <c r="Q380" s="11" t="e" cm="1">
        <f t="array" ref="Q380">IF(P380="NÃO","NÃO",_xlfn.XLOOKUP(P380,tabE.Flux[COMP.AT. MOT A],#REF!,"NÃO",0,1))</f>
        <v>#VALUE!</v>
      </c>
      <c r="R380" s="14" t="e" cm="1">
        <f t="array" ref="R380">IF(P380="NÃO","NÃO",_xlfn.XLOOKUP(P380,tabE.Flux[COMP.AT. MOT B],#REF!,"NÃO",0,1))</f>
        <v>#VALUE!</v>
      </c>
      <c r="S38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80" s="16" t="e" cm="1">
        <f t="array" ref="T38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80" s="41" t="e" cm="1">
        <f t="array" ref="U38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81" spans="12:21" x14ac:dyDescent="0.25">
      <c r="L381" s="36" t="e">
        <f>Tabela7[[#This Row],[ID]]</f>
        <v>#VALUE!</v>
      </c>
      <c r="M381" s="17" t="e">
        <f>_xlfn.CONCAT(Tabela7[[#This Row],[DATA]],"+",Tabela7[[#This Row],[NOME]])</f>
        <v>#VALUE!</v>
      </c>
      <c r="N381" s="11" t="e" cm="1">
        <f t="array" ref="N381">_xlfn.XLOOKUP(M381,tabE.Flux[[#All],[COMP.AT. MOT A]],#REF!,"NÃO",0,1)</f>
        <v>#VALUE!</v>
      </c>
      <c r="O381" s="11" t="e" cm="1">
        <f t="array" ref="O381">_xlfn.XLOOKUP(M381,tabE.Flux[[#All],[COMP.AT. MOT B]],#REF!,"NÃO",0,1)</f>
        <v>#VALUE!</v>
      </c>
      <c r="P381" s="12" t="e">
        <f>IF(N381="NÃO",(IF(O381="NÃO",(_xlfn.CONCAT(Tabela7[[#This Row],[DATA]]-1,"+",Tabela7[[#This Row],[NOME]])),"NÃO")),"NÃO")</f>
        <v>#VALUE!</v>
      </c>
      <c r="Q381" s="11" t="e" cm="1">
        <f t="array" ref="Q381">IF(P381="NÃO","NÃO",_xlfn.XLOOKUP(P381,tabE.Flux[COMP.AT. MOT A],#REF!,"NÃO",0,1))</f>
        <v>#VALUE!</v>
      </c>
      <c r="R381" s="14" t="e" cm="1">
        <f t="array" ref="R381">IF(P381="NÃO","NÃO",_xlfn.XLOOKUP(P381,tabE.Flux[COMP.AT. MOT B],#REF!,"NÃO",0,1))</f>
        <v>#VALUE!</v>
      </c>
      <c r="S38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81" s="16" t="e" cm="1">
        <f t="array" ref="T38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81" s="41" t="e" cm="1">
        <f t="array" ref="U38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82" spans="12:21" x14ac:dyDescent="0.25">
      <c r="L382" s="36" t="e">
        <f>Tabela7[[#This Row],[ID]]</f>
        <v>#VALUE!</v>
      </c>
      <c r="M382" s="17" t="e">
        <f>_xlfn.CONCAT(Tabela7[[#This Row],[DATA]],"+",Tabela7[[#This Row],[NOME]])</f>
        <v>#VALUE!</v>
      </c>
      <c r="N382" s="11" t="e" cm="1">
        <f t="array" ref="N382">_xlfn.XLOOKUP(M382,tabE.Flux[[#All],[COMP.AT. MOT A]],#REF!,"NÃO",0,1)</f>
        <v>#VALUE!</v>
      </c>
      <c r="O382" s="11" t="e" cm="1">
        <f t="array" ref="O382">_xlfn.XLOOKUP(M382,tabE.Flux[[#All],[COMP.AT. MOT B]],#REF!,"NÃO",0,1)</f>
        <v>#VALUE!</v>
      </c>
      <c r="P382" s="12" t="e">
        <f>IF(N382="NÃO",(IF(O382="NÃO",(_xlfn.CONCAT(Tabela7[[#This Row],[DATA]]-1,"+",Tabela7[[#This Row],[NOME]])),"NÃO")),"NÃO")</f>
        <v>#VALUE!</v>
      </c>
      <c r="Q382" s="11" t="e" cm="1">
        <f t="array" ref="Q382">IF(P382="NÃO","NÃO",_xlfn.XLOOKUP(P382,tabE.Flux[COMP.AT. MOT A],#REF!,"NÃO",0,1))</f>
        <v>#VALUE!</v>
      </c>
      <c r="R382" s="14" t="e" cm="1">
        <f t="array" ref="R382">IF(P382="NÃO","NÃO",_xlfn.XLOOKUP(P382,tabE.Flux[COMP.AT. MOT B],#REF!,"NÃO",0,1))</f>
        <v>#VALUE!</v>
      </c>
      <c r="S38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82" s="16" t="e" cm="1">
        <f t="array" ref="T38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82" s="41" t="e" cm="1">
        <f t="array" ref="U38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83" spans="12:21" x14ac:dyDescent="0.25">
      <c r="L383" s="36" t="e">
        <f>Tabela7[[#This Row],[ID]]</f>
        <v>#VALUE!</v>
      </c>
      <c r="M383" s="17" t="e">
        <f>_xlfn.CONCAT(Tabela7[[#This Row],[DATA]],"+",Tabela7[[#This Row],[NOME]])</f>
        <v>#VALUE!</v>
      </c>
      <c r="N383" s="11" t="e" cm="1">
        <f t="array" ref="N383">_xlfn.XLOOKUP(M383,tabE.Flux[[#All],[COMP.AT. MOT A]],#REF!,"NÃO",0,1)</f>
        <v>#VALUE!</v>
      </c>
      <c r="O383" s="11" t="e" cm="1">
        <f t="array" ref="O383">_xlfn.XLOOKUP(M383,tabE.Flux[[#All],[COMP.AT. MOT B]],#REF!,"NÃO",0,1)</f>
        <v>#VALUE!</v>
      </c>
      <c r="P383" s="12" t="e">
        <f>IF(N383="NÃO",(IF(O383="NÃO",(_xlfn.CONCAT(Tabela7[[#This Row],[DATA]]-1,"+",Tabela7[[#This Row],[NOME]])),"NÃO")),"NÃO")</f>
        <v>#VALUE!</v>
      </c>
      <c r="Q383" s="11" t="e" cm="1">
        <f t="array" ref="Q383">IF(P383="NÃO","NÃO",_xlfn.XLOOKUP(P383,tabE.Flux[COMP.AT. MOT A],#REF!,"NÃO",0,1))</f>
        <v>#VALUE!</v>
      </c>
      <c r="R383" s="14" t="e" cm="1">
        <f t="array" ref="R383">IF(P383="NÃO","NÃO",_xlfn.XLOOKUP(P383,tabE.Flux[COMP.AT. MOT B],#REF!,"NÃO",0,1))</f>
        <v>#VALUE!</v>
      </c>
      <c r="S38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83" s="16" t="e" cm="1">
        <f t="array" ref="T38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83" s="41" t="e" cm="1">
        <f t="array" ref="U38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84" spans="12:21" x14ac:dyDescent="0.25">
      <c r="L384" s="36" t="e">
        <f>Tabela7[[#This Row],[ID]]</f>
        <v>#VALUE!</v>
      </c>
      <c r="M384" s="17" t="e">
        <f>_xlfn.CONCAT(Tabela7[[#This Row],[DATA]],"+",Tabela7[[#This Row],[NOME]])</f>
        <v>#VALUE!</v>
      </c>
      <c r="N384" s="11" t="e" cm="1">
        <f t="array" ref="N384">_xlfn.XLOOKUP(M384,tabE.Flux[[#All],[COMP.AT. MOT A]],#REF!,"NÃO",0,1)</f>
        <v>#VALUE!</v>
      </c>
      <c r="O384" s="11" t="e" cm="1">
        <f t="array" ref="O384">_xlfn.XLOOKUP(M384,tabE.Flux[[#All],[COMP.AT. MOT B]],#REF!,"NÃO",0,1)</f>
        <v>#VALUE!</v>
      </c>
      <c r="P384" s="12" t="e">
        <f>IF(N384="NÃO",(IF(O384="NÃO",(_xlfn.CONCAT(Tabela7[[#This Row],[DATA]]-1,"+",Tabela7[[#This Row],[NOME]])),"NÃO")),"NÃO")</f>
        <v>#VALUE!</v>
      </c>
      <c r="Q384" s="11" t="e" cm="1">
        <f t="array" ref="Q384">IF(P384="NÃO","NÃO",_xlfn.XLOOKUP(P384,tabE.Flux[COMP.AT. MOT A],#REF!,"NÃO",0,1))</f>
        <v>#VALUE!</v>
      </c>
      <c r="R384" s="14" t="e" cm="1">
        <f t="array" ref="R384">IF(P384="NÃO","NÃO",_xlfn.XLOOKUP(P384,tabE.Flux[COMP.AT. MOT B],#REF!,"NÃO",0,1))</f>
        <v>#VALUE!</v>
      </c>
      <c r="S38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84" s="16" t="e" cm="1">
        <f t="array" ref="T38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84" s="41" t="e" cm="1">
        <f t="array" ref="U38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85" spans="12:21" x14ac:dyDescent="0.25">
      <c r="L385" s="36" t="e">
        <f>Tabela7[[#This Row],[ID]]</f>
        <v>#VALUE!</v>
      </c>
      <c r="M385" s="17" t="e">
        <f>_xlfn.CONCAT(Tabela7[[#This Row],[DATA]],"+",Tabela7[[#This Row],[NOME]])</f>
        <v>#VALUE!</v>
      </c>
      <c r="N385" s="11" t="e" cm="1">
        <f t="array" ref="N385">_xlfn.XLOOKUP(M385,tabE.Flux[[#All],[COMP.AT. MOT A]],#REF!,"NÃO",0,1)</f>
        <v>#VALUE!</v>
      </c>
      <c r="O385" s="11" t="e" cm="1">
        <f t="array" ref="O385">_xlfn.XLOOKUP(M385,tabE.Flux[[#All],[COMP.AT. MOT B]],#REF!,"NÃO",0,1)</f>
        <v>#VALUE!</v>
      </c>
      <c r="P385" s="12" t="e">
        <f>IF(N385="NÃO",(IF(O385="NÃO",(_xlfn.CONCAT(Tabela7[[#This Row],[DATA]]-1,"+",Tabela7[[#This Row],[NOME]])),"NÃO")),"NÃO")</f>
        <v>#VALUE!</v>
      </c>
      <c r="Q385" s="11" t="e" cm="1">
        <f t="array" ref="Q385">IF(P385="NÃO","NÃO",_xlfn.XLOOKUP(P385,tabE.Flux[COMP.AT. MOT A],#REF!,"NÃO",0,1))</f>
        <v>#VALUE!</v>
      </c>
      <c r="R385" s="14" t="e" cm="1">
        <f t="array" ref="R385">IF(P385="NÃO","NÃO",_xlfn.XLOOKUP(P385,tabE.Flux[COMP.AT. MOT B],#REF!,"NÃO",0,1))</f>
        <v>#VALUE!</v>
      </c>
      <c r="S38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85" s="16" t="e" cm="1">
        <f t="array" ref="T38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85" s="41" t="e" cm="1">
        <f t="array" ref="U38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86" spans="12:21" x14ac:dyDescent="0.25">
      <c r="L386" s="36" t="e">
        <f>Tabela7[[#This Row],[ID]]</f>
        <v>#VALUE!</v>
      </c>
      <c r="M386" s="17" t="e">
        <f>_xlfn.CONCAT(Tabela7[[#This Row],[DATA]],"+",Tabela7[[#This Row],[NOME]])</f>
        <v>#VALUE!</v>
      </c>
      <c r="N386" s="11" t="e" cm="1">
        <f t="array" ref="N386">_xlfn.XLOOKUP(M386,tabE.Flux[[#All],[COMP.AT. MOT A]],#REF!,"NÃO",0,1)</f>
        <v>#VALUE!</v>
      </c>
      <c r="O386" s="11" t="e" cm="1">
        <f t="array" ref="O386">_xlfn.XLOOKUP(M386,tabE.Flux[[#All],[COMP.AT. MOT B]],#REF!,"NÃO",0,1)</f>
        <v>#VALUE!</v>
      </c>
      <c r="P386" s="12" t="e">
        <f>IF(N386="NÃO",(IF(O386="NÃO",(_xlfn.CONCAT(Tabela7[[#This Row],[DATA]]-1,"+",Tabela7[[#This Row],[NOME]])),"NÃO")),"NÃO")</f>
        <v>#VALUE!</v>
      </c>
      <c r="Q386" s="11" t="e" cm="1">
        <f t="array" ref="Q386">IF(P386="NÃO","NÃO",_xlfn.XLOOKUP(P386,tabE.Flux[COMP.AT. MOT A],#REF!,"NÃO",0,1))</f>
        <v>#VALUE!</v>
      </c>
      <c r="R386" s="14" t="e" cm="1">
        <f t="array" ref="R386">IF(P386="NÃO","NÃO",_xlfn.XLOOKUP(P386,tabE.Flux[COMP.AT. MOT B],#REF!,"NÃO",0,1))</f>
        <v>#VALUE!</v>
      </c>
      <c r="S38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86" s="16" t="e" cm="1">
        <f t="array" ref="T38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86" s="41" t="e" cm="1">
        <f t="array" ref="U38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87" spans="12:21" x14ac:dyDescent="0.25">
      <c r="L387" s="36" t="e">
        <f>Tabela7[[#This Row],[ID]]</f>
        <v>#VALUE!</v>
      </c>
      <c r="M387" s="17" t="e">
        <f>_xlfn.CONCAT(Tabela7[[#This Row],[DATA]],"+",Tabela7[[#This Row],[NOME]])</f>
        <v>#VALUE!</v>
      </c>
      <c r="N387" s="11" t="e" cm="1">
        <f t="array" ref="N387">_xlfn.XLOOKUP(M387,tabE.Flux[[#All],[COMP.AT. MOT A]],#REF!,"NÃO",0,1)</f>
        <v>#VALUE!</v>
      </c>
      <c r="O387" s="11" t="e" cm="1">
        <f t="array" ref="O387">_xlfn.XLOOKUP(M387,tabE.Flux[[#All],[COMP.AT. MOT B]],#REF!,"NÃO",0,1)</f>
        <v>#VALUE!</v>
      </c>
      <c r="P387" s="12" t="e">
        <f>IF(N387="NÃO",(IF(O387="NÃO",(_xlfn.CONCAT(Tabela7[[#This Row],[DATA]]-1,"+",Tabela7[[#This Row],[NOME]])),"NÃO")),"NÃO")</f>
        <v>#VALUE!</v>
      </c>
      <c r="Q387" s="11" t="e" cm="1">
        <f t="array" ref="Q387">IF(P387="NÃO","NÃO",_xlfn.XLOOKUP(P387,tabE.Flux[COMP.AT. MOT A],#REF!,"NÃO",0,1))</f>
        <v>#VALUE!</v>
      </c>
      <c r="R387" s="14" t="e" cm="1">
        <f t="array" ref="R387">IF(P387="NÃO","NÃO",_xlfn.XLOOKUP(P387,tabE.Flux[COMP.AT. MOT B],#REF!,"NÃO",0,1))</f>
        <v>#VALUE!</v>
      </c>
      <c r="S38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87" s="16" t="e" cm="1">
        <f t="array" ref="T38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87" s="41" t="e" cm="1">
        <f t="array" ref="U38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88" spans="12:21" x14ac:dyDescent="0.25">
      <c r="L388" s="36" t="e">
        <f>Tabela7[[#This Row],[ID]]</f>
        <v>#VALUE!</v>
      </c>
      <c r="M388" s="17" t="e">
        <f>_xlfn.CONCAT(Tabela7[[#This Row],[DATA]],"+",Tabela7[[#This Row],[NOME]])</f>
        <v>#VALUE!</v>
      </c>
      <c r="N388" s="11" t="e" cm="1">
        <f t="array" ref="N388">_xlfn.XLOOKUP(M388,tabE.Flux[[#All],[COMP.AT. MOT A]],#REF!,"NÃO",0,1)</f>
        <v>#VALUE!</v>
      </c>
      <c r="O388" s="11" t="e" cm="1">
        <f t="array" ref="O388">_xlfn.XLOOKUP(M388,tabE.Flux[[#All],[COMP.AT. MOT B]],#REF!,"NÃO",0,1)</f>
        <v>#VALUE!</v>
      </c>
      <c r="P388" s="12" t="e">
        <f>IF(N388="NÃO",(IF(O388="NÃO",(_xlfn.CONCAT(Tabela7[[#This Row],[DATA]]-1,"+",Tabela7[[#This Row],[NOME]])),"NÃO")),"NÃO")</f>
        <v>#VALUE!</v>
      </c>
      <c r="Q388" s="11" t="e" cm="1">
        <f t="array" ref="Q388">IF(P388="NÃO","NÃO",_xlfn.XLOOKUP(P388,tabE.Flux[COMP.AT. MOT A],#REF!,"NÃO",0,1))</f>
        <v>#VALUE!</v>
      </c>
      <c r="R388" s="14" t="e" cm="1">
        <f t="array" ref="R388">IF(P388="NÃO","NÃO",_xlfn.XLOOKUP(P388,tabE.Flux[COMP.AT. MOT B],#REF!,"NÃO",0,1))</f>
        <v>#VALUE!</v>
      </c>
      <c r="S38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88" s="16" t="e" cm="1">
        <f t="array" ref="T38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88" s="41" t="e" cm="1">
        <f t="array" ref="U38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89" spans="12:21" x14ac:dyDescent="0.25">
      <c r="L389" s="36" t="e">
        <f>Tabela7[[#This Row],[ID]]</f>
        <v>#VALUE!</v>
      </c>
      <c r="M389" s="17" t="e">
        <f>_xlfn.CONCAT(Tabela7[[#This Row],[DATA]],"+",Tabela7[[#This Row],[NOME]])</f>
        <v>#VALUE!</v>
      </c>
      <c r="N389" s="11" t="e" cm="1">
        <f t="array" ref="N389">_xlfn.XLOOKUP(M389,tabE.Flux[[#All],[COMP.AT. MOT A]],#REF!,"NÃO",0,1)</f>
        <v>#VALUE!</v>
      </c>
      <c r="O389" s="11" t="e" cm="1">
        <f t="array" ref="O389">_xlfn.XLOOKUP(M389,tabE.Flux[[#All],[COMP.AT. MOT B]],#REF!,"NÃO",0,1)</f>
        <v>#VALUE!</v>
      </c>
      <c r="P389" s="12" t="e">
        <f>IF(N389="NÃO",(IF(O389="NÃO",(_xlfn.CONCAT(Tabela7[[#This Row],[DATA]]-1,"+",Tabela7[[#This Row],[NOME]])),"NÃO")),"NÃO")</f>
        <v>#VALUE!</v>
      </c>
      <c r="Q389" s="11" t="e" cm="1">
        <f t="array" ref="Q389">IF(P389="NÃO","NÃO",_xlfn.XLOOKUP(P389,tabE.Flux[COMP.AT. MOT A],#REF!,"NÃO",0,1))</f>
        <v>#VALUE!</v>
      </c>
      <c r="R389" s="14" t="e" cm="1">
        <f t="array" ref="R389">IF(P389="NÃO","NÃO",_xlfn.XLOOKUP(P389,tabE.Flux[COMP.AT. MOT B],#REF!,"NÃO",0,1))</f>
        <v>#VALUE!</v>
      </c>
      <c r="S38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89" s="16" t="e" cm="1">
        <f t="array" ref="T38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89" s="41" t="e" cm="1">
        <f t="array" ref="U38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90" spans="12:21" x14ac:dyDescent="0.25">
      <c r="L390" s="36" t="e">
        <f>Tabela7[[#This Row],[ID]]</f>
        <v>#VALUE!</v>
      </c>
      <c r="M390" s="17" t="e">
        <f>_xlfn.CONCAT(Tabela7[[#This Row],[DATA]],"+",Tabela7[[#This Row],[NOME]])</f>
        <v>#VALUE!</v>
      </c>
      <c r="N390" s="11" t="e" cm="1">
        <f t="array" ref="N390">_xlfn.XLOOKUP(M390,tabE.Flux[[#All],[COMP.AT. MOT A]],#REF!,"NÃO",0,1)</f>
        <v>#VALUE!</v>
      </c>
      <c r="O390" s="11" t="e" cm="1">
        <f t="array" ref="O390">_xlfn.XLOOKUP(M390,tabE.Flux[[#All],[COMP.AT. MOT B]],#REF!,"NÃO",0,1)</f>
        <v>#VALUE!</v>
      </c>
      <c r="P390" s="12" t="e">
        <f>IF(N390="NÃO",(IF(O390="NÃO",(_xlfn.CONCAT(Tabela7[[#This Row],[DATA]]-1,"+",Tabela7[[#This Row],[NOME]])),"NÃO")),"NÃO")</f>
        <v>#VALUE!</v>
      </c>
      <c r="Q390" s="11" t="e" cm="1">
        <f t="array" ref="Q390">IF(P390="NÃO","NÃO",_xlfn.XLOOKUP(P390,tabE.Flux[COMP.AT. MOT A],#REF!,"NÃO",0,1))</f>
        <v>#VALUE!</v>
      </c>
      <c r="R390" s="14" t="e" cm="1">
        <f t="array" ref="R390">IF(P390="NÃO","NÃO",_xlfn.XLOOKUP(P390,tabE.Flux[COMP.AT. MOT B],#REF!,"NÃO",0,1))</f>
        <v>#VALUE!</v>
      </c>
      <c r="S39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90" s="16" t="e" cm="1">
        <f t="array" ref="T39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90" s="41" t="e" cm="1">
        <f t="array" ref="U39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91" spans="12:21" x14ac:dyDescent="0.25">
      <c r="L391" s="36" t="e">
        <f>Tabela7[[#This Row],[ID]]</f>
        <v>#VALUE!</v>
      </c>
      <c r="M391" s="17" t="e">
        <f>_xlfn.CONCAT(Tabela7[[#This Row],[DATA]],"+",Tabela7[[#This Row],[NOME]])</f>
        <v>#VALUE!</v>
      </c>
      <c r="N391" s="11" t="e" cm="1">
        <f t="array" ref="N391">_xlfn.XLOOKUP(M391,tabE.Flux[[#All],[COMP.AT. MOT A]],#REF!,"NÃO",0,1)</f>
        <v>#VALUE!</v>
      </c>
      <c r="O391" s="11" t="e" cm="1">
        <f t="array" ref="O391">_xlfn.XLOOKUP(M391,tabE.Flux[[#All],[COMP.AT. MOT B]],#REF!,"NÃO",0,1)</f>
        <v>#VALUE!</v>
      </c>
      <c r="P391" s="12" t="e">
        <f>IF(N391="NÃO",(IF(O391="NÃO",(_xlfn.CONCAT(Tabela7[[#This Row],[DATA]]-1,"+",Tabela7[[#This Row],[NOME]])),"NÃO")),"NÃO")</f>
        <v>#VALUE!</v>
      </c>
      <c r="Q391" s="11" t="e" cm="1">
        <f t="array" ref="Q391">IF(P391="NÃO","NÃO",_xlfn.XLOOKUP(P391,tabE.Flux[COMP.AT. MOT A],#REF!,"NÃO",0,1))</f>
        <v>#VALUE!</v>
      </c>
      <c r="R391" s="14" t="e" cm="1">
        <f t="array" ref="R391">IF(P391="NÃO","NÃO",_xlfn.XLOOKUP(P391,tabE.Flux[COMP.AT. MOT B],#REF!,"NÃO",0,1))</f>
        <v>#VALUE!</v>
      </c>
      <c r="S39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91" s="16" t="e" cm="1">
        <f t="array" ref="T39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91" s="41" t="e" cm="1">
        <f t="array" ref="U39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92" spans="12:21" x14ac:dyDescent="0.25">
      <c r="L392" s="36" t="e">
        <f>Tabela7[[#This Row],[ID]]</f>
        <v>#VALUE!</v>
      </c>
      <c r="M392" s="17" t="e">
        <f>_xlfn.CONCAT(Tabela7[[#This Row],[DATA]],"+",Tabela7[[#This Row],[NOME]])</f>
        <v>#VALUE!</v>
      </c>
      <c r="N392" s="11" t="e" cm="1">
        <f t="array" ref="N392">_xlfn.XLOOKUP(M392,tabE.Flux[[#All],[COMP.AT. MOT A]],#REF!,"NÃO",0,1)</f>
        <v>#VALUE!</v>
      </c>
      <c r="O392" s="11" t="e" cm="1">
        <f t="array" ref="O392">_xlfn.XLOOKUP(M392,tabE.Flux[[#All],[COMP.AT. MOT B]],#REF!,"NÃO",0,1)</f>
        <v>#VALUE!</v>
      </c>
      <c r="P392" s="12" t="e">
        <f>IF(N392="NÃO",(IF(O392="NÃO",(_xlfn.CONCAT(Tabela7[[#This Row],[DATA]]-1,"+",Tabela7[[#This Row],[NOME]])),"NÃO")),"NÃO")</f>
        <v>#VALUE!</v>
      </c>
      <c r="Q392" s="11" t="e" cm="1">
        <f t="array" ref="Q392">IF(P392="NÃO","NÃO",_xlfn.XLOOKUP(P392,tabE.Flux[COMP.AT. MOT A],#REF!,"NÃO",0,1))</f>
        <v>#VALUE!</v>
      </c>
      <c r="R392" s="14" t="e" cm="1">
        <f t="array" ref="R392">IF(P392="NÃO","NÃO",_xlfn.XLOOKUP(P392,tabE.Flux[COMP.AT. MOT B],#REF!,"NÃO",0,1))</f>
        <v>#VALUE!</v>
      </c>
      <c r="S39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92" s="16" t="e" cm="1">
        <f t="array" ref="T39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92" s="41" t="e" cm="1">
        <f t="array" ref="U39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93" spans="12:21" x14ac:dyDescent="0.25">
      <c r="L393" s="36" t="e">
        <f>Tabela7[[#This Row],[ID]]</f>
        <v>#VALUE!</v>
      </c>
      <c r="M393" s="17" t="e">
        <f>_xlfn.CONCAT(Tabela7[[#This Row],[DATA]],"+",Tabela7[[#This Row],[NOME]])</f>
        <v>#VALUE!</v>
      </c>
      <c r="N393" s="11" t="e" cm="1">
        <f t="array" ref="N393">_xlfn.XLOOKUP(M393,tabE.Flux[[#All],[COMP.AT. MOT A]],#REF!,"NÃO",0,1)</f>
        <v>#VALUE!</v>
      </c>
      <c r="O393" s="11" t="e" cm="1">
        <f t="array" ref="O393">_xlfn.XLOOKUP(M393,tabE.Flux[[#All],[COMP.AT. MOT B]],#REF!,"NÃO",0,1)</f>
        <v>#VALUE!</v>
      </c>
      <c r="P393" s="12" t="e">
        <f>IF(N393="NÃO",(IF(O393="NÃO",(_xlfn.CONCAT(Tabela7[[#This Row],[DATA]]-1,"+",Tabela7[[#This Row],[NOME]])),"NÃO")),"NÃO")</f>
        <v>#VALUE!</v>
      </c>
      <c r="Q393" s="11" t="e" cm="1">
        <f t="array" ref="Q393">IF(P393="NÃO","NÃO",_xlfn.XLOOKUP(P393,tabE.Flux[COMP.AT. MOT A],#REF!,"NÃO",0,1))</f>
        <v>#VALUE!</v>
      </c>
      <c r="R393" s="14" t="e" cm="1">
        <f t="array" ref="R393">IF(P393="NÃO","NÃO",_xlfn.XLOOKUP(P393,tabE.Flux[COMP.AT. MOT B],#REF!,"NÃO",0,1))</f>
        <v>#VALUE!</v>
      </c>
      <c r="S39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93" s="16" t="e" cm="1">
        <f t="array" ref="T39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93" s="41" t="e" cm="1">
        <f t="array" ref="U39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94" spans="12:21" x14ac:dyDescent="0.25">
      <c r="L394" s="36" t="e">
        <f>Tabela7[[#This Row],[ID]]</f>
        <v>#VALUE!</v>
      </c>
      <c r="M394" s="17" t="e">
        <f>_xlfn.CONCAT(Tabela7[[#This Row],[DATA]],"+",Tabela7[[#This Row],[NOME]])</f>
        <v>#VALUE!</v>
      </c>
      <c r="N394" s="11" t="e" cm="1">
        <f t="array" ref="N394">_xlfn.XLOOKUP(M394,tabE.Flux[[#All],[COMP.AT. MOT A]],#REF!,"NÃO",0,1)</f>
        <v>#VALUE!</v>
      </c>
      <c r="O394" s="11" t="e" cm="1">
        <f t="array" ref="O394">_xlfn.XLOOKUP(M394,tabE.Flux[[#All],[COMP.AT. MOT B]],#REF!,"NÃO",0,1)</f>
        <v>#VALUE!</v>
      </c>
      <c r="P394" s="12" t="e">
        <f>IF(N394="NÃO",(IF(O394="NÃO",(_xlfn.CONCAT(Tabela7[[#This Row],[DATA]]-1,"+",Tabela7[[#This Row],[NOME]])),"NÃO")),"NÃO")</f>
        <v>#VALUE!</v>
      </c>
      <c r="Q394" s="11" t="e" cm="1">
        <f t="array" ref="Q394">IF(P394="NÃO","NÃO",_xlfn.XLOOKUP(P394,tabE.Flux[COMP.AT. MOT A],#REF!,"NÃO",0,1))</f>
        <v>#VALUE!</v>
      </c>
      <c r="R394" s="14" t="e" cm="1">
        <f t="array" ref="R394">IF(P394="NÃO","NÃO",_xlfn.XLOOKUP(P394,tabE.Flux[COMP.AT. MOT B],#REF!,"NÃO",0,1))</f>
        <v>#VALUE!</v>
      </c>
      <c r="S39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94" s="16" t="e" cm="1">
        <f t="array" ref="T39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94" s="41" t="e" cm="1">
        <f t="array" ref="U39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95" spans="12:21" x14ac:dyDescent="0.25">
      <c r="L395" s="36" t="e">
        <f>Tabela7[[#This Row],[ID]]</f>
        <v>#VALUE!</v>
      </c>
      <c r="M395" s="17" t="e">
        <f>_xlfn.CONCAT(Tabela7[[#This Row],[DATA]],"+",Tabela7[[#This Row],[NOME]])</f>
        <v>#VALUE!</v>
      </c>
      <c r="N395" s="11" t="e" cm="1">
        <f t="array" ref="N395">_xlfn.XLOOKUP(M395,tabE.Flux[[#All],[COMP.AT. MOT A]],#REF!,"NÃO",0,1)</f>
        <v>#VALUE!</v>
      </c>
      <c r="O395" s="11" t="e" cm="1">
        <f t="array" ref="O395">_xlfn.XLOOKUP(M395,tabE.Flux[[#All],[COMP.AT. MOT B]],#REF!,"NÃO",0,1)</f>
        <v>#VALUE!</v>
      </c>
      <c r="P395" s="12" t="e">
        <f>IF(N395="NÃO",(IF(O395="NÃO",(_xlfn.CONCAT(Tabela7[[#This Row],[DATA]]-1,"+",Tabela7[[#This Row],[NOME]])),"NÃO")),"NÃO")</f>
        <v>#VALUE!</v>
      </c>
      <c r="Q395" s="11" t="e" cm="1">
        <f t="array" ref="Q395">IF(P395="NÃO","NÃO",_xlfn.XLOOKUP(P395,tabE.Flux[COMP.AT. MOT A],#REF!,"NÃO",0,1))</f>
        <v>#VALUE!</v>
      </c>
      <c r="R395" s="14" t="e" cm="1">
        <f t="array" ref="R395">IF(P395="NÃO","NÃO",_xlfn.XLOOKUP(P395,tabE.Flux[COMP.AT. MOT B],#REF!,"NÃO",0,1))</f>
        <v>#VALUE!</v>
      </c>
      <c r="S39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95" s="16" t="e" cm="1">
        <f t="array" ref="T39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95" s="41" t="e" cm="1">
        <f t="array" ref="U39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96" spans="12:21" x14ac:dyDescent="0.25">
      <c r="L396" s="36" t="e">
        <f>Tabela7[[#This Row],[ID]]</f>
        <v>#VALUE!</v>
      </c>
      <c r="M396" s="17" t="e">
        <f>_xlfn.CONCAT(Tabela7[[#This Row],[DATA]],"+",Tabela7[[#This Row],[NOME]])</f>
        <v>#VALUE!</v>
      </c>
      <c r="N396" s="11" t="e" cm="1">
        <f t="array" ref="N396">_xlfn.XLOOKUP(M396,tabE.Flux[[#All],[COMP.AT. MOT A]],#REF!,"NÃO",0,1)</f>
        <v>#VALUE!</v>
      </c>
      <c r="O396" s="11" t="e" cm="1">
        <f t="array" ref="O396">_xlfn.XLOOKUP(M396,tabE.Flux[[#All],[COMP.AT. MOT B]],#REF!,"NÃO",0,1)</f>
        <v>#VALUE!</v>
      </c>
      <c r="P396" s="12" t="e">
        <f>IF(N396="NÃO",(IF(O396="NÃO",(_xlfn.CONCAT(Tabela7[[#This Row],[DATA]]-1,"+",Tabela7[[#This Row],[NOME]])),"NÃO")),"NÃO")</f>
        <v>#VALUE!</v>
      </c>
      <c r="Q396" s="11" t="e" cm="1">
        <f t="array" ref="Q396">IF(P396="NÃO","NÃO",_xlfn.XLOOKUP(P396,tabE.Flux[COMP.AT. MOT A],#REF!,"NÃO",0,1))</f>
        <v>#VALUE!</v>
      </c>
      <c r="R396" s="14" t="e" cm="1">
        <f t="array" ref="R396">IF(P396="NÃO","NÃO",_xlfn.XLOOKUP(P396,tabE.Flux[COMP.AT. MOT B],#REF!,"NÃO",0,1))</f>
        <v>#VALUE!</v>
      </c>
      <c r="S39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96" s="16" t="e" cm="1">
        <f t="array" ref="T39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96" s="41" t="e" cm="1">
        <f t="array" ref="U39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97" spans="12:21" x14ac:dyDescent="0.25">
      <c r="L397" s="36" t="e">
        <f>Tabela7[[#This Row],[ID]]</f>
        <v>#VALUE!</v>
      </c>
      <c r="M397" s="17" t="e">
        <f>_xlfn.CONCAT(Tabela7[[#This Row],[DATA]],"+",Tabela7[[#This Row],[NOME]])</f>
        <v>#VALUE!</v>
      </c>
      <c r="N397" s="11" t="e" cm="1">
        <f t="array" ref="N397">_xlfn.XLOOKUP(M397,tabE.Flux[[#All],[COMP.AT. MOT A]],#REF!,"NÃO",0,1)</f>
        <v>#VALUE!</v>
      </c>
      <c r="O397" s="11" t="e" cm="1">
        <f t="array" ref="O397">_xlfn.XLOOKUP(M397,tabE.Flux[[#All],[COMP.AT. MOT B]],#REF!,"NÃO",0,1)</f>
        <v>#VALUE!</v>
      </c>
      <c r="P397" s="12" t="e">
        <f>IF(N397="NÃO",(IF(O397="NÃO",(_xlfn.CONCAT(Tabela7[[#This Row],[DATA]]-1,"+",Tabela7[[#This Row],[NOME]])),"NÃO")),"NÃO")</f>
        <v>#VALUE!</v>
      </c>
      <c r="Q397" s="11" t="e" cm="1">
        <f t="array" ref="Q397">IF(P397="NÃO","NÃO",_xlfn.XLOOKUP(P397,tabE.Flux[COMP.AT. MOT A],#REF!,"NÃO",0,1))</f>
        <v>#VALUE!</v>
      </c>
      <c r="R397" s="14" t="e" cm="1">
        <f t="array" ref="R397">IF(P397="NÃO","NÃO",_xlfn.XLOOKUP(P397,tabE.Flux[COMP.AT. MOT B],#REF!,"NÃO",0,1))</f>
        <v>#VALUE!</v>
      </c>
      <c r="S39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97" s="16" t="e" cm="1">
        <f t="array" ref="T39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97" s="41" t="e" cm="1">
        <f t="array" ref="U39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98" spans="12:21" x14ac:dyDescent="0.25">
      <c r="L398" s="36" t="e">
        <f>Tabela7[[#This Row],[ID]]</f>
        <v>#VALUE!</v>
      </c>
      <c r="M398" s="17" t="e">
        <f>_xlfn.CONCAT(Tabela7[[#This Row],[DATA]],"+",Tabela7[[#This Row],[NOME]])</f>
        <v>#VALUE!</v>
      </c>
      <c r="N398" s="11" t="e" cm="1">
        <f t="array" ref="N398">_xlfn.XLOOKUP(M398,tabE.Flux[[#All],[COMP.AT. MOT A]],#REF!,"NÃO",0,1)</f>
        <v>#VALUE!</v>
      </c>
      <c r="O398" s="11" t="e" cm="1">
        <f t="array" ref="O398">_xlfn.XLOOKUP(M398,tabE.Flux[[#All],[COMP.AT. MOT B]],#REF!,"NÃO",0,1)</f>
        <v>#VALUE!</v>
      </c>
      <c r="P398" s="12" t="e">
        <f>IF(N398="NÃO",(IF(O398="NÃO",(_xlfn.CONCAT(Tabela7[[#This Row],[DATA]]-1,"+",Tabela7[[#This Row],[NOME]])),"NÃO")),"NÃO")</f>
        <v>#VALUE!</v>
      </c>
      <c r="Q398" s="11" t="e" cm="1">
        <f t="array" ref="Q398">IF(P398="NÃO","NÃO",_xlfn.XLOOKUP(P398,tabE.Flux[COMP.AT. MOT A],#REF!,"NÃO",0,1))</f>
        <v>#VALUE!</v>
      </c>
      <c r="R398" s="14" t="e" cm="1">
        <f t="array" ref="R398">IF(P398="NÃO","NÃO",_xlfn.XLOOKUP(P398,tabE.Flux[COMP.AT. MOT B],#REF!,"NÃO",0,1))</f>
        <v>#VALUE!</v>
      </c>
      <c r="S398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98" s="16" t="e" cm="1">
        <f t="array" ref="T39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98" s="41" t="e" cm="1">
        <f t="array" ref="U39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399" spans="12:21" x14ac:dyDescent="0.25">
      <c r="L399" s="36" t="e">
        <f>Tabela7[[#This Row],[ID]]</f>
        <v>#VALUE!</v>
      </c>
      <c r="M399" s="17" t="e">
        <f>_xlfn.CONCAT(Tabela7[[#This Row],[DATA]],"+",Tabela7[[#This Row],[NOME]])</f>
        <v>#VALUE!</v>
      </c>
      <c r="N399" s="11" t="e" cm="1">
        <f t="array" ref="N399">_xlfn.XLOOKUP(M399,tabE.Flux[[#All],[COMP.AT. MOT A]],#REF!,"NÃO",0,1)</f>
        <v>#VALUE!</v>
      </c>
      <c r="O399" s="11" t="e" cm="1">
        <f t="array" ref="O399">_xlfn.XLOOKUP(M399,tabE.Flux[[#All],[COMP.AT. MOT B]],#REF!,"NÃO",0,1)</f>
        <v>#VALUE!</v>
      </c>
      <c r="P399" s="12" t="e">
        <f>IF(N399="NÃO",(IF(O399="NÃO",(_xlfn.CONCAT(Tabela7[[#This Row],[DATA]]-1,"+",Tabela7[[#This Row],[NOME]])),"NÃO")),"NÃO")</f>
        <v>#VALUE!</v>
      </c>
      <c r="Q399" s="11" t="e" cm="1">
        <f t="array" ref="Q399">IF(P399="NÃO","NÃO",_xlfn.XLOOKUP(P399,tabE.Flux[COMP.AT. MOT A],#REF!,"NÃO",0,1))</f>
        <v>#VALUE!</v>
      </c>
      <c r="R399" s="14" t="e" cm="1">
        <f t="array" ref="R399">IF(P399="NÃO","NÃO",_xlfn.XLOOKUP(P399,tabE.Flux[COMP.AT. MOT B],#REF!,"NÃO",0,1))</f>
        <v>#VALUE!</v>
      </c>
      <c r="S399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399" s="16" t="e" cm="1">
        <f t="array" ref="T39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399" s="41" t="e" cm="1">
        <f t="array" ref="U399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400" spans="12:21" x14ac:dyDescent="0.25">
      <c r="L400" s="36" t="e">
        <f>Tabela7[[#This Row],[ID]]</f>
        <v>#VALUE!</v>
      </c>
      <c r="M400" s="17" t="e">
        <f>_xlfn.CONCAT(Tabela7[[#This Row],[DATA]],"+",Tabela7[[#This Row],[NOME]])</f>
        <v>#VALUE!</v>
      </c>
      <c r="N400" s="11" t="e" cm="1">
        <f t="array" ref="N400">_xlfn.XLOOKUP(M400,tabE.Flux[[#All],[COMP.AT. MOT A]],#REF!,"NÃO",0,1)</f>
        <v>#VALUE!</v>
      </c>
      <c r="O400" s="11" t="e" cm="1">
        <f t="array" ref="O400">_xlfn.XLOOKUP(M400,tabE.Flux[[#All],[COMP.AT. MOT B]],#REF!,"NÃO",0,1)</f>
        <v>#VALUE!</v>
      </c>
      <c r="P400" s="12" t="e">
        <f>IF(N400="NÃO",(IF(O400="NÃO",(_xlfn.CONCAT(Tabela7[[#This Row],[DATA]]-1,"+",Tabela7[[#This Row],[NOME]])),"NÃO")),"NÃO")</f>
        <v>#VALUE!</v>
      </c>
      <c r="Q400" s="11" t="e" cm="1">
        <f t="array" ref="Q400">IF(P400="NÃO","NÃO",_xlfn.XLOOKUP(P400,tabE.Flux[COMP.AT. MOT A],#REF!,"NÃO",0,1))</f>
        <v>#VALUE!</v>
      </c>
      <c r="R400" s="14" t="e" cm="1">
        <f t="array" ref="R400">IF(P400="NÃO","NÃO",_xlfn.XLOOKUP(P400,tabE.Flux[COMP.AT. MOT B],#REF!,"NÃO",0,1))</f>
        <v>#VALUE!</v>
      </c>
      <c r="S400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400" s="16" t="e" cm="1">
        <f t="array" ref="T40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400" s="41" t="e" cm="1">
        <f t="array" ref="U400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401" spans="12:21" x14ac:dyDescent="0.25">
      <c r="L401" s="36" t="e">
        <f>Tabela7[[#This Row],[ID]]</f>
        <v>#VALUE!</v>
      </c>
      <c r="M401" s="17" t="e">
        <f>_xlfn.CONCAT(Tabela7[[#This Row],[DATA]],"+",Tabela7[[#This Row],[NOME]])</f>
        <v>#VALUE!</v>
      </c>
      <c r="N401" s="11" t="e" cm="1">
        <f t="array" ref="N401">_xlfn.XLOOKUP(M401,tabE.Flux[[#All],[COMP.AT. MOT A]],#REF!,"NÃO",0,1)</f>
        <v>#VALUE!</v>
      </c>
      <c r="O401" s="11" t="e" cm="1">
        <f t="array" ref="O401">_xlfn.XLOOKUP(M401,tabE.Flux[[#All],[COMP.AT. MOT B]],#REF!,"NÃO",0,1)</f>
        <v>#VALUE!</v>
      </c>
      <c r="P401" s="12" t="e">
        <f>IF(N401="NÃO",(IF(O401="NÃO",(_xlfn.CONCAT(Tabela7[[#This Row],[DATA]]-1,"+",Tabela7[[#This Row],[NOME]])),"NÃO")),"NÃO")</f>
        <v>#VALUE!</v>
      </c>
      <c r="Q401" s="11" t="e" cm="1">
        <f t="array" ref="Q401">IF(P401="NÃO","NÃO",_xlfn.XLOOKUP(P401,tabE.Flux[COMP.AT. MOT A],#REF!,"NÃO",0,1))</f>
        <v>#VALUE!</v>
      </c>
      <c r="R401" s="14" t="e" cm="1">
        <f t="array" ref="R401">IF(P401="NÃO","NÃO",_xlfn.XLOOKUP(P401,tabE.Flux[COMP.AT. MOT B],#REF!,"NÃO",0,1))</f>
        <v>#VALUE!</v>
      </c>
      <c r="S401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401" s="16" t="e" cm="1">
        <f t="array" ref="T40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401" s="41" t="e" cm="1">
        <f t="array" ref="U401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402" spans="12:21" x14ac:dyDescent="0.25">
      <c r="L402" s="36" t="e">
        <f>Tabela7[[#This Row],[ID]]</f>
        <v>#VALUE!</v>
      </c>
      <c r="M402" s="17" t="e">
        <f>_xlfn.CONCAT(Tabela7[[#This Row],[DATA]],"+",Tabela7[[#This Row],[NOME]])</f>
        <v>#VALUE!</v>
      </c>
      <c r="N402" s="11" t="e" cm="1">
        <f t="array" ref="N402">_xlfn.XLOOKUP(M402,tabE.Flux[[#All],[COMP.AT. MOT A]],#REF!,"NÃO",0,1)</f>
        <v>#VALUE!</v>
      </c>
      <c r="O402" s="11" t="e" cm="1">
        <f t="array" ref="O402">_xlfn.XLOOKUP(M402,tabE.Flux[[#All],[COMP.AT. MOT B]],#REF!,"NÃO",0,1)</f>
        <v>#VALUE!</v>
      </c>
      <c r="P402" s="12" t="e">
        <f>IF(N402="NÃO",(IF(O402="NÃO",(_xlfn.CONCAT(Tabela7[[#This Row],[DATA]]-1,"+",Tabela7[[#This Row],[NOME]])),"NÃO")),"NÃO")</f>
        <v>#VALUE!</v>
      </c>
      <c r="Q402" s="11" t="e" cm="1">
        <f t="array" ref="Q402">IF(P402="NÃO","NÃO",_xlfn.XLOOKUP(P402,tabE.Flux[COMP.AT. MOT A],#REF!,"NÃO",0,1))</f>
        <v>#VALUE!</v>
      </c>
      <c r="R402" s="14" t="e" cm="1">
        <f t="array" ref="R402">IF(P402="NÃO","NÃO",_xlfn.XLOOKUP(P402,tabE.Flux[COMP.AT. MOT B],#REF!,"NÃO",0,1))</f>
        <v>#VALUE!</v>
      </c>
      <c r="S402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402" s="16" t="e" cm="1">
        <f t="array" ref="T40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402" s="41" t="e" cm="1">
        <f t="array" ref="U402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403" spans="12:21" x14ac:dyDescent="0.25">
      <c r="L403" s="36" t="e">
        <f>Tabela7[[#This Row],[ID]]</f>
        <v>#VALUE!</v>
      </c>
      <c r="M403" s="17" t="e">
        <f>_xlfn.CONCAT(Tabela7[[#This Row],[DATA]],"+",Tabela7[[#This Row],[NOME]])</f>
        <v>#VALUE!</v>
      </c>
      <c r="N403" s="11" t="e" cm="1">
        <f t="array" ref="N403">_xlfn.XLOOKUP(M403,tabE.Flux[[#All],[COMP.AT. MOT A]],#REF!,"NÃO",0,1)</f>
        <v>#VALUE!</v>
      </c>
      <c r="O403" s="11" t="e" cm="1">
        <f t="array" ref="O403">_xlfn.XLOOKUP(M403,tabE.Flux[[#All],[COMP.AT. MOT B]],#REF!,"NÃO",0,1)</f>
        <v>#VALUE!</v>
      </c>
      <c r="P403" s="12" t="e">
        <f>IF(N403="NÃO",(IF(O403="NÃO",(_xlfn.CONCAT(Tabela7[[#This Row],[DATA]]-1,"+",Tabela7[[#This Row],[NOME]])),"NÃO")),"NÃO")</f>
        <v>#VALUE!</v>
      </c>
      <c r="Q403" s="11" t="e" cm="1">
        <f t="array" ref="Q403">IF(P403="NÃO","NÃO",_xlfn.XLOOKUP(P403,tabE.Flux[COMP.AT. MOT A],#REF!,"NÃO",0,1))</f>
        <v>#VALUE!</v>
      </c>
      <c r="R403" s="14" t="e" cm="1">
        <f t="array" ref="R403">IF(P403="NÃO","NÃO",_xlfn.XLOOKUP(P403,tabE.Flux[COMP.AT. MOT B],#REF!,"NÃO",0,1))</f>
        <v>#VALUE!</v>
      </c>
      <c r="S403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403" s="16" t="e" cm="1">
        <f t="array" ref="T40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403" s="41" t="e" cm="1">
        <f t="array" ref="U403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404" spans="12:21" x14ac:dyDescent="0.25">
      <c r="L404" s="36" t="e">
        <f>Tabela7[[#This Row],[ID]]</f>
        <v>#VALUE!</v>
      </c>
      <c r="M404" s="17" t="e">
        <f>_xlfn.CONCAT(Tabela7[[#This Row],[DATA]],"+",Tabela7[[#This Row],[NOME]])</f>
        <v>#VALUE!</v>
      </c>
      <c r="N404" s="11" t="e" cm="1">
        <f t="array" ref="N404">_xlfn.XLOOKUP(M404,tabE.Flux[[#All],[COMP.AT. MOT A]],#REF!,"NÃO",0,1)</f>
        <v>#VALUE!</v>
      </c>
      <c r="O404" s="11" t="e" cm="1">
        <f t="array" ref="O404">_xlfn.XLOOKUP(M404,tabE.Flux[[#All],[COMP.AT. MOT B]],#REF!,"NÃO",0,1)</f>
        <v>#VALUE!</v>
      </c>
      <c r="P404" s="12" t="e">
        <f>IF(N404="NÃO",(IF(O404="NÃO",(_xlfn.CONCAT(Tabela7[[#This Row],[DATA]]-1,"+",Tabela7[[#This Row],[NOME]])),"NÃO")),"NÃO")</f>
        <v>#VALUE!</v>
      </c>
      <c r="Q404" s="11" t="e" cm="1">
        <f t="array" ref="Q404">IF(P404="NÃO","NÃO",_xlfn.XLOOKUP(P404,tabE.Flux[COMP.AT. MOT A],#REF!,"NÃO",0,1))</f>
        <v>#VALUE!</v>
      </c>
      <c r="R404" s="14" t="e" cm="1">
        <f t="array" ref="R404">IF(P404="NÃO","NÃO",_xlfn.XLOOKUP(P404,tabE.Flux[COMP.AT. MOT B],#REF!,"NÃO",0,1))</f>
        <v>#VALUE!</v>
      </c>
      <c r="S404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404" s="16" t="e" cm="1">
        <f t="array" ref="T40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404" s="41" t="e" cm="1">
        <f t="array" ref="U404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405" spans="12:21" x14ac:dyDescent="0.25">
      <c r="L405" s="36" t="e">
        <f>Tabela7[[#This Row],[ID]]</f>
        <v>#VALUE!</v>
      </c>
      <c r="M405" s="17" t="e">
        <f>_xlfn.CONCAT(Tabela7[[#This Row],[DATA]],"+",Tabela7[[#This Row],[NOME]])</f>
        <v>#VALUE!</v>
      </c>
      <c r="N405" s="11" t="e" cm="1">
        <f t="array" ref="N405">_xlfn.XLOOKUP(M405,tabE.Flux[[#All],[COMP.AT. MOT A]],#REF!,"NÃO",0,1)</f>
        <v>#VALUE!</v>
      </c>
      <c r="O405" s="11" t="e" cm="1">
        <f t="array" ref="O405">_xlfn.XLOOKUP(M405,tabE.Flux[[#All],[COMP.AT. MOT B]],#REF!,"NÃO",0,1)</f>
        <v>#VALUE!</v>
      </c>
      <c r="P405" s="12" t="e">
        <f>IF(N405="NÃO",(IF(O405="NÃO",(_xlfn.CONCAT(Tabela7[[#This Row],[DATA]]-1,"+",Tabela7[[#This Row],[NOME]])),"NÃO")),"NÃO")</f>
        <v>#VALUE!</v>
      </c>
      <c r="Q405" s="11" t="e" cm="1">
        <f t="array" ref="Q405">IF(P405="NÃO","NÃO",_xlfn.XLOOKUP(P405,tabE.Flux[COMP.AT. MOT A],#REF!,"NÃO",0,1))</f>
        <v>#VALUE!</v>
      </c>
      <c r="R405" s="14" t="e" cm="1">
        <f t="array" ref="R405">IF(P405="NÃO","NÃO",_xlfn.XLOOKUP(P405,tabE.Flux[COMP.AT. MOT B],#REF!,"NÃO",0,1))</f>
        <v>#VALUE!</v>
      </c>
      <c r="S405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405" s="16" t="e" cm="1">
        <f t="array" ref="T40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405" s="41" t="e" cm="1">
        <f t="array" ref="U405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406" spans="12:21" x14ac:dyDescent="0.25">
      <c r="L406" s="36" t="e">
        <f>Tabela7[[#This Row],[ID]]</f>
        <v>#VALUE!</v>
      </c>
      <c r="M406" s="17" t="e">
        <f>_xlfn.CONCAT(Tabela7[[#This Row],[DATA]],"+",Tabela7[[#This Row],[NOME]])</f>
        <v>#VALUE!</v>
      </c>
      <c r="N406" s="11" t="e" cm="1">
        <f t="array" ref="N406">_xlfn.XLOOKUP(M406,tabE.Flux[[#All],[COMP.AT. MOT A]],#REF!,"NÃO",0,1)</f>
        <v>#VALUE!</v>
      </c>
      <c r="O406" s="11" t="e" cm="1">
        <f t="array" ref="O406">_xlfn.XLOOKUP(M406,tabE.Flux[[#All],[COMP.AT. MOT B]],#REF!,"NÃO",0,1)</f>
        <v>#VALUE!</v>
      </c>
      <c r="P406" s="12" t="e">
        <f>IF(N406="NÃO",(IF(O406="NÃO",(_xlfn.CONCAT(Tabela7[[#This Row],[DATA]]-1,"+",Tabela7[[#This Row],[NOME]])),"NÃO")),"NÃO")</f>
        <v>#VALUE!</v>
      </c>
      <c r="Q406" s="11" t="e" cm="1">
        <f t="array" ref="Q406">IF(P406="NÃO","NÃO",_xlfn.XLOOKUP(P406,tabE.Flux[COMP.AT. MOT A],#REF!,"NÃO",0,1))</f>
        <v>#VALUE!</v>
      </c>
      <c r="R406" s="14" t="e" cm="1">
        <f t="array" ref="R406">IF(P406="NÃO","NÃO",_xlfn.XLOOKUP(P406,tabE.Flux[COMP.AT. MOT B],#REF!,"NÃO",0,1))</f>
        <v>#VALUE!</v>
      </c>
      <c r="S406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406" s="16" t="e" cm="1">
        <f t="array" ref="T40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406" s="41" t="e" cm="1">
        <f t="array" ref="U406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407" spans="12:21" x14ac:dyDescent="0.25">
      <c r="L407" s="40" t="e">
        <f>Tabela7[[#This Row],[ID]]</f>
        <v>#VALUE!</v>
      </c>
      <c r="M407" s="17" t="e">
        <f>_xlfn.CONCAT(Tabela7[[#This Row],[DATA]],"+",Tabela7[[#This Row],[NOME]])</f>
        <v>#VALUE!</v>
      </c>
      <c r="N407" s="11" t="e" cm="1">
        <f t="array" ref="N407">_xlfn.XLOOKUP(M407,tabE.Flux[[#All],[COMP.AT. MOT A]],#REF!,"NÃO",0,1)</f>
        <v>#VALUE!</v>
      </c>
      <c r="O407" s="11" t="e" cm="1">
        <f t="array" ref="O407">_xlfn.XLOOKUP(M407,tabE.Flux[[#All],[COMP.AT. MOT B]],#REF!,"NÃO",0,1)</f>
        <v>#VALUE!</v>
      </c>
      <c r="P407" s="12" t="e">
        <f>IF(N407="NÃO",(IF(O407="NÃO",(_xlfn.CONCAT(Tabela7[[#This Row],[DATA]]-1,"+",Tabela7[[#This Row],[NOME]])),"NÃO")),"NÃO")</f>
        <v>#VALUE!</v>
      </c>
      <c r="Q407" s="11" t="e" cm="1">
        <f t="array" ref="Q407">IF(P407="NÃO","NÃO",_xlfn.XLOOKUP(P407,tabE.Flux[COMP.AT. MOT A],#REF!,"NÃO",0,1))</f>
        <v>#VALUE!</v>
      </c>
      <c r="R407" s="14" t="e" cm="1">
        <f t="array" ref="R407">IF(P407="NÃO","NÃO",_xlfn.XLOOKUP(P407,tabE.Flux[COMP.AT. MOT B],#REF!,"NÃO",0,1))</f>
        <v>#VALUE!</v>
      </c>
      <c r="S407" s="11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407" s="16" t="e" cm="1">
        <f t="array" ref="T40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407" s="41" t="e" cm="1">
        <f t="array" ref="U407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  <row r="408" spans="12:21" x14ac:dyDescent="0.25">
      <c r="M408" s="20" t="e">
        <f>_xlfn.CONCAT(Tabela7[[#This Row],[DATA]],"+",Tabela7[[#This Row],[NOME]])</f>
        <v>#VALUE!</v>
      </c>
      <c r="N408" s="13" t="e" cm="1">
        <f t="array" ref="N408">_xlfn.XLOOKUP(M408,tabE.Flux[[#All],[COMP.AT. MOT A]],#REF!,"NÃO",0,1)</f>
        <v>#VALUE!</v>
      </c>
      <c r="O408" s="13" t="e" cm="1">
        <f t="array" ref="O408">_xlfn.XLOOKUP(M408,tabE.Flux[[#All],[COMP.AT. MOT B]],#REF!,"NÃO",0,1)</f>
        <v>#VALUE!</v>
      </c>
      <c r="P408" s="21" t="e">
        <f>IF(N408="NÃO",(IF(O408="NÃO",(_xlfn.CONCAT(Tabela7[[#This Row],[DATA]]-1,"+",Tabela7[[#This Row],[NOME]])),"NÃO")),"NÃO")</f>
        <v>#VALUE!</v>
      </c>
      <c r="Q408" s="13" t="e" cm="1">
        <f t="array" ref="Q408">IF(P408="NÃO","NÃO",_xlfn.XLOOKUP(P408,tabE.Flux[COMP.AT. MOT A],#REF!,"NÃO",0,1))</f>
        <v>#VALUE!</v>
      </c>
      <c r="R408" s="15" t="e" cm="1">
        <f t="array" ref="R408">IF(P408="NÃO","NÃO",_xlfn.XLOOKUP(P408,tabE.Flux[COMP.AT. MOT B],#REF!,"NÃO",0,1))</f>
        <v>#VALUE!</v>
      </c>
      <c r="S408" s="13" t="e">
        <f>IF(Tabela10[[#This Row],[NÃO3]]="NÃO",_xlfn.CONCAT(Tabela10[[#This Row],[45885+JAKTAN DE OLIVEIRA RODRIGUES - 5836]],"+",Tabela7[[#This Row],[LINHA]]),_xlfn.CONCAT(Tabela10[[#This Row],[NÃO3]],"+",Tabela7[[#This Row],[LINHA]]))</f>
        <v>#VALUE!</v>
      </c>
      <c r="T408" s="16" t="e" cm="1">
        <f t="array" ref="T40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  <c r="U408" s="41" t="e" cm="1">
        <f t="array" ref="U408">IF(_xlfn.XLOOKUP(Tabela10[[#This Row],[NÃO4]],tabE.Flux[[#All],[COMP. ESCALA MOT A]],#REF!,"NÃO",0,1)="NÃO",_xlfn.XLOOKUP(Tabela10[[#This Row],[NÃO4]],tabE.Flux[[#All],[COMP. ESCALA MOT B]],#REF!,"NÃO",0,1),_xlfn.XLOOKUP(Tabela10[[#This Row],[NÃO4]],tabE.Flux[[#All],[COMP. ESCALA MOT A]],#REF!,"NÃO",0,1))</f>
        <v>#VALUE!</v>
      </c>
    </row>
  </sheetData>
  <sheetProtection insertColumns="0" insertRows="0" deleteColumns="0" deleteRows="0"/>
  <mergeCells count="2">
    <mergeCell ref="B3:F3"/>
    <mergeCell ref="B2:J2"/>
  </mergeCells>
  <phoneticPr fontId="8" type="noConversion"/>
  <conditionalFormatting sqref="D4:D108">
    <cfRule type="cellIs" dxfId="10" priority="2" operator="equal">
      <formula>"PASSE?"</formula>
    </cfRule>
  </conditionalFormatting>
  <conditionalFormatting sqref="G4:G44">
    <cfRule type="containsBlanks" dxfId="9" priority="17">
      <formula>LEN(TRIM(G4))=0</formula>
    </cfRule>
  </conditionalFormatting>
  <conditionalFormatting sqref="G45">
    <cfRule type="cellIs" dxfId="8" priority="4" operator="equal">
      <formula>"CANCELADO"</formula>
    </cfRule>
  </conditionalFormatting>
  <conditionalFormatting sqref="H5:H108">
    <cfRule type="cellIs" dxfId="7" priority="3" operator="greaterThan">
      <formula>1</formula>
    </cfRule>
  </conditionalFormatting>
  <conditionalFormatting sqref="N6:R408">
    <cfRule type="cellIs" dxfId="6" priority="5" operator="equal">
      <formula>"NÃO"</formula>
    </cfRule>
  </conditionalFormatting>
  <conditionalFormatting sqref="N5:X5 Z5">
    <cfRule type="cellIs" dxfId="5" priority="1" operator="equal">
      <formula>"NÃO"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FB111D-C0BD-43FC-B3CD-88D2F33B7C4D}">
          <x14:formula1>
            <xm:f>'BANCO DE DADOS'!$B:$B</xm:f>
          </x14:formula1>
          <xm:sqref>G5:G44 G46:G1048576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B3:E37"/>
  <sheetViews>
    <sheetView workbookViewId="0">
      <selection activeCell="A2" sqref="A2"/>
    </sheetView>
  </sheetViews>
  <sheetFormatPr defaultRowHeight="15" x14ac:dyDescent="0.25"/>
  <cols>
    <col min="2" max="2" width="13.140625" bestFit="1" customWidth="1"/>
    <col min="3" max="3" width="11.140625" bestFit="1" customWidth="1"/>
    <col min="4" max="4" width="11.28515625" bestFit="1" customWidth="1"/>
    <col min="5" max="5" width="19.42578125" hidden="1" customWidth="1"/>
  </cols>
  <sheetData>
    <row r="3" spans="2:4" x14ac:dyDescent="0.25">
      <c r="B3" s="49" t="s">
        <v>5</v>
      </c>
      <c r="C3" s="50" t="s">
        <v>323</v>
      </c>
      <c r="D3" s="51" t="s">
        <v>336</v>
      </c>
    </row>
    <row r="4" spans="2:4" hidden="1" x14ac:dyDescent="0.25">
      <c r="B4" s="47">
        <v>45870</v>
      </c>
      <c r="C4" s="1">
        <f>COUNTIF(tabAlmoco[DATA],Totais[[#This Row],[DATA]])</f>
        <v>0</v>
      </c>
      <c r="D4" s="48">
        <f>COUNTIF(tabJanta[DATA],Totais[[#This Row],[DATA]])</f>
        <v>0</v>
      </c>
    </row>
    <row r="5" spans="2:4" hidden="1" x14ac:dyDescent="0.25">
      <c r="B5" s="47">
        <v>45871</v>
      </c>
      <c r="C5" s="1">
        <f>COUNTIF(tabAlmoco[DATA],Totais[[#This Row],[DATA]])</f>
        <v>0</v>
      </c>
      <c r="D5" s="48">
        <f>COUNTIF(tabJanta[DATA],Totais[[#This Row],[DATA]])</f>
        <v>0</v>
      </c>
    </row>
    <row r="6" spans="2:4" hidden="1" x14ac:dyDescent="0.25">
      <c r="B6" s="47">
        <v>45872</v>
      </c>
      <c r="C6" s="1">
        <f>COUNTIF(tabAlmoco[DATA],Totais[[#This Row],[DATA]])</f>
        <v>0</v>
      </c>
      <c r="D6" s="48">
        <f>COUNTIF(tabJanta[DATA],Totais[[#This Row],[DATA]])</f>
        <v>0</v>
      </c>
    </row>
    <row r="7" spans="2:4" hidden="1" x14ac:dyDescent="0.25">
      <c r="B7" s="47">
        <v>45873</v>
      </c>
      <c r="C7" s="1">
        <f>COUNTIF(tabAlmoco[DATA],Totais[[#This Row],[DATA]])</f>
        <v>0</v>
      </c>
      <c r="D7" s="48">
        <f>COUNTIF(tabJanta[DATA],Totais[[#This Row],[DATA]])</f>
        <v>0</v>
      </c>
    </row>
    <row r="8" spans="2:4" hidden="1" x14ac:dyDescent="0.25">
      <c r="B8" s="47">
        <v>45874</v>
      </c>
      <c r="C8" s="1">
        <f>COUNTIF(tabAlmoco[DATA],Totais[[#This Row],[DATA]])</f>
        <v>0</v>
      </c>
      <c r="D8" s="48">
        <f>COUNTIF(tabJanta[DATA],Totais[[#This Row],[DATA]])</f>
        <v>0</v>
      </c>
    </row>
    <row r="9" spans="2:4" hidden="1" x14ac:dyDescent="0.25">
      <c r="B9" s="47">
        <v>45875</v>
      </c>
      <c r="C9" s="1">
        <f>COUNTIF(tabAlmoco[DATA],Totais[[#This Row],[DATA]])</f>
        <v>0</v>
      </c>
      <c r="D9" s="48">
        <f>COUNTIF(tabJanta[DATA],Totais[[#This Row],[DATA]])</f>
        <v>0</v>
      </c>
    </row>
    <row r="10" spans="2:4" hidden="1" x14ac:dyDescent="0.25">
      <c r="B10" s="47">
        <v>45876</v>
      </c>
      <c r="C10" s="1">
        <f>COUNTIF(tabAlmoco[DATA],Totais[[#This Row],[DATA]])</f>
        <v>0</v>
      </c>
      <c r="D10" s="48">
        <f>COUNTIF(tabJanta[DATA],Totais[[#This Row],[DATA]])</f>
        <v>0</v>
      </c>
    </row>
    <row r="11" spans="2:4" hidden="1" x14ac:dyDescent="0.25">
      <c r="B11" s="47">
        <v>45877</v>
      </c>
      <c r="C11" s="1">
        <f>COUNTIF(tabAlmoco[DATA],Totais[[#This Row],[DATA]])</f>
        <v>0</v>
      </c>
      <c r="D11" s="48">
        <f>COUNTIF(tabJanta[DATA],Totais[[#This Row],[DATA]])</f>
        <v>0</v>
      </c>
    </row>
    <row r="12" spans="2:4" hidden="1" x14ac:dyDescent="0.25">
      <c r="B12" s="47">
        <v>45878</v>
      </c>
      <c r="C12" s="1">
        <f>COUNTIF(tabAlmoco[DATA],Totais[[#This Row],[DATA]])</f>
        <v>0</v>
      </c>
      <c r="D12" s="48">
        <f>COUNTIF(tabJanta[DATA],Totais[[#This Row],[DATA]])</f>
        <v>0</v>
      </c>
    </row>
    <row r="13" spans="2:4" hidden="1" x14ac:dyDescent="0.25">
      <c r="B13" s="47">
        <v>45879</v>
      </c>
      <c r="C13" s="1">
        <f>COUNTIF(tabAlmoco[DATA],Totais[[#This Row],[DATA]])</f>
        <v>0</v>
      </c>
      <c r="D13" s="48">
        <f>COUNTIF(tabJanta[DATA],Totais[[#This Row],[DATA]])</f>
        <v>0</v>
      </c>
    </row>
    <row r="14" spans="2:4" hidden="1" x14ac:dyDescent="0.25">
      <c r="B14" s="47">
        <v>45880</v>
      </c>
      <c r="C14" s="1">
        <f>COUNTIF(tabAlmoco[DATA],Totais[[#This Row],[DATA]])</f>
        <v>0</v>
      </c>
      <c r="D14" s="48">
        <f>COUNTIF(tabJanta[DATA],Totais[[#This Row],[DATA]])</f>
        <v>0</v>
      </c>
    </row>
    <row r="15" spans="2:4" hidden="1" x14ac:dyDescent="0.25">
      <c r="B15" s="47">
        <v>45881</v>
      </c>
      <c r="C15" s="1">
        <f>COUNTIF(tabAlmoco[DATA],Totais[[#This Row],[DATA]])</f>
        <v>0</v>
      </c>
      <c r="D15" s="48">
        <f>COUNTIF(tabJanta[DATA],Totais[[#This Row],[DATA]])</f>
        <v>0</v>
      </c>
    </row>
    <row r="16" spans="2:4" hidden="1" x14ac:dyDescent="0.25">
      <c r="B16" s="47">
        <v>45882</v>
      </c>
      <c r="C16" s="1">
        <f>COUNTIF(tabAlmoco[DATA],Totais[[#This Row],[DATA]])</f>
        <v>0</v>
      </c>
      <c r="D16" s="48">
        <f>COUNTIF(tabJanta[DATA],Totais[[#This Row],[DATA]])</f>
        <v>0</v>
      </c>
    </row>
    <row r="17" spans="2:4" hidden="1" x14ac:dyDescent="0.25">
      <c r="B17" s="47">
        <v>45883</v>
      </c>
      <c r="C17" s="1">
        <f>COUNTIF(tabAlmoco[DATA],Totais[[#This Row],[DATA]])</f>
        <v>0</v>
      </c>
      <c r="D17" s="48">
        <f>COUNTIF(tabJanta[DATA],Totais[[#This Row],[DATA]])</f>
        <v>0</v>
      </c>
    </row>
    <row r="18" spans="2:4" hidden="1" x14ac:dyDescent="0.25">
      <c r="B18" s="47">
        <v>45884</v>
      </c>
      <c r="C18" s="1">
        <f>COUNTIF(tabAlmoco[DATA],Totais[[#This Row],[DATA]])</f>
        <v>0</v>
      </c>
      <c r="D18" s="48">
        <f>COUNTIF(tabJanta[DATA],Totais[[#This Row],[DATA]])</f>
        <v>0</v>
      </c>
    </row>
    <row r="19" spans="2:4" x14ac:dyDescent="0.25">
      <c r="B19" s="47">
        <v>45885</v>
      </c>
      <c r="C19" s="1">
        <f>COUNTIF(tabAlmoco[DATA],Totais[[#This Row],[DATA]])</f>
        <v>7</v>
      </c>
      <c r="D19" s="48">
        <f>COUNTIF(tabJanta[DATA],Totais[[#This Row],[DATA]])</f>
        <v>4</v>
      </c>
    </row>
    <row r="20" spans="2:4" x14ac:dyDescent="0.25">
      <c r="B20" s="47">
        <v>45886</v>
      </c>
      <c r="C20" s="1">
        <f>COUNTIF(tabAlmoco[DATA],Totais[[#This Row],[DATA]])</f>
        <v>4</v>
      </c>
      <c r="D20" s="48">
        <f>COUNTIF(tabJanta[DATA],Totais[[#This Row],[DATA]])</f>
        <v>4</v>
      </c>
    </row>
    <row r="21" spans="2:4" x14ac:dyDescent="0.25">
      <c r="B21" s="47">
        <v>45887</v>
      </c>
      <c r="C21" s="1">
        <f>COUNTIF(tabAlmoco[DATA],Totais[[#This Row],[DATA]])</f>
        <v>5</v>
      </c>
      <c r="D21" s="48">
        <f>COUNTIF(tabJanta[DATA],Totais[[#This Row],[DATA]])</f>
        <v>6</v>
      </c>
    </row>
    <row r="22" spans="2:4" x14ac:dyDescent="0.25">
      <c r="B22" s="47">
        <v>45888</v>
      </c>
      <c r="C22" s="1">
        <f>COUNTIF(tabAlmoco[DATA],Totais[[#This Row],[DATA]])</f>
        <v>5</v>
      </c>
      <c r="D22" s="48">
        <f>COUNTIF(tabJanta[DATA],Totais[[#This Row],[DATA]])</f>
        <v>4</v>
      </c>
    </row>
    <row r="23" spans="2:4" x14ac:dyDescent="0.25">
      <c r="B23" s="47">
        <v>45889</v>
      </c>
      <c r="C23" s="1">
        <f>COUNTIF(tabAlmoco[DATA],Totais[[#This Row],[DATA]])</f>
        <v>8</v>
      </c>
      <c r="D23" s="48">
        <f>COUNTIF(tabJanta[DATA],Totais[[#This Row],[DATA]])</f>
        <v>7</v>
      </c>
    </row>
    <row r="24" spans="2:4" x14ac:dyDescent="0.25">
      <c r="B24" s="47">
        <v>45890</v>
      </c>
      <c r="C24" s="1">
        <f>COUNTIF(tabAlmoco[DATA],Totais[[#This Row],[DATA]])</f>
        <v>6</v>
      </c>
      <c r="D24" s="48">
        <f>COUNTIF(tabJanta[DATA],Totais[[#This Row],[DATA]])</f>
        <v>5</v>
      </c>
    </row>
    <row r="25" spans="2:4" x14ac:dyDescent="0.25">
      <c r="B25" s="47">
        <v>45891</v>
      </c>
      <c r="C25" s="1">
        <f>COUNTIF(tabAlmoco[DATA],Totais[[#This Row],[DATA]])</f>
        <v>9</v>
      </c>
      <c r="D25" s="48">
        <f>COUNTIF(tabJanta[DATA],Totais[[#This Row],[DATA]])</f>
        <v>7</v>
      </c>
    </row>
    <row r="26" spans="2:4" x14ac:dyDescent="0.25">
      <c r="B26" s="47">
        <v>45892</v>
      </c>
      <c r="C26" s="1">
        <f>COUNTIF(tabAlmoco[DATA],Totais[[#This Row],[DATA]])</f>
        <v>8</v>
      </c>
      <c r="D26" s="48">
        <f>COUNTIF(tabJanta[DATA],Totais[[#This Row],[DATA]])</f>
        <v>6</v>
      </c>
    </row>
    <row r="27" spans="2:4" x14ac:dyDescent="0.25">
      <c r="B27" s="47">
        <v>45893</v>
      </c>
      <c r="C27" s="1">
        <f>COUNTIF(tabAlmoco[DATA],Totais[[#This Row],[DATA]])</f>
        <v>7</v>
      </c>
      <c r="D27" s="48">
        <f>COUNTIF(tabJanta[DATA],Totais[[#This Row],[DATA]])</f>
        <v>6</v>
      </c>
    </row>
    <row r="28" spans="2:4" x14ac:dyDescent="0.25">
      <c r="B28" s="47">
        <v>45894</v>
      </c>
      <c r="C28" s="1">
        <f>COUNTIF(tabAlmoco[DATA],Totais[[#This Row],[DATA]])</f>
        <v>6</v>
      </c>
      <c r="D28" s="48">
        <f>COUNTIF(tabJanta[DATA],Totais[[#This Row],[DATA]])</f>
        <v>4</v>
      </c>
    </row>
    <row r="29" spans="2:4" x14ac:dyDescent="0.25">
      <c r="B29" s="47">
        <v>45895</v>
      </c>
      <c r="C29" s="1">
        <f>COUNTIF(tabAlmoco[DATA],Totais[[#This Row],[DATA]])</f>
        <v>5</v>
      </c>
      <c r="D29" s="48">
        <f>COUNTIF(tabJanta[DATA],Totais[[#This Row],[DATA]])</f>
        <v>3</v>
      </c>
    </row>
    <row r="30" spans="2:4" x14ac:dyDescent="0.25">
      <c r="B30" s="47">
        <v>45896</v>
      </c>
      <c r="C30" s="1">
        <f>COUNTIF(tabAlmoco[DATA],Totais[[#This Row],[DATA]])</f>
        <v>6</v>
      </c>
      <c r="D30" s="48">
        <f>COUNTIF(tabJanta[DATA],Totais[[#This Row],[DATA]])</f>
        <v>6</v>
      </c>
    </row>
    <row r="31" spans="2:4" x14ac:dyDescent="0.25">
      <c r="B31" s="47">
        <v>45897</v>
      </c>
      <c r="C31" s="1">
        <f>COUNTIF(tabAlmoco[DATA],Totais[[#This Row],[DATA]])</f>
        <v>6</v>
      </c>
      <c r="D31" s="48">
        <f>COUNTIF(tabJanta[DATA],Totais[[#This Row],[DATA]])</f>
        <v>6</v>
      </c>
    </row>
    <row r="32" spans="2:4" x14ac:dyDescent="0.25">
      <c r="B32" s="47">
        <v>45898</v>
      </c>
      <c r="C32" s="1">
        <f>COUNTIF(tabAlmoco[DATA],Totais[[#This Row],[DATA]])</f>
        <v>5</v>
      </c>
      <c r="D32" s="48">
        <f>COUNTIF(tabJanta[DATA],Totais[[#This Row],[DATA]])</f>
        <v>5</v>
      </c>
    </row>
    <row r="33" spans="2:5" x14ac:dyDescent="0.25">
      <c r="B33" s="47">
        <v>45899</v>
      </c>
      <c r="C33" s="1">
        <f>COUNTIF(tabAlmoco[DATA],Totais[[#This Row],[DATA]])</f>
        <v>5</v>
      </c>
      <c r="D33" s="48">
        <f>COUNTIF(tabJanta[DATA],Totais[[#This Row],[DATA]])</f>
        <v>6</v>
      </c>
    </row>
    <row r="34" spans="2:5" x14ac:dyDescent="0.25">
      <c r="B34" s="52">
        <v>45900</v>
      </c>
      <c r="C34" s="4">
        <f>COUNTIF(tabAlmoco[DATA],Totais[[#This Row],[DATA]])</f>
        <v>7</v>
      </c>
      <c r="D34" s="3">
        <f>COUNTIF(tabJanta[DATA],Totais[[#This Row],[DATA]])</f>
        <v>5</v>
      </c>
    </row>
    <row r="35" spans="2:5" x14ac:dyDescent="0.25">
      <c r="B35" s="5" t="s">
        <v>337</v>
      </c>
      <c r="C35" s="1">
        <f>SUM(C4:C34)</f>
        <v>99</v>
      </c>
      <c r="D35" s="1">
        <f>SUM(D4:D34)</f>
        <v>84</v>
      </c>
      <c r="E35" t="s">
        <v>338</v>
      </c>
    </row>
    <row r="36" spans="2:5" x14ac:dyDescent="0.25">
      <c r="B36" s="5" t="s">
        <v>339</v>
      </c>
      <c r="C36" s="105">
        <f>C35*E36</f>
        <v>1485</v>
      </c>
      <c r="D36" s="105">
        <f>D35*E36</f>
        <v>1260</v>
      </c>
      <c r="E36" s="2">
        <v>15</v>
      </c>
    </row>
    <row r="37" spans="2:5" x14ac:dyDescent="0.25">
      <c r="B37" s="5" t="s">
        <v>340</v>
      </c>
      <c r="C37" s="169">
        <f>C36+D36</f>
        <v>2745</v>
      </c>
      <c r="D37" s="169"/>
    </row>
  </sheetData>
  <mergeCells count="1">
    <mergeCell ref="C37:D37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D0AD-40EC-485E-898D-9957C9233DBA}">
  <sheetPr>
    <tabColor theme="9" tint="-0.499984740745262"/>
  </sheetPr>
  <dimension ref="A1:G1175"/>
  <sheetViews>
    <sheetView zoomScale="85" zoomScaleNormal="85" workbookViewId="0">
      <selection activeCell="B1176" sqref="B1176"/>
    </sheetView>
  </sheetViews>
  <sheetFormatPr defaultColWidth="9.140625" defaultRowHeight="15" x14ac:dyDescent="0.25"/>
  <cols>
    <col min="1" max="1" width="9.140625" style="7"/>
    <col min="2" max="2" width="52.5703125" style="7" bestFit="1" customWidth="1"/>
    <col min="3" max="3" width="9.140625" style="7"/>
    <col min="4" max="4" width="35.140625" style="7" hidden="1" customWidth="1"/>
    <col min="5" max="5" width="9.140625" style="7" hidden="1" customWidth="1"/>
    <col min="6" max="6" width="11" style="7" hidden="1" customWidth="1"/>
    <col min="7" max="7" width="9.140625" style="7"/>
  </cols>
  <sheetData>
    <row r="1" spans="2:6" x14ac:dyDescent="0.25">
      <c r="B1" s="8" t="s">
        <v>341</v>
      </c>
      <c r="D1" s="7" t="s">
        <v>342</v>
      </c>
      <c r="F1" s="7" t="s">
        <v>343</v>
      </c>
    </row>
    <row r="2" spans="2:6" hidden="1" x14ac:dyDescent="0.25">
      <c r="B2" s="9" t="s">
        <v>344</v>
      </c>
      <c r="D2" s="7" t="s">
        <v>32</v>
      </c>
    </row>
    <row r="3" spans="2:6" hidden="1" x14ac:dyDescent="0.25">
      <c r="B3" s="9" t="s">
        <v>345</v>
      </c>
      <c r="D3" s="7" t="s">
        <v>20</v>
      </c>
      <c r="F3" s="7">
        <v>12300</v>
      </c>
    </row>
    <row r="4" spans="2:6" hidden="1" x14ac:dyDescent="0.25">
      <c r="B4" s="9" t="s">
        <v>346</v>
      </c>
      <c r="D4" s="7" t="s">
        <v>23</v>
      </c>
      <c r="F4" s="7">
        <v>12400</v>
      </c>
    </row>
    <row r="5" spans="2:6" hidden="1" x14ac:dyDescent="0.25">
      <c r="B5" s="9" t="s">
        <v>347</v>
      </c>
      <c r="D5" s="7" t="s">
        <v>39</v>
      </c>
      <c r="F5" s="7">
        <v>12600</v>
      </c>
    </row>
    <row r="6" spans="2:6" hidden="1" x14ac:dyDescent="0.25">
      <c r="B6" s="9" t="s">
        <v>348</v>
      </c>
      <c r="D6" s="7" t="s">
        <v>26</v>
      </c>
      <c r="F6" s="7">
        <v>12700</v>
      </c>
    </row>
    <row r="7" spans="2:6" hidden="1" x14ac:dyDescent="0.25">
      <c r="B7" s="9" t="s">
        <v>349</v>
      </c>
      <c r="D7" s="7" t="s">
        <v>47</v>
      </c>
      <c r="F7" s="7">
        <v>13400</v>
      </c>
    </row>
    <row r="8" spans="2:6" hidden="1" x14ac:dyDescent="0.25">
      <c r="B8" s="9" t="s">
        <v>350</v>
      </c>
      <c r="F8" s="7">
        <v>13700</v>
      </c>
    </row>
    <row r="9" spans="2:6" hidden="1" x14ac:dyDescent="0.25">
      <c r="B9" s="9" t="s">
        <v>351</v>
      </c>
      <c r="F9" s="7">
        <v>14700</v>
      </c>
    </row>
    <row r="10" spans="2:6" hidden="1" x14ac:dyDescent="0.25">
      <c r="B10" s="9" t="s">
        <v>352</v>
      </c>
      <c r="F10" s="7">
        <v>15000</v>
      </c>
    </row>
    <row r="11" spans="2:6" hidden="1" x14ac:dyDescent="0.25">
      <c r="B11" s="9" t="s">
        <v>353</v>
      </c>
      <c r="F11" s="7">
        <v>15200</v>
      </c>
    </row>
    <row r="12" spans="2:6" hidden="1" x14ac:dyDescent="0.25">
      <c r="B12" s="9" t="s">
        <v>354</v>
      </c>
      <c r="F12" s="7">
        <v>15500</v>
      </c>
    </row>
    <row r="13" spans="2:6" hidden="1" x14ac:dyDescent="0.25">
      <c r="B13" s="9" t="s">
        <v>355</v>
      </c>
      <c r="F13" s="7">
        <v>15600</v>
      </c>
    </row>
    <row r="14" spans="2:6" hidden="1" x14ac:dyDescent="0.25">
      <c r="B14" s="9" t="s">
        <v>356</v>
      </c>
      <c r="F14" s="7">
        <v>15700</v>
      </c>
    </row>
    <row r="15" spans="2:6" hidden="1" x14ac:dyDescent="0.25">
      <c r="B15" s="9" t="s">
        <v>357</v>
      </c>
      <c r="F15" s="7">
        <v>15800</v>
      </c>
    </row>
    <row r="16" spans="2:6" hidden="1" x14ac:dyDescent="0.25">
      <c r="B16" s="9" t="s">
        <v>358</v>
      </c>
      <c r="F16" s="7">
        <v>15900</v>
      </c>
    </row>
    <row r="17" spans="2:6" hidden="1" x14ac:dyDescent="0.25">
      <c r="B17" s="9" t="s">
        <v>359</v>
      </c>
      <c r="F17" s="7">
        <v>16000</v>
      </c>
    </row>
    <row r="18" spans="2:6" hidden="1" x14ac:dyDescent="0.25">
      <c r="B18" s="9" t="s">
        <v>360</v>
      </c>
      <c r="F18" s="7">
        <v>16100</v>
      </c>
    </row>
    <row r="19" spans="2:6" hidden="1" x14ac:dyDescent="0.25">
      <c r="B19" s="9" t="s">
        <v>361</v>
      </c>
      <c r="F19" s="7">
        <v>16300</v>
      </c>
    </row>
    <row r="20" spans="2:6" hidden="1" x14ac:dyDescent="0.25">
      <c r="B20" s="9" t="s">
        <v>362</v>
      </c>
      <c r="F20" s="7">
        <v>16400</v>
      </c>
    </row>
    <row r="21" spans="2:6" hidden="1" x14ac:dyDescent="0.25">
      <c r="B21" s="9" t="s">
        <v>363</v>
      </c>
      <c r="F21" s="7">
        <v>16800</v>
      </c>
    </row>
    <row r="22" spans="2:6" hidden="1" x14ac:dyDescent="0.25">
      <c r="B22" s="9" t="s">
        <v>364</v>
      </c>
      <c r="F22" s="7">
        <v>17000</v>
      </c>
    </row>
    <row r="23" spans="2:6" hidden="1" x14ac:dyDescent="0.25">
      <c r="B23" s="9" t="s">
        <v>365</v>
      </c>
      <c r="F23" s="7">
        <v>17100</v>
      </c>
    </row>
    <row r="24" spans="2:6" hidden="1" x14ac:dyDescent="0.25">
      <c r="B24" s="9" t="s">
        <v>366</v>
      </c>
      <c r="F24" s="7">
        <v>17200</v>
      </c>
    </row>
    <row r="25" spans="2:6" hidden="1" x14ac:dyDescent="0.25">
      <c r="B25" s="9" t="s">
        <v>367</v>
      </c>
      <c r="F25" s="7">
        <v>17300</v>
      </c>
    </row>
    <row r="26" spans="2:6" hidden="1" x14ac:dyDescent="0.25">
      <c r="B26" s="9" t="s">
        <v>368</v>
      </c>
      <c r="F26" s="7">
        <v>17400</v>
      </c>
    </row>
    <row r="27" spans="2:6" hidden="1" x14ac:dyDescent="0.25">
      <c r="B27" s="9" t="s">
        <v>369</v>
      </c>
      <c r="F27" s="7">
        <v>17500</v>
      </c>
    </row>
    <row r="28" spans="2:6" hidden="1" x14ac:dyDescent="0.25">
      <c r="B28" s="9" t="s">
        <v>370</v>
      </c>
      <c r="F28" s="7">
        <v>17600</v>
      </c>
    </row>
    <row r="29" spans="2:6" hidden="1" x14ac:dyDescent="0.25">
      <c r="B29" s="9" t="s">
        <v>371</v>
      </c>
      <c r="F29" s="7">
        <v>17700</v>
      </c>
    </row>
    <row r="30" spans="2:6" hidden="1" x14ac:dyDescent="0.25">
      <c r="B30" s="9" t="s">
        <v>372</v>
      </c>
      <c r="F30" s="7">
        <v>18007</v>
      </c>
    </row>
    <row r="31" spans="2:6" hidden="1" x14ac:dyDescent="0.25">
      <c r="B31" s="9" t="s">
        <v>373</v>
      </c>
      <c r="F31" s="7">
        <v>18008</v>
      </c>
    </row>
    <row r="32" spans="2:6" hidden="1" x14ac:dyDescent="0.25">
      <c r="B32" s="9" t="s">
        <v>313</v>
      </c>
      <c r="F32" s="7">
        <v>19001</v>
      </c>
    </row>
    <row r="33" spans="2:6" hidden="1" x14ac:dyDescent="0.25">
      <c r="B33" s="9" t="s">
        <v>374</v>
      </c>
      <c r="F33" s="7">
        <v>19002</v>
      </c>
    </row>
    <row r="34" spans="2:6" hidden="1" x14ac:dyDescent="0.25">
      <c r="B34" s="9" t="s">
        <v>375</v>
      </c>
      <c r="F34" s="7">
        <v>19003</v>
      </c>
    </row>
    <row r="35" spans="2:6" hidden="1" x14ac:dyDescent="0.25">
      <c r="B35" s="9" t="s">
        <v>261</v>
      </c>
      <c r="F35" s="7">
        <v>19004</v>
      </c>
    </row>
    <row r="36" spans="2:6" hidden="1" x14ac:dyDescent="0.25">
      <c r="B36" s="9" t="s">
        <v>376</v>
      </c>
      <c r="F36" s="7">
        <v>19005</v>
      </c>
    </row>
    <row r="37" spans="2:6" hidden="1" x14ac:dyDescent="0.25">
      <c r="B37" s="9" t="s">
        <v>377</v>
      </c>
      <c r="F37" s="7">
        <v>19006</v>
      </c>
    </row>
    <row r="38" spans="2:6" hidden="1" x14ac:dyDescent="0.25">
      <c r="B38" s="9" t="s">
        <v>378</v>
      </c>
      <c r="F38" s="7">
        <v>19007</v>
      </c>
    </row>
    <row r="39" spans="2:6" hidden="1" x14ac:dyDescent="0.25">
      <c r="B39" s="9" t="s">
        <v>379</v>
      </c>
      <c r="F39" s="7">
        <v>19008</v>
      </c>
    </row>
    <row r="40" spans="2:6" hidden="1" x14ac:dyDescent="0.25">
      <c r="B40" s="9" t="s">
        <v>380</v>
      </c>
      <c r="F40" s="7">
        <v>19009</v>
      </c>
    </row>
    <row r="41" spans="2:6" hidden="1" x14ac:dyDescent="0.25">
      <c r="B41" s="9" t="s">
        <v>381</v>
      </c>
      <c r="F41" s="7">
        <v>19010</v>
      </c>
    </row>
    <row r="42" spans="2:6" hidden="1" x14ac:dyDescent="0.25">
      <c r="B42" s="9" t="s">
        <v>382</v>
      </c>
      <c r="F42" s="7">
        <v>19011</v>
      </c>
    </row>
    <row r="43" spans="2:6" hidden="1" x14ac:dyDescent="0.25">
      <c r="B43" s="9" t="s">
        <v>383</v>
      </c>
      <c r="F43" s="7">
        <v>19012</v>
      </c>
    </row>
    <row r="44" spans="2:6" hidden="1" x14ac:dyDescent="0.25">
      <c r="B44" s="9" t="s">
        <v>384</v>
      </c>
      <c r="F44" s="7">
        <v>19013</v>
      </c>
    </row>
    <row r="45" spans="2:6" hidden="1" x14ac:dyDescent="0.25">
      <c r="B45" s="9" t="s">
        <v>385</v>
      </c>
      <c r="F45" s="7">
        <v>19014</v>
      </c>
    </row>
    <row r="46" spans="2:6" hidden="1" x14ac:dyDescent="0.25">
      <c r="B46" s="9" t="s">
        <v>310</v>
      </c>
      <c r="F46" s="7">
        <v>19015</v>
      </c>
    </row>
    <row r="47" spans="2:6" hidden="1" x14ac:dyDescent="0.25">
      <c r="B47" s="9" t="s">
        <v>386</v>
      </c>
      <c r="F47" s="7">
        <v>19016</v>
      </c>
    </row>
    <row r="48" spans="2:6" hidden="1" x14ac:dyDescent="0.25">
      <c r="B48" s="9" t="s">
        <v>387</v>
      </c>
      <c r="F48" s="7">
        <v>19017</v>
      </c>
    </row>
    <row r="49" spans="2:6" hidden="1" x14ac:dyDescent="0.25">
      <c r="B49" s="9" t="s">
        <v>388</v>
      </c>
      <c r="F49" s="7">
        <v>19018</v>
      </c>
    </row>
    <row r="50" spans="2:6" hidden="1" x14ac:dyDescent="0.25">
      <c r="B50" s="9" t="s">
        <v>389</v>
      </c>
      <c r="F50" s="7">
        <v>19019</v>
      </c>
    </row>
    <row r="51" spans="2:6" hidden="1" x14ac:dyDescent="0.25">
      <c r="B51" s="9" t="s">
        <v>390</v>
      </c>
      <c r="F51" s="7">
        <v>19020</v>
      </c>
    </row>
    <row r="52" spans="2:6" hidden="1" x14ac:dyDescent="0.25">
      <c r="B52" s="9" t="s">
        <v>391</v>
      </c>
      <c r="F52" s="7">
        <v>19021</v>
      </c>
    </row>
    <row r="53" spans="2:6" hidden="1" x14ac:dyDescent="0.25">
      <c r="B53" s="9" t="s">
        <v>392</v>
      </c>
      <c r="F53" s="7">
        <v>19022</v>
      </c>
    </row>
    <row r="54" spans="2:6" hidden="1" x14ac:dyDescent="0.25">
      <c r="B54" s="9" t="s">
        <v>393</v>
      </c>
      <c r="F54" s="7">
        <v>19023</v>
      </c>
    </row>
    <row r="55" spans="2:6" hidden="1" x14ac:dyDescent="0.25">
      <c r="B55" s="9" t="s">
        <v>394</v>
      </c>
      <c r="F55" s="7">
        <v>19024</v>
      </c>
    </row>
    <row r="56" spans="2:6" hidden="1" x14ac:dyDescent="0.25">
      <c r="B56" s="9" t="s">
        <v>395</v>
      </c>
      <c r="F56" s="7">
        <v>19025</v>
      </c>
    </row>
    <row r="57" spans="2:6" hidden="1" x14ac:dyDescent="0.25">
      <c r="B57" s="9" t="s">
        <v>396</v>
      </c>
      <c r="F57" s="7">
        <v>19026</v>
      </c>
    </row>
    <row r="58" spans="2:6" hidden="1" x14ac:dyDescent="0.25">
      <c r="B58" s="9" t="s">
        <v>397</v>
      </c>
      <c r="F58" s="7">
        <v>19027</v>
      </c>
    </row>
    <row r="59" spans="2:6" hidden="1" x14ac:dyDescent="0.25">
      <c r="B59" s="9" t="s">
        <v>398</v>
      </c>
      <c r="F59" s="7">
        <v>19028</v>
      </c>
    </row>
    <row r="60" spans="2:6" hidden="1" x14ac:dyDescent="0.25">
      <c r="B60" s="9" t="s">
        <v>399</v>
      </c>
      <c r="F60" s="7">
        <v>19029</v>
      </c>
    </row>
    <row r="61" spans="2:6" hidden="1" x14ac:dyDescent="0.25">
      <c r="B61" s="9" t="s">
        <v>400</v>
      </c>
      <c r="F61" s="7">
        <v>19030</v>
      </c>
    </row>
    <row r="62" spans="2:6" hidden="1" x14ac:dyDescent="0.25">
      <c r="B62" s="9" t="s">
        <v>401</v>
      </c>
      <c r="F62" s="7">
        <v>20001</v>
      </c>
    </row>
    <row r="63" spans="2:6" hidden="1" x14ac:dyDescent="0.25">
      <c r="B63" s="9" t="s">
        <v>402</v>
      </c>
      <c r="F63" s="7">
        <v>20003</v>
      </c>
    </row>
    <row r="64" spans="2:6" hidden="1" x14ac:dyDescent="0.25">
      <c r="B64" s="9" t="s">
        <v>403</v>
      </c>
      <c r="F64" s="7">
        <v>20004</v>
      </c>
    </row>
    <row r="65" spans="2:6" hidden="1" x14ac:dyDescent="0.25">
      <c r="B65" s="9" t="s">
        <v>404</v>
      </c>
      <c r="F65" s="7">
        <v>20005</v>
      </c>
    </row>
    <row r="66" spans="2:6" hidden="1" x14ac:dyDescent="0.25">
      <c r="B66" s="9" t="s">
        <v>249</v>
      </c>
      <c r="F66" s="7">
        <v>20006</v>
      </c>
    </row>
    <row r="67" spans="2:6" hidden="1" x14ac:dyDescent="0.25">
      <c r="B67" s="9" t="s">
        <v>405</v>
      </c>
      <c r="F67" s="7">
        <v>20010</v>
      </c>
    </row>
    <row r="68" spans="2:6" hidden="1" x14ac:dyDescent="0.25">
      <c r="B68" s="9" t="s">
        <v>406</v>
      </c>
      <c r="F68" s="7">
        <v>20011</v>
      </c>
    </row>
    <row r="69" spans="2:6" hidden="1" x14ac:dyDescent="0.25">
      <c r="B69" s="9" t="s">
        <v>407</v>
      </c>
      <c r="F69" s="7">
        <v>20012</v>
      </c>
    </row>
    <row r="70" spans="2:6" hidden="1" x14ac:dyDescent="0.25">
      <c r="B70" s="9" t="s">
        <v>408</v>
      </c>
      <c r="F70" s="7">
        <v>20013</v>
      </c>
    </row>
    <row r="71" spans="2:6" hidden="1" x14ac:dyDescent="0.25">
      <c r="B71" s="9" t="s">
        <v>409</v>
      </c>
      <c r="F71" s="7">
        <v>20014</v>
      </c>
    </row>
    <row r="72" spans="2:6" hidden="1" x14ac:dyDescent="0.25">
      <c r="B72" s="9" t="s">
        <v>271</v>
      </c>
      <c r="F72" s="7">
        <v>20015</v>
      </c>
    </row>
    <row r="73" spans="2:6" hidden="1" x14ac:dyDescent="0.25">
      <c r="B73" s="9" t="s">
        <v>410</v>
      </c>
      <c r="F73" s="7">
        <v>20016</v>
      </c>
    </row>
    <row r="74" spans="2:6" hidden="1" x14ac:dyDescent="0.25">
      <c r="B74" s="9" t="s">
        <v>411</v>
      </c>
      <c r="F74" s="7">
        <v>20017</v>
      </c>
    </row>
    <row r="75" spans="2:6" hidden="1" x14ac:dyDescent="0.25">
      <c r="B75" s="9" t="s">
        <v>412</v>
      </c>
      <c r="F75" s="7">
        <v>20018</v>
      </c>
    </row>
    <row r="76" spans="2:6" hidden="1" x14ac:dyDescent="0.25">
      <c r="B76" s="9" t="s">
        <v>413</v>
      </c>
      <c r="F76" s="7">
        <v>20019</v>
      </c>
    </row>
    <row r="77" spans="2:6" hidden="1" x14ac:dyDescent="0.25">
      <c r="B77" s="9" t="s">
        <v>414</v>
      </c>
      <c r="F77" s="7">
        <v>20020</v>
      </c>
    </row>
    <row r="78" spans="2:6" hidden="1" x14ac:dyDescent="0.25">
      <c r="B78" s="9" t="s">
        <v>415</v>
      </c>
      <c r="F78" s="7">
        <v>20021</v>
      </c>
    </row>
    <row r="79" spans="2:6" hidden="1" x14ac:dyDescent="0.25">
      <c r="B79" s="9" t="s">
        <v>416</v>
      </c>
      <c r="F79" s="7">
        <v>20022</v>
      </c>
    </row>
    <row r="80" spans="2:6" hidden="1" x14ac:dyDescent="0.25">
      <c r="B80" s="9" t="s">
        <v>417</v>
      </c>
      <c r="F80" s="7">
        <v>24001</v>
      </c>
    </row>
    <row r="81" spans="2:6" hidden="1" x14ac:dyDescent="0.25">
      <c r="B81" s="9" t="s">
        <v>418</v>
      </c>
      <c r="F81" s="7">
        <v>24002</v>
      </c>
    </row>
    <row r="82" spans="2:6" hidden="1" x14ac:dyDescent="0.25">
      <c r="B82" s="9" t="s">
        <v>419</v>
      </c>
      <c r="F82" s="7">
        <v>24003</v>
      </c>
    </row>
    <row r="83" spans="2:6" hidden="1" x14ac:dyDescent="0.25">
      <c r="B83" s="9" t="s">
        <v>420</v>
      </c>
      <c r="F83" s="7">
        <v>24004</v>
      </c>
    </row>
    <row r="84" spans="2:6" hidden="1" x14ac:dyDescent="0.25">
      <c r="B84" s="9" t="s">
        <v>421</v>
      </c>
      <c r="F84" s="7">
        <v>24005</v>
      </c>
    </row>
    <row r="85" spans="2:6" hidden="1" x14ac:dyDescent="0.25">
      <c r="B85" s="9" t="s">
        <v>422</v>
      </c>
      <c r="F85" s="7">
        <v>24006</v>
      </c>
    </row>
    <row r="86" spans="2:6" hidden="1" x14ac:dyDescent="0.25">
      <c r="B86" s="9" t="s">
        <v>423</v>
      </c>
      <c r="F86" s="7">
        <v>24009</v>
      </c>
    </row>
    <row r="87" spans="2:6" hidden="1" x14ac:dyDescent="0.25">
      <c r="B87" s="9" t="s">
        <v>424</v>
      </c>
      <c r="F87" s="7">
        <v>24010</v>
      </c>
    </row>
    <row r="88" spans="2:6" hidden="1" x14ac:dyDescent="0.25">
      <c r="B88" s="9" t="s">
        <v>425</v>
      </c>
      <c r="F88" s="7">
        <v>24011</v>
      </c>
    </row>
    <row r="89" spans="2:6" hidden="1" x14ac:dyDescent="0.25">
      <c r="B89" s="9" t="s">
        <v>426</v>
      </c>
      <c r="F89" s="7">
        <v>24012</v>
      </c>
    </row>
    <row r="90" spans="2:6" hidden="1" x14ac:dyDescent="0.25">
      <c r="B90" s="9" t="s">
        <v>427</v>
      </c>
      <c r="F90" s="7">
        <v>24013</v>
      </c>
    </row>
    <row r="91" spans="2:6" hidden="1" x14ac:dyDescent="0.25">
      <c r="B91" s="9" t="s">
        <v>428</v>
      </c>
      <c r="F91" s="7">
        <v>24014</v>
      </c>
    </row>
    <row r="92" spans="2:6" hidden="1" x14ac:dyDescent="0.25">
      <c r="B92" s="9" t="s">
        <v>429</v>
      </c>
      <c r="F92" s="7">
        <v>24015</v>
      </c>
    </row>
    <row r="93" spans="2:6" hidden="1" x14ac:dyDescent="0.25">
      <c r="B93" s="9" t="s">
        <v>430</v>
      </c>
      <c r="F93" s="7">
        <v>24016</v>
      </c>
    </row>
    <row r="94" spans="2:6" hidden="1" x14ac:dyDescent="0.25">
      <c r="B94" s="9" t="s">
        <v>268</v>
      </c>
      <c r="F94" s="7">
        <v>25005</v>
      </c>
    </row>
    <row r="95" spans="2:6" hidden="1" x14ac:dyDescent="0.25">
      <c r="B95" s="9" t="s">
        <v>431</v>
      </c>
      <c r="F95" s="7">
        <v>25006</v>
      </c>
    </row>
    <row r="96" spans="2:6" hidden="1" x14ac:dyDescent="0.25">
      <c r="B96" s="9" t="s">
        <v>432</v>
      </c>
      <c r="F96" s="7">
        <v>25007</v>
      </c>
    </row>
    <row r="97" spans="2:6" hidden="1" x14ac:dyDescent="0.25">
      <c r="B97" s="9" t="s">
        <v>433</v>
      </c>
      <c r="F97" s="7">
        <v>25008</v>
      </c>
    </row>
    <row r="98" spans="2:6" hidden="1" x14ac:dyDescent="0.25">
      <c r="B98" s="9" t="s">
        <v>434</v>
      </c>
      <c r="F98" s="7">
        <v>25009</v>
      </c>
    </row>
    <row r="99" spans="2:6" hidden="1" x14ac:dyDescent="0.25">
      <c r="B99" s="9" t="s">
        <v>435</v>
      </c>
      <c r="F99" s="7">
        <v>25010</v>
      </c>
    </row>
    <row r="100" spans="2:6" hidden="1" x14ac:dyDescent="0.25">
      <c r="B100" s="9" t="s">
        <v>436</v>
      </c>
      <c r="F100" s="7">
        <v>25011</v>
      </c>
    </row>
    <row r="101" spans="2:6" hidden="1" x14ac:dyDescent="0.25">
      <c r="B101" s="9" t="s">
        <v>272</v>
      </c>
      <c r="F101" s="7">
        <v>25012</v>
      </c>
    </row>
    <row r="102" spans="2:6" hidden="1" x14ac:dyDescent="0.25">
      <c r="B102" s="9" t="s">
        <v>437</v>
      </c>
      <c r="F102" s="7">
        <v>221101</v>
      </c>
    </row>
    <row r="103" spans="2:6" hidden="1" x14ac:dyDescent="0.25">
      <c r="B103" s="9" t="s">
        <v>438</v>
      </c>
      <c r="F103" s="7">
        <v>221301</v>
      </c>
    </row>
    <row r="104" spans="2:6" hidden="1" x14ac:dyDescent="0.25">
      <c r="B104" s="9" t="s">
        <v>439</v>
      </c>
    </row>
    <row r="105" spans="2:6" hidden="1" x14ac:dyDescent="0.25">
      <c r="B105" s="9" t="s">
        <v>440</v>
      </c>
    </row>
    <row r="106" spans="2:6" hidden="1" x14ac:dyDescent="0.25">
      <c r="B106" s="9" t="s">
        <v>441</v>
      </c>
    </row>
    <row r="107" spans="2:6" hidden="1" x14ac:dyDescent="0.25">
      <c r="B107" s="9" t="s">
        <v>442</v>
      </c>
    </row>
    <row r="108" spans="2:6" hidden="1" x14ac:dyDescent="0.25">
      <c r="B108" s="9" t="s">
        <v>443</v>
      </c>
    </row>
    <row r="109" spans="2:6" hidden="1" x14ac:dyDescent="0.25">
      <c r="B109" s="9" t="s">
        <v>444</v>
      </c>
    </row>
    <row r="110" spans="2:6" hidden="1" x14ac:dyDescent="0.25">
      <c r="B110" s="9" t="s">
        <v>445</v>
      </c>
    </row>
    <row r="111" spans="2:6" hidden="1" x14ac:dyDescent="0.25">
      <c r="B111" s="9" t="s">
        <v>446</v>
      </c>
    </row>
    <row r="112" spans="2:6" hidden="1" x14ac:dyDescent="0.25">
      <c r="B112" s="9" t="s">
        <v>191</v>
      </c>
    </row>
    <row r="113" spans="2:2" hidden="1" x14ac:dyDescent="0.25">
      <c r="B113" s="9" t="s">
        <v>260</v>
      </c>
    </row>
    <row r="114" spans="2:2" hidden="1" x14ac:dyDescent="0.25">
      <c r="B114" s="9" t="s">
        <v>447</v>
      </c>
    </row>
    <row r="115" spans="2:2" hidden="1" x14ac:dyDescent="0.25">
      <c r="B115" s="9" t="s">
        <v>448</v>
      </c>
    </row>
    <row r="116" spans="2:2" hidden="1" x14ac:dyDescent="0.25">
      <c r="B116" s="9" t="s">
        <v>449</v>
      </c>
    </row>
    <row r="117" spans="2:2" hidden="1" x14ac:dyDescent="0.25">
      <c r="B117" s="9" t="s">
        <v>450</v>
      </c>
    </row>
    <row r="118" spans="2:2" hidden="1" x14ac:dyDescent="0.25">
      <c r="B118" s="9" t="s">
        <v>451</v>
      </c>
    </row>
    <row r="119" spans="2:2" hidden="1" x14ac:dyDescent="0.25">
      <c r="B119" s="9" t="s">
        <v>452</v>
      </c>
    </row>
    <row r="120" spans="2:2" hidden="1" x14ac:dyDescent="0.25">
      <c r="B120" s="9" t="s">
        <v>453</v>
      </c>
    </row>
    <row r="121" spans="2:2" hidden="1" x14ac:dyDescent="0.25">
      <c r="B121" s="9" t="s">
        <v>454</v>
      </c>
    </row>
    <row r="122" spans="2:2" hidden="1" x14ac:dyDescent="0.25">
      <c r="B122" s="9" t="s">
        <v>223</v>
      </c>
    </row>
    <row r="123" spans="2:2" hidden="1" x14ac:dyDescent="0.25">
      <c r="B123" s="9" t="s">
        <v>455</v>
      </c>
    </row>
    <row r="124" spans="2:2" hidden="1" x14ac:dyDescent="0.25">
      <c r="B124" s="9" t="s">
        <v>456</v>
      </c>
    </row>
    <row r="125" spans="2:2" hidden="1" x14ac:dyDescent="0.25">
      <c r="B125" s="9" t="s">
        <v>457</v>
      </c>
    </row>
    <row r="126" spans="2:2" hidden="1" x14ac:dyDescent="0.25">
      <c r="B126" s="9" t="s">
        <v>458</v>
      </c>
    </row>
    <row r="127" spans="2:2" hidden="1" x14ac:dyDescent="0.25">
      <c r="B127" s="9" t="s">
        <v>459</v>
      </c>
    </row>
    <row r="128" spans="2:2" hidden="1" x14ac:dyDescent="0.25">
      <c r="B128" s="9" t="s">
        <v>312</v>
      </c>
    </row>
    <row r="129" spans="2:2" hidden="1" x14ac:dyDescent="0.25">
      <c r="B129" s="9" t="s">
        <v>460</v>
      </c>
    </row>
    <row r="130" spans="2:2" hidden="1" x14ac:dyDescent="0.25">
      <c r="B130" s="9" t="s">
        <v>311</v>
      </c>
    </row>
    <row r="131" spans="2:2" hidden="1" x14ac:dyDescent="0.25">
      <c r="B131" s="9" t="s">
        <v>461</v>
      </c>
    </row>
    <row r="132" spans="2:2" hidden="1" x14ac:dyDescent="0.25">
      <c r="B132" s="9" t="s">
        <v>462</v>
      </c>
    </row>
    <row r="133" spans="2:2" hidden="1" x14ac:dyDescent="0.25">
      <c r="B133" s="9" t="s">
        <v>320</v>
      </c>
    </row>
    <row r="134" spans="2:2" hidden="1" x14ac:dyDescent="0.25">
      <c r="B134" s="9" t="s">
        <v>463</v>
      </c>
    </row>
    <row r="135" spans="2:2" hidden="1" x14ac:dyDescent="0.25">
      <c r="B135" s="9" t="s">
        <v>464</v>
      </c>
    </row>
    <row r="136" spans="2:2" hidden="1" x14ac:dyDescent="0.25">
      <c r="B136" s="9" t="s">
        <v>465</v>
      </c>
    </row>
    <row r="137" spans="2:2" hidden="1" x14ac:dyDescent="0.25">
      <c r="B137" s="9" t="s">
        <v>466</v>
      </c>
    </row>
    <row r="138" spans="2:2" hidden="1" x14ac:dyDescent="0.25">
      <c r="B138" s="9" t="s">
        <v>307</v>
      </c>
    </row>
    <row r="139" spans="2:2" hidden="1" x14ac:dyDescent="0.25">
      <c r="B139" s="9" t="s">
        <v>467</v>
      </c>
    </row>
    <row r="140" spans="2:2" hidden="1" x14ac:dyDescent="0.25">
      <c r="B140" s="9" t="s">
        <v>468</v>
      </c>
    </row>
    <row r="141" spans="2:2" hidden="1" x14ac:dyDescent="0.25">
      <c r="B141" s="9" t="s">
        <v>322</v>
      </c>
    </row>
    <row r="142" spans="2:2" hidden="1" x14ac:dyDescent="0.25">
      <c r="B142" s="9" t="s">
        <v>469</v>
      </c>
    </row>
    <row r="143" spans="2:2" hidden="1" x14ac:dyDescent="0.25">
      <c r="B143" s="9" t="s">
        <v>470</v>
      </c>
    </row>
    <row r="144" spans="2:2" hidden="1" x14ac:dyDescent="0.25">
      <c r="B144" s="9" t="s">
        <v>471</v>
      </c>
    </row>
    <row r="145" spans="2:2" hidden="1" x14ac:dyDescent="0.25">
      <c r="B145" s="9" t="s">
        <v>472</v>
      </c>
    </row>
    <row r="146" spans="2:2" hidden="1" x14ac:dyDescent="0.25">
      <c r="B146" s="9" t="s">
        <v>473</v>
      </c>
    </row>
    <row r="147" spans="2:2" hidden="1" x14ac:dyDescent="0.25">
      <c r="B147" s="9" t="s">
        <v>474</v>
      </c>
    </row>
    <row r="148" spans="2:2" hidden="1" x14ac:dyDescent="0.25">
      <c r="B148" s="9" t="s">
        <v>475</v>
      </c>
    </row>
    <row r="149" spans="2:2" hidden="1" x14ac:dyDescent="0.25">
      <c r="B149" s="9" t="s">
        <v>321</v>
      </c>
    </row>
    <row r="150" spans="2:2" hidden="1" x14ac:dyDescent="0.25">
      <c r="B150" s="9" t="s">
        <v>476</v>
      </c>
    </row>
    <row r="151" spans="2:2" hidden="1" x14ac:dyDescent="0.25">
      <c r="B151" s="9" t="s">
        <v>477</v>
      </c>
    </row>
    <row r="152" spans="2:2" hidden="1" x14ac:dyDescent="0.25">
      <c r="B152" s="9" t="s">
        <v>478</v>
      </c>
    </row>
    <row r="153" spans="2:2" hidden="1" x14ac:dyDescent="0.25">
      <c r="B153" s="9" t="s">
        <v>479</v>
      </c>
    </row>
    <row r="154" spans="2:2" hidden="1" x14ac:dyDescent="0.25">
      <c r="B154" s="9" t="s">
        <v>262</v>
      </c>
    </row>
    <row r="155" spans="2:2" hidden="1" x14ac:dyDescent="0.25">
      <c r="B155" s="9" t="s">
        <v>480</v>
      </c>
    </row>
    <row r="156" spans="2:2" hidden="1" x14ac:dyDescent="0.25">
      <c r="B156" s="9" t="s">
        <v>481</v>
      </c>
    </row>
    <row r="157" spans="2:2" hidden="1" x14ac:dyDescent="0.25">
      <c r="B157" s="9" t="s">
        <v>319</v>
      </c>
    </row>
    <row r="158" spans="2:2" hidden="1" x14ac:dyDescent="0.25">
      <c r="B158" s="9" t="s">
        <v>482</v>
      </c>
    </row>
    <row r="159" spans="2:2" hidden="1" x14ac:dyDescent="0.25">
      <c r="B159" s="9" t="s">
        <v>483</v>
      </c>
    </row>
    <row r="160" spans="2:2" hidden="1" x14ac:dyDescent="0.25">
      <c r="B160" s="9" t="s">
        <v>484</v>
      </c>
    </row>
    <row r="161" spans="2:2" hidden="1" x14ac:dyDescent="0.25">
      <c r="B161" s="9" t="s">
        <v>485</v>
      </c>
    </row>
    <row r="162" spans="2:2" hidden="1" x14ac:dyDescent="0.25">
      <c r="B162" s="9" t="s">
        <v>486</v>
      </c>
    </row>
    <row r="163" spans="2:2" hidden="1" x14ac:dyDescent="0.25">
      <c r="B163" s="9" t="s">
        <v>487</v>
      </c>
    </row>
    <row r="164" spans="2:2" hidden="1" x14ac:dyDescent="0.25">
      <c r="B164" s="9" t="s">
        <v>488</v>
      </c>
    </row>
    <row r="165" spans="2:2" hidden="1" x14ac:dyDescent="0.25">
      <c r="B165" s="9" t="s">
        <v>489</v>
      </c>
    </row>
    <row r="166" spans="2:2" hidden="1" x14ac:dyDescent="0.25">
      <c r="B166" s="9" t="s">
        <v>490</v>
      </c>
    </row>
    <row r="167" spans="2:2" hidden="1" x14ac:dyDescent="0.25">
      <c r="B167" s="9" t="s">
        <v>491</v>
      </c>
    </row>
    <row r="168" spans="2:2" hidden="1" x14ac:dyDescent="0.25">
      <c r="B168" s="9" t="s">
        <v>492</v>
      </c>
    </row>
    <row r="169" spans="2:2" hidden="1" x14ac:dyDescent="0.25">
      <c r="B169" s="9" t="s">
        <v>493</v>
      </c>
    </row>
    <row r="170" spans="2:2" hidden="1" x14ac:dyDescent="0.25">
      <c r="B170" s="9" t="s">
        <v>494</v>
      </c>
    </row>
    <row r="171" spans="2:2" hidden="1" x14ac:dyDescent="0.25">
      <c r="B171" s="9" t="s">
        <v>495</v>
      </c>
    </row>
    <row r="172" spans="2:2" hidden="1" x14ac:dyDescent="0.25">
      <c r="B172" s="9" t="s">
        <v>496</v>
      </c>
    </row>
    <row r="173" spans="2:2" hidden="1" x14ac:dyDescent="0.25">
      <c r="B173" s="9" t="s">
        <v>497</v>
      </c>
    </row>
    <row r="174" spans="2:2" hidden="1" x14ac:dyDescent="0.25">
      <c r="B174" s="9" t="s">
        <v>152</v>
      </c>
    </row>
    <row r="175" spans="2:2" hidden="1" x14ac:dyDescent="0.25">
      <c r="B175" s="9" t="s">
        <v>498</v>
      </c>
    </row>
    <row r="176" spans="2:2" hidden="1" x14ac:dyDescent="0.25">
      <c r="B176" s="9" t="s">
        <v>499</v>
      </c>
    </row>
    <row r="177" spans="2:2" hidden="1" x14ac:dyDescent="0.25">
      <c r="B177" s="9" t="s">
        <v>500</v>
      </c>
    </row>
    <row r="178" spans="2:2" hidden="1" x14ac:dyDescent="0.25">
      <c r="B178" s="9" t="s">
        <v>501</v>
      </c>
    </row>
    <row r="179" spans="2:2" hidden="1" x14ac:dyDescent="0.25">
      <c r="B179" s="9" t="s">
        <v>502</v>
      </c>
    </row>
    <row r="180" spans="2:2" hidden="1" x14ac:dyDescent="0.25">
      <c r="B180" s="9" t="s">
        <v>503</v>
      </c>
    </row>
    <row r="181" spans="2:2" hidden="1" x14ac:dyDescent="0.25">
      <c r="B181" s="9" t="s">
        <v>504</v>
      </c>
    </row>
    <row r="182" spans="2:2" hidden="1" x14ac:dyDescent="0.25">
      <c r="B182" s="9" t="s">
        <v>72</v>
      </c>
    </row>
    <row r="183" spans="2:2" hidden="1" x14ac:dyDescent="0.25">
      <c r="B183" s="9" t="s">
        <v>505</v>
      </c>
    </row>
    <row r="184" spans="2:2" hidden="1" x14ac:dyDescent="0.25">
      <c r="B184" s="9" t="s">
        <v>506</v>
      </c>
    </row>
    <row r="185" spans="2:2" hidden="1" x14ac:dyDescent="0.25">
      <c r="B185" s="9" t="s">
        <v>507</v>
      </c>
    </row>
    <row r="186" spans="2:2" hidden="1" x14ac:dyDescent="0.25">
      <c r="B186" s="9" t="s">
        <v>508</v>
      </c>
    </row>
    <row r="187" spans="2:2" hidden="1" x14ac:dyDescent="0.25">
      <c r="B187" s="9" t="s">
        <v>308</v>
      </c>
    </row>
    <row r="188" spans="2:2" hidden="1" x14ac:dyDescent="0.25">
      <c r="B188" s="9" t="s">
        <v>509</v>
      </c>
    </row>
    <row r="189" spans="2:2" hidden="1" x14ac:dyDescent="0.25">
      <c r="B189" s="9" t="s">
        <v>510</v>
      </c>
    </row>
    <row r="190" spans="2:2" hidden="1" x14ac:dyDescent="0.25">
      <c r="B190" s="9" t="s">
        <v>511</v>
      </c>
    </row>
    <row r="191" spans="2:2" hidden="1" x14ac:dyDescent="0.25">
      <c r="B191" s="9" t="s">
        <v>512</v>
      </c>
    </row>
    <row r="192" spans="2:2" hidden="1" x14ac:dyDescent="0.25">
      <c r="B192" s="9" t="s">
        <v>513</v>
      </c>
    </row>
    <row r="193" spans="2:2" hidden="1" x14ac:dyDescent="0.25">
      <c r="B193" s="9" t="s">
        <v>514</v>
      </c>
    </row>
    <row r="194" spans="2:2" hidden="1" x14ac:dyDescent="0.25">
      <c r="B194" s="9" t="s">
        <v>270</v>
      </c>
    </row>
    <row r="195" spans="2:2" hidden="1" x14ac:dyDescent="0.25">
      <c r="B195" s="9" t="s">
        <v>515</v>
      </c>
    </row>
    <row r="196" spans="2:2" hidden="1" x14ac:dyDescent="0.25">
      <c r="B196" s="9" t="s">
        <v>516</v>
      </c>
    </row>
    <row r="197" spans="2:2" hidden="1" x14ac:dyDescent="0.25">
      <c r="B197" s="9" t="s">
        <v>517</v>
      </c>
    </row>
    <row r="198" spans="2:2" hidden="1" x14ac:dyDescent="0.25">
      <c r="B198" s="9" t="s">
        <v>518</v>
      </c>
    </row>
    <row r="199" spans="2:2" hidden="1" x14ac:dyDescent="0.25">
      <c r="B199" s="9" t="s">
        <v>519</v>
      </c>
    </row>
    <row r="200" spans="2:2" hidden="1" x14ac:dyDescent="0.25">
      <c r="B200" s="9" t="s">
        <v>520</v>
      </c>
    </row>
    <row r="201" spans="2:2" hidden="1" x14ac:dyDescent="0.25">
      <c r="B201" s="9" t="s">
        <v>521</v>
      </c>
    </row>
    <row r="202" spans="2:2" hidden="1" x14ac:dyDescent="0.25">
      <c r="B202" s="9" t="s">
        <v>522</v>
      </c>
    </row>
    <row r="203" spans="2:2" hidden="1" x14ac:dyDescent="0.25">
      <c r="B203" s="9" t="s">
        <v>523</v>
      </c>
    </row>
    <row r="204" spans="2:2" hidden="1" x14ac:dyDescent="0.25">
      <c r="B204" s="9" t="s">
        <v>524</v>
      </c>
    </row>
    <row r="205" spans="2:2" hidden="1" x14ac:dyDescent="0.25">
      <c r="B205" s="9" t="s">
        <v>525</v>
      </c>
    </row>
    <row r="206" spans="2:2" hidden="1" x14ac:dyDescent="0.25">
      <c r="B206" s="9" t="s">
        <v>526</v>
      </c>
    </row>
    <row r="207" spans="2:2" hidden="1" x14ac:dyDescent="0.25">
      <c r="B207" s="9" t="s">
        <v>527</v>
      </c>
    </row>
    <row r="208" spans="2:2" hidden="1" x14ac:dyDescent="0.25">
      <c r="B208" s="9" t="s">
        <v>528</v>
      </c>
    </row>
    <row r="209" spans="2:2" hidden="1" x14ac:dyDescent="0.25">
      <c r="B209" s="9" t="s">
        <v>529</v>
      </c>
    </row>
    <row r="210" spans="2:2" hidden="1" x14ac:dyDescent="0.25">
      <c r="B210" s="9" t="s">
        <v>530</v>
      </c>
    </row>
    <row r="211" spans="2:2" hidden="1" x14ac:dyDescent="0.25">
      <c r="B211" s="9" t="s">
        <v>531</v>
      </c>
    </row>
    <row r="212" spans="2:2" hidden="1" x14ac:dyDescent="0.25">
      <c r="B212" s="9" t="s">
        <v>532</v>
      </c>
    </row>
    <row r="213" spans="2:2" hidden="1" x14ac:dyDescent="0.25">
      <c r="B213" s="9" t="s">
        <v>533</v>
      </c>
    </row>
    <row r="214" spans="2:2" hidden="1" x14ac:dyDescent="0.25">
      <c r="B214" s="9" t="s">
        <v>534</v>
      </c>
    </row>
    <row r="215" spans="2:2" hidden="1" x14ac:dyDescent="0.25">
      <c r="B215" s="9" t="s">
        <v>535</v>
      </c>
    </row>
    <row r="216" spans="2:2" hidden="1" x14ac:dyDescent="0.25">
      <c r="B216" s="9" t="s">
        <v>536</v>
      </c>
    </row>
    <row r="217" spans="2:2" hidden="1" x14ac:dyDescent="0.25">
      <c r="B217" s="9" t="s">
        <v>537</v>
      </c>
    </row>
    <row r="218" spans="2:2" hidden="1" x14ac:dyDescent="0.25">
      <c r="B218" s="9" t="s">
        <v>538</v>
      </c>
    </row>
    <row r="219" spans="2:2" hidden="1" x14ac:dyDescent="0.25">
      <c r="B219" s="9" t="s">
        <v>539</v>
      </c>
    </row>
    <row r="220" spans="2:2" hidden="1" x14ac:dyDescent="0.25">
      <c r="B220" s="9" t="s">
        <v>540</v>
      </c>
    </row>
    <row r="221" spans="2:2" hidden="1" x14ac:dyDescent="0.25">
      <c r="B221" s="9" t="s">
        <v>541</v>
      </c>
    </row>
    <row r="222" spans="2:2" hidden="1" x14ac:dyDescent="0.25">
      <c r="B222" s="9" t="s">
        <v>259</v>
      </c>
    </row>
    <row r="223" spans="2:2" hidden="1" x14ac:dyDescent="0.25">
      <c r="B223" s="9" t="s">
        <v>542</v>
      </c>
    </row>
    <row r="224" spans="2:2" hidden="1" x14ac:dyDescent="0.25">
      <c r="B224" s="9" t="s">
        <v>543</v>
      </c>
    </row>
    <row r="225" spans="2:2" hidden="1" x14ac:dyDescent="0.25">
      <c r="B225" s="9" t="s">
        <v>217</v>
      </c>
    </row>
    <row r="226" spans="2:2" hidden="1" x14ac:dyDescent="0.25">
      <c r="B226" s="9" t="s">
        <v>544</v>
      </c>
    </row>
    <row r="227" spans="2:2" hidden="1" x14ac:dyDescent="0.25">
      <c r="B227" s="9" t="s">
        <v>545</v>
      </c>
    </row>
    <row r="228" spans="2:2" hidden="1" x14ac:dyDescent="0.25">
      <c r="B228" s="9" t="s">
        <v>546</v>
      </c>
    </row>
    <row r="229" spans="2:2" hidden="1" x14ac:dyDescent="0.25">
      <c r="B229" s="9" t="s">
        <v>547</v>
      </c>
    </row>
    <row r="230" spans="2:2" hidden="1" x14ac:dyDescent="0.25">
      <c r="B230" s="10" t="s">
        <v>133</v>
      </c>
    </row>
    <row r="231" spans="2:2" hidden="1" x14ac:dyDescent="0.25">
      <c r="B231" s="9" t="s">
        <v>263</v>
      </c>
    </row>
    <row r="232" spans="2:2" hidden="1" x14ac:dyDescent="0.25">
      <c r="B232" s="9" t="s">
        <v>548</v>
      </c>
    </row>
    <row r="233" spans="2:2" hidden="1" x14ac:dyDescent="0.25">
      <c r="B233" s="9" t="s">
        <v>549</v>
      </c>
    </row>
    <row r="234" spans="2:2" hidden="1" x14ac:dyDescent="0.25">
      <c r="B234" s="9" t="s">
        <v>550</v>
      </c>
    </row>
    <row r="235" spans="2:2" hidden="1" x14ac:dyDescent="0.25">
      <c r="B235" s="9" t="s">
        <v>551</v>
      </c>
    </row>
    <row r="236" spans="2:2" hidden="1" x14ac:dyDescent="0.25">
      <c r="B236" s="9" t="s">
        <v>552</v>
      </c>
    </row>
    <row r="237" spans="2:2" hidden="1" x14ac:dyDescent="0.25">
      <c r="B237" s="9" t="s">
        <v>553</v>
      </c>
    </row>
    <row r="238" spans="2:2" hidden="1" x14ac:dyDescent="0.25">
      <c r="B238" s="9" t="s">
        <v>554</v>
      </c>
    </row>
    <row r="239" spans="2:2" hidden="1" x14ac:dyDescent="0.25">
      <c r="B239" s="9" t="s">
        <v>555</v>
      </c>
    </row>
    <row r="240" spans="2:2" hidden="1" x14ac:dyDescent="0.25">
      <c r="B240" s="9" t="s">
        <v>556</v>
      </c>
    </row>
    <row r="241" spans="2:2" hidden="1" x14ac:dyDescent="0.25">
      <c r="B241" s="9" t="s">
        <v>557</v>
      </c>
    </row>
    <row r="242" spans="2:2" hidden="1" x14ac:dyDescent="0.25">
      <c r="B242" s="9" t="s">
        <v>558</v>
      </c>
    </row>
    <row r="243" spans="2:2" hidden="1" x14ac:dyDescent="0.25">
      <c r="B243" s="9" t="s">
        <v>559</v>
      </c>
    </row>
    <row r="244" spans="2:2" hidden="1" x14ac:dyDescent="0.25">
      <c r="B244" s="9" t="s">
        <v>560</v>
      </c>
    </row>
    <row r="245" spans="2:2" hidden="1" x14ac:dyDescent="0.25">
      <c r="B245" s="9" t="s">
        <v>561</v>
      </c>
    </row>
    <row r="246" spans="2:2" hidden="1" x14ac:dyDescent="0.25">
      <c r="B246" s="9" t="s">
        <v>562</v>
      </c>
    </row>
    <row r="247" spans="2:2" hidden="1" x14ac:dyDescent="0.25">
      <c r="B247" s="9" t="s">
        <v>563</v>
      </c>
    </row>
    <row r="248" spans="2:2" hidden="1" x14ac:dyDescent="0.25">
      <c r="B248" s="9" t="s">
        <v>564</v>
      </c>
    </row>
    <row r="249" spans="2:2" hidden="1" x14ac:dyDescent="0.25">
      <c r="B249" s="9" t="s">
        <v>565</v>
      </c>
    </row>
    <row r="250" spans="2:2" hidden="1" x14ac:dyDescent="0.25">
      <c r="B250" s="9" t="s">
        <v>566</v>
      </c>
    </row>
    <row r="251" spans="2:2" hidden="1" x14ac:dyDescent="0.25">
      <c r="B251" s="9" t="s">
        <v>567</v>
      </c>
    </row>
    <row r="252" spans="2:2" hidden="1" x14ac:dyDescent="0.25">
      <c r="B252" s="9" t="s">
        <v>568</v>
      </c>
    </row>
    <row r="253" spans="2:2" hidden="1" x14ac:dyDescent="0.25">
      <c r="B253" s="9" t="s">
        <v>569</v>
      </c>
    </row>
    <row r="254" spans="2:2" hidden="1" x14ac:dyDescent="0.25">
      <c r="B254" s="9" t="s">
        <v>570</v>
      </c>
    </row>
    <row r="255" spans="2:2" hidden="1" x14ac:dyDescent="0.25">
      <c r="B255" s="9" t="s">
        <v>571</v>
      </c>
    </row>
    <row r="256" spans="2:2" hidden="1" x14ac:dyDescent="0.25">
      <c r="B256" s="9" t="s">
        <v>572</v>
      </c>
    </row>
    <row r="257" spans="2:2" hidden="1" x14ac:dyDescent="0.25">
      <c r="B257" s="9" t="s">
        <v>573</v>
      </c>
    </row>
    <row r="258" spans="2:2" hidden="1" x14ac:dyDescent="0.25">
      <c r="B258" s="9" t="s">
        <v>574</v>
      </c>
    </row>
    <row r="259" spans="2:2" hidden="1" x14ac:dyDescent="0.25">
      <c r="B259" s="9" t="s">
        <v>575</v>
      </c>
    </row>
    <row r="260" spans="2:2" hidden="1" x14ac:dyDescent="0.25">
      <c r="B260" s="9" t="s">
        <v>576</v>
      </c>
    </row>
    <row r="261" spans="2:2" hidden="1" x14ac:dyDescent="0.25">
      <c r="B261" s="9" t="s">
        <v>577</v>
      </c>
    </row>
    <row r="262" spans="2:2" hidden="1" x14ac:dyDescent="0.25">
      <c r="B262" s="9" t="s">
        <v>578</v>
      </c>
    </row>
    <row r="263" spans="2:2" hidden="1" x14ac:dyDescent="0.25">
      <c r="B263" s="9" t="s">
        <v>579</v>
      </c>
    </row>
    <row r="264" spans="2:2" hidden="1" x14ac:dyDescent="0.25">
      <c r="B264" s="9" t="s">
        <v>580</v>
      </c>
    </row>
    <row r="265" spans="2:2" hidden="1" x14ac:dyDescent="0.25">
      <c r="B265" s="9" t="s">
        <v>581</v>
      </c>
    </row>
    <row r="266" spans="2:2" hidden="1" x14ac:dyDescent="0.25">
      <c r="B266" s="9" t="s">
        <v>582</v>
      </c>
    </row>
    <row r="267" spans="2:2" hidden="1" x14ac:dyDescent="0.25">
      <c r="B267" s="9" t="s">
        <v>583</v>
      </c>
    </row>
    <row r="268" spans="2:2" hidden="1" x14ac:dyDescent="0.25">
      <c r="B268" s="9" t="s">
        <v>192</v>
      </c>
    </row>
    <row r="269" spans="2:2" hidden="1" x14ac:dyDescent="0.25">
      <c r="B269" s="9" t="s">
        <v>584</v>
      </c>
    </row>
    <row r="270" spans="2:2" hidden="1" x14ac:dyDescent="0.25">
      <c r="B270" s="9" t="s">
        <v>585</v>
      </c>
    </row>
    <row r="271" spans="2:2" hidden="1" x14ac:dyDescent="0.25">
      <c r="B271" s="9" t="s">
        <v>586</v>
      </c>
    </row>
    <row r="272" spans="2:2" hidden="1" x14ac:dyDescent="0.25">
      <c r="B272" s="9" t="s">
        <v>587</v>
      </c>
    </row>
    <row r="273" spans="2:2" hidden="1" x14ac:dyDescent="0.25">
      <c r="B273" s="9" t="s">
        <v>588</v>
      </c>
    </row>
    <row r="274" spans="2:2" hidden="1" x14ac:dyDescent="0.25">
      <c r="B274" s="9" t="s">
        <v>589</v>
      </c>
    </row>
    <row r="275" spans="2:2" hidden="1" x14ac:dyDescent="0.25">
      <c r="B275" s="9" t="s">
        <v>590</v>
      </c>
    </row>
    <row r="276" spans="2:2" hidden="1" x14ac:dyDescent="0.25">
      <c r="B276" s="9" t="s">
        <v>591</v>
      </c>
    </row>
    <row r="277" spans="2:2" hidden="1" x14ac:dyDescent="0.25">
      <c r="B277" s="9" t="s">
        <v>592</v>
      </c>
    </row>
    <row r="278" spans="2:2" hidden="1" x14ac:dyDescent="0.25">
      <c r="B278" s="9" t="s">
        <v>593</v>
      </c>
    </row>
    <row r="279" spans="2:2" hidden="1" x14ac:dyDescent="0.25">
      <c r="B279" s="9" t="s">
        <v>594</v>
      </c>
    </row>
    <row r="280" spans="2:2" hidden="1" x14ac:dyDescent="0.25">
      <c r="B280" s="9" t="s">
        <v>595</v>
      </c>
    </row>
    <row r="281" spans="2:2" hidden="1" x14ac:dyDescent="0.25">
      <c r="B281" s="9" t="s">
        <v>596</v>
      </c>
    </row>
    <row r="282" spans="2:2" hidden="1" x14ac:dyDescent="0.25">
      <c r="B282" s="9" t="s">
        <v>597</v>
      </c>
    </row>
    <row r="283" spans="2:2" hidden="1" x14ac:dyDescent="0.25">
      <c r="B283" s="9" t="s">
        <v>598</v>
      </c>
    </row>
    <row r="284" spans="2:2" hidden="1" x14ac:dyDescent="0.25">
      <c r="B284" s="9" t="s">
        <v>599</v>
      </c>
    </row>
    <row r="285" spans="2:2" hidden="1" x14ac:dyDescent="0.25">
      <c r="B285" s="9" t="s">
        <v>183</v>
      </c>
    </row>
    <row r="286" spans="2:2" hidden="1" x14ac:dyDescent="0.25">
      <c r="B286" s="9" t="s">
        <v>183</v>
      </c>
    </row>
    <row r="287" spans="2:2" hidden="1" x14ac:dyDescent="0.25">
      <c r="B287" s="9" t="s">
        <v>600</v>
      </c>
    </row>
    <row r="288" spans="2:2" hidden="1" x14ac:dyDescent="0.25">
      <c r="B288" s="9" t="s">
        <v>601</v>
      </c>
    </row>
    <row r="289" spans="2:2" hidden="1" x14ac:dyDescent="0.25">
      <c r="B289" s="9" t="s">
        <v>602</v>
      </c>
    </row>
    <row r="290" spans="2:2" hidden="1" x14ac:dyDescent="0.25">
      <c r="B290" s="9" t="s">
        <v>603</v>
      </c>
    </row>
    <row r="291" spans="2:2" hidden="1" x14ac:dyDescent="0.25">
      <c r="B291" s="9" t="s">
        <v>604</v>
      </c>
    </row>
    <row r="292" spans="2:2" hidden="1" x14ac:dyDescent="0.25">
      <c r="B292" s="9" t="s">
        <v>605</v>
      </c>
    </row>
    <row r="293" spans="2:2" hidden="1" x14ac:dyDescent="0.25">
      <c r="B293" s="9" t="s">
        <v>606</v>
      </c>
    </row>
    <row r="294" spans="2:2" hidden="1" x14ac:dyDescent="0.25">
      <c r="B294" s="9" t="s">
        <v>607</v>
      </c>
    </row>
    <row r="295" spans="2:2" hidden="1" x14ac:dyDescent="0.25">
      <c r="B295" s="9" t="s">
        <v>608</v>
      </c>
    </row>
    <row r="296" spans="2:2" hidden="1" x14ac:dyDescent="0.25">
      <c r="B296" s="9" t="s">
        <v>609</v>
      </c>
    </row>
    <row r="297" spans="2:2" hidden="1" x14ac:dyDescent="0.25">
      <c r="B297" s="9" t="s">
        <v>610</v>
      </c>
    </row>
    <row r="298" spans="2:2" hidden="1" x14ac:dyDescent="0.25">
      <c r="B298" s="9" t="s">
        <v>611</v>
      </c>
    </row>
    <row r="299" spans="2:2" hidden="1" x14ac:dyDescent="0.25">
      <c r="B299" s="9" t="s">
        <v>612</v>
      </c>
    </row>
    <row r="300" spans="2:2" hidden="1" x14ac:dyDescent="0.25">
      <c r="B300" s="9" t="s">
        <v>613</v>
      </c>
    </row>
    <row r="301" spans="2:2" hidden="1" x14ac:dyDescent="0.25">
      <c r="B301" s="9" t="s">
        <v>614</v>
      </c>
    </row>
    <row r="302" spans="2:2" hidden="1" x14ac:dyDescent="0.25">
      <c r="B302" s="9" t="s">
        <v>615</v>
      </c>
    </row>
    <row r="303" spans="2:2" hidden="1" x14ac:dyDescent="0.25">
      <c r="B303" s="9" t="s">
        <v>616</v>
      </c>
    </row>
    <row r="304" spans="2:2" hidden="1" x14ac:dyDescent="0.25">
      <c r="B304" s="9" t="s">
        <v>617</v>
      </c>
    </row>
    <row r="305" spans="2:2" hidden="1" x14ac:dyDescent="0.25">
      <c r="B305" s="9" t="s">
        <v>618</v>
      </c>
    </row>
    <row r="306" spans="2:2" hidden="1" x14ac:dyDescent="0.25">
      <c r="B306" s="9" t="s">
        <v>619</v>
      </c>
    </row>
    <row r="307" spans="2:2" hidden="1" x14ac:dyDescent="0.25">
      <c r="B307" s="9" t="s">
        <v>620</v>
      </c>
    </row>
    <row r="308" spans="2:2" hidden="1" x14ac:dyDescent="0.25">
      <c r="B308" s="9" t="s">
        <v>621</v>
      </c>
    </row>
    <row r="309" spans="2:2" hidden="1" x14ac:dyDescent="0.25">
      <c r="B309" s="9" t="s">
        <v>622</v>
      </c>
    </row>
    <row r="310" spans="2:2" hidden="1" x14ac:dyDescent="0.25">
      <c r="B310" s="9" t="s">
        <v>623</v>
      </c>
    </row>
    <row r="311" spans="2:2" hidden="1" x14ac:dyDescent="0.25">
      <c r="B311" s="9" t="s">
        <v>624</v>
      </c>
    </row>
    <row r="312" spans="2:2" hidden="1" x14ac:dyDescent="0.25">
      <c r="B312" s="9" t="s">
        <v>625</v>
      </c>
    </row>
    <row r="313" spans="2:2" hidden="1" x14ac:dyDescent="0.25">
      <c r="B313" s="9" t="s">
        <v>626</v>
      </c>
    </row>
    <row r="314" spans="2:2" hidden="1" x14ac:dyDescent="0.25">
      <c r="B314" s="9" t="s">
        <v>627</v>
      </c>
    </row>
    <row r="315" spans="2:2" hidden="1" x14ac:dyDescent="0.25">
      <c r="B315" s="9" t="s">
        <v>628</v>
      </c>
    </row>
    <row r="316" spans="2:2" hidden="1" x14ac:dyDescent="0.25">
      <c r="B316" s="9" t="s">
        <v>629</v>
      </c>
    </row>
    <row r="317" spans="2:2" hidden="1" x14ac:dyDescent="0.25">
      <c r="B317" s="9" t="s">
        <v>630</v>
      </c>
    </row>
    <row r="318" spans="2:2" hidden="1" x14ac:dyDescent="0.25">
      <c r="B318" s="9" t="s">
        <v>631</v>
      </c>
    </row>
    <row r="319" spans="2:2" hidden="1" x14ac:dyDescent="0.25">
      <c r="B319" s="9" t="s">
        <v>632</v>
      </c>
    </row>
    <row r="320" spans="2:2" hidden="1" x14ac:dyDescent="0.25">
      <c r="B320" s="9" t="s">
        <v>633</v>
      </c>
    </row>
    <row r="321" spans="2:2" hidden="1" x14ac:dyDescent="0.25">
      <c r="B321" s="9" t="s">
        <v>634</v>
      </c>
    </row>
    <row r="322" spans="2:2" hidden="1" x14ac:dyDescent="0.25">
      <c r="B322" s="9" t="s">
        <v>635</v>
      </c>
    </row>
    <row r="323" spans="2:2" hidden="1" x14ac:dyDescent="0.25">
      <c r="B323" s="9" t="s">
        <v>636</v>
      </c>
    </row>
    <row r="324" spans="2:2" hidden="1" x14ac:dyDescent="0.25">
      <c r="B324" s="9" t="s">
        <v>637</v>
      </c>
    </row>
    <row r="325" spans="2:2" hidden="1" x14ac:dyDescent="0.25">
      <c r="B325" s="9" t="s">
        <v>638</v>
      </c>
    </row>
    <row r="326" spans="2:2" hidden="1" x14ac:dyDescent="0.25">
      <c r="B326" s="9" t="s">
        <v>639</v>
      </c>
    </row>
    <row r="327" spans="2:2" hidden="1" x14ac:dyDescent="0.25">
      <c r="B327" s="9" t="s">
        <v>640</v>
      </c>
    </row>
    <row r="328" spans="2:2" hidden="1" x14ac:dyDescent="0.25">
      <c r="B328" s="9" t="s">
        <v>641</v>
      </c>
    </row>
    <row r="329" spans="2:2" hidden="1" x14ac:dyDescent="0.25">
      <c r="B329" s="9" t="s">
        <v>642</v>
      </c>
    </row>
    <row r="330" spans="2:2" hidden="1" x14ac:dyDescent="0.25">
      <c r="B330" s="9" t="s">
        <v>643</v>
      </c>
    </row>
    <row r="331" spans="2:2" hidden="1" x14ac:dyDescent="0.25">
      <c r="B331" s="9" t="s">
        <v>644</v>
      </c>
    </row>
    <row r="332" spans="2:2" hidden="1" x14ac:dyDescent="0.25">
      <c r="B332" s="9" t="s">
        <v>266</v>
      </c>
    </row>
    <row r="333" spans="2:2" hidden="1" x14ac:dyDescent="0.25">
      <c r="B333" s="9" t="s">
        <v>645</v>
      </c>
    </row>
    <row r="334" spans="2:2" hidden="1" x14ac:dyDescent="0.25">
      <c r="B334" s="9" t="s">
        <v>646</v>
      </c>
    </row>
    <row r="335" spans="2:2" hidden="1" x14ac:dyDescent="0.25">
      <c r="B335" s="9" t="s">
        <v>647</v>
      </c>
    </row>
    <row r="336" spans="2:2" hidden="1" x14ac:dyDescent="0.25">
      <c r="B336" s="9" t="s">
        <v>648</v>
      </c>
    </row>
    <row r="337" spans="2:2" hidden="1" x14ac:dyDescent="0.25">
      <c r="B337" s="9" t="s">
        <v>649</v>
      </c>
    </row>
    <row r="338" spans="2:2" hidden="1" x14ac:dyDescent="0.25">
      <c r="B338" s="9" t="s">
        <v>650</v>
      </c>
    </row>
    <row r="339" spans="2:2" hidden="1" x14ac:dyDescent="0.25">
      <c r="B339" s="9" t="s">
        <v>651</v>
      </c>
    </row>
    <row r="340" spans="2:2" hidden="1" x14ac:dyDescent="0.25">
      <c r="B340" s="9" t="s">
        <v>251</v>
      </c>
    </row>
    <row r="341" spans="2:2" hidden="1" x14ac:dyDescent="0.25">
      <c r="B341" s="9" t="s">
        <v>652</v>
      </c>
    </row>
    <row r="342" spans="2:2" hidden="1" x14ac:dyDescent="0.25">
      <c r="B342" s="9" t="s">
        <v>653</v>
      </c>
    </row>
    <row r="343" spans="2:2" hidden="1" x14ac:dyDescent="0.25">
      <c r="B343" s="9" t="s">
        <v>654</v>
      </c>
    </row>
    <row r="344" spans="2:2" hidden="1" x14ac:dyDescent="0.25">
      <c r="B344" s="9" t="s">
        <v>655</v>
      </c>
    </row>
    <row r="345" spans="2:2" hidden="1" x14ac:dyDescent="0.25">
      <c r="B345" s="9" t="s">
        <v>656</v>
      </c>
    </row>
    <row r="346" spans="2:2" hidden="1" x14ac:dyDescent="0.25">
      <c r="B346" s="9" t="s">
        <v>657</v>
      </c>
    </row>
    <row r="347" spans="2:2" hidden="1" x14ac:dyDescent="0.25">
      <c r="B347" s="9" t="s">
        <v>658</v>
      </c>
    </row>
    <row r="348" spans="2:2" hidden="1" x14ac:dyDescent="0.25">
      <c r="B348" s="9" t="s">
        <v>659</v>
      </c>
    </row>
    <row r="349" spans="2:2" hidden="1" x14ac:dyDescent="0.25">
      <c r="B349" s="9" t="s">
        <v>660</v>
      </c>
    </row>
    <row r="350" spans="2:2" hidden="1" x14ac:dyDescent="0.25">
      <c r="B350" s="9" t="s">
        <v>661</v>
      </c>
    </row>
    <row r="351" spans="2:2" hidden="1" x14ac:dyDescent="0.25">
      <c r="B351" s="9" t="s">
        <v>662</v>
      </c>
    </row>
    <row r="352" spans="2:2" hidden="1" x14ac:dyDescent="0.25">
      <c r="B352" s="9" t="s">
        <v>663</v>
      </c>
    </row>
    <row r="353" spans="2:2" hidden="1" x14ac:dyDescent="0.25">
      <c r="B353" s="9" t="s">
        <v>664</v>
      </c>
    </row>
    <row r="354" spans="2:2" hidden="1" x14ac:dyDescent="0.25">
      <c r="B354" s="9" t="s">
        <v>665</v>
      </c>
    </row>
    <row r="355" spans="2:2" hidden="1" x14ac:dyDescent="0.25">
      <c r="B355" s="9" t="s">
        <v>666</v>
      </c>
    </row>
    <row r="356" spans="2:2" hidden="1" x14ac:dyDescent="0.25">
      <c r="B356" s="9" t="s">
        <v>667</v>
      </c>
    </row>
    <row r="357" spans="2:2" hidden="1" x14ac:dyDescent="0.25">
      <c r="B357" s="9" t="s">
        <v>668</v>
      </c>
    </row>
    <row r="358" spans="2:2" hidden="1" x14ac:dyDescent="0.25">
      <c r="B358" s="9" t="s">
        <v>669</v>
      </c>
    </row>
    <row r="359" spans="2:2" hidden="1" x14ac:dyDescent="0.25">
      <c r="B359" s="9" t="s">
        <v>670</v>
      </c>
    </row>
    <row r="360" spans="2:2" hidden="1" x14ac:dyDescent="0.25">
      <c r="B360" s="9" t="s">
        <v>671</v>
      </c>
    </row>
    <row r="361" spans="2:2" hidden="1" x14ac:dyDescent="0.25">
      <c r="B361" s="9" t="s">
        <v>672</v>
      </c>
    </row>
    <row r="362" spans="2:2" hidden="1" x14ac:dyDescent="0.25">
      <c r="B362" s="9" t="s">
        <v>673</v>
      </c>
    </row>
    <row r="363" spans="2:2" hidden="1" x14ac:dyDescent="0.25">
      <c r="B363" s="9" t="s">
        <v>674</v>
      </c>
    </row>
    <row r="364" spans="2:2" hidden="1" x14ac:dyDescent="0.25">
      <c r="B364" s="9" t="s">
        <v>254</v>
      </c>
    </row>
    <row r="365" spans="2:2" hidden="1" x14ac:dyDescent="0.25">
      <c r="B365" s="9" t="s">
        <v>675</v>
      </c>
    </row>
    <row r="366" spans="2:2" hidden="1" x14ac:dyDescent="0.25">
      <c r="B366" s="9" t="s">
        <v>676</v>
      </c>
    </row>
    <row r="367" spans="2:2" hidden="1" x14ac:dyDescent="0.25">
      <c r="B367" s="9" t="s">
        <v>677</v>
      </c>
    </row>
    <row r="368" spans="2:2" hidden="1" x14ac:dyDescent="0.25">
      <c r="B368" s="9" t="s">
        <v>678</v>
      </c>
    </row>
    <row r="369" spans="2:2" hidden="1" x14ac:dyDescent="0.25">
      <c r="B369" s="9" t="s">
        <v>679</v>
      </c>
    </row>
    <row r="370" spans="2:2" hidden="1" x14ac:dyDescent="0.25">
      <c r="B370" s="9" t="s">
        <v>680</v>
      </c>
    </row>
    <row r="371" spans="2:2" hidden="1" x14ac:dyDescent="0.25">
      <c r="B371" s="9" t="s">
        <v>681</v>
      </c>
    </row>
    <row r="372" spans="2:2" hidden="1" x14ac:dyDescent="0.25">
      <c r="B372" s="9" t="s">
        <v>682</v>
      </c>
    </row>
    <row r="373" spans="2:2" hidden="1" x14ac:dyDescent="0.25">
      <c r="B373" s="9" t="s">
        <v>683</v>
      </c>
    </row>
    <row r="374" spans="2:2" hidden="1" x14ac:dyDescent="0.25">
      <c r="B374" s="9" t="s">
        <v>684</v>
      </c>
    </row>
    <row r="375" spans="2:2" hidden="1" x14ac:dyDescent="0.25">
      <c r="B375" s="9" t="s">
        <v>685</v>
      </c>
    </row>
    <row r="376" spans="2:2" hidden="1" x14ac:dyDescent="0.25">
      <c r="B376" s="9" t="s">
        <v>686</v>
      </c>
    </row>
    <row r="377" spans="2:2" hidden="1" x14ac:dyDescent="0.25">
      <c r="B377" s="9" t="s">
        <v>687</v>
      </c>
    </row>
    <row r="378" spans="2:2" hidden="1" x14ac:dyDescent="0.25">
      <c r="B378" s="9" t="s">
        <v>317</v>
      </c>
    </row>
    <row r="379" spans="2:2" hidden="1" x14ac:dyDescent="0.25">
      <c r="B379" s="9" t="s">
        <v>92</v>
      </c>
    </row>
    <row r="380" spans="2:2" hidden="1" x14ac:dyDescent="0.25">
      <c r="B380" s="9" t="s">
        <v>688</v>
      </c>
    </row>
    <row r="381" spans="2:2" hidden="1" x14ac:dyDescent="0.25">
      <c r="B381" s="9" t="s">
        <v>132</v>
      </c>
    </row>
    <row r="382" spans="2:2" hidden="1" x14ac:dyDescent="0.25">
      <c r="B382" s="9" t="s">
        <v>689</v>
      </c>
    </row>
    <row r="383" spans="2:2" hidden="1" x14ac:dyDescent="0.25">
      <c r="B383" s="9" t="s">
        <v>690</v>
      </c>
    </row>
    <row r="384" spans="2:2" hidden="1" x14ac:dyDescent="0.25">
      <c r="B384" s="9" t="s">
        <v>40</v>
      </c>
    </row>
    <row r="385" spans="2:2" hidden="1" x14ac:dyDescent="0.25">
      <c r="B385" s="9" t="s">
        <v>691</v>
      </c>
    </row>
    <row r="386" spans="2:2" hidden="1" x14ac:dyDescent="0.25">
      <c r="B386" s="9" t="s">
        <v>22</v>
      </c>
    </row>
    <row r="387" spans="2:2" hidden="1" x14ac:dyDescent="0.25">
      <c r="B387" s="9" t="s">
        <v>692</v>
      </c>
    </row>
    <row r="388" spans="2:2" hidden="1" x14ac:dyDescent="0.25">
      <c r="B388" s="9" t="s">
        <v>693</v>
      </c>
    </row>
    <row r="389" spans="2:2" hidden="1" x14ac:dyDescent="0.25">
      <c r="B389" s="9" t="s">
        <v>694</v>
      </c>
    </row>
    <row r="390" spans="2:2" hidden="1" x14ac:dyDescent="0.25">
      <c r="B390" s="9" t="s">
        <v>242</v>
      </c>
    </row>
    <row r="391" spans="2:2" hidden="1" x14ac:dyDescent="0.25">
      <c r="B391" s="9" t="s">
        <v>88</v>
      </c>
    </row>
    <row r="392" spans="2:2" hidden="1" x14ac:dyDescent="0.25">
      <c r="B392" s="9" t="s">
        <v>88</v>
      </c>
    </row>
    <row r="393" spans="2:2" hidden="1" x14ac:dyDescent="0.25">
      <c r="B393" s="9" t="s">
        <v>695</v>
      </c>
    </row>
    <row r="394" spans="2:2" hidden="1" x14ac:dyDescent="0.25">
      <c r="B394" s="9" t="s">
        <v>114</v>
      </c>
    </row>
    <row r="395" spans="2:2" hidden="1" x14ac:dyDescent="0.25">
      <c r="B395" s="9" t="s">
        <v>136</v>
      </c>
    </row>
    <row r="396" spans="2:2" hidden="1" x14ac:dyDescent="0.25">
      <c r="B396" s="9" t="s">
        <v>137</v>
      </c>
    </row>
    <row r="397" spans="2:2" hidden="1" x14ac:dyDescent="0.25">
      <c r="B397" s="9" t="s">
        <v>696</v>
      </c>
    </row>
    <row r="398" spans="2:2" hidden="1" x14ac:dyDescent="0.25">
      <c r="B398" s="9" t="s">
        <v>696</v>
      </c>
    </row>
    <row r="399" spans="2:2" hidden="1" x14ac:dyDescent="0.25">
      <c r="B399" s="9" t="s">
        <v>696</v>
      </c>
    </row>
    <row r="400" spans="2:2" hidden="1" x14ac:dyDescent="0.25">
      <c r="B400" s="9" t="s">
        <v>248</v>
      </c>
    </row>
    <row r="401" spans="2:2" hidden="1" x14ac:dyDescent="0.25">
      <c r="B401" s="9" t="s">
        <v>697</v>
      </c>
    </row>
    <row r="402" spans="2:2" hidden="1" x14ac:dyDescent="0.25">
      <c r="B402" s="9" t="s">
        <v>698</v>
      </c>
    </row>
    <row r="403" spans="2:2" hidden="1" x14ac:dyDescent="0.25">
      <c r="B403" s="9" t="s">
        <v>699</v>
      </c>
    </row>
    <row r="404" spans="2:2" hidden="1" x14ac:dyDescent="0.25">
      <c r="B404" s="9" t="s">
        <v>700</v>
      </c>
    </row>
    <row r="405" spans="2:2" hidden="1" x14ac:dyDescent="0.25">
      <c r="B405" s="9" t="s">
        <v>701</v>
      </c>
    </row>
    <row r="406" spans="2:2" hidden="1" x14ac:dyDescent="0.25">
      <c r="B406" s="9" t="s">
        <v>702</v>
      </c>
    </row>
    <row r="407" spans="2:2" hidden="1" x14ac:dyDescent="0.25">
      <c r="B407" s="9" t="s">
        <v>703</v>
      </c>
    </row>
    <row r="408" spans="2:2" hidden="1" x14ac:dyDescent="0.25">
      <c r="B408" s="9" t="s">
        <v>57</v>
      </c>
    </row>
    <row r="409" spans="2:2" hidden="1" x14ac:dyDescent="0.25">
      <c r="B409" s="9" t="s">
        <v>704</v>
      </c>
    </row>
    <row r="410" spans="2:2" hidden="1" x14ac:dyDescent="0.25">
      <c r="B410" s="9" t="s">
        <v>705</v>
      </c>
    </row>
    <row r="411" spans="2:2" hidden="1" x14ac:dyDescent="0.25">
      <c r="B411" s="9" t="s">
        <v>706</v>
      </c>
    </row>
    <row r="412" spans="2:2" hidden="1" x14ac:dyDescent="0.25">
      <c r="B412" s="9" t="s">
        <v>707</v>
      </c>
    </row>
    <row r="413" spans="2:2" hidden="1" x14ac:dyDescent="0.25">
      <c r="B413" s="9" t="s">
        <v>70</v>
      </c>
    </row>
    <row r="414" spans="2:2" hidden="1" x14ac:dyDescent="0.25">
      <c r="B414" s="9" t="s">
        <v>70</v>
      </c>
    </row>
    <row r="415" spans="2:2" hidden="1" x14ac:dyDescent="0.25">
      <c r="B415" s="9" t="s">
        <v>708</v>
      </c>
    </row>
    <row r="416" spans="2:2" hidden="1" x14ac:dyDescent="0.25">
      <c r="B416" s="9" t="s">
        <v>18</v>
      </c>
    </row>
    <row r="417" spans="2:2" hidden="1" x14ac:dyDescent="0.25">
      <c r="B417" s="9" t="s">
        <v>63</v>
      </c>
    </row>
    <row r="418" spans="2:2" hidden="1" x14ac:dyDescent="0.25">
      <c r="B418" s="9" t="s">
        <v>709</v>
      </c>
    </row>
    <row r="419" spans="2:2" hidden="1" x14ac:dyDescent="0.25">
      <c r="B419" s="9" t="s">
        <v>710</v>
      </c>
    </row>
    <row r="420" spans="2:2" hidden="1" x14ac:dyDescent="0.25">
      <c r="B420" s="9" t="s">
        <v>232</v>
      </c>
    </row>
    <row r="421" spans="2:2" hidden="1" x14ac:dyDescent="0.25">
      <c r="B421" s="9" t="s">
        <v>74</v>
      </c>
    </row>
    <row r="422" spans="2:2" hidden="1" x14ac:dyDescent="0.25">
      <c r="B422" s="9" t="s">
        <v>711</v>
      </c>
    </row>
    <row r="423" spans="2:2" hidden="1" x14ac:dyDescent="0.25">
      <c r="B423" s="9" t="s">
        <v>712</v>
      </c>
    </row>
    <row r="424" spans="2:2" hidden="1" x14ac:dyDescent="0.25">
      <c r="B424" s="9" t="s">
        <v>125</v>
      </c>
    </row>
    <row r="425" spans="2:2" hidden="1" x14ac:dyDescent="0.25">
      <c r="B425" s="9" t="s">
        <v>172</v>
      </c>
    </row>
    <row r="426" spans="2:2" hidden="1" x14ac:dyDescent="0.25">
      <c r="B426" s="9" t="s">
        <v>713</v>
      </c>
    </row>
    <row r="427" spans="2:2" hidden="1" x14ac:dyDescent="0.25">
      <c r="B427" s="9" t="s">
        <v>714</v>
      </c>
    </row>
    <row r="428" spans="2:2" hidden="1" x14ac:dyDescent="0.25">
      <c r="B428" s="9" t="s">
        <v>715</v>
      </c>
    </row>
    <row r="429" spans="2:2" hidden="1" x14ac:dyDescent="0.25">
      <c r="B429" s="9" t="s">
        <v>716</v>
      </c>
    </row>
    <row r="430" spans="2:2" hidden="1" x14ac:dyDescent="0.25">
      <c r="B430" s="9" t="s">
        <v>233</v>
      </c>
    </row>
    <row r="431" spans="2:2" hidden="1" x14ac:dyDescent="0.25">
      <c r="B431" s="9" t="s">
        <v>717</v>
      </c>
    </row>
    <row r="432" spans="2:2" hidden="1" x14ac:dyDescent="0.25">
      <c r="B432" s="9" t="s">
        <v>718</v>
      </c>
    </row>
    <row r="433" spans="2:2" hidden="1" x14ac:dyDescent="0.25">
      <c r="B433" s="9" t="s">
        <v>52</v>
      </c>
    </row>
    <row r="434" spans="2:2" hidden="1" x14ac:dyDescent="0.25">
      <c r="B434" s="9" t="s">
        <v>111</v>
      </c>
    </row>
    <row r="435" spans="2:2" hidden="1" x14ac:dyDescent="0.25">
      <c r="B435" s="9" t="s">
        <v>719</v>
      </c>
    </row>
    <row r="436" spans="2:2" hidden="1" x14ac:dyDescent="0.25">
      <c r="B436" s="9" t="s">
        <v>719</v>
      </c>
    </row>
    <row r="437" spans="2:2" hidden="1" x14ac:dyDescent="0.25">
      <c r="B437" s="9" t="s">
        <v>720</v>
      </c>
    </row>
    <row r="438" spans="2:2" hidden="1" x14ac:dyDescent="0.25">
      <c r="B438" s="9" t="s">
        <v>235</v>
      </c>
    </row>
    <row r="439" spans="2:2" hidden="1" x14ac:dyDescent="0.25">
      <c r="B439" s="9" t="s">
        <v>73</v>
      </c>
    </row>
    <row r="440" spans="2:2" hidden="1" x14ac:dyDescent="0.25">
      <c r="B440" s="9" t="s">
        <v>721</v>
      </c>
    </row>
    <row r="441" spans="2:2" hidden="1" x14ac:dyDescent="0.25">
      <c r="B441" s="9" t="s">
        <v>79</v>
      </c>
    </row>
    <row r="442" spans="2:2" hidden="1" x14ac:dyDescent="0.25">
      <c r="B442" s="9" t="s">
        <v>722</v>
      </c>
    </row>
    <row r="443" spans="2:2" hidden="1" x14ac:dyDescent="0.25">
      <c r="B443" s="9" t="s">
        <v>723</v>
      </c>
    </row>
    <row r="444" spans="2:2" hidden="1" x14ac:dyDescent="0.25">
      <c r="B444" s="9" t="s">
        <v>724</v>
      </c>
    </row>
    <row r="445" spans="2:2" hidden="1" x14ac:dyDescent="0.25">
      <c r="B445" s="9" t="s">
        <v>725</v>
      </c>
    </row>
    <row r="446" spans="2:2" hidden="1" x14ac:dyDescent="0.25">
      <c r="B446" s="9" t="s">
        <v>726</v>
      </c>
    </row>
    <row r="447" spans="2:2" hidden="1" x14ac:dyDescent="0.25">
      <c r="B447" s="9" t="s">
        <v>727</v>
      </c>
    </row>
    <row r="448" spans="2:2" hidden="1" x14ac:dyDescent="0.25">
      <c r="B448" s="9" t="s">
        <v>728</v>
      </c>
    </row>
    <row r="449" spans="2:2" hidden="1" x14ac:dyDescent="0.25">
      <c r="B449" s="9" t="s">
        <v>729</v>
      </c>
    </row>
    <row r="450" spans="2:2" hidden="1" x14ac:dyDescent="0.25">
      <c r="B450" s="9" t="s">
        <v>730</v>
      </c>
    </row>
    <row r="451" spans="2:2" hidden="1" x14ac:dyDescent="0.25">
      <c r="B451" s="9" t="s">
        <v>731</v>
      </c>
    </row>
    <row r="452" spans="2:2" hidden="1" x14ac:dyDescent="0.25">
      <c r="B452" s="9" t="s">
        <v>732</v>
      </c>
    </row>
    <row r="453" spans="2:2" hidden="1" x14ac:dyDescent="0.25">
      <c r="B453" s="9" t="s">
        <v>733</v>
      </c>
    </row>
    <row r="454" spans="2:2" hidden="1" x14ac:dyDescent="0.25">
      <c r="B454" s="9" t="s">
        <v>123</v>
      </c>
    </row>
    <row r="455" spans="2:2" hidden="1" x14ac:dyDescent="0.25">
      <c r="B455" s="9" t="s">
        <v>734</v>
      </c>
    </row>
    <row r="456" spans="2:2" hidden="1" x14ac:dyDescent="0.25">
      <c r="B456" s="9" t="s">
        <v>735</v>
      </c>
    </row>
    <row r="457" spans="2:2" hidden="1" x14ac:dyDescent="0.25">
      <c r="B457" s="9" t="s">
        <v>147</v>
      </c>
    </row>
    <row r="458" spans="2:2" hidden="1" x14ac:dyDescent="0.25">
      <c r="B458" s="9" t="s">
        <v>27</v>
      </c>
    </row>
    <row r="459" spans="2:2" hidden="1" x14ac:dyDescent="0.25">
      <c r="B459" s="9" t="s">
        <v>27</v>
      </c>
    </row>
    <row r="460" spans="2:2" hidden="1" x14ac:dyDescent="0.25">
      <c r="B460" s="9" t="s">
        <v>736</v>
      </c>
    </row>
    <row r="461" spans="2:2" hidden="1" x14ac:dyDescent="0.25">
      <c r="B461" s="9" t="s">
        <v>737</v>
      </c>
    </row>
    <row r="462" spans="2:2" hidden="1" x14ac:dyDescent="0.25">
      <c r="B462" s="9" t="s">
        <v>110</v>
      </c>
    </row>
    <row r="463" spans="2:2" hidden="1" x14ac:dyDescent="0.25">
      <c r="B463" s="9" t="s">
        <v>738</v>
      </c>
    </row>
    <row r="464" spans="2:2" hidden="1" x14ac:dyDescent="0.25">
      <c r="B464" s="9" t="s">
        <v>165</v>
      </c>
    </row>
    <row r="465" spans="2:2" hidden="1" x14ac:dyDescent="0.25">
      <c r="B465" s="9" t="s">
        <v>739</v>
      </c>
    </row>
    <row r="466" spans="2:2" hidden="1" x14ac:dyDescent="0.25">
      <c r="B466" s="9" t="s">
        <v>740</v>
      </c>
    </row>
    <row r="467" spans="2:2" hidden="1" x14ac:dyDescent="0.25">
      <c r="B467" s="9" t="s">
        <v>741</v>
      </c>
    </row>
    <row r="468" spans="2:2" hidden="1" x14ac:dyDescent="0.25">
      <c r="B468" s="9" t="s">
        <v>742</v>
      </c>
    </row>
    <row r="469" spans="2:2" hidden="1" x14ac:dyDescent="0.25">
      <c r="B469" s="9" t="s">
        <v>743</v>
      </c>
    </row>
    <row r="470" spans="2:2" hidden="1" x14ac:dyDescent="0.25">
      <c r="B470" s="9" t="s">
        <v>744</v>
      </c>
    </row>
    <row r="471" spans="2:2" hidden="1" x14ac:dyDescent="0.25">
      <c r="B471" s="9" t="s">
        <v>745</v>
      </c>
    </row>
    <row r="472" spans="2:2" hidden="1" x14ac:dyDescent="0.25">
      <c r="B472" s="9" t="s">
        <v>746</v>
      </c>
    </row>
    <row r="473" spans="2:2" hidden="1" x14ac:dyDescent="0.25">
      <c r="B473" s="9" t="s">
        <v>194</v>
      </c>
    </row>
    <row r="474" spans="2:2" hidden="1" x14ac:dyDescent="0.25">
      <c r="B474" s="9" t="s">
        <v>747</v>
      </c>
    </row>
    <row r="475" spans="2:2" hidden="1" x14ac:dyDescent="0.25">
      <c r="B475" s="9" t="s">
        <v>748</v>
      </c>
    </row>
    <row r="476" spans="2:2" hidden="1" x14ac:dyDescent="0.25">
      <c r="B476" s="9" t="s">
        <v>749</v>
      </c>
    </row>
    <row r="477" spans="2:2" hidden="1" x14ac:dyDescent="0.25">
      <c r="B477" s="9" t="s">
        <v>750</v>
      </c>
    </row>
    <row r="478" spans="2:2" hidden="1" x14ac:dyDescent="0.25">
      <c r="B478" s="9" t="s">
        <v>751</v>
      </c>
    </row>
    <row r="479" spans="2:2" hidden="1" x14ac:dyDescent="0.25">
      <c r="B479" s="9" t="s">
        <v>752</v>
      </c>
    </row>
    <row r="480" spans="2:2" hidden="1" x14ac:dyDescent="0.25">
      <c r="B480" s="9" t="s">
        <v>48</v>
      </c>
    </row>
    <row r="481" spans="2:2" hidden="1" x14ac:dyDescent="0.25">
      <c r="B481" s="9" t="s">
        <v>211</v>
      </c>
    </row>
    <row r="482" spans="2:2" hidden="1" x14ac:dyDescent="0.25">
      <c r="B482" s="9" t="s">
        <v>753</v>
      </c>
    </row>
    <row r="483" spans="2:2" hidden="1" x14ac:dyDescent="0.25">
      <c r="B483" s="9" t="s">
        <v>754</v>
      </c>
    </row>
    <row r="484" spans="2:2" hidden="1" x14ac:dyDescent="0.25">
      <c r="B484" s="9" t="s">
        <v>755</v>
      </c>
    </row>
    <row r="485" spans="2:2" hidden="1" x14ac:dyDescent="0.25">
      <c r="B485" s="9" t="s">
        <v>105</v>
      </c>
    </row>
    <row r="486" spans="2:2" hidden="1" x14ac:dyDescent="0.25">
      <c r="B486" s="9" t="s">
        <v>756</v>
      </c>
    </row>
    <row r="487" spans="2:2" hidden="1" x14ac:dyDescent="0.25">
      <c r="B487" s="9" t="s">
        <v>757</v>
      </c>
    </row>
    <row r="488" spans="2:2" hidden="1" x14ac:dyDescent="0.25">
      <c r="B488" s="9" t="s">
        <v>757</v>
      </c>
    </row>
    <row r="489" spans="2:2" hidden="1" x14ac:dyDescent="0.25">
      <c r="B489" s="9" t="s">
        <v>250</v>
      </c>
    </row>
    <row r="490" spans="2:2" hidden="1" x14ac:dyDescent="0.25">
      <c r="B490" s="9" t="s">
        <v>758</v>
      </c>
    </row>
    <row r="491" spans="2:2" hidden="1" x14ac:dyDescent="0.25">
      <c r="B491" s="9" t="s">
        <v>759</v>
      </c>
    </row>
    <row r="492" spans="2:2" hidden="1" x14ac:dyDescent="0.25">
      <c r="B492" s="9" t="s">
        <v>155</v>
      </c>
    </row>
    <row r="493" spans="2:2" hidden="1" x14ac:dyDescent="0.25">
      <c r="B493" s="9" t="s">
        <v>109</v>
      </c>
    </row>
    <row r="494" spans="2:2" hidden="1" x14ac:dyDescent="0.25">
      <c r="B494" s="9" t="s">
        <v>760</v>
      </c>
    </row>
    <row r="495" spans="2:2" hidden="1" x14ac:dyDescent="0.25">
      <c r="B495" s="9" t="s">
        <v>99</v>
      </c>
    </row>
    <row r="496" spans="2:2" hidden="1" x14ac:dyDescent="0.25">
      <c r="B496" s="9" t="s">
        <v>49</v>
      </c>
    </row>
    <row r="497" spans="2:2" hidden="1" x14ac:dyDescent="0.25">
      <c r="B497" s="9" t="s">
        <v>761</v>
      </c>
    </row>
    <row r="498" spans="2:2" hidden="1" x14ac:dyDescent="0.25">
      <c r="B498" s="9" t="s">
        <v>762</v>
      </c>
    </row>
    <row r="499" spans="2:2" hidden="1" x14ac:dyDescent="0.25">
      <c r="B499" s="9" t="s">
        <v>184</v>
      </c>
    </row>
    <row r="500" spans="2:2" hidden="1" x14ac:dyDescent="0.25">
      <c r="B500" s="9" t="s">
        <v>763</v>
      </c>
    </row>
    <row r="501" spans="2:2" hidden="1" x14ac:dyDescent="0.25">
      <c r="B501" s="9" t="s">
        <v>764</v>
      </c>
    </row>
    <row r="502" spans="2:2" hidden="1" x14ac:dyDescent="0.25">
      <c r="B502" s="9" t="s">
        <v>197</v>
      </c>
    </row>
    <row r="503" spans="2:2" hidden="1" x14ac:dyDescent="0.25">
      <c r="B503" s="9" t="s">
        <v>247</v>
      </c>
    </row>
    <row r="504" spans="2:2" hidden="1" x14ac:dyDescent="0.25">
      <c r="B504" s="9" t="s">
        <v>247</v>
      </c>
    </row>
    <row r="505" spans="2:2" hidden="1" x14ac:dyDescent="0.25">
      <c r="B505" s="9" t="s">
        <v>765</v>
      </c>
    </row>
    <row r="506" spans="2:2" hidden="1" x14ac:dyDescent="0.25">
      <c r="B506" s="9" t="s">
        <v>766</v>
      </c>
    </row>
    <row r="507" spans="2:2" hidden="1" x14ac:dyDescent="0.25">
      <c r="B507" s="9" t="s">
        <v>767</v>
      </c>
    </row>
    <row r="508" spans="2:2" hidden="1" x14ac:dyDescent="0.25">
      <c r="B508" s="9" t="s">
        <v>768</v>
      </c>
    </row>
    <row r="509" spans="2:2" hidden="1" x14ac:dyDescent="0.25">
      <c r="B509" s="9" t="s">
        <v>769</v>
      </c>
    </row>
    <row r="510" spans="2:2" hidden="1" x14ac:dyDescent="0.25">
      <c r="B510" s="9" t="s">
        <v>770</v>
      </c>
    </row>
    <row r="511" spans="2:2" hidden="1" x14ac:dyDescent="0.25">
      <c r="B511" s="9" t="s">
        <v>167</v>
      </c>
    </row>
    <row r="512" spans="2:2" hidden="1" x14ac:dyDescent="0.25">
      <c r="B512" s="9" t="s">
        <v>238</v>
      </c>
    </row>
    <row r="513" spans="2:2" hidden="1" x14ac:dyDescent="0.25">
      <c r="B513" s="9" t="s">
        <v>771</v>
      </c>
    </row>
    <row r="514" spans="2:2" hidden="1" x14ac:dyDescent="0.25">
      <c r="B514" s="9" t="s">
        <v>772</v>
      </c>
    </row>
    <row r="515" spans="2:2" hidden="1" x14ac:dyDescent="0.25">
      <c r="B515" s="9" t="s">
        <v>237</v>
      </c>
    </row>
    <row r="516" spans="2:2" hidden="1" x14ac:dyDescent="0.25">
      <c r="B516" s="9" t="s">
        <v>773</v>
      </c>
    </row>
    <row r="517" spans="2:2" hidden="1" x14ac:dyDescent="0.25">
      <c r="B517" s="9" t="s">
        <v>774</v>
      </c>
    </row>
    <row r="518" spans="2:2" hidden="1" x14ac:dyDescent="0.25">
      <c r="B518" s="10" t="s">
        <v>775</v>
      </c>
    </row>
    <row r="519" spans="2:2" hidden="1" x14ac:dyDescent="0.25">
      <c r="B519" s="10" t="s">
        <v>776</v>
      </c>
    </row>
    <row r="520" spans="2:2" hidden="1" x14ac:dyDescent="0.25">
      <c r="B520" s="10" t="s">
        <v>777</v>
      </c>
    </row>
    <row r="521" spans="2:2" hidden="1" x14ac:dyDescent="0.25">
      <c r="B521" s="10" t="s">
        <v>778</v>
      </c>
    </row>
    <row r="522" spans="2:2" hidden="1" x14ac:dyDescent="0.25">
      <c r="B522" s="10" t="s">
        <v>199</v>
      </c>
    </row>
    <row r="523" spans="2:2" hidden="1" x14ac:dyDescent="0.25">
      <c r="B523" s="10" t="s">
        <v>779</v>
      </c>
    </row>
    <row r="524" spans="2:2" hidden="1" x14ac:dyDescent="0.25">
      <c r="B524" s="10" t="s">
        <v>212</v>
      </c>
    </row>
    <row r="525" spans="2:2" hidden="1" x14ac:dyDescent="0.25">
      <c r="B525" s="10" t="s">
        <v>89</v>
      </c>
    </row>
    <row r="526" spans="2:2" hidden="1" x14ac:dyDescent="0.25">
      <c r="B526" s="10" t="s">
        <v>780</v>
      </c>
    </row>
    <row r="527" spans="2:2" hidden="1" x14ac:dyDescent="0.25">
      <c r="B527" s="10" t="s">
        <v>195</v>
      </c>
    </row>
    <row r="528" spans="2:2" hidden="1" x14ac:dyDescent="0.25">
      <c r="B528" s="9" t="s">
        <v>55</v>
      </c>
    </row>
    <row r="529" spans="2:2" hidden="1" x14ac:dyDescent="0.25">
      <c r="B529" s="9" t="s">
        <v>781</v>
      </c>
    </row>
    <row r="530" spans="2:2" hidden="1" x14ac:dyDescent="0.25">
      <c r="B530" s="9" t="s">
        <v>187</v>
      </c>
    </row>
    <row r="531" spans="2:2" hidden="1" x14ac:dyDescent="0.25">
      <c r="B531" s="9" t="s">
        <v>782</v>
      </c>
    </row>
    <row r="532" spans="2:2" hidden="1" x14ac:dyDescent="0.25">
      <c r="B532" s="9" t="s">
        <v>783</v>
      </c>
    </row>
    <row r="533" spans="2:2" hidden="1" x14ac:dyDescent="0.25">
      <c r="B533" s="9" t="s">
        <v>784</v>
      </c>
    </row>
    <row r="534" spans="2:2" hidden="1" x14ac:dyDescent="0.25">
      <c r="B534" s="9" t="s">
        <v>785</v>
      </c>
    </row>
    <row r="535" spans="2:2" hidden="1" x14ac:dyDescent="0.25">
      <c r="B535" s="9" t="s">
        <v>786</v>
      </c>
    </row>
    <row r="536" spans="2:2" hidden="1" x14ac:dyDescent="0.25">
      <c r="B536" s="9" t="s">
        <v>787</v>
      </c>
    </row>
    <row r="537" spans="2:2" hidden="1" x14ac:dyDescent="0.25">
      <c r="B537" s="9" t="s">
        <v>788</v>
      </c>
    </row>
    <row r="538" spans="2:2" hidden="1" x14ac:dyDescent="0.25">
      <c r="B538" s="9" t="s">
        <v>789</v>
      </c>
    </row>
    <row r="539" spans="2:2" hidden="1" x14ac:dyDescent="0.25">
      <c r="B539" s="9" t="s">
        <v>790</v>
      </c>
    </row>
    <row r="540" spans="2:2" hidden="1" x14ac:dyDescent="0.25">
      <c r="B540" s="9" t="s">
        <v>791</v>
      </c>
    </row>
    <row r="541" spans="2:2" hidden="1" x14ac:dyDescent="0.25">
      <c r="B541" s="9" t="s">
        <v>792</v>
      </c>
    </row>
    <row r="542" spans="2:2" hidden="1" x14ac:dyDescent="0.25">
      <c r="B542" s="9" t="s">
        <v>148</v>
      </c>
    </row>
    <row r="543" spans="2:2" hidden="1" x14ac:dyDescent="0.25">
      <c r="B543" s="9" t="s">
        <v>793</v>
      </c>
    </row>
    <row r="544" spans="2:2" hidden="1" x14ac:dyDescent="0.25">
      <c r="B544" s="9" t="s">
        <v>794</v>
      </c>
    </row>
    <row r="545" spans="2:2" hidden="1" x14ac:dyDescent="0.25">
      <c r="B545" s="9" t="s">
        <v>795</v>
      </c>
    </row>
    <row r="546" spans="2:2" hidden="1" x14ac:dyDescent="0.25">
      <c r="B546" s="9" t="s">
        <v>189</v>
      </c>
    </row>
    <row r="547" spans="2:2" hidden="1" x14ac:dyDescent="0.25">
      <c r="B547" s="9" t="s">
        <v>796</v>
      </c>
    </row>
    <row r="548" spans="2:2" hidden="1" x14ac:dyDescent="0.25">
      <c r="B548" s="9" t="s">
        <v>797</v>
      </c>
    </row>
    <row r="549" spans="2:2" hidden="1" x14ac:dyDescent="0.25">
      <c r="B549" s="9" t="s">
        <v>798</v>
      </c>
    </row>
    <row r="550" spans="2:2" hidden="1" x14ac:dyDescent="0.25">
      <c r="B550" s="9" t="s">
        <v>799</v>
      </c>
    </row>
    <row r="551" spans="2:2" hidden="1" x14ac:dyDescent="0.25">
      <c r="B551" s="9" t="s">
        <v>800</v>
      </c>
    </row>
    <row r="552" spans="2:2" hidden="1" x14ac:dyDescent="0.25">
      <c r="B552" s="9" t="s">
        <v>53</v>
      </c>
    </row>
    <row r="553" spans="2:2" hidden="1" x14ac:dyDescent="0.25">
      <c r="B553" s="9" t="s">
        <v>169</v>
      </c>
    </row>
    <row r="554" spans="2:2" hidden="1" x14ac:dyDescent="0.25">
      <c r="B554" s="9" t="s">
        <v>801</v>
      </c>
    </row>
    <row r="555" spans="2:2" hidden="1" x14ac:dyDescent="0.25">
      <c r="B555" s="9" t="s">
        <v>802</v>
      </c>
    </row>
    <row r="556" spans="2:2" hidden="1" x14ac:dyDescent="0.25">
      <c r="B556" s="9" t="s">
        <v>803</v>
      </c>
    </row>
    <row r="557" spans="2:2" hidden="1" x14ac:dyDescent="0.25">
      <c r="B557" s="9" t="s">
        <v>804</v>
      </c>
    </row>
    <row r="558" spans="2:2" hidden="1" x14ac:dyDescent="0.25">
      <c r="B558" s="9" t="s">
        <v>805</v>
      </c>
    </row>
    <row r="559" spans="2:2" hidden="1" x14ac:dyDescent="0.25">
      <c r="B559" s="9" t="s">
        <v>806</v>
      </c>
    </row>
    <row r="560" spans="2:2" hidden="1" x14ac:dyDescent="0.25">
      <c r="B560" s="9" t="s">
        <v>807</v>
      </c>
    </row>
    <row r="561" spans="2:2" hidden="1" x14ac:dyDescent="0.25">
      <c r="B561" s="9" t="s">
        <v>145</v>
      </c>
    </row>
    <row r="562" spans="2:2" hidden="1" x14ac:dyDescent="0.25">
      <c r="B562" s="9" t="s">
        <v>93</v>
      </c>
    </row>
    <row r="563" spans="2:2" hidden="1" x14ac:dyDescent="0.25">
      <c r="B563" s="9" t="s">
        <v>808</v>
      </c>
    </row>
    <row r="564" spans="2:2" hidden="1" x14ac:dyDescent="0.25">
      <c r="B564" s="9" t="s">
        <v>809</v>
      </c>
    </row>
    <row r="565" spans="2:2" hidden="1" x14ac:dyDescent="0.25">
      <c r="B565" s="9" t="s">
        <v>810</v>
      </c>
    </row>
    <row r="566" spans="2:2" hidden="1" x14ac:dyDescent="0.25">
      <c r="B566" s="9" t="s">
        <v>811</v>
      </c>
    </row>
    <row r="567" spans="2:2" hidden="1" x14ac:dyDescent="0.25">
      <c r="B567" s="9" t="s">
        <v>812</v>
      </c>
    </row>
    <row r="568" spans="2:2" hidden="1" x14ac:dyDescent="0.25">
      <c r="B568" s="9" t="s">
        <v>46</v>
      </c>
    </row>
    <row r="569" spans="2:2" hidden="1" x14ac:dyDescent="0.25">
      <c r="B569" s="9" t="s">
        <v>146</v>
      </c>
    </row>
    <row r="570" spans="2:2" hidden="1" x14ac:dyDescent="0.25">
      <c r="B570" s="9" t="s">
        <v>813</v>
      </c>
    </row>
    <row r="571" spans="2:2" hidden="1" x14ac:dyDescent="0.25">
      <c r="B571" s="9" t="s">
        <v>264</v>
      </c>
    </row>
    <row r="572" spans="2:2" hidden="1" x14ac:dyDescent="0.25">
      <c r="B572" s="9" t="s">
        <v>814</v>
      </c>
    </row>
    <row r="573" spans="2:2" hidden="1" x14ac:dyDescent="0.25">
      <c r="B573" s="9" t="s">
        <v>227</v>
      </c>
    </row>
    <row r="574" spans="2:2" hidden="1" x14ac:dyDescent="0.25">
      <c r="B574" s="9" t="s">
        <v>121</v>
      </c>
    </row>
    <row r="575" spans="2:2" hidden="1" x14ac:dyDescent="0.25">
      <c r="B575" s="9" t="s">
        <v>815</v>
      </c>
    </row>
    <row r="576" spans="2:2" hidden="1" x14ac:dyDescent="0.25">
      <c r="B576" s="9" t="s">
        <v>816</v>
      </c>
    </row>
    <row r="577" spans="2:2" hidden="1" x14ac:dyDescent="0.25">
      <c r="B577" s="9" t="s">
        <v>817</v>
      </c>
    </row>
    <row r="578" spans="2:2" hidden="1" x14ac:dyDescent="0.25">
      <c r="B578" s="9" t="s">
        <v>818</v>
      </c>
    </row>
    <row r="579" spans="2:2" hidden="1" x14ac:dyDescent="0.25">
      <c r="B579" s="9" t="s">
        <v>819</v>
      </c>
    </row>
    <row r="580" spans="2:2" hidden="1" x14ac:dyDescent="0.25">
      <c r="B580" s="9" t="s">
        <v>820</v>
      </c>
    </row>
    <row r="581" spans="2:2" hidden="1" x14ac:dyDescent="0.25">
      <c r="B581" s="9" t="s">
        <v>821</v>
      </c>
    </row>
    <row r="582" spans="2:2" hidden="1" x14ac:dyDescent="0.25">
      <c r="B582" s="9" t="s">
        <v>822</v>
      </c>
    </row>
    <row r="583" spans="2:2" hidden="1" x14ac:dyDescent="0.25">
      <c r="B583" s="9" t="s">
        <v>823</v>
      </c>
    </row>
    <row r="584" spans="2:2" hidden="1" x14ac:dyDescent="0.25">
      <c r="B584" s="9" t="s">
        <v>824</v>
      </c>
    </row>
    <row r="585" spans="2:2" hidden="1" x14ac:dyDescent="0.25">
      <c r="B585" s="9" t="s">
        <v>825</v>
      </c>
    </row>
    <row r="586" spans="2:2" hidden="1" x14ac:dyDescent="0.25">
      <c r="B586" s="9" t="s">
        <v>50</v>
      </c>
    </row>
    <row r="587" spans="2:2" hidden="1" x14ac:dyDescent="0.25">
      <c r="B587" s="9" t="s">
        <v>826</v>
      </c>
    </row>
    <row r="588" spans="2:2" hidden="1" x14ac:dyDescent="0.25">
      <c r="B588" s="9" t="s">
        <v>78</v>
      </c>
    </row>
    <row r="589" spans="2:2" hidden="1" x14ac:dyDescent="0.25">
      <c r="B589" s="9" t="s">
        <v>827</v>
      </c>
    </row>
    <row r="590" spans="2:2" hidden="1" x14ac:dyDescent="0.25">
      <c r="B590" s="9" t="s">
        <v>828</v>
      </c>
    </row>
    <row r="591" spans="2:2" hidden="1" x14ac:dyDescent="0.25">
      <c r="B591" s="9" t="s">
        <v>829</v>
      </c>
    </row>
    <row r="592" spans="2:2" hidden="1" x14ac:dyDescent="0.25">
      <c r="B592" s="9" t="s">
        <v>830</v>
      </c>
    </row>
    <row r="593" spans="2:2" hidden="1" x14ac:dyDescent="0.25">
      <c r="B593" s="9" t="s">
        <v>831</v>
      </c>
    </row>
    <row r="594" spans="2:2" hidden="1" x14ac:dyDescent="0.25">
      <c r="B594" s="9" t="s">
        <v>832</v>
      </c>
    </row>
    <row r="595" spans="2:2" hidden="1" x14ac:dyDescent="0.25">
      <c r="B595" s="9" t="s">
        <v>144</v>
      </c>
    </row>
    <row r="596" spans="2:2" hidden="1" x14ac:dyDescent="0.25">
      <c r="B596" s="9" t="s">
        <v>128</v>
      </c>
    </row>
    <row r="597" spans="2:2" hidden="1" x14ac:dyDescent="0.25">
      <c r="B597" s="9" t="s">
        <v>128</v>
      </c>
    </row>
    <row r="598" spans="2:2" hidden="1" x14ac:dyDescent="0.25">
      <c r="B598" s="9" t="s">
        <v>142</v>
      </c>
    </row>
    <row r="599" spans="2:2" hidden="1" x14ac:dyDescent="0.25">
      <c r="B599" s="9" t="s">
        <v>833</v>
      </c>
    </row>
    <row r="600" spans="2:2" hidden="1" x14ac:dyDescent="0.25">
      <c r="B600" s="9" t="s">
        <v>834</v>
      </c>
    </row>
    <row r="601" spans="2:2" hidden="1" x14ac:dyDescent="0.25">
      <c r="B601" s="9" t="s">
        <v>835</v>
      </c>
    </row>
    <row r="602" spans="2:2" hidden="1" x14ac:dyDescent="0.25">
      <c r="B602" s="9" t="s">
        <v>198</v>
      </c>
    </row>
    <row r="603" spans="2:2" hidden="1" x14ac:dyDescent="0.25">
      <c r="B603" s="9" t="s">
        <v>836</v>
      </c>
    </row>
    <row r="604" spans="2:2" hidden="1" x14ac:dyDescent="0.25">
      <c r="B604" s="9" t="s">
        <v>31</v>
      </c>
    </row>
    <row r="605" spans="2:2" hidden="1" x14ac:dyDescent="0.25">
      <c r="B605" s="9" t="s">
        <v>837</v>
      </c>
    </row>
    <row r="606" spans="2:2" hidden="1" x14ac:dyDescent="0.25">
      <c r="B606" s="9" t="s">
        <v>838</v>
      </c>
    </row>
    <row r="607" spans="2:2" hidden="1" x14ac:dyDescent="0.25">
      <c r="B607" s="9" t="s">
        <v>839</v>
      </c>
    </row>
    <row r="608" spans="2:2" hidden="1" x14ac:dyDescent="0.25">
      <c r="B608" s="9" t="s">
        <v>840</v>
      </c>
    </row>
    <row r="609" spans="2:2" hidden="1" x14ac:dyDescent="0.25">
      <c r="B609" s="9" t="s">
        <v>131</v>
      </c>
    </row>
    <row r="610" spans="2:2" hidden="1" x14ac:dyDescent="0.25">
      <c r="B610" s="9" t="s">
        <v>841</v>
      </c>
    </row>
    <row r="611" spans="2:2" hidden="1" x14ac:dyDescent="0.25">
      <c r="B611" s="9" t="s">
        <v>842</v>
      </c>
    </row>
    <row r="612" spans="2:2" hidden="1" x14ac:dyDescent="0.25">
      <c r="B612" s="9" t="s">
        <v>843</v>
      </c>
    </row>
    <row r="613" spans="2:2" hidden="1" x14ac:dyDescent="0.25">
      <c r="B613" s="9" t="s">
        <v>188</v>
      </c>
    </row>
    <row r="614" spans="2:2" hidden="1" x14ac:dyDescent="0.25">
      <c r="B614" s="9" t="s">
        <v>87</v>
      </c>
    </row>
    <row r="615" spans="2:2" hidden="1" x14ac:dyDescent="0.25">
      <c r="B615" s="9" t="s">
        <v>844</v>
      </c>
    </row>
    <row r="616" spans="2:2" hidden="1" x14ac:dyDescent="0.25">
      <c r="B616" s="9" t="s">
        <v>845</v>
      </c>
    </row>
    <row r="617" spans="2:2" hidden="1" x14ac:dyDescent="0.25">
      <c r="B617" s="9" t="s">
        <v>846</v>
      </c>
    </row>
    <row r="618" spans="2:2" hidden="1" x14ac:dyDescent="0.25">
      <c r="B618" s="9" t="s">
        <v>159</v>
      </c>
    </row>
    <row r="619" spans="2:2" hidden="1" x14ac:dyDescent="0.25">
      <c r="B619" s="9" t="s">
        <v>847</v>
      </c>
    </row>
    <row r="620" spans="2:2" hidden="1" x14ac:dyDescent="0.25">
      <c r="B620" s="9" t="s">
        <v>160</v>
      </c>
    </row>
    <row r="621" spans="2:2" hidden="1" x14ac:dyDescent="0.25">
      <c r="B621" s="9" t="s">
        <v>848</v>
      </c>
    </row>
    <row r="622" spans="2:2" hidden="1" x14ac:dyDescent="0.25">
      <c r="B622" s="9" t="s">
        <v>849</v>
      </c>
    </row>
    <row r="623" spans="2:2" hidden="1" x14ac:dyDescent="0.25">
      <c r="B623" s="9" t="s">
        <v>850</v>
      </c>
    </row>
    <row r="624" spans="2:2" hidden="1" x14ac:dyDescent="0.25">
      <c r="B624" s="9" t="s">
        <v>252</v>
      </c>
    </row>
    <row r="625" spans="2:2" hidden="1" x14ac:dyDescent="0.25">
      <c r="B625" s="9" t="s">
        <v>185</v>
      </c>
    </row>
    <row r="626" spans="2:2" hidden="1" x14ac:dyDescent="0.25">
      <c r="B626" s="9" t="s">
        <v>38</v>
      </c>
    </row>
    <row r="627" spans="2:2" hidden="1" x14ac:dyDescent="0.25">
      <c r="B627" s="9" t="s">
        <v>245</v>
      </c>
    </row>
    <row r="628" spans="2:2" hidden="1" x14ac:dyDescent="0.25">
      <c r="B628" s="9" t="s">
        <v>851</v>
      </c>
    </row>
    <row r="629" spans="2:2" hidden="1" x14ac:dyDescent="0.25">
      <c r="B629" s="9" t="s">
        <v>209</v>
      </c>
    </row>
    <row r="630" spans="2:2" hidden="1" x14ac:dyDescent="0.25">
      <c r="B630" s="9" t="s">
        <v>852</v>
      </c>
    </row>
    <row r="631" spans="2:2" hidden="1" x14ac:dyDescent="0.25">
      <c r="B631" s="9" t="s">
        <v>853</v>
      </c>
    </row>
    <row r="632" spans="2:2" hidden="1" x14ac:dyDescent="0.25">
      <c r="B632" s="9" t="s">
        <v>21</v>
      </c>
    </row>
    <row r="633" spans="2:2" hidden="1" x14ac:dyDescent="0.25">
      <c r="B633" s="9" t="s">
        <v>854</v>
      </c>
    </row>
    <row r="634" spans="2:2" hidden="1" x14ac:dyDescent="0.25">
      <c r="B634" s="9" t="s">
        <v>855</v>
      </c>
    </row>
    <row r="635" spans="2:2" hidden="1" x14ac:dyDescent="0.25">
      <c r="B635" s="9" t="s">
        <v>856</v>
      </c>
    </row>
    <row r="636" spans="2:2" hidden="1" x14ac:dyDescent="0.25">
      <c r="B636" s="9" t="s">
        <v>149</v>
      </c>
    </row>
    <row r="637" spans="2:2" hidden="1" x14ac:dyDescent="0.25">
      <c r="B637" s="9" t="s">
        <v>236</v>
      </c>
    </row>
    <row r="638" spans="2:2" hidden="1" x14ac:dyDescent="0.25">
      <c r="B638" s="9" t="s">
        <v>857</v>
      </c>
    </row>
    <row r="639" spans="2:2" hidden="1" x14ac:dyDescent="0.25">
      <c r="B639" s="9" t="s">
        <v>858</v>
      </c>
    </row>
    <row r="640" spans="2:2" hidden="1" x14ac:dyDescent="0.25">
      <c r="B640" s="9" t="s">
        <v>859</v>
      </c>
    </row>
    <row r="641" spans="2:2" hidden="1" x14ac:dyDescent="0.25">
      <c r="B641" s="9" t="s">
        <v>193</v>
      </c>
    </row>
    <row r="642" spans="2:2" hidden="1" x14ac:dyDescent="0.25">
      <c r="B642" s="9" t="s">
        <v>860</v>
      </c>
    </row>
    <row r="643" spans="2:2" hidden="1" x14ac:dyDescent="0.25">
      <c r="B643" s="9" t="s">
        <v>861</v>
      </c>
    </row>
    <row r="644" spans="2:2" hidden="1" x14ac:dyDescent="0.25">
      <c r="B644" s="9" t="s">
        <v>35</v>
      </c>
    </row>
    <row r="645" spans="2:2" hidden="1" x14ac:dyDescent="0.25">
      <c r="B645" s="9" t="s">
        <v>186</v>
      </c>
    </row>
    <row r="646" spans="2:2" hidden="1" x14ac:dyDescent="0.25">
      <c r="B646" s="9" t="s">
        <v>862</v>
      </c>
    </row>
    <row r="647" spans="2:2" hidden="1" x14ac:dyDescent="0.25">
      <c r="B647" s="9" t="s">
        <v>216</v>
      </c>
    </row>
    <row r="648" spans="2:2" hidden="1" x14ac:dyDescent="0.25">
      <c r="B648" s="9" t="s">
        <v>863</v>
      </c>
    </row>
    <row r="649" spans="2:2" hidden="1" x14ac:dyDescent="0.25">
      <c r="B649" s="9" t="s">
        <v>864</v>
      </c>
    </row>
    <row r="650" spans="2:2" hidden="1" x14ac:dyDescent="0.25">
      <c r="B650" s="9" t="s">
        <v>865</v>
      </c>
    </row>
    <row r="651" spans="2:2" hidden="1" x14ac:dyDescent="0.25">
      <c r="B651" s="9" t="s">
        <v>866</v>
      </c>
    </row>
    <row r="652" spans="2:2" hidden="1" x14ac:dyDescent="0.25">
      <c r="B652" s="9" t="s">
        <v>867</v>
      </c>
    </row>
    <row r="653" spans="2:2" hidden="1" x14ac:dyDescent="0.25">
      <c r="B653" s="9" t="s">
        <v>868</v>
      </c>
    </row>
    <row r="654" spans="2:2" hidden="1" x14ac:dyDescent="0.25">
      <c r="B654" s="9" t="s">
        <v>869</v>
      </c>
    </row>
    <row r="655" spans="2:2" hidden="1" x14ac:dyDescent="0.25">
      <c r="B655" s="9" t="s">
        <v>870</v>
      </c>
    </row>
    <row r="656" spans="2:2" hidden="1" x14ac:dyDescent="0.25">
      <c r="B656" s="9" t="s">
        <v>871</v>
      </c>
    </row>
    <row r="657" spans="2:2" hidden="1" x14ac:dyDescent="0.25">
      <c r="B657" s="9" t="s">
        <v>872</v>
      </c>
    </row>
    <row r="658" spans="2:2" hidden="1" x14ac:dyDescent="0.25">
      <c r="B658" s="9" t="s">
        <v>873</v>
      </c>
    </row>
    <row r="659" spans="2:2" hidden="1" x14ac:dyDescent="0.25">
      <c r="B659" s="9" t="s">
        <v>224</v>
      </c>
    </row>
    <row r="660" spans="2:2" hidden="1" x14ac:dyDescent="0.25">
      <c r="B660" s="9" t="s">
        <v>874</v>
      </c>
    </row>
    <row r="661" spans="2:2" hidden="1" x14ac:dyDescent="0.25">
      <c r="B661" s="9" t="s">
        <v>256</v>
      </c>
    </row>
    <row r="662" spans="2:2" hidden="1" x14ac:dyDescent="0.25">
      <c r="B662" s="9" t="s">
        <v>875</v>
      </c>
    </row>
    <row r="663" spans="2:2" hidden="1" x14ac:dyDescent="0.25">
      <c r="B663" s="9" t="s">
        <v>876</v>
      </c>
    </row>
    <row r="664" spans="2:2" hidden="1" x14ac:dyDescent="0.25">
      <c r="B664" s="9" t="s">
        <v>877</v>
      </c>
    </row>
    <row r="665" spans="2:2" hidden="1" x14ac:dyDescent="0.25">
      <c r="B665" s="9" t="s">
        <v>878</v>
      </c>
    </row>
    <row r="666" spans="2:2" hidden="1" x14ac:dyDescent="0.25">
      <c r="B666" s="9" t="s">
        <v>879</v>
      </c>
    </row>
    <row r="667" spans="2:2" hidden="1" x14ac:dyDescent="0.25">
      <c r="B667" s="9" t="s">
        <v>880</v>
      </c>
    </row>
    <row r="668" spans="2:2" hidden="1" x14ac:dyDescent="0.25">
      <c r="B668" s="9" t="s">
        <v>881</v>
      </c>
    </row>
    <row r="669" spans="2:2" hidden="1" x14ac:dyDescent="0.25">
      <c r="B669" s="9" t="s">
        <v>882</v>
      </c>
    </row>
    <row r="670" spans="2:2" hidden="1" x14ac:dyDescent="0.25">
      <c r="B670" s="9" t="s">
        <v>883</v>
      </c>
    </row>
    <row r="671" spans="2:2" hidden="1" x14ac:dyDescent="0.25">
      <c r="B671" s="9" t="s">
        <v>884</v>
      </c>
    </row>
    <row r="672" spans="2:2" hidden="1" x14ac:dyDescent="0.25">
      <c r="B672" s="9" t="s">
        <v>96</v>
      </c>
    </row>
    <row r="673" spans="2:2" hidden="1" x14ac:dyDescent="0.25">
      <c r="B673" s="9" t="s">
        <v>885</v>
      </c>
    </row>
    <row r="674" spans="2:2" hidden="1" x14ac:dyDescent="0.25">
      <c r="B674" s="9" t="s">
        <v>886</v>
      </c>
    </row>
    <row r="675" spans="2:2" hidden="1" x14ac:dyDescent="0.25">
      <c r="B675" s="9" t="s">
        <v>887</v>
      </c>
    </row>
    <row r="676" spans="2:2" hidden="1" x14ac:dyDescent="0.25">
      <c r="B676" s="9" t="s">
        <v>205</v>
      </c>
    </row>
    <row r="677" spans="2:2" hidden="1" x14ac:dyDescent="0.25">
      <c r="B677" s="9" t="s">
        <v>888</v>
      </c>
    </row>
    <row r="678" spans="2:2" hidden="1" x14ac:dyDescent="0.25">
      <c r="B678" s="9" t="s">
        <v>889</v>
      </c>
    </row>
    <row r="679" spans="2:2" hidden="1" x14ac:dyDescent="0.25">
      <c r="B679" s="9" t="s">
        <v>890</v>
      </c>
    </row>
    <row r="680" spans="2:2" hidden="1" x14ac:dyDescent="0.25">
      <c r="B680" s="9" t="s">
        <v>891</v>
      </c>
    </row>
    <row r="681" spans="2:2" hidden="1" x14ac:dyDescent="0.25">
      <c r="B681" s="9" t="s">
        <v>891</v>
      </c>
    </row>
    <row r="682" spans="2:2" hidden="1" x14ac:dyDescent="0.25">
      <c r="B682" s="9" t="s">
        <v>83</v>
      </c>
    </row>
    <row r="683" spans="2:2" hidden="1" x14ac:dyDescent="0.25">
      <c r="B683" s="9" t="s">
        <v>104</v>
      </c>
    </row>
    <row r="684" spans="2:2" hidden="1" x14ac:dyDescent="0.25">
      <c r="B684" s="9" t="s">
        <v>892</v>
      </c>
    </row>
    <row r="685" spans="2:2" hidden="1" x14ac:dyDescent="0.25">
      <c r="B685" s="9" t="s">
        <v>66</v>
      </c>
    </row>
    <row r="686" spans="2:2" hidden="1" x14ac:dyDescent="0.25">
      <c r="B686" s="9" t="s">
        <v>893</v>
      </c>
    </row>
    <row r="687" spans="2:2" hidden="1" x14ac:dyDescent="0.25">
      <c r="B687" s="9" t="s">
        <v>230</v>
      </c>
    </row>
    <row r="688" spans="2:2" hidden="1" x14ac:dyDescent="0.25">
      <c r="B688" s="9" t="s">
        <v>59</v>
      </c>
    </row>
    <row r="689" spans="2:2" hidden="1" x14ac:dyDescent="0.25">
      <c r="B689" s="9" t="s">
        <v>103</v>
      </c>
    </row>
    <row r="690" spans="2:2" hidden="1" x14ac:dyDescent="0.25">
      <c r="B690" s="9" t="s">
        <v>894</v>
      </c>
    </row>
    <row r="691" spans="2:2" hidden="1" x14ac:dyDescent="0.25">
      <c r="B691" s="9" t="s">
        <v>115</v>
      </c>
    </row>
    <row r="692" spans="2:2" hidden="1" x14ac:dyDescent="0.25">
      <c r="B692" s="9" t="s">
        <v>150</v>
      </c>
    </row>
    <row r="693" spans="2:2" hidden="1" x14ac:dyDescent="0.25">
      <c r="B693" s="9" t="s">
        <v>895</v>
      </c>
    </row>
    <row r="694" spans="2:2" hidden="1" x14ac:dyDescent="0.25">
      <c r="B694" s="9" t="s">
        <v>896</v>
      </c>
    </row>
    <row r="695" spans="2:2" hidden="1" x14ac:dyDescent="0.25">
      <c r="B695" s="9" t="s">
        <v>897</v>
      </c>
    </row>
    <row r="696" spans="2:2" hidden="1" x14ac:dyDescent="0.25">
      <c r="B696" s="9" t="s">
        <v>898</v>
      </c>
    </row>
    <row r="697" spans="2:2" hidden="1" x14ac:dyDescent="0.25">
      <c r="B697" s="9" t="s">
        <v>30</v>
      </c>
    </row>
    <row r="698" spans="2:2" hidden="1" x14ac:dyDescent="0.25">
      <c r="B698" s="9" t="s">
        <v>130</v>
      </c>
    </row>
    <row r="699" spans="2:2" hidden="1" x14ac:dyDescent="0.25">
      <c r="B699" s="9" t="s">
        <v>899</v>
      </c>
    </row>
    <row r="700" spans="2:2" hidden="1" x14ac:dyDescent="0.25">
      <c r="B700" s="9" t="s">
        <v>196</v>
      </c>
    </row>
    <row r="701" spans="2:2" hidden="1" x14ac:dyDescent="0.25">
      <c r="B701" s="9" t="s">
        <v>900</v>
      </c>
    </row>
    <row r="702" spans="2:2" hidden="1" x14ac:dyDescent="0.25">
      <c r="B702" s="9" t="s">
        <v>901</v>
      </c>
    </row>
    <row r="703" spans="2:2" hidden="1" x14ac:dyDescent="0.25">
      <c r="B703" s="9" t="s">
        <v>215</v>
      </c>
    </row>
    <row r="704" spans="2:2" hidden="1" x14ac:dyDescent="0.25">
      <c r="B704" s="9" t="s">
        <v>156</v>
      </c>
    </row>
    <row r="705" spans="2:2" hidden="1" x14ac:dyDescent="0.25">
      <c r="B705" s="9" t="s">
        <v>218</v>
      </c>
    </row>
    <row r="706" spans="2:2" hidden="1" x14ac:dyDescent="0.25">
      <c r="B706" s="9" t="s">
        <v>253</v>
      </c>
    </row>
    <row r="707" spans="2:2" hidden="1" x14ac:dyDescent="0.25">
      <c r="B707" s="9" t="s">
        <v>902</v>
      </c>
    </row>
    <row r="708" spans="2:2" hidden="1" x14ac:dyDescent="0.25">
      <c r="B708" s="9" t="s">
        <v>903</v>
      </c>
    </row>
    <row r="709" spans="2:2" hidden="1" x14ac:dyDescent="0.25">
      <c r="B709" s="9" t="s">
        <v>182</v>
      </c>
    </row>
    <row r="710" spans="2:2" hidden="1" x14ac:dyDescent="0.25">
      <c r="B710" s="9" t="s">
        <v>904</v>
      </c>
    </row>
    <row r="711" spans="2:2" hidden="1" x14ac:dyDescent="0.25">
      <c r="B711" s="9" t="s">
        <v>905</v>
      </c>
    </row>
    <row r="712" spans="2:2" hidden="1" x14ac:dyDescent="0.25">
      <c r="B712" s="9" t="s">
        <v>58</v>
      </c>
    </row>
    <row r="713" spans="2:2" hidden="1" x14ac:dyDescent="0.25">
      <c r="B713" s="9" t="s">
        <v>61</v>
      </c>
    </row>
    <row r="714" spans="2:2" hidden="1" x14ac:dyDescent="0.25">
      <c r="B714" s="9" t="s">
        <v>222</v>
      </c>
    </row>
    <row r="715" spans="2:2" hidden="1" x14ac:dyDescent="0.25">
      <c r="B715" s="9" t="s">
        <v>906</v>
      </c>
    </row>
    <row r="716" spans="2:2" hidden="1" x14ac:dyDescent="0.25">
      <c r="B716" s="9" t="s">
        <v>907</v>
      </c>
    </row>
    <row r="717" spans="2:2" hidden="1" x14ac:dyDescent="0.25">
      <c r="B717" s="9" t="s">
        <v>135</v>
      </c>
    </row>
    <row r="718" spans="2:2" hidden="1" x14ac:dyDescent="0.25">
      <c r="B718" s="9" t="s">
        <v>908</v>
      </c>
    </row>
    <row r="719" spans="2:2" hidden="1" x14ac:dyDescent="0.25">
      <c r="B719" s="9" t="s">
        <v>909</v>
      </c>
    </row>
    <row r="720" spans="2:2" hidden="1" x14ac:dyDescent="0.25">
      <c r="B720" s="9" t="s">
        <v>910</v>
      </c>
    </row>
    <row r="721" spans="2:2" hidden="1" x14ac:dyDescent="0.25">
      <c r="B721" s="9" t="s">
        <v>911</v>
      </c>
    </row>
    <row r="722" spans="2:2" hidden="1" x14ac:dyDescent="0.25">
      <c r="B722" s="9" t="s">
        <v>912</v>
      </c>
    </row>
    <row r="723" spans="2:2" hidden="1" x14ac:dyDescent="0.25">
      <c r="B723" s="9" t="s">
        <v>913</v>
      </c>
    </row>
    <row r="724" spans="2:2" hidden="1" x14ac:dyDescent="0.25">
      <c r="B724" s="9" t="s">
        <v>914</v>
      </c>
    </row>
    <row r="725" spans="2:2" hidden="1" x14ac:dyDescent="0.25">
      <c r="B725" s="9" t="s">
        <v>915</v>
      </c>
    </row>
    <row r="726" spans="2:2" hidden="1" x14ac:dyDescent="0.25">
      <c r="B726" s="9" t="s">
        <v>916</v>
      </c>
    </row>
    <row r="727" spans="2:2" hidden="1" x14ac:dyDescent="0.25">
      <c r="B727" s="9" t="s">
        <v>91</v>
      </c>
    </row>
    <row r="728" spans="2:2" hidden="1" x14ac:dyDescent="0.25">
      <c r="B728" s="9" t="s">
        <v>90</v>
      </c>
    </row>
    <row r="729" spans="2:2" hidden="1" x14ac:dyDescent="0.25">
      <c r="B729" s="9" t="s">
        <v>126</v>
      </c>
    </row>
    <row r="730" spans="2:2" hidden="1" x14ac:dyDescent="0.25">
      <c r="B730" s="9" t="s">
        <v>202</v>
      </c>
    </row>
    <row r="731" spans="2:2" hidden="1" x14ac:dyDescent="0.25">
      <c r="B731" s="9" t="s">
        <v>917</v>
      </c>
    </row>
    <row r="732" spans="2:2" hidden="1" x14ac:dyDescent="0.25">
      <c r="B732" s="9" t="s">
        <v>76</v>
      </c>
    </row>
    <row r="733" spans="2:2" hidden="1" x14ac:dyDescent="0.25">
      <c r="B733" s="9" t="s">
        <v>918</v>
      </c>
    </row>
    <row r="734" spans="2:2" hidden="1" x14ac:dyDescent="0.25">
      <c r="B734" s="9" t="s">
        <v>228</v>
      </c>
    </row>
    <row r="735" spans="2:2" hidden="1" x14ac:dyDescent="0.25">
      <c r="B735" s="9" t="s">
        <v>65</v>
      </c>
    </row>
    <row r="736" spans="2:2" hidden="1" x14ac:dyDescent="0.25">
      <c r="B736" s="9" t="s">
        <v>919</v>
      </c>
    </row>
    <row r="737" spans="2:2" hidden="1" x14ac:dyDescent="0.25">
      <c r="B737" s="9" t="s">
        <v>920</v>
      </c>
    </row>
    <row r="738" spans="2:2" hidden="1" x14ac:dyDescent="0.25">
      <c r="B738" s="9" t="s">
        <v>140</v>
      </c>
    </row>
    <row r="739" spans="2:2" hidden="1" x14ac:dyDescent="0.25">
      <c r="B739" s="9" t="s">
        <v>921</v>
      </c>
    </row>
    <row r="740" spans="2:2" hidden="1" x14ac:dyDescent="0.25">
      <c r="B740" s="9" t="s">
        <v>922</v>
      </c>
    </row>
    <row r="741" spans="2:2" hidden="1" x14ac:dyDescent="0.25">
      <c r="B741" s="9" t="s">
        <v>923</v>
      </c>
    </row>
    <row r="742" spans="2:2" hidden="1" x14ac:dyDescent="0.25">
      <c r="B742" s="9" t="s">
        <v>151</v>
      </c>
    </row>
    <row r="743" spans="2:2" hidden="1" x14ac:dyDescent="0.25">
      <c r="B743" s="9" t="s">
        <v>924</v>
      </c>
    </row>
    <row r="744" spans="2:2" hidden="1" x14ac:dyDescent="0.25">
      <c r="B744" s="9" t="s">
        <v>141</v>
      </c>
    </row>
    <row r="745" spans="2:2" hidden="1" x14ac:dyDescent="0.25">
      <c r="B745" s="9" t="s">
        <v>925</v>
      </c>
    </row>
    <row r="746" spans="2:2" hidden="1" x14ac:dyDescent="0.25">
      <c r="B746" s="9" t="s">
        <v>926</v>
      </c>
    </row>
    <row r="747" spans="2:2" hidden="1" x14ac:dyDescent="0.25">
      <c r="B747" s="9" t="s">
        <v>927</v>
      </c>
    </row>
    <row r="748" spans="2:2" hidden="1" x14ac:dyDescent="0.25">
      <c r="B748" s="9" t="s">
        <v>928</v>
      </c>
    </row>
    <row r="749" spans="2:2" hidden="1" x14ac:dyDescent="0.25">
      <c r="B749" s="9" t="s">
        <v>929</v>
      </c>
    </row>
    <row r="750" spans="2:2" hidden="1" x14ac:dyDescent="0.25">
      <c r="B750" s="9" t="s">
        <v>930</v>
      </c>
    </row>
    <row r="751" spans="2:2" hidden="1" x14ac:dyDescent="0.25">
      <c r="B751" s="9" t="s">
        <v>97</v>
      </c>
    </row>
    <row r="752" spans="2:2" hidden="1" x14ac:dyDescent="0.25">
      <c r="B752" s="9" t="s">
        <v>931</v>
      </c>
    </row>
    <row r="753" spans="2:2" hidden="1" x14ac:dyDescent="0.25">
      <c r="B753" s="9" t="s">
        <v>932</v>
      </c>
    </row>
    <row r="754" spans="2:2" hidden="1" x14ac:dyDescent="0.25">
      <c r="B754" s="9" t="s">
        <v>933</v>
      </c>
    </row>
    <row r="755" spans="2:2" hidden="1" x14ac:dyDescent="0.25">
      <c r="B755" s="9" t="s">
        <v>934</v>
      </c>
    </row>
    <row r="756" spans="2:2" hidden="1" x14ac:dyDescent="0.25">
      <c r="B756" s="9" t="s">
        <v>935</v>
      </c>
    </row>
    <row r="757" spans="2:2" hidden="1" x14ac:dyDescent="0.25">
      <c r="B757" s="9" t="s">
        <v>37</v>
      </c>
    </row>
    <row r="758" spans="2:2" hidden="1" x14ac:dyDescent="0.25">
      <c r="B758" s="9" t="s">
        <v>106</v>
      </c>
    </row>
    <row r="759" spans="2:2" hidden="1" x14ac:dyDescent="0.25">
      <c r="B759" s="9" t="s">
        <v>936</v>
      </c>
    </row>
    <row r="760" spans="2:2" hidden="1" x14ac:dyDescent="0.25">
      <c r="B760" s="9" t="s">
        <v>162</v>
      </c>
    </row>
    <row r="761" spans="2:2" hidden="1" x14ac:dyDescent="0.25">
      <c r="B761" s="9" t="s">
        <v>937</v>
      </c>
    </row>
    <row r="762" spans="2:2" hidden="1" x14ac:dyDescent="0.25">
      <c r="B762" s="9" t="s">
        <v>171</v>
      </c>
    </row>
    <row r="763" spans="2:2" hidden="1" x14ac:dyDescent="0.25">
      <c r="B763" s="9" t="s">
        <v>938</v>
      </c>
    </row>
    <row r="764" spans="2:2" hidden="1" x14ac:dyDescent="0.25">
      <c r="B764" s="9" t="s">
        <v>939</v>
      </c>
    </row>
    <row r="765" spans="2:2" hidden="1" x14ac:dyDescent="0.25">
      <c r="B765" s="9" t="s">
        <v>177</v>
      </c>
    </row>
    <row r="766" spans="2:2" hidden="1" x14ac:dyDescent="0.25">
      <c r="B766" s="9" t="s">
        <v>243</v>
      </c>
    </row>
    <row r="767" spans="2:2" hidden="1" x14ac:dyDescent="0.25">
      <c r="B767" s="9" t="s">
        <v>940</v>
      </c>
    </row>
    <row r="768" spans="2:2" hidden="1" x14ac:dyDescent="0.25">
      <c r="B768" s="9" t="s">
        <v>941</v>
      </c>
    </row>
    <row r="769" spans="2:2" hidden="1" x14ac:dyDescent="0.25">
      <c r="B769" s="9" t="s">
        <v>246</v>
      </c>
    </row>
    <row r="770" spans="2:2" hidden="1" x14ac:dyDescent="0.25">
      <c r="B770" s="9" t="s">
        <v>942</v>
      </c>
    </row>
    <row r="771" spans="2:2" hidden="1" x14ac:dyDescent="0.25">
      <c r="B771" s="9" t="s">
        <v>943</v>
      </c>
    </row>
    <row r="772" spans="2:2" hidden="1" x14ac:dyDescent="0.25">
      <c r="B772" s="9" t="s">
        <v>944</v>
      </c>
    </row>
    <row r="773" spans="2:2" hidden="1" x14ac:dyDescent="0.25">
      <c r="B773" s="9" t="s">
        <v>170</v>
      </c>
    </row>
    <row r="774" spans="2:2" hidden="1" x14ac:dyDescent="0.25">
      <c r="B774" s="9" t="s">
        <v>945</v>
      </c>
    </row>
    <row r="775" spans="2:2" hidden="1" x14ac:dyDescent="0.25">
      <c r="B775" s="9" t="s">
        <v>138</v>
      </c>
    </row>
    <row r="776" spans="2:2" hidden="1" x14ac:dyDescent="0.25">
      <c r="B776" s="9" t="s">
        <v>946</v>
      </c>
    </row>
    <row r="777" spans="2:2" hidden="1" x14ac:dyDescent="0.25">
      <c r="B777" s="9" t="s">
        <v>77</v>
      </c>
    </row>
    <row r="778" spans="2:2" hidden="1" x14ac:dyDescent="0.25">
      <c r="B778" s="9" t="s">
        <v>80</v>
      </c>
    </row>
    <row r="779" spans="2:2" hidden="1" x14ac:dyDescent="0.25">
      <c r="B779" s="9" t="s">
        <v>122</v>
      </c>
    </row>
    <row r="780" spans="2:2" hidden="1" x14ac:dyDescent="0.25">
      <c r="B780" s="9" t="s">
        <v>947</v>
      </c>
    </row>
    <row r="781" spans="2:2" hidden="1" x14ac:dyDescent="0.25">
      <c r="B781" s="9" t="s">
        <v>102</v>
      </c>
    </row>
    <row r="782" spans="2:2" hidden="1" x14ac:dyDescent="0.25">
      <c r="B782" s="9" t="s">
        <v>948</v>
      </c>
    </row>
    <row r="783" spans="2:2" hidden="1" x14ac:dyDescent="0.25">
      <c r="B783" s="9" t="s">
        <v>161</v>
      </c>
    </row>
    <row r="784" spans="2:2" hidden="1" x14ac:dyDescent="0.25">
      <c r="B784" s="9" t="s">
        <v>949</v>
      </c>
    </row>
    <row r="785" spans="2:2" hidden="1" x14ac:dyDescent="0.25">
      <c r="B785" s="9" t="s">
        <v>950</v>
      </c>
    </row>
    <row r="786" spans="2:2" hidden="1" x14ac:dyDescent="0.25">
      <c r="B786" s="9" t="s">
        <v>951</v>
      </c>
    </row>
    <row r="787" spans="2:2" hidden="1" x14ac:dyDescent="0.25">
      <c r="B787" s="9" t="s">
        <v>952</v>
      </c>
    </row>
    <row r="788" spans="2:2" hidden="1" x14ac:dyDescent="0.25">
      <c r="B788" s="9" t="s">
        <v>953</v>
      </c>
    </row>
    <row r="789" spans="2:2" hidden="1" x14ac:dyDescent="0.25">
      <c r="B789" s="9" t="s">
        <v>86</v>
      </c>
    </row>
    <row r="790" spans="2:2" hidden="1" x14ac:dyDescent="0.25">
      <c r="B790" s="9" t="s">
        <v>954</v>
      </c>
    </row>
    <row r="791" spans="2:2" hidden="1" x14ac:dyDescent="0.25">
      <c r="B791" s="9" t="s">
        <v>955</v>
      </c>
    </row>
    <row r="792" spans="2:2" hidden="1" x14ac:dyDescent="0.25">
      <c r="B792" s="9" t="s">
        <v>956</v>
      </c>
    </row>
    <row r="793" spans="2:2" hidden="1" x14ac:dyDescent="0.25">
      <c r="B793" s="9" t="s">
        <v>64</v>
      </c>
    </row>
    <row r="794" spans="2:2" hidden="1" x14ac:dyDescent="0.25">
      <c r="B794" s="9" t="s">
        <v>64</v>
      </c>
    </row>
    <row r="795" spans="2:2" hidden="1" x14ac:dyDescent="0.25">
      <c r="B795" s="9" t="s">
        <v>957</v>
      </c>
    </row>
    <row r="796" spans="2:2" hidden="1" x14ac:dyDescent="0.25">
      <c r="B796" s="9" t="s">
        <v>958</v>
      </c>
    </row>
    <row r="797" spans="2:2" hidden="1" x14ac:dyDescent="0.25">
      <c r="B797" s="9" t="s">
        <v>959</v>
      </c>
    </row>
    <row r="798" spans="2:2" hidden="1" x14ac:dyDescent="0.25">
      <c r="B798" s="9" t="s">
        <v>960</v>
      </c>
    </row>
    <row r="799" spans="2:2" hidden="1" x14ac:dyDescent="0.25">
      <c r="B799" s="9" t="s">
        <v>204</v>
      </c>
    </row>
    <row r="800" spans="2:2" hidden="1" x14ac:dyDescent="0.25">
      <c r="B800" s="9" t="s">
        <v>961</v>
      </c>
    </row>
    <row r="801" spans="2:2" hidden="1" x14ac:dyDescent="0.25">
      <c r="B801" s="9" t="s">
        <v>962</v>
      </c>
    </row>
    <row r="802" spans="2:2" hidden="1" x14ac:dyDescent="0.25">
      <c r="B802" s="9" t="s">
        <v>273</v>
      </c>
    </row>
    <row r="803" spans="2:2" hidden="1" x14ac:dyDescent="0.25">
      <c r="B803" s="9" t="s">
        <v>68</v>
      </c>
    </row>
    <row r="804" spans="2:2" hidden="1" x14ac:dyDescent="0.25">
      <c r="B804" s="9" t="s">
        <v>963</v>
      </c>
    </row>
    <row r="805" spans="2:2" hidden="1" x14ac:dyDescent="0.25">
      <c r="B805" s="9" t="s">
        <v>964</v>
      </c>
    </row>
    <row r="806" spans="2:2" hidden="1" x14ac:dyDescent="0.25">
      <c r="B806" s="9" t="s">
        <v>965</v>
      </c>
    </row>
    <row r="807" spans="2:2" hidden="1" x14ac:dyDescent="0.25">
      <c r="B807" s="9" t="s">
        <v>213</v>
      </c>
    </row>
    <row r="808" spans="2:2" hidden="1" x14ac:dyDescent="0.25">
      <c r="B808" s="9" t="s">
        <v>966</v>
      </c>
    </row>
    <row r="809" spans="2:2" hidden="1" x14ac:dyDescent="0.25">
      <c r="B809" s="9" t="s">
        <v>967</v>
      </c>
    </row>
    <row r="810" spans="2:2" hidden="1" x14ac:dyDescent="0.25">
      <c r="B810" s="9" t="s">
        <v>968</v>
      </c>
    </row>
    <row r="811" spans="2:2" hidden="1" x14ac:dyDescent="0.25">
      <c r="B811" s="9" t="s">
        <v>969</v>
      </c>
    </row>
    <row r="812" spans="2:2" hidden="1" x14ac:dyDescent="0.25">
      <c r="B812" s="9" t="s">
        <v>970</v>
      </c>
    </row>
    <row r="813" spans="2:2" hidden="1" x14ac:dyDescent="0.25">
      <c r="B813" s="9" t="s">
        <v>971</v>
      </c>
    </row>
    <row r="814" spans="2:2" hidden="1" x14ac:dyDescent="0.25">
      <c r="B814" s="9" t="s">
        <v>972</v>
      </c>
    </row>
    <row r="815" spans="2:2" hidden="1" x14ac:dyDescent="0.25">
      <c r="B815" s="9" t="s">
        <v>973</v>
      </c>
    </row>
    <row r="816" spans="2:2" hidden="1" x14ac:dyDescent="0.25">
      <c r="B816" s="9" t="s">
        <v>974</v>
      </c>
    </row>
    <row r="817" spans="2:2" hidden="1" x14ac:dyDescent="0.25">
      <c r="B817" s="9" t="s">
        <v>975</v>
      </c>
    </row>
    <row r="818" spans="2:2" hidden="1" x14ac:dyDescent="0.25">
      <c r="B818" s="9" t="s">
        <v>124</v>
      </c>
    </row>
    <row r="819" spans="2:2" hidden="1" x14ac:dyDescent="0.25">
      <c r="B819" s="9" t="s">
        <v>976</v>
      </c>
    </row>
    <row r="820" spans="2:2" hidden="1" x14ac:dyDescent="0.25">
      <c r="B820" s="9" t="s">
        <v>977</v>
      </c>
    </row>
    <row r="821" spans="2:2" hidden="1" x14ac:dyDescent="0.25">
      <c r="B821" s="9" t="s">
        <v>117</v>
      </c>
    </row>
    <row r="822" spans="2:2" hidden="1" x14ac:dyDescent="0.25">
      <c r="B822" s="9" t="s">
        <v>257</v>
      </c>
    </row>
    <row r="823" spans="2:2" hidden="1" x14ac:dyDescent="0.25">
      <c r="B823" s="9" t="s">
        <v>978</v>
      </c>
    </row>
    <row r="824" spans="2:2" hidden="1" x14ac:dyDescent="0.25">
      <c r="B824" s="9" t="s">
        <v>979</v>
      </c>
    </row>
    <row r="825" spans="2:2" hidden="1" x14ac:dyDescent="0.25">
      <c r="B825" s="9" t="s">
        <v>24</v>
      </c>
    </row>
    <row r="826" spans="2:2" hidden="1" x14ac:dyDescent="0.25">
      <c r="B826" s="9" t="s">
        <v>25</v>
      </c>
    </row>
    <row r="827" spans="2:2" hidden="1" x14ac:dyDescent="0.25">
      <c r="B827" s="9" t="s">
        <v>51</v>
      </c>
    </row>
    <row r="828" spans="2:2" hidden="1" x14ac:dyDescent="0.25">
      <c r="B828" s="9" t="s">
        <v>980</v>
      </c>
    </row>
    <row r="829" spans="2:2" hidden="1" x14ac:dyDescent="0.25">
      <c r="B829" s="9" t="s">
        <v>981</v>
      </c>
    </row>
    <row r="830" spans="2:2" hidden="1" x14ac:dyDescent="0.25">
      <c r="B830" s="9" t="s">
        <v>982</v>
      </c>
    </row>
    <row r="831" spans="2:2" hidden="1" x14ac:dyDescent="0.25">
      <c r="B831" s="9" t="s">
        <v>983</v>
      </c>
    </row>
    <row r="832" spans="2:2" hidden="1" x14ac:dyDescent="0.25">
      <c r="B832" s="9" t="s">
        <v>229</v>
      </c>
    </row>
    <row r="833" spans="2:2" hidden="1" x14ac:dyDescent="0.25">
      <c r="B833" s="9" t="s">
        <v>214</v>
      </c>
    </row>
    <row r="834" spans="2:2" hidden="1" x14ac:dyDescent="0.25">
      <c r="B834" s="9" t="s">
        <v>984</v>
      </c>
    </row>
    <row r="835" spans="2:2" hidden="1" x14ac:dyDescent="0.25">
      <c r="B835" s="9" t="s">
        <v>985</v>
      </c>
    </row>
    <row r="836" spans="2:2" hidden="1" x14ac:dyDescent="0.25">
      <c r="B836" s="9" t="s">
        <v>173</v>
      </c>
    </row>
    <row r="837" spans="2:2" hidden="1" x14ac:dyDescent="0.25">
      <c r="B837" s="9" t="s">
        <v>986</v>
      </c>
    </row>
    <row r="838" spans="2:2" hidden="1" x14ac:dyDescent="0.25">
      <c r="B838" s="9" t="s">
        <v>119</v>
      </c>
    </row>
    <row r="839" spans="2:2" hidden="1" x14ac:dyDescent="0.25">
      <c r="B839" s="9" t="s">
        <v>987</v>
      </c>
    </row>
    <row r="840" spans="2:2" hidden="1" x14ac:dyDescent="0.25">
      <c r="B840" s="9" t="s">
        <v>988</v>
      </c>
    </row>
    <row r="841" spans="2:2" hidden="1" x14ac:dyDescent="0.25">
      <c r="B841" s="9" t="s">
        <v>989</v>
      </c>
    </row>
    <row r="842" spans="2:2" hidden="1" x14ac:dyDescent="0.25">
      <c r="B842" s="9" t="s">
        <v>990</v>
      </c>
    </row>
    <row r="843" spans="2:2" hidden="1" x14ac:dyDescent="0.25">
      <c r="B843" s="9" t="s">
        <v>991</v>
      </c>
    </row>
    <row r="844" spans="2:2" hidden="1" x14ac:dyDescent="0.25">
      <c r="B844" s="9" t="s">
        <v>127</v>
      </c>
    </row>
    <row r="845" spans="2:2" hidden="1" x14ac:dyDescent="0.25">
      <c r="B845" s="9" t="s">
        <v>992</v>
      </c>
    </row>
    <row r="846" spans="2:2" hidden="1" x14ac:dyDescent="0.25">
      <c r="B846" s="9" t="s">
        <v>993</v>
      </c>
    </row>
    <row r="847" spans="2:2" hidden="1" x14ac:dyDescent="0.25">
      <c r="B847" s="9" t="s">
        <v>994</v>
      </c>
    </row>
    <row r="848" spans="2:2" hidden="1" x14ac:dyDescent="0.25">
      <c r="B848" s="9" t="s">
        <v>129</v>
      </c>
    </row>
    <row r="849" spans="2:2" hidden="1" x14ac:dyDescent="0.25">
      <c r="B849" s="9" t="s">
        <v>995</v>
      </c>
    </row>
    <row r="850" spans="2:2" hidden="1" x14ac:dyDescent="0.25">
      <c r="B850" s="9" t="s">
        <v>62</v>
      </c>
    </row>
    <row r="851" spans="2:2" hidden="1" x14ac:dyDescent="0.25">
      <c r="B851" s="9" t="s">
        <v>996</v>
      </c>
    </row>
    <row r="852" spans="2:2" hidden="1" x14ac:dyDescent="0.25">
      <c r="B852" s="9" t="s">
        <v>997</v>
      </c>
    </row>
    <row r="853" spans="2:2" hidden="1" x14ac:dyDescent="0.25">
      <c r="B853" s="9" t="s">
        <v>107</v>
      </c>
    </row>
    <row r="854" spans="2:2" hidden="1" x14ac:dyDescent="0.25">
      <c r="B854" s="9" t="s">
        <v>998</v>
      </c>
    </row>
    <row r="855" spans="2:2" hidden="1" x14ac:dyDescent="0.25">
      <c r="B855" s="9" t="s">
        <v>999</v>
      </c>
    </row>
    <row r="856" spans="2:2" hidden="1" x14ac:dyDescent="0.25">
      <c r="B856" s="9" t="s">
        <v>1000</v>
      </c>
    </row>
    <row r="857" spans="2:2" hidden="1" x14ac:dyDescent="0.25">
      <c r="B857" s="9" t="s">
        <v>1001</v>
      </c>
    </row>
    <row r="858" spans="2:2" hidden="1" x14ac:dyDescent="0.25">
      <c r="B858" s="9" t="s">
        <v>210</v>
      </c>
    </row>
    <row r="859" spans="2:2" hidden="1" x14ac:dyDescent="0.25">
      <c r="B859" s="9" t="s">
        <v>1002</v>
      </c>
    </row>
    <row r="860" spans="2:2" hidden="1" x14ac:dyDescent="0.25">
      <c r="B860" s="9" t="s">
        <v>1003</v>
      </c>
    </row>
    <row r="861" spans="2:2" hidden="1" x14ac:dyDescent="0.25">
      <c r="B861" s="9" t="s">
        <v>113</v>
      </c>
    </row>
    <row r="862" spans="2:2" hidden="1" x14ac:dyDescent="0.25">
      <c r="B862" s="9" t="s">
        <v>221</v>
      </c>
    </row>
    <row r="863" spans="2:2" hidden="1" x14ac:dyDescent="0.25">
      <c r="B863" s="9" t="s">
        <v>1004</v>
      </c>
    </row>
    <row r="864" spans="2:2" hidden="1" x14ac:dyDescent="0.25">
      <c r="B864" s="9" t="s">
        <v>1005</v>
      </c>
    </row>
    <row r="865" spans="2:2" hidden="1" x14ac:dyDescent="0.25">
      <c r="B865" s="9" t="s">
        <v>1006</v>
      </c>
    </row>
    <row r="866" spans="2:2" hidden="1" x14ac:dyDescent="0.25">
      <c r="B866" s="9" t="s">
        <v>69</v>
      </c>
    </row>
    <row r="867" spans="2:2" hidden="1" x14ac:dyDescent="0.25">
      <c r="B867" s="9" t="s">
        <v>1007</v>
      </c>
    </row>
    <row r="868" spans="2:2" hidden="1" x14ac:dyDescent="0.25">
      <c r="B868" s="9" t="s">
        <v>1008</v>
      </c>
    </row>
    <row r="869" spans="2:2" hidden="1" x14ac:dyDescent="0.25">
      <c r="B869" s="9" t="s">
        <v>234</v>
      </c>
    </row>
    <row r="870" spans="2:2" hidden="1" x14ac:dyDescent="0.25">
      <c r="B870" s="9" t="s">
        <v>1009</v>
      </c>
    </row>
    <row r="871" spans="2:2" hidden="1" x14ac:dyDescent="0.25">
      <c r="B871" s="9" t="s">
        <v>1010</v>
      </c>
    </row>
    <row r="872" spans="2:2" hidden="1" x14ac:dyDescent="0.25">
      <c r="B872" s="9" t="s">
        <v>1011</v>
      </c>
    </row>
    <row r="873" spans="2:2" hidden="1" x14ac:dyDescent="0.25">
      <c r="B873" s="9" t="s">
        <v>116</v>
      </c>
    </row>
    <row r="874" spans="2:2" hidden="1" x14ac:dyDescent="0.25">
      <c r="B874" s="9" t="s">
        <v>1012</v>
      </c>
    </row>
    <row r="875" spans="2:2" hidden="1" x14ac:dyDescent="0.25">
      <c r="B875" s="9" t="s">
        <v>1013</v>
      </c>
    </row>
    <row r="876" spans="2:2" hidden="1" x14ac:dyDescent="0.25">
      <c r="B876" s="9" t="s">
        <v>1014</v>
      </c>
    </row>
    <row r="877" spans="2:2" hidden="1" x14ac:dyDescent="0.25">
      <c r="B877" s="9" t="s">
        <v>241</v>
      </c>
    </row>
    <row r="878" spans="2:2" hidden="1" x14ac:dyDescent="0.25">
      <c r="B878" s="9" t="s">
        <v>1015</v>
      </c>
    </row>
    <row r="879" spans="2:2" hidden="1" x14ac:dyDescent="0.25">
      <c r="B879" s="9" t="s">
        <v>44</v>
      </c>
    </row>
    <row r="880" spans="2:2" hidden="1" x14ac:dyDescent="0.25">
      <c r="B880" s="9" t="s">
        <v>1016</v>
      </c>
    </row>
    <row r="881" spans="2:2" hidden="1" x14ac:dyDescent="0.25">
      <c r="B881" s="9" t="s">
        <v>1017</v>
      </c>
    </row>
    <row r="882" spans="2:2" hidden="1" x14ac:dyDescent="0.25">
      <c r="B882" s="9" t="s">
        <v>1018</v>
      </c>
    </row>
    <row r="883" spans="2:2" hidden="1" x14ac:dyDescent="0.25">
      <c r="B883" s="9" t="s">
        <v>67</v>
      </c>
    </row>
    <row r="884" spans="2:2" hidden="1" x14ac:dyDescent="0.25">
      <c r="B884" s="9" t="s">
        <v>1019</v>
      </c>
    </row>
    <row r="885" spans="2:2" hidden="1" x14ac:dyDescent="0.25">
      <c r="B885" s="9" t="s">
        <v>166</v>
      </c>
    </row>
    <row r="886" spans="2:2" hidden="1" x14ac:dyDescent="0.25">
      <c r="B886" s="9" t="s">
        <v>75</v>
      </c>
    </row>
    <row r="887" spans="2:2" hidden="1" x14ac:dyDescent="0.25">
      <c r="B887" s="9" t="s">
        <v>1020</v>
      </c>
    </row>
    <row r="888" spans="2:2" hidden="1" x14ac:dyDescent="0.25">
      <c r="B888" s="9" t="s">
        <v>1021</v>
      </c>
    </row>
    <row r="889" spans="2:2" hidden="1" x14ac:dyDescent="0.25">
      <c r="B889" s="9" t="s">
        <v>1022</v>
      </c>
    </row>
    <row r="890" spans="2:2" hidden="1" x14ac:dyDescent="0.25">
      <c r="B890" s="9" t="s">
        <v>1023</v>
      </c>
    </row>
    <row r="891" spans="2:2" hidden="1" x14ac:dyDescent="0.25">
      <c r="B891" s="9" t="s">
        <v>139</v>
      </c>
    </row>
    <row r="892" spans="2:2" hidden="1" x14ac:dyDescent="0.25">
      <c r="B892" s="9" t="s">
        <v>157</v>
      </c>
    </row>
    <row r="893" spans="2:2" hidden="1" x14ac:dyDescent="0.25">
      <c r="B893" s="9" t="s">
        <v>1024</v>
      </c>
    </row>
    <row r="894" spans="2:2" hidden="1" x14ac:dyDescent="0.25">
      <c r="B894" s="9" t="s">
        <v>1024</v>
      </c>
    </row>
    <row r="895" spans="2:2" hidden="1" x14ac:dyDescent="0.25">
      <c r="B895" s="9" t="s">
        <v>1025</v>
      </c>
    </row>
    <row r="896" spans="2:2" hidden="1" x14ac:dyDescent="0.25">
      <c r="B896" s="9" t="s">
        <v>1026</v>
      </c>
    </row>
    <row r="897" spans="2:2" hidden="1" x14ac:dyDescent="0.25">
      <c r="B897" s="9" t="s">
        <v>1027</v>
      </c>
    </row>
    <row r="898" spans="2:2" hidden="1" x14ac:dyDescent="0.25">
      <c r="B898" s="9" t="s">
        <v>1028</v>
      </c>
    </row>
    <row r="899" spans="2:2" hidden="1" x14ac:dyDescent="0.25">
      <c r="B899" s="9" t="s">
        <v>1029</v>
      </c>
    </row>
    <row r="900" spans="2:2" hidden="1" x14ac:dyDescent="0.25">
      <c r="B900" s="9" t="s">
        <v>1030</v>
      </c>
    </row>
    <row r="901" spans="2:2" hidden="1" x14ac:dyDescent="0.25">
      <c r="B901" s="9" t="s">
        <v>1031</v>
      </c>
    </row>
    <row r="902" spans="2:2" hidden="1" x14ac:dyDescent="0.25">
      <c r="B902" s="9" t="s">
        <v>43</v>
      </c>
    </row>
    <row r="903" spans="2:2" hidden="1" x14ac:dyDescent="0.25">
      <c r="B903" s="9" t="s">
        <v>1032</v>
      </c>
    </row>
    <row r="904" spans="2:2" hidden="1" x14ac:dyDescent="0.25">
      <c r="B904" s="9" t="s">
        <v>1033</v>
      </c>
    </row>
    <row r="905" spans="2:2" hidden="1" x14ac:dyDescent="0.25">
      <c r="B905" s="9" t="s">
        <v>1034</v>
      </c>
    </row>
    <row r="906" spans="2:2" hidden="1" x14ac:dyDescent="0.25">
      <c r="B906" s="9" t="s">
        <v>225</v>
      </c>
    </row>
    <row r="907" spans="2:2" hidden="1" x14ac:dyDescent="0.25">
      <c r="B907" s="9" t="s">
        <v>1035</v>
      </c>
    </row>
    <row r="908" spans="2:2" hidden="1" x14ac:dyDescent="0.25">
      <c r="B908" s="9" t="s">
        <v>153</v>
      </c>
    </row>
    <row r="909" spans="2:2" hidden="1" x14ac:dyDescent="0.25">
      <c r="B909" s="9" t="s">
        <v>1036</v>
      </c>
    </row>
    <row r="910" spans="2:2" hidden="1" x14ac:dyDescent="0.25">
      <c r="B910" s="9" t="s">
        <v>1037</v>
      </c>
    </row>
    <row r="911" spans="2:2" hidden="1" x14ac:dyDescent="0.25">
      <c r="B911" s="9" t="s">
        <v>1038</v>
      </c>
    </row>
    <row r="912" spans="2:2" hidden="1" x14ac:dyDescent="0.25">
      <c r="B912" s="9" t="s">
        <v>1039</v>
      </c>
    </row>
    <row r="913" spans="2:2" hidden="1" x14ac:dyDescent="0.25">
      <c r="B913" s="9" t="s">
        <v>1040</v>
      </c>
    </row>
    <row r="914" spans="2:2" hidden="1" x14ac:dyDescent="0.25">
      <c r="B914" s="9" t="s">
        <v>1041</v>
      </c>
    </row>
    <row r="915" spans="2:2" hidden="1" x14ac:dyDescent="0.25">
      <c r="B915" s="9" t="s">
        <v>1042</v>
      </c>
    </row>
    <row r="916" spans="2:2" hidden="1" x14ac:dyDescent="0.25">
      <c r="B916" s="9" t="s">
        <v>175</v>
      </c>
    </row>
    <row r="917" spans="2:2" hidden="1" x14ac:dyDescent="0.25">
      <c r="B917" s="9" t="s">
        <v>1043</v>
      </c>
    </row>
    <row r="918" spans="2:2" hidden="1" x14ac:dyDescent="0.25">
      <c r="B918" s="9" t="s">
        <v>190</v>
      </c>
    </row>
    <row r="919" spans="2:2" hidden="1" x14ac:dyDescent="0.25">
      <c r="B919" s="9" t="s">
        <v>1044</v>
      </c>
    </row>
    <row r="920" spans="2:2" hidden="1" x14ac:dyDescent="0.25">
      <c r="B920" s="9" t="s">
        <v>181</v>
      </c>
    </row>
    <row r="921" spans="2:2" hidden="1" x14ac:dyDescent="0.25">
      <c r="B921" s="9" t="s">
        <v>1045</v>
      </c>
    </row>
    <row r="922" spans="2:2" hidden="1" x14ac:dyDescent="0.25">
      <c r="B922" s="9" t="s">
        <v>1046</v>
      </c>
    </row>
    <row r="923" spans="2:2" hidden="1" x14ac:dyDescent="0.25">
      <c r="B923" s="9" t="s">
        <v>45</v>
      </c>
    </row>
    <row r="924" spans="2:2" hidden="1" x14ac:dyDescent="0.25">
      <c r="B924" s="9" t="s">
        <v>143</v>
      </c>
    </row>
    <row r="925" spans="2:2" hidden="1" x14ac:dyDescent="0.25">
      <c r="B925" s="9" t="s">
        <v>231</v>
      </c>
    </row>
    <row r="926" spans="2:2" hidden="1" x14ac:dyDescent="0.25">
      <c r="B926" s="9" t="s">
        <v>1047</v>
      </c>
    </row>
    <row r="927" spans="2:2" hidden="1" x14ac:dyDescent="0.25">
      <c r="B927" s="9" t="s">
        <v>1048</v>
      </c>
    </row>
    <row r="928" spans="2:2" hidden="1" x14ac:dyDescent="0.25">
      <c r="B928" s="9" t="s">
        <v>176</v>
      </c>
    </row>
    <row r="929" spans="2:2" hidden="1" x14ac:dyDescent="0.25">
      <c r="B929" s="9" t="s">
        <v>101</v>
      </c>
    </row>
    <row r="930" spans="2:2" hidden="1" x14ac:dyDescent="0.25">
      <c r="B930" s="9" t="s">
        <v>101</v>
      </c>
    </row>
    <row r="931" spans="2:2" hidden="1" x14ac:dyDescent="0.25">
      <c r="B931" s="9" t="s">
        <v>1049</v>
      </c>
    </row>
    <row r="932" spans="2:2" hidden="1" x14ac:dyDescent="0.25">
      <c r="B932" s="9" t="s">
        <v>108</v>
      </c>
    </row>
    <row r="933" spans="2:2" hidden="1" x14ac:dyDescent="0.25">
      <c r="B933" s="9" t="s">
        <v>1050</v>
      </c>
    </row>
    <row r="934" spans="2:2" hidden="1" x14ac:dyDescent="0.25">
      <c r="B934" s="9" t="s">
        <v>1051</v>
      </c>
    </row>
    <row r="935" spans="2:2" hidden="1" x14ac:dyDescent="0.25">
      <c r="B935" s="9" t="s">
        <v>1052</v>
      </c>
    </row>
    <row r="936" spans="2:2" hidden="1" x14ac:dyDescent="0.25">
      <c r="B936" s="9" t="s">
        <v>239</v>
      </c>
    </row>
    <row r="937" spans="2:2" hidden="1" x14ac:dyDescent="0.25">
      <c r="B937" s="9" t="s">
        <v>1053</v>
      </c>
    </row>
    <row r="938" spans="2:2" hidden="1" x14ac:dyDescent="0.25">
      <c r="B938" s="9" t="s">
        <v>206</v>
      </c>
    </row>
    <row r="939" spans="2:2" hidden="1" x14ac:dyDescent="0.25">
      <c r="B939" s="9" t="s">
        <v>1054</v>
      </c>
    </row>
    <row r="940" spans="2:2" hidden="1" x14ac:dyDescent="0.25">
      <c r="B940" s="9" t="s">
        <v>1055</v>
      </c>
    </row>
    <row r="941" spans="2:2" hidden="1" x14ac:dyDescent="0.25">
      <c r="B941" s="9" t="s">
        <v>1056</v>
      </c>
    </row>
    <row r="942" spans="2:2" hidden="1" x14ac:dyDescent="0.25">
      <c r="B942" s="9" t="s">
        <v>1057</v>
      </c>
    </row>
    <row r="943" spans="2:2" hidden="1" x14ac:dyDescent="0.25">
      <c r="B943" s="9" t="s">
        <v>84</v>
      </c>
    </row>
    <row r="944" spans="2:2" hidden="1" x14ac:dyDescent="0.25">
      <c r="B944" s="9" t="s">
        <v>84</v>
      </c>
    </row>
    <row r="945" spans="2:2" hidden="1" x14ac:dyDescent="0.25">
      <c r="B945" s="9" t="s">
        <v>1058</v>
      </c>
    </row>
    <row r="946" spans="2:2" hidden="1" x14ac:dyDescent="0.25">
      <c r="B946" s="9" t="s">
        <v>1058</v>
      </c>
    </row>
    <row r="947" spans="2:2" hidden="1" x14ac:dyDescent="0.25">
      <c r="B947" s="9" t="s">
        <v>1059</v>
      </c>
    </row>
    <row r="948" spans="2:2" hidden="1" x14ac:dyDescent="0.25">
      <c r="B948" s="9" t="s">
        <v>174</v>
      </c>
    </row>
    <row r="949" spans="2:2" hidden="1" x14ac:dyDescent="0.25">
      <c r="B949" s="9" t="s">
        <v>174</v>
      </c>
    </row>
    <row r="950" spans="2:2" hidden="1" x14ac:dyDescent="0.25">
      <c r="B950" s="9" t="s">
        <v>1060</v>
      </c>
    </row>
    <row r="951" spans="2:2" hidden="1" x14ac:dyDescent="0.25">
      <c r="B951" s="9" t="s">
        <v>1061</v>
      </c>
    </row>
    <row r="952" spans="2:2" hidden="1" x14ac:dyDescent="0.25">
      <c r="B952" s="9" t="s">
        <v>1062</v>
      </c>
    </row>
    <row r="953" spans="2:2" hidden="1" x14ac:dyDescent="0.25">
      <c r="B953" s="9" t="s">
        <v>1063</v>
      </c>
    </row>
    <row r="954" spans="2:2" hidden="1" x14ac:dyDescent="0.25">
      <c r="B954" s="9" t="s">
        <v>1064</v>
      </c>
    </row>
    <row r="955" spans="2:2" hidden="1" x14ac:dyDescent="0.25">
      <c r="B955" s="9" t="s">
        <v>203</v>
      </c>
    </row>
    <row r="956" spans="2:2" hidden="1" x14ac:dyDescent="0.25">
      <c r="B956" s="9" t="s">
        <v>56</v>
      </c>
    </row>
    <row r="957" spans="2:2" hidden="1" x14ac:dyDescent="0.25">
      <c r="B957" s="9" t="s">
        <v>56</v>
      </c>
    </row>
    <row r="958" spans="2:2" hidden="1" x14ac:dyDescent="0.25">
      <c r="B958" s="9" t="s">
        <v>1065</v>
      </c>
    </row>
    <row r="959" spans="2:2" hidden="1" x14ac:dyDescent="0.25">
      <c r="B959" s="9" t="s">
        <v>1066</v>
      </c>
    </row>
    <row r="960" spans="2:2" hidden="1" x14ac:dyDescent="0.25">
      <c r="B960" s="9" t="s">
        <v>180</v>
      </c>
    </row>
    <row r="961" spans="2:2" hidden="1" x14ac:dyDescent="0.25">
      <c r="B961" s="9" t="s">
        <v>1067</v>
      </c>
    </row>
    <row r="962" spans="2:2" hidden="1" x14ac:dyDescent="0.25">
      <c r="B962" s="9" t="s">
        <v>1068</v>
      </c>
    </row>
    <row r="963" spans="2:2" hidden="1" x14ac:dyDescent="0.25">
      <c r="B963" s="9" t="s">
        <v>1069</v>
      </c>
    </row>
    <row r="964" spans="2:2" hidden="1" x14ac:dyDescent="0.25">
      <c r="B964" s="9" t="s">
        <v>1070</v>
      </c>
    </row>
    <row r="965" spans="2:2" hidden="1" x14ac:dyDescent="0.25">
      <c r="B965" s="9" t="s">
        <v>1070</v>
      </c>
    </row>
    <row r="966" spans="2:2" hidden="1" x14ac:dyDescent="0.25">
      <c r="B966" s="9" t="s">
        <v>1071</v>
      </c>
    </row>
    <row r="967" spans="2:2" hidden="1" x14ac:dyDescent="0.25">
      <c r="B967" s="9" t="s">
        <v>1072</v>
      </c>
    </row>
    <row r="968" spans="2:2" hidden="1" x14ac:dyDescent="0.25">
      <c r="B968" s="9" t="s">
        <v>1073</v>
      </c>
    </row>
    <row r="969" spans="2:2" hidden="1" x14ac:dyDescent="0.25">
      <c r="B969" s="9" t="s">
        <v>1074</v>
      </c>
    </row>
    <row r="970" spans="2:2" hidden="1" x14ac:dyDescent="0.25">
      <c r="B970" s="9" t="s">
        <v>1075</v>
      </c>
    </row>
    <row r="971" spans="2:2" hidden="1" x14ac:dyDescent="0.25">
      <c r="B971" s="9" t="s">
        <v>1076</v>
      </c>
    </row>
    <row r="972" spans="2:2" hidden="1" x14ac:dyDescent="0.25">
      <c r="B972" s="9" t="s">
        <v>1076</v>
      </c>
    </row>
    <row r="973" spans="2:2" hidden="1" x14ac:dyDescent="0.25">
      <c r="B973" s="9" t="s">
        <v>41</v>
      </c>
    </row>
    <row r="974" spans="2:2" hidden="1" x14ac:dyDescent="0.25">
      <c r="B974" s="9" t="s">
        <v>1077</v>
      </c>
    </row>
    <row r="975" spans="2:2" hidden="1" x14ac:dyDescent="0.25">
      <c r="B975" s="9" t="s">
        <v>1077</v>
      </c>
    </row>
    <row r="976" spans="2:2" hidden="1" x14ac:dyDescent="0.25">
      <c r="B976" s="9" t="s">
        <v>1078</v>
      </c>
    </row>
    <row r="977" spans="2:2" hidden="1" x14ac:dyDescent="0.25">
      <c r="B977" s="9" t="s">
        <v>1079</v>
      </c>
    </row>
    <row r="978" spans="2:2" hidden="1" x14ac:dyDescent="0.25">
      <c r="B978" s="9" t="s">
        <v>1079</v>
      </c>
    </row>
    <row r="979" spans="2:2" hidden="1" x14ac:dyDescent="0.25">
      <c r="B979" s="9" t="s">
        <v>1080</v>
      </c>
    </row>
    <row r="980" spans="2:2" hidden="1" x14ac:dyDescent="0.25">
      <c r="B980" s="9" t="s">
        <v>1080</v>
      </c>
    </row>
    <row r="981" spans="2:2" hidden="1" x14ac:dyDescent="0.25">
      <c r="B981" s="9" t="s">
        <v>1081</v>
      </c>
    </row>
    <row r="982" spans="2:2" hidden="1" x14ac:dyDescent="0.25">
      <c r="B982" s="9" t="s">
        <v>1081</v>
      </c>
    </row>
    <row r="983" spans="2:2" hidden="1" x14ac:dyDescent="0.25">
      <c r="B983" s="9" t="s">
        <v>1082</v>
      </c>
    </row>
    <row r="984" spans="2:2" hidden="1" x14ac:dyDescent="0.25">
      <c r="B984" s="9" t="s">
        <v>1083</v>
      </c>
    </row>
    <row r="985" spans="2:2" hidden="1" x14ac:dyDescent="0.25">
      <c r="B985" s="9" t="s">
        <v>240</v>
      </c>
    </row>
    <row r="986" spans="2:2" hidden="1" x14ac:dyDescent="0.25">
      <c r="B986" s="9" t="s">
        <v>220</v>
      </c>
    </row>
    <row r="987" spans="2:2" hidden="1" x14ac:dyDescent="0.25">
      <c r="B987" s="9" t="s">
        <v>1084</v>
      </c>
    </row>
    <row r="988" spans="2:2" hidden="1" x14ac:dyDescent="0.25">
      <c r="B988" s="9" t="s">
        <v>1085</v>
      </c>
    </row>
    <row r="989" spans="2:2" hidden="1" x14ac:dyDescent="0.25">
      <c r="B989" s="9" t="s">
        <v>1086</v>
      </c>
    </row>
    <row r="990" spans="2:2" hidden="1" x14ac:dyDescent="0.25">
      <c r="B990" s="9" t="s">
        <v>1087</v>
      </c>
    </row>
    <row r="991" spans="2:2" hidden="1" x14ac:dyDescent="0.25">
      <c r="B991" s="9" t="s">
        <v>1088</v>
      </c>
    </row>
    <row r="992" spans="2:2" hidden="1" x14ac:dyDescent="0.25">
      <c r="B992" s="9" t="s">
        <v>85</v>
      </c>
    </row>
    <row r="993" spans="2:2" hidden="1" x14ac:dyDescent="0.25">
      <c r="B993" s="9" t="s">
        <v>85</v>
      </c>
    </row>
    <row r="994" spans="2:2" hidden="1" x14ac:dyDescent="0.25">
      <c r="B994" s="9" t="s">
        <v>1089</v>
      </c>
    </row>
    <row r="995" spans="2:2" hidden="1" x14ac:dyDescent="0.25">
      <c r="B995" s="9" t="s">
        <v>164</v>
      </c>
    </row>
    <row r="996" spans="2:2" hidden="1" x14ac:dyDescent="0.25">
      <c r="B996" s="9" t="s">
        <v>1090</v>
      </c>
    </row>
    <row r="997" spans="2:2" hidden="1" x14ac:dyDescent="0.25">
      <c r="B997" s="9" t="s">
        <v>1091</v>
      </c>
    </row>
    <row r="998" spans="2:2" hidden="1" x14ac:dyDescent="0.25">
      <c r="B998" s="9" t="s">
        <v>1091</v>
      </c>
    </row>
    <row r="999" spans="2:2" hidden="1" x14ac:dyDescent="0.25">
      <c r="B999" s="9" t="s">
        <v>1092</v>
      </c>
    </row>
    <row r="1000" spans="2:2" hidden="1" x14ac:dyDescent="0.25">
      <c r="B1000" s="9" t="s">
        <v>1093</v>
      </c>
    </row>
    <row r="1001" spans="2:2" hidden="1" x14ac:dyDescent="0.25">
      <c r="B1001" s="9" t="s">
        <v>1094</v>
      </c>
    </row>
    <row r="1002" spans="2:2" hidden="1" x14ac:dyDescent="0.25">
      <c r="B1002" s="9" t="s">
        <v>1094</v>
      </c>
    </row>
    <row r="1003" spans="2:2" hidden="1" x14ac:dyDescent="0.25">
      <c r="B1003" s="9" t="s">
        <v>1095</v>
      </c>
    </row>
    <row r="1004" spans="2:2" hidden="1" x14ac:dyDescent="0.25">
      <c r="B1004" s="9" t="s">
        <v>1096</v>
      </c>
    </row>
    <row r="1005" spans="2:2" hidden="1" x14ac:dyDescent="0.25">
      <c r="B1005" s="9" t="s">
        <v>1096</v>
      </c>
    </row>
    <row r="1006" spans="2:2" hidden="1" x14ac:dyDescent="0.25">
      <c r="B1006" s="9" t="s">
        <v>120</v>
      </c>
    </row>
    <row r="1007" spans="2:2" hidden="1" x14ac:dyDescent="0.25">
      <c r="B1007" s="9" t="s">
        <v>120</v>
      </c>
    </row>
    <row r="1008" spans="2:2" hidden="1" x14ac:dyDescent="0.25">
      <c r="B1008" s="9" t="s">
        <v>1097</v>
      </c>
    </row>
    <row r="1009" spans="2:2" hidden="1" x14ac:dyDescent="0.25">
      <c r="B1009" s="9" t="s">
        <v>1098</v>
      </c>
    </row>
    <row r="1010" spans="2:2" hidden="1" x14ac:dyDescent="0.25">
      <c r="B1010" s="9" t="s">
        <v>1099</v>
      </c>
    </row>
    <row r="1011" spans="2:2" hidden="1" x14ac:dyDescent="0.25">
      <c r="B1011" s="9" t="s">
        <v>1100</v>
      </c>
    </row>
    <row r="1012" spans="2:2" hidden="1" x14ac:dyDescent="0.25">
      <c r="B1012" s="9" t="s">
        <v>1101</v>
      </c>
    </row>
    <row r="1013" spans="2:2" hidden="1" x14ac:dyDescent="0.25">
      <c r="B1013" s="9" t="s">
        <v>1102</v>
      </c>
    </row>
    <row r="1014" spans="2:2" hidden="1" x14ac:dyDescent="0.25">
      <c r="B1014" s="9" t="s">
        <v>1103</v>
      </c>
    </row>
    <row r="1015" spans="2:2" hidden="1" x14ac:dyDescent="0.25">
      <c r="B1015" s="9" t="s">
        <v>1104</v>
      </c>
    </row>
    <row r="1016" spans="2:2" hidden="1" x14ac:dyDescent="0.25">
      <c r="B1016" s="9" t="s">
        <v>1105</v>
      </c>
    </row>
    <row r="1017" spans="2:2" hidden="1" x14ac:dyDescent="0.25">
      <c r="B1017" s="9" t="s">
        <v>1105</v>
      </c>
    </row>
    <row r="1018" spans="2:2" hidden="1" x14ac:dyDescent="0.25">
      <c r="B1018" s="9" t="s">
        <v>1106</v>
      </c>
    </row>
    <row r="1019" spans="2:2" hidden="1" x14ac:dyDescent="0.25">
      <c r="B1019" s="9" t="s">
        <v>1107</v>
      </c>
    </row>
    <row r="1020" spans="2:2" hidden="1" x14ac:dyDescent="0.25">
      <c r="B1020" s="9" t="s">
        <v>1107</v>
      </c>
    </row>
    <row r="1021" spans="2:2" hidden="1" x14ac:dyDescent="0.25">
      <c r="B1021" s="9" t="s">
        <v>1108</v>
      </c>
    </row>
    <row r="1022" spans="2:2" hidden="1" x14ac:dyDescent="0.25">
      <c r="B1022" s="9" t="s">
        <v>1109</v>
      </c>
    </row>
    <row r="1023" spans="2:2" hidden="1" x14ac:dyDescent="0.25">
      <c r="B1023" s="9" t="s">
        <v>1110</v>
      </c>
    </row>
    <row r="1024" spans="2:2" hidden="1" x14ac:dyDescent="0.25">
      <c r="B1024" s="9" t="s">
        <v>1111</v>
      </c>
    </row>
    <row r="1025" spans="2:2" hidden="1" x14ac:dyDescent="0.25">
      <c r="B1025" s="9" t="s">
        <v>1112</v>
      </c>
    </row>
    <row r="1026" spans="2:2" hidden="1" x14ac:dyDescent="0.25">
      <c r="B1026" s="9" t="s">
        <v>1112</v>
      </c>
    </row>
    <row r="1027" spans="2:2" hidden="1" x14ac:dyDescent="0.25">
      <c r="B1027" s="9" t="s">
        <v>1113</v>
      </c>
    </row>
    <row r="1028" spans="2:2" hidden="1" x14ac:dyDescent="0.25">
      <c r="B1028" s="9" t="s">
        <v>1114</v>
      </c>
    </row>
    <row r="1029" spans="2:2" hidden="1" x14ac:dyDescent="0.25">
      <c r="B1029" s="9" t="s">
        <v>1115</v>
      </c>
    </row>
    <row r="1030" spans="2:2" hidden="1" x14ac:dyDescent="0.25">
      <c r="B1030" s="9" t="s">
        <v>1116</v>
      </c>
    </row>
    <row r="1031" spans="2:2" hidden="1" x14ac:dyDescent="0.25">
      <c r="B1031" s="9" t="s">
        <v>1116</v>
      </c>
    </row>
    <row r="1032" spans="2:2" hidden="1" x14ac:dyDescent="0.25">
      <c r="B1032" s="9" t="s">
        <v>1117</v>
      </c>
    </row>
    <row r="1033" spans="2:2" hidden="1" x14ac:dyDescent="0.25">
      <c r="B1033" s="9" t="s">
        <v>1118</v>
      </c>
    </row>
    <row r="1034" spans="2:2" hidden="1" x14ac:dyDescent="0.25">
      <c r="B1034" s="9" t="s">
        <v>1118</v>
      </c>
    </row>
    <row r="1035" spans="2:2" hidden="1" x14ac:dyDescent="0.25">
      <c r="B1035" s="9" t="s">
        <v>1119</v>
      </c>
    </row>
    <row r="1036" spans="2:2" hidden="1" x14ac:dyDescent="0.25">
      <c r="B1036" s="9" t="s">
        <v>1120</v>
      </c>
    </row>
    <row r="1037" spans="2:2" hidden="1" x14ac:dyDescent="0.25">
      <c r="B1037" s="9" t="s">
        <v>1121</v>
      </c>
    </row>
    <row r="1038" spans="2:2" hidden="1" x14ac:dyDescent="0.25">
      <c r="B1038" s="9" t="s">
        <v>163</v>
      </c>
    </row>
    <row r="1039" spans="2:2" hidden="1" x14ac:dyDescent="0.25">
      <c r="B1039" s="9" t="s">
        <v>1122</v>
      </c>
    </row>
    <row r="1040" spans="2:2" hidden="1" x14ac:dyDescent="0.25">
      <c r="B1040" s="9" t="s">
        <v>1122</v>
      </c>
    </row>
    <row r="1041" spans="2:2" hidden="1" x14ac:dyDescent="0.25">
      <c r="B1041" s="9" t="s">
        <v>1123</v>
      </c>
    </row>
    <row r="1042" spans="2:2" hidden="1" x14ac:dyDescent="0.25">
      <c r="B1042" s="9" t="s">
        <v>1124</v>
      </c>
    </row>
    <row r="1043" spans="2:2" hidden="1" x14ac:dyDescent="0.25">
      <c r="B1043" s="9" t="s">
        <v>1125</v>
      </c>
    </row>
    <row r="1044" spans="2:2" hidden="1" x14ac:dyDescent="0.25">
      <c r="B1044" s="9" t="s">
        <v>1126</v>
      </c>
    </row>
    <row r="1045" spans="2:2" hidden="1" x14ac:dyDescent="0.25">
      <c r="B1045" s="9" t="s">
        <v>1127</v>
      </c>
    </row>
    <row r="1046" spans="2:2" hidden="1" x14ac:dyDescent="0.25">
      <c r="B1046" s="9" t="s">
        <v>1128</v>
      </c>
    </row>
    <row r="1047" spans="2:2" hidden="1" x14ac:dyDescent="0.25">
      <c r="B1047" s="9" t="s">
        <v>1129</v>
      </c>
    </row>
    <row r="1048" spans="2:2" hidden="1" x14ac:dyDescent="0.25">
      <c r="B1048" s="9" t="s">
        <v>1130</v>
      </c>
    </row>
    <row r="1049" spans="2:2" hidden="1" x14ac:dyDescent="0.25">
      <c r="B1049" s="9" t="s">
        <v>1131</v>
      </c>
    </row>
    <row r="1050" spans="2:2" hidden="1" x14ac:dyDescent="0.25">
      <c r="B1050" s="9" t="s">
        <v>179</v>
      </c>
    </row>
    <row r="1051" spans="2:2" hidden="1" x14ac:dyDescent="0.25">
      <c r="B1051" s="9" t="s">
        <v>179</v>
      </c>
    </row>
    <row r="1052" spans="2:2" hidden="1" x14ac:dyDescent="0.25">
      <c r="B1052" s="9" t="s">
        <v>1132</v>
      </c>
    </row>
    <row r="1053" spans="2:2" hidden="1" x14ac:dyDescent="0.25">
      <c r="B1053" s="9" t="s">
        <v>1132</v>
      </c>
    </row>
    <row r="1054" spans="2:2" hidden="1" x14ac:dyDescent="0.25">
      <c r="B1054" s="9" t="s">
        <v>1133</v>
      </c>
    </row>
    <row r="1055" spans="2:2" hidden="1" x14ac:dyDescent="0.25">
      <c r="B1055" s="9" t="s">
        <v>1134</v>
      </c>
    </row>
    <row r="1056" spans="2:2" hidden="1" x14ac:dyDescent="0.25">
      <c r="B1056" s="9" t="s">
        <v>1134</v>
      </c>
    </row>
    <row r="1057" spans="2:2" hidden="1" x14ac:dyDescent="0.25">
      <c r="B1057" s="9" t="s">
        <v>1135</v>
      </c>
    </row>
    <row r="1058" spans="2:2" hidden="1" x14ac:dyDescent="0.25">
      <c r="B1058" s="9" t="s">
        <v>1136</v>
      </c>
    </row>
    <row r="1059" spans="2:2" hidden="1" x14ac:dyDescent="0.25">
      <c r="B1059" s="9" t="s">
        <v>1137</v>
      </c>
    </row>
    <row r="1060" spans="2:2" hidden="1" x14ac:dyDescent="0.25">
      <c r="B1060" s="9" t="s">
        <v>98</v>
      </c>
    </row>
    <row r="1061" spans="2:2" hidden="1" x14ac:dyDescent="0.25">
      <c r="B1061" s="9" t="s">
        <v>1138</v>
      </c>
    </row>
    <row r="1062" spans="2:2" hidden="1" x14ac:dyDescent="0.25">
      <c r="B1062" s="9" t="s">
        <v>1139</v>
      </c>
    </row>
    <row r="1063" spans="2:2" hidden="1" x14ac:dyDescent="0.25">
      <c r="B1063" s="9" t="s">
        <v>1140</v>
      </c>
    </row>
    <row r="1064" spans="2:2" hidden="1" x14ac:dyDescent="0.25">
      <c r="B1064" s="9" t="s">
        <v>1140</v>
      </c>
    </row>
    <row r="1065" spans="2:2" hidden="1" x14ac:dyDescent="0.25">
      <c r="B1065" s="9" t="s">
        <v>1141</v>
      </c>
    </row>
    <row r="1066" spans="2:2" hidden="1" x14ac:dyDescent="0.25">
      <c r="B1066" s="9" t="s">
        <v>34</v>
      </c>
    </row>
    <row r="1067" spans="2:2" hidden="1" x14ac:dyDescent="0.25">
      <c r="B1067" s="9" t="s">
        <v>34</v>
      </c>
    </row>
    <row r="1068" spans="2:2" hidden="1" x14ac:dyDescent="0.25">
      <c r="B1068" s="9" t="s">
        <v>178</v>
      </c>
    </row>
    <row r="1069" spans="2:2" hidden="1" x14ac:dyDescent="0.25">
      <c r="B1069" s="9" t="s">
        <v>1142</v>
      </c>
    </row>
    <row r="1070" spans="2:2" hidden="1" x14ac:dyDescent="0.25">
      <c r="B1070" s="9" t="s">
        <v>1143</v>
      </c>
    </row>
    <row r="1071" spans="2:2" hidden="1" x14ac:dyDescent="0.25">
      <c r="B1071" s="9" t="s">
        <v>1144</v>
      </c>
    </row>
    <row r="1072" spans="2:2" hidden="1" x14ac:dyDescent="0.25">
      <c r="B1072" s="9" t="s">
        <v>1145</v>
      </c>
    </row>
    <row r="1073" spans="2:2" hidden="1" x14ac:dyDescent="0.25">
      <c r="B1073" s="9" t="s">
        <v>118</v>
      </c>
    </row>
    <row r="1074" spans="2:2" hidden="1" x14ac:dyDescent="0.25">
      <c r="B1074" s="9" t="s">
        <v>118</v>
      </c>
    </row>
    <row r="1075" spans="2:2" hidden="1" x14ac:dyDescent="0.25">
      <c r="B1075" s="9" t="s">
        <v>1146</v>
      </c>
    </row>
    <row r="1076" spans="2:2" hidden="1" x14ac:dyDescent="0.25">
      <c r="B1076" s="9" t="s">
        <v>134</v>
      </c>
    </row>
    <row r="1077" spans="2:2" hidden="1" x14ac:dyDescent="0.25">
      <c r="B1077" s="9" t="s">
        <v>134</v>
      </c>
    </row>
    <row r="1078" spans="2:2" hidden="1" x14ac:dyDescent="0.25">
      <c r="B1078" s="9" t="s">
        <v>1147</v>
      </c>
    </row>
    <row r="1079" spans="2:2" hidden="1" x14ac:dyDescent="0.25">
      <c r="B1079" s="9" t="s">
        <v>1147</v>
      </c>
    </row>
    <row r="1080" spans="2:2" hidden="1" x14ac:dyDescent="0.25">
      <c r="B1080" s="9" t="s">
        <v>168</v>
      </c>
    </row>
    <row r="1081" spans="2:2" hidden="1" x14ac:dyDescent="0.25">
      <c r="B1081" s="9" t="s">
        <v>1148</v>
      </c>
    </row>
    <row r="1082" spans="2:2" hidden="1" x14ac:dyDescent="0.25">
      <c r="B1082" s="9" t="s">
        <v>1148</v>
      </c>
    </row>
    <row r="1083" spans="2:2" hidden="1" x14ac:dyDescent="0.25">
      <c r="B1083" s="9" t="s">
        <v>1149</v>
      </c>
    </row>
    <row r="1084" spans="2:2" hidden="1" x14ac:dyDescent="0.25">
      <c r="B1084" s="9" t="s">
        <v>1149</v>
      </c>
    </row>
    <row r="1085" spans="2:2" hidden="1" x14ac:dyDescent="0.25">
      <c r="B1085" s="9" t="s">
        <v>1150</v>
      </c>
    </row>
    <row r="1086" spans="2:2" hidden="1" x14ac:dyDescent="0.25">
      <c r="B1086" s="9" t="s">
        <v>1151</v>
      </c>
    </row>
    <row r="1087" spans="2:2" hidden="1" x14ac:dyDescent="0.25">
      <c r="B1087" s="9" t="s">
        <v>1152</v>
      </c>
    </row>
    <row r="1088" spans="2:2" hidden="1" x14ac:dyDescent="0.25">
      <c r="B1088" s="9" t="s">
        <v>1153</v>
      </c>
    </row>
    <row r="1089" spans="2:2" hidden="1" x14ac:dyDescent="0.25">
      <c r="B1089" s="9" t="s">
        <v>1154</v>
      </c>
    </row>
    <row r="1090" spans="2:2" hidden="1" x14ac:dyDescent="0.25">
      <c r="B1090" s="9" t="s">
        <v>1155</v>
      </c>
    </row>
    <row r="1091" spans="2:2" hidden="1" x14ac:dyDescent="0.25">
      <c r="B1091" s="9" t="s">
        <v>1155</v>
      </c>
    </row>
    <row r="1092" spans="2:2" hidden="1" x14ac:dyDescent="0.25">
      <c r="B1092" s="9" t="s">
        <v>1156</v>
      </c>
    </row>
    <row r="1093" spans="2:2" hidden="1" x14ac:dyDescent="0.25">
      <c r="B1093" s="9" t="s">
        <v>1157</v>
      </c>
    </row>
    <row r="1094" spans="2:2" hidden="1" x14ac:dyDescent="0.25">
      <c r="B1094" s="9" t="s">
        <v>1158</v>
      </c>
    </row>
    <row r="1095" spans="2:2" hidden="1" x14ac:dyDescent="0.25">
      <c r="B1095" s="9" t="s">
        <v>1159</v>
      </c>
    </row>
    <row r="1096" spans="2:2" hidden="1" x14ac:dyDescent="0.25">
      <c r="B1096" s="9" t="s">
        <v>208</v>
      </c>
    </row>
    <row r="1097" spans="2:2" hidden="1" x14ac:dyDescent="0.25">
      <c r="B1097" s="9" t="s">
        <v>1160</v>
      </c>
    </row>
    <row r="1098" spans="2:2" hidden="1" x14ac:dyDescent="0.25">
      <c r="B1098" s="9" t="s">
        <v>1161</v>
      </c>
    </row>
    <row r="1099" spans="2:2" hidden="1" x14ac:dyDescent="0.25">
      <c r="B1099" s="9" t="s">
        <v>1161</v>
      </c>
    </row>
    <row r="1100" spans="2:2" hidden="1" x14ac:dyDescent="0.25">
      <c r="B1100" s="9" t="s">
        <v>1162</v>
      </c>
    </row>
    <row r="1101" spans="2:2" hidden="1" x14ac:dyDescent="0.25">
      <c r="B1101" s="9" t="s">
        <v>71</v>
      </c>
    </row>
    <row r="1102" spans="2:2" hidden="1" x14ac:dyDescent="0.25">
      <c r="B1102" s="9" t="s">
        <v>71</v>
      </c>
    </row>
    <row r="1103" spans="2:2" hidden="1" x14ac:dyDescent="0.25">
      <c r="B1103" s="9" t="s">
        <v>258</v>
      </c>
    </row>
    <row r="1104" spans="2:2" hidden="1" x14ac:dyDescent="0.25">
      <c r="B1104" s="9" t="s">
        <v>158</v>
      </c>
    </row>
    <row r="1105" spans="2:2" hidden="1" x14ac:dyDescent="0.25">
      <c r="B1105" s="9" t="s">
        <v>158</v>
      </c>
    </row>
    <row r="1106" spans="2:2" hidden="1" x14ac:dyDescent="0.25">
      <c r="B1106" s="9" t="s">
        <v>1163</v>
      </c>
    </row>
    <row r="1107" spans="2:2" hidden="1" x14ac:dyDescent="0.25">
      <c r="B1107" s="9" t="s">
        <v>1164</v>
      </c>
    </row>
    <row r="1108" spans="2:2" hidden="1" x14ac:dyDescent="0.25">
      <c r="B1108" s="9" t="s">
        <v>1165</v>
      </c>
    </row>
    <row r="1109" spans="2:2" hidden="1" x14ac:dyDescent="0.25">
      <c r="B1109" s="9" t="s">
        <v>95</v>
      </c>
    </row>
    <row r="1110" spans="2:2" hidden="1" x14ac:dyDescent="0.25">
      <c r="B1110" s="9" t="s">
        <v>95</v>
      </c>
    </row>
    <row r="1111" spans="2:2" hidden="1" x14ac:dyDescent="0.25">
      <c r="B1111" s="9" t="s">
        <v>1166</v>
      </c>
    </row>
    <row r="1112" spans="2:2" hidden="1" x14ac:dyDescent="0.25">
      <c r="B1112" s="9" t="s">
        <v>1166</v>
      </c>
    </row>
    <row r="1113" spans="2:2" hidden="1" x14ac:dyDescent="0.25">
      <c r="B1113" s="9" t="s">
        <v>1167</v>
      </c>
    </row>
    <row r="1114" spans="2:2" hidden="1" x14ac:dyDescent="0.25">
      <c r="B1114" s="9" t="s">
        <v>1167</v>
      </c>
    </row>
    <row r="1115" spans="2:2" hidden="1" x14ac:dyDescent="0.25">
      <c r="B1115" s="9" t="s">
        <v>1168</v>
      </c>
    </row>
    <row r="1116" spans="2:2" hidden="1" x14ac:dyDescent="0.25">
      <c r="B1116" s="9" t="s">
        <v>1169</v>
      </c>
    </row>
    <row r="1117" spans="2:2" hidden="1" x14ac:dyDescent="0.25">
      <c r="B1117" s="9" t="s">
        <v>1169</v>
      </c>
    </row>
    <row r="1118" spans="2:2" hidden="1" x14ac:dyDescent="0.25">
      <c r="B1118" s="9" t="s">
        <v>1170</v>
      </c>
    </row>
    <row r="1119" spans="2:2" hidden="1" x14ac:dyDescent="0.25">
      <c r="B1119" s="9" t="s">
        <v>1171</v>
      </c>
    </row>
    <row r="1120" spans="2:2" hidden="1" x14ac:dyDescent="0.25">
      <c r="B1120" s="9" t="s">
        <v>1171</v>
      </c>
    </row>
    <row r="1121" spans="2:2" hidden="1" x14ac:dyDescent="0.25">
      <c r="B1121" s="9" t="s">
        <v>1172</v>
      </c>
    </row>
    <row r="1122" spans="2:2" hidden="1" x14ac:dyDescent="0.25">
      <c r="B1122" s="9" t="s">
        <v>1173</v>
      </c>
    </row>
    <row r="1123" spans="2:2" hidden="1" x14ac:dyDescent="0.25">
      <c r="B1123" s="9" t="s">
        <v>265</v>
      </c>
    </row>
    <row r="1124" spans="2:2" hidden="1" x14ac:dyDescent="0.25">
      <c r="B1124" s="9" t="s">
        <v>154</v>
      </c>
    </row>
    <row r="1125" spans="2:2" hidden="1" x14ac:dyDescent="0.25">
      <c r="B1125" s="9" t="s">
        <v>1174</v>
      </c>
    </row>
    <row r="1126" spans="2:2" hidden="1" x14ac:dyDescent="0.25">
      <c r="B1126" s="9" t="s">
        <v>1175</v>
      </c>
    </row>
    <row r="1127" spans="2:2" hidden="1" x14ac:dyDescent="0.25">
      <c r="B1127" s="9" t="s">
        <v>1176</v>
      </c>
    </row>
    <row r="1128" spans="2:2" hidden="1" x14ac:dyDescent="0.25">
      <c r="B1128" s="9" t="s">
        <v>1177</v>
      </c>
    </row>
    <row r="1129" spans="2:2" hidden="1" x14ac:dyDescent="0.25">
      <c r="B1129" s="9" t="s">
        <v>1178</v>
      </c>
    </row>
    <row r="1130" spans="2:2" hidden="1" x14ac:dyDescent="0.25">
      <c r="B1130" s="9" t="s">
        <v>1179</v>
      </c>
    </row>
    <row r="1131" spans="2:2" hidden="1" x14ac:dyDescent="0.25">
      <c r="B1131" s="9" t="s">
        <v>1179</v>
      </c>
    </row>
    <row r="1132" spans="2:2" hidden="1" x14ac:dyDescent="0.25">
      <c r="B1132" s="9" t="s">
        <v>1180</v>
      </c>
    </row>
    <row r="1133" spans="2:2" hidden="1" x14ac:dyDescent="0.25">
      <c r="B1133" s="9" t="s">
        <v>1181</v>
      </c>
    </row>
    <row r="1134" spans="2:2" hidden="1" x14ac:dyDescent="0.25">
      <c r="B1134" s="9" t="s">
        <v>1181</v>
      </c>
    </row>
    <row r="1135" spans="2:2" hidden="1" x14ac:dyDescent="0.25">
      <c r="B1135" s="9" t="s">
        <v>1182</v>
      </c>
    </row>
    <row r="1136" spans="2:2" hidden="1" x14ac:dyDescent="0.25">
      <c r="B1136" s="9" t="s">
        <v>1183</v>
      </c>
    </row>
    <row r="1137" spans="2:2" hidden="1" x14ac:dyDescent="0.25">
      <c r="B1137" s="9" t="s">
        <v>1184</v>
      </c>
    </row>
    <row r="1138" spans="2:2" hidden="1" x14ac:dyDescent="0.25">
      <c r="B1138" s="9" t="s">
        <v>1184</v>
      </c>
    </row>
    <row r="1139" spans="2:2" hidden="1" x14ac:dyDescent="0.25">
      <c r="B1139" s="9" t="s">
        <v>1185</v>
      </c>
    </row>
    <row r="1140" spans="2:2" hidden="1" x14ac:dyDescent="0.25">
      <c r="B1140" s="9" t="s">
        <v>1185</v>
      </c>
    </row>
    <row r="1141" spans="2:2" hidden="1" x14ac:dyDescent="0.25">
      <c r="B1141" s="9" t="s">
        <v>1186</v>
      </c>
    </row>
    <row r="1142" spans="2:2" hidden="1" x14ac:dyDescent="0.25">
      <c r="B1142" s="9" t="s">
        <v>1186</v>
      </c>
    </row>
    <row r="1143" spans="2:2" hidden="1" x14ac:dyDescent="0.25">
      <c r="B1143" s="9" t="s">
        <v>1187</v>
      </c>
    </row>
    <row r="1144" spans="2:2" hidden="1" x14ac:dyDescent="0.25">
      <c r="B1144" s="9" t="s">
        <v>207</v>
      </c>
    </row>
    <row r="1145" spans="2:2" hidden="1" x14ac:dyDescent="0.25">
      <c r="B1145" s="9" t="s">
        <v>207</v>
      </c>
    </row>
    <row r="1146" spans="2:2" hidden="1" x14ac:dyDescent="0.25">
      <c r="B1146" s="9" t="s">
        <v>1188</v>
      </c>
    </row>
    <row r="1147" spans="2:2" hidden="1" x14ac:dyDescent="0.25">
      <c r="B1147" s="9" t="s">
        <v>1189</v>
      </c>
    </row>
    <row r="1148" spans="2:2" hidden="1" x14ac:dyDescent="0.25">
      <c r="B1148" s="9" t="s">
        <v>1190</v>
      </c>
    </row>
    <row r="1149" spans="2:2" hidden="1" x14ac:dyDescent="0.25">
      <c r="B1149" s="9" t="s">
        <v>1191</v>
      </c>
    </row>
    <row r="1150" spans="2:2" hidden="1" x14ac:dyDescent="0.25">
      <c r="B1150" s="9" t="s">
        <v>1192</v>
      </c>
    </row>
    <row r="1151" spans="2:2" hidden="1" x14ac:dyDescent="0.25">
      <c r="B1151" s="9" t="s">
        <v>112</v>
      </c>
    </row>
    <row r="1152" spans="2:2" hidden="1" x14ac:dyDescent="0.25">
      <c r="B1152" s="9" t="s">
        <v>1193</v>
      </c>
    </row>
    <row r="1153" spans="2:2" hidden="1" x14ac:dyDescent="0.25">
      <c r="B1153" s="9" t="s">
        <v>1194</v>
      </c>
    </row>
    <row r="1154" spans="2:2" hidden="1" x14ac:dyDescent="0.25">
      <c r="B1154" s="9" t="s">
        <v>219</v>
      </c>
    </row>
    <row r="1155" spans="2:2" hidden="1" x14ac:dyDescent="0.25">
      <c r="B1155" s="9" t="s">
        <v>219</v>
      </c>
    </row>
    <row r="1156" spans="2:2" hidden="1" x14ac:dyDescent="0.25">
      <c r="B1156" s="9" t="s">
        <v>1195</v>
      </c>
    </row>
    <row r="1157" spans="2:2" hidden="1" x14ac:dyDescent="0.25">
      <c r="B1157" s="9" t="s">
        <v>1195</v>
      </c>
    </row>
    <row r="1158" spans="2:2" hidden="1" x14ac:dyDescent="0.25">
      <c r="B1158" s="9" t="s">
        <v>94</v>
      </c>
    </row>
    <row r="1159" spans="2:2" hidden="1" x14ac:dyDescent="0.25">
      <c r="B1159" s="9" t="s">
        <v>94</v>
      </c>
    </row>
    <row r="1160" spans="2:2" hidden="1" x14ac:dyDescent="0.25">
      <c r="B1160" s="9" t="s">
        <v>82</v>
      </c>
    </row>
    <row r="1161" spans="2:2" hidden="1" x14ac:dyDescent="0.25">
      <c r="B1161" s="9" t="s">
        <v>82</v>
      </c>
    </row>
    <row r="1162" spans="2:2" hidden="1" x14ac:dyDescent="0.25">
      <c r="B1162" s="9" t="s">
        <v>81</v>
      </c>
    </row>
    <row r="1163" spans="2:2" hidden="1" x14ac:dyDescent="0.25">
      <c r="B1163" s="9" t="s">
        <v>81</v>
      </c>
    </row>
    <row r="1164" spans="2:2" hidden="1" x14ac:dyDescent="0.25">
      <c r="B1164" s="9" t="s">
        <v>200</v>
      </c>
    </row>
    <row r="1165" spans="2:2" hidden="1" x14ac:dyDescent="0.25">
      <c r="B1165" s="9" t="s">
        <v>1196</v>
      </c>
    </row>
    <row r="1166" spans="2:2" hidden="1" x14ac:dyDescent="0.25">
      <c r="B1166" s="9" t="s">
        <v>1196</v>
      </c>
    </row>
    <row r="1167" spans="2:2" hidden="1" x14ac:dyDescent="0.25">
      <c r="B1167" s="9" t="s">
        <v>1197</v>
      </c>
    </row>
    <row r="1168" spans="2:2" hidden="1" x14ac:dyDescent="0.25">
      <c r="B1168" s="9" t="s">
        <v>1198</v>
      </c>
    </row>
    <row r="1169" spans="2:2" hidden="1" x14ac:dyDescent="0.25">
      <c r="B1169" s="9" t="s">
        <v>1199</v>
      </c>
    </row>
    <row r="1170" spans="2:2" hidden="1" x14ac:dyDescent="0.25">
      <c r="B1170" s="9" t="s">
        <v>1200</v>
      </c>
    </row>
    <row r="1171" spans="2:2" hidden="1" x14ac:dyDescent="0.25">
      <c r="B1171" s="9" t="s">
        <v>1201</v>
      </c>
    </row>
    <row r="1172" spans="2:2" hidden="1" x14ac:dyDescent="0.25">
      <c r="B1172" s="1" t="s">
        <v>54</v>
      </c>
    </row>
    <row r="1173" spans="2:2" hidden="1" x14ac:dyDescent="0.25">
      <c r="B1173" s="10" t="s">
        <v>201</v>
      </c>
    </row>
    <row r="1174" spans="2:2" x14ac:dyDescent="0.25">
      <c r="B1174" s="10" t="s">
        <v>60</v>
      </c>
    </row>
    <row r="1175" spans="2:2" x14ac:dyDescent="0.25">
      <c r="B1175" s="10" t="s">
        <v>318</v>
      </c>
    </row>
  </sheetData>
  <conditionalFormatting sqref="B522:B525">
    <cfRule type="cellIs" dxfId="4" priority="2" operator="equal">
      <formula>"CANCELADO"</formula>
    </cfRule>
  </conditionalFormatting>
  <conditionalFormatting sqref="B527">
    <cfRule type="cellIs" dxfId="3" priority="1" operator="equal">
      <formula>"CANCELADO"</formula>
    </cfRule>
  </conditionalFormatting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F634-374D-4A6B-ADEA-208CD3677B91}">
  <sheetPr>
    <tabColor theme="0"/>
  </sheetPr>
  <dimension ref="D2:L25"/>
  <sheetViews>
    <sheetView topLeftCell="G3" workbookViewId="0">
      <selection activeCell="L7" sqref="L7"/>
    </sheetView>
  </sheetViews>
  <sheetFormatPr defaultRowHeight="15" x14ac:dyDescent="0.25"/>
  <cols>
    <col min="4" max="8" width="43.5703125" customWidth="1"/>
    <col min="11" max="12" width="36.5703125" bestFit="1" customWidth="1"/>
  </cols>
  <sheetData>
    <row r="2" spans="4:12" x14ac:dyDescent="0.25">
      <c r="D2" s="186">
        <v>1</v>
      </c>
      <c r="E2" s="186"/>
      <c r="F2" s="86"/>
      <c r="G2" s="86"/>
      <c r="H2" s="86"/>
      <c r="K2" s="182">
        <v>2</v>
      </c>
      <c r="L2" s="182"/>
    </row>
    <row r="3" spans="4:12" ht="18.75" x14ac:dyDescent="0.25">
      <c r="D3" s="173" t="s">
        <v>303</v>
      </c>
      <c r="E3" s="173"/>
      <c r="F3" s="87"/>
      <c r="G3" s="87"/>
      <c r="H3" s="87"/>
      <c r="K3" s="175" t="s">
        <v>1202</v>
      </c>
      <c r="L3" s="175"/>
    </row>
    <row r="4" spans="4:12" ht="25.5" customHeight="1" x14ac:dyDescent="0.25">
      <c r="D4" s="185" t="s">
        <v>1203</v>
      </c>
      <c r="E4" s="185"/>
      <c r="F4" s="88"/>
      <c r="G4" s="88"/>
      <c r="H4" s="88"/>
      <c r="K4" s="174" t="s">
        <v>1204</v>
      </c>
      <c r="L4" s="174"/>
    </row>
    <row r="5" spans="4:12" ht="30" customHeight="1" x14ac:dyDescent="0.25">
      <c r="D5" s="185"/>
      <c r="E5" s="185"/>
      <c r="F5" s="88"/>
      <c r="G5" s="88"/>
      <c r="H5" s="88"/>
      <c r="K5" s="174" t="s">
        <v>1205</v>
      </c>
      <c r="L5" s="174"/>
    </row>
    <row r="6" spans="4:12" ht="16.5" customHeight="1" x14ac:dyDescent="0.25">
      <c r="D6" s="185"/>
      <c r="E6" s="185"/>
      <c r="F6" s="88"/>
      <c r="G6" s="88"/>
      <c r="H6" s="88"/>
      <c r="K6" s="85" t="s">
        <v>1206</v>
      </c>
      <c r="L6" s="83" t="s">
        <v>1207</v>
      </c>
    </row>
    <row r="7" spans="4:12" ht="120.75" customHeight="1" x14ac:dyDescent="0.25">
      <c r="D7" s="179" t="s">
        <v>1208</v>
      </c>
      <c r="E7" s="179"/>
      <c r="F7" s="89"/>
      <c r="G7" s="89"/>
      <c r="H7" s="89"/>
      <c r="K7" s="85" t="s">
        <v>1209</v>
      </c>
      <c r="L7" s="84" t="s">
        <v>1210</v>
      </c>
    </row>
    <row r="8" spans="4:12" ht="18.75" customHeight="1" x14ac:dyDescent="0.25">
      <c r="D8" s="179"/>
      <c r="E8" s="179"/>
      <c r="F8" s="89"/>
      <c r="G8" s="89"/>
      <c r="H8" s="89"/>
      <c r="K8" s="183" t="s">
        <v>1211</v>
      </c>
      <c r="L8" s="183"/>
    </row>
    <row r="9" spans="4:12" ht="60.75" customHeight="1" x14ac:dyDescent="0.25">
      <c r="D9" s="179" t="s">
        <v>1212</v>
      </c>
      <c r="E9" s="179"/>
      <c r="F9" s="89"/>
      <c r="G9" s="89"/>
      <c r="H9" s="89"/>
      <c r="K9" s="184" t="s">
        <v>1213</v>
      </c>
      <c r="L9" s="184"/>
    </row>
    <row r="10" spans="4:12" ht="30.75" customHeight="1" x14ac:dyDescent="0.25">
      <c r="D10" s="180" t="s">
        <v>1214</v>
      </c>
      <c r="E10" s="180"/>
      <c r="F10" s="90"/>
      <c r="G10" s="90"/>
      <c r="H10" s="90"/>
      <c r="K10" s="183" t="s">
        <v>1215</v>
      </c>
      <c r="L10" s="183"/>
    </row>
    <row r="11" spans="4:12" ht="30.75" customHeight="1" x14ac:dyDescent="0.25">
      <c r="D11" s="181" t="s">
        <v>1216</v>
      </c>
      <c r="E11" s="181"/>
      <c r="F11" s="89"/>
      <c r="G11" s="89"/>
      <c r="H11" s="89"/>
    </row>
    <row r="12" spans="4:12" ht="30.75" customHeight="1" x14ac:dyDescent="0.25">
      <c r="D12" s="170" t="s">
        <v>1217</v>
      </c>
      <c r="E12" s="170"/>
      <c r="F12" s="162"/>
      <c r="G12" s="162"/>
      <c r="H12" s="162"/>
    </row>
    <row r="13" spans="4:12" ht="30.75" customHeight="1" x14ac:dyDescent="0.25">
      <c r="D13" s="171" t="s">
        <v>1218</v>
      </c>
      <c r="E13" s="171"/>
      <c r="F13" s="89"/>
      <c r="G13" s="89"/>
      <c r="H13" s="89"/>
    </row>
    <row r="14" spans="4:12" x14ac:dyDescent="0.25">
      <c r="D14" s="77" t="s">
        <v>1219</v>
      </c>
      <c r="E14" s="78" t="s">
        <v>1220</v>
      </c>
      <c r="F14" s="91"/>
      <c r="G14" s="91"/>
      <c r="H14" s="91"/>
    </row>
    <row r="15" spans="4:12" ht="45.75" customHeight="1" x14ac:dyDescent="0.25">
      <c r="D15" s="178" t="s">
        <v>1221</v>
      </c>
      <c r="E15" s="160" t="s">
        <v>1222</v>
      </c>
      <c r="F15" s="89"/>
      <c r="G15" s="89"/>
      <c r="H15" s="89"/>
    </row>
    <row r="16" spans="4:12" x14ac:dyDescent="0.25">
      <c r="D16" s="178"/>
      <c r="E16" s="79" t="s">
        <v>1223</v>
      </c>
      <c r="F16" s="92"/>
      <c r="G16" s="92"/>
      <c r="H16" s="92"/>
    </row>
    <row r="17" spans="4:8" ht="45" x14ac:dyDescent="0.25">
      <c r="D17" s="178"/>
      <c r="E17" s="80" t="s">
        <v>1224</v>
      </c>
      <c r="F17" s="89"/>
      <c r="G17" s="89"/>
      <c r="H17" s="89"/>
    </row>
    <row r="18" spans="4:8" x14ac:dyDescent="0.25">
      <c r="D18" s="178"/>
      <c r="E18" s="97" t="s">
        <v>1225</v>
      </c>
      <c r="F18" s="89"/>
      <c r="G18" s="89"/>
      <c r="H18" s="89"/>
    </row>
    <row r="19" spans="4:8" ht="30" x14ac:dyDescent="0.25">
      <c r="D19" s="178"/>
      <c r="E19" s="97" t="s">
        <v>1226</v>
      </c>
      <c r="F19" s="89"/>
      <c r="G19" s="89"/>
      <c r="H19" s="89"/>
    </row>
    <row r="20" spans="4:8" x14ac:dyDescent="0.25">
      <c r="D20" s="178"/>
      <c r="E20" s="81" t="s">
        <v>1227</v>
      </c>
      <c r="F20" s="93"/>
      <c r="G20" s="93"/>
      <c r="H20" s="93"/>
    </row>
    <row r="21" spans="4:8" ht="60.75" customHeight="1" x14ac:dyDescent="0.25">
      <c r="D21" s="178"/>
      <c r="E21" s="82" t="s">
        <v>1228</v>
      </c>
      <c r="F21" s="89"/>
      <c r="G21" s="89"/>
      <c r="H21" s="89"/>
    </row>
    <row r="22" spans="4:8" ht="15.75" x14ac:dyDescent="0.25">
      <c r="D22" s="176" t="s">
        <v>1229</v>
      </c>
      <c r="E22" s="176"/>
      <c r="F22" s="94"/>
      <c r="G22" s="94"/>
      <c r="H22" s="94"/>
    </row>
    <row r="23" spans="4:8" ht="23.25" customHeight="1" x14ac:dyDescent="0.25">
      <c r="D23" s="177" t="s">
        <v>1230</v>
      </c>
      <c r="E23" s="177"/>
      <c r="F23" s="95"/>
      <c r="G23" s="95"/>
      <c r="H23" s="95"/>
    </row>
    <row r="24" spans="4:8" ht="15.75" x14ac:dyDescent="0.25">
      <c r="D24" s="177" t="s">
        <v>1231</v>
      </c>
      <c r="E24" s="177"/>
      <c r="F24" s="95"/>
      <c r="G24" s="95"/>
      <c r="H24" s="95"/>
    </row>
    <row r="25" spans="4:8" ht="21" x14ac:dyDescent="0.35">
      <c r="D25" s="172" t="s">
        <v>1232</v>
      </c>
      <c r="E25" s="172"/>
      <c r="F25" s="96"/>
      <c r="G25" s="96"/>
      <c r="H25" s="96"/>
    </row>
  </sheetData>
  <mergeCells count="21">
    <mergeCell ref="K2:L2"/>
    <mergeCell ref="K8:L8"/>
    <mergeCell ref="K9:L9"/>
    <mergeCell ref="K10:L10"/>
    <mergeCell ref="D7:E8"/>
    <mergeCell ref="D4:E6"/>
    <mergeCell ref="D2:E2"/>
    <mergeCell ref="D12:E12"/>
    <mergeCell ref="D13:E13"/>
    <mergeCell ref="D25:E25"/>
    <mergeCell ref="D3:E3"/>
    <mergeCell ref="K5:L5"/>
    <mergeCell ref="K4:L4"/>
    <mergeCell ref="K3:L3"/>
    <mergeCell ref="D22:E22"/>
    <mergeCell ref="D23:E23"/>
    <mergeCell ref="D24:E24"/>
    <mergeCell ref="D15:D21"/>
    <mergeCell ref="D9:E9"/>
    <mergeCell ref="D10:E10"/>
    <mergeCell ref="D11:E11"/>
  </mergeCells>
  <hyperlinks>
    <hyperlink ref="K9:L9" r:id="rId1" display="Faça manualmente. Tome cuidado apenas para não apagar as fórmulas já funcionais se elas não tiverem sido afetadas" xr:uid="{A5ED34FC-EEBF-4E44-B777-6FC3BEB56D14}"/>
  </hyperlinks>
  <pageMargins left="0.7" right="0.7" top="0.75" bottom="0.75" header="0.3" footer="0.3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9CDD-7230-4D52-8B1E-98D36E3EB72C}">
  <sheetPr>
    <tabColor rgb="FF002060"/>
  </sheetPr>
  <dimension ref="A2:Z386"/>
  <sheetViews>
    <sheetView zoomScaleNormal="100" workbookViewId="0">
      <selection activeCell="D4" sqref="D4"/>
    </sheetView>
  </sheetViews>
  <sheetFormatPr defaultColWidth="9.140625" defaultRowHeight="15" x14ac:dyDescent="0.25"/>
  <cols>
    <col min="1" max="1" width="9.140625" style="31"/>
    <col min="2" max="2" width="11.140625" style="22" bestFit="1" customWidth="1"/>
    <col min="3" max="3" width="9.7109375" style="22" customWidth="1"/>
    <col min="4" max="4" width="11.7109375" style="22" bestFit="1" customWidth="1"/>
    <col min="5" max="5" width="13.5703125" style="22" bestFit="1" customWidth="1"/>
    <col min="6" max="6" width="53.5703125" style="22" bestFit="1" customWidth="1"/>
    <col min="7" max="7" width="8.5703125" style="22" customWidth="1"/>
    <col min="8" max="8" width="8.42578125" style="22" customWidth="1"/>
    <col min="9" max="9" width="35.140625" style="22" bestFit="1" customWidth="1"/>
    <col min="10" max="10" width="10.85546875" style="22" customWidth="1"/>
    <col min="11" max="11" width="42.28515625" bestFit="1" customWidth="1"/>
    <col min="12" max="12" width="18.5703125" bestFit="1" customWidth="1"/>
    <col min="13" max="13" width="18.42578125" bestFit="1" customWidth="1"/>
    <col min="14" max="14" width="22.7109375" bestFit="1" customWidth="1"/>
    <col min="15" max="15" width="42.28515625" bestFit="1" customWidth="1"/>
    <col min="16" max="16" width="33.5703125" bestFit="1" customWidth="1"/>
    <col min="17" max="17" width="19.85546875" bestFit="1" customWidth="1"/>
    <col min="18" max="18" width="26" bestFit="1" customWidth="1"/>
    <col min="19" max="19" width="42.28515625" bestFit="1" customWidth="1"/>
    <col min="20" max="20" width="19.85546875" bestFit="1" customWidth="1"/>
    <col min="21" max="21" width="19.7109375" bestFit="1" customWidth="1"/>
    <col min="22" max="22" width="26.85546875" bestFit="1" customWidth="1"/>
    <col min="23" max="23" width="34.5703125" bestFit="1" customWidth="1"/>
    <col min="24" max="24" width="76.140625" bestFit="1" customWidth="1"/>
    <col min="25" max="25" width="18.7109375" bestFit="1" customWidth="1"/>
    <col min="26" max="26" width="20.28515625" style="22" bestFit="1" customWidth="1"/>
    <col min="27" max="16384" width="9.140625" style="22"/>
  </cols>
  <sheetData>
    <row r="2" spans="2:26" ht="21" x14ac:dyDescent="0.35">
      <c r="B2" s="168" t="s">
        <v>1233</v>
      </c>
      <c r="C2" s="168"/>
      <c r="D2" s="168"/>
      <c r="E2" s="168"/>
      <c r="F2" s="168"/>
      <c r="G2" s="168"/>
      <c r="H2" s="168"/>
      <c r="I2" s="168"/>
      <c r="K2" s="187" t="s">
        <v>314</v>
      </c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spans="2:26" x14ac:dyDescent="0.25">
      <c r="B3" s="26" t="s">
        <v>5</v>
      </c>
      <c r="C3" s="26" t="s">
        <v>7</v>
      </c>
      <c r="D3" s="26" t="s">
        <v>293</v>
      </c>
      <c r="E3" s="26" t="s">
        <v>294</v>
      </c>
      <c r="F3" s="27" t="s">
        <v>327</v>
      </c>
      <c r="G3" s="26" t="s">
        <v>296</v>
      </c>
      <c r="H3" s="27" t="s">
        <v>297</v>
      </c>
      <c r="I3" s="28" t="s">
        <v>14</v>
      </c>
      <c r="J3" s="29"/>
      <c r="K3" s="54" t="s">
        <v>277</v>
      </c>
      <c r="L3" s="55" t="s">
        <v>278</v>
      </c>
      <c r="M3" s="53" t="s">
        <v>279</v>
      </c>
      <c r="N3" s="60" t="s">
        <v>280</v>
      </c>
      <c r="O3" s="70" t="s">
        <v>281</v>
      </c>
      <c r="P3" s="55" t="s">
        <v>282</v>
      </c>
      <c r="Q3" s="53" t="s">
        <v>283</v>
      </c>
      <c r="R3" s="60" t="s">
        <v>284</v>
      </c>
      <c r="S3" s="72" t="s">
        <v>285</v>
      </c>
      <c r="T3" s="53" t="s">
        <v>286</v>
      </c>
      <c r="U3" s="53" t="s">
        <v>287</v>
      </c>
      <c r="V3" s="60" t="s">
        <v>288</v>
      </c>
      <c r="W3" s="60" t="s">
        <v>289</v>
      </c>
      <c r="X3" s="74" t="s">
        <v>290</v>
      </c>
      <c r="Y3" s="63" t="s">
        <v>291</v>
      </c>
      <c r="Z3" s="64" t="s">
        <v>292</v>
      </c>
    </row>
    <row r="4" spans="2:26" x14ac:dyDescent="0.25">
      <c r="B4" s="32">
        <v>45885</v>
      </c>
      <c r="C4" s="33" t="str">
        <f>IFERROR(IF(IFERROR(Tabela10412[[#This Row],[CORRESP. CARRO]],"")="NÃO","",(IF(Tabela739[[#This Row],[NOME]]=0,"",Tabela10412[[#This Row],[CORRESP. CARRO]]))),"")</f>
        <v/>
      </c>
      <c r="D4" s="34" t="str">
        <f>IFERROR(IF(Tabela739[[#This Row],[NOME]]="","",Tabela10412[[#This Row],[CORRESP HORARIO]]),"")</f>
        <v/>
      </c>
      <c r="E4" s="35" t="s">
        <v>299</v>
      </c>
      <c r="F4" s="35" t="s">
        <v>317</v>
      </c>
      <c r="G4" s="1">
        <f>IF(Tabela739[[#This Row],[NOME]]="","",COUNTIF(Tabela10412[COMP ESCALA ATUAL],Tabela10412[[#This Row],[COMP ESCALA ATUAL]]))</f>
        <v>1</v>
      </c>
      <c r="H4" s="43">
        <f>IF(Tabela739[[#This Row],[NOME]]&lt;&gt;0,15,"")</f>
        <v>15</v>
      </c>
      <c r="I4" s="33" t="e" cm="1">
        <f t="array" ref="I4">_xlfn.IFS(AND(Tabela10412[[#This Row],[COMP ESCALA ANTERIOR]]="NÃO", Tabela10412[[#This Row],[EXISTE MOT B AT]]="NÃO"),Tabela10412[[#This Row],[EXISTE MOT A AT]],AND(Tabela10412[[#This Row],[COMP ESCALA ANTERIOR]]="NÃO", Tabela10412[[#This Row],[EXISTE MOT A AT]]="NÃO"),Tabela10412[[#This Row],[EXISTE MOT B AT]],AND(Tabela10412[[#This Row],[COMP ESCALA ANTERIOR]]="NÃO", Tabela10412[[#This Row],[EXISTE MOT A AT]]&lt;&gt;"NÃO"),Tabela10412[[#This Row],[EXISTE MOT A AT]],AND(Tabela10412[[#This Row],[COMP ESCALA ANTERIOR]]&lt;&gt;"NÃO",Tabela10412[[#This Row],[EXISTE MOT B ANT]]="NÃO"),Tabela10412[[#This Row],[EXISTE MOT A ANT]],AND(Tabela10412[[#This Row],[COMP ESCALA ANTERIOR]]&lt;&gt;"NÃO", Tabela10412[[#This Row],[EXISTE MOT A ANT]]="NÃO"),Tabela10412[[#This Row],[EXISTE MOT B ANT]],AND(Tabela10412[[#This Row],[COMP ESCALA ANTERIOR]]&lt;&gt;"NÃO",Tabela10412[[#This Row],[EXISTE MOT A ANT]]&lt;&gt;"NÃO"),Tabela10412[[#This Row],[EXISTE MOT A ANT]])</f>
        <v>#REF!</v>
      </c>
      <c r="J4" s="31"/>
      <c r="K4" s="56" t="str">
        <f>IF(Tabela739[[#This Row],[NOME]]="","",_xlfn.CONCAT(Tabela739[[#This Row],[DATA]],"+",Tabela739[[#This Row],[NOME]]))</f>
        <v>45885+ADAIL DA SILVA DOS SANTOS - 1103</v>
      </c>
      <c r="L4" s="56" t="e" cm="1">
        <f t="array" ref="L4">_xlfn.XLOOKUP(K4,tabE.Flux[COMP.AT. MOT A],#REF!,"NÃO",0,1)</f>
        <v>#REF!</v>
      </c>
      <c r="M4" s="69" t="e" cm="1">
        <f t="array" ref="M4">_xlfn.XLOOKUP(K4,tabE.Flux[COMP.AT. MOT B],#REF!,"NÃO",0,1)</f>
        <v>#REF!</v>
      </c>
      <c r="N4" s="61" t="e">
        <f>IF(AND(Tabela10412[[#This Row],[EXISTE MOT A AT]]="NÃO", Tabela10412[[#This Row],[EXISTE MOT B AT]]="NÃO"),"NÃO","SIM")</f>
        <v>#REF!</v>
      </c>
      <c r="O4" s="71" t="e">
        <f>IF(Tabela10412[[#This Row],[EXISTE ESCALA ATUAL]]="NÃO",_xlfn.CONCAT(Tabela739[[#This Row],[DATA]]-1,"+",Tabela739[[#This Row],[NOME]]),"NÃO")</f>
        <v>#REF!</v>
      </c>
      <c r="P4" s="57" t="e" cm="1">
        <f t="array" ref="P4">IF(Tabela10412[[#This Row],[COMP ESCALA ANTERIOR]]="NÃO","NÃO",_xlfn.XLOOKUP(Tabela10412[[#This Row],[COMP ESCALA ANTERIOR]],tabE.Flux[COMP.AT. MOT A],#REF!,"NÃO",0,1))</f>
        <v>#REF!</v>
      </c>
      <c r="Q4" s="58" t="e" cm="1">
        <f t="array" ref="Q4">IF(Tabela10412[[#This Row],[COMP ESCALA ANTERIOR]]="NÃO","NÃO",_xlfn.XLOOKUP(Tabela10412[[#This Row],[COMP ESCALA ANTERIOR]],tabE.Flux[COMP.AT. MOT B],#REF!,"NÃO",0,1))</f>
        <v>#REF!</v>
      </c>
      <c r="R4" s="62" t="e">
        <f>IF(AND(Tabela10412[[#This Row],[EXISTE MOT A ANT]]="NÃO",Tabela10412[[#This Row],[EXISTE MOT B ANT]]="NÃO"),"NÃO","SIM")</f>
        <v>#REF!</v>
      </c>
      <c r="S4" s="73" t="str">
        <f>_xlfn.CONCAT(B4+1,"+",F4)</f>
        <v>45886+ADAIL DA SILVA DOS SANTOS - 1103</v>
      </c>
      <c r="T4" s="59" t="e" cm="1">
        <f t="array" ref="T4">IF(Tabela10412[[#This Row],[COMP ESCALA POSTERIOR]]="NÃO","NÃO",_xlfn.XLOOKUP(Tabela10412[[#This Row],[COMP ESCALA POSTERIOR]],tabE.Flux[COMP.AT. MOT A],#REF!,"NÃO",0,1))</f>
        <v>#REF!</v>
      </c>
      <c r="U4" s="59" t="e" cm="1">
        <f t="array" ref="U4">IF(Tabela10412[[#This Row],[COMP ESCALA POSTERIOR]]="NÃO","NÃO",_xlfn.XLOOKUP(Tabela10412[[#This Row],[COMP ESCALA POSTERIOR]],tabE.Flux[COMP.AT. MOT B],#REF!,"NÃO",0,1))</f>
        <v>#REF!</v>
      </c>
      <c r="V4" s="65" t="e">
        <f>IF(AND(Tabela10412[[#This Row],[EXISTE MOT A POS]]="NÃO",Tabela10412[[#This Row],[EXISTE MOT B POS]]="NÃO"),"NÃO","SIM")</f>
        <v>#REF!</v>
      </c>
      <c r="W4" s="66" t="e" cm="1">
        <f t="array" ref="W4">_xlfn.IFS(Tabela10412[[#This Row],[EXISTE ESCALA ATUAL]]="SIM",(IF(Tabela10412[[#This Row],[EXISTE MOT A AT]]="NÃO",Tabela10412[[#This Row],[EXISTE MOT B AT]],Tabela10412[[#This Row],[EXISTE MOT A AT]])),Tabela10412[[#This Row],[EXISTE ESCALA ANTERIOR]]="SIM",(IF(Tabela10412[[#This Row],[EXISTE MOT A ANT]]="NÃO",Tabela10412[[#This Row],[EXISTE MOT B ANT]],Tabela10412[[#This Row],[EXISTE MOT A ANT]])),Tabela10412[[#This Row],[EXISTE ESCALA POSTERIOR]]="SIM",(IF(Tabela10412[[#This Row],[EXISTE MOT A POS]]="NÃO",Tabela10412[[#This Row],[EXISTE MOT B POS]],Tabela10412[[#This Row],[EXISTE MOT A POS]])))</f>
        <v>#REF!</v>
      </c>
      <c r="X4" s="75" t="e" cm="1">
        <f t="array" ref="X4">_xlfn.IFS(Tabela10412[[#This Row],[EXISTE ESCALA ATUAL]]="SIM",(_xlfn.CONCAT(Tabela10412[[#This Row],[COMP ESCALA ATUAL]],"+",Tabela10412[[#This Row],[CORRESP LINHA]])),Tabela10412[[#This Row],[EXISTE ESCALA ANTERIOR]]="SIM",(_xlfn.CONCAT(Tabela10412[[#This Row],[COMP ESCALA ANTERIOR]],"+",Tabela10412[[#This Row],[CORRESP LINHA]])),Tabela10412[[#This Row],[EXISTE ESCALA POSTERIOR]]="SIM",(_xlfn.CONCAT(Tabela10412[[#This Row],[COMP ESCALA POSTERIOR]],"+",Tabela10412[[#This Row],[CORRESP LINHA]])))</f>
        <v>#REF!</v>
      </c>
      <c r="Y4" s="67" t="e" cm="1">
        <f t="array" ref="Y4">_xlfn.XLOOKUP(Tabela10412[[#This Row],[COMP ESCALA]],tabE.Flux[COMP. ESCALA MOT B],#REF!,
(_xlfn.XLOOKUP(Tabela10412[[#This Row],[COMP ESCALA]],tabE.Flux[COMP. ESCALA MOT A],#REF!,"NÃO",0,1)),0,1)</f>
        <v>#REF!</v>
      </c>
      <c r="Z4" s="68" t="e" cm="1">
        <f t="array" ref="Z4">_xlfn.XLOOKUP(Tabela10412[[#This Row],[COMP ESCALA]],tabE.Flux[COMP. ESCALA MOT A],#REF!,(_xlfn.XLOOKUP(Tabela10412[[#This Row],[COMP ESCALA]],tabE.Flux[COMP. ESCALA MOT B],#REF!,"NÃO",0,1)),0,1)</f>
        <v>#REF!</v>
      </c>
    </row>
    <row r="5" spans="2:26" x14ac:dyDescent="0.25">
      <c r="J5" s="31"/>
    </row>
    <row r="6" spans="2:26" x14ac:dyDescent="0.25">
      <c r="J6" s="31"/>
    </row>
    <row r="7" spans="2:26" x14ac:dyDescent="0.25">
      <c r="J7" s="31"/>
    </row>
    <row r="8" spans="2:26" x14ac:dyDescent="0.25">
      <c r="J8" s="31"/>
    </row>
    <row r="9" spans="2:26" x14ac:dyDescent="0.25">
      <c r="J9" s="31"/>
    </row>
    <row r="10" spans="2:26" x14ac:dyDescent="0.25">
      <c r="J10" s="31"/>
    </row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</sheetData>
  <sheetProtection sheet="1" objects="1" scenarios="1" selectLockedCells="1"/>
  <mergeCells count="2">
    <mergeCell ref="B2:I2"/>
    <mergeCell ref="K2:Z2"/>
  </mergeCells>
  <phoneticPr fontId="8" type="noConversion"/>
  <conditionalFormatting sqref="C3:C4">
    <cfRule type="cellIs" dxfId="2" priority="1" operator="equal">
      <formula>"PASSE?"</formula>
    </cfRule>
  </conditionalFormatting>
  <conditionalFormatting sqref="G4">
    <cfRule type="cellIs" dxfId="1" priority="2" stopIfTrue="1" operator="greaterThan">
      <formula>1</formula>
    </cfRule>
  </conditionalFormatting>
  <conditionalFormatting sqref="L4:V4 X4">
    <cfRule type="cellIs" dxfId="0" priority="3" operator="equal">
      <formula>"NÃO"</formula>
    </cfRule>
  </conditionalFormatting>
  <dataValidations count="7">
    <dataValidation allowBlank="1" showInputMessage="1" showErrorMessage="1" sqref="B2:I2" xr:uid="{FE10721E-7418-4585-B07C-70546A3AC586}"/>
    <dataValidation allowBlank="1" showInputMessage="1" promptTitle="LINHA" prompt="Identifica a linha do serviço realizado pelo motorista no dia (anterior, atual ou posterior, baseado na última escala disponível próximo a data informada)" sqref="I3" xr:uid="{C11A3619-73B5-422F-97F0-09C52DFE37D5}"/>
    <dataValidation allowBlank="1" showInputMessage="1" promptTitle="Horário" prompt="Identifica o horário de origem da escala do motorista (baseado no serviço de escala)" sqref="D3" xr:uid="{B8BE2303-1715-4B39-A1BE-0CDA58AFC518}"/>
    <dataValidation allowBlank="1" showInputMessage="1" promptTitle="MOTIVO" prompt="Justifica a razão pela qual o colaborador fez refeição (regular, passe, SOS, etc.)" sqref="E3" xr:uid="{C16298E0-571B-450B-8DDD-A0D1DDA905BC}"/>
    <dataValidation allowBlank="1" showInputMessage="1" promptTitle="NOME + MATRÍCULA" prompt="Esse campo é integrado ao BANCO DE DADOS, caso não encontre nenhum motorista, basta o adicionar no final da tabela disponível na planilha (o autocompletar só funciona com o nome idêntico ao da escala do fluxo)." sqref="F3" xr:uid="{2B3CEC6A-6437-4318-8B51-47C77D488E61}"/>
    <dataValidation allowBlank="1" showInputMessage="1" prompt="Esse campo mostra quantas vezes o motorista aparece nesta data. Não são permitidas repetições, então se esse valor ficar maior que dois, ele INDICA UMA DUPLICATA." sqref="G3" xr:uid="{E346B4FE-9CB1-4214-92DB-2B0AA9BA727A}"/>
    <dataValidation allowBlank="1" showInputMessage="1" showErrorMessage="1" prompt="(a quantidade não deve ser maior que 1, em caso de duplicatas o valor irá mudar para 2 para indicar o erro)" sqref="G4:G1048576" xr:uid="{2EA064BC-A27B-4D0E-BF0F-04FA250E8B08}"/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Digite nome ou matrícula" prompt="Clique no título da coluna para mais informações" xr:uid="{AAE35C86-9A72-44B0-B5BA-2E64A3B93528}">
          <x14:formula1>
            <xm:f>'BANCO DE DADOS'!$B:$B</xm:f>
          </x14:formula1>
          <xm:sqref>F4:F1048576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7BD550-9C7D-4B8F-8932-583C5DEFD9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e.FLUXO</vt:lpstr>
      <vt:lpstr>ALMOCO</vt:lpstr>
      <vt:lpstr>JANTA</vt:lpstr>
      <vt:lpstr>iALMOÇO</vt:lpstr>
      <vt:lpstr>TOTAIS</vt:lpstr>
      <vt:lpstr>BANCO DE DADOS</vt:lpstr>
      <vt:lpstr>AJUDA</vt:lpstr>
      <vt:lpstr>Demonstração AUTOCOMPLETAR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Tráfego Imp</dc:creator>
  <cp:keywords/>
  <dc:description/>
  <cp:lastModifiedBy>Tráfego IMP 02</cp:lastModifiedBy>
  <cp:revision/>
  <dcterms:created xsi:type="dcterms:W3CDTF">2015-06-05T18:19:34Z</dcterms:created>
  <dcterms:modified xsi:type="dcterms:W3CDTF">2025-10-26T10:29:33Z</dcterms:modified>
  <cp:category/>
  <cp:contentStatus/>
</cp:coreProperties>
</file>